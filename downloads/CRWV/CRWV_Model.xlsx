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printerSettings/printerSettings1.bin" ContentType="application/vnd.openxmlformats-officedocument.spreadsheetml.printerSettings"/>
  <Override PartName="/xl/printerSettings/printerSettings2.bin" ContentType="application/vnd.openxmlformats-officedocument.spreadsheetml.printerSettings"/>
  <Override PartName="/xl/printerSettings/printerSettings3.bin" ContentType="application/vnd.openxmlformats-officedocument.spreadsheetml.printerSettings"/>
  <Override PartName="/xl/printerSettings/printerSettings4.bin" ContentType="application/vnd.openxmlformats-officedocument.spreadsheetml.printerSettings"/>
  <Override PartName="/xl/printerSettings/printerSettings5.bin" ContentType="application/vnd.openxmlformats-officedocument.spreadsheetml.printerSettings"/>
  <Override PartName="/xl/printerSettings/printerSettings6.bin" ContentType="application/vnd.openxmlformats-officedocument.spreadsheetml.printerSettings"/>
  <Override PartName="/xl/printerSettings/printerSettings7.bin" ContentType="application/vnd.openxmlformats-officedocument.spreadsheetml.printerSettings"/>
  <Override PartName="/xl/printerSettings/printerSettings8.bin" ContentType="application/vnd.openxmlformats-officedocument.spreadsheetml.printerSettings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\\firmwide.corp.gs.com\root\Projects\Research\ny\Software and Internet\Email Models\"/>
    </mc:Choice>
  </mc:AlternateContent>
  <xr:revisionPtr revIDLastSave="0" documentId="13_ncr:1_{08B7902B-1773-4BDA-B986-9D9238E24360}" xr6:coauthVersionLast="47" xr6:coauthVersionMax="47" xr10:uidLastSave="{00000000-0000-0000-0000-000000000000}"/>
  <bookViews>
    <workbookView xWindow="11220" yWindow="795" windowWidth="30000" windowHeight="22185" tabRatio="883" firstSheet="1" activeTab="1" xr2:uid="{C6B7A3A9-184A-4AA8-BC6F-B35785C29EFC}"/>
  </bookViews>
  <sheets>
    <sheet name="__FDSCACHE__" sheetId="13" state="veryHidden" r:id="rId1"/>
    <sheet name="Cover" sheetId="1" r:id="rId2"/>
    <sheet name="Revenue and CapEx Build" sheetId="63" r:id="rId3"/>
    <sheet name="KPI Summary" sheetId="42" r:id="rId4"/>
    <sheet name="Depreciation Build" sheetId="94" r:id="rId5"/>
    <sheet name="IS (GAAP)" sheetId="3" r:id="rId6"/>
    <sheet name="IS (Non-GAAP)" sheetId="58" r:id="rId7"/>
    <sheet name="BS" sheetId="5" r:id="rId8"/>
    <sheet name="CF" sheetId="6" r:id="rId9"/>
    <sheet name="Debt Model" sheetId="59" r:id="rId10"/>
    <sheet name="Def. Revenue &amp; Billings" sheetId="7" r:id="rId11"/>
    <sheet name="Dates" sheetId="11" state="hidden" r:id="rId12"/>
    <sheet name="Consensus" sheetId="10" state="hidden" r:id="rId13"/>
    <sheet name="Valuation Exhibits_Memo" sheetId="83" state="hidden" r:id="rId14"/>
    <sheet name="Valuation (old)" sheetId="64" state="hidden" r:id="rId15"/>
  </sheets>
  <externalReferences>
    <externalReference r:id="rId16"/>
    <externalReference r:id="rId17"/>
  </externalReferences>
  <definedNames>
    <definedName name="\\" hidden="1">{#N/A,#N/A,FALSE,"Summary";#N/A,#N/A,FALSE,"Details";#N/A,#N/A,FALSE,"Month-Hd";#N/A,#N/A,FALSE,"YTD-Hd";#N/A,#N/A,FALSE,"Capital"}</definedName>
    <definedName name="____a1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____a2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____a3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____a4" hidden="1">{"whole",#N/A,FALSE,"Gen_Dist_Act_Bud";"whole",#N/A,FALSE,"Gen_Dist_T3months";"whole",#N/A,FALSE,"GD_PerP";"whole",#N/A,FALSE,"HR Dist'n"}</definedName>
    <definedName name="____a5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____a6" hidden="1">{"whole",#N/A,FALSE,"CS HC";"whole",#N/A,FALSE,"CS_ACTvsBud";"whole",#N/A,FALSE,"CSTrail3mo";"whole",#N/A,FALSE,"CS Cost Per Head ";"whole",#N/A,FALSE,"CS CPH YTD"}</definedName>
    <definedName name="____a7" hidden="1">{"whole",#N/A,FALSE,"CS FIN Sum For Rox";"whole",#N/A,FALSE,"Gen_Dist_Act_Bud";"whole",#N/A,FALSE,"Gen_Dist_T3months";"whole",#N/A,FALSE,"GD_PerP";"whole",#N/A,FALSE,"CS_DIST_ActvsBud";"whole",#N/A,FALSE,"CS_DIST_SUM_trail3mo"}</definedName>
    <definedName name="____a9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____aa1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____aaa111299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____ab1112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____b1" hidden="1">{"Chart 1",#N/A,FALSE,"Run Rate";"Chart 2",#N/A,FALSE,"Run Rate (2)"}</definedName>
    <definedName name="____di1" hidden="1">{"whole",#N/A,FALSE,"Gen_Dist_Act_Bud";"whole",#N/A,FALSE,"Gen_Dist_T3months";"whole",#N/A,FALSE,"GD_PerP";"whole",#N/A,FALSE,"HR Dist'n"}</definedName>
    <definedName name="____w32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____w33" hidden="1">{"whole",#N/A,FALSE,"Gen_Dist_Act_Bud";"whole",#N/A,FALSE,"Gen_Dist_T3months";"whole",#N/A,FALSE,"GD_PerP";"whole",#N/A,FALSE,"HR Dist'n"}</definedName>
    <definedName name="____x3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___a1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___a2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___a3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___a4" hidden="1">{"whole",#N/A,FALSE,"Gen_Dist_Act_Bud";"whole",#N/A,FALSE,"Gen_Dist_T3months";"whole",#N/A,FALSE,"GD_PerP";"whole",#N/A,FALSE,"HR Dist'n"}</definedName>
    <definedName name="___a5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___a6" hidden="1">{"whole",#N/A,FALSE,"CS HC";"whole",#N/A,FALSE,"CS_ACTvsBud";"whole",#N/A,FALSE,"CSTrail3mo";"whole",#N/A,FALSE,"CS Cost Per Head ";"whole",#N/A,FALSE,"CS CPH YTD"}</definedName>
    <definedName name="___a7" hidden="1">{"whole",#N/A,FALSE,"CS FIN Sum For Rox";"whole",#N/A,FALSE,"Gen_Dist_Act_Bud";"whole",#N/A,FALSE,"Gen_Dist_T3months";"whole",#N/A,FALSE,"GD_PerP";"whole",#N/A,FALSE,"CS_DIST_ActvsBud";"whole",#N/A,FALSE,"CS_DIST_SUM_trail3mo"}</definedName>
    <definedName name="___a9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___aa1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___aaa111299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___ab1112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___b1" hidden="1">{"Chart 1",#N/A,FALSE,"Run Rate";"Chart 2",#N/A,FALSE,"Run Rate (2)"}</definedName>
    <definedName name="___di1" hidden="1">{"whole",#N/A,FALSE,"Gen_Dist_Act_Bud";"whole",#N/A,FALSE,"Gen_Dist_T3months";"whole",#N/A,FALSE,"GD_PerP";"whole",#N/A,FALSE,"HR Dist'n"}</definedName>
    <definedName name="___w32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___w33" hidden="1">{"whole",#N/A,FALSE,"Gen_Dist_Act_Bud";"whole",#N/A,FALSE,"Gen_Dist_T3months";"whole",#N/A,FALSE,"GD_PerP";"whole",#N/A,FALSE,"HR Dist'n"}</definedName>
    <definedName name="___x3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__123Graph_A" hidden="1">#REF!</definedName>
    <definedName name="__123Graph_Ab" hidden="1">#REF!</definedName>
    <definedName name="__123Graph_AChart1" hidden="1">#REF!</definedName>
    <definedName name="__123Graph_AChart2" hidden="1">#REF!</definedName>
    <definedName name="__123Graph_AChart3" hidden="1">#REF!</definedName>
    <definedName name="__123Graph_AChart4" hidden="1">#REF!</definedName>
    <definedName name="__123Graph_ACurrent" hidden="1">#REF!</definedName>
    <definedName name="__123Graph_B" hidden="1">#REF!</definedName>
    <definedName name="__123Graph_BChart1" hidden="1">#REF!</definedName>
    <definedName name="__123Graph_BChart2" hidden="1">#REF!</definedName>
    <definedName name="__123Graph_BChart3" hidden="1">#REF!</definedName>
    <definedName name="__123Graph_BChart4" hidden="1">#REF!</definedName>
    <definedName name="__123Graph_BCurrent" hidden="1">#REF!</definedName>
    <definedName name="__123Graph_C" hidden="1">#REF!</definedName>
    <definedName name="__123Graph_CChart1" hidden="1">#REF!</definedName>
    <definedName name="__123Graph_CChart2" hidden="1">#REF!</definedName>
    <definedName name="__123Graph_CChart3" hidden="1">#REF!</definedName>
    <definedName name="__123Graph_CChart4" hidden="1">#REF!</definedName>
    <definedName name="__123Graph_CCurrent" hidden="1">#REF!</definedName>
    <definedName name="__123Graph_D" hidden="1">#REF!</definedName>
    <definedName name="__123Graph_DChart1" hidden="1">#REF!</definedName>
    <definedName name="__123Graph_DChart2" hidden="1">#REF!</definedName>
    <definedName name="__123Graph_DChart3" hidden="1">#REF!</definedName>
    <definedName name="__123Graph_DChart4" hidden="1">#REF!</definedName>
    <definedName name="__123Graph_DCurrent" hidden="1">#REF!</definedName>
    <definedName name="__123Graph_E" hidden="1">#REF!</definedName>
    <definedName name="__123Graph_EChart1" hidden="1">#REF!</definedName>
    <definedName name="__123Graph_EChart2" hidden="1">#REF!</definedName>
    <definedName name="__123Graph_EChart3" hidden="1">#REF!</definedName>
    <definedName name="__123Graph_EChart4" hidden="1">#REF!</definedName>
    <definedName name="__123Graph_ECurrent" hidden="1">#REF!</definedName>
    <definedName name="__123Graph_F" hidden="1">#REF!</definedName>
    <definedName name="__123Graph_FChart1" hidden="1">#REF!</definedName>
    <definedName name="__123Graph_FChart2" hidden="1">#REF!</definedName>
    <definedName name="__123Graph_FChart3" hidden="1">#REF!</definedName>
    <definedName name="__123Graph_FChart4" hidden="1">#REF!</definedName>
    <definedName name="__123Graph_FCurrent" hidden="1">#REF!</definedName>
    <definedName name="__123Graph_X" hidden="1">#REF!</definedName>
    <definedName name="__123Graph_XCurrent" hidden="1">#REF!</definedName>
    <definedName name="__a1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__a15" hidden="1">{"whole",#N/A,FALSE,"CS FIN Sum For Rox";"whole",#N/A,FALSE,"Gen_Dist_Act_Bud";"whole",#N/A,FALSE,"Gen_Dist_T3months";"whole",#N/A,FALSE,"GD_PerP";"whole",#N/A,FALSE,"CS_DIST_ActvsBud";"whole",#N/A,FALSE,"CS_DIST_SUM_trail3mo"}</definedName>
    <definedName name="__a2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__a3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__a4" hidden="1">{"whole",#N/A,FALSE,"Gen_Dist_Act_Bud";"whole",#N/A,FALSE,"Gen_Dist_T3months";"whole",#N/A,FALSE,"GD_PerP";"whole",#N/A,FALSE,"HR Dist'n"}</definedName>
    <definedName name="__a5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__a6" hidden="1">{"whole",#N/A,FALSE,"CS HC";"whole",#N/A,FALSE,"CS_ACTvsBud";"whole",#N/A,FALSE,"CSTrail3mo";"whole",#N/A,FALSE,"CS Cost Per Head ";"whole",#N/A,FALSE,"CS CPH YTD"}</definedName>
    <definedName name="__a7" hidden="1">{"whole",#N/A,FALSE,"CS FIN Sum For Rox";"whole",#N/A,FALSE,"Gen_Dist_Act_Bud";"whole",#N/A,FALSE,"Gen_Dist_T3months";"whole",#N/A,FALSE,"GD_PerP";"whole",#N/A,FALSE,"CS_DIST_ActvsBud";"whole",#N/A,FALSE,"CS_DIST_SUM_trail3mo"}</definedName>
    <definedName name="__a9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__aa1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__aaa111299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__ab1112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__b1" hidden="1">{"Chart 1",#N/A,FALSE,"Run Rate";"Chart 2",#N/A,FALSE,"Run Rate (2)"}</definedName>
    <definedName name="__di1" hidden="1">{"whole",#N/A,FALSE,"Gen_Dist_Act_Bud";"whole",#N/A,FALSE,"Gen_Dist_T3months";"whole",#N/A,FALSE,"GD_PerP";"whole",#N/A,FALSE,"HR Dist'n"}</definedName>
    <definedName name="__FDS_HYPERLINK_TOGGLE_STATE__" hidden="1">"ON"</definedName>
    <definedName name="__FDS_UNIQUE_RANGE_ID_GENERATOR_COUNTER">50</definedName>
    <definedName name="__FDS_USED_FOR_REUSING_RANGE_IDS_RECYCLE">{22,8,23,4,14,18,17,43,48,47,45,46,1,51,50,49}</definedName>
    <definedName name="__fff2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__huh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k1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__w32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__w33" hidden="1">{"whole",#N/A,FALSE,"Gen_Dist_Act_Bud";"whole",#N/A,FALSE,"Gen_Dist_T3months";"whole",#N/A,FALSE,"GD_PerP";"whole",#N/A,FALSE,"HR Dist'n"}</definedName>
    <definedName name="__x3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_1__FDSAUDITLINK__" hidden="1">{"fdsup://directions/FAT Viewer?action=UPDATE&amp;creator=factset&amp;DYN_ARGS=TRUE&amp;DOC_NAME=FAT:FQL_AUDITING_CLIENT_TEMPLATE.FAT&amp;display_string=Audit&amp;VAR:KEY=RQDQTWBQFY&amp;VAR:QUERY=RkZfRUJJVF9PUEVSX01HTihDQUwsMCk=&amp;WINDOW=FIRST_POPUP&amp;HEIGHT=450&amp;WIDTH=450&amp;START_MAXIMI","ZED=FALSE&amp;VAR:CALENDAR=US&amp;VAR:SYMBOL=CNQR&amp;VAR:INDEX=0"}</definedName>
    <definedName name="_10__FDSAUDITLINK__" hidden="1">{"fdsup://directions/FAT Viewer?action=UPDATE&amp;creator=factset&amp;DYN_ARGS=TRUE&amp;DOC_NAME=FAT:FQL_AUDITING_CLIENT_TEMPLATE.FAT&amp;display_string=Audit&amp;VAR:KEY=BEXMFIVSRI&amp;VAR:QUERY=Q1NGX05FVF9ERUJUKFFUUl9SLDAp&amp;WINDOW=FIRST_POPUP&amp;HEIGHT=450&amp;WIDTH=450&amp;START_MAXIMIZED=","FALSE&amp;VAR:CALENDAR=US&amp;VAR:SYMBOL=BCSI&amp;VAR:INDEX=0"}</definedName>
    <definedName name="_100__FDSAUDITLINK__" hidden="1">{"fdsup://directions/FAT Viewer?action=UPDATE&amp;creator=factset&amp;DYN_ARGS=TRUE&amp;DOC_NAME=FAT:FQL_AUDITING_CLIENT_TEMPLATE.FAT&amp;display_string=Audit&amp;VAR:KEY=HCLYZGFGHS&amp;VAR:QUERY=RkZfRlJFRV9QU19DRihDQUwsLTFBWSk=&amp;WINDOW=FIRST_POPUP&amp;HEIGHT=450&amp;WIDTH=450&amp;START_MAXIMI","ZED=FALSE&amp;VAR:CALENDAR=US&amp;VAR:SYMBOL=CTCT&amp;VAR:INDEX=0"}</definedName>
    <definedName name="_101__FDSAUDITLINK__" hidden="1">{"fdsup://directions/FAT Viewer?action=UPDATE&amp;creator=factset&amp;DYN_ARGS=TRUE&amp;DOC_NAME=FAT:FQL_AUDITING_CLIENT_TEMPLATE.FAT&amp;display_string=Audit&amp;VAR:KEY=ZILUNMBQBA&amp;VAR:QUERY=RkZfRlJFRV9QU19DRihDQUwsLTFBWSk=&amp;WINDOW=FIRST_POPUP&amp;HEIGHT=450&amp;WIDTH=450&amp;START_MAXIMI","ZED=FALSE&amp;VAR:CALENDAR=US&amp;VAR:SYMBOL=CTCT&amp;VAR:INDEX=0"}</definedName>
    <definedName name="_102__FDSAUDITLINK__" hidden="1">{"fdsup://directions/FAT Viewer?action=UPDATE&amp;creator=factset&amp;DYN_ARGS=TRUE&amp;DOC_NAME=FAT:FQL_AUDITING_CLIENT_TEMPLATE.FAT&amp;display_string=Audit&amp;VAR:KEY=WZYDAFQZID&amp;VAR:QUERY=RkZfRU5UUlBSX1ZBTF9EQUlMWSg0MTExNSwsLCwsJ0RJTCcp&amp;WINDOW=FIRST_POPUP&amp;HEIGHT=450&amp;WIDTH=","450&amp;START_MAXIMIZED=FALSE&amp;VAR:CALENDAR=US&amp;VAR:SYMBOL=TIBX&amp;VAR:INDEX=0"}</definedName>
    <definedName name="_103__FDSAUDITLINK__" hidden="1">{"fdsup://directions/FAT Viewer?action=UPDATE&amp;creator=factset&amp;DYN_ARGS=TRUE&amp;DOC_NAME=FAT:FQL_AUDITING_CLIENT_TEMPLATE.FAT&amp;display_string=Audit&amp;VAR:KEY=CBQZIJOJYT&amp;VAR:QUERY=RkZfRU5UUlBSX1ZBTF9EQUlMWSg0MTExNSwsLCwsJ0RJTCcp&amp;WINDOW=FIRST_POPUP&amp;HEIGHT=450&amp;WIDTH=","450&amp;START_MAXIMIZED=FALSE&amp;VAR:CALENDAR=US&amp;VAR:SYMBOL=FIRE&amp;VAR:INDEX=0"}</definedName>
    <definedName name="_104__FDSAUDITLINK__" hidden="1">{"fdsup://directions/FAT Viewer?action=UPDATE&amp;creator=factset&amp;DYN_ARGS=TRUE&amp;DOC_NAME=FAT:FQL_AUDITING_CLIENT_TEMPLATE.FAT&amp;display_string=Audit&amp;VAR:KEY=CJGHUDAVMR&amp;VAR:QUERY=RkZfRU5UUlBSX1ZBTF9EQUlMWSg0MTExNSwsLCwsJ0RJTCcp&amp;WINDOW=FIRST_POPUP&amp;HEIGHT=450&amp;WIDTH=","450&amp;START_MAXIMIZED=FALSE&amp;VAR:CALENDAR=US&amp;VAR:SYMBOL=QLIK&amp;VAR:INDEX=0"}</definedName>
    <definedName name="_105__FDSAUDITLINK__" hidden="1">{"fdsup://directions/FAT Viewer?action=UPDATE&amp;creator=factset&amp;DYN_ARGS=TRUE&amp;DOC_NAME=FAT:FQL_AUDITING_CLIENT_TEMPLATE.FAT&amp;display_string=Audit&amp;VAR:KEY=EXIXYROPQH&amp;VAR:QUERY=RkZfRU5UUlBSX1ZBTF9EQUlMWSg0MTExNSwsLCwsJ0RJTCcp&amp;WINDOW=FIRST_POPUP&amp;HEIGHT=450&amp;WIDTH=","450&amp;START_MAXIMIZED=FALSE&amp;VAR:CALENDAR=US&amp;VAR:SYMBOL=INFA&amp;VAR:INDEX=0"}</definedName>
    <definedName name="_106__FDSAUDITLINK__" hidden="1">{"fdsup://directions/FAT Viewer?action=UPDATE&amp;creator=factset&amp;DYN_ARGS=TRUE&amp;DOC_NAME=FAT:FQL_AUDITING_CLIENT_TEMPLATE.FAT&amp;display_string=Audit&amp;VAR:KEY=OTINYJWDOJ&amp;VAR:QUERY=RkZfRU5UUlBSX1ZBTF9EQUlMWSg0MTExNSwsLCwsJ0RJTCcp&amp;WINDOW=FIRST_POPUP&amp;HEIGHT=450&amp;WIDTH=","450&amp;START_MAXIMIZED=FALSE&amp;VAR:CALENDAR=US&amp;VAR:SYMBOL=FTNT&amp;VAR:INDEX=0"}</definedName>
    <definedName name="_107__FDSAUDITLINK__" hidden="1">{"fdsup://directions/FAT Viewer?action=UPDATE&amp;creator=factset&amp;DYN_ARGS=TRUE&amp;DOC_NAME=FAT:FQL_AUDITING_CLIENT_TEMPLATE.FAT&amp;display_string=Audit&amp;VAR:KEY=YBCXGNGTWJ&amp;VAR:QUERY=RkZfRU5UUlBSX1ZBTF9EQUlMWSg0MTExNSwsLCwsJ0RJTCcp&amp;WINDOW=FIRST_POPUP&amp;HEIGHT=450&amp;WIDTH=","450&amp;START_MAXIMIZED=FALSE&amp;VAR:CALENDAR=US&amp;VAR:SYMBOL=MKTG&amp;VAR:INDEX=0"}</definedName>
    <definedName name="_108__FDSAUDITLINK__" hidden="1">{"fdsup://directions/FAT Viewer?action=UPDATE&amp;creator=factset&amp;DYN_ARGS=TRUE&amp;DOC_NAME=FAT:FQL_AUDITING_CLIENT_TEMPLATE.FAT&amp;display_string=Audit&amp;VAR:KEY=KVQDUFKNYL&amp;VAR:QUERY=RkZfRU5UUlBSX1ZBTF9EQUlMWSg0MTExNSwsLCwsJ0RJTCcp&amp;WINDOW=FIRST_POPUP&amp;HEIGHT=450&amp;WIDTH=","450&amp;START_MAXIMIZED=FALSE&amp;VAR:CALENDAR=US&amp;VAR:SYMBOL=RP&amp;VAR:INDEX=0"}</definedName>
    <definedName name="_109__FDSAUDITLINK__" hidden="1">{"fdsup://directions/FAT Viewer?action=UPDATE&amp;creator=factset&amp;DYN_ARGS=TRUE&amp;DOC_NAME=FAT:FQL_AUDITING_CLIENT_TEMPLATE.FAT&amp;display_string=Audit&amp;VAR:KEY=SLADCRELER&amp;VAR:QUERY=RkZfRU5UUlBSX1ZBTF9EQUlMWSg0MTExNSwsLCwsJ0RJTCcp&amp;WINDOW=FIRST_POPUP&amp;HEIGHT=450&amp;WIDTH=","450&amp;START_MAXIMIZED=FALSE&amp;VAR:CALENDAR=US&amp;VAR:SYMBOL=CTCT&amp;VAR:INDEX=0"}</definedName>
    <definedName name="_11__FDSAUDITLINK__" hidden="1">{"fdsup://directions/FAT Viewer?action=UPDATE&amp;creator=factset&amp;DYN_ARGS=TRUE&amp;DOC_NAME=FAT:FQL_AUDITING_CLIENT_TEMPLATE.FAT&amp;display_string=Audit&amp;VAR:KEY=NOFYHSLWHM&amp;VAR:QUERY=Q1NGX05FVF9ERUJUKFFUUl9SLDAp&amp;WINDOW=FIRST_POPUP&amp;HEIGHT=450&amp;WIDTH=450&amp;START_MAXIMIZED=","FALSE&amp;VAR:CALENDAR=US&amp;VAR:SYMBOL=EXTR&amp;VAR:INDEX=0"}</definedName>
    <definedName name="_110__FDSAUDITLINK__" hidden="1">{"fdsup://directions/FAT Viewer?action=UPDATE&amp;creator=factset&amp;DYN_ARGS=TRUE&amp;DOC_NAME=FAT:FQL_AUDITING_CLIENT_TEMPLATE.FAT&amp;display_string=Audit&amp;VAR:KEY=BANOROXSHW&amp;VAR:QUERY=RkZfRU5UUlBSX1ZBTF9EQUlMWSg0MTE1MiwsLCwsJ0RJTCcp&amp;WINDOW=FIRST_POPUP&amp;HEIGHT=450&amp;WIDTH=","450&amp;START_MAXIMIZED=FALSE&amp;VAR:CALENDAR=US&amp;VAR:SYMBOL=TIBX&amp;VAR:INDEX=0"}</definedName>
    <definedName name="_111__FDSAUDITLINK__" hidden="1">{"fdsup://directions/FAT Viewer?action=UPDATE&amp;creator=factset&amp;DYN_ARGS=TRUE&amp;DOC_NAME=FAT:FQL_AUDITING_CLIENT_TEMPLATE.FAT&amp;display_string=Audit&amp;VAR:KEY=HKHQTQBUPE&amp;VAR:QUERY=RkZfRU5UUlBSX1ZBTF9EQUlMWSg0MTE1MiwsLCwsJ0RJTCcp&amp;WINDOW=FIRST_POPUP&amp;HEIGHT=450&amp;WIDTH=","450&amp;START_MAXIMIZED=FALSE&amp;VAR:CALENDAR=US&amp;VAR:SYMBOL=FIRE&amp;VAR:INDEX=0"}</definedName>
    <definedName name="_112__FDSAUDITLINK__" hidden="1">{"fdsup://directions/FAT Viewer?action=UPDATE&amp;creator=factset&amp;DYN_ARGS=TRUE&amp;DOC_NAME=FAT:FQL_AUDITING_CLIENT_TEMPLATE.FAT&amp;display_string=Audit&amp;VAR:KEY=XMRYNOROHG&amp;VAR:QUERY=RkZfRU5UUlBSX1ZBTF9EQUlMWSg0MTE1MiwsLCwsJ0RJTCcp&amp;WINDOW=FIRST_POPUP&amp;HEIGHT=450&amp;WIDTH=","450&amp;START_MAXIMIZED=FALSE&amp;VAR:CALENDAR=US&amp;VAR:SYMBOL=QLIK&amp;VAR:INDEX=0"}</definedName>
    <definedName name="_113__FDSAUDITLINK__" hidden="1">{"fdsup://directions/FAT Viewer?action=UPDATE&amp;creator=factset&amp;DYN_ARGS=TRUE&amp;DOC_NAME=FAT:FQL_AUDITING_CLIENT_TEMPLATE.FAT&amp;display_string=Audit&amp;VAR:KEY=PWXENKPKFM&amp;VAR:QUERY=RkZfRU5UUlBSX1ZBTF9EQUlMWSg0MTE1MiwsLCwsJ0RJTCcp&amp;WINDOW=FIRST_POPUP&amp;HEIGHT=450&amp;WIDTH=","450&amp;START_MAXIMIZED=FALSE&amp;VAR:CALENDAR=US&amp;VAR:SYMBOL=INFA&amp;VAR:INDEX=0"}</definedName>
    <definedName name="_114__FDSAUDITLINK__" hidden="1">{"fdsup://directions/FAT Viewer?action=UPDATE&amp;creator=factset&amp;DYN_ARGS=TRUE&amp;DOC_NAME=FAT:FQL_AUDITING_CLIENT_TEMPLATE.FAT&amp;display_string=Audit&amp;VAR:KEY=HOHYRWFSVE&amp;VAR:QUERY=RkZfRU5UUlBSX1ZBTF9EQUlMWSg0MTE1MiwsLCwsJ0RJTCcp&amp;WINDOW=FIRST_POPUP&amp;HEIGHT=450&amp;WIDTH=","450&amp;START_MAXIMIZED=FALSE&amp;VAR:CALENDAR=US&amp;VAR:SYMBOL=FTNT&amp;VAR:INDEX=0"}</definedName>
    <definedName name="_115__FDSAUDITLINK__" hidden="1">{"fdsup://directions/FAT Viewer?action=UPDATE&amp;creator=factset&amp;DYN_ARGS=TRUE&amp;DOC_NAME=FAT:FQL_AUDITING_CLIENT_TEMPLATE.FAT&amp;display_string=Audit&amp;VAR:KEY=HQZYFWFANA&amp;VAR:QUERY=RkZfRU5UUlBSX1ZBTF9EQUlMWSg0MTE1MCwsLCwsJ0RJTCcp&amp;WINDOW=FIRST_POPUP&amp;HEIGHT=450&amp;WIDTH=","450&amp;START_MAXIMIZED=FALSE&amp;VAR:CALENDAR=US&amp;VAR:SYMBOL=MKTG&amp;VAR:INDEX=0"}</definedName>
    <definedName name="_116__FDSAUDITLINK__" hidden="1">{"fdsup://directions/FAT Viewer?action=UPDATE&amp;creator=factset&amp;DYN_ARGS=TRUE&amp;DOC_NAME=FAT:FQL_AUDITING_CLIENT_TEMPLATE.FAT&amp;display_string=Audit&amp;VAR:KEY=RGDYNANIJW&amp;VAR:QUERY=RkZfRU5UUlBSX1ZBTF9EQUlMWSg0MTE1MCwsLCwsJ0RJTCcp&amp;WINDOW=FIRST_POPUP&amp;HEIGHT=450&amp;WIDTH=","450&amp;START_MAXIMIZED=FALSE&amp;VAR:CALENDAR=US&amp;VAR:SYMBOL=RP&amp;VAR:INDEX=0"}</definedName>
    <definedName name="_117__FDSAUDITLINK__" hidden="1">{"fdsup://directions/FAT Viewer?action=UPDATE&amp;creator=factset&amp;DYN_ARGS=TRUE&amp;DOC_NAME=FAT:FQL_AUDITING_CLIENT_TEMPLATE.FAT&amp;display_string=Audit&amp;VAR:KEY=JIHOZSZAZM&amp;VAR:QUERY=RkZfRU5UUlBSX1ZBTF9EQUlMWSg0MTE1MCwsLCwsJ0RJTCcp&amp;WINDOW=FIRST_POPUP&amp;HEIGHT=450&amp;WIDTH=","450&amp;START_MAXIMIZED=FALSE&amp;VAR:CALENDAR=US&amp;VAR:SYMBOL=CTCT&amp;VAR:INDEX=0"}</definedName>
    <definedName name="_118__FDSAUDITLINK__" hidden="1">{"fdsup://directions/FAT Viewer?action=UPDATE&amp;creator=factset&amp;DYN_ARGS=TRUE&amp;DOC_NAME=FAT:FQL_AUDITING_CLIENT_TEMPLATE.FAT&amp;display_string=Audit&amp;VAR:KEY=HOVEXGNEXC&amp;VAR:QUERY=RkZfRU5UUlBSX1ZBTF9EQUlMWSg0MTE3OSwsLCwsJ0RJTCcp&amp;WINDOW=FIRST_POPUP&amp;HEIGHT=450&amp;WIDTH=","450&amp;START_MAXIMIZED=FALSE&amp;VAR:CALENDAR=US&amp;VAR:SYMBOL=FIRE&amp;VAR:INDEX=0"}</definedName>
    <definedName name="_119__FDSAUDITLINK__" hidden="1">{"fdsup://directions/FAT Viewer?action=UPDATE&amp;creator=factset&amp;DYN_ARGS=TRUE&amp;DOC_NAME=FAT:FQL_AUDITING_CLIENT_TEMPLATE.FAT&amp;display_string=Audit&amp;VAR:KEY=TEVAXCBUTQ&amp;VAR:QUERY=RkZfRU5UUlBSX1ZBTF9EQUlMWSg0MTE3OSwsLCwsJ0RJTCcp&amp;WINDOW=FIRST_POPUP&amp;HEIGHT=450&amp;WIDTH=","450&amp;START_MAXIMIZED=FALSE&amp;VAR:CALENDAR=US&amp;VAR:SYMBOL=QLIK&amp;VAR:INDEX=0"}</definedName>
    <definedName name="_12__FDSAUDITLINK__" hidden="1">{"fdsup://directions/FAT Viewer?action=UPDATE&amp;creator=factset&amp;DYN_ARGS=TRUE&amp;DOC_NAME=FAT:FQL_AUDITING_CLIENT_TEMPLATE.FAT&amp;display_string=Audit&amp;VAR:KEY=LOVSFSHCHE&amp;VAR:QUERY=Q1NGX05FVF9ERUJUKFFUUl9SLDAp&amp;WINDOW=FIRST_POPUP&amp;HEIGHT=450&amp;WIDTH=450&amp;START_MAXIMIZED=","FALSE&amp;VAR:CALENDAR=US&amp;VAR:SYMBOL=CHKP&amp;VAR:INDEX=0"}</definedName>
    <definedName name="_120__FDSAUDITLINK__" hidden="1">{"fdsup://directions/FAT Viewer?action=UPDATE&amp;creator=factset&amp;DYN_ARGS=TRUE&amp;DOC_NAME=FAT:FQL_AUDITING_CLIENT_TEMPLATE.FAT&amp;display_string=Audit&amp;VAR:KEY=NAHWLAJYJI&amp;VAR:QUERY=RkZfRU5UUlBSX1ZBTF9EQUlMWSg0MTE3OSwsLCwsJ0RJTCcp&amp;WINDOW=FIRST_POPUP&amp;HEIGHT=450&amp;WIDTH=","450&amp;START_MAXIMIZED=FALSE&amp;VAR:CALENDAR=US&amp;VAR:SYMBOL=INFA&amp;VAR:INDEX=0"}</definedName>
    <definedName name="_121__FDSAUDITLINK__" hidden="1">{"fdsup://directions/FAT Viewer?action=UPDATE&amp;creator=factset&amp;DYN_ARGS=TRUE&amp;DOC_NAME=FAT:FQL_AUDITING_CLIENT_TEMPLATE.FAT&amp;display_string=Audit&amp;VAR:KEY=ZOVUZKBUFS&amp;VAR:QUERY=RkZfRU5UUlBSX1ZBTF9EQUlMWSg0MTE3OSwsLCwsJ0RJTCcp&amp;WINDOW=FIRST_POPUP&amp;HEIGHT=450&amp;WIDTH=","450&amp;START_MAXIMIZED=FALSE&amp;VAR:CALENDAR=US&amp;VAR:SYMBOL=FTNT&amp;VAR:INDEX=0"}</definedName>
    <definedName name="_122__FDSAUDITLINK__" hidden="1">{"fdsup://directions/FAT Viewer?action=UPDATE&amp;creator=factset&amp;DYN_ARGS=TRUE&amp;DOC_NAME=FAT:FQL_AUDITING_CLIENT_TEMPLATE.FAT&amp;display_string=Audit&amp;VAR:KEY=YHKPKXALEL&amp;VAR:QUERY=RkZfRU5UUlBSX1ZBTF9EQUlMWSg0MTE3OSwsLCwsJ0RJTCcp&amp;WINDOW=FIRST_POPUP&amp;HEIGHT=450&amp;WIDTH=","450&amp;START_MAXIMIZED=FALSE&amp;VAR:CALENDAR=US&amp;VAR:SYMBOL=MKTG&amp;VAR:INDEX=0"}</definedName>
    <definedName name="_123__FDSAUDITLINK__" hidden="1">{"fdsup://directions/FAT Viewer?action=UPDATE&amp;creator=factset&amp;DYN_ARGS=TRUE&amp;DOC_NAME=FAT:FQL_AUDITING_CLIENT_TEMPLATE.FAT&amp;display_string=Audit&amp;VAR:KEY=AJCTOJUXCH&amp;VAR:QUERY=RkZfRU5UUlBSX1ZBTF9EQUlMWSg0MTE3OSwsLCwsJ0RJTCcp&amp;WINDOW=FIRST_POPUP&amp;HEIGHT=450&amp;WIDTH=","450&amp;START_MAXIMIZED=FALSE&amp;VAR:CALENDAR=US&amp;VAR:SYMBOL=RP&amp;VAR:INDEX=0"}</definedName>
    <definedName name="_123Grpah" hidden="1">#REF!</definedName>
    <definedName name="_124__FDSAUDITLINK__" hidden="1">{"fdsup://directions/FAT Viewer?action=UPDATE&amp;creator=factset&amp;DYN_ARGS=TRUE&amp;DOC_NAME=FAT:FQL_AUDITING_CLIENT_TEMPLATE.FAT&amp;display_string=Audit&amp;VAR:KEY=YHCVYVCDSJ&amp;VAR:QUERY=RkZfRU5UUlBSX1ZBTF9EQUlMWSg0MTE3OSwsLCwsJ0RJTCcp&amp;WINDOW=FIRST_POPUP&amp;HEIGHT=450&amp;WIDTH=","450&amp;START_MAXIMIZED=FALSE&amp;VAR:CALENDAR=US&amp;VAR:SYMBOL=CTCT&amp;VAR:INDEX=0"}</definedName>
    <definedName name="_125__FDSAUDITLINK__" hidden="1">{"fdsup://directions/FAT Viewer?action=UPDATE&amp;creator=factset&amp;DYN_ARGS=TRUE&amp;DOC_NAME=FAT:FQL_AUDITING_CLIENT_TEMPLATE.FAT&amp;display_string=Audit&amp;VAR:KEY=QJQHWRSTST&amp;VAR:QUERY=RkZfRU5UUlBSX1ZBTF9EQUlMWSg0MTE2NiwsLCwsJ0RJTCcp&amp;WINDOW=FIRST_POPUP&amp;HEIGHT=450&amp;WIDTH=","450&amp;START_MAXIMIZED=FALSE&amp;VAR:CALENDAR=US&amp;VAR:SYMBOL=TDC&amp;VAR:INDEX=0"}</definedName>
    <definedName name="_126__FDSAUDITLINK__" hidden="1">{"fdsup://directions/FAT Viewer?action=UPDATE&amp;creator=factset&amp;DYN_ARGS=TRUE&amp;DOC_NAME=FAT:FQL_AUDITING_CLIENT_TEMPLATE.FAT&amp;display_string=Audit&amp;VAR:KEY=NCNQTUBCFE&amp;VAR:QUERY=RkZfRU5UUlBSX1ZBTF9EQUlMWSg0MTE4MywsLCwsJ0RJTCcp&amp;WINDOW=FIRST_POPUP&amp;HEIGHT=450&amp;WIDTH=","450&amp;START_MAXIMIZED=FALSE&amp;VAR:CALENDAR=US&amp;VAR:SYMBOL=TDC&amp;VAR:INDEX=0"}</definedName>
    <definedName name="_13__FDSAUDITLINK__" hidden="1">{"fdsup://directions/FAT Viewer?action=UPDATE&amp;creator=factset&amp;DYN_ARGS=TRUE&amp;DOC_NAME=FAT:FQL_AUDITING_CLIENT_TEMPLATE.FAT&amp;display_string=Audit&amp;VAR:KEY=DSDIVMXAJA&amp;VAR:QUERY=Q1NGX05FVF9ERUJUKFFUUl9SLDAp&amp;WINDOW=FIRST_POPUP&amp;HEIGHT=450&amp;WIDTH=450&amp;START_MAXIMIZED=","FALSE&amp;VAR:CALENDAR=US&amp;VAR:SYMBOL=QLGC&amp;VAR:INDEX=0"}</definedName>
    <definedName name="_14__FDSAUDITLINK__" hidden="1">{"fdsup://directions/FAT Viewer?action=UPDATE&amp;creator=factset&amp;DYN_ARGS=TRUE&amp;DOC_NAME=FAT:FQL_AUDITING_CLIENT_TEMPLATE.FAT&amp;display_string=Audit&amp;VAR:KEY=CPCRGJOXSD&amp;VAR:QUERY=RkZfRU5UUlBSX1ZBTF9EQUlMWSg0MDk2MiwsLCwsJ0RJTCcp&amp;WINDOW=FIRST_POPUP&amp;HEIGHT=450&amp;WIDTH=","450&amp;START_MAXIMIZED=FALSE&amp;VAR:CALENDAR=US&amp;VAR:SYMBOL=FTNT&amp;VAR:INDEX=0"}</definedName>
    <definedName name="_143__FDSAUDITLINK__" hidden="1">{"fdsup://directions/FAT Viewer?action=UPDATE&amp;creator=factset&amp;DYN_ARGS=TRUE&amp;DOC_NAME=FAT:FQL_AUDITING_CLIENT_TEMPLATE.FAT&amp;display_string=Audit&amp;VAR:KEY=XSLSLWBOJC&amp;VAR:QUERY=RkZfRU5UUlBSX1ZBTF9EQUlMWSg0MTExMywsLCwsJ0RJTCcp&amp;WINDOW=FIRST_POPUP&amp;HEIGHT=450&amp;WIDTH=","450&amp;START_MAXIMIZED=FALSE&amp;VAR:CALENDAR=US&amp;VAR:SYMBOL=RP&amp;VAR:INDEX=0"}</definedName>
    <definedName name="_144__FDSAUDITLINK__" hidden="1">{"fdsup://directions/FAT Viewer?action=UPDATE&amp;creator=factset&amp;DYN_ARGS=TRUE&amp;DOC_NAME=FAT:FQL_AUDITING_CLIENT_TEMPLATE.FAT&amp;display_string=Audit&amp;VAR:KEY=VYFMNSZYFO&amp;VAR:QUERY=RkZfRU5UUlBSX1ZBTF9EQUlMWSg0MTExMywsLCwsJ0RJTCcp&amp;WINDOW=FIRST_POPUP&amp;HEIGHT=450&amp;WIDTH=","450&amp;START_MAXIMIZED=FALSE&amp;VAR:CALENDAR=US&amp;VAR:SYMBOL=CTCT&amp;VAR:INDEX=0"}</definedName>
    <definedName name="_145__FDSAUDITLINK__" hidden="1">{"fdsup://directions/FAT Viewer?action=UPDATE&amp;creator=factset&amp;DYN_ARGS=TRUE&amp;DOC_NAME=FAT:FQL_AUDITING_CLIENT_TEMPLATE.FAT&amp;display_string=Audit&amp;VAR:KEY=PCXEZALKHE&amp;VAR:QUERY=RkZfRU5UUlBSX1ZBTF9EQUlMWSg0MTA3NSwsLCwsJ0RJTCcp&amp;WINDOW=FIRST_POPUP&amp;HEIGHT=450&amp;WIDTH=","450&amp;START_MAXIMIZED=FALSE&amp;VAR:CALENDAR=US&amp;VAR:SYMBOL=TIBX&amp;VAR:INDEX=0"}</definedName>
    <definedName name="_146__FDSAUDITLINK__" hidden="1">{"fdsup://directions/FAT Viewer?action=UPDATE&amp;creator=factset&amp;DYN_ARGS=TRUE&amp;DOC_NAME=FAT:FQL_AUDITING_CLIENT_TEMPLATE.FAT&amp;display_string=Audit&amp;VAR:KEY=PAHAVQNANC&amp;VAR:QUERY=RkZfRU5UUlBSX1ZBTF9EQUlMWSg0MTA3NSwsLCwsJ0RJTCcp&amp;WINDOW=FIRST_POPUP&amp;HEIGHT=450&amp;WIDTH=","450&amp;START_MAXIMIZED=FALSE&amp;VAR:CALENDAR=US&amp;VAR:SYMBOL=SWI&amp;VAR:INDEX=0"}</definedName>
    <definedName name="_147__FDSAUDITLINK__" hidden="1">{"fdsup://directions/FAT Viewer?action=UPDATE&amp;creator=factset&amp;DYN_ARGS=TRUE&amp;DOC_NAME=FAT:FQL_AUDITING_CLIENT_TEMPLATE.FAT&amp;display_string=Audit&amp;VAR:KEY=LQFKLKNGVO&amp;VAR:QUERY=RkZfRU5UUlBSX1ZBTF9EQUlMWSg0MTA3NSwsLCwsJ0RJTCcp&amp;WINDOW=FIRST_POPUP&amp;HEIGHT=450&amp;WIDTH=","450&amp;START_MAXIMIZED=FALSE&amp;VAR:CALENDAR=US&amp;VAR:SYMBOL=FIRE&amp;VAR:INDEX=0"}</definedName>
    <definedName name="_148__FDSAUDITLINK__" hidden="1">{"fdsup://directions/FAT Viewer?action=UPDATE&amp;creator=factset&amp;DYN_ARGS=TRUE&amp;DOC_NAME=FAT:FQL_AUDITING_CLIENT_TEMPLATE.FAT&amp;display_string=Audit&amp;VAR:KEY=PWNQXEVCPC&amp;VAR:QUERY=RkZfRU5UUlBSX1ZBTF9EQUlMWSg0MTA3NSwsLCwsJ0RJTCcp&amp;WINDOW=FIRST_POPUP&amp;HEIGHT=450&amp;WIDTH=","450&amp;START_MAXIMIZED=FALSE&amp;VAR:CALENDAR=US&amp;VAR:SYMBOL=QLIK&amp;VAR:INDEX=0"}</definedName>
    <definedName name="_149__FDSAUDITLINK__" hidden="1">{"fdsup://directions/FAT Viewer?action=UPDATE&amp;creator=factset&amp;DYN_ARGS=TRUE&amp;DOC_NAME=FAT:FQL_AUDITING_CLIENT_TEMPLATE.FAT&amp;display_string=Audit&amp;VAR:KEY=XAXMTAVIHA&amp;VAR:QUERY=RkZfRU5UUlBSX1ZBTF9EQUlMWSg0MTA3NSwsLCwsJ0RJTCcp&amp;WINDOW=FIRST_POPUP&amp;HEIGHT=450&amp;WIDTH=","450&amp;START_MAXIMIZED=FALSE&amp;VAR:CALENDAR=US&amp;VAR:SYMBOL=INFA&amp;VAR:INDEX=0"}</definedName>
    <definedName name="_15__FDSAUDITLINK__" hidden="1">{"fdsup://directions/FAT Viewer?action=UPDATE&amp;creator=factset&amp;DYN_ARGS=TRUE&amp;DOC_NAME=FAT:FQL_AUDITING_CLIENT_TEMPLATE.FAT&amp;display_string=Audit&amp;VAR:KEY=CBMLEXOXAR&amp;VAR:QUERY=Q1NGX05FVF9ERUJUKFFUUl9SLDAp&amp;WINDOW=FIRST_POPUP&amp;HEIGHT=450&amp;WIDTH=450&amp;START_MAXIMIZED=","FALSE&amp;VAR:CALENDAR=US&amp;VAR:SYMBOL=628819&amp;VAR:INDEX=0"}</definedName>
    <definedName name="_150__FDSAUDITLINK__" hidden="1">{"fdsup://directions/FAT Viewer?action=UPDATE&amp;creator=factset&amp;DYN_ARGS=TRUE&amp;DOC_NAME=FAT:FQL_AUDITING_CLIENT_TEMPLATE.FAT&amp;display_string=Audit&amp;VAR:KEY=LCLYNQJUTY&amp;VAR:QUERY=RkZfRU5UUlBSX1ZBTF9EQUlMWSg0MTA3NSwsLCwsJ0RJTCcp&amp;WINDOW=FIRST_POPUP&amp;HEIGHT=450&amp;WIDTH=","450&amp;START_MAXIMIZED=FALSE&amp;VAR:CALENDAR=US&amp;VAR:SYMBOL=FTNT&amp;VAR:INDEX=0"}</definedName>
    <definedName name="_151__FDSAUDITLINK__" hidden="1">{"fdsup://directions/FAT Viewer?action=UPDATE&amp;creator=factset&amp;DYN_ARGS=TRUE&amp;DOC_NAME=FAT:FQL_AUDITING_CLIENT_TEMPLATE.FAT&amp;display_string=Audit&amp;VAR:KEY=TMTUNIXODY&amp;VAR:QUERY=RkZfRU5UUlBSX1ZBTF9EQUlMWSg0MTExMywsLCwsJ0RJTCcp&amp;WINDOW=FIRST_POPUP&amp;HEIGHT=450&amp;WIDTH=","450&amp;START_MAXIMIZED=FALSE&amp;VAR:CALENDAR=US&amp;VAR:SYMBOL=TIBX&amp;VAR:INDEX=0"}</definedName>
    <definedName name="_152__FDSAUDITLINK__" hidden="1">{"fdsup://directions/FAT Viewer?action=UPDATE&amp;creator=factset&amp;DYN_ARGS=TRUE&amp;DOC_NAME=FAT:FQL_AUDITING_CLIENT_TEMPLATE.FAT&amp;display_string=Audit&amp;VAR:KEY=LWTYHKVAZM&amp;VAR:QUERY=RkZfRU5UUlBSX1ZBTF9EQUlMWSg0MTExMywsLCwsJ0RJTCcp&amp;WINDOW=FIRST_POPUP&amp;HEIGHT=450&amp;WIDTH=","450&amp;START_MAXIMIZED=FALSE&amp;VAR:CALENDAR=US&amp;VAR:SYMBOL=FIRE&amp;VAR:INDEX=0"}</definedName>
    <definedName name="_153__FDSAUDITLINK__" hidden="1">{"fdsup://directions/FAT Viewer?action=UPDATE&amp;creator=factset&amp;DYN_ARGS=TRUE&amp;DOC_NAME=FAT:FQL_AUDITING_CLIENT_TEMPLATE.FAT&amp;display_string=Audit&amp;VAR:KEY=XCRWLUHIPO&amp;VAR:QUERY=RkZfRU5UUlBSX1ZBTF9EQUlMWSg0MTExMywsLCwsJ0RJTCcp&amp;WINDOW=FIRST_POPUP&amp;HEIGHT=450&amp;WIDTH=","450&amp;START_MAXIMIZED=FALSE&amp;VAR:CALENDAR=US&amp;VAR:SYMBOL=QLIK&amp;VAR:INDEX=0"}</definedName>
    <definedName name="_154__FDSAUDITLINK__" hidden="1">{"fdsup://directions/FAT Viewer?action=UPDATE&amp;creator=factset&amp;DYN_ARGS=TRUE&amp;DOC_NAME=FAT:FQL_AUDITING_CLIENT_TEMPLATE.FAT&amp;display_string=Audit&amp;VAR:KEY=ZIHSJUTGJO&amp;VAR:QUERY=RkZfRU5UUlBSX1ZBTF9EQUlMWSg0MTExMywsLCwsJ0RJTCcp&amp;WINDOW=FIRST_POPUP&amp;HEIGHT=450&amp;WIDTH=","450&amp;START_MAXIMIZED=FALSE&amp;VAR:CALENDAR=US&amp;VAR:SYMBOL=INFA&amp;VAR:INDEX=0"}</definedName>
    <definedName name="_155__FDSAUDITLINK__" hidden="1">{"fdsup://directions/FAT Viewer?action=UPDATE&amp;creator=factset&amp;DYN_ARGS=TRUE&amp;DOC_NAME=FAT:FQL_AUDITING_CLIENT_TEMPLATE.FAT&amp;display_string=Audit&amp;VAR:KEY=JGFCHWPIVO&amp;VAR:QUERY=RkZfRU5UUlBSX1ZBTF9EQUlMWSg0MTExMywsLCwsJ0RJTCcp&amp;WINDOW=FIRST_POPUP&amp;HEIGHT=450&amp;WIDTH=","450&amp;START_MAXIMIZED=FALSE&amp;VAR:CALENDAR=US&amp;VAR:SYMBOL=FTNT&amp;VAR:INDEX=0"}</definedName>
    <definedName name="_156__FDSAUDITLINK__" hidden="1">{"fdsup://directions/FAT Viewer?action=UPDATE&amp;creator=factset&amp;DYN_ARGS=TRUE&amp;DOC_NAME=FAT:FQL_AUDITING_CLIENT_TEMPLATE.FAT&amp;display_string=Audit&amp;VAR:KEY=BKZOLMPKNS&amp;VAR:QUERY=RkZfRU5UUlBSX1ZBTF9EQUlMWSg0MTA3NSwsLCwsJ0RJTCcp&amp;WINDOW=FIRST_POPUP&amp;HEIGHT=450&amp;WIDTH=","450&amp;START_MAXIMIZED=FALSE&amp;VAR:CALENDAR=US&amp;VAR:SYMBOL=CVLT&amp;VAR:INDEX=0"}</definedName>
    <definedName name="_16__FDSAUDITLINK__" hidden="1">{"fdsup://directions/FAT Viewer?action=UPDATE&amp;creator=factset&amp;DYN_ARGS=TRUE&amp;DOC_NAME=FAT:FQL_AUDITING_CLIENT_TEMPLATE.FAT&amp;display_string=Audit&amp;VAR:KEY=ANGVYPGNKB&amp;VAR:QUERY=Q1NGX05FVF9ERUJUKFFUUl9SLDAp&amp;WINDOW=FIRST_POPUP&amp;HEIGHT=450&amp;WIDTH=450&amp;START_MAXIMIZED=","FALSE&amp;VAR:CALENDAR=US&amp;VAR:SYMBOL=635652&amp;VAR:INDEX=0"}</definedName>
    <definedName name="_17__FDSAUDITLINK__" hidden="1">{"fdsup://directions/FAT Viewer?action=UPDATE&amp;creator=factset&amp;DYN_ARGS=TRUE&amp;DOC_NAME=FAT:FQL_AUDITING_CLIENT_TEMPLATE.FAT&amp;display_string=Audit&amp;VAR:KEY=EVUNSDYHUL&amp;VAR:QUERY=RkZfRU5UUlBSX1ZBTF9EQUlMWSg0MDk0MCwsLCwsJ0RJTCcp&amp;WINDOW=FIRST_POPUP&amp;HEIGHT=450&amp;WIDTH=","450&amp;START_MAXIMIZED=FALSE&amp;VAR:CALENDAR=US&amp;VAR:SYMBOL=SWI&amp;VAR:INDEX=0"}</definedName>
    <definedName name="_18__FDSAUDITLINK__" hidden="1">{"fdsup://directions/FAT Viewer?action=UPDATE&amp;creator=factset&amp;DYN_ARGS=TRUE&amp;DOC_NAME=FAT:FQL_AUDITING_CLIENT_TEMPLATE.FAT&amp;display_string=Audit&amp;VAR:KEY=OBIVMNGPEH&amp;VAR:QUERY=RkZfU0FMRVMoQ0FMLC0xQVkp&amp;WINDOW=FIRST_POPUP&amp;HEIGHT=450&amp;WIDTH=450&amp;START_MAXIMIZED=FALS","E&amp;VAR:CALENDAR=US&amp;VAR:SYMBOL=FTNT&amp;VAR:INDEX=0"}</definedName>
    <definedName name="_19__FDSAUDITLINK__" hidden="1">{"fdsup://Directions/FactSet Auditing Viewer?action=AUDIT_VALUE&amp;DB=129&amp;ID1=26054310&amp;VALUEID=18280&amp;SDATE=2011&amp;PERIODTYPE=ANNR_STD&amp;SCFT=3&amp;window=popup_no_bar&amp;width=385&amp;height=120&amp;START_MAXIMIZED=FALSE&amp;creator=factset&amp;display_string=Audit"}</definedName>
    <definedName name="_2__123Graph_AChart_2" hidden="1">#REF!</definedName>
    <definedName name="_2__FDSAUDITLINK__" hidden="1">{"fdsup://directions/FAT Viewer?action=UPDATE&amp;creator=factset&amp;DYN_ARGS=TRUE&amp;DOC_NAME=FAT:FQL_AUDITING_CLIENT_TEMPLATE.FAT&amp;display_string=Audit&amp;VAR:KEY=EDMTEDATEF&amp;VAR:QUERY=Q1NGX05FVF9ERUJUKFFUUl9SLDAp&amp;WINDOW=FIRST_POPUP&amp;HEIGHT=450&amp;WIDTH=450&amp;START_MAXIMIZED=","FALSE&amp;VAR:CALENDAR=US&amp;VAR:SYMBOL=B01VZN&amp;VAR:INDEX=0"}</definedName>
    <definedName name="_20__FDSAUDITLINK__" hidden="1">{"fdsup://Directions/FactSet Auditing Viewer?action=AUDIT_VALUE&amp;DB=129&amp;ID1=26054310&amp;VALUEID=02649&amp;SDATE=2011&amp;PERIODTYPE=ANNR_STD&amp;SCFT=3&amp;window=popup_no_bar&amp;width=385&amp;height=120&amp;START_MAXIMIZED=FALSE&amp;creator=factset&amp;display_string=Audit"}</definedName>
    <definedName name="_21__FDSAUDITLINK__" hidden="1">{"fdsup://Directions/FactSet Auditing Viewer?action=AUDIT_VALUE&amp;DB=129&amp;ID1=26054310&amp;VALUEID=18280&amp;SDATE=2010&amp;PERIODTYPE=ANNR_STD&amp;SCFT=3&amp;window=popup_no_bar&amp;width=385&amp;height=120&amp;START_MAXIMIZED=FALSE&amp;creator=factset&amp;display_string=Audit"}</definedName>
    <definedName name="_22__FDSAUDITLINK__" hidden="1">{"fdsup://Directions/FactSet Auditing Viewer?action=AUDIT_VALUE&amp;DB=129&amp;ID1=26054310&amp;VALUEID=02649&amp;SDATE=2010&amp;PERIODTYPE=ANNR_STD&amp;SCFT=3&amp;window=popup_no_bar&amp;width=385&amp;height=120&amp;START_MAXIMIZED=FALSE&amp;creator=factset&amp;display_string=Audit"}</definedName>
    <definedName name="_23__FDSAUDITLINK__" hidden="1">{"fdsup://Directions/FactSet Auditing Viewer?action=AUDIT_VALUE&amp;DB=129&amp;ID1=26054310&amp;VALUEID=18280&amp;SDATE=2009&amp;PERIODTYPE=ANNR_STD&amp;SCFT=3&amp;window=popup_no_bar&amp;width=385&amp;height=120&amp;START_MAXIMIZED=FALSE&amp;creator=factset&amp;display_string=Audit"}</definedName>
    <definedName name="_24__FDSAUDITLINK__" hidden="1">{"fdsup://Directions/FactSet Auditing Viewer?action=AUDIT_VALUE&amp;DB=129&amp;ID1=26054310&amp;VALUEID=02649&amp;SDATE=2009&amp;PERIODTYPE=ANNR_STD&amp;SCFT=3&amp;window=popup_no_bar&amp;width=385&amp;height=120&amp;START_MAXIMIZED=FALSE&amp;creator=factset&amp;display_string=Audit"}</definedName>
    <definedName name="_25__FDSAUDITLINK__" hidden="1">{"fdsup://Directions/FactSet Auditing Viewer?action=AUDIT_VALUE&amp;DB=129&amp;ID1=26054310&amp;VALUEID=18280&amp;SDATE=2008&amp;PERIODTYPE=ANNR_STD&amp;SCFT=3&amp;window=popup_no_bar&amp;width=385&amp;height=120&amp;START_MAXIMIZED=FALSE&amp;creator=factset&amp;display_string=Audit"}</definedName>
    <definedName name="_26__FDSAUDITLINK__" hidden="1">{"fdsup://Directions/FactSet Auditing Viewer?action=AUDIT_VALUE&amp;DB=129&amp;ID1=26054310&amp;VALUEID=02649&amp;SDATE=2008&amp;PERIODTYPE=ANNR_STD&amp;SCFT=3&amp;window=popup_no_bar&amp;width=385&amp;height=120&amp;START_MAXIMIZED=FALSE&amp;creator=factset&amp;display_string=Audit"}</definedName>
    <definedName name="_27__FDSAUDITLINK__" hidden="1">{"fdsup://Directions/FactSet Auditing Viewer?action=AUDIT_VALUE&amp;DB=129&amp;ID1=26054310&amp;VALUEID=18280&amp;SDATE=2007&amp;PERIODTYPE=ANNR_STD&amp;SCFT=3&amp;window=popup_no_bar&amp;width=385&amp;height=120&amp;START_MAXIMIZED=FALSE&amp;creator=factset&amp;display_string=Audit"}</definedName>
    <definedName name="_28__FDSAUDITLINK__" hidden="1">{"fdsup://Directions/FactSet Auditing Viewer?action=AUDIT_VALUE&amp;DB=129&amp;ID1=26054310&amp;VALUEID=02649&amp;SDATE=2007&amp;PERIODTYPE=ANNR_STD&amp;SCFT=3&amp;window=popup_no_bar&amp;width=385&amp;height=120&amp;START_MAXIMIZED=FALSE&amp;creator=factset&amp;display_string=Audit"}</definedName>
    <definedName name="_29__FDSAUDITLINK__" hidden="1">{"fdsup://Directions/FactSet Auditing Viewer?action=AUDIT_VALUE&amp;DB=129&amp;ID1=26054310&amp;VALUEID=18280&amp;SDATE=2006&amp;PERIODTYPE=ANNR_STD&amp;SCFT=3&amp;window=popup_no_bar&amp;width=385&amp;height=120&amp;START_MAXIMIZED=FALSE&amp;creator=factset&amp;display_string=Audit"}</definedName>
    <definedName name="_3__123Graph_AChart_3" hidden="1">#REF!</definedName>
    <definedName name="_3__FDSAUDITLINK__" hidden="1">{"fdsup://directions/FAT Viewer?action=UPDATE&amp;creator=factset&amp;DYN_ARGS=TRUE&amp;DOC_NAME=FAT:FQL_AUDITING_CLIENT_TEMPLATE.FAT&amp;display_string=Audit&amp;VAR:KEY=YXCNYFMLYH&amp;VAR:QUERY=Q1NGX05FVF9ERUJUKFFUUl9SLDAp&amp;WINDOW=FIRST_POPUP&amp;HEIGHT=450&amp;WIDTH=450&amp;START_MAXIMIZED=","FALSE&amp;VAR:CALENDAR=US&amp;VAR:SYMBOL=647098&amp;VAR:INDEX=0"}</definedName>
    <definedName name="_30__FDSAUDITLINK__" hidden="1">{"fdsup://Directions/FactSet Auditing Viewer?action=AUDIT_VALUE&amp;DB=129&amp;ID1=26054310&amp;VALUEID=02649&amp;SDATE=2006&amp;PERIODTYPE=ANNR_STD&amp;SCFT=3&amp;window=popup_no_bar&amp;width=385&amp;height=120&amp;START_MAXIMIZED=FALSE&amp;creator=factset&amp;display_string=Audit"}</definedName>
    <definedName name="_31__FDSAUDITLINK__" hidden="1">{"fdsup://Directions/FactSet Auditing Viewer?action=AUDIT_VALUE&amp;DB=129&amp;ID1=26054310&amp;VALUEID=18280&amp;SDATE=2005&amp;PERIODTYPE=ANNR_STD&amp;SCFT=3&amp;window=popup_no_bar&amp;width=385&amp;height=120&amp;START_MAXIMIZED=FALSE&amp;creator=factset&amp;display_string=Audit"}</definedName>
    <definedName name="_32__FDSAUDITLINK__" hidden="1">{"fdsup://Directions/FactSet Auditing Viewer?action=AUDIT_VALUE&amp;DB=129&amp;ID1=26054310&amp;VALUEID=02649&amp;SDATE=2005&amp;PERIODTYPE=ANNR_STD&amp;SCFT=3&amp;window=popup_no_bar&amp;width=385&amp;height=120&amp;START_MAXIMIZED=FALSE&amp;creator=factset&amp;display_string=Audit"}</definedName>
    <definedName name="_33__FDSAUDITLINK__" hidden="1">{"fdsup://Directions/FactSet Auditing Viewer?action=AUDIT_VALUE&amp;DB=129&amp;ID1=26054310&amp;VALUEID=18280&amp;SDATE=2004&amp;PERIODTYPE=ANNR_STD&amp;SCFT=3&amp;window=popup_no_bar&amp;width=385&amp;height=120&amp;START_MAXIMIZED=FALSE&amp;creator=factset&amp;display_string=Audit"}</definedName>
    <definedName name="_34__FDSAUDITLINK__" hidden="1">{"fdsup://Directions/FactSet Auditing Viewer?action=AUDIT_VALUE&amp;DB=129&amp;ID1=26054310&amp;VALUEID=02649&amp;SDATE=2004&amp;PERIODTYPE=ANNR_STD&amp;SCFT=3&amp;window=popup_no_bar&amp;width=385&amp;height=120&amp;START_MAXIMIZED=FALSE&amp;creator=factset&amp;display_string=Audit"}</definedName>
    <definedName name="_35__FDSAUDITLINK__" hidden="1">{"fdsup://Directions/FactSet Auditing Viewer?action=AUDIT_VALUE&amp;DB=129&amp;ID1=26054310&amp;VALUEID=02649&amp;SDATE=2011&amp;PERIODTYPE=ANNR_STD&amp;SCFT=3&amp;window=popup_no_bar&amp;width=385&amp;height=120&amp;START_MAXIMIZED=FALSE&amp;creator=factset&amp;display_string=Audit"}</definedName>
    <definedName name="_36__FDSAUDITLINK__" hidden="1">{"fdsup://Directions/FactSet Auditing Viewer?action=AUDIT_VALUE&amp;DB=129&amp;ID1=26054310&amp;VALUEID=18280&amp;SDATE=2010&amp;PERIODTYPE=ANNR_STD&amp;SCFT=3&amp;window=popup_no_bar&amp;width=385&amp;height=120&amp;START_MAXIMIZED=FALSE&amp;creator=factset&amp;display_string=Audit"}</definedName>
    <definedName name="_37__FDSAUDITLINK__" hidden="1">{"fdsup://Directions/FactSet Auditing Viewer?action=AUDIT_VALUE&amp;DB=129&amp;ID1=26054310&amp;VALUEID=02649&amp;SDATE=2010&amp;PERIODTYPE=ANNR_STD&amp;SCFT=3&amp;window=popup_no_bar&amp;width=385&amp;height=120&amp;START_MAXIMIZED=FALSE&amp;creator=factset&amp;display_string=Audit"}</definedName>
    <definedName name="_38__FDSAUDITLINK__" hidden="1">{"fdsup://Directions/FactSet Auditing Viewer?action=AUDIT_VALUE&amp;DB=129&amp;ID1=26054310&amp;VALUEID=18280&amp;SDATE=2009&amp;PERIODTYPE=ANNR_STD&amp;SCFT=3&amp;window=popup_no_bar&amp;width=385&amp;height=120&amp;START_MAXIMIZED=FALSE&amp;creator=factset&amp;display_string=Audit"}</definedName>
    <definedName name="_39__FDSAUDITLINK__" hidden="1">{"fdsup://Directions/FactSet Auditing Viewer?action=AUDIT_VALUE&amp;DB=129&amp;ID1=26054310&amp;VALUEID=02649&amp;SDATE=2009&amp;PERIODTYPE=ANNR_STD&amp;SCFT=3&amp;window=popup_no_bar&amp;width=385&amp;height=120&amp;START_MAXIMIZED=FALSE&amp;creator=factset&amp;display_string=Audit"}</definedName>
    <definedName name="_4__123Graph_AChart_4" hidden="1">#REF!</definedName>
    <definedName name="_4__FDSAUDITLINK__" hidden="1">{"fdsup://directions/FAT Viewer?action=UPDATE&amp;creator=factset&amp;DYN_ARGS=TRUE&amp;DOC_NAME=FAT:FQL_AUDITING_CLIENT_TEMPLATE.FAT&amp;display_string=Audit&amp;VAR:KEY=ETGFOJKTID&amp;VAR:QUERY=RkZfRU5UUlBSX1ZBTF9EQUlMWSg0MTE4NSwsLCwsJ0RJTCcp&amp;WINDOW=FIRST_POPUP&amp;HEIGHT=450&amp;WIDTH=","450&amp;START_MAXIMIZED=FALSE&amp;VAR:CALENDAR=US&amp;VAR:SYMBOL=INFA&amp;VAR:INDEX=0"}</definedName>
    <definedName name="_40__FDSAUDITLINK__" hidden="1">{"fdsup://Directions/FactSet Auditing Viewer?action=AUDIT_VALUE&amp;DB=129&amp;ID1=26054310&amp;VALUEID=18280&amp;SDATE=2008&amp;PERIODTYPE=ANNR_STD&amp;SCFT=3&amp;window=popup_no_bar&amp;width=385&amp;height=120&amp;START_MAXIMIZED=FALSE&amp;creator=factset&amp;display_string=Audit"}</definedName>
    <definedName name="_41__FDSAUDITLINK__" hidden="1">{"fdsup://Directions/FactSet Auditing Viewer?action=AUDIT_VALUE&amp;DB=129&amp;ID1=26054310&amp;VALUEID=02649&amp;SDATE=2008&amp;PERIODTYPE=ANNR_STD&amp;SCFT=3&amp;window=popup_no_bar&amp;width=385&amp;height=120&amp;START_MAXIMIZED=FALSE&amp;creator=factset&amp;display_string=Audit"}</definedName>
    <definedName name="_42__FDSAUDITLINK__" hidden="1">{"fdsup://Directions/FactSet Auditing Viewer?action=AUDIT_VALUE&amp;DB=129&amp;ID1=26054310&amp;VALUEID=18280&amp;SDATE=2007&amp;PERIODTYPE=ANNR_STD&amp;SCFT=3&amp;window=popup_no_bar&amp;width=385&amp;height=120&amp;START_MAXIMIZED=FALSE&amp;creator=factset&amp;display_string=Audit"}</definedName>
    <definedName name="_43__FDSAUDITLINK__" hidden="1">{"fdsup://Directions/FactSet Auditing Viewer?action=AUDIT_VALUE&amp;DB=129&amp;ID1=26054310&amp;VALUEID=02649&amp;SDATE=2007&amp;PERIODTYPE=ANNR_STD&amp;SCFT=3&amp;window=popup_no_bar&amp;width=385&amp;height=120&amp;START_MAXIMIZED=FALSE&amp;creator=factset&amp;display_string=Audit"}</definedName>
    <definedName name="_44__FDSAUDITLINK__" hidden="1">{"fdsup://Directions/FactSet Auditing Viewer?action=AUDIT_VALUE&amp;DB=129&amp;ID1=26054310&amp;VALUEID=18280&amp;SDATE=2006&amp;PERIODTYPE=ANNR_STD&amp;SCFT=3&amp;window=popup_no_bar&amp;width=385&amp;height=120&amp;START_MAXIMIZED=FALSE&amp;creator=factset&amp;display_string=Audit"}</definedName>
    <definedName name="_45__FDSAUDITLINK__" hidden="1">{"fdsup://Directions/FactSet Auditing Viewer?action=AUDIT_VALUE&amp;DB=129&amp;ID1=26054310&amp;VALUEID=02649&amp;SDATE=2006&amp;PERIODTYPE=ANNR_STD&amp;SCFT=3&amp;window=popup_no_bar&amp;width=385&amp;height=120&amp;START_MAXIMIZED=FALSE&amp;creator=factset&amp;display_string=Audit"}</definedName>
    <definedName name="_46__FDSAUDITLINK__" hidden="1">{"fdsup://Directions/FactSet Auditing Viewer?action=AUDIT_VALUE&amp;DB=129&amp;ID1=26054310&amp;VALUEID=18280&amp;SDATE=2005&amp;PERIODTYPE=ANNR_STD&amp;SCFT=3&amp;window=popup_no_bar&amp;width=385&amp;height=120&amp;START_MAXIMIZED=FALSE&amp;creator=factset&amp;display_string=Audit"}</definedName>
    <definedName name="_47__FDSAUDITLINK__" hidden="1">{"fdsup://Directions/FactSet Auditing Viewer?action=AUDIT_VALUE&amp;DB=129&amp;ID1=26054310&amp;VALUEID=02649&amp;SDATE=2005&amp;PERIODTYPE=ANNR_STD&amp;SCFT=3&amp;window=popup_no_bar&amp;width=385&amp;height=120&amp;START_MAXIMIZED=FALSE&amp;creator=factset&amp;display_string=Audit"}</definedName>
    <definedName name="_48__FDSAUDITLINK__" hidden="1">{"fdsup://Directions/FactSet Auditing Viewer?action=AUDIT_VALUE&amp;DB=129&amp;ID1=26054310&amp;VALUEID=18280&amp;SDATE=2004&amp;PERIODTYPE=ANNR_STD&amp;SCFT=3&amp;window=popup_no_bar&amp;width=385&amp;height=120&amp;START_MAXIMIZED=FALSE&amp;creator=factset&amp;display_string=Audit"}</definedName>
    <definedName name="_49__FDSAUDITLINK__" hidden="1">{"fdsup://Directions/FactSet Auditing Viewer?action=AUDIT_VALUE&amp;DB=129&amp;ID1=26054310&amp;VALUEID=02649&amp;SDATE=2004&amp;PERIODTYPE=ANNR_STD&amp;SCFT=3&amp;window=popup_no_bar&amp;width=385&amp;height=120&amp;START_MAXIMIZED=FALSE&amp;creator=factset&amp;display_string=Audit"}</definedName>
    <definedName name="_5__123Graph_BChart_3" hidden="1">#REF!</definedName>
    <definedName name="_5__FDSAUDITLINK__" hidden="1">{"fdsup://directions/FAT Viewer?action=UPDATE&amp;creator=factset&amp;DYN_ARGS=TRUE&amp;DOC_NAME=FAT:FQL_AUDITING_CLIENT_TEMPLATE.FAT&amp;display_string=Audit&amp;VAR:KEY=QPAHQLIHAH&amp;VAR:QUERY=Q1NGX05FVF9ERUJUKFFUUl9SLDAp&amp;WINDOW=FIRST_POPUP&amp;HEIGHT=450&amp;WIDTH=450&amp;START_MAXIMIZED=","FALSE&amp;VAR:CALENDAR=US&amp;VAR:SYMBOL=ERIC&amp;VAR:INDEX=0"}</definedName>
    <definedName name="_50__FDSAUDITLINK__" hidden="1">{"fdsup://directions/FAT Viewer?action=UPDATE&amp;creator=factset&amp;DYN_ARGS=TRUE&amp;DOC_NAME=FAT:FQL_AUDITING_CLIENT_TEMPLATE.FAT&amp;display_string=Audit&amp;VAR:KEY=ZCLCRSDAPS&amp;VAR:QUERY=RkZfRlJFRV9QU19DRihDQUwsLTFBWSk=&amp;WINDOW=FIRST_POPUP&amp;HEIGHT=450&amp;WIDTH=450&amp;START_MAXIMI","ZED=FALSE&amp;VAR:CALENDAR=US&amp;VAR:SYMBOL=INFA&amp;VAR:INDEX=0"}</definedName>
    <definedName name="_51__FDSAUDITLINK__" hidden="1">{"fdsup://directions/FAT Viewer?action=UPDATE&amp;creator=factset&amp;DYN_ARGS=TRUE&amp;DOC_NAME=FAT:FQL_AUDITING_CLIENT_TEMPLATE.FAT&amp;display_string=Audit&amp;VAR:KEY=BYLCVWFIZG&amp;VAR:QUERY=RkZfRlJFRV9QU19DRihDQUwsLTFBWSk=&amp;WINDOW=FIRST_POPUP&amp;HEIGHT=450&amp;WIDTH=450&amp;START_MAXIMI","ZED=FALSE&amp;VAR:CALENDAR=US&amp;VAR:SYMBOL=FTNT&amp;VAR:INDEX=0"}</definedName>
    <definedName name="_52__FDSAUDITLINK__" hidden="1">{"fdsup://directions/FAT Viewer?action=UPDATE&amp;creator=factset&amp;DYN_ARGS=TRUE&amp;DOC_NAME=FAT:FQL_AUDITING_CLIENT_TEMPLATE.FAT&amp;display_string=Audit&amp;VAR:KEY=LGBONQTIVU&amp;VAR:QUERY=Q1NGX05FVF9ERUJUKFFUUl9SLDAp&amp;WINDOW=FIRST_POPUP&amp;HEIGHT=450&amp;WIDTH=450&amp;START_MAXIMIZED=","FALSE&amp;VAR:CALENDAR=US&amp;VAR:SYMBOL=3481.TW&amp;VAR:INDEX=0"}</definedName>
    <definedName name="_53__FDSAUDITLINK__" hidden="1">{"fdsup://directions/FAT Viewer?action=UPDATE&amp;creator=factset&amp;DYN_ARGS=TRUE&amp;DOC_NAME=FAT:FQL_AUDITING_CLIENT_TEMPLATE.FAT&amp;display_string=Audit&amp;VAR:KEY=NYFUPABONW&amp;VAR:QUERY=Q1NGX05FVF9ERUJUKFFUUl9SLDAp&amp;WINDOW=FIRST_POPUP&amp;HEIGHT=450&amp;WIDTH=450&amp;START_MAXIMIZED=","FALSE&amp;VAR:CALENDAR=US&amp;VAR:SYMBOL=4901.T&amp;VAR:INDEX=0"}</definedName>
    <definedName name="_54__FDSAUDITLINK__" hidden="1">{"fdsup://directions/FAT Viewer?action=UPDATE&amp;creator=factset&amp;DYN_ARGS=TRUE&amp;DOC_NAME=FAT:FQL_AUDITING_CLIENT_TEMPLATE.FAT&amp;display_string=Audit&amp;VAR:KEY=KDCPCRGJOX&amp;VAR:QUERY=RkZfRU5UUlBSX1ZBTF9EQUlMWSg0MTAxMSwsLCwsJ0RJTCcp&amp;WINDOW=FIRST_POPUP&amp;HEIGHT=450&amp;WIDTH=","450&amp;START_MAXIMIZED=FALSE&amp;VAR:CALENDAR=US&amp;VAR:SYMBOL=FTNT&amp;VAR:INDEX=0"}</definedName>
    <definedName name="_55__FDSAUDITLINK__" hidden="1">{"fdsup://directions/FAT Viewer?action=UPDATE&amp;creator=factset&amp;DYN_ARGS=TRUE&amp;DOC_NAME=FAT:FQL_AUDITING_CLIENT_TEMPLATE.FAT&amp;display_string=Audit&amp;VAR:KEY=AZYZAZOHSN&amp;VAR:QUERY=RkZfRU5UUlBSX1ZBTF9EQUlMWSg0MTAxMSwsLCwsJ0RJTCcp&amp;WINDOW=FIRST_POPUP&amp;HEIGHT=450&amp;WIDTH=","450&amp;START_MAXIMIZED=FALSE&amp;VAR:CALENDAR=US&amp;VAR:SYMBOL=CVLT&amp;VAR:INDEX=0"}</definedName>
    <definedName name="_56__FDSAUDITLINK__" hidden="1">{"fdsup://directions/FAT Viewer?action=UPDATE&amp;creator=factset&amp;DYN_ARGS=TRUE&amp;DOC_NAME=FAT:FQL_AUDITING_CLIENT_TEMPLATE.FAT&amp;display_string=Audit&amp;VAR:KEY=ZKHAJAZEZS&amp;VAR:QUERY=RkZfRlJFRV9QU19DRihDQUwsLTFBWSk=&amp;WINDOW=FIRST_POPUP&amp;HEIGHT=450&amp;WIDTH=450&amp;START_MAXIMI","ZED=FALSE&amp;VAR:CALENDAR=US&amp;VAR:SYMBOL=TIBX&amp;VAR:INDEX=0"}</definedName>
    <definedName name="_57__FDSAUDITLINK__" hidden="1">{"fdsup://directions/FAT Viewer?action=UPDATE&amp;creator=factset&amp;DYN_ARGS=TRUE&amp;DOC_NAME=FAT:FQL_AUDITING_CLIENT_TEMPLATE.FAT&amp;display_string=Audit&amp;VAR:KEY=HMHKPKJGBK&amp;VAR:QUERY=RkZfRlJFRV9QU19DRihDQUwsLTFBWSk=&amp;WINDOW=FIRST_POPUP&amp;HEIGHT=450&amp;WIDTH=450&amp;START_MAXIMI","ZED=FALSE&amp;VAR:CALENDAR=US&amp;VAR:SYMBOL=SWI&amp;VAR:INDEX=0"}</definedName>
    <definedName name="_58__FDSAUDITLINK__" hidden="1">{"fdsup://directions/FAT Viewer?action=UPDATE&amp;creator=factset&amp;DYN_ARGS=TRUE&amp;DOC_NAME=FAT:FQL_AUDITING_CLIENT_TEMPLATE.FAT&amp;display_string=Audit&amp;VAR:KEY=PUHOXEXUXA&amp;VAR:QUERY=RkZfRlJFRV9QU19DRihDQUwsLTFBWSk=&amp;WINDOW=FIRST_POPUP&amp;HEIGHT=450&amp;WIDTH=450&amp;START_MAXIMI","ZED=FALSE&amp;VAR:CALENDAR=US&amp;VAR:SYMBOL=FIRE&amp;VAR:INDEX=0"}</definedName>
    <definedName name="_59__FDSAUDITLINK__" hidden="1">{"fdsup://directions/FAT Viewer?action=UPDATE&amp;creator=factset&amp;DYN_ARGS=TRUE&amp;DOC_NAME=FAT:FQL_AUDITING_CLIENT_TEMPLATE.FAT&amp;display_string=Audit&amp;VAR:KEY=LGPITOTUFU&amp;VAR:QUERY=RkZfRVBTKENBTCwtMUFZKQ==&amp;WINDOW=FIRST_POPUP&amp;HEIGHT=450&amp;WIDTH=450&amp;START_MAXIMIZED=FALS","E&amp;VAR:CALENDAR=US&amp;VAR:SYMBOL=TIBX&amp;VAR:INDEX=0"}</definedName>
    <definedName name="_6__123Graph_BChart_4" hidden="1">#REF!</definedName>
    <definedName name="_6__FDSAUDITLINK__" hidden="1">{"fdsup://directions/FAT Viewer?action=UPDATE&amp;creator=factset&amp;DYN_ARGS=TRUE&amp;DOC_NAME=FAT:FQL_AUDITING_CLIENT_TEMPLATE.FAT&amp;display_string=Audit&amp;VAR:KEY=GDGNUBMXEL&amp;VAR:QUERY=Q1NGX05FVF9ERUJUKFFUUl9SLDAp&amp;WINDOW=FIRST_POPUP&amp;HEIGHT=450&amp;WIDTH=450&amp;START_MAXIMIZED=","FALSE&amp;VAR:CALENDAR=US&amp;VAR:SYMBOL=NOK&amp;VAR:INDEX=0"}</definedName>
    <definedName name="_60__FDSAUDITLINK__" hidden="1">{"fdsup://directions/FAT Viewer?action=UPDATE&amp;creator=factset&amp;DYN_ARGS=TRUE&amp;DOC_NAME=FAT:FQL_AUDITING_CLIENT_TEMPLATE.FAT&amp;display_string=Audit&amp;VAR:KEY=TSHADCJKTW&amp;VAR:QUERY=RkZfRVBTKENBTCwtMUFZKQ==&amp;WINDOW=FIRST_POPUP&amp;HEIGHT=450&amp;WIDTH=450&amp;START_MAXIMIZED=FALS","E&amp;VAR:CALENDAR=US&amp;VAR:SYMBOL=CVLT&amp;VAR:INDEX=0"}</definedName>
    <definedName name="_61__FDSAUDITLINK__" hidden="1">{"fdsup://directions/FAT Viewer?action=UPDATE&amp;creator=factset&amp;DYN_ARGS=TRUE&amp;DOC_NAME=FAT:FQL_AUDITING_CLIENT_TEMPLATE.FAT&amp;display_string=Audit&amp;VAR:KEY=BMVGTUBOPM&amp;VAR:QUERY=RkZfU0FMRVMoQ0FMLC0xQVkp&amp;WINDOW=FIRST_POPUP&amp;HEIGHT=450&amp;WIDTH=450&amp;START_MAXIMIZED=FALS","E&amp;VAR:CALENDAR=US&amp;VAR:SYMBOL=TIBX&amp;VAR:INDEX=0"}</definedName>
    <definedName name="_62__FDSAUDITLINK__" hidden="1">{"fdsup://directions/FAT Viewer?action=UPDATE&amp;creator=factset&amp;DYN_ARGS=TRUE&amp;DOC_NAME=FAT:FQL_AUDITING_CLIENT_TEMPLATE.FAT&amp;display_string=Audit&amp;VAR:KEY=HEVEDULSDG&amp;VAR:QUERY=RkZfU0FMRVMoQ0FMLC0xQVkp&amp;WINDOW=FIRST_POPUP&amp;HEIGHT=450&amp;WIDTH=450&amp;START_MAXIMIZED=FALS","E&amp;VAR:CALENDAR=US&amp;VAR:SYMBOL=SWI&amp;VAR:INDEX=0"}</definedName>
    <definedName name="_63__FDSAUDITLINK__" hidden="1">{"fdsup://directions/FAT Viewer?action=UPDATE&amp;creator=factset&amp;DYN_ARGS=TRUE&amp;DOC_NAME=FAT:FQL_AUDITING_CLIENT_TEMPLATE.FAT&amp;display_string=Audit&amp;VAR:KEY=DCLKVIRWJQ&amp;VAR:QUERY=RkZfU0FMRVMoQ0FMLC0xQVkp&amp;WINDOW=FIRST_POPUP&amp;HEIGHT=450&amp;WIDTH=450&amp;START_MAXIMIZED=FALS","E&amp;VAR:CALENDAR=US&amp;VAR:SYMBOL=FIRE&amp;VAR:INDEX=0"}</definedName>
    <definedName name="_64__FDSAUDITLINK__" hidden="1">{"fdsup://directions/FAT Viewer?action=UPDATE&amp;creator=factset&amp;DYN_ARGS=TRUE&amp;DOC_NAME=FAT:FQL_AUDITING_CLIENT_TEMPLATE.FAT&amp;display_string=Audit&amp;VAR:KEY=XGRYZEDYLE&amp;VAR:QUERY=RkZfU0FMRVMoQ0FMLC0xQVkp&amp;WINDOW=FIRST_POPUP&amp;HEIGHT=450&amp;WIDTH=450&amp;START_MAXIMIZED=FALS","E&amp;VAR:CALENDAR=US&amp;VAR:SYMBOL=QLIK&amp;VAR:INDEX=0"}</definedName>
    <definedName name="_65__FDSAUDITLINK__" hidden="1">{"fdsup://directions/FAT Viewer?action=UPDATE&amp;creator=factset&amp;DYN_ARGS=TRUE&amp;DOC_NAME=FAT:FQL_AUDITING_CLIENT_TEMPLATE.FAT&amp;display_string=Audit&amp;VAR:KEY=LEVOTQPYDA&amp;VAR:QUERY=RkZfU0FMRVMoQ0FMLC0xQVkp&amp;WINDOW=FIRST_POPUP&amp;HEIGHT=450&amp;WIDTH=450&amp;START_MAXIMIZED=FALS","E&amp;VAR:CALENDAR=US&amp;VAR:SYMBOL=IMPV&amp;VAR:INDEX=0"}</definedName>
    <definedName name="_66__FDSAUDITLINK__" hidden="1">{"fdsup://directions/FAT Viewer?action=UPDATE&amp;creator=factset&amp;DYN_ARGS=TRUE&amp;DOC_NAME=FAT:FQL_AUDITING_CLIENT_TEMPLATE.FAT&amp;display_string=Audit&amp;VAR:KEY=PAFIBALQZA&amp;VAR:QUERY=RkZfU0FMRVMoQ0FMLC0xQVkp&amp;WINDOW=FIRST_POPUP&amp;HEIGHT=450&amp;WIDTH=450&amp;START_MAXIMIZED=FALS","E&amp;VAR:CALENDAR=US&amp;VAR:SYMBOL=INFA&amp;VAR:INDEX=0"}</definedName>
    <definedName name="_67__FDSAUDITLINK__" hidden="1">{"fdsup://directions/FAT Viewer?action=UPDATE&amp;creator=factset&amp;DYN_ARGS=TRUE&amp;DOC_NAME=FAT:FQL_AUDITING_CLIENT_TEMPLATE.FAT&amp;display_string=Audit&amp;VAR:KEY=XAHMVCTGTQ&amp;VAR:QUERY=RkZfU0FMRVMoQ0FMLC0xQVkp&amp;WINDOW=FIRST_POPUP&amp;HEIGHT=450&amp;WIDTH=450&amp;START_MAXIMIZED=FALS","E&amp;VAR:CALENDAR=US&amp;VAR:SYMBOL=FTNT&amp;VAR:INDEX=0"}</definedName>
    <definedName name="_68__FDSAUDITLINK__" hidden="1">{"fdsup://directions/FAT Viewer?action=UPDATE&amp;creator=factset&amp;DYN_ARGS=TRUE&amp;DOC_NAME=FAT:FQL_AUDITING_CLIENT_TEMPLATE.FAT&amp;display_string=Audit&amp;VAR:KEY=RILIHCPQRM&amp;VAR:QUERY=RkZfU0FMRVMoQ0FMLC0xQVkp&amp;WINDOW=FIRST_POPUP&amp;HEIGHT=450&amp;WIDTH=450&amp;START_MAXIMIZED=FALS","E&amp;VAR:CALENDAR=US&amp;VAR:SYMBOL=CVLT&amp;VAR:INDEX=0"}</definedName>
    <definedName name="_69__FDSAUDITLINK__" hidden="1">{"fdsup://directions/FAT Viewer?action=UPDATE&amp;creator=factset&amp;DYN_ARGS=TRUE&amp;DOC_NAME=FAT:FQL_AUDITING_CLIENT_TEMPLATE.FAT&amp;display_string=Audit&amp;VAR:KEY=BUDULKHKPS&amp;VAR:QUERY=RkZfRU5UUlBSX1ZBTF9EQUlMWSg0MTA0NiwsLCwsJ0RJTCcp&amp;WINDOW=FIRST_POPUP&amp;HEIGHT=450&amp;WIDTH=","450&amp;START_MAXIMIZED=FALSE&amp;VAR:CALENDAR=US&amp;VAR:SYMBOL=SWI&amp;VAR:INDEX=0"}</definedName>
    <definedName name="_7__123Graph_XChart_2" hidden="1">#REF!</definedName>
    <definedName name="_7__FDSAUDITLINK__" hidden="1">{"fdsup://directions/FAT Viewer?action=UPDATE&amp;creator=factset&amp;DYN_ARGS=TRUE&amp;DOC_NAME=FAT:FQL_AUDITING_CLIENT_TEMPLATE.FAT&amp;display_string=Audit&amp;VAR:KEY=ODARMTEPSH&amp;VAR:QUERY=Q1NGX05FVF9ERUJUKFFUUl9SLDAp&amp;WINDOW=FIRST_POPUP&amp;HEIGHT=450&amp;WIDTH=450&amp;START_MAXIMIZED=","FALSE&amp;VAR:CALENDAR=US&amp;VAR:SYMBOL=IBM&amp;VAR:INDEX=0"}</definedName>
    <definedName name="_70__FDSAUDITLINK__" hidden="1">{"fdsup://directions/FAT Viewer?action=UPDATE&amp;creator=factset&amp;DYN_ARGS=TRUE&amp;DOC_NAME=FAT:FQL_AUDITING_CLIENT_TEMPLATE.FAT&amp;display_string=Audit&amp;VAR:KEY=FMZGJSZMDQ&amp;VAR:QUERY=RkZfRU5UUlBSX1ZBTF9EQUlMWSg0MTA0NiwsLCwsJ0RJTCcp&amp;WINDOW=FIRST_POPUP&amp;HEIGHT=450&amp;WIDTH=","450&amp;START_MAXIMIZED=FALSE&amp;VAR:CALENDAR=US&amp;VAR:SYMBOL=FIRE&amp;VAR:INDEX=0"}</definedName>
    <definedName name="_71__FDSAUDITLINK__" hidden="1">{"fdsup://directions/FAT Viewer?action=UPDATE&amp;creator=factset&amp;DYN_ARGS=TRUE&amp;DOC_NAME=FAT:FQL_AUDITING_CLIENT_TEMPLATE.FAT&amp;display_string=Audit&amp;VAR:KEY=FOPANATYNY&amp;VAR:QUERY=RkZfRU5UUlBSX1ZBTF9EQUlMWSg0MTA0NiwsLCwsJ0RJTCcp&amp;WINDOW=FIRST_POPUP&amp;HEIGHT=450&amp;WIDTH=","450&amp;START_MAXIMIZED=FALSE&amp;VAR:CALENDAR=US&amp;VAR:SYMBOL=TMICY&amp;VAR:INDEX=0"}</definedName>
    <definedName name="_72__FDSAUDITLINK__" hidden="1">{"fdsup://directions/FAT Viewer?action=UPDATE&amp;creator=factset&amp;DYN_ARGS=TRUE&amp;DOC_NAME=FAT:FQL_AUDITING_CLIENT_TEMPLATE.FAT&amp;display_string=Audit&amp;VAR:KEY=VMHMHIRULO&amp;VAR:QUERY=RkZfRU5UUlBSX1ZBTF9EQUlMWSg0MTA0NiwsLCwsJ0RJTCcp&amp;WINDOW=FIRST_POPUP&amp;HEIGHT=450&amp;WIDTH=","450&amp;START_MAXIMIZED=FALSE&amp;VAR:CALENDAR=US&amp;VAR:SYMBOL=QLIK&amp;VAR:INDEX=0"}</definedName>
    <definedName name="_73__FDSAUDITLINK__" hidden="1">{"fdsup://directions/FAT Viewer?action=UPDATE&amp;creator=factset&amp;DYN_ARGS=TRUE&amp;DOC_NAME=FAT:FQL_AUDITING_CLIENT_TEMPLATE.FAT&amp;display_string=Audit&amp;VAR:KEY=FQXUVETQRQ&amp;VAR:QUERY=RkZfRU5UUlBSX1ZBTF9EQUlMWSg0MTA0NiwsLCwsJ0RJTCcp&amp;WINDOW=FIRST_POPUP&amp;HEIGHT=450&amp;WIDTH=","450&amp;START_MAXIMIZED=FALSE&amp;VAR:CALENDAR=US&amp;VAR:SYMBOL=INFA&amp;VAR:INDEX=0"}</definedName>
    <definedName name="_74__FDSAUDITLINK__" hidden="1">{"fdsup://directions/FAT Viewer?action=UPDATE&amp;creator=factset&amp;DYN_ARGS=TRUE&amp;DOC_NAME=FAT:FQL_AUDITING_CLIENT_TEMPLATE.FAT&amp;display_string=Audit&amp;VAR:KEY=FAXUBEXMXG&amp;VAR:QUERY=RkZfRlJFRV9QU19DRihDQUwsLTFBWSk=&amp;WINDOW=FIRST_POPUP&amp;HEIGHT=450&amp;WIDTH=450&amp;START_MAXIMI","ZED=FALSE&amp;VAR:CALENDAR=US&amp;VAR:SYMBOL=TMICY&amp;VAR:INDEX=0"}</definedName>
    <definedName name="_75__FDSAUDITLINK__" hidden="1">{"fdsup://directions/FAT Viewer?action=UPDATE&amp;creator=factset&amp;DYN_ARGS=TRUE&amp;DOC_NAME=FAT:FQL_AUDITING_CLIENT_TEMPLATE.FAT&amp;display_string=Audit&amp;VAR:KEY=JEZENAVYJG&amp;VAR:QUERY=RkZfRlJFRV9QU19DRihDQUwsLTFBWSk=&amp;WINDOW=FIRST_POPUP&amp;HEIGHT=450&amp;WIDTH=450&amp;START_MAXIMI","ZED=FALSE&amp;VAR:CALENDAR=US&amp;VAR:SYMBOL=QLIK&amp;VAR:INDEX=0"}</definedName>
    <definedName name="_76__FDSAUDITLINK__" hidden="1">{"fdsup://directions/FAT Viewer?action=UPDATE&amp;creator=factset&amp;DYN_ARGS=TRUE&amp;DOC_NAME=FAT:FQL_AUDITING_CLIENT_TEMPLATE.FAT&amp;display_string=Audit&amp;VAR:KEY=NEDQBOHKZQ&amp;VAR:QUERY=RkZfRlJFRV9QU19DRihDQUwsLTFBWSk=&amp;WINDOW=FIRST_POPUP&amp;HEIGHT=450&amp;WIDTH=450&amp;START_MAXIMI","ZED=FALSE&amp;VAR:CALENDAR=US&amp;VAR:SYMBOL=IMPV&amp;VAR:INDEX=0"}</definedName>
    <definedName name="_77__FDSAUDITLINK__" hidden="1">{"fdsup://directions/FAT Viewer?action=UPDATE&amp;creator=factset&amp;DYN_ARGS=TRUE&amp;DOC_NAME=FAT:FQL_AUDITING_CLIENT_TEMPLATE.FAT&amp;display_string=Audit&amp;VAR:KEY=XEBEVMBENA&amp;VAR:QUERY=RkZfRlJFRV9QU19DRihDQUwsLTFBWSk=&amp;WINDOW=FIRST_POPUP&amp;HEIGHT=450&amp;WIDTH=450&amp;START_MAXIMI","ZED=FALSE&amp;VAR:CALENDAR=US&amp;VAR:SYMBOL=INFA&amp;VAR:INDEX=0"}</definedName>
    <definedName name="_78__FDSAUDITLINK__" hidden="1">{"fdsup://directions/FAT Viewer?action=UPDATE&amp;creator=factset&amp;DYN_ARGS=TRUE&amp;DOC_NAME=FAT:FQL_AUDITING_CLIENT_TEMPLATE.FAT&amp;display_string=Audit&amp;VAR:KEY=HMJOLQPEPS&amp;VAR:QUERY=RkZfRlJFRV9QU19DRihDQUwsLTFBWSk=&amp;WINDOW=FIRST_POPUP&amp;HEIGHT=450&amp;WIDTH=450&amp;START_MAXIMI","ZED=FALSE&amp;VAR:CALENDAR=US&amp;VAR:SYMBOL=FTNT&amp;VAR:INDEX=0"}</definedName>
    <definedName name="_79__FDSAUDITLINK__" hidden="1">{"fdsup://directions/FAT Viewer?action=UPDATE&amp;creator=factset&amp;DYN_ARGS=TRUE&amp;DOC_NAME=FAT:FQL_AUDITING_CLIENT_TEMPLATE.FAT&amp;display_string=Audit&amp;VAR:KEY=XIBCNKBKJY&amp;VAR:QUERY=RkZfRlJFRV9QU19DRihDQUwsLTFBWSk=&amp;WINDOW=FIRST_POPUP&amp;HEIGHT=450&amp;WIDTH=450&amp;START_MAXIMI","ZED=FALSE&amp;VAR:CALENDAR=US&amp;VAR:SYMBOL=CVLT&amp;VAR:INDEX=0"}</definedName>
    <definedName name="_8__123Graph_XChart_3" hidden="1">#REF!</definedName>
    <definedName name="_8__FDSAUDITLINK__" hidden="1">{"fdsup://directions/FAT Viewer?action=UPDATE&amp;creator=factset&amp;DYN_ARGS=TRUE&amp;DOC_NAME=FAT:FQL_AUDITING_CLIENT_TEMPLATE.FAT&amp;display_string=Audit&amp;VAR:KEY=UFQRWTMNEH&amp;VAR:QUERY=RkZfRVBTKENBTCwtMUFZKQ==&amp;WINDOW=FIRST_POPUP&amp;HEIGHT=450&amp;WIDTH=450&amp;START_MAXIMIZED=FALS","E&amp;VAR:CALENDAR=US&amp;VAR:SYMBOL=CVLT&amp;VAR:INDEX=0"}</definedName>
    <definedName name="_80__FDSAUDITLINK__" hidden="1">{"fdsup://directions/FAT Viewer?action=UPDATE&amp;creator=factset&amp;DYN_ARGS=TRUE&amp;DOC_NAME=FAT:FQL_AUDITING_CLIENT_TEMPLATE.FAT&amp;display_string=Audit&amp;VAR:KEY=FQZIZMTMRQ&amp;VAR:QUERY=RkZfRU5UUlBSX1ZBTF9EQUlMWSg0MTA0NiwsLCwsJ0RJTCcp&amp;WINDOW=FIRST_POPUP&amp;HEIGHT=450&amp;WIDTH=","450&amp;START_MAXIMIZED=FALSE&amp;VAR:CALENDAR=US&amp;VAR:SYMBOL=FTNT&amp;VAR:INDEX=0"}</definedName>
    <definedName name="_81__FDSAUDITLINK__" hidden="1">{"fdsup://directions/FAT Viewer?action=UPDATE&amp;creator=factset&amp;DYN_ARGS=TRUE&amp;DOC_NAME=FAT:FQL_AUDITING_CLIENT_TEMPLATE.FAT&amp;display_string=Audit&amp;VAR:KEY=BURCPWZQVK&amp;VAR:QUERY=RkZfRU5UUlBSX1ZBTF9EQUlMWSg0MTA0NiwsLCwsJ0RJTCcp&amp;WINDOW=FIRST_POPUP&amp;HEIGHT=450&amp;WIDTH=","450&amp;START_MAXIMIZED=FALSE&amp;VAR:CALENDAR=US&amp;VAR:SYMBOL=CVLT&amp;VAR:INDEX=0"}</definedName>
    <definedName name="_82__FDSAUDITLINK__" hidden="1">{"fdsup://directions/FAT Viewer?action=UPDATE&amp;creator=factset&amp;DYN_ARGS=TRUE&amp;DOC_NAME=FAT:FQL_AUDITING_CLIENT_TEMPLATE.FAT&amp;display_string=Audit&amp;VAR:KEY=ZMBIHUHKXM&amp;VAR:QUERY=RkZfU0FMRVMoQ0FMLC0xQVkp&amp;WINDOW=FIRST_POPUP&amp;HEIGHT=450&amp;WIDTH=450&amp;START_MAXIMIZED=FALS","E&amp;VAR:CALENDAR=US&amp;VAR:SYMBOL=MKTG&amp;VAR:INDEX=0"}</definedName>
    <definedName name="_83__FDSAUDITLINK__" hidden="1">{"fdsup://directions/FAT Viewer?action=UPDATE&amp;creator=factset&amp;DYN_ARGS=TRUE&amp;DOC_NAME=FAT:FQL_AUDITING_CLIENT_TEMPLATE.FAT&amp;display_string=Audit&amp;VAR:KEY=PWLOPGRCLG&amp;VAR:QUERY=RkZfRlJFRV9QU19DRihDQUwsLTFBWSk=&amp;WINDOW=FIRST_POPUP&amp;HEIGHT=450&amp;WIDTH=450&amp;START_MAXIMI","ZED=FALSE&amp;VAR:CALENDAR=US&amp;VAR:SYMBOL=MKTG&amp;VAR:INDEX=0"}</definedName>
    <definedName name="_84__FDSAUDITLINK__" hidden="1">{"fdsup://directions/FAT Viewer?action=UPDATE&amp;creator=factset&amp;DYN_ARGS=TRUE&amp;DOC_NAME=FAT:FQL_AUDITING_CLIENT_TEMPLATE.FAT&amp;display_string=Audit&amp;VAR:KEY=FOLMXKRMZA&amp;VAR:QUERY=RkZfRlJFRV9QU19DRihDQUwsLTFBWSk=&amp;WINDOW=FIRST_POPUP&amp;HEIGHT=450&amp;WIDTH=450&amp;START_MAXIMI","ZED=FALSE&amp;VAR:CALENDAR=US&amp;VAR:SYMBOL=RP&amp;VAR:INDEX=0"}</definedName>
    <definedName name="_85__FDSAUDITLINK__" hidden="1">{"fdsup://directions/FAT Viewer?action=UPDATE&amp;creator=factset&amp;DYN_ARGS=TRUE&amp;DOC_NAME=FAT:FQL_AUDITING_CLIENT_TEMPLATE.FAT&amp;display_string=Audit&amp;VAR:KEY=HCLYZGFGHS&amp;VAR:QUERY=RkZfRlJFRV9QU19DRihDQUwsLTFBWSk=&amp;WINDOW=FIRST_POPUP&amp;HEIGHT=450&amp;WIDTH=450&amp;START_MAXIMI","ZED=FALSE&amp;VAR:CALENDAR=US&amp;VAR:SYMBOL=CTCT&amp;VAR:INDEX=0"}</definedName>
    <definedName name="_86__FDSAUDITLINK__" hidden="1">{"fdsup://directions/FAT Viewer?action=UPDATE&amp;creator=factset&amp;DYN_ARGS=TRUE&amp;DOC_NAME=FAT:FQL_AUDITING_CLIENT_TEMPLATE.FAT&amp;display_string=Audit&amp;VAR:KEY=BYLAHGHEDE&amp;VAR:QUERY=RkZfU0FMRVMoQ0FMLC0xQVkp&amp;WINDOW=FIRST_POPUP&amp;HEIGHT=450&amp;WIDTH=450&amp;START_MAXIMIZED=FALS","E&amp;VAR:CALENDAR=US&amp;VAR:SYMBOL=MKTG&amp;VAR:INDEX=0"}</definedName>
    <definedName name="_87__FDSAUDITLINK__" hidden="1">{"fdsup://directions/FAT Viewer?action=UPDATE&amp;creator=factset&amp;DYN_ARGS=TRUE&amp;DOC_NAME=FAT:FQL_AUDITING_CLIENT_TEMPLATE.FAT&amp;display_string=Audit&amp;VAR:KEY=NIVQNGXUFY&amp;VAR:QUERY=RkZfU0FMRVMoQ0FMLC0xQVkp&amp;WINDOW=FIRST_POPUP&amp;HEIGHT=450&amp;WIDTH=450&amp;START_MAXIMIZED=FALS","E&amp;VAR:CALENDAR=US&amp;VAR:SYMBOL=RP&amp;VAR:INDEX=0"}</definedName>
    <definedName name="_88__FDSAUDITLINK__" hidden="1">{"fdsup://directions/FAT Viewer?action=UPDATE&amp;creator=factset&amp;DYN_ARGS=TRUE&amp;DOC_NAME=FAT:FQL_AUDITING_CLIENT_TEMPLATE.FAT&amp;display_string=Audit&amp;VAR:KEY=TILGXQJGRS&amp;VAR:QUERY=RkZfU0FMRVMoQ0FMLC0xQVkp&amp;WINDOW=FIRST_POPUP&amp;HEIGHT=450&amp;WIDTH=450&amp;START_MAXIMIZED=FALS","E&amp;VAR:CALENDAR=US&amp;VAR:SYMBOL=CTCT&amp;VAR:INDEX=0"}</definedName>
    <definedName name="_89__FDSAUDITLINK__" hidden="1">{"fdsup://directions/FAT Viewer?action=UPDATE&amp;creator=factset&amp;DYN_ARGS=TRUE&amp;DOC_NAME=FAT:FQL_AUDITING_CLIENT_TEMPLATE.FAT&amp;display_string=Audit&amp;VAR:KEY=ZKVKXGTMDI&amp;VAR:QUERY=RkZfRU5UUlBSX1ZBTF9EQUlMWSg0MTAwOCwsLCwsJ0RJTCcp&amp;WINDOW=FIRST_POPUP&amp;HEIGHT=450&amp;WIDTH=","450&amp;START_MAXIMIZED=FALSE&amp;VAR:CALENDAR=US&amp;VAR:SYMBOL=MKTG&amp;VAR:INDEX=0"}</definedName>
    <definedName name="_9__123Graph_XChart_4" hidden="1">#REF!</definedName>
    <definedName name="_9__FDSAUDITLINK__" hidden="1">{"fdsup://directions/FAT Viewer?action=UPDATE&amp;creator=factset&amp;DYN_ARGS=TRUE&amp;DOC_NAME=FAT:FQL_AUDITING_CLIENT_TEMPLATE.FAT&amp;display_string=Audit&amp;VAR:KEY=DSDIVMXAJA&amp;VAR:QUERY=Q1NGX05FVF9ERUJUKFFUUl9SLDAp&amp;WINDOW=FIRST_POPUP&amp;HEIGHT=450&amp;WIDTH=450&amp;START_MAXIMIZED=","FALSE&amp;VAR:CALENDAR=US&amp;VAR:SYMBOL=QLGC&amp;VAR:INDEX=0"}</definedName>
    <definedName name="_90__FDSAUDITLINK__" hidden="1">{"fdsup://directions/FAT Viewer?action=UPDATE&amp;creator=factset&amp;DYN_ARGS=TRUE&amp;DOC_NAME=FAT:FQL_AUDITING_CLIENT_TEMPLATE.FAT&amp;display_string=Audit&amp;VAR:KEY=HURSBWHOZC&amp;VAR:QUERY=RkZfRU5UUlBSX1ZBTF9EQUlMWSg0MTAwOCwsLCwsJ0RJTCcp&amp;WINDOW=FIRST_POPUP&amp;HEIGHT=450&amp;WIDTH=","450&amp;START_MAXIMIZED=FALSE&amp;VAR:CALENDAR=US&amp;VAR:SYMBOL=RP&amp;VAR:INDEX=0"}</definedName>
    <definedName name="_91__FDSAUDITLINK__" hidden="1">{"fdsup://directions/FAT Viewer?action=UPDATE&amp;creator=factset&amp;DYN_ARGS=TRUE&amp;DOC_NAME=FAT:FQL_AUDITING_CLIENT_TEMPLATE.FAT&amp;display_string=Audit&amp;VAR:KEY=HKTQPARAPQ&amp;VAR:QUERY=RkZfRU5UUlBSX1ZBTF9EQUlMWSg0MTAwOCwsLCwsJ0RJTCcp&amp;WINDOW=FIRST_POPUP&amp;HEIGHT=450&amp;WIDTH=","450&amp;START_MAXIMIZED=FALSE&amp;VAR:CALENDAR=US&amp;VAR:SYMBOL=CTCT&amp;VAR:INDEX=0"}</definedName>
    <definedName name="_92__FDSAUDITLINK__" hidden="1">{"fdsup://directions/FAT Viewer?action=UPDATE&amp;creator=factset&amp;DYN_ARGS=TRUE&amp;DOC_NAME=FAT:FQL_AUDITING_CLIENT_TEMPLATE.FAT&amp;display_string=Audit&amp;VAR:KEY=XADMFSRQXG&amp;VAR:QUERY=RkZfU0FMRVMoQ0FMLC0xQVkp&amp;WINDOW=FIRST_POPUP&amp;HEIGHT=450&amp;WIDTH=450&amp;START_MAXIMIZED=FALS","E&amp;VAR:CALENDAR=US&amp;VAR:SYMBOL=CTCT&amp;VAR:INDEX=0"}</definedName>
    <definedName name="_93__FDSAUDITLINK__" hidden="1">{"fdsup://directions/FAT Viewer?action=UPDATE&amp;creator=factset&amp;DYN_ARGS=TRUE&amp;DOC_NAME=FAT:FQL_AUDITING_CLIENT_TEMPLATE.FAT&amp;display_string=Audit&amp;VAR:KEY=VMBERQNYRK&amp;VAR:QUERY=RkZfU0FMRVMoQ0FMLC0xQVkp&amp;WINDOW=FIRST_POPUP&amp;HEIGHT=450&amp;WIDTH=450&amp;START_MAXIMIZED=FALS","E&amp;VAR:CALENDAR=US&amp;VAR:SYMBOL=RP&amp;VAR:INDEX=0"}</definedName>
    <definedName name="_94__FDSAUDITLINK__" hidden="1">{"fdsup://directions/FAT Viewer?action=UPDATE&amp;creator=factset&amp;DYN_ARGS=TRUE&amp;DOC_NAME=FAT:FQL_AUDITING_CLIENT_TEMPLATE.FAT&amp;display_string=Audit&amp;VAR:KEY=ZMJYVWPUFS&amp;VAR:QUERY=RkZfU0FMRVMoQ0FMLC0xQVkp&amp;WINDOW=FIRST_POPUP&amp;HEIGHT=450&amp;WIDTH=450&amp;START_MAXIMIZED=FALS","E&amp;VAR:CALENDAR=US&amp;VAR:SYMBOL=MKTG&amp;VAR:INDEX=0"}</definedName>
    <definedName name="_95__FDSAUDITLINK__" hidden="1">{"fdsup://directions/FAT Viewer?action=UPDATE&amp;creator=factset&amp;DYN_ARGS=TRUE&amp;DOC_NAME=FAT:FQL_AUDITING_CLIENT_TEMPLATE.FAT&amp;display_string=Audit&amp;VAR:KEY=PWLOPGRCLG&amp;VAR:QUERY=RkZfRlJFRV9QU19DRihDQUwsLTFBWSk=&amp;WINDOW=FIRST_POPUP&amp;HEIGHT=450&amp;WIDTH=450&amp;START_MAXIMI","ZED=FALSE&amp;VAR:CALENDAR=US&amp;VAR:SYMBOL=MKTG&amp;VAR:INDEX=0"}</definedName>
    <definedName name="_96__FDSAUDITLINK__" hidden="1">{"fdsup://directions/FAT Viewer?action=UPDATE&amp;creator=factset&amp;DYN_ARGS=TRUE&amp;DOC_NAME=FAT:FQL_AUDITING_CLIENT_TEMPLATE.FAT&amp;display_string=Audit&amp;VAR:KEY=FOLMXKRMZA&amp;VAR:QUERY=RkZfRlJFRV9QU19DRihDQUwsLTFBWSk=&amp;WINDOW=FIRST_POPUP&amp;HEIGHT=450&amp;WIDTH=450&amp;START_MAXIMI","ZED=FALSE&amp;VAR:CALENDAR=US&amp;VAR:SYMBOL=RP&amp;VAR:INDEX=0"}</definedName>
    <definedName name="_97__FDSAUDITLINK__" hidden="1">{"fdsup://directions/FAT Viewer?action=UPDATE&amp;creator=factset&amp;DYN_ARGS=TRUE&amp;DOC_NAME=FAT:FQL_AUDITING_CLIENT_TEMPLATE.FAT&amp;display_string=Audit&amp;VAR:KEY=HCLYZGFGHS&amp;VAR:QUERY=RkZfRlJFRV9QU19DRihDQUwsLTFBWSk=&amp;WINDOW=FIRST_POPUP&amp;HEIGHT=450&amp;WIDTH=450&amp;START_MAXIMI","ZED=FALSE&amp;VAR:CALENDAR=US&amp;VAR:SYMBOL=CTCT&amp;VAR:INDEX=0"}</definedName>
    <definedName name="_98__FDSAUDITLINK__" hidden="1">{"fdsup://directions/FAT Viewer?action=UPDATE&amp;creator=factset&amp;DYN_ARGS=TRUE&amp;DOC_NAME=FAT:FQL_AUDITING_CLIENT_TEMPLATE.FAT&amp;display_string=Audit&amp;VAR:KEY=PUDKNWXQVY&amp;VAR:QUERY=RkZfRlJFRV9QU19DRihDQUwsLTFBWSk=&amp;WINDOW=FIRST_POPUP&amp;HEIGHT=450&amp;WIDTH=450&amp;START_MAXIMI","ZED=FALSE&amp;VAR:CALENDAR=US&amp;VAR:SYMBOL=MKTG&amp;VAR:INDEX=0"}</definedName>
    <definedName name="_99__FDSAUDITLINK__" hidden="1">{"fdsup://directions/FAT Viewer?action=UPDATE&amp;creator=factset&amp;DYN_ARGS=TRUE&amp;DOC_NAME=FAT:FQL_AUDITING_CLIENT_TEMPLATE.FAT&amp;display_string=Audit&amp;VAR:KEY=PSNORGRKHW&amp;VAR:QUERY=RkZfRlJFRV9QU19DRihDQUwsLTFBWSk=&amp;WINDOW=FIRST_POPUP&amp;HEIGHT=450&amp;WIDTH=450&amp;START_MAXIMI","ZED=FALSE&amp;VAR:CALENDAR=US&amp;VAR:SYMBOL=RP&amp;VAR:INDEX=0"}</definedName>
    <definedName name="_a1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_a15" hidden="1">{"whole",#N/A,FALSE,"CS FIN Sum For Rox";"whole",#N/A,FALSE,"Gen_Dist_Act_Bud";"whole",#N/A,FALSE,"Gen_Dist_T3months";"whole",#N/A,FALSE,"GD_PerP";"whole",#N/A,FALSE,"CS_DIST_ActvsBud";"whole",#N/A,FALSE,"CS_DIST_SUM_trail3mo"}</definedName>
    <definedName name="_a2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_a3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_a4" hidden="1">{"whole",#N/A,FALSE,"Gen_Dist_Act_Bud";"whole",#N/A,FALSE,"Gen_Dist_T3months";"whole",#N/A,FALSE,"GD_PerP";"whole",#N/A,FALSE,"HR Dist'n"}</definedName>
    <definedName name="_a5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_a6" hidden="1">{"whole",#N/A,FALSE,"CS HC";"whole",#N/A,FALSE,"CS_ACTvsBud";"whole",#N/A,FALSE,"CSTrail3mo";"whole",#N/A,FALSE,"CS Cost Per Head ";"whole",#N/A,FALSE,"CS CPH YTD"}</definedName>
    <definedName name="_a7" hidden="1">{"whole",#N/A,FALSE,"CS FIN Sum For Rox";"whole",#N/A,FALSE,"Gen_Dist_Act_Bud";"whole",#N/A,FALSE,"Gen_Dist_T3months";"whole",#N/A,FALSE,"GD_PerP";"whole",#N/A,FALSE,"CS_DIST_ActvsBud";"whole",#N/A,FALSE,"CS_DIST_SUM_trail3mo"}</definedName>
    <definedName name="_a9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_aa1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_aa2" hidden="1">{#N/A,#N/A,TRUE,"Pro Forma";#N/A,#N/A,TRUE,"PF_Bal";#N/A,#N/A,TRUE,"PF_INC";#N/A,#N/A,TRUE,"CBE";#N/A,#N/A,TRUE,"SWK"}</definedName>
    <definedName name="_aaa111299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_aaa2" hidden="1">{#N/A,#N/A,TRUE,"financial";#N/A,#N/A,TRUE,"plants"}</definedName>
    <definedName name="_ab1112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_ab2" hidden="1">{#N/A,#N/A,TRUE,"Pro Forma";#N/A,#N/A,TRUE,"PF_Bal";#N/A,#N/A,TRUE,"PF_INC";#N/A,#N/A,TRUE,"CBE";#N/A,#N/A,TRUE,"SWK"}</definedName>
    <definedName name="_ac2" hidden="1">{#N/A,#N/A,TRUE,"Pro Forma";#N/A,#N/A,TRUE,"PF_Bal";#N/A,#N/A,TRUE,"PF_INC";#N/A,#N/A,TRUE,"CBE";#N/A,#N/A,TRUE,"SWK"}</definedName>
    <definedName name="_aca2" hidden="1">{#N/A,#N/A,TRUE,"Pro Forma";#N/A,#N/A,TRUE,"PF_Bal";#N/A,#N/A,TRUE,"PF_INC";#N/A,#N/A,TRUE,"CBE";#N/A,#N/A,TRUE,"SWK"}</definedName>
    <definedName name="_ag2" hidden="1">{#N/A,#N/A,TRUE,"Pro Forma";#N/A,#N/A,TRUE,"PF_Bal";#N/A,#N/A,TRUE,"PF_INC";#N/A,#N/A,TRUE,"CBE";#N/A,#N/A,TRUE,"SWK"}</definedName>
    <definedName name="_as2" hidden="1">{"comp1",#N/A,FALSE,"COMPS";"footnotes",#N/A,FALSE,"COMPS"}</definedName>
    <definedName name="_asa2" hidden="1">{"comp1",#N/A,FALSE,"COMPS";"footnotes",#N/A,FALSE,"COMPS"}</definedName>
    <definedName name="_b1" hidden="1">{"Chart 1",#N/A,FALSE,"Run Rate";"Chart 2",#N/A,FALSE,"Run Rate (2)"}</definedName>
    <definedName name="_bdm.0f75ce151a2f4334b862e6c3832c3245.edm" hidden="1">#REF!</definedName>
    <definedName name="_bdm.3805246567204471A1B783B7CD5D5075.edm" hidden="1">#REF!</definedName>
    <definedName name="_bdm.5F2000082F1D46CBBF1937744AC82C30.edm" hidden="1">#REF!</definedName>
    <definedName name="_bdm.72b50cfe788343109c25c40d4cf29469.edm" hidden="1">#REF!</definedName>
    <definedName name="_bdm.FastTrackBookmark.10_20_2022_11_37_55_AM.edm" hidden="1">#REF!</definedName>
    <definedName name="_bdm.FastTrackBookmark.10_20_2022_6_31_47_AM.edm" hidden="1">#REF!</definedName>
    <definedName name="_bdm.FastTrackBookmark.10_23_2024_10_41_41_PM.edm" hidden="1">#REF!</definedName>
    <definedName name="_bdm.FastTrackBookmark.10_31_2023_4_29_45_PM.edm" hidden="1">CF!#REF!</definedName>
    <definedName name="_bdm.FastTrackBookmark.11_22_2022_12_59_50_PM.edm" hidden="1">#REF!</definedName>
    <definedName name="_bdm.FastTrackBookmark.11_6_2023_7_25_25_AM.edm" hidden="1">CF!#REF!</definedName>
    <definedName name="_bdm.FastTrackBookmark.11_6_2023_7_29_48_AM.edm" hidden="1">CF!#REF!</definedName>
    <definedName name="_bdm.FastTrackBookmark.11_9_2023_10_18_02_AM.edm" localSheetId="6" hidden="1">'IS (Non-GAAP)'!#REF!</definedName>
    <definedName name="_bdm.FastTrackBookmark.11_9_2023_10_18_02_AM.edm" hidden="1">'IS (GAAP)'!#REF!</definedName>
    <definedName name="_bdm.FastTrackBookmark.2_15_2023_8_52_48_AM.edm" hidden="1">#REF!</definedName>
    <definedName name="_bdm.FastTrackBookmark.2_21_2023_12_58_19_PM.edm" hidden="1">#REF!</definedName>
    <definedName name="_bdm.FastTrackBookmark.4_16_2024_7_06_01_PM.edm" hidden="1">#REF!</definedName>
    <definedName name="_bdm.FastTrackBookmark.4_3_2024_7_11_11_PM.edm" hidden="1">#REF!</definedName>
    <definedName name="_bdm.FastTrackBookmark.5_18_2023_9_35_27_PM.edm" hidden="1">#REF!</definedName>
    <definedName name="_bdm.FastTrackBookmark.8_22_2024_3_44_17_PM.edm" hidden="1">#REF!</definedName>
    <definedName name="_bdm.FastTrackBookmark.8_30_2022_6_43_56_PM.edm" hidden="1">#REF!</definedName>
    <definedName name="_bdm.FastTrackBookmark.9_18_2023_9_49_04_AM.edm" hidden="1">#REF!</definedName>
    <definedName name="_bdm.FastTrackBookmark.9_22_2022_7_08_27_AM.edm" hidden="1">#REF!</definedName>
    <definedName name="_bdm.FastTrackBookmark.9_29_2023_7_22_04_AM.edm" hidden="1">#REF!</definedName>
    <definedName name="_di1" hidden="1">{"whole",#N/A,FALSE,"Gen_Dist_Act_Bud";"whole",#N/A,FALSE,"Gen_Dist_T3months";"whole",#N/A,FALSE,"GD_PerP";"whole",#N/A,FALSE,"HR Dist'n"}</definedName>
    <definedName name="_fff2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_Fill" hidden="1">#REF!</definedName>
    <definedName name="_xlnm._FilterDatabase" hidden="1">#REF!</definedName>
    <definedName name="_k1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_mw2" hidden="1">{"consolidated",#N/A,FALSE,"Sheet1";"cms",#N/A,FALSE,"Sheet1";"fse",#N/A,FALSE,"Sheet1"}</definedName>
    <definedName name="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rder1" hidden="1">255</definedName>
    <definedName name="_Order2" hidden="1">255</definedName>
    <definedName name="_Q1" hidden="1">{"'Standalone List Price Trends'!$A$1:$X$56"}</definedName>
    <definedName name="_Q2" hidden="1">{"'Standalone List Price Trends'!$A$1:$X$56"}</definedName>
    <definedName name="_Q3" hidden="1">{"'Standalone List Price Trends'!$A$1:$X$56"}</definedName>
    <definedName name="_Q4" hidden="1">{"'Standalone List Price Trends'!$A$1:$X$56"}</definedName>
    <definedName name="_Q5" hidden="1">{"'Standalone List Price Trends'!$A$1:$X$56"}</definedName>
    <definedName name="_Q9" hidden="1">{"'Standalone List Price Trends'!$A$1:$X$56"}</definedName>
    <definedName name="_Regression_Out" hidden="1">#REF!</definedName>
    <definedName name="_Regression_X" hidden="1">#REF!</definedName>
    <definedName name="_Regression_Y" hidden="1">#REF!</definedName>
    <definedName name="_rw1" hidden="1">{"'Standalone List Price Trends'!$A$1:$X$56"}</definedName>
    <definedName name="_rw2" hidden="1">{"'Standalone List Price Trends'!$A$1:$X$56"}</definedName>
    <definedName name="_rw3" hidden="1">{"'Standalone List Price Trends'!$A$1:$X$56"}</definedName>
    <definedName name="_rw4" hidden="1">{"'Standalone List Price Trends'!$A$1:$X$56"}</definedName>
    <definedName name="_sdf2" hidden="1">{#N/A,#N/A,FALSE,"Calc";#N/A,#N/A,FALSE,"Sensitivity";#N/A,#N/A,FALSE,"LT Earn.Dil.";#N/A,#N/A,FALSE,"Dil. AVP"}</definedName>
    <definedName name="_Table1_In1" hidden="1">#REF!</definedName>
    <definedName name="_Table1_In2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w32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_w33" hidden="1">{"whole",#N/A,FALSE,"Gen_Dist_Act_Bud";"whole",#N/A,FALSE,"Gen_Dist_T3months";"whole",#N/A,FALSE,"GD_PerP";"whole",#N/A,FALSE,"HR Dist'n"}</definedName>
    <definedName name="_wrn2" hidden="1">{#N/A,#N/A,FALSE,"Summary";#N/A,#N/A,FALSE,"Details";#N/A,#N/A,FALSE,"Month-Hd";#N/A,#N/A,FALSE,"YTD-Hd";#N/A,#N/A,FALSE,"Capital"}</definedName>
    <definedName name="_x3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a" hidden="1">{#N/A,#N/A,FALSE,"BAL";#N/A,#N/A,FALSE,"P&amp;L";#N/A,#N/A,FALSE,"REV";#N/A,#N/A,FALSE,"COS";#N/A,#N/A,FALSE,"DPT";#N/A,#N/A,FALSE,"CSS";#N/A,#N/A,FALSE,"IMP";#N/A,#N/A,FALSE,"OPS";#N/A,#N/A,FALSE,"DVL";#N/A,#N/A,FALSE,"ADM"}</definedName>
    <definedName name="A_ALL_CRWV">#REF!</definedName>
    <definedName name="A_ALL_MNDY">#REF!</definedName>
    <definedName name="A_ALL_MSFT">#REF!</definedName>
    <definedName name="A_ALL_NTNX">[1]NTNX_Annotation_Sheet!$A$1:$CB$331</definedName>
    <definedName name="A_ALL_TTAN">#REF!</definedName>
    <definedName name="AAA_DOCTOPS" hidden="1">"AAA_SET"</definedName>
    <definedName name="AAA_duser" hidden="1">"OFF"</definedName>
    <definedName name="aaaa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aaaa111299" hidden="1">{"whole",#N/A,FALSE,"Gen_Dist_Act_Bud";"whole",#N/A,FALSE,"Gen_Dist_T3months";"whole",#N/A,FALSE,"GD_PerP";"whole",#N/A,FALSE,"HR Dist'n"}</definedName>
    <definedName name="aaaaa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aaaaaa" hidden="1">{"whole",#N/A,FALSE,"CS HC";"whole",#N/A,FALSE,"CS_ACTvsBud";"whole",#N/A,FALSE,"CSTrail3mo";"whole",#N/A,FALSE,"CS Cost Per Head ";"whole",#N/A,FALSE,"CS CPH YTD"}</definedName>
    <definedName name="aaaaaaa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aaaaaaaa" hidden="1">{"whole",#N/A,FALSE,"Gen_Dist_Act_Bud";"whole",#N/A,FALSE,"Gen_Dist_T3months";"whole",#N/A,FALSE,"GD_PerP";"whole",#N/A,FALSE,"HR Dist'n"}</definedName>
    <definedName name="aaaaaaaaa" hidden="1">{"whole",#N/A,FALSE,"CS HC";"whole",#N/A,FALSE,"CS_ACTvsBud";"whole",#N/A,FALSE,"CSTrail3mo";"whole",#N/A,FALSE,"CS Cost Per Head ";"whole",#N/A,FALSE,"CS CPH YTD"}</definedName>
    <definedName name="aaaaaaaaaa" hidden="1">{"whole",#N/A,FALSE,"CS FIN Sum For Rox";"whole",#N/A,FALSE,"Gen_Dist_Act_Bud";"whole",#N/A,FALSE,"Gen_Dist_T3months";"whole",#N/A,FALSE,"GD_PerP";"whole",#N/A,FALSE,"CS_DIST_ActvsBud";"whole",#N/A,FALSE,"CS_DIST_SUM_trail3mo"}</definedName>
    <definedName name="aaaaaaaaaaa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aaaaaaaaaaaaa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aaaaaaaaaaaaaaaaaa" hidden="1">{#N/A,#N/A,FALSE,"Calc";#N/A,#N/A,FALSE,"Sensitivity";#N/A,#N/A,FALSE,"LT Earn.Dil.";#N/A,#N/A,FALSE,"Dil. AVP"}</definedName>
    <definedName name="aaaaaaaaaaaaaaaaaaa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aaab" hidden="1">{"whole",#N/A,FALSE,"Gen_Dist_Act_Bud";"whole",#N/A,FALSE,"Gen_Dist_T3months";"whole",#N/A,FALSE,"GD_PerP";"whole",#N/A,FALSE,"HR Dist'n"}</definedName>
    <definedName name="aaag" hidden="1">{#N/A,#N/A,TRUE,"financial";#N/A,#N/A,TRUE,"plants"}</definedName>
    <definedName name="aaag2" hidden="1">{#N/A,#N/A,TRUE,"financial";#N/A,#N/A,TRUE,"plants"}</definedName>
    <definedName name="aab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bb" hidden="1">{#N/A,#N/A,FALSE,"Summary";#N/A,#N/A,FALSE,"Details";#N/A,#N/A,FALSE,"Month-Hd";#N/A,#N/A,FALSE,"YTD-Hd";#N/A,#N/A,FALSE,"Capital"}</definedName>
    <definedName name="aabba" hidden="1">{#N/A,#N/A,FALSE,"Summary";#N/A,#N/A,FALSE,"Details";#N/A,#N/A,FALSE,"Month-Hd";#N/A,#N/A,FALSE,"YTD-Hd";#N/A,#N/A,FALSE,"Capital"}</definedName>
    <definedName name="aabbaa" hidden="1">{"whole",#N/A,FALSE,"Gen_Dist_Act_Bud";"whole",#N/A,FALSE,"Gen_Dist_T3months";"whole",#N/A,FALSE,"GD_PerP";"whole",#N/A,FALSE,"HR Dist'n"}</definedName>
    <definedName name="aabbaabba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aadge" hidden="1">{"barthelet detail",#N/A,FALSE,"96 plan Q1";"barthelet summ",#N/A,FALSE,"96 plan Q1"}</definedName>
    <definedName name="aba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abaaabaa" hidden="1">{"whole",#N/A,FALSE,"Gen_Dist_Act_Bud";"whole",#N/A,FALSE,"Gen_Dist_T3months";"whole",#N/A,FALSE,"GD_PerP";"whole",#N/A,FALSE,"HR Dist'n"}</definedName>
    <definedName name="abaabaab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abaabaaba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abab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ababab" hidden="1">{"whole",#N/A,FALSE,"CS HC";"whole",#N/A,FALSE,"CS_ACTvsBud";"whole",#N/A,FALSE,"CSTrail3mo";"whole",#N/A,FALSE,"CS Cost Per Head ";"whole",#N/A,FALSE,"CS CPH YTD"}</definedName>
    <definedName name="abababa" hidden="1">{"whole",#N/A,FALSE,"CS HC";"whole",#N/A,FALSE,"CS_ACTvsBud";"whole",#N/A,FALSE,"CSTrail3mo";"whole",#N/A,FALSE,"CS Cost Per Head ";"whole",#N/A,FALSE,"CS CPH YTD"}</definedName>
    <definedName name="abababab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ababababab" hidden="1">{"whole",#N/A,FALSE,"CS FIN Sum For Rox";"whole",#N/A,FALSE,"Gen_Dist_Act_Bud";"whole",#N/A,FALSE,"Gen_Dist_T3months";"whole",#N/A,FALSE,"GD_PerP";"whole",#N/A,FALSE,"CS_DIST_ActvsBud";"whole",#N/A,FALSE,"CS_DIST_SUM_trail3mo"}</definedName>
    <definedName name="abababababa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ababababababba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abbabba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abc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abcd" hidden="1">{#N/A,#N/A,FALSE,"CBE";#N/A,#N/A,FALSE,"SWK"}</definedName>
    <definedName name="abcde" hidden="1">{"comp1",#N/A,FALSE,"COMPS";"footnotes",#N/A,FALSE,"COMPS"}</definedName>
    <definedName name="abcdef" hidden="1">{"up stand alones",#N/A,FALSE,"Acquiror"}</definedName>
    <definedName name="abs" hidden="1">{#N/A,#N/A,FALSE,"Summary";#N/A,#N/A,FALSE,"Expense";#N/A,#N/A,FALSE,"Capital"}</definedName>
    <definedName name="aca" hidden="1">{#N/A,#N/A,TRUE,"Pro Forma";#N/A,#N/A,TRUE,"PF_Bal";#N/A,#N/A,TRUE,"PF_INC";#N/A,#N/A,TRUE,"CBE";#N/A,#N/A,TRUE,"SWK"}</definedName>
    <definedName name="Acc" hidden="1">{"closed",#N/A,FALSE,"Consolidated Products - Budget";"expanded",#N/A,FALSE,"Consolidated Products - Budget"}</definedName>
    <definedName name="ACwvu.incearn." hidden="1">#REF!</definedName>
    <definedName name="addg" hidden="1">{#N/A,#N/A,FALSE,"CBE";#N/A,#N/A,FALSE,"SWK"}</definedName>
    <definedName name="addg2" hidden="1">{#N/A,#N/A,FALSE,"CBE";#N/A,#N/A,FALSE,"SWK"}</definedName>
    <definedName name="addga" hidden="1">{#N/A,#N/A,FALSE,"CBE";#N/A,#N/A,FALSE,"SWK"}</definedName>
    <definedName name="addga2" hidden="1">{#N/A,#N/A,FALSE,"CBE";#N/A,#N/A,FALSE,"SWK"}</definedName>
    <definedName name="adfafdsasa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Admin3" hidden="1">{"whole",#N/A,FALSE,"Gen_Dist_Act_Bud";"whole",#N/A,FALSE,"Gen_Dist_T3months";"whole",#N/A,FALSE,"GD_PerP";"whole",#N/A,FALSE,"HR Dist'n"}</definedName>
    <definedName name="afdafadsfasdf" hidden="1">{"whole",#N/A,FALSE,"Gen_Dist_Act_Bud";"whole",#N/A,FALSE,"Gen_Dist_T3months";"whole",#N/A,FALSE,"GD_PerP";"whole",#N/A,FALSE,"HR Dist'n"}</definedName>
    <definedName name="afdasfa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afdeafdaf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afdfsdfsdfsd" hidden="1">{"closed",#N/A,FALSE,"Consolidated Products - Budget";"expanded",#N/A,FALSE,"Consolidated Products - Budget"}</definedName>
    <definedName name="afsasdfsda" hidden="1">{"whole",#N/A,FALSE,"CS HC";"whole",#N/A,FALSE,"CS_ACTvsBud";"whole",#N/A,FALSE,"CSTrail3mo";"whole",#N/A,FALSE,"CS Cost Per Head ";"whole",#N/A,FALSE,"CS CPH YTD"}</definedName>
    <definedName name="afsdasdfsdfa" hidden="1">{"Chart 1",#N/A,FALSE,"Run Rate";"Chart 2",#N/A,FALSE,"Run Rate (2)"}</definedName>
    <definedName name="ag" hidden="1">{#N/A,#N/A,TRUE,"Pro Forma";#N/A,#N/A,TRUE,"PF_Bal";#N/A,#N/A,TRUE,"PF_INC";#N/A,#N/A,TRUE,"CBE";#N/A,#N/A,TRUE,"SWK"}</definedName>
    <definedName name="AJHFkjDGHF" hidden="1">{"Annual_Income",#N/A,FALSE,"Report Page";"Balance_Cash_Flow",#N/A,FALSE,"Report Page";"Quarterly_Income",#N/A,FALSE,"Report Page"}</definedName>
    <definedName name="AL_email">"alamba@isigrp.com"</definedName>
    <definedName name="AL_phone">"(XXX) XXX-XXXX"</definedName>
    <definedName name="amarketing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and" hidden="1">{"fax (BS)",#N/A,FALSE,"BS";"fax (CF)",#N/A,FALSE,"CF";"fax (seg)",#N/A,FALSE,"Seg";"fax (telecomm)",#N/A,FALSE,"telecomm";"fax (infodisplay)",#N/A,FALSE,"infodisplay";"fax (am)",#N/A,FALSE,"AM";"fax (is)",#N/A,FALSE,"IS"}</definedName>
    <definedName name="anscount" hidden="1">1</definedName>
    <definedName name="aomnc" hidden="1">{"fax (BS)",#N/A,FALSE,"BS";"fax (CF)",#N/A,FALSE,"CF";"fax (seg)",#N/A,FALSE,"Seg";"fax (telecomm)",#N/A,FALSE,"telecomm";"fax (infodisplay)",#N/A,FALSE,"infodisplay";"fax (am)",#N/A,FALSE,"AM";"fax (is)",#N/A,FALSE,"IS"}</definedName>
    <definedName name="aqaqaq" hidden="1">{"whole",#N/A,FALSE,"Gen_Dist_Act_Bud";"whole",#N/A,FALSE,"Gen_Dist_T3months";"whole",#N/A,FALSE,"GD_PerP";"whole",#N/A,FALSE,"HR Dist'n"}</definedName>
    <definedName name="asa" hidden="1">{"comp1",#N/A,FALSE,"COMPS";"footnotes",#N/A,FALSE,"COMPS"}</definedName>
    <definedName name="asad" hidden="1">{"away stand alones",#N/A,FALSE,"Target"}</definedName>
    <definedName name="asdf" hidden="1">{"'Standalone List Price Trends'!$A$1:$X$56"}</definedName>
    <definedName name="asdf2" hidden="1">{#N/A,#N/A,FALSE,"Calc";#N/A,#N/A,FALSE,"Sensitivity";#N/A,#N/A,FALSE,"LT Earn.Dil.";#N/A,#N/A,FALSE,"Dil. AVP"}</definedName>
    <definedName name="asdfa" hidden="1">{#N/A,#N/A,FALSE,"Calc";#N/A,#N/A,FALSE,"Sensitivity";#N/A,#N/A,FALSE,"LT Earn.Dil.";#N/A,#N/A,FALSE,"Dil. AVP"}</definedName>
    <definedName name="asdfa2" hidden="1">{#N/A,#N/A,FALSE,"Calc";#N/A,#N/A,FALSE,"Sensitivity";#N/A,#N/A,FALSE,"LT Earn.Dil.";#N/A,#N/A,FALSE,"Dil. AVP"}</definedName>
    <definedName name="asdfacawe" hidden="1">{"comps",#N/A,FALSE,"HANDPACK";"footnotes",#N/A,FALSE,"HANDPACK"}</definedName>
    <definedName name="asdfagsdfg" hidden="1">{"consolidated",#N/A,FALSE,"Sheet1";"cms",#N/A,FALSE,"Sheet1";"fse",#N/A,FALSE,"Sheet1"}</definedName>
    <definedName name="asdfas" hidden="1">{"comp1",#N/A,FALSE,"COMPS";"footnotes",#N/A,FALSE,"COMPS"}</definedName>
    <definedName name="asdfasdf" hidden="1">{"hiden",#N/A,FALSE,"14";"hidden",#N/A,FALSE,"16";"hidden",#N/A,FALSE,"18";"hidden",#N/A,FALSE,"20"}</definedName>
    <definedName name="asdfasdfasdf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asdfasdgasdfasdf" hidden="1">{"whole",#N/A,FALSE,"CS FIN Sum For Rox";"whole",#N/A,FALSE,"Gen_Dist_Act_Bud";"whole",#N/A,FALSE,"Gen_Dist_T3months";"whole",#N/A,FALSE,"GD_PerP";"whole",#N/A,FALSE,"CS_DIST_ActvsBud";"whole",#N/A,FALSE,"CS_DIST_SUM_trail3mo"}</definedName>
    <definedName name="asdfasdgasdfasdgasd" hidden="1">{"Chart 1",#N/A,FALSE,"Run Rate";"Chart 2",#N/A,FALSE,"Run Rate (2)"}</definedName>
    <definedName name="asdfawef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asdfawer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asdfffffg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asdfghaers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asdgaserqwe" hidden="1">{"comps2",#N/A,FALSE,"AERO";"footnotes",#N/A,FALSE,"AERO"}</definedName>
    <definedName name="asdtf" hidden="1">{"'Standalone List Price Trends'!$A$1:$X$56"}</definedName>
    <definedName name="asfasdfas" hidden="1">{#N/A,#N/A,TRUE,"Pro Forma";#N/A,#N/A,TRUE,"PF_Bal";#N/A,#N/A,TRUE,"PF_INC";#N/A,#N/A,TRUE,"CBE";#N/A,#N/A,TRUE,"SWK"}</definedName>
    <definedName name="asfawfzxcv" hidden="1">{"up stand alones",#N/A,FALSE,"Acquiror"}</definedName>
    <definedName name="asfdfasdfasdgasdf" hidden="1">{"whole",#N/A,FALSE,"CS HC";"whole",#N/A,FALSE,"CS_ACTvsBud";"whole",#N/A,FALSE,"CSTrail3mo";"whole",#N/A,FALSE,"CS Cost Per Head ";"whole",#N/A,FALSE,"CS CPH YTD"}</definedName>
    <definedName name="asggdasgasdg" hidden="1">{"'Standalone List Price Trends'!$A$1:$X$56"}</definedName>
    <definedName name="asw" hidden="1">{"barthelet detail",#N/A,FALSE,"96 plan Q1";"barthelet summ",#N/A,FALSE,"96 plan Q1"}</definedName>
    <definedName name="AV" hidden="1">{#N/A,#N/A,FALSE,"Assumps";#N/A,#N/A,FALSE,"Data";#N/A,#N/A,FALSE,"Data (2)";#N/A,#N/A,FALSE,"AcqyrP&amp;L";#N/A,#N/A,FALSE,"Acq+1P&amp;L";#N/A,#N/A,FALSE,"Acq+2P&amp;L";#N/A,#N/A,FALSE,"Cashflow";#N/A,#N/A,FALSE,"BalSheet";#N/A,#N/A,FALSE,"Bidder";#N/A,#N/A,FALSE,"Target";#N/A,#N/A,FALSE,"Tgtann";#N/A,#N/A,FALSE,"Topt";#N/A,#N/A,FALSE,"Disp";#N/A,#N/A,FALSE,"Dann";#N/A,#N/A,FALSE,"Syns"}</definedName>
    <definedName name="avdd" hidden="1">{#N/A,#N/A,FALSE,"Calc";#N/A,#N/A,FALSE,"Sensitivity";#N/A,#N/A,FALSE,"LT Earn.Dil.";#N/A,#N/A,FALSE,"Dil. AVP"}</definedName>
    <definedName name="AVELIFE">3</definedName>
    <definedName name="aw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awp" hidden="1">{"barthelet detail",#N/A,FALSE,"96 plan Q1";"barthelet summ",#N/A,FALSE,"96 plan Q1"}</definedName>
    <definedName name="az" hidden="1">{"comp1",#N/A,FALSE,"COMPS";"footnotes",#N/A,FALSE,"COMPS"}</definedName>
    <definedName name="baba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babab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bababa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bababab" hidden="1">{"whole",#N/A,FALSE,"Gen_Dist_Act_Bud";"whole",#N/A,FALSE,"Gen_Dist_T3months";"whole",#N/A,FALSE,"GD_PerP";"whole",#N/A,FALSE,"HR Dist'n"}</definedName>
    <definedName name="babababa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BB_email">"bbaytosh@isigrp.com"</definedName>
    <definedName name="BB_phone">"(212) 446-9469"</definedName>
    <definedName name="bbb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belnew" hidden="1">{"IS",#N/A,FALSE,"IS";"RPTIS",#N/A,FALSE,"RPTIS";"STATS",#N/A,FALSE,"STATS";"CELL",#N/A,FALSE,"CELL";"BS",#N/A,FALSE,"BS"}</definedName>
    <definedName name="blah" hidden="1">{"closed",#N/A,FALSE,"Consolidated Products - Budget";"expanded",#N/A,FALSE,"Consolidated Products - Budget"}</definedName>
    <definedName name="blah2" hidden="1">{"closed",#N/A,FALSE,"Consolidated Products - Budget";"expanded",#N/A,FALSE,"Consolidated Products - Budget"}</definedName>
    <definedName name="BLPH5" hidden="1">#REF!</definedName>
    <definedName name="bnkj" hidden="1">{#N/A,#N/A,FALSE,"output";#N/A,#N/A,FALSE,"contrib";#N/A,#N/A,FALSE,"profile";#N/A,#N/A,FALSE,"comps"}</definedName>
    <definedName name="BPDecember" hidden="1">{#N/A,#N/A,FALSE,"BAL";#N/A,#N/A,FALSE,"P&amp;L";#N/A,#N/A,FALSE,"REV";#N/A,#N/A,FALSE,"COS";#N/A,#N/A,FALSE,"DPT";#N/A,#N/A,FALSE,"CSS";#N/A,#N/A,FALSE,"IMP";#N/A,#N/A,FALSE,"OPS";#N/A,#N/A,FALSE,"DVL";#N/A,#N/A,FALSE,"ADM"}</definedName>
    <definedName name="bxz" hidden="1">{"whole",#N/A,FALSE,"CS FIN Sum For Rox";"whole",#N/A,FALSE,"Gen_Dist_Act_Bud";"whole",#N/A,FALSE,"Gen_Dist_T3months";"whole",#N/A,FALSE,"GD_PerP";"whole",#N/A,FALSE,"CS_DIST_ActvsBud";"whole",#N/A,FALSE,"CS_DIST_SUM_trail3mo"}</definedName>
    <definedName name="Cable2" hidden="1">{#N/A,#N/A,FALSE,"Operations";#N/A,#N/A,FALSE,"Financials"}</definedName>
    <definedName name="cawefasdv" hidden="1">{"consolidated",#N/A,FALSE,"Sheet1";"cms",#N/A,FALSE,"Sheet1";"fse",#N/A,FALSE,"Sheet1"}</definedName>
    <definedName name="cb_sChart1560B1BF_opts" hidden="1">"1, 9, 1, False, 2, False, False, , 0, False, False, 1, 1"</definedName>
    <definedName name="cb_sChart1560B326_opts" hidden="1">"1, 9, 1, False, 2, False, False, , 0, False, False, 1, 1"</definedName>
    <definedName name="cb_sChart1560B5DC_opts" hidden="1">"1, 9, 1, False, 2, False, False, , 0, False, False, 1, 1"</definedName>
    <definedName name="cb_sChart1560C23F_opts" hidden="1">"1, 9, 1, False, 2, False, False, , 0, False, False, 1, 1"</definedName>
    <definedName name="cb_sChart1B28B2AD_opts" hidden="1">"1, 3, 1, False, 2, False, False, , 0, False, True, 1, 1"</definedName>
    <definedName name="cb_sChart1B28B8C8_opts" hidden="1">"1, 3, 1, False, 2, False, False, , 0, False, True, 1, 1"</definedName>
    <definedName name="cb_sChart1B28BF3F_opts" hidden="1">"1, 3, 1, False, 2, False, False, , 0, False, True, 1, 1"</definedName>
    <definedName name="cb_sChart1B28C218_opts" hidden="1">"1, 3, 1, False, 2, False, False, , 0, False, True, 1, 1"</definedName>
    <definedName name="cb_sChart1B28C96B_opts" hidden="1">"1, 3, 1, False, 2, False, False, , 0, False, True, 1, 1"</definedName>
    <definedName name="CIQWBGuid" hidden="1">"bbbb178a-f7f1-4d63-a8ff-b3ae1ddf6150"</definedName>
    <definedName name="ckckckckckc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cooper2" hidden="1">{#N/A,#N/A,TRUE,"Pro Forma";#N/A,#N/A,TRUE,"PF_Bal";#N/A,#N/A,TRUE,"PF_INC";#N/A,#N/A,TRUE,"CBE";#N/A,#N/A,TRUE,"SWK"}</definedName>
    <definedName name="copper2a" hidden="1">{#N/A,#N/A,TRUE,"Pro Forma";#N/A,#N/A,TRUE,"PF_Bal";#N/A,#N/A,TRUE,"PF_INC";#N/A,#N/A,TRUE,"CBE";#N/A,#N/A,TRUE,"SWK"}</definedName>
    <definedName name="cu102.ShareScalingFactor" hidden="1">1000000</definedName>
    <definedName name="cu103.EmployeeScalingFactor" hidden="1">1000</definedName>
    <definedName name="cu107.DPSSymbol" hidden="1">"US$"</definedName>
    <definedName name="cu107.EPSSymbol" hidden="1">"US$"</definedName>
    <definedName name="cu71.ScalingFactor" hidden="1">1000</definedName>
    <definedName name="CUR3MTH">6</definedName>
    <definedName name="CURCYTD">9</definedName>
    <definedName name="CURMTH">1</definedName>
    <definedName name="CURMYTD">12</definedName>
    <definedName name="CURRENT_MONTH_FIXING">23</definedName>
    <definedName name="CURRENT_MONTH_SPOT">6</definedName>
    <definedName name="CURWEEK">1</definedName>
    <definedName name="cvaweravcsd" hidden="1">{"general",#N/A,FALSE,"Assumptions"}</definedName>
    <definedName name="cvvb" hidden="1">{"whole",#N/A,FALSE,"CS HC";"whole",#N/A,FALSE,"CS_ACTvsBud";"whole",#N/A,FALSE,"CSTrail3mo";"whole",#N/A,FALSE,"CS Cost Per Head ";"whole",#N/A,FALSE,"CS CPH YTD"}</definedName>
    <definedName name="Cwvu.CISHRF1999." hidden="1">#REF!,#REF!,#REF!,#REF!,#REF!,#REF!,#REF!,#REF!,#REF!,#REF!,#REF!,#REF!,#REF!,#REF!,#REF!,#REF!,#REF!,#REF!,#REF!,#REF!,#REF!,#REF!,#REF!,#REF!,#REF!,#REF!,#REF!</definedName>
    <definedName name="Cwvu.CONS96." hidden="1">#REF!,#REF!</definedName>
    <definedName name="Cwvu.FY94_99annual." hidden="1">#REF!,#REF!</definedName>
    <definedName name="Cwvu.NAMTaxF1999." hidden="1">#REF!,#REF!,#REF!,#REF!,#REF!,#REF!,#REF!,#REF!,#REF!,#REF!,#REF!,#REF!,#REF!,#REF!,#REF!</definedName>
    <definedName name="Cwvu.Qtr." hidden="1">#REF!,#REF!,#REF!,#REF!,#REF!</definedName>
    <definedName name="CYTDVOL">11</definedName>
    <definedName name="czfb" hidden="1">{"whole",#N/A,FALSE,"Gen_Dist_Act_Bud";"whole",#N/A,FALSE,"Gen_Dist_T3months";"whole",#N/A,FALSE,"GD_PerP";"whole",#N/A,FALSE,"HR Dist'n"}</definedName>
    <definedName name="czx" hidden="1">{#N/A,#N/A,FALSE,"Aging Summary";#N/A,#N/A,FALSE,"Ratio Analysis";#N/A,#N/A,FALSE,"Test 120 Day Accts";#N/A,#N/A,FALSE,"Tickmarks"}</definedName>
    <definedName name="czxzx" hidden="1">{#N/A,#N/A,FALSE,"Aging Summary";#N/A,#N/A,FALSE,"Ratio Analysis";#N/A,#N/A,FALSE,"Test 120 Day Accts";#N/A,#N/A,FALSE,"Tickmarks"}</definedName>
    <definedName name="dad" hidden="1">{"Quarterly (Earnings model )",#N/A,FALSE,"Earnings model ";"Quarterlycompare (Earnings model )",#N/A,FALSE,"Earnings model ";"Annual (Earnings model )",#N/A,FALSE,"Earnings model "}</definedName>
    <definedName name="dasfdafas" hidden="1">{#N/A,#N/A,FALSE,"Summary";#N/A,#N/A,FALSE,"Expense";#N/A,#N/A,FALSE,"Capital"}</definedName>
    <definedName name="DB">"WIRENYPROD"</definedName>
    <definedName name="dd" hidden="1">{"Quarterly (Earnings model )",#N/A,FALSE,"Earnings model ";"Quarterlycompare (Earnings model )",#N/A,FALSE,"Earnings model ";"Annual (Earnings model )",#N/A,FALSE,"Earnings model "}</definedName>
    <definedName name="ddccd" hidden="1">{"Quarterly (Earnings model )",#N/A,FALSE,"Earnings model ";"Quarterlycompare (Earnings model )",#N/A,FALSE,"Earnings model ";"Annual (Earnings model )",#N/A,FALSE,"Earnings model "}</definedName>
    <definedName name="ddd" hidden="1">{"Quarterly (Earnings model )",#N/A,FALSE,"Earnings model ";"Quarterlycompare (Earnings model )",#N/A,FALSE,"Earnings model ";"Annual (Earnings model )",#N/A,FALSE,"Earnings model "}</definedName>
    <definedName name="dddd" hidden="1">{"Quarterly (Earnings model )",#N/A,FALSE,"Earnings model ";"Quarterlycompare (Earnings model )",#N/A,FALSE,"Earnings model ";"Annual (Earnings model )",#N/A,FALSE,"Earnings model "}</definedName>
    <definedName name="ddddd" hidden="1">{"Quarterly (Earnings model )",#N/A,FALSE,"Earnings model ";"Quarterlycompare (Earnings model )",#N/A,FALSE,"Earnings model ";"Annual (Earnings model )",#N/A,FALSE,"Earnings model "}</definedName>
    <definedName name="delete1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df" hidden="1">{"comps",#N/A,FALSE,"comps";"notes",#N/A,FALSE,"comps"}</definedName>
    <definedName name="dfa" hidden="1">{"Annual_Income",#N/A,FALSE,"Report Page";"Balance_Cash_Flow",#N/A,FALSE,"Report Page";"Quarterly_Income",#N/A,FALSE,"Report Page"}</definedName>
    <definedName name="dfas" hidden="1">{#N/A,#N/A,FALSE,"Contents";#N/A,#N/A,FALSE,"Returns (Current+YTD)";#N/A,#N/A,FALSE,"Returns (Reason-MTD)";#N/A,#N/A,FALSE,"Returns (Reason-YTD)";#N/A,#N/A,FALSE,"Reserves (Current)";#N/A,#N/A,FALSE,"Reserves (YTD)";#N/A,#N/A,FALSE,"Reserves (PU)";#N/A,#N/A,FALSE,"Reserves (Rec)";#N/A,#N/A,FALSE,"PPRO (SKU)";#N/A,#N/A,FALSE,"PPRO (YTD)";#N/A,#N/A,FALSE,"Rebates (Current)";#N/A,#N/A,FALSE,"Rebates (YTD)"}</definedName>
    <definedName name="dfasfdf" hidden="1">{"whole",#N/A,FALSE,"Gen_Dist_Act_Bud";"whole",#N/A,FALSE,"Gen_Dist_T3months";"whole",#N/A,FALSE,"GD_PerP";"whole",#N/A,FALSE,"HR Dist'n"}</definedName>
    <definedName name="dfd" hidden="1">{"comp1",#N/A,FALSE,"COMPS";"footnotes",#N/A,FALSE,"COMPS"}</definedName>
    <definedName name="dfda" hidden="1">{"comp1",#N/A,FALSE,"COMPS";"footnotes",#N/A,FALSE,"COMPS"}</definedName>
    <definedName name="dfd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saadsfa" hidden="1">{#N/A,#N/A,FALSE,"Calc";#N/A,#N/A,FALSE,"Sensitivity";#N/A,#N/A,FALSE,"LT Earn.Dil.";#N/A,#N/A,FALSE,"Dil. AVP"}</definedName>
    <definedName name="dfsh" hidden="1">{"whole",#N/A,FALSE,"CS FIN Sum For Rox";"whole",#N/A,FALSE,"Gen_Dist_Act_Bud";"whole",#N/A,FALSE,"Gen_Dist_T3months";"whole",#N/A,FALSE,"GD_PerP";"whole",#N/A,FALSE,"CS_DIST_ActvsBud";"whole",#N/A,FALSE,"CS_DIST_SUM_trail3mo"}</definedName>
    <definedName name="dg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ocisscrewed" hidden="1">{"whole",#N/A,FALSE,"CS FIN Sum For Rox";"whole",#N/A,FALSE,"Gen_Dist_Act_Bud";"whole",#N/A,FALSE,"Gen_Dist_T3months";"whole",#N/A,FALSE,"GD_PerP";"whole",#N/A,FALSE,"CS_DIST_ActvsBud";"whole",#N/A,FALSE,"CS_DIST_SUM_trail3mo"}</definedName>
    <definedName name="DoCoMo" hidden="1">{"test2",#N/A,TRUE,"Prices"}</definedName>
    <definedName name="ds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dtu" hidden="1">{#N/A,#N/A,TRUE,"financial";#N/A,#N/A,TRUE,"plants"}</definedName>
    <definedName name="e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E_acquire" hidden="1">{"closed",#N/A,FALSE,"Consolidated Products - Budget";"expanded",#N/A,FALSE,"Consolidated Products - Budget"}</definedName>
    <definedName name="E_ALL_CRWV">#REF!</definedName>
    <definedName name="E_ALL_MNDY">#REF!</definedName>
    <definedName name="E_ALL_MSFT">#REF!</definedName>
    <definedName name="E_ALL_NTNX">[1]NTNX_Exchange_Sheet!$A$1:$CB$331</definedName>
    <definedName name="E_ALL_TTAN">#REF!</definedName>
    <definedName name="ea" hidden="1">{"barthelet detail",#N/A,FALSE,"96 plan Q1";"barthelet summ",#N/A,FALSE,"96 plan Q1"}</definedName>
    <definedName name="eas" hidden="1">{"barthelet detail",#N/A,FALSE,"96 plan Q1";"barthelet summ",#N/A,FALSE,"96 plan Q1"}</definedName>
    <definedName name="ed5dyx" hidden="1">{#N/A,#N/A,FALSE,"CBE";#N/A,#N/A,FALSE,"SWK"}</definedName>
    <definedName name="edp" hidden="1">{"assumption 50 50",#N/A,TRUE,"Merger";"has gets cash",#N/A,TRUE,"Merger";"accretion dilution",#N/A,TRUE,"Merger";"comparison credit stats",#N/A,TRUE,"Merger";"pf credit stats",#N/A,TRUE,"Merger";"pf sheets",#N/A,TRUE,"Merger"}</definedName>
    <definedName name="eee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eeee" hidden="1">{#N/A,#N/A,FALSE,"Calc";#N/A,#N/A,FALSE,"Sensitivity";#N/A,#N/A,FALSE,"LT Earn.Dil.";#N/A,#N/A,FALSE,"Dil. AVP"}</definedName>
    <definedName name="eeeeee" hidden="1">{"barthelet detail",#N/A,FALSE,"96 plan Q1";"barthelet summ",#N/A,FALSE,"96 plan Q1"}</definedName>
    <definedName name="effodd" hidden="1">{"'Standalone List Price Trends'!$A$1:$X$56"}</definedName>
    <definedName name="eltonwelke" hidden="1">{"whole",#N/A,FALSE,"Gen_Dist_Act_Bud";"whole",#N/A,FALSE,"Gen_Dist_T3months";"whole",#N/A,FALSE,"GD_PerP";"whole",#N/A,FALSE,"HR Dist'n"}</definedName>
    <definedName name="emily" hidden="1">{#N/A,#N/A,FALSE,"Calc";#N/A,#N/A,FALSE,"Sensitivity";#N/A,#N/A,FALSE,"LT Earn.Dil.";#N/A,#N/A,FALSE,"Dil. AVP"}</definedName>
    <definedName name="ev.Calculation" hidden="1">-4105</definedName>
    <definedName name="ev.Initialized" hidden="1">FALSE</definedName>
    <definedName name="ExecutiveSummary" hidden="1">{#N/A,#N/A,FALSE,"Summary";#N/A,#N/A,FALSE,"Details";#N/A,#N/A,FALSE,"Month-Hd";#N/A,#N/A,FALSE,"YTD-Hd";#N/A,#N/A,FALSE,"Capital"}</definedName>
    <definedName name="eyr" hidden="1">{"hiden",#N/A,FALSE,"14";"hidden",#N/A,FALSE,"16";"hidden",#N/A,FALSE,"18";"hidden",#N/A,FALSE,"20"}</definedName>
    <definedName name="f" hidden="1">{"IS",#N/A,FALSE,"IS";"RPTIS",#N/A,FALSE,"RPTIS";"STATS",#N/A,FALSE,"STATS";"CELL",#N/A,FALSE,"CELL";"BS",#N/A,FALSE,"BS"}</definedName>
    <definedName name="fadsfasdfasf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faerqawevc" hidden="1">{"trans assumptions",#N/A,FALSE,"Merger";"trans accretion",#N/A,FALSE,"Merger"}</definedName>
    <definedName name="fasdsdadsfdsa" hidden="1">{"whole",#N/A,FALSE,"CS FIN Sum For Rox";"whole",#N/A,FALSE,"Gen_Dist_Act_Bud";"whole",#N/A,FALSE,"Gen_Dist_T3months";"whole",#N/A,FALSE,"GD_PerP";"whole",#N/A,FALSE,"CS_DIST_ActvsBud";"whole",#N/A,FALSE,"CS_DIST_SUM_trail3mo"}</definedName>
    <definedName name="fasefzcxv" hidden="1">{#N/A,#N/A,FALSE,"CBE";#N/A,#N/A,FALSE,"SWK"}</definedName>
    <definedName name="fawefawfea" hidden="1">{"comp1",#N/A,FALSE,"COMPS";"footnotes",#N/A,FALSE,"COMPS"}</definedName>
    <definedName name="fd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fda" hidden="1">{#N/A,#N/A,FALSE,"BAL";#N/A,#N/A,FALSE,"P&amp;L";#N/A,#N/A,FALSE,"REV";#N/A,#N/A,FALSE,"COS";#N/A,#N/A,FALSE,"DPT";#N/A,#N/A,FALSE,"CSS";#N/A,#N/A,FALSE,"IMP";#N/A,#N/A,FALSE,"OPS";#N/A,#N/A,FALSE,"DVL";#N/A,#N/A,FALSE,"ADM"}</definedName>
    <definedName name="fddf" hidden="1">{#N/A,#N/A,FALSE,"Summary";#N/A,#N/A,FALSE,"Details";#N/A,#N/A,FALSE,"Month-Hd";#N/A,#N/A,FALSE,"YTD-Hd";#N/A,#N/A,FALSE,"Capital"}</definedName>
    <definedName name="fddfd" hidden="1">{#N/A,#N/A,FALSE,"Summary";#N/A,#N/A,FALSE,"Details";#N/A,#N/A,FALSE,"Month-Hd";#N/A,#N/A,FALSE,"YTD-Hd";#N/A,#N/A,FALSE,"Capital"}</definedName>
    <definedName name="fdf" hidden="1">{#N/A,#N/A,FALSE,"Summary";#N/A,#N/A,FALSE,"Expense";#N/A,#N/A,FALSE,"Capital"}</definedName>
    <definedName name="FDP_0_1_aSrv" hidden="1">#REF!</definedName>
    <definedName name="FDP_0_1_aUrv" hidden="1">#REF!</definedName>
    <definedName name="FDP_1_1_aDrv" hidden="1">#REF!</definedName>
    <definedName name="FDP_1_1_aUrv" hidden="1">#REF!</definedName>
    <definedName name="FDP_10_1_aUrv" hidden="1">#REF!</definedName>
    <definedName name="FDP_100_1_aUrv" hidden="1">#REF!</definedName>
    <definedName name="FDP_101_1_aUrv" hidden="1">#REF!</definedName>
    <definedName name="FDP_102_1_aSrv" hidden="1">#REF!</definedName>
    <definedName name="FDP_102_1_aUrv" hidden="1">#REF!</definedName>
    <definedName name="FDP_103_1_aSrv" hidden="1">#REF!</definedName>
    <definedName name="FDP_103_1_aUrv" hidden="1">#REF!</definedName>
    <definedName name="FDP_104_1_aUrv" hidden="1">#REF!</definedName>
    <definedName name="FDP_105_1_aUrv" hidden="1">#REF!</definedName>
    <definedName name="FDP_106_1_aUrv" hidden="1">#REF!</definedName>
    <definedName name="FDP_107_1_aUrv" hidden="1">#REF!</definedName>
    <definedName name="FDP_108_1_aUrv" hidden="1">#REF!</definedName>
    <definedName name="FDP_109_1_aUrv" hidden="1">#REF!</definedName>
    <definedName name="FDP_11_1_aDrv" hidden="1">#REF!</definedName>
    <definedName name="FDP_11_1_aUrv" hidden="1">#REF!</definedName>
    <definedName name="FDP_110_1_aUrv" hidden="1">#REF!</definedName>
    <definedName name="FDP_111_1_aUrv" hidden="1">#REF!</definedName>
    <definedName name="FDP_112_1_aUrv" hidden="1">#REF!</definedName>
    <definedName name="FDP_113_1_aUrv" hidden="1">#REF!</definedName>
    <definedName name="FDP_114_1_aUrv" hidden="1">#REF!</definedName>
    <definedName name="FDP_115_1_aSrv" hidden="1">#REF!</definedName>
    <definedName name="FDP_115_1_aUrv" hidden="1">#REF!</definedName>
    <definedName name="FDP_116_1_aSrv" hidden="1">#REF!</definedName>
    <definedName name="FDP_116_1_aUrv" hidden="1">#REF!</definedName>
    <definedName name="FDP_117_1_aUrv" hidden="1">#REF!</definedName>
    <definedName name="FDP_118_1_aUrv" hidden="1">#REF!</definedName>
    <definedName name="FDP_119_1_aUrv" hidden="1">#REF!</definedName>
    <definedName name="FDP_12_1_aDrv" hidden="1">#REF!</definedName>
    <definedName name="FDP_12_1_aUrv" hidden="1">#REF!</definedName>
    <definedName name="FDP_120_1_aUrv" hidden="1">#REF!</definedName>
    <definedName name="FDP_121_1_aUrv" hidden="1">#REF!</definedName>
    <definedName name="FDP_122_1_aUrv" hidden="1">#REF!</definedName>
    <definedName name="FDP_123_1_aUrv" hidden="1">#REF!</definedName>
    <definedName name="FDP_124_1_aSrv" hidden="1">#REF!</definedName>
    <definedName name="FDP_124_1_aUrv" hidden="1">#REF!</definedName>
    <definedName name="FDP_125_1_aUrv" hidden="1">#REF!</definedName>
    <definedName name="FDP_126_1_aUrv" hidden="1">#REF!</definedName>
    <definedName name="FDP_127_1_aUrv" hidden="1">#REF!</definedName>
    <definedName name="FDP_128_1_aUrv" hidden="1">#REF!</definedName>
    <definedName name="FDP_129_1_aUrv" hidden="1">#REF!</definedName>
    <definedName name="FDP_13_1_aDrv" hidden="1">#REF!</definedName>
    <definedName name="FDP_13_1_aUrv" hidden="1">#REF!</definedName>
    <definedName name="FDP_130_1_aUrv" hidden="1">#REF!</definedName>
    <definedName name="FDP_131_1_aUrv" hidden="1">#REF!</definedName>
    <definedName name="FDP_132_1_aSrv" hidden="1">#REF!</definedName>
    <definedName name="FDP_132_1_aUrv" hidden="1">#REF!</definedName>
    <definedName name="FDP_133_1_aSrv" hidden="1">#REF!</definedName>
    <definedName name="FDP_133_1_aUrv" hidden="1">#REF!</definedName>
    <definedName name="FDP_134_1_aUrv" hidden="1">#REF!</definedName>
    <definedName name="FDP_135_1_aUrv" hidden="1">#REF!</definedName>
    <definedName name="FDP_136_1_aSrv" hidden="1">#REF!</definedName>
    <definedName name="FDP_136_1_aUrv" hidden="1">#REF!</definedName>
    <definedName name="FDP_137_1_aSrv" hidden="1">#REF!</definedName>
    <definedName name="FDP_137_1_aUrv" hidden="1">#REF!</definedName>
    <definedName name="FDP_138_1_aSrv" hidden="1">#REF!</definedName>
    <definedName name="FDP_138_1_aUrv" hidden="1">#REF!</definedName>
    <definedName name="FDP_139_1_aSrv" hidden="1">#REF!</definedName>
    <definedName name="FDP_139_1_aUrv" hidden="1">#REF!</definedName>
    <definedName name="FDP_14_1_aDrv" hidden="1">#REF!</definedName>
    <definedName name="FDP_14_1_aUrv" hidden="1">#REF!</definedName>
    <definedName name="FDP_140_1_aSrv" hidden="1">#REF!</definedName>
    <definedName name="FDP_140_1_aUrv" hidden="1">#REF!</definedName>
    <definedName name="FDP_141_1_aSrv" hidden="1">#REF!</definedName>
    <definedName name="FDP_141_1_aUrv" hidden="1">#REF!</definedName>
    <definedName name="FDP_142_1_aUrv" hidden="1">#REF!</definedName>
    <definedName name="FDP_143_1_aUrv" hidden="1">#REF!</definedName>
    <definedName name="FDP_144_1_aUrv" hidden="1">#REF!</definedName>
    <definedName name="FDP_145_1_aUrv" hidden="1">#REF!</definedName>
    <definedName name="FDP_146_1_aUrv" hidden="1">#REF!</definedName>
    <definedName name="FDP_147_1_aUrv" hidden="1">#REF!</definedName>
    <definedName name="FDP_148_1_aUrv" hidden="1">#REF!</definedName>
    <definedName name="FDP_149_1_aUrv" hidden="1">#REF!</definedName>
    <definedName name="FDP_15_1_aUrv" hidden="1">#REF!</definedName>
    <definedName name="FDP_150_1_aUrv" hidden="1">#REF!</definedName>
    <definedName name="FDP_151_1_aUrv" hidden="1">#REF!</definedName>
    <definedName name="FDP_152_1_aUrv" hidden="1">#REF!</definedName>
    <definedName name="FDP_153_1_aUrv" hidden="1">#REF!</definedName>
    <definedName name="FDP_154_1_aUrv" hidden="1">#REF!</definedName>
    <definedName name="FDP_155_1_aSrv" hidden="1">#REF!</definedName>
    <definedName name="FDP_155_1_aUrv" hidden="1">#REF!</definedName>
    <definedName name="FDP_156_1_aUrv" hidden="1">#REF!</definedName>
    <definedName name="FDP_157_1_aSrv" hidden="1">#REF!</definedName>
    <definedName name="FDP_157_1_aUrv" hidden="1">#REF!</definedName>
    <definedName name="FDP_158_1_aUrv" hidden="1">#REF!</definedName>
    <definedName name="FDP_159_1_aSrv" hidden="1">#REF!</definedName>
    <definedName name="FDP_16_1_aDrv" hidden="1">#REF!</definedName>
    <definedName name="FDP_16_1_aUrv" hidden="1">#REF!</definedName>
    <definedName name="FDP_160_1_aUrv" hidden="1">#REF!</definedName>
    <definedName name="FDP_161_1_aSrv" hidden="1">#REF!</definedName>
    <definedName name="FDP_162_1_aUrv" hidden="1">#REF!</definedName>
    <definedName name="FDP_163_1_aSrv" hidden="1">#REF!</definedName>
    <definedName name="FDP_163_1_aUrv" hidden="1">#REF!</definedName>
    <definedName name="FDP_164_1_aUrv" hidden="1">#REF!</definedName>
    <definedName name="FDP_165_1_aSrv" hidden="1">#REF!</definedName>
    <definedName name="FDP_165_1_aUrv" hidden="1">#REF!</definedName>
    <definedName name="FDP_166_1_aDrv" hidden="1">#REF!</definedName>
    <definedName name="FDP_166_1_aUrv" hidden="1">#REF!</definedName>
    <definedName name="FDP_167_1_aDrv" hidden="1">#REF!</definedName>
    <definedName name="FDP_167_1_aUrv" hidden="1">#REF!</definedName>
    <definedName name="FDP_168_1_aDrv" hidden="1">#REF!</definedName>
    <definedName name="FDP_168_1_aSrv" hidden="1">#REF!</definedName>
    <definedName name="FDP_169_1_aDrv" hidden="1">#REF!</definedName>
    <definedName name="FDP_169_1_aSrv" hidden="1">#REF!</definedName>
    <definedName name="FDP_17_1_aUrv" hidden="1">#REF!</definedName>
    <definedName name="FDP_170_1_aDrv" hidden="1">#REF!</definedName>
    <definedName name="FDP_170_1_aUrv" hidden="1">#REF!</definedName>
    <definedName name="FDP_171_1_aDrv" hidden="1">#REF!</definedName>
    <definedName name="FDP_171_1_aSrv" hidden="1">#REF!</definedName>
    <definedName name="FDP_172_1_aDrv" hidden="1">#REF!</definedName>
    <definedName name="FDP_172_1_aUrv" hidden="1">#REF!</definedName>
    <definedName name="FDP_173_1_aDrv" hidden="1">#REF!</definedName>
    <definedName name="FDP_173_1_aUrv" hidden="1">#REF!</definedName>
    <definedName name="FDP_174_1_aDrv" hidden="1">#REF!</definedName>
    <definedName name="FDP_174_1_aSrv" hidden="1">#REF!</definedName>
    <definedName name="FDP_175_1_aDrv" hidden="1">#REF!</definedName>
    <definedName name="FDP_175_1_aUrv" hidden="1">#REF!</definedName>
    <definedName name="FDP_176_1_aDrv" hidden="1">#REF!</definedName>
    <definedName name="FDP_176_1_aUrv" hidden="1">#REF!</definedName>
    <definedName name="FDP_177_1_aDrv" hidden="1">#REF!</definedName>
    <definedName name="FDP_177_1_aSrv" hidden="1">#REF!</definedName>
    <definedName name="FDP_178_1_aDrv" hidden="1">#REF!</definedName>
    <definedName name="FDP_178_1_aUrv" hidden="1">#REF!</definedName>
    <definedName name="FDP_179_1_aUrv" hidden="1">#REF!</definedName>
    <definedName name="FDP_18_1_aUrv" hidden="1">#REF!</definedName>
    <definedName name="FDP_18_1_rUrv" hidden="1">#REF!</definedName>
    <definedName name="FDP_180_1_aSrv" hidden="1">#REF!</definedName>
    <definedName name="FDP_180_1_aUrv" hidden="1">#REF!</definedName>
    <definedName name="FDP_181_1_aUrv" hidden="1">#REF!</definedName>
    <definedName name="FDP_182_1_aDrv" hidden="1">#REF!</definedName>
    <definedName name="FDP_182_1_aSrv" hidden="1">#REF!</definedName>
    <definedName name="FDP_183_1_aDrv" hidden="1">#REF!</definedName>
    <definedName name="FDP_183_1_aUrv" hidden="1">#REF!</definedName>
    <definedName name="FDP_184_1_aUdv" hidden="1">#REF!</definedName>
    <definedName name="FDP_184_1_aUrv" hidden="1">#REF!</definedName>
    <definedName name="FDP_185_1_aSrv" hidden="1">#REF!</definedName>
    <definedName name="FDP_185_1_aUdv" hidden="1">#REF!</definedName>
    <definedName name="FDP_186_1_aUdv" hidden="1">#REF!</definedName>
    <definedName name="FDP_186_1_aUrv" hidden="1">#REF!</definedName>
    <definedName name="FDP_187_1_aUdv" hidden="1">#REF!</definedName>
    <definedName name="FDP_187_1_aUrv" hidden="1">#REF!</definedName>
    <definedName name="FDP_188_1_aUdv" hidden="1">#REF!</definedName>
    <definedName name="FDP_188_1_aUrv" hidden="1">#REF!</definedName>
    <definedName name="FDP_189_1_aUdv" hidden="1">#REF!</definedName>
    <definedName name="FDP_189_1_aUrv" hidden="1">#REF!</definedName>
    <definedName name="FDP_19_1_aDrv" hidden="1">#REF!</definedName>
    <definedName name="FDP_19_1_aUrv" hidden="1">#REF!</definedName>
    <definedName name="FDP_190_1_aUdv" hidden="1">#REF!</definedName>
    <definedName name="FDP_190_1_aUrv" hidden="1">#REF!</definedName>
    <definedName name="FDP_191_1_aUdv" hidden="1">#REF!</definedName>
    <definedName name="FDP_191_1_aUrv" hidden="1">#REF!</definedName>
    <definedName name="FDP_192_1_aUdv" hidden="1">#REF!</definedName>
    <definedName name="FDP_192_1_aUrv" hidden="1">#REF!</definedName>
    <definedName name="FDP_193_1_aUdv" hidden="1">#REF!</definedName>
    <definedName name="FDP_193_1_aUrv" hidden="1">#REF!</definedName>
    <definedName name="FDP_194_1_aUdv" hidden="1">#REF!</definedName>
    <definedName name="FDP_194_1_aUrv" hidden="1">#REF!</definedName>
    <definedName name="FDP_195_1_aUdv" hidden="1">#REF!</definedName>
    <definedName name="FDP_195_1_aUrv" hidden="1">#REF!</definedName>
    <definedName name="FDP_196_1_aUdv" hidden="1">#REF!</definedName>
    <definedName name="FDP_196_1_aUrv" hidden="1">#REF!</definedName>
    <definedName name="FDP_197_1_aSrv" hidden="1">#REF!</definedName>
    <definedName name="FDP_197_1_aUdv" hidden="1">#REF!</definedName>
    <definedName name="FDP_198_1_aUdv" hidden="1">#REF!</definedName>
    <definedName name="FDP_198_1_aUrv" hidden="1">#REF!</definedName>
    <definedName name="FDP_199_1_aUdv" hidden="1">#REF!</definedName>
    <definedName name="FDP_199_1_aUrv" hidden="1">#REF!</definedName>
    <definedName name="FDP_2_1_aUrv" hidden="1">#REF!</definedName>
    <definedName name="FDP_20_1_aDrv" hidden="1">#REF!</definedName>
    <definedName name="FDP_20_1_aUrv" hidden="1">#REF!</definedName>
    <definedName name="FDP_200_1_aDdv" hidden="1">#REF!</definedName>
    <definedName name="FDP_200_1_aUrv" hidden="1">#REF!</definedName>
    <definedName name="FDP_201_1_aDdv" hidden="1">#REF!</definedName>
    <definedName name="FDP_201_1_aUrv" hidden="1">#REF!</definedName>
    <definedName name="FDP_202_1_aDdv" hidden="1">#REF!</definedName>
    <definedName name="FDP_202_1_aUrv" hidden="1">#REF!</definedName>
    <definedName name="FDP_203_1_aDdv" hidden="1">#REF!</definedName>
    <definedName name="FDP_203_1_aUrv" hidden="1">#REF!</definedName>
    <definedName name="FDP_204_1_aUrv" hidden="1">#REF!</definedName>
    <definedName name="FDP_205_1_aUrv" hidden="1">#REF!</definedName>
    <definedName name="FDP_206_1_aDrv" hidden="1">#REF!</definedName>
    <definedName name="FDP_206_1_aUrv" hidden="1">#REF!</definedName>
    <definedName name="FDP_207_1_aUrv" hidden="1">#REF!</definedName>
    <definedName name="FDP_208_1_aUrv" hidden="1">#REF!</definedName>
    <definedName name="FDP_209_1_aUrv" hidden="1">#REF!</definedName>
    <definedName name="FDP_21_1_aDrv" hidden="1">#REF!</definedName>
    <definedName name="FDP_21_1_aUrv" hidden="1">#REF!</definedName>
    <definedName name="FDP_210_1_aUrv" hidden="1">#REF!</definedName>
    <definedName name="FDP_211_1_aUrv" hidden="1">#REF!</definedName>
    <definedName name="FDP_212_1_aUrv" hidden="1">#REF!</definedName>
    <definedName name="FDP_213_1_aUrv" hidden="1">#REF!</definedName>
    <definedName name="FDP_214_1_aUrv" hidden="1">#REF!</definedName>
    <definedName name="FDP_215_1_aUrv" hidden="1">#REF!</definedName>
    <definedName name="FDP_216_1_aSrv" hidden="1">#REF!</definedName>
    <definedName name="FDP_217_1_aUrv" hidden="1">#REF!</definedName>
    <definedName name="FDP_218_1_aUrv" hidden="1">#REF!</definedName>
    <definedName name="FDP_219_1_aUrv" hidden="1">#REF!</definedName>
    <definedName name="FDP_22_1_aDrv" hidden="1">#REF!</definedName>
    <definedName name="FDP_22_1_aUrv" hidden="1">#REF!</definedName>
    <definedName name="FDP_220_1_aUrv" hidden="1">#REF!</definedName>
    <definedName name="FDP_221_1_aUrv" hidden="1">#REF!</definedName>
    <definedName name="FDP_222_1_aUrv" hidden="1">#REF!</definedName>
    <definedName name="FDP_223_1_aUrv" hidden="1">#REF!</definedName>
    <definedName name="FDP_224_1_aSrv" hidden="1">#REF!</definedName>
    <definedName name="FDP_225_1_aSrv" hidden="1">#REF!</definedName>
    <definedName name="FDP_226_1_aSrv" hidden="1">#REF!</definedName>
    <definedName name="FDP_227_1_aSrv" hidden="1">#REF!</definedName>
    <definedName name="FDP_228_1_aSrv" hidden="1">#REF!</definedName>
    <definedName name="FDP_229_1_aSrv" hidden="1">#REF!</definedName>
    <definedName name="FDP_23_1_aDrv" hidden="1">#REF!</definedName>
    <definedName name="FDP_23_1_aUrv" hidden="1">#REF!</definedName>
    <definedName name="FDP_230_1_aSrv" hidden="1">#REF!</definedName>
    <definedName name="FDP_231_1_aSrv" hidden="1">#REF!</definedName>
    <definedName name="FDP_232_1_aSrv" hidden="1">#REF!</definedName>
    <definedName name="FDP_233_1_aSrv" hidden="1">#REF!</definedName>
    <definedName name="FDP_234_1_aSrv" hidden="1">#REF!</definedName>
    <definedName name="FDP_235_1_aSrv" hidden="1">#REF!</definedName>
    <definedName name="FDP_236_1_aSrv" hidden="1">#REF!</definedName>
    <definedName name="FDP_237_1_aSrv" hidden="1">#REF!</definedName>
    <definedName name="FDP_238_1_aSrv" hidden="1">#REF!</definedName>
    <definedName name="FDP_239_1_aSrv" hidden="1">#REF!</definedName>
    <definedName name="FDP_24_1_aDrv" hidden="1">#REF!</definedName>
    <definedName name="FDP_24_1_aSrv" hidden="1">#REF!</definedName>
    <definedName name="FDP_240_1_aSrv" hidden="1">#REF!</definedName>
    <definedName name="FDP_241_1_aSrv" hidden="1">#REF!</definedName>
    <definedName name="FDP_242_1_aSrv" hidden="1">#REF!</definedName>
    <definedName name="FDP_243_1_aSrv" hidden="1">#REF!</definedName>
    <definedName name="FDP_244_1_aSrv" hidden="1">#REF!</definedName>
    <definedName name="FDP_245_1_aSrv" hidden="1">#REF!</definedName>
    <definedName name="FDP_246_1_aSrv" hidden="1">#REF!</definedName>
    <definedName name="FDP_247_1_aSrv" hidden="1">#REF!</definedName>
    <definedName name="FDP_248_1_aSrv" hidden="1">#REF!</definedName>
    <definedName name="FDP_249_1_aSrv" hidden="1">#REF!</definedName>
    <definedName name="FDP_25_1_aUrv" hidden="1">#REF!</definedName>
    <definedName name="FDP_250_1_aSrv" hidden="1">#REF!</definedName>
    <definedName name="FDP_251_1_aSrv" hidden="1">#REF!</definedName>
    <definedName name="FDP_252_1_aSrv" hidden="1">#REF!</definedName>
    <definedName name="FDP_253_1_aSrv" hidden="1">#REF!</definedName>
    <definedName name="FDP_254_1_aSrv" hidden="1">#REF!</definedName>
    <definedName name="FDP_255_1_aSrv" hidden="1">#REF!</definedName>
    <definedName name="FDP_256_1_aSrv" hidden="1">#REF!</definedName>
    <definedName name="FDP_257_1_aSrv" hidden="1">#REF!</definedName>
    <definedName name="FDP_258_1_aSrv" hidden="1">#REF!</definedName>
    <definedName name="FDP_259_1_aSrv" hidden="1">#REF!</definedName>
    <definedName name="FDP_26_1_aUrv" hidden="1">#REF!</definedName>
    <definedName name="FDP_260_1_aSrv" hidden="1">#REF!</definedName>
    <definedName name="FDP_261_1_aSrv" hidden="1">#REF!</definedName>
    <definedName name="FDP_262_1_aSrv" hidden="1">#REF!</definedName>
    <definedName name="FDP_263_1_aSrv" hidden="1">#REF!</definedName>
    <definedName name="FDP_264_1_aSrv" hidden="1">#REF!</definedName>
    <definedName name="FDP_265_1_aSrv" hidden="1">#REF!</definedName>
    <definedName name="FDP_266_1_aSrv" hidden="1">#REF!</definedName>
    <definedName name="FDP_267_1_aSrv" hidden="1">#REF!</definedName>
    <definedName name="FDP_268_1_aSrv" hidden="1">#REF!</definedName>
    <definedName name="FDP_269_1_aSrv" hidden="1">#REF!</definedName>
    <definedName name="FDP_27_1_aDrv" hidden="1">#REF!</definedName>
    <definedName name="FDP_27_1_aUrv" hidden="1">#REF!</definedName>
    <definedName name="FDP_270_1_aSrv" hidden="1">#REF!</definedName>
    <definedName name="FDP_271_1_aSrv" hidden="1">#REF!</definedName>
    <definedName name="FDP_272_1_aSrv" hidden="1">#REF!</definedName>
    <definedName name="FDP_273_1_aSrv" hidden="1">#REF!</definedName>
    <definedName name="FDP_274_1_aSrv" hidden="1">#REF!</definedName>
    <definedName name="FDP_275_1_aSrv" hidden="1">#REF!</definedName>
    <definedName name="FDP_276_1_aSrv" hidden="1">#REF!</definedName>
    <definedName name="FDP_277_1_aSrv" hidden="1">#REF!</definedName>
    <definedName name="FDP_278_1_aSrv" hidden="1">#REF!</definedName>
    <definedName name="FDP_279_1_aSrv" hidden="1">#REF!</definedName>
    <definedName name="FDP_28_1_aUrv" hidden="1">#REF!</definedName>
    <definedName name="FDP_280_1_aSrv" hidden="1">#REF!</definedName>
    <definedName name="FDP_281_1_aSrv" hidden="1">#REF!</definedName>
    <definedName name="FDP_282_1_aSrv" hidden="1">#REF!</definedName>
    <definedName name="FDP_283_1_aSrv" hidden="1">#REF!</definedName>
    <definedName name="FDP_284_1_aSrv" hidden="1">#REF!</definedName>
    <definedName name="FDP_285_1_aSrv" hidden="1">#REF!</definedName>
    <definedName name="FDP_286_1_aSrv" hidden="1">#REF!</definedName>
    <definedName name="FDP_287_1_aSrv" hidden="1">#REF!</definedName>
    <definedName name="FDP_288_1_aSrv" hidden="1">#REF!</definedName>
    <definedName name="FDP_289_1_aSrv" hidden="1">#REF!</definedName>
    <definedName name="FDP_29_1_aUrv" hidden="1">#REF!</definedName>
    <definedName name="FDP_290_1_aSrv" hidden="1">#REF!</definedName>
    <definedName name="FDP_291_1_aSrv" hidden="1">#REF!</definedName>
    <definedName name="FDP_292_1_aSrv" hidden="1">#REF!</definedName>
    <definedName name="FDP_293_1_aSrv" hidden="1">#REF!</definedName>
    <definedName name="FDP_294_1_aSrv" hidden="1">#REF!</definedName>
    <definedName name="FDP_295_1_aSrv" hidden="1">#REF!</definedName>
    <definedName name="FDP_296_1_aSrv" hidden="1">#REF!</definedName>
    <definedName name="FDP_297_1_aSrv" hidden="1">#REF!</definedName>
    <definedName name="FDP_298_1_aSrv" hidden="1">#REF!</definedName>
    <definedName name="FDP_299_1_aSrv" hidden="1">#REF!</definedName>
    <definedName name="FDP_3_1_aUrv" hidden="1">#REF!</definedName>
    <definedName name="FDP_30_1_aSrv" hidden="1">#REF!</definedName>
    <definedName name="FDP_30_1_aUrv" hidden="1">#REF!</definedName>
    <definedName name="FDP_300_1_aSrv" hidden="1">#REF!</definedName>
    <definedName name="FDP_301_1_aSrv" hidden="1">#REF!</definedName>
    <definedName name="FDP_302_1_aSrv" hidden="1">#REF!</definedName>
    <definedName name="FDP_303_1_aSrv" hidden="1">#REF!</definedName>
    <definedName name="FDP_304_1_aSrv" hidden="1">#REF!</definedName>
    <definedName name="FDP_305_1_aSrv" hidden="1">#REF!</definedName>
    <definedName name="FDP_306_1_aSrv" hidden="1">#REF!</definedName>
    <definedName name="FDP_307_1_aSrv" hidden="1">#REF!</definedName>
    <definedName name="FDP_308_1_aSrv" hidden="1">#REF!</definedName>
    <definedName name="FDP_309_1_aSrv" hidden="1">#REF!</definedName>
    <definedName name="FDP_31_1_aSrv" hidden="1">#REF!</definedName>
    <definedName name="FDP_31_1_aUrv" hidden="1">#REF!</definedName>
    <definedName name="FDP_310_1_aSrv" hidden="1">#REF!</definedName>
    <definedName name="FDP_311_1_aSrv" hidden="1">#REF!</definedName>
    <definedName name="FDP_312_1_aSrv" hidden="1">#REF!</definedName>
    <definedName name="FDP_313_1_aSrv" hidden="1">#REF!</definedName>
    <definedName name="FDP_314_1_aSrv" hidden="1">#REF!</definedName>
    <definedName name="FDP_315_1_aSrv" hidden="1">#REF!</definedName>
    <definedName name="FDP_316_1_aSrv" hidden="1">#REF!</definedName>
    <definedName name="FDP_317_1_aSrv" hidden="1">#REF!</definedName>
    <definedName name="FDP_32_1_aUrv" hidden="1">#REF!</definedName>
    <definedName name="FDP_33_1_aDrv" hidden="1">#REF!</definedName>
    <definedName name="FDP_33_1_aUrv" hidden="1">#REF!</definedName>
    <definedName name="FDP_34_1_aUrv" hidden="1">#REF!</definedName>
    <definedName name="FDP_35_1_aUrv" hidden="1">#REF!</definedName>
    <definedName name="FDP_36_1_aUrv" hidden="1">#REF!</definedName>
    <definedName name="FDP_37_1_aSrv" hidden="1">#REF!</definedName>
    <definedName name="FDP_37_1_aUrv" hidden="1">#REF!</definedName>
    <definedName name="FDP_38_1_aUrv" hidden="1">#REF!</definedName>
    <definedName name="FDP_39_1_aSrv" hidden="1">#REF!</definedName>
    <definedName name="FDP_39_1_aUrv" hidden="1">#REF!</definedName>
    <definedName name="FDP_4_1_aSrv" hidden="1">#REF!</definedName>
    <definedName name="FDP_4_1_aUrv" hidden="1">#REF!</definedName>
    <definedName name="FDP_40_1_aUrv" hidden="1">#REF!</definedName>
    <definedName name="FDP_41_1_aUrv" hidden="1">#REF!</definedName>
    <definedName name="FDP_42_1_aUrv" hidden="1">#REF!</definedName>
    <definedName name="FDP_43_1_aUrv" hidden="1">#REF!</definedName>
    <definedName name="FDP_44_1_aUrv" hidden="1">#REF!</definedName>
    <definedName name="FDP_45_1_aSrv" hidden="1">#REF!</definedName>
    <definedName name="FDP_45_1_aUrv" hidden="1">#REF!</definedName>
    <definedName name="FDP_455_1_aSrv" hidden="1">#REF!</definedName>
    <definedName name="FDP_456_1_aSrv" hidden="1">#REF!</definedName>
    <definedName name="FDP_457_1_aSrv" hidden="1">#REF!</definedName>
    <definedName name="FDP_458_1_aSrv" hidden="1">#REF!</definedName>
    <definedName name="FDP_459_1_aSrv" hidden="1">#REF!</definedName>
    <definedName name="FDP_46_1_aSrv" hidden="1">#REF!</definedName>
    <definedName name="FDP_46_1_aUrv" hidden="1">#REF!</definedName>
    <definedName name="FDP_460_1_aSrv" hidden="1">#REF!</definedName>
    <definedName name="FDP_461_1_aSrv" hidden="1">#REF!</definedName>
    <definedName name="FDP_462_1_aSrv" hidden="1">#REF!</definedName>
    <definedName name="FDP_463_1_aSrv" hidden="1">#REF!</definedName>
    <definedName name="FDP_464_1_aSrv" hidden="1">#REF!</definedName>
    <definedName name="FDP_465_1_aSrv" hidden="1">#REF!</definedName>
    <definedName name="FDP_466_1_aSrv" hidden="1">#REF!</definedName>
    <definedName name="FDP_467_1_aSrv" hidden="1">#REF!</definedName>
    <definedName name="FDP_468_1_aSrv" hidden="1">#REF!</definedName>
    <definedName name="FDP_469_1_aSrv" hidden="1">#REF!</definedName>
    <definedName name="FDP_47_1_aUrv" hidden="1">#REF!</definedName>
    <definedName name="FDP_470_1_aSrv" hidden="1">#REF!</definedName>
    <definedName name="FDP_471_1_aSrv" hidden="1">#REF!</definedName>
    <definedName name="FDP_472_1_aSrv" hidden="1">#REF!</definedName>
    <definedName name="FDP_473_1_aSrv" hidden="1">#REF!</definedName>
    <definedName name="FDP_474_1_aSrv" hidden="1">#REF!</definedName>
    <definedName name="FDP_475_1_aSrv" hidden="1">#REF!</definedName>
    <definedName name="FDP_476_1_aSrv" hidden="1">#REF!</definedName>
    <definedName name="FDP_477_1_aSrv" hidden="1">#REF!</definedName>
    <definedName name="FDP_478_1_aSrv" hidden="1">#REF!</definedName>
    <definedName name="FDP_479_1_aSrv" hidden="1">#REF!</definedName>
    <definedName name="FDP_48_1_aUrv" hidden="1">#REF!</definedName>
    <definedName name="FDP_480_1_aSrv" hidden="1">#REF!</definedName>
    <definedName name="FDP_481_1_aSrv" hidden="1">#REF!</definedName>
    <definedName name="FDP_482_1_aSrv" hidden="1">#REF!</definedName>
    <definedName name="FDP_483_1_aSrv" hidden="1">#REF!</definedName>
    <definedName name="FDP_484_1_aSrv" hidden="1">#REF!</definedName>
    <definedName name="FDP_485_1_aSrv" hidden="1">#REF!</definedName>
    <definedName name="FDP_486_1_aSrv" hidden="1">#REF!</definedName>
    <definedName name="FDP_487_1_aSrv" hidden="1">#REF!</definedName>
    <definedName name="FDP_488_1_aSrv" hidden="1">#REF!</definedName>
    <definedName name="FDP_489_1_aSrv" hidden="1">#REF!</definedName>
    <definedName name="FDP_49_1_aUrv" hidden="1">#REF!</definedName>
    <definedName name="FDP_490_1_aSrv" hidden="1">#REF!</definedName>
    <definedName name="FDP_491_1_aSrv" hidden="1">#REF!</definedName>
    <definedName name="FDP_492_1_aSrv" hidden="1">#REF!</definedName>
    <definedName name="FDP_493_1_aSrv" hidden="1">#REF!</definedName>
    <definedName name="FDP_494_1_aSrv" hidden="1">#REF!</definedName>
    <definedName name="FDP_495_1_aSrv" hidden="1">#REF!</definedName>
    <definedName name="FDP_496_1_aSrv" hidden="1">#REF!</definedName>
    <definedName name="FDP_497_1_aSrv" hidden="1">#REF!</definedName>
    <definedName name="FDP_498_1_aSrv" hidden="1">#REF!</definedName>
    <definedName name="FDP_499_1_aSrv" hidden="1">#REF!</definedName>
    <definedName name="FDP_5_1_aDrv" hidden="1">#REF!</definedName>
    <definedName name="FDP_5_1_aUrv" hidden="1">#REF!</definedName>
    <definedName name="FDP_50_1_aSrv" hidden="1">#REF!</definedName>
    <definedName name="FDP_50_1_aUrv" hidden="1">#REF!</definedName>
    <definedName name="FDP_500_1_aSrv" hidden="1">#REF!</definedName>
    <definedName name="FDP_501_1_aSrv" hidden="1">#REF!</definedName>
    <definedName name="FDP_502_1_aSrv" hidden="1">#REF!</definedName>
    <definedName name="FDP_503_1_aSrv" hidden="1">#REF!</definedName>
    <definedName name="FDP_504_1_aSrv" hidden="1">#REF!</definedName>
    <definedName name="FDP_505_1_aSrv" hidden="1">#REF!</definedName>
    <definedName name="FDP_506_1_aSrv" hidden="1">#REF!</definedName>
    <definedName name="FDP_507_1_aSrv" hidden="1">#REF!</definedName>
    <definedName name="FDP_508_1_aSrv" hidden="1">#REF!</definedName>
    <definedName name="FDP_509_1_aSrv" hidden="1">#REF!</definedName>
    <definedName name="FDP_51_1_aSrv" hidden="1">#REF!</definedName>
    <definedName name="FDP_51_1_aUrv" hidden="1">#REF!</definedName>
    <definedName name="FDP_510_1_aSrv" hidden="1">#REF!</definedName>
    <definedName name="FDP_511_1_aSrv" hidden="1">#REF!</definedName>
    <definedName name="FDP_512_1_aSrv" hidden="1">#REF!</definedName>
    <definedName name="FDP_513_1_aSrv" hidden="1">#REF!</definedName>
    <definedName name="FDP_514_1_aSrv" hidden="1">#REF!</definedName>
    <definedName name="FDP_515_1_aSrv" hidden="1">#REF!</definedName>
    <definedName name="FDP_516_1_aSrv" hidden="1">#REF!</definedName>
    <definedName name="FDP_517_1_aSrv" hidden="1">#REF!</definedName>
    <definedName name="FDP_518_1_aSrv" hidden="1">#REF!</definedName>
    <definedName name="FDP_519_1_aSrv" hidden="1">#REF!</definedName>
    <definedName name="FDP_52_1_aSrv" hidden="1">#REF!</definedName>
    <definedName name="FDP_52_1_aUrv" hidden="1">#REF!</definedName>
    <definedName name="FDP_520_1_aSrv" hidden="1">#REF!</definedName>
    <definedName name="FDP_521_1_aSrv" hidden="1">#REF!</definedName>
    <definedName name="FDP_522_1_aSrv" hidden="1">#REF!</definedName>
    <definedName name="FDP_523_1_aSrv" hidden="1">#REF!</definedName>
    <definedName name="FDP_524_1_aSrv" hidden="1">#REF!</definedName>
    <definedName name="FDP_525_1_aSrv" hidden="1">#REF!</definedName>
    <definedName name="FDP_526_1_aSrv" hidden="1">#REF!</definedName>
    <definedName name="FDP_527_1_aSrv" hidden="1">#REF!</definedName>
    <definedName name="FDP_528_1_aSrv" hidden="1">#REF!</definedName>
    <definedName name="FDP_529_1_aSrv" hidden="1">#REF!</definedName>
    <definedName name="FDP_53_1_aUrv" hidden="1">#REF!</definedName>
    <definedName name="FDP_530_1_aSrv" hidden="1">#REF!</definedName>
    <definedName name="FDP_531_1_aSrv" hidden="1">#REF!</definedName>
    <definedName name="FDP_532_1_aSrv" hidden="1">#REF!</definedName>
    <definedName name="FDP_533_1_aSrv" hidden="1">#REF!</definedName>
    <definedName name="FDP_534_1_aSrv" hidden="1">#REF!</definedName>
    <definedName name="FDP_535_1_aSrv" hidden="1">#REF!</definedName>
    <definedName name="FDP_536_1_aSrv" hidden="1">#REF!</definedName>
    <definedName name="FDP_537_1_aSrv" hidden="1">#REF!</definedName>
    <definedName name="FDP_538_1_aSrv" hidden="1">#REF!</definedName>
    <definedName name="FDP_539_1_aSrv" hidden="1">#REF!</definedName>
    <definedName name="FDP_54_1_aUrv" hidden="1">#REF!</definedName>
    <definedName name="FDP_540_1_aSrv" hidden="1">#REF!</definedName>
    <definedName name="FDP_541_1_aSrv" hidden="1">#REF!</definedName>
    <definedName name="FDP_542_1_aSrv" hidden="1">#REF!</definedName>
    <definedName name="FDP_543_1_aSrv" hidden="1">#REF!</definedName>
    <definedName name="FDP_544_1_aSrv" hidden="1">#REF!</definedName>
    <definedName name="FDP_545_1_aSrv" hidden="1">#REF!</definedName>
    <definedName name="FDP_546_1_aSrv" hidden="1">#REF!</definedName>
    <definedName name="FDP_547_1_aSrv" hidden="1">#REF!</definedName>
    <definedName name="FDP_548_1_aSrv" hidden="1">#REF!</definedName>
    <definedName name="FDP_549_1_aUrv" hidden="1">#REF!</definedName>
    <definedName name="FDP_55_1_aUrv" hidden="1">#REF!</definedName>
    <definedName name="FDP_550_1_aUrv" hidden="1">#REF!</definedName>
    <definedName name="FDP_551_1_aUrv" hidden="1">#REF!</definedName>
    <definedName name="FDP_552_1_aUrv" hidden="1">#REF!</definedName>
    <definedName name="FDP_553_1_aUrv" hidden="1">#REF!</definedName>
    <definedName name="FDP_554_1_aUrv" hidden="1">#REF!</definedName>
    <definedName name="FDP_56_1_aUrv" hidden="1">#REF!</definedName>
    <definedName name="FDP_57_1_aSrv" hidden="1">#REF!</definedName>
    <definedName name="FDP_57_1_aUrv" hidden="1">#REF!</definedName>
    <definedName name="FDP_58_1_aUrv" hidden="1">#REF!</definedName>
    <definedName name="FDP_59_1_aSrv" hidden="1">#REF!</definedName>
    <definedName name="FDP_59_1_aUrv" hidden="1">#REF!</definedName>
    <definedName name="FDP_6_1_aSrv" hidden="1">#REF!</definedName>
    <definedName name="FDP_6_1_aUrv" hidden="1">#REF!</definedName>
    <definedName name="FDP_60_1_aUrv" hidden="1">#REF!</definedName>
    <definedName name="FDP_608_1_aUrv" hidden="1">#REF!</definedName>
    <definedName name="FDP_609_1_aSrv" hidden="1">#REF!</definedName>
    <definedName name="FDP_61_1_aUrv" hidden="1">#REF!</definedName>
    <definedName name="FDP_610_1_aSrv" hidden="1">#REF!</definedName>
    <definedName name="FDP_612_1_aSrv" hidden="1">#REF!</definedName>
    <definedName name="FDP_613_1_aSrv" hidden="1">#REF!</definedName>
    <definedName name="FDP_614_1_aSrv" hidden="1">#REF!</definedName>
    <definedName name="FDP_615_1_aSrv" hidden="1">#REF!</definedName>
    <definedName name="FDP_616_1_aSrv" hidden="1">#REF!</definedName>
    <definedName name="FDP_617_1_aSrv" hidden="1">#REF!</definedName>
    <definedName name="FDP_618_1_aSrv" hidden="1">#REF!</definedName>
    <definedName name="FDP_619_1_aSrv" hidden="1">#REF!</definedName>
    <definedName name="FDP_62_1_aUrv" hidden="1">#REF!</definedName>
    <definedName name="FDP_620_1_aSrv" hidden="1">#REF!</definedName>
    <definedName name="FDP_63_1_aUrv" hidden="1">#REF!</definedName>
    <definedName name="FDP_64_1_aUrv" hidden="1">#REF!</definedName>
    <definedName name="FDP_65_1_aSrv" hidden="1">#REF!</definedName>
    <definedName name="FDP_66_1_aSrv" hidden="1">#REF!</definedName>
    <definedName name="FDP_66_1_aUrv" hidden="1">#REF!</definedName>
    <definedName name="FDP_67_1_aSrv" hidden="1">#REF!</definedName>
    <definedName name="FDP_67_1_aUrv" hidden="1">#REF!</definedName>
    <definedName name="FDP_68_1_aSrv" hidden="1">#REF!</definedName>
    <definedName name="FDP_68_1_aUrv" hidden="1">#REF!</definedName>
    <definedName name="FDP_69_1_aSrv" hidden="1">#REF!</definedName>
    <definedName name="FDP_7_1_aSrv" hidden="1">#REF!</definedName>
    <definedName name="FDP_7_1_aUrv" hidden="1">#REF!</definedName>
    <definedName name="FDP_70_1_aSrv" hidden="1">#REF!</definedName>
    <definedName name="FDP_70_1_aUrv" hidden="1">#REF!</definedName>
    <definedName name="FDP_71_1_aUrv" hidden="1">#REF!</definedName>
    <definedName name="FDP_72_1_aUrv" hidden="1">#REF!</definedName>
    <definedName name="FDP_73_1_aSrv" hidden="1">#REF!</definedName>
    <definedName name="FDP_74_1_aDrv" hidden="1">#REF!</definedName>
    <definedName name="FDP_74_1_aSrv" hidden="1">#REF!</definedName>
    <definedName name="FDP_75_1_aUrv" hidden="1">#REF!</definedName>
    <definedName name="FDP_76_1_aDrv" hidden="1">#REF!</definedName>
    <definedName name="FDP_76_1_aSrv" hidden="1">#REF!</definedName>
    <definedName name="FDP_77_1_aSrv" hidden="1">#REF!</definedName>
    <definedName name="FDP_77_1_aUrv" hidden="1">#REF!</definedName>
    <definedName name="FDP_78_1_aSrv" hidden="1">#REF!</definedName>
    <definedName name="FDP_78_1_aUrv" hidden="1">#REF!</definedName>
    <definedName name="FDP_79_1_aUrv" hidden="1">#REF!</definedName>
    <definedName name="FDP_8_1_aUrv" hidden="1">#REF!</definedName>
    <definedName name="FDP_80_1_aSrv" hidden="1">#REF!</definedName>
    <definedName name="FDP_80_1_aUrv" hidden="1">#REF!</definedName>
    <definedName name="FDP_81_1_aUrv" hidden="1">#REF!</definedName>
    <definedName name="FDP_82_1_aUrv" hidden="1">#REF!</definedName>
    <definedName name="FDP_83_1_aUrv" hidden="1">#REF!</definedName>
    <definedName name="FDP_84_1_aUrv" hidden="1">#REF!</definedName>
    <definedName name="FDP_85_1_aUrv" hidden="1">#REF!</definedName>
    <definedName name="FDP_86_1_aSrv" hidden="1">#REF!</definedName>
    <definedName name="FDP_86_1_aUrv" hidden="1">#REF!</definedName>
    <definedName name="FDP_87_1_aUrv" hidden="1">#REF!</definedName>
    <definedName name="FDP_88_1_aSrv" hidden="1">#REF!</definedName>
    <definedName name="FDP_88_1_aUrv" hidden="1">#REF!</definedName>
    <definedName name="FDP_89_1_aUrv" hidden="1">#REF!</definedName>
    <definedName name="FDP_9_1_aSrv" hidden="1">#REF!</definedName>
    <definedName name="FDP_9_1_aUrv" hidden="1">#REF!</definedName>
    <definedName name="FDP_90_1_aUrv" hidden="1">#REF!</definedName>
    <definedName name="FDP_91_1_aUrv" hidden="1">#REF!</definedName>
    <definedName name="FDP_92_1_aSrv" hidden="1">#REF!</definedName>
    <definedName name="FDP_92_1_aUrv" hidden="1">#REF!</definedName>
    <definedName name="FDP_93_1_aUrv" hidden="1">#REF!</definedName>
    <definedName name="FDP_94_1_aSrv" hidden="1">#REF!</definedName>
    <definedName name="FDP_94_1_aUrv" hidden="1">#REF!</definedName>
    <definedName name="FDP_95_1_aUrv" hidden="1">#REF!</definedName>
    <definedName name="FDP_96_1_aUrv" hidden="1">#REF!</definedName>
    <definedName name="FDP_97_1_aSrv" hidden="1">#REF!</definedName>
    <definedName name="FDP_97_1_aUrv" hidden="1">#REF!</definedName>
    <definedName name="FDP_98_1_aDrv" hidden="1">#REF!</definedName>
    <definedName name="FDP_98_1_aUrv" hidden="1">#REF!</definedName>
    <definedName name="FDP_99_1_aUrv" hidden="1">#REF!</definedName>
    <definedName name="fds" hidden="1">{"comps",#N/A,FALSE,"comps";"notes",#N/A,FALSE,"comps"}</definedName>
    <definedName name="fdsa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fdsaa" hidden="1">{"whole",#N/A,FALSE,"Gen_Dist_Act_Bud";"whole",#N/A,FALSE,"Gen_Dist_T3months";"whole",#N/A,FALSE,"GD_PerP";"whole",#N/A,FALSE,"HR Dist'n"}</definedName>
    <definedName name="fdsaasdfasdgasdf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fdsadsf" hidden="1">{#N/A,#N/A,FALSE,"Summary";#N/A,#N/A,FALSE,"Details";#N/A,#N/A,FALSE,"Month-Hd";#N/A,#N/A,FALSE,"YTD-Hd";#N/A,#N/A,FALSE,"Capital"}</definedName>
    <definedName name="fdsafdasdfasdf" hidden="1">{"whole",#N/A,FALSE,"Gen_Dist_Act_Bud";"whole",#N/A,FALSE,"Gen_Dist_T3months";"whole",#N/A,FALSE,"GD_PerP";"whole",#N/A,FALSE,"HR Dist'n"}</definedName>
    <definedName name="fdsafsadf" hidden="1">{#N/A,#N/A,FALSE,"Summary";#N/A,#N/A,FALSE,"Expense";#N/A,#N/A,FALSE,"Capital"}</definedName>
    <definedName name="fdsafsda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fdsf" hidden="1">{"general",#N/A,FALSE,"Assumptions"}</definedName>
    <definedName name="f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f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fff" hidden="1">{"whole",#N/A,FALSE,"CS FIN Sum For Rox";"whole",#N/A,FALSE,"Gen_Dist_Act_Bud";"whole",#N/A,FALSE,"Gen_Dist_T3months";"whole",#N/A,FALSE,"GD_PerP";"whole",#N/A,FALSE,"CS_DIST_ActvsBud";"whole",#N/A,FALSE,"CS_DIST_SUM_trail3mo"}</definedName>
    <definedName name="ffff" hidden="1">{"comps",#N/A,FALSE,"comps";"notes",#N/A,FALSE,"comps"}</definedName>
    <definedName name="fffffffffff" hidden="1">{"'Standalone List Price Trends'!$A$1:$X$56"}</definedName>
    <definedName name="fgfa" hidden="1">{"whole",#N/A,FALSE,"Gen_Dist_Act_Bud";"whole",#N/A,FALSE,"Gen_Dist_T3months";"whole",#N/A,FALSE,"GD_PerP";"whole",#N/A,FALSE,"HR Dist'n"}</definedName>
    <definedName name="fgfg" hidden="1">{"whole",#N/A,FALSE,"CS FIN Sum For Rox";"whole",#N/A,FALSE,"Gen_Dist_Act_Bud";"whole",#N/A,FALSE,"Gen_Dist_T3months";"whole",#N/A,FALSE,"GD_PerP";"whole",#N/A,FALSE,"CS_DIST_ActvsBud";"whole",#N/A,FALSE,"CS_DIST_SUM_trail3mo"}</definedName>
    <definedName name="FINCriteriaType">1</definedName>
    <definedName name="fins1" hidden="1">{#N/A,#N/A,FALSE,"Calc";#N/A,#N/A,FALSE,"Sensitivity";#N/A,#N/A,FALSE,"LT Earn.Dil.";#N/A,#N/A,FALSE,"Dil. AVP"}</definedName>
    <definedName name="fx">120</definedName>
    <definedName name="FY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FYE">"FYE"</definedName>
    <definedName name="gffa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ggf" hidden="1">{"comps",#N/A,FALSE,"comps";"notes",#N/A,FALSE,"comps"}</definedName>
    <definedName name="gls_ACT_EST_ROW" hidden="1">#REF!</definedName>
    <definedName name="gls_ACT_FORM_OFFSET" hidden="1">#REF!</definedName>
    <definedName name="gls_ALLOW_PARENT_OR_CONSOLIDATED" hidden="1">#REF!</definedName>
    <definedName name="gls_ALLOW_PUBLISH" hidden="1">#REF!</definedName>
    <definedName name="gls_AnalystEmpNoHeading" hidden="1">#REF!</definedName>
    <definedName name="gls_AnalystNameHeading" hidden="1">#REF!</definedName>
    <definedName name="gls_CF_BEGINS" hidden="1">#REF!</definedName>
    <definedName name="gls_CFD_CHANGEACT" hidden="1">#REF!</definedName>
    <definedName name="gls_CFD_CHANGEEST" hidden="1">#REF!</definedName>
    <definedName name="gls_CFD_FIRSTAVAIL" hidden="1">#REF!</definedName>
    <definedName name="gls_CFD_LISTAVAIL" hidden="1">#REF!</definedName>
    <definedName name="gls_CFD_SELECTED" hidden="1">#REF!</definedName>
    <definedName name="gls_CHANGED_NAMES" hidden="1">#REF!</definedName>
    <definedName name="gls_CHG_KEY_USER" hidden="1">#REF!</definedName>
    <definedName name="gls_CHG_SEL_ONLY" hidden="1">#REF!</definedName>
    <definedName name="gls_COMPANY_WORKBOOK_ID" hidden="1">#REF!</definedName>
    <definedName name="gls_ctrlShareholders" hidden="1">#REF!</definedName>
    <definedName name="gls_DELETED_PERIODS" hidden="1">#REF!</definedName>
    <definedName name="gls_EST_FORM_OFFSET" hidden="1">#REF!</definedName>
    <definedName name="gls_EXC_NOT_EXT" hidden="1">#REF!</definedName>
    <definedName name="gls_EXISTING_PERIODS" hidden="1">#REF!</definedName>
    <definedName name="gls_EXT_BELOW_PBT" hidden="1">#REF!</definedName>
    <definedName name="gls_FIRST_ITEM" hidden="1">#REF!</definedName>
    <definedName name="gls_FIRST_PK" hidden="1">#REF!</definedName>
    <definedName name="gls_FIRST_ROWMULT" hidden="1">#REF!</definedName>
    <definedName name="gls_FIRST_UNITS" hidden="1">#REF!</definedName>
    <definedName name="gls_FIXED_NAMES" hidden="1">#REF!</definedName>
    <definedName name="gls_FONT_STATUS" hidden="1">#REF!</definedName>
    <definedName name="gls_GenAccountingConvention" hidden="1">#REF!</definedName>
    <definedName name="gls_GenAdditionalInfo" hidden="1">#REF!</definedName>
    <definedName name="gls_GenComments" hidden="1">#REF!</definedName>
    <definedName name="gls_GenCompany" hidden="1">#REF!</definedName>
    <definedName name="gls_GenCompanyInfo" hidden="1">#REF!</definedName>
    <definedName name="gls_GenCountry" hidden="1">#REF!</definedName>
    <definedName name="gls_GenCurrency" hidden="1">#REF!</definedName>
    <definedName name="gls_GenCurrencyMultiplier" hidden="1">#REF!</definedName>
    <definedName name="gls_GenEnterCompInfo" hidden="1">#REF!</definedName>
    <definedName name="gls_GenEPSComment" hidden="1">#REF!</definedName>
    <definedName name="gls_GenHomeRegion" hidden="1">#REF!</definedName>
    <definedName name="gls_GenLastPublished" hidden="1">#REF!</definedName>
    <definedName name="gls_GenLastRecRevised" hidden="1">#REF!</definedName>
    <definedName name="gls_GenMainInfo" hidden="1">#REF!</definedName>
    <definedName name="gls_GenNoteComment" hidden="1">#REF!</definedName>
    <definedName name="gls_GenProfile" hidden="1">#REF!</definedName>
    <definedName name="gls_GenRecComment" hidden="1">#REF!</definedName>
    <definedName name="gls_GenSaleslineInfo" hidden="1">#REF!</definedName>
    <definedName name="gls_GenSalesSplitByRegion" hidden="1">#REF!</definedName>
    <definedName name="gls_GenSalesSplitHeading" hidden="1">#REF!</definedName>
    <definedName name="gls_GenSheetVersion" hidden="1">#REF!</definedName>
    <definedName name="gls_genStockCore" hidden="1">#REF!</definedName>
    <definedName name="gls_genStockRec" hidden="1">#REF!</definedName>
    <definedName name="gls_GLOSS_MONTHS" hidden="1">#REF!</definedName>
    <definedName name="gls_GW_IN" hidden="1">#REF!</definedName>
    <definedName name="gls_IIAA_IN" hidden="1">#REF!</definedName>
    <definedName name="gls_InterimValue" hidden="1">#REF!</definedName>
    <definedName name="gls_IssuedStockClassHeading" hidden="1">#REF!</definedName>
    <definedName name="gls_IssuedStockCodeHeading" hidden="1">#REF!</definedName>
    <definedName name="gls_IssuedStockFreeFloatHeading" hidden="1">#REF!</definedName>
    <definedName name="gls_KEY_DATA" hidden="1">#REF!</definedName>
    <definedName name="gls_KEY_VALUE" hidden="1">#REF!</definedName>
    <definedName name="gls_LANGUAGE" hidden="1">#REF!</definedName>
    <definedName name="gls_NEXT_PK" hidden="1">#REF!</definedName>
    <definedName name="gls_PERIOD_CODE" hidden="1">#REF!</definedName>
    <definedName name="gls_PERIOD_INDICATOR" hidden="1">#REF!</definedName>
    <definedName name="gls_PERIOD_PARENT_OR_CONSOL" hidden="1">#REF!</definedName>
    <definedName name="gls_PERIOD_TOTAL" hidden="1">#REF!</definedName>
    <definedName name="gls_PERIOD_TYPE" hidden="1">#REF!</definedName>
    <definedName name="gls_PrincipalStockClass" hidden="1">#REF!</definedName>
    <definedName name="gls_PROFILE_NAME" hidden="1">#REF!</definedName>
    <definedName name="gls_Recommendations" hidden="1">#REF!</definedName>
    <definedName name="gls_SASS5HistEPSGrowth" hidden="1">#REF!</definedName>
    <definedName name="gls_SASS5ProjEPSGrowth" hidden="1">#REF!</definedName>
    <definedName name="gls_SASSDirectorHoldings" hidden="1">#REF!</definedName>
    <definedName name="gls_SASSEPS45AGR" hidden="1">#REF!</definedName>
    <definedName name="gls_SASSIsInterimLastAnnounce" hidden="1">#REF!</definedName>
    <definedName name="gls_SASSLastAnnounce" hidden="1">#REF!</definedName>
    <definedName name="gls_SASSNETDIV45AGR" hidden="1">#REF!</definedName>
    <definedName name="gls_SaveBeforePublish" hidden="1">#REF!</definedName>
    <definedName name="gls_SaveWkbForNewPeriodCodes" hidden="1">#REF!</definedName>
    <definedName name="gls_ShareholderClassHeading" hidden="1">#REF!</definedName>
    <definedName name="gls_ShareholderHolding" hidden="1">#REF!</definedName>
    <definedName name="gls_ShareholderHoldingHeading" hidden="1">#REF!</definedName>
    <definedName name="gls_ShareholderName" hidden="1">#REF!</definedName>
    <definedName name="gls_ShareholderNameHeading" hidden="1">#REF!</definedName>
    <definedName name="gls_ShareholdingName" hidden="1">#REF!</definedName>
    <definedName name="gls_SHOW_CONTROL_VALUE" hidden="1">#REF!</definedName>
    <definedName name="gls_SHOW_KEY_VAL_COLUMN" hidden="1">#REF!</definedName>
    <definedName name="gls_SHOW_KEY_VALUES" hidden="1">#REF!</definedName>
    <definedName name="gls_SHOW_LINKED_ITEMS" hidden="1">#REF!</definedName>
    <definedName name="gls_SHOW_LOCAL_NAMES" hidden="1">#REF!</definedName>
    <definedName name="gls_SHOW_MULTIPLIERS" hidden="1">#REF!</definedName>
    <definedName name="gls_SHOW_PK_COLUMN" hidden="1">#REF!</definedName>
    <definedName name="gls_SHOW_STATUS_INFORMATION" hidden="1">#REF!</definedName>
    <definedName name="gls_SHOW_UNITS" hidden="1">#REF!</definedName>
    <definedName name="gls_SPARE_YEARS" hidden="1">#REF!</definedName>
    <definedName name="gls_SPECIAL_DIALOG" hidden="1">#REF!</definedName>
    <definedName name="gls_START_FORMULA_OVERRIDEABLE" hidden="1">#REF!</definedName>
    <definedName name="gls_START_LOCAL_NAMES" hidden="1">#REF!</definedName>
    <definedName name="gls_START_PERIOD_CURRENCY" hidden="1">#REF!</definedName>
    <definedName name="gls_START_STATUS" hidden="1">#REF!</definedName>
    <definedName name="gls_START_USER_REQ" hidden="1">#REF!</definedName>
    <definedName name="gls_START_USER_STATUS" hidden="1">#REF!</definedName>
    <definedName name="gls_START_VALIDATION" hidden="1">#REF!</definedName>
    <definedName name="gls_START_WHAT" hidden="1">#REF!</definedName>
    <definedName name="gls_START_YEAR" hidden="1">#REF!</definedName>
    <definedName name="gls_StockTicker" hidden="1">#REF!</definedName>
    <definedName name="gls_TEMP_PERIOD_CODE" hidden="1">#REF!</definedName>
    <definedName name="gls_THISWORKBOOK_NAME" hidden="1">#REF!</definedName>
    <definedName name="gls_UNUSUAL_POS" hidden="1">#REF!</definedName>
    <definedName name="gls_USING_CONSOLIDATED" hidden="1">#REF!</definedName>
    <definedName name="gls_YEAR_AE_CONTROL" hidden="1">#REF!</definedName>
    <definedName name="gls_YEAR_END_ROW" hidden="1">#REF!</definedName>
    <definedName name="gls_YetToRunStartupWizard" hidden="1">#REF!</definedName>
    <definedName name="h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HB_email">"hbellini@isigrp.com"</definedName>
    <definedName name="HB_phone">"(XXX) XXX-XXXX"</definedName>
    <definedName name="hhhsdf" hidden="1">{"up stand alones",#N/A,FALSE,"Acquiror"}</definedName>
    <definedName name="hjhjhj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kl" hidden="1">{#N/A,#N/A,FALSE,"Summary";#N/A,#N/A,FALSE,"Details";#N/A,#N/A,FALSE,"Month-Hd";#N/A,#N/A,FALSE,"YTD-Hd";#N/A,#N/A,FALSE,"Capital"}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ope2" hidden="1">{"closed",#N/A,FALSE,"Consolidated Products - Budget";"expanded",#N/A,FALSE,"Consolidated Products - Budget"}</definedName>
    <definedName name="HRSysView2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hshgs" hidden="1">{"whole",#N/A,FALSE,"Gen_Dist_Act_Bud";"whole",#N/A,FALSE,"Gen_Dist_T3months";"whole",#N/A,FALSE,"GD_PerP";"whole",#N/A,FALSE,"HR Dist'n"}</definedName>
    <definedName name="HTML_CodePage" hidden="1">1252</definedName>
    <definedName name="HTML_Control" hidden="1">{"'Standalone List Price Trends'!$A$1:$X$56"}</definedName>
    <definedName name="HTML_Description" hidden="1">""</definedName>
    <definedName name="HTML_Email" hidden="1">""</definedName>
    <definedName name="HTML_Header" hidden="1">"Standalone List Price Trends"</definedName>
    <definedName name="HTML_LastUpdate" hidden="1">"3/5/98"</definedName>
    <definedName name="HTML_LineAfter" hidden="1">FALSE</definedName>
    <definedName name="HTML_LineBefore" hidden="1">FALSE</definedName>
    <definedName name="HTML_Name" hidden="1">"Kevin Mitchell"</definedName>
    <definedName name="HTML_OBDlg2" hidden="1">TRUE</definedName>
    <definedName name="HTML_OBDlg4" hidden="1">TRUE</definedName>
    <definedName name="HTML_OS" hidden="1">0</definedName>
    <definedName name="HTML_PathFile" hidden="1">"C:\Kevin's Data\SW$\SW$SVC HTML\Strends.htm"</definedName>
    <definedName name="HTML_Title" hidden="1">"Switch Prices 03-98 xl97"</definedName>
    <definedName name="HTML1_1" hidden="1">"'[mitforum.xls]Sales Plan'!$A$1"</definedName>
    <definedName name="HTML1_10" hidden="1">""</definedName>
    <definedName name="HTML1_11" hidden="1">1</definedName>
    <definedName name="HTML1_12" hidden="1">"MyHTML.htm"</definedName>
    <definedName name="HTML1_2" hidden="1">1</definedName>
    <definedName name="HTML1_3" hidden="1">"$50K Entrepreneurship Competition Sales Plan"</definedName>
    <definedName name="HTML1_4" hidden="1">"Sales Plan"</definedName>
    <definedName name="HTML1_5" hidden="1">"Sales Plan model authored by Charlie Tillett of Frontier Software"</definedName>
    <definedName name="HTML1_6" hidden="1">-4146</definedName>
    <definedName name="HTML1_7" hidden="1">-4146</definedName>
    <definedName name="HTML1_8" hidden="1">"4/4/97"</definedName>
    <definedName name="HTML1_9" hidden="1">"$50K Entrepreneurship Competition"</definedName>
    <definedName name="HTML2_1" hidden="1">"'[mitforum.xls]Sales Plan'!$A$1:$P$32"</definedName>
    <definedName name="HTML2_10" hidden="1">""</definedName>
    <definedName name="HTML2_11" hidden="1">1</definedName>
    <definedName name="HTML2_12" hidden="1">"C:\My Documents\salesplan.html"</definedName>
    <definedName name="HTML2_2" hidden="1">1</definedName>
    <definedName name="HTML2_3" hidden="1">"Sales Plan"</definedName>
    <definedName name="HTML2_4" hidden="1">"Sales Plan"</definedName>
    <definedName name="HTML2_5" hidden="1">"Sales Plan model by Charlie Tillett of Frontier Software
"</definedName>
    <definedName name="HTML2_6" hidden="1">-4146</definedName>
    <definedName name="HTML2_7" hidden="1">-4146</definedName>
    <definedName name="HTML2_8" hidden="1">""</definedName>
    <definedName name="HTML2_9" hidden="1">""</definedName>
    <definedName name="HTML3_1" hidden="1">"[mitforum.xls]Headcount!$A$1:$P$54"</definedName>
    <definedName name="HTML3_10" hidden="1">""</definedName>
    <definedName name="HTML3_11" hidden="1">1</definedName>
    <definedName name="HTML3_12" hidden="1">"C:\My Documents\HiringPlan.html"</definedName>
    <definedName name="HTML3_2" hidden="1">1</definedName>
    <definedName name="HTML3_3" hidden="1">"Hiring Plan"</definedName>
    <definedName name="HTML3_4" hidden="1">"Hiring Plan"</definedName>
    <definedName name="HTML3_5" hidden="1">"Sales Plan model by Charlie Tillett of Frontier Software
"</definedName>
    <definedName name="HTML3_6" hidden="1">-4146</definedName>
    <definedName name="HTML3_7" hidden="1">-4146</definedName>
    <definedName name="HTML3_8" hidden="1">""</definedName>
    <definedName name="HTML3_9" hidden="1">""</definedName>
    <definedName name="HTML4_1" hidden="1">"'[mitforum.xls]Other Expenses'!$A$1:$P$23"</definedName>
    <definedName name="HTML4_10" hidden="1">""</definedName>
    <definedName name="HTML4_11" hidden="1">1</definedName>
    <definedName name="HTML4_12" hidden="1">"C:\My Documents\NonSalary.html"</definedName>
    <definedName name="HTML4_2" hidden="1">1</definedName>
    <definedName name="HTML4_3" hidden="1">"Non-Salary Expenses"</definedName>
    <definedName name="HTML4_4" hidden="1">"Non-Salary Expenses"</definedName>
    <definedName name="HTML4_5" hidden="1">"Financial model by Charlie Tillett of Frontier Software (charlie@frontier.com)
"</definedName>
    <definedName name="HTML4_6" hidden="1">-4146</definedName>
    <definedName name="HTML4_7" hidden="1">-4146</definedName>
    <definedName name="HTML4_8" hidden="1">""</definedName>
    <definedName name="HTML4_9" hidden="1">""</definedName>
    <definedName name="HTML5_1" hidden="1">"'[mitforum.xls]Income Statement'!$A$1:$Q$19"</definedName>
    <definedName name="HTML5_10" hidden="1">""</definedName>
    <definedName name="HTML5_11" hidden="1">1</definedName>
    <definedName name="HTML5_12" hidden="1">"C:\My Documents\IncomeStat.html"</definedName>
    <definedName name="HTML5_2" hidden="1">1</definedName>
    <definedName name="HTML5_3" hidden="1">"Income Statement"</definedName>
    <definedName name="HTML5_4" hidden="1">"Income Statement"</definedName>
    <definedName name="HTML5_5" hidden="1">"Financial model by Charlie Tillett of Frontier Software (charlie@frontier.com)"</definedName>
    <definedName name="HTML5_6" hidden="1">-4146</definedName>
    <definedName name="HTML5_7" hidden="1">-4146</definedName>
    <definedName name="HTML5_8" hidden="1">""</definedName>
    <definedName name="HTML5_9" hidden="1">""</definedName>
    <definedName name="HTML6_1" hidden="1">"'[mitforum.xls]Balance Sheet &amp; Cash Flow'!$A$1:$O$22"</definedName>
    <definedName name="HTML6_10" hidden="1">""</definedName>
    <definedName name="HTML6_11" hidden="1">1</definedName>
    <definedName name="HTML6_12" hidden="1">"C:\My Documents\CashFlow.htm"</definedName>
    <definedName name="HTML6_2" hidden="1">1</definedName>
    <definedName name="HTML6_3" hidden="1">"Balance Sheet &amp; Cash Flow"</definedName>
    <definedName name="HTML6_4" hidden="1">"Balance Sheet &amp; Cash Flow"</definedName>
    <definedName name="HTML6_5" hidden="1">"Financial model by Charlie Tillett of Frontier Software (charlie@frontier.com)"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"'[mitforum.xls]Double Entry Primer'!$A$1:$X$17"</definedName>
    <definedName name="HTML7_10" hidden="1">""</definedName>
    <definedName name="HTML7_11" hidden="1">1</definedName>
    <definedName name="HTML7_12" hidden="1">"C:\My Documents\DoubleEntry.htm"</definedName>
    <definedName name="HTML7_2" hidden="1">1</definedName>
    <definedName name="HTML7_3" hidden="1">"Double Entry Primer"</definedName>
    <definedName name="HTML7_4" hidden="1">"Double Entry Primer"</definedName>
    <definedName name="HTML7_5" hidden="1">"Financial model by Charlie Tillett of Frontier Software (charlie@frontier.com)"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Count" hidden="1">7</definedName>
    <definedName name="HUh" hidden="1">{"'Standalone List Price Trends'!$A$1:$X$56"}</definedName>
    <definedName name="huh?????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i" hidden="1">{"whole",#N/A,FALSE,"CS HC";"whole",#N/A,FALSE,"CS_ACTvsBud";"whole",#N/A,FALSE,"CSTrail3mo";"whole",#N/A,FALSE,"CS Cost Per Head ";"whole",#N/A,FALSE,"CS CPH YTD"}</definedName>
    <definedName name="ik" hidden="1">{"casespecific",#N/A,FALSE,"Assumptions"}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QUIRED_BY_REPORTING_BANK_FDIC" hidden="1">"c6535"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MENDED_BALANCE_PREVIOUS_YR_FDIC" hidden="1">"c6499"</definedName>
    <definedName name="IQ_AMORT_EXPENSE_FDIC" hidden="1">"c6677"</definedName>
    <definedName name="IQ_AMORTIZED_COST_FDIC" hidden="1">"c6426"</definedName>
    <definedName name="IQ_ASSET_BACKED_FDIC" hidden="1">"c6301"</definedName>
    <definedName name="IQ_ASSETS_HELD_FDIC" hidden="1">"c6305"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PRICE_TARGET" hidden="1">"c82"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V_ACT_OR_EST_REUT" hidden="1">"c5471"</definedName>
    <definedName name="IQ_BV_EST_REUT" hidden="1">"c5403"</definedName>
    <definedName name="IQ_BV_HIGH_EST_REUT" hidden="1">"c5405"</definedName>
    <definedName name="IQ_BV_LOW_EST_REUT" hidden="1">"c5406"</definedName>
    <definedName name="IQ_BV_MEDIAN_EST_REUT" hidden="1">"c5404"</definedName>
    <definedName name="IQ_BV_NUM_EST_REUT" hidden="1">"c5407"</definedName>
    <definedName name="IQ_BV_STDDEV_EST_REUT" hidden="1">"c5408"</definedName>
    <definedName name="IQ_CASH_DIVIDENDS_NET_INCOME_FDIC" hidden="1">"c6738"</definedName>
    <definedName name="IQ_CASH_IN_PROCESS_FDIC" hidden="1">"c6386"</definedName>
    <definedName name="IQ_CASH_OPER_ACT_OR_EST" hidden="1">"c4164"</definedName>
    <definedName name="IQ_CASH_OPER_EST" hidden="1">"c4163"</definedName>
    <definedName name="IQ_CASH_OPER_HIGH_EST" hidden="1">"c4166"</definedName>
    <definedName name="IQ_CASH_OPER_LOW_EST" hidden="1">"c4244"</definedName>
    <definedName name="IQ_CASH_OPER_MEDIAN_EST" hidden="1">"c4245"</definedName>
    <definedName name="IQ_CASH_OPER_NUM_EST" hidden="1">"c4246"</definedName>
    <definedName name="IQ_CASH_OPER_STDDEV_EST" hidden="1">"c4247"</definedName>
    <definedName name="IQ_CCE_FDIC" hidden="1">"c6296"</definedName>
    <definedName name="IQ_CH" hidden="1">110000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MO_FDIC" hidden="1">"c6406"</definedName>
    <definedName name="IQ_COLLECTION_DOMESTIC_FDIC" hidden="1">"c6387"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RE_CONSTRUCTION_LAND_DEV_FDIC" hidden="1">"c6526"</definedName>
    <definedName name="IQ_COMMERCIAL_RE_LOANS_FDIC" hidden="1">"c6312"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_FDIC" hidden="1">"c6350"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TRACTS_OTHER_COMMODITIES_EQUITIES_FDIC" hidden="1">"c6522"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OF_FUNDING_ASSETS_FDIC" hidden="1">"c6725"</definedName>
    <definedName name="IQ_CQ" hidden="1">5000</definedName>
    <definedName name="IQ_CREDIT_CARD_CHARGE_OFFS_FDIC" hidden="1">"c6652"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PROVISION_NET_CHARGE_OFFS_FDIC" hidden="1">"c6734"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ENCY_COIN_DOMESTIC_FDIC" hidden="1">"c6388"</definedName>
    <definedName name="IQ_CUSIP" hidden="1">"c2245"</definedName>
    <definedName name="IQ_CY" hidden="1">10000</definedName>
    <definedName name="IQ_DAILY" hidden="1">500000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RIVATIVES_FDIC" hidden="1">"c6523"</definedName>
    <definedName name="IQ_DISTRIBUTABLE_CASH_EST_CIQ" hidden="1">"c4802"</definedName>
    <definedName name="IQ_DISTRIBUTABLE_CASH_HIGH_EST_CIQ" hidden="1">"c4805"</definedName>
    <definedName name="IQ_DISTRIBUTABLE_CASH_LOW_EST_CIQ" hidden="1">"c4806"</definedName>
    <definedName name="IQ_DISTRIBUTABLE_CASH_MEDIAN_EST_CIQ" hidden="1">"c4807"</definedName>
    <definedName name="IQ_DISTRIBUTABLE_CASH_NUM_EST_CIQ" hidden="1">"c4808"</definedName>
    <definedName name="IQ_DISTRIBUTABLE_CASH_SHARE_EST_CIQ" hidden="1">"c4810"</definedName>
    <definedName name="IQ_DISTRIBUTABLE_CASH_SHARE_HIGH_EST_CIQ" hidden="1">"c4813"</definedName>
    <definedName name="IQ_DISTRIBUTABLE_CASH_SHARE_LOW_EST_CIQ" hidden="1">"c4814"</definedName>
    <definedName name="IQ_DISTRIBUTABLE_CASH_SHARE_MEDIAN_EST_CIQ" hidden="1">"c4815"</definedName>
    <definedName name="IQ_DISTRIBUTABLE_CASH_SHARE_NUM_EST_CIQ" hidden="1">"c4816"</definedName>
    <definedName name="IQ_DISTRIBUTABLE_CASH_SHARE_STDDEV_EST_CIQ" hidden="1">"c4817"</definedName>
    <definedName name="IQ_DISTRIBUTABLE_CASH_STDDEV_EST_CIQ" hidden="1">"c4819"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EARNING_ASSETS_FDIC" hidden="1">"c6360"</definedName>
    <definedName name="IQ_EARNING_ASSETS_YIELD_FDIC" hidden="1">"c6724"</definedName>
    <definedName name="IQ_EARNINGS_COVERAGE_NET_CHARGE_OFFS_FDIC" hidden="1">"c6735"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FFICIENCY_RATIO_FDIC" hidden="1">"c6736"</definedName>
    <definedName name="IQ_EPS" hidden="1">"IQ_EPS"</definedName>
    <definedName name="IQ_EQUITY_CAPITAL_ASSETS_FDIC" hidden="1">"c6744"</definedName>
    <definedName name="IQ_EQUITY_FDIC" hidden="1">"c6353"</definedName>
    <definedName name="IQ_EQUITY_SECURITIES_FDIC" hidden="1">"c6304"</definedName>
    <definedName name="IQ_EQUITY_SECURITY_EXPOSURES_FDIC" hidden="1">"c6664"</definedName>
    <definedName name="IQ_EST_ACT_BV_REUT" hidden="1">"c5409"</definedName>
    <definedName name="IQ_EST_ACT_FFO_REUT" hidden="1">"c3843"</definedName>
    <definedName name="IQ_EST_ACT_FFO_SHARE_SHARE_REUT" hidden="1">"c3843"</definedName>
    <definedName name="IQ_EST_BV_DIFF_REUT" hidden="1">"c5433"</definedName>
    <definedName name="IQ_EST_BV_SURPRISE_PERCENT_REUT" hidden="1">"c5434"</definedName>
    <definedName name="IQ_EST_EPS_SURPRISE" hidden="1">"c1635"</definedName>
    <definedName name="IQ_EST_FFO_DIFF_REUT" hidden="1">"c3890"</definedName>
    <definedName name="IQ_EST_FFO_SHARE_SHARE_DIFF_REUT" hidden="1">"c3890"</definedName>
    <definedName name="IQ_EST_FFO_SHARE_SHARE_SURPRISE_PERCENT_REUT" hidden="1">"c3891"</definedName>
    <definedName name="IQ_EST_FFO_SURPRISE_PERCENT_REUT" hidden="1">"c3891"</definedName>
    <definedName name="IQ_EST_NUM_BUY_REUT" hidden="1">"c3869"</definedName>
    <definedName name="IQ_EST_NUM_HOLD_REUT" hidden="1">"c3871"</definedName>
    <definedName name="IQ_EST_NUM_OUTPERFORM_REUT" hidden="1">"c3870"</definedName>
    <definedName name="IQ_EST_NUM_SELL_REUT" hidden="1">"c3873"</definedName>
    <definedName name="IQ_EST_NUM_UNDERPERFORM_REUT" hidden="1">"c3872"</definedName>
    <definedName name="IQ_ESTIMATED_ASSESSABLE_DEPOSITS_FDIC" hidden="1">"c6490"</definedName>
    <definedName name="IQ_ESTIMATED_INSURED_DEPOSITS_FDIC" hidden="1">"c6491"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ED_FUNDS_PURCHASED_FDIC" hidden="1">"c6343"</definedName>
    <definedName name="IQ_FED_FUNDS_SOLD_FDIC" hidden="1">"c6307"</definedName>
    <definedName name="IQ_FFO_ADJ_EST_CIQ" hidden="1">"c4959"</definedName>
    <definedName name="IQ_FFO_ADJ_HIGH_EST_CIQ" hidden="1">"c4962"</definedName>
    <definedName name="IQ_FFO_ADJ_LOW_EST_CIQ" hidden="1">"c4963"</definedName>
    <definedName name="IQ_FFO_ADJ_MEDIAN_EST_CIQ" hidden="1">"c4964"</definedName>
    <definedName name="IQ_FFO_ADJ_NUM_EST_CIQ" hidden="1">"c4965"</definedName>
    <definedName name="IQ_FFO_ADJ_STDDEV_EST_CIQ" hidden="1">"c4966"</definedName>
    <definedName name="IQ_FFO_EST_CIQ" hidden="1">"c4970"</definedName>
    <definedName name="IQ_FFO_EST_REUT" hidden="1">"c3837"</definedName>
    <definedName name="IQ_FFO_HIGH_EST_CIQ" hidden="1">"c4977"</definedName>
    <definedName name="IQ_FFO_HIGH_EST_REUT" hidden="1">"c3839"</definedName>
    <definedName name="IQ_FFO_LOW_EST_CIQ" hidden="1">"c4978"</definedName>
    <definedName name="IQ_FFO_LOW_EST_REUT" hidden="1">"c3840"</definedName>
    <definedName name="IQ_FFO_MEDIAN_EST_CIQ" hidden="1">"c4979"</definedName>
    <definedName name="IQ_FFO_MEDIAN_EST_REUT" hidden="1">"c3838"</definedName>
    <definedName name="IQ_FFO_NUM_EST_CIQ" hidden="1">"c4980"</definedName>
    <definedName name="IQ_FFO_NUM_EST_REUT" hidden="1">"c3841"</definedName>
    <definedName name="IQ_FFO_SHARE_SHARE_EST_REUT" hidden="1">"c3837"</definedName>
    <definedName name="IQ_FFO_SHARE_SHARE_HIGH_EST_REUT" hidden="1">"c3839"</definedName>
    <definedName name="IQ_FFO_SHARE_SHARE_LOW_EST_REUT" hidden="1">"c3840"</definedName>
    <definedName name="IQ_FFO_SHARE_SHARE_MEDIAN_EST_REUT" hidden="1">"c3838"</definedName>
    <definedName name="IQ_FFO_SHARE_SHARE_NUM_EST_REUT" hidden="1">"c3841"</definedName>
    <definedName name="IQ_FFO_SHARE_SHARE_STDDEV_EST_REUT" hidden="1">"c3842"</definedName>
    <definedName name="IQ_FFO_STDDEV_EST_CIQ" hidden="1">"c4981"</definedName>
    <definedName name="IQ_FFO_STDDEV_EST_REUT" hidden="1">"c3842"</definedName>
    <definedName name="IQ_FH" hidden="1">100000</definedName>
    <definedName name="IQ_FHLB_ADVANCES_FDIC" hidden="1">"c6366"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N_DIV_CURRENT_PORT_DEBT_TOTAL" hidden="1">"c5524"</definedName>
    <definedName name="IQ_FIN_DIV_CURRENT_PORT_LEASES_TOTAL" hidden="1">"c5523"</definedName>
    <definedName name="IQ_FIN_DIV_DEBT_LT_TOTAL" hidden="1">"c5526"</definedName>
    <definedName name="IQ_FIN_DIV_LEASES_LT_TOTAL" hidden="1">"c5525"</definedName>
    <definedName name="IQ_FIN_DIV_NOTES_PAY_TOTAL" hidden="1">"c5522"</definedName>
    <definedName name="IQ_FIVE_YEAR_FIXED_AND_FLOATING_RATE_FDIC" hidden="1">"c6422"</definedName>
    <definedName name="IQ_FIVE_YEAR_MORTGAGE_PASS_THROUGHS_FDIC" hidden="1">"c6414"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OSITS_NONTRANSACTION_ACCOUNTS_FDIC" hidden="1">"c6549"</definedName>
    <definedName name="IQ_FOREIGN_DEPOSITS_TRANSACTION_ACCOUNTS_FDIC" hidden="1">"c6541"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Q" hidden="1">500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_CONTRACTS_FDIC" hidden="1">"c6517"</definedName>
    <definedName name="IQ_FX_CONTRACTS_SPOT_FDIC" hidden="1">"c6356"</definedName>
    <definedName name="IQ_FY" hidden="1">1000</definedName>
    <definedName name="IQ_FY_DATE" hidden="1">"IQ_FY_DATE"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HELD_MATURITY_FDIC" hidden="1">"c6408"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IDER_LOANS_FDIC" hidden="1">"c6365"</definedName>
    <definedName name="IQ_INSTITUTIONS_EARNINGS_GAINS_FDIC" hidden="1">"c6723"</definedName>
    <definedName name="IQ_INSURANCE_COMMISSION_FEES_FDIC" hidden="1">"c6670"</definedName>
    <definedName name="IQ_INSURANCE_UNDERWRITING_INCOME_FDIC" hidden="1">"c6671"</definedName>
    <definedName name="IQ_INT_DEMAND_NOTES_FDIC" hidden="1">"c6567"</definedName>
    <definedName name="IQ_INT_DOMESTIC_DEPOSITS_FDIC" hidden="1">"c6564"</definedName>
    <definedName name="IQ_INT_EXP_TOTAL_FDIC" hidden="1">"c6569"</definedName>
    <definedName name="IQ_INT_FED_FUNDS_FDIC" hidden="1">"c6566"</definedName>
    <definedName name="IQ_INT_FOREIGN_DEPOSITS_FDIC" hidden="1">"c6565"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OREIGN_LOANS_FDIC" hidden="1">"c6556"</definedName>
    <definedName name="IQ_INT_INC_LEASE_RECEIVABLES_FDIC" hidden="1">"c6557"</definedName>
    <definedName name="IQ_INT_INC_OTHER_FDIC" hidden="1">"c6562"</definedName>
    <definedName name="IQ_INT_INC_SECURITIES_FDIC" hidden="1">"c6559"</definedName>
    <definedName name="IQ_INT_INC_TOTAL_FDIC" hidden="1">"c6563"</definedName>
    <definedName name="IQ_INT_INC_TRADING_ACCOUNTS_FDIC" hidden="1">"c6560"</definedName>
    <definedName name="IQ_INT_SUB_NOTES_FDIC" hidden="1">"c6568"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RATE_CONTRACTS_FDIC" hidden="1">"c6512"</definedName>
    <definedName name="IQ_INTEREST_RATE_EXPOSURES_FDIC" hidden="1">"c6662"</definedName>
    <definedName name="IQ_INVESTMENT_BANKING_OTHER_FEES_FDIC" hidden="1">"c6666"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UED_GUARANTEED_US_FDIC" hidden="1">"c6404"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IFE_INSURANCE_ASSETS_FDIC" hidden="1">"c6372"</definedName>
    <definedName name="IQ_LOAN_COMMITMENTS_REVOLVING_FDIC" hidden="1">"c6524"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S_AND_LEASES_HELD_FDIC" hidden="1">"c6367"</definedName>
    <definedName name="IQ_LOANS_DEPOSITORY_INSTITUTIONS_FDIC" hidden="1">"c6382"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SS_ALLOWANCE_LOANS_FDIC" hidden="1">"c6739"</definedName>
    <definedName name="IQ_LTM" hidden="1">2000</definedName>
    <definedName name="IQ_LTM_DATE" hidden="1">"IQ_LTM_DATE"</definedName>
    <definedName name="IQ_LTMMONTH" hidden="1">120000</definedName>
    <definedName name="IQ_MAINT_CAPEX_ACT_OR_EST" hidden="1">"c4458"</definedName>
    <definedName name="IQ_MAINT_CAPEX_EST" hidden="1">"c4457"</definedName>
    <definedName name="IQ_MAINT_CAPEX_HIGH_EST" hidden="1">"c4460"</definedName>
    <definedName name="IQ_MAINT_CAPEX_LOW_EST" hidden="1">"c4461"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TURITY_ONE_YEAR_LESS_FDIC" hidden="1">"c6425"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ONEY_MARKET_DEPOSIT_ACCOUNTS_FDIC" hidden="1">"c6553"</definedName>
    <definedName name="IQ_MONTH" hidden="1">15000</definedName>
    <definedName name="IQ_MORTGAGE_BACKED_SECURITIES_FDIC" hidden="1">"c6402"</definedName>
    <definedName name="IQ_MORTGAGE_SERVICING_FDIC" hidden="1">"c6335"</definedName>
    <definedName name="IQ_MULTIFAMILY_RESIDENTIAL_LOANS_FDIC" hidden="1">"c6311"</definedName>
    <definedName name="IQ_NAMES_REVISION_DATE_" hidden="1">40598.725462963</definedName>
    <definedName name="IQ_NAMES_REVISION_DATE__1" hidden="1">40521.4958564815</definedName>
    <definedName name="IQ_NAV_ACT_OR_EST" hidden="1">"c2225"</definedName>
    <definedName name="IQ_NET_CHARGE_OFFS_FDIC" hidden="1">"c6641"</definedName>
    <definedName name="IQ_NET_CHARGE_OFFS_LOANS_FDIC" hidden="1">"c6751"</definedName>
    <definedName name="IQ_NET_INCOME_FDIC" hidden="1">"c6587"</definedName>
    <definedName name="IQ_NET_INT_INC_BNK_FDIC" hidden="1">"c6570"</definedName>
    <definedName name="IQ_NET_INTEREST_MARGIN_FDIC" hidden="1">"c6726"</definedName>
    <definedName name="IQ_NET_LOANS_LEASES_CORE_DEPOSITS_FDIC" hidden="1">"c6743"</definedName>
    <definedName name="IQ_NET_LOANS_LEASES_DEPOSITS_FDIC" hidden="1">"c6742"</definedName>
    <definedName name="IQ_NET_OPERATING_INCOME_ASSETS_FDIC" hidden="1">"c6729"</definedName>
    <definedName name="IQ_NET_SECURITIZATION_INCOME_FDIC" hidden="1">"c6669"</definedName>
    <definedName name="IQ_NET_SERVICING_FEES_FDIC" hidden="1">"c6668"</definedName>
    <definedName name="IQ_NON_INT_EXP_FDIC" hidden="1">"c6579"</definedName>
    <definedName name="IQ_NON_INT_INC_FDIC" hidden="1">"c6575"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TM" hidden="1">6000</definedName>
    <definedName name="IQ_NUMBER_DEPOSITS_LESS_THAN_100K_FDIC" hidden="1">"c6495"</definedName>
    <definedName name="IQ_NUMBER_DEPOSITS_MORE_THAN_100K_FDIC" hidden="1">"c6493"</definedName>
    <definedName name="IQ_OBLIGATIONS_OF_STATES_TOTAL_LOANS_FOREIGN_FDIC" hidden="1">"c6447"</definedName>
    <definedName name="IQ_OBLIGATIONS_STATES_FDIC" hidden="1">"c6431"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SSETS_FDIC" hidden="1">"c6338"</definedName>
    <definedName name="IQ_OTHER_BORROWED_FUNDS_FDIC" hidden="1">"c6345"</definedName>
    <definedName name="IQ_OTHER_COMPREHENSIVE_INCOME_FDIC" hidden="1">"c6503"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INSURANCE_FEES_FDIC" hidden="1">"c6672"</definedName>
    <definedName name="IQ_OTHER_INTANGIBLE_FDIC" hidden="1">"c6337"</definedName>
    <definedName name="IQ_OTHER_LIABILITIES_FDIC" hidden="1">"c6347"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NON_INT_EXP_FDIC" hidden="1">"c6578"</definedName>
    <definedName name="IQ_OTHER_NON_INT_EXPENSE_FDIC" hidden="1">"c6679"</definedName>
    <definedName name="IQ_OTHER_NON_INT_INC_FDIC" hidden="1">"c6676"</definedName>
    <definedName name="IQ_OTHER_OFF_BS_LIAB_FDIC" hidden="1">"c6533"</definedName>
    <definedName name="IQ_OTHER_RE_OWNED_FDIC" hidden="1">"c6330"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ERCENT_CHANGE_EST_FFO_12MONTHS" hidden="1">"c1828"</definedName>
    <definedName name="IQ_PERCENT_CHANGE_EST_FFO_12MONTHS_CIQ" hidden="1">"c3769"</definedName>
    <definedName name="IQ_PERCENT_CHANGE_EST_FFO_12MONTHS_REUT" hidden="1">"c3938"</definedName>
    <definedName name="IQ_PERCENT_CHANGE_EST_FFO_18MONTHS" hidden="1">"c1829"</definedName>
    <definedName name="IQ_PERCENT_CHANGE_EST_FFO_18MONTHS_CIQ" hidden="1">"c3770"</definedName>
    <definedName name="IQ_PERCENT_CHANGE_EST_FFO_18MONTHS_REUT" hidden="1">"c3939"</definedName>
    <definedName name="IQ_PERCENT_CHANGE_EST_FFO_3MONTHS" hidden="1">"c1825"</definedName>
    <definedName name="IQ_PERCENT_CHANGE_EST_FFO_3MONTHS_CIQ" hidden="1">"c3766"</definedName>
    <definedName name="IQ_PERCENT_CHANGE_EST_FFO_3MONTHS_REUT" hidden="1">"c3935"</definedName>
    <definedName name="IQ_PERCENT_CHANGE_EST_FFO_6MONTHS" hidden="1">"c1826"</definedName>
    <definedName name="IQ_PERCENT_CHANGE_EST_FFO_6MONTHS_CIQ" hidden="1">"c3767"</definedName>
    <definedName name="IQ_PERCENT_CHANGE_EST_FFO_6MONTHS_REUT" hidden="1">"c3936"</definedName>
    <definedName name="IQ_PERCENT_CHANGE_EST_FFO_9MONTHS" hidden="1">"c1827"</definedName>
    <definedName name="IQ_PERCENT_CHANGE_EST_FFO_9MONTHS_CIQ" hidden="1">"c3768"</definedName>
    <definedName name="IQ_PERCENT_CHANGE_EST_FFO_9MONTHS_REUT" hidden="1">"c3937"</definedName>
    <definedName name="IQ_PERCENT_CHANGE_EST_FFO_DAY" hidden="1">"c1822"</definedName>
    <definedName name="IQ_PERCENT_CHANGE_EST_FFO_DAY_CIQ" hidden="1">"c3764"</definedName>
    <definedName name="IQ_PERCENT_CHANGE_EST_FFO_DAY_REUT" hidden="1">"c3933"</definedName>
    <definedName name="IQ_PERCENT_CHANGE_EST_FFO_MONTH" hidden="1">"c1824"</definedName>
    <definedName name="IQ_PERCENT_CHANGE_EST_FFO_MONTH_CIQ" hidden="1">"c3765"</definedName>
    <definedName name="IQ_PERCENT_CHANGE_EST_FFO_MONTH_REUT" hidden="1">"c3934"</definedName>
    <definedName name="IQ_PERCENT_CHANGE_EST_FFO_SHARE_SHARE_12MONTHS" hidden="1">"c1828"</definedName>
    <definedName name="IQ_PERCENT_CHANGE_EST_FFO_SHARE_SHARE_12MONTHS_CIQ" hidden="1">"c3769"</definedName>
    <definedName name="IQ_PERCENT_CHANGE_EST_FFO_SHARE_SHARE_12MONTHS_REUT" hidden="1">"c3938"</definedName>
    <definedName name="IQ_PERCENT_CHANGE_EST_FFO_SHARE_SHARE_18MONTHS" hidden="1">"c1829"</definedName>
    <definedName name="IQ_PERCENT_CHANGE_EST_FFO_SHARE_SHARE_18MONTHS_CIQ" hidden="1">"c3770"</definedName>
    <definedName name="IQ_PERCENT_CHANGE_EST_FFO_SHARE_SHARE_18MONTHS_REUT" hidden="1">"c3939"</definedName>
    <definedName name="IQ_PERCENT_CHANGE_EST_FFO_SHARE_SHARE_3MONTHS" hidden="1">"c1825"</definedName>
    <definedName name="IQ_PERCENT_CHANGE_EST_FFO_SHARE_SHARE_3MONTHS_CIQ" hidden="1">"c3766"</definedName>
    <definedName name="IQ_PERCENT_CHANGE_EST_FFO_SHARE_SHARE_3MONTHS_REUT" hidden="1">"c3935"</definedName>
    <definedName name="IQ_PERCENT_CHANGE_EST_FFO_SHARE_SHARE_6MONTHS" hidden="1">"c1826"</definedName>
    <definedName name="IQ_PERCENT_CHANGE_EST_FFO_SHARE_SHARE_6MONTHS_CIQ" hidden="1">"c3767"</definedName>
    <definedName name="IQ_PERCENT_CHANGE_EST_FFO_SHARE_SHARE_6MONTHS_REUT" hidden="1">"c3936"</definedName>
    <definedName name="IQ_PERCENT_CHANGE_EST_FFO_SHARE_SHARE_9MONTHS" hidden="1">"c1827"</definedName>
    <definedName name="IQ_PERCENT_CHANGE_EST_FFO_SHARE_SHARE_9MONTHS_CIQ" hidden="1">"c3768"</definedName>
    <definedName name="IQ_PERCENT_CHANGE_EST_FFO_SHARE_SHARE_9MONTHS_REUT" hidden="1">"c3937"</definedName>
    <definedName name="IQ_PERCENT_CHANGE_EST_FFO_SHARE_SHARE_DAY" hidden="1">"c1822"</definedName>
    <definedName name="IQ_PERCENT_CHANGE_EST_FFO_SHARE_SHARE_DAY_CIQ" hidden="1">"c3764"</definedName>
    <definedName name="IQ_PERCENT_CHANGE_EST_FFO_SHARE_SHARE_DAY_REUT" hidden="1">"c3933"</definedName>
    <definedName name="IQ_PERCENT_CHANGE_EST_FFO_SHARE_SHARE_MONTH" hidden="1">"c1824"</definedName>
    <definedName name="IQ_PERCENT_CHANGE_EST_FFO_SHARE_SHARE_MONTH_CIQ" hidden="1">"c3765"</definedName>
    <definedName name="IQ_PERCENT_CHANGE_EST_FFO_SHARE_SHARE_MONTH_REUT" hidden="1">"c3934"</definedName>
    <definedName name="IQ_PERCENT_CHANGE_EST_FFO_SHARE_SHARE_WEEK" hidden="1">"c1823"</definedName>
    <definedName name="IQ_PERCENT_CHANGE_EST_FFO_SHARE_SHARE_WEEK_CIQ" hidden="1">"c3795"</definedName>
    <definedName name="IQ_PERCENT_CHANGE_EST_FFO_SHARE_SHARE_WEEK_REUT" hidden="1">"c3964"</definedName>
    <definedName name="IQ_PERCENT_CHANGE_EST_FFO_WEEK" hidden="1">"c1823"</definedName>
    <definedName name="IQ_PERCENT_CHANGE_EST_FFO_WEEK_CIQ" hidden="1">"c3795"</definedName>
    <definedName name="IQ_PERCENT_CHANGE_EST_FFO_WEEK_REUT" hidden="1">"c3964"</definedName>
    <definedName name="IQ_PERCENT_INSURED_FDIC" hidden="1">"c6374"</definedName>
    <definedName name="IQ_PERIODDATE_FDIC" hidden="1">"c13646"</definedName>
    <definedName name="IQ_PLEDGED_SECURITIES_FDIC" hidden="1">"c6401"</definedName>
    <definedName name="IQ_PRE_TAX_INCOME_FDIC" hidden="1">"c6581"</definedName>
    <definedName name="IQ_PREFERRED_FDIC" hidden="1">"c6349"</definedName>
    <definedName name="IQ_PREMISES_EQUIPMENT_FDIC" hidden="1">"c6577"</definedName>
    <definedName name="IQ_PRETAX_RETURN_ASSETS_FDIC" hidden="1">"c6731"</definedName>
    <definedName name="IQ_PRICEDATETIME" hidden="1">"IQ_PRICEDATETIME"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LATED_PLANS_FDIC" hidden="1">"c6320"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TATEMENTS_NET_FDIC" hidden="1">"c6500"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DEPOSITS_FDIC" hidden="1">"c6488"</definedName>
    <definedName name="IQ_RETAINED_EARNINGS_AVERAGE_EQUITY_FDIC" hidden="1">"c6733"</definedName>
    <definedName name="IQ_RETURN_ASSETS_FDIC" hidden="1">"c6730"</definedName>
    <definedName name="IQ_RETURN_EQUITY_FDIC" hidden="1">"c6732"</definedName>
    <definedName name="IQ_REVALUATION_GAINS_FDIC" hidden="1">"c6428"</definedName>
    <definedName name="IQ_REVALUATION_LOSSES_FDIC" hidden="1">"c6429"</definedName>
    <definedName name="IQ_RISK_WEIGHTED_ASSETS_FDIC" hidden="1">"c6370"</definedName>
    <definedName name="IQ_SALARY_FDIC" hidden="1">"c6576"</definedName>
    <definedName name="IQ_SALE_CONVERSION_RETIREMENT_STOCK_FDIC" hidden="1">"c6661"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RVICE_CHARGES_FDIC" hidden="1">"c6572"</definedName>
    <definedName name="IQ_SHAREOUTSTANDING" hidden="1">"c1347"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UB_DEBT_FDIC" hidden="1">"c6346"</definedName>
    <definedName name="IQ_SURPLUS_FDIC" hidden="1">"c6351"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AL_ASSETS_FDIC" hidden="1">"c6339"</definedName>
    <definedName name="IQ_TOTAL_CHARGE_OFFS_FDIC" hidden="1">"c6603"</definedName>
    <definedName name="IQ_TOTAL_DEBT_SECURITIES_FDIC" hidden="1">"c6410"</definedName>
    <definedName name="IQ_TOTAL_DEPOSITS_FDIC" hidden="1">"c6342"</definedName>
    <definedName name="IQ_TOTAL_EMPLOYEES_FDIC" hidden="1">"c6355"</definedName>
    <definedName name="IQ_TOTAL_LIAB_EQUITY_FDIC" hidden="1">"c6354"</definedName>
    <definedName name="IQ_TOTAL_LIABILITIES_FDIC" hidden="1">"c6348"</definedName>
    <definedName name="IQ_TOTAL_RECOVERIES_FDIC" hidden="1">"c6622"</definedName>
    <definedName name="IQ_TOTAL_REV_BNK_FDIC" hidden="1">"c6786"</definedName>
    <definedName name="IQ_TOTAL_RISK_BASED_CAPITAL_RATIO_FDIC" hidden="1">"c6747"</definedName>
    <definedName name="IQ_TOTAL_SECURITIES_FDIC" hidden="1">"c6306"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RADING_ACCOUNT_GAINS_FEES_FDIC" hidden="1">"c6573"</definedName>
    <definedName name="IQ_TRADING_ASSETS_FDIC" hidden="1">"c6328"</definedName>
    <definedName name="IQ_TRADING_LIABILITIES_FDIC" hidden="1">"c6344"</definedName>
    <definedName name="IQ_TRANSACTION_ACCOUNTS_FDIC" hidden="1">"c6544"</definedName>
    <definedName name="IQ_TREASURY_STOCK_TRANSACTIONS_FDIC" hidden="1">"c6501"</definedName>
    <definedName name="IQ_TWELVE_MONTHS_FIXED_AND_FLOATING_FDIC" hidden="1">"c6420"</definedName>
    <definedName name="IQ_TWELVE_MONTHS_MORTGAGE_PASS_THROUGHS_FDIC" hidden="1">"c6412"</definedName>
    <definedName name="IQ_UNDIVIDED_PROFITS_FDIC" hidden="1">"c6352"</definedName>
    <definedName name="IQ_UNEARNED_INCOME_FDIC" hidden="1">"c6324"</definedName>
    <definedName name="IQ_UNEARNED_INCOME_FOREIGN_FDIC" hidden="1">"c6385"</definedName>
    <definedName name="IQ_UNPROFITABLE_INSTITUTIONS_FDIC" hidden="1">"c6722"</definedName>
    <definedName name="IQ_UNUSED_LOAN_COMMITMENTS_FDIC" hidden="1">"c6368"</definedName>
    <definedName name="IQ_US_BRANCHES_FOREIGN_BANK_LOANS_FDIC" hidden="1">"c6435"</definedName>
    <definedName name="IQ_US_BRANCHES_FOREIGN_BANKS_FDIC" hidden="1">"c6390"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VALUATION_ALLOWANCES_FDIC" hidden="1">"c6400"</definedName>
    <definedName name="IQ_VC_REVENUE_FDIC" hidden="1">"c6667"</definedName>
    <definedName name="IQ_VOLATILE_LIABILITIES_FDIC" hidden="1">"c6364"</definedName>
    <definedName name="IQ_WEEK" hidden="1">50000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YTD" hidden="1">3000</definedName>
    <definedName name="IQ_YTDMONTH" hidden="1">130000</definedName>
    <definedName name="iQShowHideColumns" hidden="1">"iQShowAnnual"</definedName>
    <definedName name="IsColHidden" hidden="1">FALSE</definedName>
    <definedName name="IsLTMColHidden" hidden="1">FALSE</definedName>
    <definedName name="j" hidden="1">{"whole",#N/A,FALSE,"CS FIN Sum For Rox";"whole",#N/A,FALSE,"Gen_Dist_Act_Bud";"whole",#N/A,FALSE,"Gen_Dist_T3months";"whole",#N/A,FALSE,"GD_PerP";"whole",#N/A,FALSE,"CS_DIST_ActvsBud";"whole",#N/A,FALSE,"CS_DIST_SUM_trail3mo"}</definedName>
    <definedName name="January" hidden="1">{#N/A,#N/A,FALSE,"BAL";#N/A,#N/A,FALSE,"P&amp;L";#N/A,#N/A,FALSE,"REV";#N/A,#N/A,FALSE,"COS";#N/A,#N/A,FALSE,"DPT";#N/A,#N/A,FALSE,"CSS";#N/A,#N/A,FALSE,"IMP";#N/A,#N/A,FALSE,"OPS";#N/A,#N/A,FALSE,"DVL";#N/A,#N/A,FALSE,"ADM"}</definedName>
    <definedName name="jjj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jjjj" hidden="1">{"closed",#N/A,FALSE,"Consolidated Products - Budget";"expanded",#N/A,FALSE,"Consolidated Products - Budget"}</definedName>
    <definedName name="jonas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k" hidden="1">{"Chart 1",#N/A,FALSE,"Run Rate";"Chart 2",#N/A,FALSE,"Run Rate (2)"}</definedName>
    <definedName name="KIT" hidden="1">{"equity comps",#N/A,FALSE,"CS Comps";"equity comps",#N/A,FALSE,"PS Comps";"equity comps",#N/A,FALSE,"GIC_Comps";"equity comps",#N/A,FALSE,"GIC2_Comps"}</definedName>
    <definedName name="kkk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kkkk" hidden="1">{"barthelet detail",#N/A,FALSE,"96 plan Q1";"barthelet summ",#N/A,FALSE,"96 plan Q1"}</definedName>
    <definedName name="klklklkl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ol" hidden="1">{"away stand alones",#N/A,FALSE,"Target"}</definedName>
    <definedName name="l" hidden="1">{"IS",#N/A,FALSE,"IS";"RPTIS",#N/A,FALSE,"RPTIS";"STATS",#N/A,FALSE,"STATS";"CELL",#N/A,FALSE,"CELL";"BS",#N/A,FALSE,"BS"}</definedName>
    <definedName name="L_ALL_CRWV">#REF!</definedName>
    <definedName name="L_ALL_MNDY">#REF!</definedName>
    <definedName name="L_ALL_MSFT">#REF!</definedName>
    <definedName name="L_ALL_NTNX">[1]NTNX_Live_Sheet!$A$1:$CB$331</definedName>
    <definedName name="L_ALL_TTAN">#REF!</definedName>
    <definedName name="LastListUpdate">0</definedName>
    <definedName name="leewo1" hidden="1">{"closed",#N/A,FALSE,"Consolidated Products - Budget";"expanded",#N/A,FALSE,"Consolidated Products - Budget"}</definedName>
    <definedName name="ll" hidden="1">{"closed",#N/A,FALSE,"Consolidated Products - Budget";"expanded",#N/A,FALSE,"Consolidated Products - Budget"}</definedName>
    <definedName name="lll" hidden="1">{"whole",#N/A,FALSE,"CS HC";"whole",#N/A,FALSE,"CS_ACTvsBud";"whole",#N/A,FALSE,"CSTrail3mo";"whole",#N/A,FALSE,"CS Cost Per Head ";"whole",#N/A,FALSE,"CS CPH YTD"}</definedName>
    <definedName name="Low">1</definedName>
    <definedName name="m" hidden="1">{"whole",#N/A,FALSE,"Gen_Dist_Act_Bud";"whole",#N/A,FALSE,"Gen_Dist_T3months";"whole",#N/A,FALSE,"GD_PerP";"whole",#N/A,FALSE,"HR Dist'n"}</definedName>
    <definedName name="M_PlaceofPath" hidden="1">"\\SNYCEQT0300\HOME\DBEGLEIT\excel\FULL\FULL_VDF.XLS"</definedName>
    <definedName name="M1_Seasonality">0.3</definedName>
    <definedName name="M2_Seasonality">0.3</definedName>
    <definedName name="M3_Seasonality">0.4</definedName>
    <definedName name="Marie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MBV" hidden="1">{"closed",#N/A,FALSE,"Consolidated Products - Budget";"expanded",#N/A,FALSE,"Consolidated Products - Budget"}</definedName>
    <definedName name="misc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mmm" hidden="1">{"whole",#N/A,FALSE,"Gen_Dist_Act_Bud";"whole",#N/A,FALSE,"Gen_Dist_T3months";"whole",#N/A,FALSE,"GD_PerP";"whole",#N/A,FALSE,"HR Dist'n"}</definedName>
    <definedName name="mw" hidden="1">{#N/A,#N/A,FALSE,"Calc";#N/A,#N/A,FALSE,"Sensitivity";#N/A,#N/A,FALSE,"LT Earn.Dil.";#N/A,#N/A,FALSE,"Dil. AVP"}</definedName>
    <definedName name="mwmw" hidden="1">{#N/A,#N/A,TRUE,"Pro Forma";#N/A,#N/A,TRUE,"PF_Bal";#N/A,#N/A,TRUE,"PF_INC";#N/A,#N/A,TRUE,"CBE";#N/A,#N/A,TRUE,"SWK"}</definedName>
    <definedName name="mwmw2" hidden="1">{"comp1",#N/A,FALSE,"COMPS";"footnotes",#N/A,FALSE,"COMPS"}</definedName>
    <definedName name="mwmw3" hidden="1">{"comp1",#N/A,FALSE,"COMPS";"footnotes",#N/A,FALSE,"COMPS"}</definedName>
    <definedName name="mwmw4" hidden="1">{"hiden",#N/A,FALSE,"14";"hidden",#N/A,FALSE,"16";"hidden",#N/A,FALSE,"18";"hidden",#N/A,FALSE,"20"}</definedName>
    <definedName name="MyBegOfYEar">IF(BegOfYear5253week&lt;&gt;"",BegOfYear5253week,IF(TaxYearEnd="","",TaxYearEnd-364))</definedName>
    <definedName name="MyBookIncome">IF(BookIncome = "","",BookIncome)</definedName>
    <definedName name="Mydocs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MyFEIN">IF(FEIN="","",FEIN)</definedName>
    <definedName name="MyLastYear">IF(TaxYearEnd="","",TaxYearEnd-366)</definedName>
    <definedName name="MyName">IF(TheName = "","",TheName)</definedName>
    <definedName name="MyNextYear">IF(TaxYearEnd="","",TaxYearEnd+365)</definedName>
    <definedName name="MyTaxYear">IF(TaxYearEnd="","",TaxYearEnd)</definedName>
    <definedName name="MYTDVOL">14</definedName>
    <definedName name="n" hidden="1">{"IS",#N/A,FALSE,"IS";"RPTIS",#N/A,FALSE,"RPTIS";"STATS",#N/A,FALSE,"STATS";"BS",#N/A,FALSE,"BS"}</definedName>
    <definedName name="nc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cn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ewbel" hidden="1">{"IS",#N/A,FALSE,"IS";"RPTIS",#N/A,FALSE,"RPTIS";"STATS",#N/A,FALSE,"STATS";"CELL",#N/A,FALSE,"CELL";"BS",#N/A,FALSE,"BS"}</definedName>
    <definedName name="newsheet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NextButton">"Button 18"</definedName>
    <definedName name="nmnmm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oidea" hidden="1">{#N/A,#N/A,FALSE,"Calc";#N/A,#N/A,FALSE,"Sensitivity";#N/A,#N/A,FALSE,"LT Earn.Dil.";#N/A,#N/A,FALSE,"Dil. AVP"}</definedName>
    <definedName name="NOIDEA2" hidden="1">{#N/A,#N/A,FALSE,"Calc";#N/A,#N/A,FALSE,"Sensitivity";#N/A,#N/A,FALSE,"LT Earn.Dil.";#N/A,#N/A,FALSE,"Dil. AVP"}</definedName>
    <definedName name="noidea2a" hidden="1">{#N/A,#N/A,FALSE,"Calc";#N/A,#N/A,FALSE,"Sensitivity";#N/A,#N/A,FALSE,"LT Earn.Dil.";#N/A,#N/A,FALSE,"Dil. AVP"}</definedName>
    <definedName name="noideaa" hidden="1">{#N/A,#N/A,FALSE,"Calc";#N/A,#N/A,FALSE,"Sensitivity";#N/A,#N/A,FALSE,"LT Earn.Dil.";#N/A,#N/A,FALSE,"Dil. AVP"}</definedName>
    <definedName name="NOTE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NvsASD">"V1999-12-31"</definedName>
    <definedName name="NvsAutoDrillOk">"VN"</definedName>
    <definedName name="NvsElapsedTime">0.00102581018290948</definedName>
    <definedName name="NvsEndTime">36558.0571400463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"%,X,RZF..,CZF.."</definedName>
    <definedName name="NvsPanelBusUnit">"V"</definedName>
    <definedName name="NvsPanelEffdt">"V1996-12-31"</definedName>
    <definedName name="NvsPanelSetid">"VEXCIT"</definedName>
    <definedName name="NvsReqBU">"VEXCIT"</definedName>
    <definedName name="NvsReqBUOnly">"VN"</definedName>
    <definedName name="NvsSheetType">"M"</definedName>
    <definedName name="NvsTransLed">"VN"</definedName>
    <definedName name="NvsTreeASD">"V1999-12-31"</definedName>
    <definedName name="NvsValTbl.ACCOUNT">"GL_ACCOUNT_TBL"</definedName>
    <definedName name="NvsValTbl.BUSINESS_UNIT">"BUS_UNIT_TBL_GL"</definedName>
    <definedName name="NvsValTbl.DEPTID">"DEPARTMENT_TBL"</definedName>
    <definedName name="o" hidden="1">{"Chart 1",#N/A,FALSE,"Run Rate";"Chart 2",#N/A,FALSE,"Run Rate (2)"}</definedName>
    <definedName name="oku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ld" hidden="1">{#N/A,#N/A,FALSE,"Aging Summary";#N/A,#N/A,FALSE,"Ratio Analysis";#N/A,#N/A,FALSE,"Test 120 Day Accts";#N/A,#N/A,FALSE,"Tickmarks"}</definedName>
    <definedName name="om_nnr" hidden="1">{#N/A,#N/A,FALSE,"Summary";#N/A,#N/A,FALSE,"Details";#N/A,#N/A,FALSE,"Month-Hd";#N/A,#N/A,FALSE,"YTD-Hd";#N/A,#N/A,FALSE,"Capital"}</definedName>
    <definedName name="OP" hidden="1">{#N/A,#N/A,FALSE,"Operations";#N/A,#N/A,FALSE,"Financials"}</definedName>
    <definedName name="opex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opex1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p" hidden="1">{"whole",#N/A,FALSE,"CS FIN Sum For Rox";"whole",#N/A,FALSE,"Gen_Dist_Act_Bud";"whole",#N/A,FALSE,"Gen_Dist_T3months";"whole",#N/A,FALSE,"GD_PerP";"whole",#N/A,FALSE,"CS_DIST_ActvsBud";"whole",#N/A,FALSE,"CS_DIST_SUM_trail3mo"}</definedName>
    <definedName name="PGIT" hidden="1">{"whole",#N/A,FALSE,"Gen_Dist_Act_Bud";"whole",#N/A,FALSE,"Gen_Dist_T3months";"whole",#N/A,FALSE,"GD_PerP";"whole",#N/A,FALSE,"HR Dist'n"}</definedName>
    <definedName name="PH_email">"phuang@isigrp.com"</definedName>
    <definedName name="PH_phone">"(212) 446-9467"</definedName>
    <definedName name="Pictur9">"Picture 9"</definedName>
    <definedName name="Picture1">"Picture 1"</definedName>
    <definedName name="Picture10">"Picture 10"</definedName>
    <definedName name="Picture11">"Picture 11"</definedName>
    <definedName name="Picture2">"Picture 2"</definedName>
    <definedName name="Picture4">"Picture 4"</definedName>
    <definedName name="Picture5">"Picture 5"</definedName>
    <definedName name="Picture6">"Picture 6"</definedName>
    <definedName name="Pivot2" hidden="1">{"closed",#N/A,FALSE,"Consolidated Products - Budget";"expanded",#N/A,FALSE,"Consolidated Products - Budget"}</definedName>
    <definedName name="pivot3" hidden="1">{"closed",#N/A,FALSE,"Consolidated Products - Budget";"expanded",#N/A,FALSE,"Consolidated Products - Budget"}</definedName>
    <definedName name="Plan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Plan1" hidden="1">{"whole",#N/A,FALSE,"Gen_Dist_Act_Bud";"whole",#N/A,FALSE,"Gen_Dist_T3months";"whole",#N/A,FALSE,"GD_PerP";"whole",#N/A,FALSE,"HR Dist'n"}</definedName>
    <definedName name="PNL" hidden="1">{#N/A,#N/A,FALSE,"Inc. St.";#N/A,#N/A,FALSE,"FYear";#N/A,#N/A,FALSE,"Revs.";#N/A,#N/A,FALSE,"RevsYear";#N/A,#N/A,FALSE,"Balance";#N/A,#N/A,FALSE,"CompVal";#N/A,#N/A,FALSE,"Val.";#N/A,#N/A,FALSE,"DCFval"}</definedName>
    <definedName name="po" hidden="1">{#N/A,#N/A,FALSE,"Calc";#N/A,#N/A,FALSE,"Sensitivity";#N/A,#N/A,FALSE,"LT Earn.Dil.";#N/A,#N/A,FALSE,"Dil. AVP"}</definedName>
    <definedName name="poi" hidden="1">{"assumption 50 50",#N/A,TRUE,"Merger";"has gets cash",#N/A,TRUE,"Merger";"accretion dilution",#N/A,TRUE,"Merger";"comparison credit stats",#N/A,TRUE,"Merger";"pf credit stats",#N/A,TRUE,"Merger";"pf sheets",#N/A,TRUE,"Merger"}</definedName>
    <definedName name="PopCache_GL_INTERFACE_REFERENCE7" hidden="1">#REF!</definedName>
    <definedName name="pp" hidden="1">{"Chart 1",#N/A,FALSE,"Run Rate";"Chart 2",#N/A,FALSE,"Run Rate (2)"}</definedName>
    <definedName name="PreviousButton">"Button 19"</definedName>
    <definedName name="PRIMTH">2</definedName>
    <definedName name="print4" hidden="1">{#N/A,#N/A,FALSE,"Operations";#N/A,#N/A,FALSE,"Financials"}</definedName>
    <definedName name="Printout">#N/A</definedName>
    <definedName name="PRIVOL">4</definedName>
    <definedName name="PRIWEEK">2</definedName>
    <definedName name="prod" hidden="1">{"closed",#N/A,FALSE,"Consolidated Products - Budget";"expanded",#N/A,FALSE,"Consolidated Products - Budget"}</definedName>
    <definedName name="prod.A2" hidden="1">{"closed",#N/A,FALSE,"Consolidated Products - Budget";"expanded",#N/A,FALSE,"Consolidated Products - Budget"}</definedName>
    <definedName name="prod_acquire" hidden="1">{"closed",#N/A,FALSE,"Consolidated Products - Budget";"expanded",#N/A,FALSE,"Consolidated Products - Budget"}</definedName>
    <definedName name="prod1" hidden="1">{"closed",#N/A,FALSE,"Consolidated Products - Budget";"expanded",#N/A,FALSE,"Consolidated Products - Budget"}</definedName>
    <definedName name="prout" hidden="1">{"comp1",#N/A,FALSE,"COMPS";"footnotes",#N/A,FALSE,"COMPS"}</definedName>
    <definedName name="PSO_data">OFFSET(PSO,1,0,COLUMNS(PSO))</definedName>
    <definedName name="qewreqrqwer" hidden="1">{"comp1",#N/A,FALSE,"COMPS";"footnotes",#N/A,FALSE,"COMPS"}</definedName>
    <definedName name="qq" hidden="1">{#N/A,#N/A,FALSE,"CBE";#N/A,#N/A,FALSE,"SWK"}</definedName>
    <definedName name="qqq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qwe" hidden="1">{"assumption cash",#N/A,TRUE,"Merger";"has gets cash",#N/A,TRUE,"Merger";"accretion dilution",#N/A,TRUE,"Merger";"comparison credit stats",#N/A,TRUE,"Merger";"pf credit stats",#N/A,TRUE,"Merger";"pf sheets",#N/A,TRUE,"Merger"}</definedName>
    <definedName name="qwer" hidden="1">{"hiden",#N/A,FALSE,"14";"hidden",#N/A,FALSE,"16";"hidden",#N/A,FALSE,"18";"hidden",#N/A,FALSE,"20"}</definedName>
    <definedName name="qwerqewr" hidden="1">{#N/A,#N/A,FALSE,"Calc";#N/A,#N/A,FALSE,"Sensitivity";#N/A,#N/A,FALSE,"LT Earn.Dil.";#N/A,#N/A,FALSE,"Dil. AVP"}</definedName>
    <definedName name="qwerqwerq" hidden="1">{"assumption 50 50",#N/A,TRUE,"Merger";"has gets cash",#N/A,TRUE,"Merger";"accretion dilution",#N/A,TRUE,"Merger";"comparison credit stats",#N/A,TRUE,"Merger";"pf credit stats",#N/A,TRUE,"Merger";"pf sheets",#N/A,TRUE,"Merger"}</definedName>
    <definedName name="Recon_Update" hidden="1">{#N/A,#N/A,FALSE,"BAL";#N/A,#N/A,FALSE,"P&amp;L";#N/A,#N/A,FALSE,"REV";#N/A,#N/A,FALSE,"COS";#N/A,#N/A,FALSE,"DPT";#N/A,#N/A,FALSE,"CSS";#N/A,#N/A,FALSE,"IMP";#N/A,#N/A,FALSE,"OPS";#N/A,#N/A,FALSE,"DVL";#N/A,#N/A,FALSE,"ADM"}</definedName>
    <definedName name="ReportPage1" hidden="1">{"Annual_Income",#N/A,FALSE,"Report Page";"Balance_Cash_Flow",#N/A,FALSE,"Report Page";"Quarterly_Income",#N/A,FALSE,"Report Page"}</definedName>
    <definedName name="Reserves_Restated" hidden="1">{#N/A,#N/A,FALSE,"Contents";#N/A,#N/A,FALSE,"Returns (Current+YTD)";#N/A,#N/A,FALSE,"Returns (Reason-MTD)";#N/A,#N/A,FALSE,"Returns (Reason-YTD)";#N/A,#N/A,FALSE,"Reserves (Current)";#N/A,#N/A,FALSE,"Reserves (YTD)";#N/A,#N/A,FALSE,"Reserves (PU)";#N/A,#N/A,FALSE,"Reserves (Rec)";#N/A,#N/A,FALSE,"PPRO (SKU)";#N/A,#N/A,FALSE,"PPRO (YTD)";#N/A,#N/A,FALSE,"Rebates (Current)";#N/A,#N/A,FALSE,"Rebates (YTD)"}</definedName>
    <definedName name="rf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rr" hidden="1">{"barthelet detail",#N/A,FALSE,"96 plan Q1";"barthelet summ",#N/A,FALSE,"96 plan Q1"}</definedName>
    <definedName name="rrrr" hidden="1">{"comp1",#N/A,FALSE,"COMPS";"footnotes",#N/A,FALSE,"COMPS"}</definedName>
    <definedName name="rrrrr" hidden="1">{"whole",#N/A,FALSE,"Gen_Dist_Act_Bud";"whole",#N/A,FALSE,"Gen_Dist_T3months";"whole",#N/A,FALSE,"GD_PerP";"whole",#N/A,FALSE,"HR Dist'n"}</definedName>
    <definedName name="rty" hidden="1">{#N/A,#N/A,TRUE,"Pro Forma";#N/A,#N/A,TRUE,"PF_Bal";#N/A,#N/A,TRUE,"PF_INC";#N/A,#N/A,TRUE,"CBE";#N/A,#N/A,TRUE,"SWK"}</definedName>
    <definedName name="rw" hidden="1">{"'Standalone List Price Trends'!$A$1:$X$56"}</definedName>
    <definedName name="rwrwr" hidden="1">{"'Standalone List Price Trends'!$A$1:$X$56"}</definedName>
    <definedName name="rwrwrwrwr" hidden="1">{"'Standalone List Price Trends'!$A$1:$X$56"}</definedName>
    <definedName name="Rwvu.Analysis." hidden="1">#REF!,#REF!,#REF!,#REF!,#REF!,#REF!</definedName>
    <definedName name="Rwvu.CurF1997." hidden="1">#REF!,#REF!,#REF!,#REF!,#REF!</definedName>
    <definedName name="Rwvu.Current." hidden="1">#REF!,#REF!,#REF!,#REF!,#REF!</definedName>
    <definedName name="Rwvu.CurrentYear." hidden="1">#REF!,#REF!,#REF!,#REF!,#REF!</definedName>
    <definedName name="Rwvu.FY_97MB." hidden="1">#REF!,#REF!</definedName>
    <definedName name="Rwvu.FY_97MF." hidden="1">#REF!,#REF!</definedName>
    <definedName name="Rwvu.FY_97REF1." hidden="1">#REF!,#REF!</definedName>
    <definedName name="Rwvu.FY_98_V2." hidden="1">#REF!,#REF!,#REF!,#REF!,#REF!</definedName>
    <definedName name="Rwvu.FY94_95Qtr." hidden="1">#REF!,#REF!,#REF!,#REF!,#REF!,#REF!</definedName>
    <definedName name="Rwvu.FY96ACTUAL." hidden="1">#REF!,#REF!</definedName>
    <definedName name="Rwvu.incearn." hidden="1">#REF!,#REF!,#REF!,#REF!,#REF!</definedName>
    <definedName name="Rwvu.Report1." hidden="1">#REF!,#REF!</definedName>
    <definedName name="Rwvu.Standard._.Report." hidden="1">#REF!,#REF!,#REF!</definedName>
    <definedName name="rwwr" hidden="1">{"'Standalone List Price Trends'!$A$1:$X$56"}</definedName>
    <definedName name="s" hidden="1">{"IS",#N/A,FALSE,"IS";"RPTIS",#N/A,FALSE,"RPTIS";"STATS",#N/A,FALSE,"STATS";"CELL",#N/A,FALSE,"CELL";"BS",#N/A,FALSE,"BS"}</definedName>
    <definedName name="saaaaaaaaaaaaaaa" hidden="1">{"up stand alones",#N/A,FALSE,"Acquiror"}</definedName>
    <definedName name="sadfasdgasdfsadg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sadgewrzaf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sdf" hidden="1">{#N/A,#N/A,FALSE,"Calc";#N/A,#N/A,FALSE,"Sensitivity";#N/A,#N/A,FALSE,"LT Earn.Dil.";#N/A,#N/A,FALSE,"Dil. AVP"}</definedName>
    <definedName name="sdgdfghfhgfjhgfjhjjjg" hidden="1">{"general",#N/A,FALSE,"Assumptions"}</definedName>
    <definedName name="sdt" hidden="1">{"whole",#N/A,FALSE,"Gen_Dist_Act_Bud";"whole",#N/A,FALSE,"Gen_Dist_T3months";"whole",#N/A,FALSE,"GD_PerP";"whole",#N/A,FALSE,"HR Dist'n"}</definedName>
    <definedName name="sfs" hidden="1">{"comps",#N/A,FALSE,"HANDPACK";"footnotes",#N/A,FALSE,"HANDPACK"}</definedName>
    <definedName name="sl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solver_lin" hidden="1">0</definedName>
    <definedName name="solver_num" hidden="1">0</definedName>
    <definedName name="solver_typ" hidden="1">3</definedName>
    <definedName name="solver_val" hidden="1">0.1076</definedName>
    <definedName name="sssss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svfs" hidden="1">{"comps2",#N/A,FALSE,"AERO";"footnotes",#N/A,FALSE,"AERO"}</definedName>
    <definedName name="Swvu.incearn." hidden="1">#REF!</definedName>
    <definedName name="TaxYearBeg">37257</definedName>
    <definedName name="TEAST" hidden="1">#REF!,#REF!</definedName>
    <definedName name="temp" hidden="1">#REF!</definedName>
    <definedName name="Template.WIRE">"DBACCESS"</definedName>
    <definedName name="test" hidden="1">{"closed",#N/A,FALSE,"Consolidated Products - Budget";"expanded",#N/A,FALSE,"Consolidated Products - Budget"}</definedName>
    <definedName name="test1" hidden="1">{"whole",#N/A,FALSE,"CS HC";"whole",#N/A,FALSE,"CS_ACTvsBud";"whole",#N/A,FALSE,"CSTrail3mo";"whole",#N/A,FALSE,"CS Cost Per Head ";"whole",#N/A,FALSE,"CS CPH YTD"}</definedName>
    <definedName name="test2" hidden="1">{"whole",#N/A,FALSE,"CS FIN Sum For Rox";"whole",#N/A,FALSE,"Gen_Dist_Act_Bud";"whole",#N/A,FALSE,"Gen_Dist_T3months";"whole",#N/A,FALSE,"GD_PerP";"whole",#N/A,FALSE,"CS_DIST_ActvsBud";"whole",#N/A,FALSE,"CS_DIST_SUM_trail3mo"}</definedName>
    <definedName name="Test4" hidden="1">{"Chart 1",#N/A,FALSE,"Run Rate";"Chart 2",#N/A,FALSE,"Run Rate (2)"}</definedName>
    <definedName name="TestAdd">"Test RefersTo1"</definedName>
    <definedName name="tester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igr_Exhibit005f7dfc_56d4_44f5_b7f1_187c4da8a03a" hidden="1">#REF!</definedName>
    <definedName name="Tigr_Exhibit018d4de9_a22b_4a10_b683_8d0aa443bad4" hidden="1">#REF!</definedName>
    <definedName name="Tigr_Exhibit01b4ca6d_a279_43cd_a862_6ff7a56d1e0b" hidden="1">#REF!</definedName>
    <definedName name="Tigr_Exhibit02193c65_e3ef_4fa3_912d_69c49ddd9b88" hidden="1">#REF!</definedName>
    <definedName name="Tigr_Exhibit0322ee91_5c47_4420_9ee3_079017e4625f" hidden="1">#REF!</definedName>
    <definedName name="Tigr_Exhibit038c762b_9f61_4d60_ba6e_6b4a51f71441" hidden="1">#REF!</definedName>
    <definedName name="Tigr_Exhibit03ddbb5b_73cd_48e4_91ef_2062f8dda02e" hidden="1">#REF!</definedName>
    <definedName name="Tigr_Exhibit047ed2ec_11ad_4371_9f15_9452aae0b95b" hidden="1">#REF!</definedName>
    <definedName name="Tigr_Exhibit05b1afe1_9051_46a8_92a6_d7c885137802" hidden="1">#REF!</definedName>
    <definedName name="Tigr_Exhibit05bbf520_9e39_43cb_bcf2_dfb7948ed8dd" hidden="1">#REF!</definedName>
    <definedName name="Tigr_Exhibit05c2ad8f_62d8_4503_a05a_4c607c803372" hidden="1">#REF!</definedName>
    <definedName name="Tigr_Exhibit07da95ce_bce5_4ab5_83ba_28ece95c7ba6" hidden="1">#REF!</definedName>
    <definedName name="Tigr_Exhibit07f9ff23_2a3b_4a77_9847_1ccef0775326" hidden="1">#REF!</definedName>
    <definedName name="Tigr_Exhibit0832655d_9365_4ebd_979d_008e1e292b5a" hidden="1">#REF!</definedName>
    <definedName name="Tigr_Exhibit08525e7d_443e_4111_b2fa_7597fb64cf8f" hidden="1">#REF!</definedName>
    <definedName name="Tigr_Exhibit08cd02ed_a1ff_4bcd_8223_bf8c5ff61caf" hidden="1">#REF!</definedName>
    <definedName name="Tigr_Exhibit096458eb_fdd4_46f9_bd4c_1111ee048694" hidden="1">#REF!</definedName>
    <definedName name="Tigr_Exhibit0c331a06_d5ba_4784_a673_1199346a3f13" hidden="1">#REF!</definedName>
    <definedName name="Tigr_Exhibit0d03f082_e23d_48ee_8da2_579539c695ee" hidden="1">#REF!</definedName>
    <definedName name="Tigr_Exhibit0d5cd2a5_575f_45fe_ba4b_fd8b35ad1a09" hidden="1">#REF!</definedName>
    <definedName name="Tigr_Exhibit0d80d4e9_b2ee_4c84_a2e1_c522189b5252" hidden="1">#REF!</definedName>
    <definedName name="Tigr_Exhibit0d86c4b0_79ed_45da_823c_2423fa796b64" hidden="1">#REF!</definedName>
    <definedName name="Tigr_Exhibit100b5a6f_517e_400c_93e7_10f6d098b7f9" hidden="1">#REF!</definedName>
    <definedName name="Tigr_Exhibit10c85395_64b4_4f25_b3ec_6bad4f8502c0" hidden="1">#REF!</definedName>
    <definedName name="Tigr_Exhibit15cc0782_070c_49a8_ad93_2d0e3c96a474" hidden="1">#REF!</definedName>
    <definedName name="Tigr_Exhibit15eacc04_2940_4599_89c1_3ab3225542e5" hidden="1">#REF!</definedName>
    <definedName name="Tigr_Exhibit16f9c274_cd65_4d28_85f4_6806b6589108" hidden="1">#REF!</definedName>
    <definedName name="Tigr_Exhibit17d1ec7d_00f7_460e_8f41_6d31efe0cd12" hidden="1">#REF!</definedName>
    <definedName name="Tigr_Exhibit183f10e0_2986_4113_92e4_7ba86bf96a37" hidden="1">#REF!</definedName>
    <definedName name="Tigr_Exhibit1876298a_048e_4756_9b85_c41e0bff3f2b" hidden="1">#REF!</definedName>
    <definedName name="Tigr_Exhibit1b16b04a_b407_43c1_a4c7_869e3f8c78ed" hidden="1">#REF!</definedName>
    <definedName name="Tigr_Exhibit1b2647d0_9863_4fe8_8041_ecaf9320038a" hidden="1">#REF!</definedName>
    <definedName name="Tigr_Exhibit1b333102_9973_4e09_b62f_d03ce4dffbf8" hidden="1">#REF!</definedName>
    <definedName name="Tigr_Exhibit1bbf4ba5_1824_4d91_88b7_2556ac077cae" hidden="1">#REF!</definedName>
    <definedName name="Tigr_Exhibit1cde7e5a_b91f_40c2_89fa_728d62ddae88" hidden="1">#REF!</definedName>
    <definedName name="Tigr_Exhibit1d3cc7f0_a166_4273_8d64_22a81b00aa37" hidden="1">#REF!</definedName>
    <definedName name="Tigr_Exhibit1ec7de98_53ea_4c34_9c48_127093b5edcc" hidden="1">#REF!</definedName>
    <definedName name="Tigr_Exhibit1f90cfd3_d607_450a_9c82_64f6edd47438" hidden="1">#REF!</definedName>
    <definedName name="Tigr_Exhibit20311ddb_02c3_4922_a65e_c47426e883c7" hidden="1">#REF!</definedName>
    <definedName name="Tigr_Exhibit207d13a4_3e7e_4a4f_968a_f0a2aa24b982" hidden="1">#REF!</definedName>
    <definedName name="Tigr_Exhibit215fd3f9_b6d5_4c9a_ab72_19a54b60fcba" hidden="1">#REF!</definedName>
    <definedName name="Tigr_Exhibit21cdad8a_358d_4d73_80d8_2e0c1b3fd9aa" hidden="1">#REF!</definedName>
    <definedName name="Tigr_Exhibit22dd4fab_be5a_44c6_9ebc_954ea39fc415" hidden="1">#REF!</definedName>
    <definedName name="Tigr_Exhibit2548d1d8_1aa1_4ea3_a9bf_65886805c652" hidden="1">#REF!</definedName>
    <definedName name="Tigr_Exhibit25a94057_2b22_4074_ba60_7eb50fd1ef0c" hidden="1">#REF!</definedName>
    <definedName name="Tigr_Exhibit26e91f56_ca70_4a08_88c9_352d836699fc" hidden="1">#REF!</definedName>
    <definedName name="Tigr_Exhibit27406a32_d3c6_413d_97d3_e8c0a775da0c" hidden="1">#REF!</definedName>
    <definedName name="Tigr_Exhibit29512459_9b80_4974_9951_a2e4f291698c" hidden="1">#REF!</definedName>
    <definedName name="Tigr_Exhibit296edea2_7bea_4e53_a6ee_b33902e5e587" hidden="1">#REF!</definedName>
    <definedName name="Tigr_Exhibit2a8258c8_2d57_40c7_a42a_09cad4b34da1" hidden="1">#REF!</definedName>
    <definedName name="Tigr_Exhibit2ae6cd42_4a7e_45a7_9818_8970f567e5da" hidden="1">#REF!</definedName>
    <definedName name="Tigr_Exhibit2f546f96_5669_4465_b897_9e921991f858" hidden="1">#REF!</definedName>
    <definedName name="Tigr_Exhibit2fb456f0_40c5_4776_b9b2_d1271106ceb5" hidden="1">#REF!</definedName>
    <definedName name="Tigr_Exhibit301b2469_01d9_4a88_8272_a7653e308a04" hidden="1">#REF!</definedName>
    <definedName name="Tigr_Exhibit305b2507_271e_4c21_bf86_4325ca9d48de" hidden="1">#REF!</definedName>
    <definedName name="Tigr_Exhibit30f94009_1895_4a63_a4ef_9767a06cdddb" hidden="1">#REF!</definedName>
    <definedName name="Tigr_Exhibit315e4e9a_2e49_4bf3_a93e_cdd67e3b2511" hidden="1">#REF!</definedName>
    <definedName name="Tigr_Exhibit31c766af_f71e_40b7_90e8_8083f5d5c8f6" hidden="1">#REF!</definedName>
    <definedName name="Tigr_Exhibit31f94765_9a70_4e7d_83b5_95083855ac61" hidden="1">#REF!</definedName>
    <definedName name="Tigr_Exhibit327aa219_16be_44dd_8587_f6e207ec98d7" hidden="1">#REF!</definedName>
    <definedName name="Tigr_Exhibit32892b9d_61ea_4bf1_8f64_b854b03b3a69" hidden="1">#REF!</definedName>
    <definedName name="Tigr_Exhibit32b13278_7857_4762_aef0_27895c1bc4a9" hidden="1">#REF!</definedName>
    <definedName name="Tigr_Exhibit3641ede0_3ede_4944_a624_da7b8880341c" hidden="1">#REF!</definedName>
    <definedName name="Tigr_Exhibit368ce0bc_7fc3_43e8_a1f6_49932066d6fe" hidden="1">#REF!</definedName>
    <definedName name="Tigr_Exhibit36ec16f4_fe13_4f3c_8c80_506d9f4fe6d0" hidden="1">#REF!</definedName>
    <definedName name="Tigr_Exhibit370aa164_2da7_417b_8398_468f4a383cc1" hidden="1">#REF!</definedName>
    <definedName name="Tigr_Exhibit37911e43_fc6e_4bd6_89cf_b935c5d9fdb1" hidden="1">#REF!</definedName>
    <definedName name="Tigr_Exhibit37c35c95_5487_4245_a08e_27daeaa3a49e" hidden="1">#REF!</definedName>
    <definedName name="Tigr_Exhibit3dbf26a3_491e_4f11_9fc1_ed023a672ded" hidden="1">#REF!</definedName>
    <definedName name="Tigr_Exhibit3ea260a0_d2b3_4050_b269_8564af82f463" hidden="1">#REF!</definedName>
    <definedName name="Tigr_Exhibit3ee05829_595b_48e2_834b_3c9c161397d2" hidden="1">#REF!</definedName>
    <definedName name="Tigr_Exhibit3f3fa475_345b_4736_b98f_3398da5cedb8" hidden="1">#REF!</definedName>
    <definedName name="Tigr_Exhibit401e8dfe_2e22_45b2_ae48_c72c69066d7a" hidden="1">#REF!</definedName>
    <definedName name="Tigr_Exhibit40f83a02_de26_492e_856c_93e9476f7d59" hidden="1">#REF!</definedName>
    <definedName name="Tigr_Exhibit417d4f6a_272e_4be6_8cf3_fa300aeb757b" hidden="1">#REF!</definedName>
    <definedName name="Tigr_Exhibit43b6595a_a771_4487_807e_1798129bc6d1" hidden="1">#REF!</definedName>
    <definedName name="Tigr_Exhibit464412ac_963c_4054_959d_0d60eb4018c2" hidden="1">#REF!</definedName>
    <definedName name="Tigr_Exhibit4661e851_651e_47a2_b050_c515739b2f84" hidden="1">#REF!</definedName>
    <definedName name="Tigr_Exhibit48862c65_87a2_4157_918f_b11c1062e868" hidden="1">#REF!</definedName>
    <definedName name="Tigr_Exhibit49d967e3_c7a7_49f8_a8a2_0f257f0b3eb2" hidden="1">#REF!</definedName>
    <definedName name="Tigr_Exhibit49db6f92_ee14_4f31_9fff_ed278a6faebe" hidden="1">#REF!</definedName>
    <definedName name="Tigr_Exhibit4a5d6eeb_1045_4cb0_ad0e_4ddc50ea57d7" hidden="1">#REF!</definedName>
    <definedName name="Tigr_Exhibit4c7e1f07_4d47_4cc1_87b2_8eae64868531" hidden="1">#REF!</definedName>
    <definedName name="Tigr_Exhibit4e837384_b028_44bd_81f8_a7f95faefa9a" hidden="1">#REF!</definedName>
    <definedName name="Tigr_Exhibit4fd5c574_982e_40f7_bd73_f8aaddb1ea01" hidden="1">#REF!</definedName>
    <definedName name="Tigr_Exhibit50349353_5968_4830_a286_24a74d2a9965" hidden="1">#REF!</definedName>
    <definedName name="Tigr_Exhibit5260373f_ee62_4bdd_9f6e_ec7f236dfa9f" hidden="1">#REF!</definedName>
    <definedName name="Tigr_Exhibit52c976bb_4202_4358_b060_7982761abf35" hidden="1">#REF!</definedName>
    <definedName name="Tigr_Exhibit53e7a06b_e7fa_44b9_8776_0ad713e8bd62" hidden="1">#REF!</definedName>
    <definedName name="Tigr_Exhibit55c0d442_fd87_425c_bd99_f9f3cbf4104c" hidden="1">#REF!</definedName>
    <definedName name="Tigr_Exhibit55d0c068_3054_432a_a0d4_01d793b44fa8" hidden="1">#REF!</definedName>
    <definedName name="Tigr_Exhibit584c8d15_4100_4281_800f_ff8d92d06615" hidden="1">#REF!</definedName>
    <definedName name="Tigr_Exhibit58acb6aa_076d_41cb_a2c5_0a6afef37095" hidden="1">#REF!</definedName>
    <definedName name="Tigr_Exhibit593ed678_c6ab_4bfd_92f5_3d8c3c3c2eaa" hidden="1">#REF!</definedName>
    <definedName name="Tigr_Exhibit5cd074dc_7300_41c3_bfc3_4c99daf53ade" hidden="1">#REF!</definedName>
    <definedName name="Tigr_Exhibit5fe322ac_07d1_4d9d_8897_1dc05dfc4726" hidden="1">#REF!</definedName>
    <definedName name="Tigr_Exhibit61afc8c3_6c22_448c_a668_4a86f8389157" hidden="1">#REF!</definedName>
    <definedName name="Tigr_Exhibit622b2fbf_8854_4690_8285_129fc69f9bff" hidden="1">#REF!</definedName>
    <definedName name="Tigr_Exhibit665c76ef_bb70_485c_897a_f50789f862f7" hidden="1">#REF!</definedName>
    <definedName name="Tigr_Exhibit66b26849_ce53_48f9_9c57_970ae7e33f07" hidden="1">#REF!</definedName>
    <definedName name="Tigr_Exhibit6863fb8f_8714_45ca_bc5d_8b2f312fa4cf" hidden="1">#REF!</definedName>
    <definedName name="Tigr_Exhibit69c8ff24_a165_4b3c_8385_555e17ff311c" hidden="1">#REF!</definedName>
    <definedName name="Tigr_Exhibit6c42fa7e_eecb_42ea_b42e_6575db613dae" hidden="1">#REF!</definedName>
    <definedName name="Tigr_Exhibit6d955f0c_330c_4ff7_b4fb_a60e8ea2e7d7" hidden="1">#REF!</definedName>
    <definedName name="Tigr_Exhibit6e2b9dd8_39d1_44cb_b948_1650af4262b8" hidden="1">#REF!</definedName>
    <definedName name="Tigr_Exhibit6ed87923_3b6d_442c_b59d_0e29d133221f" hidden="1">#REF!</definedName>
    <definedName name="Tigr_Exhibit6fbf4e01_83c4_4557_b198_cbcdd1e1714b" hidden="1">#REF!</definedName>
    <definedName name="Tigr_Exhibit7003808d_6479_46e9_8071_2b7671f8e8e6" hidden="1">#REF!</definedName>
    <definedName name="Tigr_Exhibit7074a2f0_8998_489d_b180_e721646891d1" hidden="1">#REF!</definedName>
    <definedName name="Tigr_Exhibit70e205bb_ef51_4735_bbce_ad5169948542" hidden="1">#REF!</definedName>
    <definedName name="Tigr_Exhibit743b3738_cfa2_40ea_812c_094186af5bdb" hidden="1">#REF!</definedName>
    <definedName name="Tigr_Exhibit75b0b018_2655_4859_9660_12e3d405f989" hidden="1">#REF!</definedName>
    <definedName name="Tigr_Exhibit765153cf_b4eb_4810_b1bd_394b271a6aad" hidden="1">#REF!</definedName>
    <definedName name="Tigr_Exhibit7724159d_1b96_465f_a596_6e5b46391b07" hidden="1">#REF!</definedName>
    <definedName name="Tigr_Exhibit7784fd4f_0b05_4a53_875f_80936784cf71" hidden="1">#REF!</definedName>
    <definedName name="Tigr_Exhibit7cba5149_db3d_4d61_b47c_53c99a9c5104" hidden="1">#REF!</definedName>
    <definedName name="Tigr_Exhibit7d1f4685_ffaa_4c27_823c_b8a836dd468f" hidden="1">#REF!</definedName>
    <definedName name="Tigr_Exhibit81762bbc_3746_41ca_8919_b3f066b58fdb" hidden="1">#REF!</definedName>
    <definedName name="Tigr_Exhibit82ea36d9_b64a_4dea_848b_67385dd24cfc" hidden="1">#REF!</definedName>
    <definedName name="Tigr_Exhibit83070a08_4b97_4151_8886_5e7c14462a65" hidden="1">#REF!</definedName>
    <definedName name="Tigr_Exhibit836c477c_ec88_4966_a89f_4aade02ad74e" hidden="1">#REF!</definedName>
    <definedName name="Tigr_Exhibit842ab900_aa58_4240_bb52_5dc046b5cf63" hidden="1">#REF!</definedName>
    <definedName name="Tigr_Exhibit89030993_3af4_45d5_9bc3_655288e89f96" hidden="1">#REF!</definedName>
    <definedName name="Tigr_Exhibit890e6c1e_d467_42e2_8565_87ebd75b294e" hidden="1">#REF!</definedName>
    <definedName name="Tigr_Exhibit89d84cbc_21bf_48a0_8f18_9b189fb1a4a9" hidden="1">#REF!</definedName>
    <definedName name="Tigr_Exhibit8b3346eb_cc20_4f2c_9fa5_7bdf785126d0" hidden="1">#REF!</definedName>
    <definedName name="Tigr_Exhibit8c67c1aa_81f7_40a2_854d_1a5f9708a2c5" hidden="1">#REF!</definedName>
    <definedName name="Tigr_Exhibit9273d4ec_9ea7_405a_a457_c8c2bbd46ec7" hidden="1">#REF!</definedName>
    <definedName name="Tigr_Exhibit928d0e9f_f553_4b90_9e39_33858b12b60f" hidden="1">#REF!</definedName>
    <definedName name="Tigr_Exhibit93a16a61_46d8_472f_bd29_ef44f2515f87" hidden="1">#REF!</definedName>
    <definedName name="Tigr_Exhibit956e386d_b969_404a_b572_7b5e91391606" hidden="1">#REF!</definedName>
    <definedName name="Tigr_Exhibit96759969_1d46_414e_b67c_c6a6e4fda864" hidden="1">#REF!</definedName>
    <definedName name="Tigr_Exhibit96c59915_e227_4fc0_ba0b_f591931e43a7" hidden="1">#REF!</definedName>
    <definedName name="Tigr_Exhibit98ab13d4_deb9_40e1_b5c5_3effb69a17b9" hidden="1">#REF!</definedName>
    <definedName name="Tigr_Exhibit9bf37d38_b312_4f0a_a3ce_21ede09f4338" hidden="1">#REF!</definedName>
    <definedName name="Tigr_Exhibit9cacb405_3a97_4024_ae98_f24f53c5d2f0" hidden="1">#REF!</definedName>
    <definedName name="Tigr_Exhibit9d331a0b_09ab_4f76_be35_304dccb1b733" hidden="1">#REF!</definedName>
    <definedName name="Tigr_Exhibit9e03eb42_56dd_40ae_bba0_cdef1a20d343" hidden="1">#REF!</definedName>
    <definedName name="Tigr_Exhibit9e655982_4592_4d2d_955d_5a25225fe467" hidden="1">#REF!</definedName>
    <definedName name="Tigr_Exhibit9f0a8905_1524_42f0_ade9_25dbdbe46a75" hidden="1">#REF!</definedName>
    <definedName name="Tigr_Exhibit9f2e398a_0d32_4ed4_a604_eda1326fdba6" hidden="1">#REF!</definedName>
    <definedName name="Tigr_Exhibit9f99b3f9_4293_47d5_94c5_587fc0d7221a" hidden="1">#REF!</definedName>
    <definedName name="Tigr_Exhibita169b9ea_3808_4c82_adb7_cf05e41e631a" hidden="1">#REF!</definedName>
    <definedName name="Tigr_Exhibita25157f2_dabb_4dbe_9604_fed6a1668fcf" hidden="1">#REF!</definedName>
    <definedName name="Tigr_Exhibita2d1efd7_67f0_4efd_a254_a6e54a0f9397" hidden="1">#REF!</definedName>
    <definedName name="Tigr_Exhibita37a3ea6_8ba4_480b_a4bb_cbe1f2fc467b" hidden="1">#REF!</definedName>
    <definedName name="Tigr_Exhibita4d3bc27_9948_47c3_b106_ea72c6172263" hidden="1">#REF!</definedName>
    <definedName name="Tigr_Exhibita4e1ef5c_7650_49e6_9d10_ba211be7c5a5" hidden="1">#REF!</definedName>
    <definedName name="Tigr_Exhibita5461784_f943_41ed_8895_ff5000e94076" hidden="1">#REF!</definedName>
    <definedName name="Tigr_Exhibita6cb43f5_7ea3_4edf_a19f_9be9912e4cb4" hidden="1">#REF!</definedName>
    <definedName name="Tigr_Exhibita7a6abf5_3818_409a_940b_22a7d5ba5200" hidden="1">#REF!</definedName>
    <definedName name="Tigr_Exhibita7ee7d62_37b3_4b68_b4b8_a623f5c0d37c" hidden="1">#REF!</definedName>
    <definedName name="Tigr_Exhibita9ec7abb_5acb_4080_839d_e2980159cce2" hidden="1">#REF!</definedName>
    <definedName name="Tigr_Exhibitab1cd67a_3339_4876_a31a_b416effbec3c" hidden="1">#REF!</definedName>
    <definedName name="Tigr_Exhibitaf0c0cef_014f_4671_b9f0_f6a9717ca845" hidden="1">#REF!</definedName>
    <definedName name="Tigr_Exhibitb1ce9ae9_68b6_4c4d_ad5f_58cd8a4760ae" hidden="1">#REF!</definedName>
    <definedName name="Tigr_Exhibitb2bf74ab_0194_4182_9a10_d94d56714def" hidden="1">#REF!</definedName>
    <definedName name="Tigr_Exhibitb2c7983e_0b0d_42a8_94c8_c39d997585ff" hidden="1">#REF!</definedName>
    <definedName name="Tigr_Exhibitb45f9991_2960_4a92_ad72_f2dd9a726995" hidden="1">#REF!</definedName>
    <definedName name="Tigr_Exhibitb52d7300_3700_4678_87de_1fe9e669bfa8" hidden="1">#REF!</definedName>
    <definedName name="Tigr_Exhibitb646eb33_d56f_425b_bc66_4bb4e34266d1" hidden="1">#REF!</definedName>
    <definedName name="Tigr_Exhibitb83ff3d0_3466_4525_901c_4273cdae906c" hidden="1">#REF!</definedName>
    <definedName name="Tigr_Exhibitb99d6781_82a6_4024_bd17_a5e40ed9d0b5" hidden="1">#REF!</definedName>
    <definedName name="Tigr_Exhibitb9a3113e_0915_4ec4_b6ff_55cd17e5f2e3" hidden="1">#REF!</definedName>
    <definedName name="Tigr_Exhibitb9c3501b_3685_4769_9812_f6e014393652" hidden="1">#REF!</definedName>
    <definedName name="Tigr_Exhibitba73417a_4948_4a5a_beb8_c69dbb1da016" hidden="1">#REF!</definedName>
    <definedName name="Tigr_Exhibitbc2122e0_b7fc_42d6_8fe7_a7f45bb74531" hidden="1">#REF!</definedName>
    <definedName name="Tigr_Exhibitbc98c187_a92e_4ecc_9ccf_a33634052951" hidden="1">#REF!</definedName>
    <definedName name="Tigr_Exhibitbe5e5964_b6ad_411f_8917_1478c5db9441" hidden="1">#REF!</definedName>
    <definedName name="Tigr_Exhibitbe8a1185_bca7_4470_988e_f3d0fc14abc6" hidden="1">#REF!</definedName>
    <definedName name="Tigr_Exhibitbf8b4892_7059_4529_b058_b718375c5d9c" hidden="1">#REF!</definedName>
    <definedName name="Tigr_Exhibitc0578117_3c4c_4b73_9147_db3499678d56" hidden="1">#REF!</definedName>
    <definedName name="Tigr_Exhibitc1285ea8_65de_46de_a38a_d401bcbdd4e1" hidden="1">#REF!</definedName>
    <definedName name="Tigr_Exhibitc1e343af_0f27_4c40_a522_2453d6404feb" hidden="1">#REF!</definedName>
    <definedName name="Tigr_Exhibitc89b8bad_4e3b_453e_b6ba_c8d76d243e04" hidden="1">#REF!</definedName>
    <definedName name="Tigr_Exhibitc92dc48a_2646_49b9_bd10_f65539e841de" hidden="1">#REF!</definedName>
    <definedName name="Tigr_Exhibitcb940f27_ebda_4fb3_a3fb_fcb00942a375" hidden="1">#REF!</definedName>
    <definedName name="Tigr_Exhibitcc2d0b3c_553d_4548_8c6f_9a293d3081d3" hidden="1">#REF!</definedName>
    <definedName name="Tigr_Exhibitcd286ca4_61bf_4bdc_9721_768a93158b99" hidden="1">#REF!</definedName>
    <definedName name="Tigr_Exhibitcd3996ea_bd24_46e8_bb30_cf5bcc209049" hidden="1">#REF!</definedName>
    <definedName name="Tigr_Exhibitcd46e8c3_e223_4d43_8afe_09d4edfc8b7e" hidden="1">#REF!</definedName>
    <definedName name="Tigr_Exhibitcd7c40e8_39b6_4153_afa3_42194e36dd94" hidden="1">#REF!</definedName>
    <definedName name="Tigr_Exhibitceb65608_a72f_4130_b009_ef5fdb301854" hidden="1">#REF!</definedName>
    <definedName name="Tigr_Exhibitd0597e1a_9faf_403a_ad9b_6e77dcad55f4" hidden="1">#REF!</definedName>
    <definedName name="Tigr_Exhibitd25f1005_79dc_4235_9a45_496500a9914f" hidden="1">#REF!</definedName>
    <definedName name="Tigr_Exhibitd2b43680_6860_467d_8af7_50c05813d4c2" hidden="1">#REF!</definedName>
    <definedName name="Tigr_Exhibitd3c53e5a_626b_406f_9b43_eeb2c7b77f09" hidden="1">#REF!</definedName>
    <definedName name="Tigr_Exhibitd3ec74ee_9e9e_4536_bc73_ff33b94b790d" hidden="1">#REF!</definedName>
    <definedName name="Tigr_Exhibitd3ef26eb_0645_4d2b_9326_c0f5a7a5c851" hidden="1">#REF!</definedName>
    <definedName name="Tigr_Exhibitd7085c9f_1191_4848_9ff7_e612ddac6147" hidden="1">#REF!</definedName>
    <definedName name="Tigr_Exhibitd7720fee_5a6a_4aa4_bb28_10cf13e15419" hidden="1">#REF!</definedName>
    <definedName name="Tigr_Exhibitd7fbb863_6f78_49bf_8496_0a975929a0ea" hidden="1">#REF!</definedName>
    <definedName name="Tigr_Exhibitd8763061_1e32_4623_a3e5_5a571e2070fc" hidden="1">#REF!</definedName>
    <definedName name="Tigr_Exhibitd93eaf19_f0cd_470c_a68f_000e4588ab80" hidden="1">#REF!</definedName>
    <definedName name="Tigr_Exhibitdb6baa80_6a4b_4988_b404_a1ce5cba6f0c" hidden="1">#REF!</definedName>
    <definedName name="Tigr_Exhibitde86124d_66d9_43c5_991e_501e16c19dd2" hidden="1">#REF!</definedName>
    <definedName name="Tigr_Exhibite1d979da_bbd0_4339_9439_25b7c2d41637" hidden="1">#REF!</definedName>
    <definedName name="Tigr_Exhibite1e11c75_c154_416a_be4f_727aa3fe90bd" hidden="1">#REF!</definedName>
    <definedName name="Tigr_Exhibite258cb22_c72d_447e_9cc2_959a97ce6b21" hidden="1">#REF!</definedName>
    <definedName name="Tigr_Exhibite62c7b22_af92_42f9_9d66_8d6a980c2791" hidden="1">#REF!</definedName>
    <definedName name="Tigr_Exhibite6413e5b_7121_4917_88f0_5b1f22e4f9f0" hidden="1">#REF!</definedName>
    <definedName name="Tigr_Exhibite87e361e_6135_4f7f_9e2d_5b1df4d96471" hidden="1">#REF!</definedName>
    <definedName name="Tigr_Exhibitea78e364_01ca_420a_9581_44d3bfa894d1" hidden="1">#REF!</definedName>
    <definedName name="Tigr_Exhibitea88190a_6c34_4e83_b8dd_54ad68ed2fe5" hidden="1">#REF!</definedName>
    <definedName name="Tigr_Exhibitecf4f64e_7462_4734_aec3_08610836f5fa" hidden="1">#REF!</definedName>
    <definedName name="Tigr_Exhibited00278a_9f21_4b72_b5b6_796222cad072" hidden="1">#REF!</definedName>
    <definedName name="Tigr_Exhibited720494_375a_4207_a653_c803f2d1afb6" hidden="1">#REF!</definedName>
    <definedName name="Tigr_Exhibitedd0dd26_fa79_4cef_9bdb_6348d430ff07" hidden="1">#REF!</definedName>
    <definedName name="Tigr_Exhibiteeb3f9cc_8cc4_4d0e_b685_b63f9a113ff2" hidden="1">#REF!</definedName>
    <definedName name="Tigr_Exhibitef8dbb29_4f92_46dd_a9e6_4db13be27d0c" hidden="1">#REF!</definedName>
    <definedName name="Tigr_Exhibitf22c21fc_b327_43ad_8c21_77c69cb1ab50" hidden="1">#REF!</definedName>
    <definedName name="Tigr_Exhibitf3cdb22c_7a9c_481c_83bd_714c5bd7b81c" hidden="1">#REF!</definedName>
    <definedName name="Tigr_Exhibitf4000fbf_90d9_4da9_80ce_eb42e588d96f" hidden="1">#REF!</definedName>
    <definedName name="Tigr_Exhibitf5857152_4c11_4263_ab25_554adb97558f" hidden="1">#REF!</definedName>
    <definedName name="Tigr_Exhibitf5993eec_8f1d_4fb7_8404_38c9bbdd0830" hidden="1">#REF!</definedName>
    <definedName name="Tigr_Exhibitf6e82a16_5f97_45ed_a635_2711aa1781ba" hidden="1">#REF!</definedName>
    <definedName name="Tigr_Exhibitf77b1e39_80ea_4444_837a_eb00abaaff66" hidden="1">#REF!</definedName>
    <definedName name="Tigr_Exhibitf7cc33d3_179b_4c40_a792_5d1299d02aca" hidden="1">#REF!</definedName>
    <definedName name="Tigr_Exhibitf95cb5d7_7f22_405d_a4ac_117bf2f203a3" hidden="1">#REF!</definedName>
    <definedName name="Tigr_Exhibitfb186575_78ef_49e6_b998_0541978d88b5" hidden="1">#REF!</definedName>
    <definedName name="Tigr_Exhibitfe827dca_4840_4008_98f4_e136e4ef5e69" hidden="1">#REF!</definedName>
    <definedName name="Tigr_Exhibitfebc9922_b21d_4571_8b33_ca54ddd0bc25" hidden="1">#REF!</definedName>
    <definedName name="trc_XLS_DATASHEET_ProtectDate">36895.4265625</definedName>
    <definedName name="Trend" hidden="1">{"closed",#N/A,FALSE,"Consolidated Products - Budget";"expanded",#N/A,FALSE,"Consolidated Products - Budget"}</definedName>
    <definedName name="trend2" hidden="1">{"closed",#N/A,FALSE,"Consolidated Products - Budget";"expanded",#N/A,FALSE,"Consolidated Products - Budget"}</definedName>
    <definedName name="TRIVOL">8</definedName>
    <definedName name="tt" hidden="1">{"away stand alones",#N/A,FALSE,"Target"}</definedName>
    <definedName name="ttt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woAndAHalfMonthdate">IF(TaxYearEnd="","",MONTH(TaxYearEnd+75)&amp;"/15"&amp;"/"&amp;YEAR(MyNextYear))</definedName>
    <definedName name="tyu" hidden="1">{"consolidated",#N/A,FALSE,"Sheet1";"cms",#N/A,FALSE,"Sheet1";"fse",#N/A,FALSE,"Sheet1"}</definedName>
    <definedName name="ugyi" hidden="1">{#N/A,#N/A,FALSE,"output";#N/A,#N/A,FALSE,"contrib";#N/A,#N/A,FALSE,"profile";#N/A,#N/A,FALSE,"comps"}</definedName>
    <definedName name="umy" hidden="1">{"comps",#N/A,FALSE,"comps";"notes",#N/A,FALSE,"comps"}</definedName>
    <definedName name="USPrint">#N/A</definedName>
    <definedName name="uu" hidden="1">{"closed",#N/A,FALSE,"Consolidated Products - Budget";"expanded",#N/A,FALSE,"Consolidated Products - Budget"}</definedName>
    <definedName name="v" hidden="1">{"IS",#N/A,FALSE,"IS";"RPTIS",#N/A,FALSE,"RPTIS";"STATS",#N/A,FALSE,"STATS";"CELL",#N/A,FALSE,"CELL";"BS",#N/A,FALSE,"BS"}</definedName>
    <definedName name="V_ALL_CRWV">#REF!</definedName>
    <definedName name="V_ALL_MNDY">#REF!</definedName>
    <definedName name="V_ALL_MSFT">#REF!</definedName>
    <definedName name="V_ALL_NTNX">[1]NTNX_Validation_Sheet!$A$1:$CB$331</definedName>
    <definedName name="V_ALL_TTAN">#REF!</definedName>
    <definedName name="Version.WIRE">1</definedName>
    <definedName name="vsv" hidden="1">{"comp",#N/A,FALSE,"SPEC";"footnotes",#N/A,FALSE,"SPEC"}</definedName>
    <definedName name="vv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" hidden="1">{"IS",#N/A,FALSE,"IS";"RPTIS",#N/A,FALSE,"RPTIS";"STATS",#N/A,FALSE,"STATS";"CELL",#N/A,FALSE,"CELL";"BS",#N/A,FALSE,"BS"}</definedName>
    <definedName name="w.dcf" hidden="1">{"mgmt forecast",#N/A,FALSE,"Mgmt Forecast";"dcf table",#N/A,FALSE,"Mgmt Forecast";"sensitivity",#N/A,FALSE,"Mgmt Forecast";"table inputs",#N/A,FALSE,"Mgmt Forecast";"calculations",#N/A,FALSE,"Mgmt Forecast"}</definedName>
    <definedName name="w3m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w3m2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w3run" hidden="1">{"Chart 1",#N/A,FALSE,"Run Rate";"Chart 2",#N/A,FALSE,"Run Rate (2)"}</definedName>
    <definedName name="w3w2" hidden="1">{"whole",#N/A,FALSE,"CS FIN Sum For Rox";"whole",#N/A,FALSE,"Gen_Dist_Act_Bud";"whole",#N/A,FALSE,"Gen_Dist_T3months";"whole",#N/A,FALSE,"GD_PerP";"whole",#N/A,FALSE,"CS_DIST_ActvsBud";"whole",#N/A,FALSE,"CS_DIST_SUM_trail3mo"}</definedName>
    <definedName name="wcom" hidden="1">{"IS",#N/A,FALSE,"IS";"RPTIS",#N/A,FALSE,"RPTIS";"STATS",#N/A,FALSE,"STATS";"BS",#N/A,FALSE,"BS"}</definedName>
    <definedName name="wefsdfasdf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hat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wrd.prodcon2" hidden="1">{"closed",#N/A,FALSE,"Consolidated Products - Budget";"expanded",#N/A,FALSE,"Consolidated Products - Budget"}</definedName>
    <definedName name="wrn" hidden="1">{#N/A,#N/A,FALSE,"Summary";#N/A,#N/A,FALSE,"Details";#N/A,#N/A,FALSE,"Month-Hd";#N/A,#N/A,FALSE,"YTD-Hd";#N/A,#N/A,FALSE,"Capital"}</definedName>
    <definedName name="wrn.1." hidden="1">{#N/A,#N/A,FALSE,"Calc";#N/A,#N/A,FALSE,"Sensitivity";#N/A,#N/A,FALSE,"LT Earn.Dil.";#N/A,#N/A,FALSE,"Dil. AVP"}</definedName>
    <definedName name="wrn.1.a" hidden="1">{#N/A,#N/A,FALSE,"Calc";#N/A,#N/A,FALSE,"Sensitivity";#N/A,#N/A,FALSE,"LT Earn.Dil.";#N/A,#N/A,FALSE,"Dil. AVP"}</definedName>
    <definedName name="wrn.101." hidden="1">{"101",#N/A,FALSE,"101"}</definedName>
    <definedName name="WRN.2." hidden="1">{#N/A,#N/A,FALSE,"Calc";#N/A,#N/A,FALSE,"Sensitivity";#N/A,#N/A,FALSE,"LT Earn.Dil.";#N/A,#N/A,FALSE,"Dil. AVP"}</definedName>
    <definedName name="wrn.2.a" hidden="1">{#N/A,#N/A,FALSE,"Calc";#N/A,#N/A,FALSE,"Sensitivity";#N/A,#N/A,FALSE,"LT Earn.Dil.";#N/A,#N/A,FALSE,"Dil. AVP"}</definedName>
    <definedName name="wrn.50._.50.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.2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_.501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505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6713_Financials." hidden="1">{#N/A,#N/A,FALSE,"Summary";#N/A,#N/A,FALSE,"Details";#N/A,#N/A,FALSE,"Month-Hd";#N/A,#N/A,FALSE,"YTD-Hd";#N/A,#N/A,FALSE,"Capital"}</definedName>
    <definedName name="wrn.Additonal." hidden="1">{"Revolver",#N/A,FALSE,"Revolver";"Incentives",#N/A,FALSE,"Model"}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Analysis2." hidden="1">{#N/A,#N/A,FALSE,"Aging Summary";#N/A,#N/A,FALSE,"Ratio Analysis";#N/A,#N/A,FALSE,"Test 120 Day Accts";#N/A,#N/A,FALSE,"Tickmarks"}</definedName>
    <definedName name="wrn.ALAN.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l." hidden="1">{#N/A,#N/A,FALSE,"BAL";#N/A,#N/A,FALSE,"P&amp;L";#N/A,#N/A,FALSE,"REV";#N/A,#N/A,FALSE,"COS";#N/A,#N/A,FALSE,"DPT";#N/A,#N/A,FALSE,"CSS";#N/A,#N/A,FALSE,"IMP";#N/A,#N/A,FALSE,"OPS";#N/A,#N/A,FALSE,"DVL";#N/A,#N/A,FALSE,"ADM"}</definedName>
    <definedName name="wrn.all._.comps.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comp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merica._.Online." hidden="1">{#N/A,#N/A,FALSE,"Intro";#N/A,#N/A,FALSE,"Inc. St.";#N/A,#N/A,FALSE,"CalYear";#N/A,#N/A,FALSE,"FYear";#N/A,#N/A,FALSE,"Subs";#N/A,#N/A,FALSE,"Other Revs";#N/A,#N/A,FALSE,"Deals";#N/A,#N/A,FALSE,"RevsYear";#N/A,#N/A,FALSE,"Balance";#N/A,#N/A,FALSE,"OpCashFlow";#N/A,#N/A,FALSE,"Val.";#N/A,#N/A,FALSE,"DCFVal"}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umptions." hidden="1">{"casespecific",#N/A,FALSE,"Assumptions"}</definedName>
    <definedName name="wrn.assumptionsa" hidden="1">{"casespecific",#N/A,FALSE,"Assumptions"}</definedName>
    <definedName name="wrn.away" hidden="1">{"away stand alones",#N/A,FALSE,"Target"}</definedName>
    <definedName name="wrn.away." hidden="1">{"away stand alones",#N/A,FALSE,"Target"}</definedName>
    <definedName name="wrn.barthelet._.resp._.profit." hidden="1">{"barthelet detail",#N/A,FALSE,"96 plan Q1";"barthelet summ",#N/A,FALSE,"96 plan Q1"}</definedName>
    <definedName name="wrn.barthelet._.resp._.profit.cc" hidden="1">{"barthelet detail",#N/A,FALSE,"96 plan Q1";"barthelet summ",#N/A,FALSE,"96 plan Q1"}</definedName>
    <definedName name="wrn.barthelet._.resp._.profit.eu" hidden="1">{"barthelet detail",#N/A,FALSE,"96 plan Q1";"barthelet summ",#N/A,FALSE,"96 plan Q1"}</definedName>
    <definedName name="wrn.Basic." hidden="1">{"Returns",#N/A,FALSE,"Model";"Enterprise Value/Credit Stats",#N/A,FALSE,"Model";"Assumptions",#N/A,FALSE,"Model";"Income Statement",#N/A,FALSE,"Model";"Cash Flow Statement",#N/A,FALSE,"Model";"Balance Sheet",#N/A,FALSE,"Model";"Tax Schedule",#N/A,FALSE,"Model";"W/C Revolver",#N/A,FALSE,"Model"}</definedName>
    <definedName name="wrn.BEL." hidden="1">{"IS",#N/A,FALSE,"IS";"RPTIS",#N/A,FALSE,"RPTIS";"STATS",#N/A,FALSE,"STATS";"CELL",#N/A,FALSE,"CELL";"BS",#N/A,FALSE,"BS"}</definedName>
    <definedName name="wrn.both._.pages." hidden="1">{"page 1",#N/A,FALSE,"Comps";"page 2",#N/A,FALSE,"Comps"}</definedName>
    <definedName name="wrn.brian." hidden="1">{#N/A,#N/A,FALSE,"output";#N/A,#N/A,FALSE,"contrib";#N/A,#N/A,FALSE,"profile";#N/A,#N/A,FALSE,"comps"}</definedName>
    <definedName name="wrn.brians" hidden="1">{#N/A,#N/A,FALSE,"output";#N/A,#N/A,FALSE,"contrib";#N/A,#N/A,FALSE,"profile";#N/A,#N/A,FALSE,"comps"}</definedName>
    <definedName name="wrn.Buildups." hidden="1">{"ACQ",#N/A,FALSE,"ACQUISITIONS";"ACQF",#N/A,FALSE,"ACQUISITIONS";"PF",#N/A,FALSE,"PROYECTOVILA";"PV",#N/A,FALSE,"PROYECTOVILA";"Fee Dev",#N/A,FALSE,"DEVELOPMENT GROWTH";"gd",#N/A,FALSE,"DEVELOPMENT GROWTH"}</definedName>
    <definedName name="wrn.cash.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asha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lient." hidden="1">{"multiple",#N/A,FALSE,"client";"margins",#N/A,FALSE,"client";"data",#N/A,FALSE,"client"}</definedName>
    <definedName name="wrn.Client3.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ombined." hidden="1">{"Quarterly (Earnings model )",#N/A,FALSE,"Earnings model ";"Quarterlycompare (Earnings model )",#N/A,FALSE,"Earnings model ";"Annual (Earnings model )",#N/A,FALSE,"Earnings model "}</definedName>
    <definedName name="wrn.comps." hidden="1">{"comps",#N/A,FALSE,"comps";"notes",#N/A,FALSE,"comps"}</definedName>
    <definedName name="wrn.CONSOLIDATION.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tribution." hidden="1">{#N/A,#N/A,FALSE,"Contribution Analysis"}</definedName>
    <definedName name="wrn.contribution2" hidden="1">{#N/A,#N/A,FALSE,"Contribution Analysis"}</definedName>
    <definedName name="wrn.cooper." hidden="1">{#N/A,#N/A,TRUE,"Pro Forma";#N/A,#N/A,TRUE,"PF_Bal";#N/A,#N/A,TRUE,"PF_INC";#N/A,#N/A,TRUE,"CBE";#N/A,#N/A,TRUE,"SWK"}</definedName>
    <definedName name="wrn.CORE._.KINETICS." hidden="1">{"COREKINETICS",#N/A,FALSE,"CORE KINETICS"}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sc." hidden="1">{"orixcsc",#N/A,FALSE,"ORIX CSC";"orixcsc2",#N/A,FALSE,"ORIX CSC"}</definedName>
    <definedName name="wrn.csc2" hidden="1">{"orixcsc",#N/A,FALSE,"ORIX CSC";"orixcsc2",#N/A,FALSE,"ORIX CSC"}</definedName>
    <definedName name="wrn.csc2." hidden="1">{#N/A,#N/A,FALSE,"ORIX CSC"}</definedName>
    <definedName name="wrn.csc3" hidden="1">{#N/A,#N/A,FALSE,"ORIX CSC"}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emographic._.report.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il_anal." hidden="1">{"hiden",#N/A,FALSE,"14";"hidden",#N/A,FALSE,"16";"hidden",#N/A,FALSE,"18";"hidden",#N/A,FALSE,"20"}</definedName>
    <definedName name="wrn.document." hidden="1">{"consolidated",#N/A,FALSE,"Sheet1";"cms",#N/A,FALSE,"Sheet1";"fse",#N/A,FALSE,"Sheet1"}</definedName>
    <definedName name="wrn.documentaero." hidden="1">{"comps2",#N/A,FALSE,"AERO";"footnotes",#N/A,FALSE,"AERO"}</definedName>
    <definedName name="wrn.documenthand." hidden="1">{"comps",#N/A,FALSE,"HANDPACK";"footnotes",#N/A,FALSE,"HANDPACK"}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lton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wrn.elton2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wrn.eltonw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wrn.equity._.comps." hidden="1">{"equity comps",#N/A,FALSE,"CS Comps";"equity comps",#N/A,FALSE,"PS Comps";"equity comps",#N/A,FALSE,"GIC_Comps";"equity comps",#N/A,FALSE,"GIC2_Comps"}</definedName>
    <definedName name="wrn.Europe.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xternal." hidden="1">{"External_Annual_Income",#N/A,FALSE,"External";"External_Quarterly_Income",#N/A,FALSE,"External"}</definedName>
    <definedName name="wrn.external.2" hidden="1">{"External_Annual_Income",#N/A,FALSE,"External";"External_Quarterly_Income",#N/A,FALSE,"External"}</definedName>
    <definedName name="wrn.F.S.." hidden="1">{#N/A,#N/A,TRUE,"COVER";#N/A,#N/A,TRUE,"DIR";#N/A,#N/A,TRUE,"AUDIT"}</definedName>
    <definedName name="wrn.Fax." hidden="1">{"fax (BS)",#N/A,FALSE,"BS";"fax (CF)",#N/A,FALSE,"CF";"fax (seg)",#N/A,FALSE,"Seg";"fax (telecomm)",#N/A,FALSE,"telecomm";"fax (infodisplay)",#N/A,FALSE,"infodisplay";"fax (am)",#N/A,FALSE,"AM";"fax (is)",#N/A,FALSE,"IS"}</definedName>
    <definedName name="wrn.Field_PSS." hidden="1">{#N/A,#N/A,FALSE,"Summary";#N/A,#N/A,FALSE,"Expense";#N/A,#N/A,FALSE,"Capital"}</definedName>
    <definedName name="wrn.Final._.Copy." hidden="1">{#N/A,#N/A,TRUE,"Assumptions";#N/A,#N/A,TRUE,"Financial  Statements";#N/A,#N/A,TRUE,"Unl. Free CF Valuation ";#N/A,#N/A,TRUE,"Funding Schedule";#N/A,#N/A,TRUE,"High Yield &amp; Equity Schedule"}</definedName>
    <definedName name="wrn.Financials_long." hidden="1">{"IS",#N/A,FALSE,"Financials2 (Expanded)";"bsa",#N/A,FALSE,"Financials2 (Expanded)";"BS",#N/A,FALSE,"Financials2 (Expanded)";"CF",#N/A,FALSE,"Financials2 (Expanded)"}</definedName>
    <definedName name="wrn.FORECAST._.PACK." hidden="1">{#N/A,#N/A,FALSE,"VAR TO LAST NET REV BY TER";#N/A,#N/A,FALSE,"VARIANCE SHEET";#N/A,#N/A,FALSE,"QTD VAR TO LAST";#N/A,#N/A,FALSE,"SGA VAR BY TERR";#N/A,#N/A,FALSE,"FY97 BY TERR";#N/A,#N/A,FALSE,"TERR VAR TO PLAN SUMM";#N/A,#N/A,FALSE,"TERRITORIES VERSUS PLAN";#N/A,#N/A,FALSE,"FY97 BY QTR"}</definedName>
    <definedName name="wrn.Friendly." hidden="1">{#N/A,#N/A,TRUE,"Julio";#N/A,#N/A,TRUE,"Agosto";#N/A,#N/A,TRUE,"BHCo";#N/A,#N/A,TRUE,"Abril";#N/A,#N/A,TRUE,"Pro Forma"}</definedName>
    <definedName name="wrn.Full._.Monty.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report." hidden="1">{"multiple",#N/A,FALSE,"client (2)";"margins",#N/A,FALSE,"client (2)";"data",#N/A,FALSE,"client (2)";"multiple",#N/A,FALSE,"client";"margins",#N/A,FALSE,"client";"data",#N/A,FALSE,"client"}</definedName>
    <definedName name="wrn.Fullprint." hidden="1">{#N/A,#N/A,FALSE,"P&amp;L 1Q02";#N/A,#N/A,FALSE,"P&amp;L 2Q02";#N/A,#N/A,FALSE,"P&amp;L 3Q02";#N/A,#N/A,FALSE,"P&amp;L 4Q02";#N/A,#N/A,FALSE,"P&amp;L 2002";#N/A,#N/A,FALSE,"P&amp;L 1Q03";#N/A,#N/A,FALSE,"P&amp;L 1Q03";#N/A,#N/A,FALSE,"P&amp;L 2Q03";#N/A,#N/A,FALSE,"P&amp;L 3Q03";#N/A,#N/A,FALSE,"P&amp;L 4Q03";#N/A,#N/A,FALSE,"P&amp;L 2003";#N/A,#N/A,FALSE,"P&amp;L 2004";#N/A,#N/A,FALSE,"P&amp;L 2005"}</definedName>
    <definedName name="wrn.FY9908EMEA." hidden="1">{#N/A,#N/A,FALSE,"Contents";#N/A,#N/A,FALSE,"Returns (Current+YTD)";#N/A,#N/A,FALSE,"Returns (Reason-MTD)";#N/A,#N/A,FALSE,"Returns (Reason-YTD)";#N/A,#N/A,FALSE,"Reserves (Current)";#N/A,#N/A,FALSE,"Reserves (YTD)";#N/A,#N/A,FALSE,"Reserves (PU)";#N/A,#N/A,FALSE,"Reserves (Rec)";#N/A,#N/A,FALSE,"PPRO (SKU)";#N/A,#N/A,FALSE,"PPRO (YTD)";#N/A,#N/A,FALSE,"Rebates (Current)";#N/A,#N/A,FALSE,"Rebates (YTD)"}</definedName>
    <definedName name="wrn.GenDistPac.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wrn.HR_Details.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wrn.HR_HR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wrn.Income._.Statement." hidden="1">{#N/A,#N/A,FALSE,"Report Print"}</definedName>
    <definedName name="wrn.INTL._.GROUP." hidden="1">{"INTLGROUP",#N/A,FALSE,"INTL GROUP"}</definedName>
    <definedName name="wrn.IPIX." hidden="1">{#N/A,#N/A,FALSE,"Report Print"}</definedName>
    <definedName name="wrn.Main._.Report._.All._.Sections.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aster_Income." hidden="1">{"Annual_Income",#N/A,FALSE,"Master Model";"Quarterly_Income",#N/A,FALSE,"Master Model"}</definedName>
    <definedName name="wrn.memo." hidden="1">{#N/A,#N/A,TRUE,"financial";#N/A,#N/A,TRUE,"plants"}</definedName>
    <definedName name="wrn.merger.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ikemur.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wrn.Mikemurdist." hidden="1">{"whole",#N/A,FALSE,"Gen_Dist_Act_Bud";"whole",#N/A,FALSE,"Gen_Dist_T3months";"whole",#N/A,FALSE,"GD_PerP";"whole",#N/A,FALSE,"HR Dist'n"}</definedName>
    <definedName name="wrn.model." hidden="1">{"main",#N/A,FALSE,"Variables";"target",#N/A,FALSE,"finstmts - target";"target base",#N/A,FALSE,"finstmts - target - base";"offer price",#N/A,FALSE,"Offer Price"}</definedName>
    <definedName name="wrn.MS._.Report." hidden="1">{"MS Project",#N/A,TRUE,"Project";"MS Customer Service",#N/A,TRUE,"Customer Service";"MS Mechanical",#N/A,TRUE,"Mechanical";"MS Structural",#N/A,TRUE,"Structural";"MS Critical Areas",#N/A,TRUE,"Critical Areas";"MS Broadband",#N/A,TRUE,"Broadband";"MS Electrical",#N/A,TRUE,"Electrical";"MS FurnFac",#N/A,TRUE,"FurnFac";"MS Digital",#N/A,TRUE,"Digital";"MS Janitorial",#N/A,TRUE,"Janitorial";"MS Landscaping",#N/A,TRUE,"Landscaping";"MS SLA Goals",#N/A,TRUE,"SLA Customer Work Orders"}</definedName>
    <definedName name="wrn.MYR._.Template.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wrn.new96FS.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wrn.new96PTC.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wrn.Output.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perimeter._.comp." hidden="1">{#N/A,#N/A,TRUE,"comp";#N/A,#N/A,TRUE,"notes"}</definedName>
    <definedName name="wrn.Pianocomp." hidden="1">{"page_1",#N/A,TRUE,"Sheet1";"page_2",#N/A,TRUE,"Sheet1";"page_notes",#N/A,TRUE,"Sheet1"}</definedName>
    <definedName name="wrn.Print." hidden="1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name="wrn.Print._.24.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standalone." hidden="1">{"standalone1",#N/A,FALSE,"DCFBase";"standalone2",#N/A,FALSE,"DCFBase"}</definedName>
    <definedName name="wrn.print._.summary._.sheets." hidden="1">{"summary1",#N/A,TRUE,"Comps";"summary2",#N/A,TRUE,"Comps";"summary3",#N/A,TRUE,"Comps"}</definedName>
    <definedName name="wrn.Print._.the._.lot." hidden="1">{"First Page",#N/A,FALSE,"Surfactants LBO";"Second Page",#N/A,FALSE,"Surfactants LBO"}</definedName>
    <definedName name="wrn.Printing._.Report." hidden="1">{"Assumptions",#N/A,FALSE,"Assumptions";"Sensitivities1",#N/A,FALSE,"Sensitivities";"Sensitivities2",#N/A,FALSE,"Sensitivities";"Sensitivities3",#N/A,FALSE,"Sensitivities";"Bidder",#N/A,FALSE,"Bidder";"Annualised_Target",#N/A,FALSE,"Target";"Target",#N/A,FALSE,"Target";"Summary",#N/A,FALSE,"Summary";"Historic",#N/A,FALSE,"Hist";"Current",#N/A,FALSE,"Curr";"Prospective",#N/A,FALSE,"Prosp";"Prospective+1",#N/A,FALSE,"Prosp+1"}</definedName>
    <definedName name="wrn.Printing._.the._.transactions._.sheets." hidden="1">{#N/A,#N/A,FALSE,"Eastern";#N/A,#N/A,FALSE,"Western"}</definedName>
    <definedName name="wrn.prodcom." hidden="1">{"closed",#N/A,FALSE,"Consolidated Products - Budget";"expanded",#N/A,FALSE,"Consolidated Products - Budget"}</definedName>
    <definedName name="wrn.prodcon." hidden="1">{"closed",#N/A,FALSE,"Consolidated Products - Budget";"expanded",#N/A,FALSE,"Consolidated Products - Budget"}</definedName>
    <definedName name="wrn.prodcon.1" hidden="1">{"closed",#N/A,FALSE,"Consolidated Products - Budget";"expanded",#N/A,FALSE,"Consolidated Products - Budget"}</definedName>
    <definedName name="wrn.prodcon.a2" hidden="1">{"closed",#N/A,FALSE,"Consolidated Products - Budget";"expanded",#N/A,FALSE,"Consolidated Products - Budget"}</definedName>
    <definedName name="wrn.prodcon.acquire" hidden="1">{"closed",#N/A,FALSE,"Consolidated Products - Budget";"expanded",#N/A,FALSE,"Consolidated Products - Budget"}</definedName>
    <definedName name="wrn.prodcon1" hidden="1">{"closed",#N/A,FALSE,"Consolidated Products - Budget";"expanded",#N/A,FALSE,"Consolidated Products - Budget"}</definedName>
    <definedName name="wrn.PRODUCT._.GROUP." hidden="1">{"PRODUCTGROUP",#N/A,FALSE,"PRODUCT GROUP"}</definedName>
    <definedName name="wrn.rep_page." hidden="1">{"Annual_Income",#N/A,FALSE,"Report Page";"Balance_Cash_Flow",#N/A,FALSE,"Report Page";"Quarterly_Income",#N/A,FALSE,"Report Page"}</definedName>
    <definedName name="wrn.Report_Page." hidden="1">{"Annual_Income",#N/A,FALSE,"Report Page";"Balance_Cash_Flow",#N/A,FALSE,"Report Page";"Quarterly_Income",#N/A,FALSE,"Report Page"}</definedName>
    <definedName name="wrn.Report1." hidden="1">{#N/A,#N/A,FALSE,"Operations";#N/A,#N/A,FALSE,"Financials"}</definedName>
    <definedName name="wrn.Revenue._.Details." hidden="1">{"Revenue by Industry Chart",#N/A,FALSE,"Mix";"Annual Revenue Detail",#N/A,FALSE,"Mix";"Quarterly Revenue Detail",#N/A,FALSE,"Mix"}</definedName>
    <definedName name="wrn.Roxanna." hidden="1">{"whole",#N/A,FALSE,"CS HC";"whole",#N/A,FALSE,"CS_ACTvsBud";"whole",#N/A,FALSE,"CSTrail3mo";"whole",#N/A,FALSE,"CS Cost Per Head ";"whole",#N/A,FALSE,"CS CPH YTD"}</definedName>
    <definedName name="wrn.Roxydist." hidden="1">{"whole",#N/A,FALSE,"CS FIN Sum For Rox";"whole",#N/A,FALSE,"Gen_Dist_Act_Bud";"whole",#N/A,FALSE,"Gen_Dist_T3months";"whole",#N/A,FALSE,"GD_PerP";"whole",#N/A,FALSE,"CS_DIST_ActvsBud";"whole",#N/A,FALSE,"CS_DIST_SUM_trail3mo"}</definedName>
    <definedName name="wrn.Run._.Rates." hidden="1">{"Chart 1",#N/A,FALSE,"Run Rate";"Chart 2",#N/A,FALSE,"Run Rate (2)"}</definedName>
    <definedName name="wrn.sales." hidden="1">{"sales",#N/A,FALSE,"Sales";"sales existing",#N/A,FALSE,"Sales";"sales rd1",#N/A,FALSE,"Sales";"sales rd2",#N/A,FALSE,"Sales"}</definedName>
    <definedName name="wrn.sens." hidden="1">{#N/A,#N/A,FALSE,"Sensitivities";#N/A,#N/A,FALSE,"Sensitivities2"}</definedName>
    <definedName name="wrn.sensitivity._.analyses." hidden="1">{"general",#N/A,FALSE,"Assumptions"}</definedName>
    <definedName name="wrn.SHORT." hidden="1">{"CREDIT STATISTICS",#N/A,FALSE,"STATS";"CF_AND_IS",#N/A,FALSE,"PLAN";"BALSHEET",#N/A,FALSE,"BALANCE SHEET"}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tand_alone." hidden="1">{#N/A,#N/A,FALSE,"CBE";#N/A,#N/A,FALSE,"SWK"}</definedName>
    <definedName name="wrn.Summary." hidden="1">{"Print Summary",#N/A,FALSE,"Bal_Graphs";"Print Summary",#N/A,FALSE,"DCF";"Print Summary",#N/A,FALSE,"Graphs";"Print Summary",#N/A,FALSE,"Summary"}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mmit.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wrn.taihing." hidden="1">{#N/A,#N/A,FALSE,"DIR-REP";#N/A,#N/A,FALSE,"AUD-REPORT";#N/A,#N/A,FALSE,"P7L&amp;BS";#N/A,#N/A,FALSE,"NOTES";#N/A,#N/A,FALSE,"FA";#N/A,#N/A,FALSE,"NOTES (2)";#N/A,#N/A,FALSE,"Schedule  IV";#N/A,#N/A,FALSE,"Schedule V"}</definedName>
    <definedName name="wrn.TEMP.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wrn.test." hidden="1">{"test2",#N/A,TRUE,"Prices"}</definedName>
    <definedName name="wrn.Thomas_Case.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iger." hidden="1">{#N/A,#N/A,FALSE,"TB";#N/A,#N/A,FALSE,"CONTENTS";#N/A,#N/A,FALSE,"DR";#N/A,#N/A,FALSE,"AR";#N/A,#N/A,FALSE,"BS";#N/A,#N/A,FALSE,"PL";#N/A,#N/A,FALSE,"NOTES";#N/A,#N/A,FALSE,"NOTES (2)";#N/A,#N/A,FALSE,"NOTES (3)";#N/A,#N/A,FALSE,"DPL";#N/A,#N/A,FALSE,"DPL"}</definedName>
    <definedName name="wrn.tigertax." hidden="1">{#N/A,#N/A,FALSE,"TAXC.INDEX";#N/A,#N/A,FALSE,"Schedule I";#N/A,#N/A,FALSE,"Schedule  II";#N/A,#N/A,FALSE,"Schedule III"}</definedName>
    <definedName name="wrn.Total._.Pack.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comp." hidden="1">{"comp1",#N/A,FALSE,"COMPS";"footnotes",#N/A,FALSE,"COMPS"}</definedName>
    <definedName name="wrn.trans._.sum." hidden="1">{"trans assumptions",#N/A,FALSE,"Merger";"trans accretion",#N/A,FALSE,"Merger"}</definedName>
    <definedName name="wrn.Tweety." hidden="1">{#N/A,#N/A,FALSE,"A&amp;E";#N/A,#N/A,FALSE,"HighTop";#N/A,#N/A,FALSE,"JG";#N/A,#N/A,FALSE,"RI";#N/A,#N/A,FALSE,"woHT";#N/A,#N/A,FALSE,"woHT&amp;JG"}</definedName>
    <definedName name="wrn.up." hidden="1">{"up stand alones",#N/A,FALSE,"Acquiror"}</definedName>
    <definedName name="wrn.USF._.GROUP." hidden="1">{"USFGROUP",#N/A,FALSE,"USF GROUP CONSOL"}</definedName>
    <definedName name="wrn.USW." hidden="1">{"IS",#N/A,FALSE,"IS";"RPTIS",#N/A,FALSE,"RPTIS";"STATS",#N/A,FALSE,"STATS";"BS",#N/A,FALSE,"BS"}</definedName>
    <definedName name="wrn.Wacc." hidden="1">{"Area1",#N/A,FALSE,"OREWACC";"Area2",#N/A,FALSE,"OREWACC"}</definedName>
    <definedName name="wrn.Yahoo." hidden="1">{#N/A,#N/A,FALSE,"Inc. St.";#N/A,#N/A,FALSE,"FYear";#N/A,#N/A,FALSE,"Revs.";#N/A,#N/A,FALSE,"RevsYear";#N/A,#N/A,FALSE,"Balance";#N/A,#N/A,FALSE,"CompVal";#N/A,#N/A,FALSE,"Val.";#N/A,#N/A,FALSE,"DCFval"}</definedName>
    <definedName name="wrn1.Fax." hidden="1">{"fax (BS)",#N/A,FALSE,"BS";"fax (CF)",#N/A,FALSE,"CF";"fax (seg)",#N/A,FALSE,"Seg";"fax (telecomm)",#N/A,FALSE,"telecomm";"fax (infodisplay)",#N/A,FALSE,"infodisplay";"fax (am)",#N/A,FALSE,"AM";"fax (is)",#N/A,FALSE,"IS"}</definedName>
    <definedName name="wrn1.prodcon" hidden="1">{"closed",#N/A,FALSE,"Consolidated Products - Budget";"expanded",#N/A,FALSE,"Consolidated Products - Budget"}</definedName>
    <definedName name="WRN2.Document" hidden="1">{"consolidated",#N/A,FALSE,"Sheet1";"cms",#N/A,FALSE,"Sheet1";"fse",#N/A,FALSE,"Sheet1"}</definedName>
    <definedName name="wrncompas" hidden="1">{"comps",#N/A,FALSE,"comps";"notes",#N/A,FALSE,"comps"}</definedName>
    <definedName name="wrneltonw2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wrngdp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wrnhr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wrnhrhr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wrnmike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wrnmike2" hidden="1">{"whole",#N/A,FALSE,"Gen_Dist_Act_Bud";"whole",#N/A,FALSE,"Gen_Dist_T3months";"whole",#N/A,FALSE,"GD_PerP";"whole",#N/A,FALSE,"HR Dist'n"}</definedName>
    <definedName name="wrnmyr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wrnpss" hidden="1">{#N/A,#N/A,FALSE,"Summary";#N/A,#N/A,FALSE,"Expense";#N/A,#N/A,FALSE,"Capital"}</definedName>
    <definedName name="wrnrox" hidden="1">{"whole",#N/A,FALSE,"CS HC";"whole",#N/A,FALSE,"CS_ACTvsBud";"whole",#N/A,FALSE,"CSTrail3mo";"whole",#N/A,FALSE,"CS Cost Per Head ";"whole",#N/A,FALSE,"CS CPH YTD"}</definedName>
    <definedName name="wrnrox2" hidden="1">{"whole",#N/A,FALSE,"CS FIN Sum For Rox";"whole",#N/A,FALSE,"Gen_Dist_Act_Bud";"whole",#N/A,FALSE,"Gen_Dist_T3months";"whole",#N/A,FALSE,"GD_PerP";"whole",#N/A,FALSE,"CS_DIST_ActvsBud";"whole",#N/A,FALSE,"CS_DIST_SUM_trail3mo"}</definedName>
    <definedName name="wrnrun" hidden="1">{"Chart 1",#N/A,FALSE,"Run Rate";"Chart 2",#N/A,FALSE,"Run Rate (2)"}</definedName>
    <definedName name="wro.model" hidden="1">{"main",#N/A,FALSE,"Variables";"target",#N/A,FALSE,"finstmts - target";"target base",#N/A,FALSE,"finstmts - target - base";"offer price",#N/A,FALSE,"Offer Price"}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m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wwn" hidden="1">{"whole",#N/A,FALSE,"Gen_Dist_Act_Bud";"whole",#N/A,FALSE,"Gen_Dist_T3months";"whole",#N/A,FALSE,"GD_PerP";"whole",#N/A,FALSE,"HR Dist'n"}</definedName>
    <definedName name="wwo" hidden="1">{"whole",#N/A,FALSE,"CS HC";"whole",#N/A,FALSE,"CS_ACTvsBud";"whole",#N/A,FALSE,"CSTrail3mo";"whole",#N/A,FALSE,"CS Cost Per Head ";"whole",#N/A,FALSE,"CS CPH YTD"}</definedName>
    <definedName name="wwp" hidden="1">{"whole",#N/A,FALSE,"CS FIN Sum For Rox";"whole",#N/A,FALSE,"Gen_Dist_Act_Bud";"whole",#N/A,FALSE,"Gen_Dist_T3months";"whole",#N/A,FALSE,"GD_PerP";"whole",#N/A,FALSE,"CS_DIST_ActvsBud";"whole",#N/A,FALSE,"CS_DIST_SUM_trail3mo"}</definedName>
    <definedName name="Wwrn.6713" hidden="1">{#N/A,#N/A,FALSE,"Summary";#N/A,#N/A,FALSE,"Details";#N/A,#N/A,FALSE,"Month-Hd";#N/A,#N/A,FALSE,"YTD-Hd";#N/A,#N/A,FALSE,"Capital"}</definedName>
    <definedName name="Wwrn.Field_PSS" hidden="1">{#N/A,#N/A,FALSE,"Summary";#N/A,#N/A,FALSE,"Expense";#N/A,#N/A,FALSE,"Capital"}</definedName>
    <definedName name="www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www.mike" hidden="1">{"whole",#N/A,FALSE,"Gen_Dist_Act_Bud";"whole",#N/A,FALSE,"Gen_Dist_T3months";"whole",#N/A,FALSE,"GD_PerP";"whole",#N/A,FALSE,"HR Dist'n"}</definedName>
    <definedName name="www.myr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www.run" hidden="1">{"Chart 1",#N/A,FALSE,"Run Rate";"Chart 2",#N/A,FALSE,"Run Rate (2)"}</definedName>
    <definedName name="www.ww" hidden="1">{"whole",#N/A,FALSE,"CS FIN Sum For Rox";"whole",#N/A,FALSE,"Gen_Dist_Act_Bud";"whole",#N/A,FALSE,"Gen_Dist_T3months";"whole",#N/A,FALSE,"GD_PerP";"whole",#N/A,FALSE,"CS_DIST_ActvsBud";"whole",#N/A,FALSE,"CS_DIST_SUM_trail3mo"}</definedName>
    <definedName name="www.xxx" hidden="1">{"whole",#N/A,FALSE,"CS FIN Sum For Rox";"whole",#N/A,FALSE,"Gen_Dist_Act_Bud";"whole",#N/A,FALSE,"Gen_Dist_T3months";"whole",#N/A,FALSE,"GD_PerP";"whole",#N/A,FALSE,"CS_DIST_ActvsBud";"whole",#N/A,FALSE,"CS_DIST_SUM_trail3mo"}</definedName>
    <definedName name="x" hidden="1">{#N/A,#N/A,FALSE,"Report Print"}</definedName>
    <definedName name="xcvawerf" hidden="1">{#N/A,#N/A,TRUE,"financial";#N/A,#N/A,TRUE,"plants"}</definedName>
    <definedName name="xx" hidden="1">{#N/A,#N/A,FALSE,"Summary";#N/A,#N/A,FALSE,"Details";#N/A,#N/A,FALSE,"Month-Hd";#N/A,#N/A,FALSE,"YTD-Hd";#N/A,#N/A,FALSE,"Capital"}</definedName>
    <definedName name="xxllskdkf" hidden="1">{"whole",#N/A,FALSE,"CS HC";"whole",#N/A,FALSE,"CS_ACTvsBud";"whole",#N/A,FALSE,"CSTrail3mo";"whole",#N/A,FALSE,"CS Cost Per Head ";"whole",#N/A,FALSE,"CS CPH YTD"}</definedName>
    <definedName name="xxxx" hidden="1">{"closed",#N/A,FALSE,"Consolidated Products - Budget";"expanded",#N/A,FALSE,"Consolidated Products - Budget"}</definedName>
    <definedName name="xxxxx" hidden="1">{"whole",#N/A,FALSE,"CS FIN Sum For Rox";"whole",#N/A,FALSE,"Gen_Dist_Act_Bud";"whole",#N/A,FALSE,"Gen_Dist_T3months";"whole",#N/A,FALSE,"GD_PerP";"whole",#N/A,FALSE,"CS_DIST_ActvsBud";"whole",#N/A,FALSE,"CS_DIST_SUM_trail3mo"}</definedName>
    <definedName name="xzvczx" hidden="1">{"Chart 1",#N/A,FALSE,"Run Rate";"Chart 2",#N/A,FALSE,"Run Rate (2)"}</definedName>
    <definedName name="Yahoo" hidden="1">{#N/A,#N/A,FALSE,"Inc. St.";#N/A,#N/A,FALSE,"FYear";#N/A,#N/A,FALSE,"Revs.";#N/A,#N/A,FALSE,"RevsYear";#N/A,#N/A,FALSE,"Balance";#N/A,#N/A,FALSE,"CompVal";#N/A,#N/A,FALSE,"Val.";#N/A,#N/A,FALSE,"DCFval"}</definedName>
    <definedName name="YRA3MTH">7</definedName>
    <definedName name="YRACYTD">10</definedName>
    <definedName name="YRAMTH">3</definedName>
    <definedName name="YRAMYTD">13</definedName>
    <definedName name="YRAVOL">5</definedName>
    <definedName name="YRAWEEK">3</definedName>
    <definedName name="yy" hidden="1">{"summary1",#N/A,TRUE,"Comps";"summary2",#N/A,TRUE,"Comps";"summary3",#N/A,TRUE,"Comps"}</definedName>
    <definedName name="yyy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yyy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z" hidden="1">{"summary1",#N/A,TRUE,"Comps";"summary2",#N/A,TRUE,"Comps";"summary3",#N/A,TRUE,"Comps"}</definedName>
    <definedName name="Z_00AC0B71_AA97_11D0_B456_0000F62B346E_.wvu.Cols" hidden="1">#REF!,#REF!,#REF!,#REF!,#REF!</definedName>
    <definedName name="Z_03612579_9F94_11D0_B44C_0000F62B346E_.wvu.Cols" hidden="1">#REF!,#REF!,#REF!,#REF!,#REF!</definedName>
    <definedName name="Z_45127D29_1D59_11D2_8318_00C04FB80EAE_.wvu.Cols" hidden="1">#REF!,#REF!,#REF!</definedName>
    <definedName name="Z_45127D29_1D59_11D2_8318_00C04FB80EAE_.wvu.PrintArea" hidden="1">#REF!</definedName>
    <definedName name="Z_45127D29_1D59_11D2_8318_00C04FB80EAE_.wvu.PrintTitles" hidden="1">#REF!</definedName>
    <definedName name="Z_60FA13F0_C7AB_11D5_82BE_0060B0F04987_.wvu.Rows" hidden="1">#REF!</definedName>
    <definedName name="Z_87C0A393_8FDF_11D0_B43D_0000F62B346E_.wvu.Cols" hidden="1">#REF!,#REF!,#REF!,#REF!,#REF!</definedName>
    <definedName name="Z_919A0F12_8EB4_11D0_B43A_0000F62B346E_.wvu.Cols" hidden="1">#REF!,#REF!,#REF!,#REF!,#REF!</definedName>
    <definedName name="Z_9B47E6EA_A5DE_11D0_B453_0000F62B346E_.wvu.Cols" hidden="1">#REF!,#REF!,#REF!,#REF!,#REF!</definedName>
    <definedName name="Z_BE5CA973_A6A8_11D0_B454_0000F62B346E_.wvu.Cols" hidden="1">#REF!,#REF!,#REF!,#REF!,#REF!</definedName>
    <definedName name="Z_BE5CA977_A6A8_11D0_B454_0000F62B346E_.wvu.Cols" hidden="1">#REF!,#REF!,#REF!,#REF!,#REF!</definedName>
    <definedName name="Z_CD3E4CF3_A54F_11D0_B452_0000F62B346E_.wvu.Cols" hidden="1">#REF!,#REF!,#REF!,#REF!,#REF!</definedName>
    <definedName name="zsdcasdrf" hidden="1">{"equity comps",#N/A,FALSE,"CS Comps";"equity comps",#N/A,FALSE,"PS Comps";"equity comps",#N/A,FALSE,"GIC_Comps";"equity comps",#N/A,FALSE,"GIC2_Comps"}</definedName>
    <definedName name="zzz" hidden="1">{"whole",#N/A,FALSE,"CS HC";"whole",#N/A,FALSE,"CS_ACTvsBud";"whole",#N/A,FALSE,"CSTrail3mo";"whole",#N/A,FALSE,"CS Cost Per Head ";"whole",#N/A,FALSE,"CS CPH YTD"}</definedName>
    <definedName name="zzzz" hidden="1">{#N/A,#N/A,FALSE,"Summary";#N/A,#N/A,FALSE,"Details";#N/A,#N/A,FALSE,"Month-Hd";#N/A,#N/A,FALSE,"YTD-Hd";#N/A,#N/A,FALSE,"Capital"}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2" i="42" l="1"/>
  <c r="S52" i="42"/>
  <c r="BK104" i="10" l="1" a="1"/>
  <c r="BK104" i="10" l="1"/>
  <c r="BJ104" i="10" a="1"/>
  <c r="BJ104" i="10" l="1"/>
  <c r="BI104" i="10" a="1"/>
  <c r="BI104" i="10" l="1"/>
  <c r="BH104" i="10" a="1"/>
  <c r="BH104" i="10" l="1"/>
  <c r="BG104" i="10" a="1"/>
  <c r="BG104" i="10" l="1"/>
  <c r="BF104" i="10" a="1"/>
  <c r="BF104" i="10" l="1"/>
  <c r="BE104" i="10" a="1"/>
  <c r="BE104" i="10" l="1"/>
  <c r="BD104" i="10" a="1"/>
  <c r="BD104" i="10" l="1"/>
  <c r="BC104" i="10" a="1"/>
  <c r="BC104" i="10" l="1"/>
  <c r="BB104" i="10" a="1"/>
  <c r="BB104" i="10" l="1"/>
  <c r="BA104" i="10" a="1"/>
  <c r="BA104" i="10" l="1"/>
  <c r="AZ104" i="10" a="1"/>
  <c r="AZ104" i="10" l="1"/>
  <c r="AY104" i="10" a="1"/>
  <c r="AY104" i="10" l="1"/>
  <c r="AX104" i="10" a="1"/>
  <c r="AX104" i="10" l="1"/>
  <c r="AW104" i="10" a="1"/>
  <c r="AW104" i="10" l="1"/>
  <c r="AV104" i="10" a="1"/>
  <c r="AV104" i="10" l="1"/>
  <c r="AU104" i="10" a="1"/>
  <c r="AU104" i="10" l="1"/>
  <c r="AT104" i="10" a="1"/>
  <c r="AT104" i="10" l="1"/>
  <c r="AS104" i="10" a="1"/>
  <c r="AS104" i="10" l="1"/>
  <c r="AR104" i="10" a="1"/>
  <c r="AR104" i="10" l="1"/>
  <c r="AQ104" i="10" a="1"/>
  <c r="AQ104" i="10" l="1"/>
  <c r="AP104" i="10" a="1"/>
  <c r="AP104" i="10" l="1"/>
  <c r="AO104" i="10" a="1"/>
  <c r="AO104" i="10" l="1"/>
  <c r="AN104" i="10" a="1"/>
  <c r="AN104" i="10" l="1"/>
  <c r="AM104" i="10" a="1"/>
  <c r="AM104" i="10" l="1"/>
  <c r="AL104" i="10" a="1"/>
  <c r="AL104" i="10" l="1"/>
  <c r="AK104" i="10" a="1"/>
  <c r="AK104" i="10" l="1"/>
  <c r="AJ104" i="10" a="1"/>
  <c r="AJ104" i="10" l="1"/>
  <c r="AI104" i="10" a="1"/>
  <c r="AI104" i="10" l="1"/>
  <c r="AH104" i="10" a="1"/>
  <c r="AH104" i="10" l="1"/>
  <c r="AG104" i="10" a="1"/>
  <c r="AG104" i="10" l="1"/>
  <c r="AF104" i="10" a="1"/>
  <c r="AF104" i="10" l="1"/>
  <c r="AE104" i="10" a="1"/>
  <c r="AE104" i="10" l="1"/>
  <c r="AD104" i="10" a="1"/>
  <c r="AD104" i="10" l="1"/>
  <c r="AC104" i="10" a="1"/>
  <c r="AC104" i="10" l="1"/>
  <c r="AB104" i="10" a="1"/>
  <c r="AB104" i="10" l="1"/>
  <c r="AA104" i="10" a="1"/>
  <c r="AA104" i="10" l="1"/>
  <c r="Z104" i="10" a="1"/>
  <c r="Z104" i="10" l="1"/>
  <c r="Y104" i="10" a="1"/>
  <c r="Y104" i="10" l="1"/>
  <c r="X104" i="10" a="1"/>
  <c r="X104" i="10" l="1"/>
  <c r="W104" i="10" a="1"/>
  <c r="W104" i="10" l="1"/>
  <c r="V104" i="10" a="1"/>
  <c r="V104" i="10" l="1"/>
  <c r="U104" i="10" a="1"/>
  <c r="U104" i="10" l="1"/>
  <c r="T104" i="10" a="1"/>
  <c r="T104" i="10" l="1"/>
  <c r="S104" i="10" a="1"/>
  <c r="S104" i="10" l="1"/>
  <c r="R104" i="10" a="1"/>
  <c r="R104" i="10" l="1"/>
  <c r="Q104" i="10" a="1"/>
  <c r="Q104" i="10" l="1"/>
  <c r="P104" i="10" a="1"/>
  <c r="P104" i="10" l="1"/>
  <c r="O104" i="10" a="1"/>
  <c r="O104" i="10" l="1"/>
  <c r="N104" i="10" a="1"/>
  <c r="N104" i="10" l="1"/>
  <c r="M104" i="10" a="1"/>
  <c r="M104" i="10" l="1"/>
  <c r="L104" i="10" a="1"/>
  <c r="L104" i="10" l="1"/>
  <c r="K104" i="10" a="1"/>
  <c r="K104" i="10" l="1"/>
  <c r="J104" i="10" a="1"/>
  <c r="J104" i="10" l="1"/>
  <c r="I104" i="10" a="1"/>
  <c r="I104" i="10" l="1"/>
  <c r="BK100" i="10" a="1"/>
  <c r="BK100" i="10" l="1"/>
  <c r="BJ100" i="10" a="1"/>
  <c r="BJ100" i="10" l="1"/>
  <c r="BI100" i="10" a="1"/>
  <c r="BI100" i="10" l="1"/>
  <c r="BH100" i="10" a="1"/>
  <c r="BH100" i="10" l="1"/>
  <c r="BG100" i="10" a="1"/>
  <c r="BG100" i="10" l="1"/>
  <c r="BF100" i="10" a="1"/>
  <c r="BF100" i="10" l="1"/>
  <c r="BE100" i="10" a="1"/>
  <c r="BE100" i="10" l="1"/>
  <c r="BD100" i="10" a="1"/>
  <c r="BD100" i="10" l="1"/>
  <c r="BC100" i="10" a="1"/>
  <c r="BC100" i="10" l="1"/>
  <c r="BB100" i="10" a="1"/>
  <c r="BB100" i="10" l="1"/>
  <c r="BA100" i="10" a="1"/>
  <c r="BA100" i="10" l="1"/>
  <c r="AZ100" i="10" a="1"/>
  <c r="AZ100" i="10" l="1"/>
  <c r="AY100" i="10" a="1"/>
  <c r="AY100" i="10" l="1"/>
  <c r="AX100" i="10" a="1"/>
  <c r="AX100" i="10" l="1"/>
  <c r="AW100" i="10" a="1"/>
  <c r="AW100" i="10" l="1"/>
  <c r="AV100" i="10" a="1"/>
  <c r="AV100" i="10" l="1"/>
  <c r="AU100" i="10" a="1"/>
  <c r="AU100" i="10" l="1"/>
  <c r="AT100" i="10" a="1"/>
  <c r="AT100" i="10" l="1"/>
  <c r="AS100" i="10" a="1"/>
  <c r="AS100" i="10" l="1"/>
  <c r="AR100" i="10" a="1"/>
  <c r="AR100" i="10" l="1"/>
  <c r="AQ100" i="10" a="1"/>
  <c r="AQ100" i="10" l="1"/>
  <c r="AP100" i="10" a="1"/>
  <c r="AP100" i="10" l="1"/>
  <c r="AO100" i="10" a="1"/>
  <c r="AO100" i="10" l="1"/>
  <c r="AN100" i="10" a="1"/>
  <c r="AN100" i="10" l="1"/>
  <c r="AM100" i="10" a="1"/>
  <c r="AM100" i="10" l="1"/>
  <c r="AL100" i="10" a="1"/>
  <c r="AL100" i="10" l="1"/>
  <c r="AK100" i="10" a="1"/>
  <c r="AK100" i="10" l="1"/>
  <c r="AJ100" i="10" a="1"/>
  <c r="AJ100" i="10" l="1"/>
  <c r="AI100" i="10" a="1"/>
  <c r="AI100" i="10" l="1"/>
  <c r="AH100" i="10" a="1"/>
  <c r="AH100" i="10" l="1"/>
  <c r="AG100" i="10" a="1"/>
  <c r="AG100" i="10" l="1"/>
  <c r="AF100" i="10" a="1"/>
  <c r="AF100" i="10" l="1"/>
  <c r="AE100" i="10" a="1"/>
  <c r="AE100" i="10" l="1"/>
  <c r="AD100" i="10" a="1"/>
  <c r="AD100" i="10" l="1"/>
  <c r="AC100" i="10" a="1"/>
  <c r="AC100" i="10" l="1"/>
  <c r="AB100" i="10" a="1"/>
  <c r="AB100" i="10" l="1"/>
  <c r="AA100" i="10" a="1"/>
  <c r="AA100" i="10" l="1"/>
  <c r="Z100" i="10" a="1"/>
  <c r="Z100" i="10" l="1"/>
  <c r="Y100" i="10" a="1"/>
  <c r="Y100" i="10" l="1"/>
  <c r="X100" i="10" a="1"/>
  <c r="X100" i="10" l="1"/>
  <c r="W100" i="10" a="1"/>
  <c r="W100" i="10" l="1"/>
  <c r="V100" i="10" a="1"/>
  <c r="V100" i="10" l="1"/>
  <c r="U100" i="10" a="1"/>
  <c r="U100" i="10" l="1"/>
  <c r="T100" i="10" a="1"/>
  <c r="T100" i="10" l="1"/>
  <c r="S100" i="10" a="1"/>
  <c r="S100" i="10" l="1"/>
  <c r="R100" i="10" a="1"/>
  <c r="R100" i="10" l="1"/>
  <c r="Q100" i="10" a="1"/>
  <c r="Q100" i="10" l="1"/>
  <c r="P100" i="10" a="1"/>
  <c r="P100" i="10" l="1"/>
  <c r="O100" i="10" a="1"/>
  <c r="O100" i="10" l="1"/>
  <c r="N100" i="10" a="1"/>
  <c r="N100" i="10" l="1"/>
  <c r="M100" i="10" a="1"/>
  <c r="M100" i="10" l="1"/>
  <c r="L100" i="10" a="1"/>
  <c r="L100" i="10" l="1"/>
  <c r="K100" i="10" a="1"/>
  <c r="K100" i="10" l="1"/>
  <c r="J100" i="10" a="1"/>
  <c r="J100" i="10" l="1"/>
  <c r="I100" i="10" a="1"/>
  <c r="I100" i="10" l="1"/>
  <c r="BK88" i="10" a="1"/>
  <c r="BK88" i="10" l="1"/>
  <c r="BJ88" i="10" a="1"/>
  <c r="BJ88" i="10" l="1"/>
  <c r="BI88" i="10" a="1"/>
  <c r="BI88" i="10" l="1"/>
  <c r="BH88" i="10" a="1"/>
  <c r="BH88" i="10" l="1"/>
  <c r="BG88" i="10" a="1"/>
  <c r="BG88" i="10" l="1"/>
  <c r="BF88" i="10" a="1"/>
  <c r="BF88" i="10" l="1"/>
  <c r="BE88" i="10" a="1"/>
  <c r="BE88" i="10" l="1"/>
  <c r="BD88" i="10" a="1"/>
  <c r="BD88" i="10" l="1"/>
  <c r="BC88" i="10" a="1"/>
  <c r="BC88" i="10" l="1"/>
  <c r="BB88" i="10" a="1"/>
  <c r="BB88" i="10" l="1"/>
  <c r="BA88" i="10" a="1"/>
  <c r="BA88" i="10" l="1"/>
  <c r="AZ88" i="10" a="1"/>
  <c r="AZ88" i="10" l="1"/>
  <c r="AY88" i="10" a="1"/>
  <c r="AY88" i="10" l="1"/>
  <c r="AX88" i="10" a="1"/>
  <c r="AX88" i="10" l="1"/>
  <c r="AW88" i="10" a="1"/>
  <c r="AW88" i="10" l="1"/>
  <c r="AV88" i="10" a="1"/>
  <c r="AV88" i="10" l="1"/>
  <c r="AU88" i="10" a="1"/>
  <c r="AU88" i="10" l="1"/>
  <c r="AT88" i="10" a="1"/>
  <c r="AT88" i="10" l="1"/>
  <c r="AS88" i="10" a="1"/>
  <c r="AS88" i="10" l="1"/>
  <c r="AR88" i="10" a="1"/>
  <c r="AR88" i="10" l="1"/>
  <c r="AQ88" i="10" a="1"/>
  <c r="AQ88" i="10" l="1"/>
  <c r="AP88" i="10" a="1"/>
  <c r="AP88" i="10" l="1"/>
  <c r="AO88" i="10" a="1"/>
  <c r="AO88" i="10" l="1"/>
  <c r="AN88" i="10" a="1"/>
  <c r="AN88" i="10" l="1"/>
  <c r="AM88" i="10" a="1"/>
  <c r="AM88" i="10" l="1"/>
  <c r="AL88" i="10" a="1"/>
  <c r="AL88" i="10" l="1"/>
  <c r="AK88" i="10" a="1"/>
  <c r="AK88" i="10" l="1"/>
  <c r="AJ88" i="10" a="1"/>
  <c r="AJ88" i="10" l="1"/>
  <c r="AI88" i="10" a="1"/>
  <c r="AI88" i="10" l="1"/>
  <c r="AH88" i="10" a="1"/>
  <c r="AH88" i="10" l="1"/>
  <c r="AG88" i="10" a="1"/>
  <c r="AG88" i="10" l="1"/>
  <c r="AF88" i="10" a="1"/>
  <c r="AF88" i="10" l="1"/>
  <c r="AE88" i="10" a="1"/>
  <c r="AE88" i="10" l="1"/>
  <c r="AD88" i="10" a="1"/>
  <c r="AD88" i="10" l="1"/>
  <c r="AC88" i="10" a="1"/>
  <c r="AC88" i="10" l="1"/>
  <c r="AB88" i="10" a="1"/>
  <c r="AB88" i="10" l="1"/>
  <c r="AA88" i="10" a="1"/>
  <c r="AA88" i="10" l="1"/>
  <c r="Z88" i="10" a="1"/>
  <c r="Z88" i="10" l="1"/>
  <c r="Y88" i="10" a="1"/>
  <c r="Y88" i="10" l="1"/>
  <c r="X88" i="10" a="1"/>
  <c r="X88" i="10" l="1"/>
  <c r="W88" i="10" a="1"/>
  <c r="W88" i="10" l="1"/>
  <c r="V88" i="10" a="1"/>
  <c r="V88" i="10" l="1"/>
  <c r="U88" i="10" a="1"/>
  <c r="U88" i="10" l="1"/>
  <c r="T88" i="10" a="1"/>
  <c r="T88" i="10" l="1"/>
  <c r="S88" i="10" a="1"/>
  <c r="S88" i="10" l="1"/>
  <c r="R88" i="10" a="1"/>
  <c r="R88" i="10" l="1"/>
  <c r="Q88" i="10" a="1"/>
  <c r="Q88" i="10" l="1"/>
  <c r="P88" i="10" a="1"/>
  <c r="P88" i="10" l="1"/>
  <c r="O88" i="10" a="1"/>
  <c r="O88" i="10" l="1"/>
  <c r="N88" i="10" a="1"/>
  <c r="N88" i="10" l="1"/>
  <c r="M88" i="10" a="1"/>
  <c r="M88" i="10" l="1"/>
  <c r="L88" i="10" a="1"/>
  <c r="L88" i="10" l="1"/>
  <c r="K88" i="10" a="1"/>
  <c r="K88" i="10" l="1"/>
  <c r="J88" i="10" a="1"/>
  <c r="J88" i="10" l="1"/>
  <c r="I88" i="10" a="1"/>
  <c r="I88" i="10" l="1"/>
  <c r="BK70" i="10" a="1"/>
  <c r="BK70" i="10" l="1"/>
  <c r="BJ70" i="10" a="1"/>
  <c r="BJ70" i="10" l="1"/>
  <c r="BI70" i="10" a="1"/>
  <c r="BI70" i="10" l="1"/>
  <c r="BH70" i="10" a="1"/>
  <c r="BH70" i="10" l="1"/>
  <c r="BG70" i="10" a="1"/>
  <c r="BG70" i="10" l="1"/>
  <c r="BF70" i="10" a="1"/>
  <c r="BF70" i="10" l="1"/>
  <c r="BE70" i="10" a="1"/>
  <c r="BE70" i="10" l="1"/>
  <c r="BD70" i="10" a="1"/>
  <c r="BD70" i="10" l="1"/>
  <c r="BC70" i="10" a="1"/>
  <c r="BC70" i="10" l="1"/>
  <c r="BB70" i="10" a="1"/>
  <c r="BB70" i="10" l="1"/>
  <c r="BA70" i="10" a="1"/>
  <c r="BA70" i="10" l="1"/>
  <c r="AZ70" i="10" a="1"/>
  <c r="AZ70" i="10" l="1"/>
  <c r="AY70" i="10" a="1"/>
  <c r="AY70" i="10" l="1"/>
  <c r="AX70" i="10" a="1"/>
  <c r="AX70" i="10" l="1"/>
  <c r="AW70" i="10" a="1"/>
  <c r="AW70" i="10" l="1"/>
  <c r="AV70" i="10" a="1"/>
  <c r="AV70" i="10" l="1"/>
  <c r="AU70" i="10" a="1"/>
  <c r="AU70" i="10" l="1"/>
  <c r="AT70" i="10" a="1"/>
  <c r="AT70" i="10" l="1"/>
  <c r="AS70" i="10" a="1"/>
  <c r="AS70" i="10" l="1"/>
  <c r="AR70" i="10" a="1"/>
  <c r="AR70" i="10" l="1"/>
  <c r="AQ70" i="10" a="1"/>
  <c r="AQ70" i="10" l="1"/>
  <c r="AP70" i="10" a="1"/>
  <c r="AP70" i="10" l="1"/>
  <c r="AO70" i="10" a="1"/>
  <c r="AO70" i="10" l="1"/>
  <c r="AN70" i="10" a="1"/>
  <c r="AN70" i="10" l="1"/>
  <c r="AM70" i="10" a="1"/>
  <c r="AM70" i="10" l="1"/>
  <c r="AL70" i="10" a="1"/>
  <c r="AL70" i="10" l="1"/>
  <c r="AK70" i="10" a="1"/>
  <c r="AK70" i="10" l="1"/>
  <c r="AJ70" i="10" a="1"/>
  <c r="AJ70" i="10" l="1"/>
  <c r="AI70" i="10" a="1"/>
  <c r="AI70" i="10" l="1"/>
  <c r="AH70" i="10" a="1"/>
  <c r="AH70" i="10" l="1"/>
  <c r="AG70" i="10" a="1"/>
  <c r="AG70" i="10" l="1"/>
  <c r="AF70" i="10" a="1"/>
  <c r="AF70" i="10" l="1"/>
  <c r="AE70" i="10" a="1"/>
  <c r="AE70" i="10" l="1"/>
  <c r="AD70" i="10" a="1"/>
  <c r="AD70" i="10" l="1"/>
  <c r="AC70" i="10" a="1"/>
  <c r="AC70" i="10" l="1"/>
  <c r="AB70" i="10" a="1"/>
  <c r="AB70" i="10" l="1"/>
  <c r="AA70" i="10" a="1"/>
  <c r="AA70" i="10" l="1"/>
  <c r="Z70" i="10" a="1"/>
  <c r="Z70" i="10" l="1"/>
  <c r="Y70" i="10" a="1"/>
  <c r="Y70" i="10" l="1"/>
  <c r="X70" i="10" a="1"/>
  <c r="X70" i="10" l="1"/>
  <c r="W70" i="10" a="1"/>
  <c r="W70" i="10" l="1"/>
  <c r="V70" i="10" a="1"/>
  <c r="V70" i="10" l="1"/>
  <c r="U70" i="10" a="1"/>
  <c r="U70" i="10" l="1"/>
  <c r="T70" i="10" a="1"/>
  <c r="T70" i="10" l="1"/>
  <c r="S70" i="10" a="1"/>
  <c r="S70" i="10" l="1"/>
  <c r="R70" i="10" a="1"/>
  <c r="R70" i="10" l="1"/>
  <c r="Q70" i="10" a="1"/>
  <c r="Q70" i="10" l="1"/>
  <c r="P70" i="10" a="1"/>
  <c r="P70" i="10" l="1"/>
  <c r="O70" i="10" a="1"/>
  <c r="O70" i="10" l="1"/>
  <c r="N70" i="10" a="1"/>
  <c r="N70" i="10" l="1"/>
  <c r="M70" i="10" a="1"/>
  <c r="M70" i="10" l="1"/>
  <c r="L70" i="10" a="1"/>
  <c r="L70" i="10" l="1"/>
  <c r="K70" i="10" a="1"/>
  <c r="K70" i="10" l="1"/>
  <c r="J70" i="10" a="1"/>
  <c r="J70" i="10" l="1"/>
  <c r="I70" i="10" a="1"/>
  <c r="I70" i="10" l="1"/>
  <c r="BK66" i="10" a="1"/>
  <c r="BK66" i="10" l="1"/>
  <c r="BJ66" i="10" a="1"/>
  <c r="BJ66" i="10" l="1"/>
  <c r="BI66" i="10" a="1"/>
  <c r="BI66" i="10" l="1"/>
  <c r="BH66" i="10" a="1"/>
  <c r="BH66" i="10" l="1"/>
  <c r="BG66" i="10" a="1"/>
  <c r="BG66" i="10" l="1"/>
  <c r="BF66" i="10" a="1"/>
  <c r="BF66" i="10" l="1"/>
  <c r="BE66" i="10" a="1"/>
  <c r="BE66" i="10" l="1"/>
  <c r="BD66" i="10" a="1"/>
  <c r="BD66" i="10" l="1"/>
  <c r="BC66" i="10" a="1"/>
  <c r="BC66" i="10" l="1"/>
  <c r="BB66" i="10" a="1"/>
  <c r="BB66" i="10" l="1"/>
  <c r="BA66" i="10" a="1"/>
  <c r="BA66" i="10" l="1"/>
  <c r="AZ66" i="10" a="1"/>
  <c r="AZ66" i="10" l="1"/>
  <c r="AY66" i="10" a="1"/>
  <c r="AY66" i="10" l="1"/>
  <c r="AX66" i="10" a="1"/>
  <c r="AX66" i="10" l="1"/>
  <c r="AW66" i="10" a="1"/>
  <c r="AW66" i="10" l="1"/>
  <c r="AV66" i="10" a="1"/>
  <c r="AV66" i="10" l="1"/>
  <c r="AU66" i="10" a="1"/>
  <c r="AU66" i="10" l="1"/>
  <c r="AT66" i="10" a="1"/>
  <c r="AT66" i="10" l="1"/>
  <c r="AS66" i="10" a="1"/>
  <c r="AS66" i="10" l="1"/>
  <c r="AR66" i="10" a="1"/>
  <c r="AR66" i="10" l="1"/>
  <c r="AQ66" i="10" a="1"/>
  <c r="AQ66" i="10" l="1"/>
  <c r="AP66" i="10" a="1"/>
  <c r="AP66" i="10" l="1"/>
  <c r="AO66" i="10" a="1"/>
  <c r="AO66" i="10" l="1"/>
  <c r="AN66" i="10" a="1"/>
  <c r="AN66" i="10" l="1"/>
  <c r="AM66" i="10" a="1"/>
  <c r="AM66" i="10" l="1"/>
  <c r="AL66" i="10" a="1"/>
  <c r="AL66" i="10" l="1"/>
  <c r="AK66" i="10" a="1"/>
  <c r="AK66" i="10" l="1"/>
  <c r="AJ66" i="10" a="1"/>
  <c r="AJ66" i="10" l="1"/>
  <c r="AI66" i="10" a="1"/>
  <c r="AI66" i="10" l="1"/>
  <c r="AH66" i="10" a="1"/>
  <c r="AH66" i="10" l="1"/>
  <c r="AG66" i="10" a="1"/>
  <c r="AG66" i="10" l="1"/>
  <c r="AF66" i="10" a="1"/>
  <c r="AF66" i="10" l="1"/>
  <c r="AE66" i="10" a="1"/>
  <c r="AE66" i="10" l="1"/>
  <c r="AD66" i="10" a="1"/>
  <c r="AD66" i="10" l="1"/>
  <c r="AC66" i="10" a="1"/>
  <c r="AC66" i="10" l="1"/>
  <c r="AB66" i="10" a="1"/>
  <c r="AB66" i="10" l="1"/>
  <c r="AA66" i="10" a="1"/>
  <c r="AA66" i="10" l="1"/>
  <c r="Z66" i="10" a="1"/>
  <c r="Z66" i="10" l="1"/>
  <c r="Y66" i="10" a="1"/>
  <c r="Y66" i="10" l="1"/>
  <c r="X66" i="10" a="1"/>
  <c r="X66" i="10" l="1"/>
  <c r="W66" i="10" a="1"/>
  <c r="W66" i="10" l="1"/>
  <c r="V66" i="10" a="1"/>
  <c r="V66" i="10" l="1"/>
  <c r="U66" i="10" a="1"/>
  <c r="U66" i="10" l="1"/>
  <c r="T66" i="10" a="1"/>
  <c r="T66" i="10" l="1"/>
  <c r="S66" i="10" a="1"/>
  <c r="S66" i="10" l="1"/>
  <c r="R66" i="10" a="1"/>
  <c r="R66" i="10" l="1"/>
  <c r="Q66" i="10" a="1"/>
  <c r="Q66" i="10" l="1"/>
  <c r="P66" i="10" a="1"/>
  <c r="P66" i="10" l="1"/>
  <c r="O66" i="10" a="1"/>
  <c r="O66" i="10" l="1"/>
  <c r="N66" i="10" a="1"/>
  <c r="N66" i="10" l="1"/>
  <c r="M66" i="10" a="1"/>
  <c r="M66" i="10" l="1"/>
  <c r="L66" i="10" a="1"/>
  <c r="L66" i="10" l="1"/>
  <c r="K66" i="10" a="1"/>
  <c r="K66" i="10" l="1"/>
  <c r="J66" i="10" a="1"/>
  <c r="J66" i="10" l="1"/>
  <c r="I66" i="10" a="1"/>
  <c r="I66" i="10" l="1"/>
  <c r="BK62" i="10" a="1"/>
  <c r="BK62" i="10" l="1"/>
  <c r="BJ62" i="10" a="1"/>
  <c r="BJ62" i="10" l="1"/>
  <c r="BI62" i="10" a="1"/>
  <c r="BI62" i="10" l="1"/>
  <c r="BH62" i="10" a="1"/>
  <c r="BH62" i="10" l="1"/>
  <c r="BG62" i="10" a="1"/>
  <c r="BG62" i="10" l="1"/>
  <c r="BF62" i="10" a="1"/>
  <c r="BF62" i="10" l="1"/>
  <c r="BE62" i="10" a="1"/>
  <c r="BE62" i="10" l="1"/>
  <c r="BD62" i="10" a="1"/>
  <c r="BD62" i="10" l="1"/>
  <c r="BC62" i="10" a="1"/>
  <c r="BC62" i="10" l="1"/>
  <c r="BB62" i="10" a="1"/>
  <c r="BB62" i="10" l="1"/>
  <c r="BA62" i="10" a="1"/>
  <c r="BA62" i="10" l="1"/>
  <c r="AZ62" i="10" a="1"/>
  <c r="AZ62" i="10" l="1"/>
  <c r="AY62" i="10" a="1"/>
  <c r="AY62" i="10" l="1"/>
  <c r="AX62" i="10" a="1"/>
  <c r="AX62" i="10" l="1"/>
  <c r="AW62" i="10" a="1"/>
  <c r="AW62" i="10" l="1"/>
  <c r="AV62" i="10" a="1"/>
  <c r="AV62" i="10" l="1"/>
  <c r="AU62" i="10" a="1"/>
  <c r="AU62" i="10" l="1"/>
  <c r="AT62" i="10" a="1"/>
  <c r="AT62" i="10" l="1"/>
  <c r="AS62" i="10" a="1"/>
  <c r="AS62" i="10" l="1"/>
  <c r="AR62" i="10" a="1"/>
  <c r="AR62" i="10" l="1"/>
  <c r="AQ62" i="10" a="1"/>
  <c r="AQ62" i="10" l="1"/>
  <c r="AP62" i="10" a="1"/>
  <c r="AP62" i="10" l="1"/>
  <c r="AO62" i="10" a="1"/>
  <c r="AO62" i="10" l="1"/>
  <c r="AN62" i="10" a="1"/>
  <c r="AN62" i="10" l="1"/>
  <c r="AM62" i="10" a="1"/>
  <c r="AM62" i="10" l="1"/>
  <c r="AL62" i="10" a="1"/>
  <c r="AL62" i="10" l="1"/>
  <c r="AK62" i="10" a="1"/>
  <c r="AK62" i="10" l="1"/>
  <c r="AJ62" i="10" a="1"/>
  <c r="AJ62" i="10" l="1"/>
  <c r="AI62" i="10" a="1"/>
  <c r="AI62" i="10" l="1"/>
  <c r="AH62" i="10" a="1"/>
  <c r="AH62" i="10" l="1"/>
  <c r="AG62" i="10" a="1"/>
  <c r="AG62" i="10" l="1"/>
  <c r="AF62" i="10" a="1"/>
  <c r="AF62" i="10" l="1"/>
  <c r="AE62" i="10" a="1"/>
  <c r="AE62" i="10" l="1"/>
  <c r="AD62" i="10" a="1"/>
  <c r="AD62" i="10" l="1"/>
  <c r="AC62" i="10" a="1"/>
  <c r="AC62" i="10" l="1"/>
  <c r="AB62" i="10" a="1"/>
  <c r="AB62" i="10" l="1"/>
  <c r="AA62" i="10" a="1"/>
  <c r="AA62" i="10" l="1"/>
  <c r="Z62" i="10" a="1"/>
  <c r="Z62" i="10" l="1"/>
  <c r="Y62" i="10" a="1"/>
  <c r="Y62" i="10" l="1"/>
  <c r="X62" i="10" a="1"/>
  <c r="X62" i="10" l="1"/>
  <c r="W62" i="10" a="1"/>
  <c r="W62" i="10" l="1"/>
  <c r="V62" i="10" a="1"/>
  <c r="V62" i="10" l="1"/>
  <c r="U62" i="10" a="1"/>
  <c r="U62" i="10" l="1"/>
  <c r="T62" i="10" a="1"/>
  <c r="T62" i="10" l="1"/>
  <c r="S62" i="10" a="1"/>
  <c r="S62" i="10" l="1"/>
  <c r="R62" i="10" a="1"/>
  <c r="R62" i="10" l="1"/>
  <c r="Q62" i="10" a="1"/>
  <c r="Q62" i="10" l="1"/>
  <c r="P62" i="10" a="1"/>
  <c r="P62" i="10" l="1"/>
  <c r="O62" i="10" a="1"/>
  <c r="O62" i="10" l="1"/>
  <c r="N62" i="10" a="1"/>
  <c r="N62" i="10" l="1"/>
  <c r="M62" i="10" a="1"/>
  <c r="M62" i="10" l="1"/>
  <c r="L62" i="10" a="1"/>
  <c r="L62" i="10" l="1"/>
  <c r="K62" i="10" a="1"/>
  <c r="K62" i="10" l="1"/>
  <c r="J62" i="10" a="1"/>
  <c r="J62" i="10" l="1"/>
  <c r="I62" i="10" a="1"/>
  <c r="I62" i="10" l="1"/>
  <c r="BK58" i="10" a="1"/>
  <c r="BK58" i="10" l="1"/>
  <c r="BJ58" i="10" a="1"/>
  <c r="BJ58" i="10" l="1"/>
  <c r="BI58" i="10" a="1"/>
  <c r="BI58" i="10" l="1"/>
  <c r="BH58" i="10" a="1"/>
  <c r="BH58" i="10" l="1"/>
  <c r="BG58" i="10" a="1"/>
  <c r="BG58" i="10" l="1"/>
  <c r="BF58" i="10" a="1"/>
  <c r="BF58" i="10" l="1"/>
  <c r="BE58" i="10" a="1"/>
  <c r="BE58" i="10" l="1"/>
  <c r="BD58" i="10" a="1"/>
  <c r="BD58" i="10" l="1"/>
  <c r="BC58" i="10" a="1"/>
  <c r="BC58" i="10" l="1"/>
  <c r="BB58" i="10" a="1"/>
  <c r="BB58" i="10" l="1"/>
  <c r="BA58" i="10" a="1"/>
  <c r="BA58" i="10" l="1"/>
  <c r="AZ58" i="10" a="1"/>
  <c r="AZ58" i="10" l="1"/>
  <c r="AY58" i="10" a="1"/>
  <c r="AY58" i="10" l="1"/>
  <c r="AX58" i="10" a="1"/>
  <c r="AX58" i="10" l="1"/>
  <c r="AW58" i="10" a="1"/>
  <c r="AW58" i="10" l="1"/>
  <c r="AV58" i="10" a="1"/>
  <c r="AV58" i="10" l="1"/>
  <c r="AU58" i="10" a="1"/>
  <c r="AU58" i="10" l="1"/>
  <c r="AT58" i="10" a="1"/>
  <c r="AT58" i="10" l="1"/>
  <c r="AS58" i="10" a="1"/>
  <c r="AS58" i="10" l="1"/>
  <c r="AR58" i="10" a="1"/>
  <c r="AR58" i="10" l="1"/>
  <c r="AQ58" i="10" a="1"/>
  <c r="AQ58" i="10" l="1"/>
  <c r="AP58" i="10" a="1"/>
  <c r="AP58" i="10" l="1"/>
  <c r="AO58" i="10" a="1"/>
  <c r="AO58" i="10" l="1"/>
  <c r="AN58" i="10" a="1"/>
  <c r="AN58" i="10" l="1"/>
  <c r="AM58" i="10" a="1"/>
  <c r="AM58" i="10" l="1"/>
  <c r="AL58" i="10" a="1"/>
  <c r="AL58" i="10" l="1"/>
  <c r="AK58" i="10" a="1"/>
  <c r="AK58" i="10" l="1"/>
  <c r="AJ58" i="10" a="1"/>
  <c r="AJ58" i="10" l="1"/>
  <c r="AI58" i="10" a="1"/>
  <c r="AI58" i="10" l="1"/>
  <c r="AH58" i="10" a="1"/>
  <c r="AH58" i="10" l="1"/>
  <c r="AG58" i="10" a="1"/>
  <c r="AG58" i="10" l="1"/>
  <c r="AF58" i="10" a="1"/>
  <c r="AF58" i="10" l="1"/>
  <c r="AE58" i="10" a="1"/>
  <c r="AE58" i="10" l="1"/>
  <c r="AD58" i="10" a="1"/>
  <c r="AD58" i="10" l="1"/>
  <c r="AC58" i="10" a="1"/>
  <c r="AC58" i="10" l="1"/>
  <c r="AB58" i="10" a="1"/>
  <c r="AB58" i="10" l="1"/>
  <c r="AA58" i="10" a="1"/>
  <c r="AA58" i="10" l="1"/>
  <c r="Z58" i="10" a="1"/>
  <c r="Z58" i="10" l="1"/>
  <c r="Y58" i="10" a="1"/>
  <c r="Y58" i="10" l="1"/>
  <c r="X58" i="10" a="1"/>
  <c r="X58" i="10" l="1"/>
  <c r="W58" i="10" a="1"/>
  <c r="W58" i="10" l="1"/>
  <c r="V58" i="10" a="1"/>
  <c r="V58" i="10" l="1"/>
  <c r="U58" i="10" a="1"/>
  <c r="U58" i="10" l="1"/>
  <c r="T58" i="10" a="1"/>
  <c r="T58" i="10" l="1"/>
  <c r="S58" i="10" a="1"/>
  <c r="S58" i="10" l="1"/>
  <c r="R58" i="10" a="1"/>
  <c r="R58" i="10" l="1"/>
  <c r="Q58" i="10" a="1"/>
  <c r="Q58" i="10" l="1"/>
  <c r="P58" i="10" a="1"/>
  <c r="P58" i="10" l="1"/>
  <c r="O58" i="10" a="1"/>
  <c r="O58" i="10" l="1"/>
  <c r="N58" i="10" a="1"/>
  <c r="N58" i="10" l="1"/>
  <c r="M58" i="10" a="1"/>
  <c r="M58" i="10" l="1"/>
  <c r="L58" i="10" a="1"/>
  <c r="L58" i="10" l="1"/>
  <c r="K58" i="10" a="1"/>
  <c r="K58" i="10" l="1"/>
  <c r="J58" i="10" a="1"/>
  <c r="J58" i="10" l="1"/>
  <c r="I58" i="10" a="1"/>
  <c r="I58" i="10" l="1"/>
  <c r="BK52" i="10" a="1"/>
  <c r="BK52" i="10" l="1"/>
  <c r="BJ52" i="10" a="1"/>
  <c r="BJ52" i="10" l="1"/>
  <c r="BI52" i="10" a="1"/>
  <c r="BI52" i="10" l="1"/>
  <c r="BH52" i="10" a="1"/>
  <c r="BH52" i="10" l="1"/>
  <c r="BG52" i="10" a="1"/>
  <c r="BG52" i="10" l="1"/>
  <c r="BF52" i="10" a="1"/>
  <c r="BF52" i="10" l="1"/>
  <c r="BE52" i="10" a="1"/>
  <c r="BE52" i="10" l="1"/>
  <c r="BD52" i="10" a="1"/>
  <c r="BD52" i="10" l="1"/>
  <c r="BC52" i="10" a="1"/>
  <c r="BC52" i="10" l="1"/>
  <c r="BB52" i="10" a="1"/>
  <c r="BB52" i="10" l="1"/>
  <c r="BA52" i="10" a="1"/>
  <c r="BA52" i="10" l="1"/>
  <c r="AZ52" i="10" a="1"/>
  <c r="AZ52" i="10" l="1"/>
  <c r="AY52" i="10" a="1"/>
  <c r="AY52" i="10" l="1"/>
  <c r="AX52" i="10" a="1"/>
  <c r="AX52" i="10" l="1"/>
  <c r="AW52" i="10" a="1"/>
  <c r="AW52" i="10" l="1"/>
  <c r="AV52" i="10" a="1"/>
  <c r="AV52" i="10" l="1"/>
  <c r="AU52" i="10" a="1"/>
  <c r="AU52" i="10" l="1"/>
  <c r="AT52" i="10" a="1"/>
  <c r="AT52" i="10" l="1"/>
  <c r="AS52" i="10" a="1"/>
  <c r="AS52" i="10" l="1"/>
  <c r="AR52" i="10" a="1"/>
  <c r="AR52" i="10" l="1"/>
  <c r="AQ52" i="10" a="1"/>
  <c r="AQ52" i="10" l="1"/>
  <c r="AP52" i="10" a="1"/>
  <c r="AP52" i="10" l="1"/>
  <c r="AO52" i="10" a="1"/>
  <c r="AO52" i="10" l="1"/>
  <c r="AN52" i="10" a="1"/>
  <c r="AN52" i="10" l="1"/>
  <c r="AM52" i="10" a="1"/>
  <c r="AM52" i="10" l="1"/>
  <c r="AL52" i="10" a="1"/>
  <c r="AL52" i="10" l="1"/>
  <c r="AK52" i="10" a="1"/>
  <c r="AK52" i="10" l="1"/>
  <c r="AJ52" i="10" a="1"/>
  <c r="AJ52" i="10" l="1"/>
  <c r="AI52" i="10" a="1"/>
  <c r="AI52" i="10" l="1"/>
  <c r="AH52" i="10" a="1"/>
  <c r="AH52" i="10" l="1"/>
  <c r="AG52" i="10" a="1"/>
  <c r="AG52" i="10" l="1"/>
  <c r="AF52" i="10" a="1"/>
  <c r="AF52" i="10" l="1"/>
  <c r="AE52" i="10" a="1"/>
  <c r="AE52" i="10" l="1"/>
  <c r="AD52" i="10" a="1"/>
  <c r="AD52" i="10" l="1"/>
  <c r="AC52" i="10" a="1"/>
  <c r="AC52" i="10" l="1"/>
  <c r="AB52" i="10" a="1"/>
  <c r="AB52" i="10" l="1"/>
  <c r="AA52" i="10" a="1"/>
  <c r="AA52" i="10" l="1"/>
  <c r="Z52" i="10" a="1"/>
  <c r="Z52" i="10" l="1"/>
  <c r="Y52" i="10" a="1"/>
  <c r="Y52" i="10" l="1"/>
  <c r="X52" i="10" a="1"/>
  <c r="X52" i="10" l="1"/>
  <c r="W52" i="10" a="1"/>
  <c r="W52" i="10" l="1"/>
  <c r="V52" i="10" a="1"/>
  <c r="V52" i="10" l="1"/>
  <c r="U52" i="10" a="1"/>
  <c r="U52" i="10" l="1"/>
  <c r="T52" i="10" a="1"/>
  <c r="T52" i="10" l="1"/>
  <c r="S52" i="10" a="1"/>
  <c r="S52" i="10" l="1"/>
  <c r="R52" i="10" a="1"/>
  <c r="R52" i="10" l="1"/>
  <c r="Q52" i="10" a="1"/>
  <c r="Q52" i="10" l="1"/>
  <c r="P52" i="10" a="1"/>
  <c r="P52" i="10" l="1"/>
  <c r="O52" i="10" a="1"/>
  <c r="O52" i="10" l="1"/>
  <c r="N52" i="10" a="1"/>
  <c r="N52" i="10" l="1"/>
  <c r="M52" i="10" a="1"/>
  <c r="M52" i="10" l="1"/>
  <c r="L52" i="10" a="1"/>
  <c r="L52" i="10" l="1"/>
  <c r="K52" i="10" a="1"/>
  <c r="K52" i="10" l="1"/>
  <c r="J52" i="10" a="1"/>
  <c r="J52" i="10" l="1"/>
  <c r="I52" i="10" a="1"/>
  <c r="I52" i="10" l="1"/>
  <c r="BK48" i="10" a="1"/>
  <c r="BK48" i="10" l="1"/>
  <c r="BJ48" i="10" a="1"/>
  <c r="BJ48" i="10" l="1"/>
  <c r="BI48" i="10" a="1"/>
  <c r="BI48" i="10" l="1"/>
  <c r="BH48" i="10" a="1"/>
  <c r="BH48" i="10" l="1"/>
  <c r="BG48" i="10" a="1"/>
  <c r="BG48" i="10" l="1"/>
  <c r="BF48" i="10" a="1"/>
  <c r="BF48" i="10" l="1"/>
  <c r="BE48" i="10" a="1"/>
  <c r="BE48" i="10" l="1"/>
  <c r="BD48" i="10" a="1"/>
  <c r="BD48" i="10" l="1"/>
  <c r="BC48" i="10" a="1"/>
  <c r="BC48" i="10" l="1"/>
  <c r="BB48" i="10" a="1"/>
  <c r="BB48" i="10" l="1"/>
  <c r="BA48" i="10" a="1"/>
  <c r="BA48" i="10" l="1"/>
  <c r="AZ48" i="10" a="1"/>
  <c r="AZ48" i="10" l="1"/>
  <c r="AY48" i="10" a="1"/>
  <c r="AY48" i="10" l="1"/>
  <c r="AX48" i="10" a="1"/>
  <c r="AX48" i="10" l="1"/>
  <c r="AW48" i="10" a="1"/>
  <c r="AW48" i="10" l="1"/>
  <c r="AV48" i="10" a="1"/>
  <c r="AV48" i="10" l="1"/>
  <c r="AU48" i="10" a="1"/>
  <c r="AU48" i="10" l="1"/>
  <c r="AT48" i="10" a="1"/>
  <c r="AT48" i="10" l="1"/>
  <c r="AS48" i="10" a="1"/>
  <c r="AS48" i="10" l="1"/>
  <c r="AR48" i="10" a="1"/>
  <c r="AR48" i="10" l="1"/>
  <c r="AQ48" i="10" a="1"/>
  <c r="AQ48" i="10" l="1"/>
  <c r="AP48" i="10" a="1"/>
  <c r="AP48" i="10" l="1"/>
  <c r="AO48" i="10" a="1"/>
  <c r="AO48" i="10" l="1"/>
  <c r="AN48" i="10" a="1"/>
  <c r="AN48" i="10" l="1"/>
  <c r="AM48" i="10" a="1"/>
  <c r="AM48" i="10" l="1"/>
  <c r="AL48" i="10" a="1"/>
  <c r="AL48" i="10" l="1"/>
  <c r="AK48" i="10" a="1"/>
  <c r="AK48" i="10" l="1"/>
  <c r="AJ48" i="10" a="1"/>
  <c r="AJ48" i="10" l="1"/>
  <c r="AI48" i="10" a="1"/>
  <c r="AI48" i="10" l="1"/>
  <c r="AH48" i="10" a="1"/>
  <c r="AH48" i="10" l="1"/>
  <c r="AG48" i="10" a="1"/>
  <c r="AG48" i="10" l="1"/>
  <c r="AF48" i="10" a="1"/>
  <c r="AF48" i="10" l="1"/>
  <c r="AE48" i="10" a="1"/>
  <c r="AE48" i="10" l="1"/>
  <c r="AD48" i="10" a="1"/>
  <c r="AD48" i="10" l="1"/>
  <c r="AC48" i="10" a="1"/>
  <c r="AC48" i="10" l="1"/>
  <c r="AB48" i="10" a="1"/>
  <c r="AB48" i="10" l="1"/>
  <c r="AA48" i="10" a="1"/>
  <c r="AA48" i="10" l="1"/>
  <c r="Z48" i="10" a="1"/>
  <c r="Z48" i="10" l="1"/>
  <c r="Y48" i="10" a="1"/>
  <c r="Y48" i="10" l="1"/>
  <c r="X48" i="10" a="1"/>
  <c r="X48" i="10" l="1"/>
  <c r="W48" i="10" a="1"/>
  <c r="W48" i="10" l="1"/>
  <c r="V48" i="10" a="1"/>
  <c r="V48" i="10" l="1"/>
  <c r="U48" i="10" a="1"/>
  <c r="U48" i="10" l="1"/>
  <c r="T48" i="10" a="1"/>
  <c r="T48" i="10" l="1"/>
  <c r="S48" i="10" a="1"/>
  <c r="S48" i="10" l="1"/>
  <c r="R48" i="10" a="1"/>
  <c r="R48" i="10" l="1"/>
  <c r="Q48" i="10" a="1"/>
  <c r="Q48" i="10" l="1"/>
  <c r="P48" i="10" a="1"/>
  <c r="P48" i="10" l="1"/>
  <c r="O48" i="10" a="1"/>
  <c r="O48" i="10" l="1"/>
  <c r="N48" i="10" a="1"/>
  <c r="N48" i="10" l="1"/>
  <c r="M48" i="10" a="1"/>
  <c r="M48" i="10" l="1"/>
  <c r="L48" i="10" a="1"/>
  <c r="L48" i="10" l="1"/>
  <c r="K48" i="10" a="1"/>
  <c r="K48" i="10" l="1"/>
  <c r="J48" i="10" a="1"/>
  <c r="J48" i="10" l="1"/>
  <c r="I48" i="10" a="1"/>
  <c r="I48" i="10" l="1"/>
  <c r="BK43" i="10" a="1"/>
  <c r="BK43" i="10" l="1"/>
  <c r="BJ43" i="10" a="1"/>
  <c r="BJ43" i="10" l="1"/>
  <c r="BI43" i="10" a="1"/>
  <c r="BI43" i="10" l="1"/>
  <c r="BH43" i="10" a="1"/>
  <c r="BH43" i="10" l="1"/>
  <c r="BG43" i="10" a="1"/>
  <c r="BG43" i="10" l="1"/>
  <c r="BF43" i="10" a="1"/>
  <c r="BF43" i="10" l="1"/>
  <c r="BE43" i="10" a="1"/>
  <c r="BE43" i="10" l="1"/>
  <c r="BD43" i="10" a="1"/>
  <c r="BD43" i="10" l="1"/>
  <c r="BC43" i="10" a="1"/>
  <c r="BC43" i="10" l="1"/>
  <c r="BB43" i="10" a="1"/>
  <c r="BB43" i="10" l="1"/>
  <c r="BA43" i="10" a="1"/>
  <c r="BA43" i="10" l="1"/>
  <c r="AZ43" i="10" a="1"/>
  <c r="AZ43" i="10" l="1"/>
  <c r="AY43" i="10" a="1"/>
  <c r="AY43" i="10" l="1"/>
  <c r="AX43" i="10" a="1"/>
  <c r="AX43" i="10" l="1"/>
  <c r="AW43" i="10" a="1"/>
  <c r="AW43" i="10" l="1"/>
  <c r="AV43" i="10" a="1"/>
  <c r="AV43" i="10" l="1"/>
  <c r="AU43" i="10" a="1"/>
  <c r="AU43" i="10" l="1"/>
  <c r="AT43" i="10" a="1"/>
  <c r="AT43" i="10" l="1"/>
  <c r="AS43" i="10" a="1"/>
  <c r="AS43" i="10" l="1"/>
  <c r="AR43" i="10" a="1"/>
  <c r="AR43" i="10" l="1"/>
  <c r="AQ43" i="10" a="1"/>
  <c r="AQ43" i="10" l="1"/>
  <c r="AP43" i="10" a="1"/>
  <c r="AP43" i="10" l="1"/>
  <c r="AO43" i="10" a="1"/>
  <c r="AO43" i="10" l="1"/>
  <c r="AN43" i="10" a="1"/>
  <c r="AN43" i="10" l="1"/>
  <c r="AM43" i="10" a="1"/>
  <c r="AM43" i="10" l="1"/>
  <c r="AL43" i="10" a="1"/>
  <c r="AL43" i="10" l="1"/>
  <c r="AK43" i="10" a="1"/>
  <c r="AK43" i="10" l="1"/>
  <c r="AJ43" i="10" a="1"/>
  <c r="AJ43" i="10" l="1"/>
  <c r="AI43" i="10" a="1"/>
  <c r="AI43" i="10" l="1"/>
  <c r="AH43" i="10" a="1"/>
  <c r="AH43" i="10" l="1"/>
  <c r="AG43" i="10" a="1"/>
  <c r="AG43" i="10" l="1"/>
  <c r="AF43" i="10" a="1"/>
  <c r="AF43" i="10" l="1"/>
  <c r="AE43" i="10" a="1"/>
  <c r="AE43" i="10" l="1"/>
  <c r="AD43" i="10" a="1"/>
  <c r="AD43" i="10" l="1"/>
  <c r="AC43" i="10" a="1"/>
  <c r="AC43" i="10" l="1"/>
  <c r="AB43" i="10" a="1"/>
  <c r="AB43" i="10" l="1"/>
  <c r="AA43" i="10" a="1"/>
  <c r="AA43" i="10" l="1"/>
  <c r="Z43" i="10" a="1"/>
  <c r="Z43" i="10" l="1"/>
  <c r="Y43" i="10" a="1"/>
  <c r="Y43" i="10" l="1"/>
  <c r="X43" i="10" a="1"/>
  <c r="X43" i="10" l="1"/>
  <c r="W43" i="10" a="1"/>
  <c r="W43" i="10" l="1"/>
  <c r="V43" i="10" a="1"/>
  <c r="V43" i="10" l="1"/>
  <c r="U43" i="10" a="1"/>
  <c r="U43" i="10" l="1"/>
  <c r="T43" i="10" a="1"/>
  <c r="T43" i="10" l="1"/>
  <c r="S43" i="10" a="1"/>
  <c r="S43" i="10" l="1"/>
  <c r="R43" i="10" a="1"/>
  <c r="R43" i="10" l="1"/>
  <c r="Q43" i="10" a="1"/>
  <c r="Q43" i="10" l="1"/>
  <c r="P43" i="10" a="1"/>
  <c r="P43" i="10" l="1"/>
  <c r="O43" i="10" a="1"/>
  <c r="O43" i="10" l="1"/>
  <c r="N43" i="10" a="1"/>
  <c r="N43" i="10" l="1"/>
  <c r="M43" i="10" a="1"/>
  <c r="M43" i="10" l="1"/>
  <c r="L43" i="10" a="1"/>
  <c r="L43" i="10" l="1"/>
  <c r="K43" i="10" a="1"/>
  <c r="K43" i="10" l="1"/>
  <c r="J43" i="10" a="1"/>
  <c r="J43" i="10" l="1"/>
  <c r="I43" i="10" a="1"/>
  <c r="I43" i="10" l="1"/>
  <c r="BK38" i="10" a="1"/>
  <c r="BK38" i="10" l="1"/>
  <c r="BJ38" i="10" a="1"/>
  <c r="BJ38" i="10" l="1"/>
  <c r="BI38" i="10" a="1"/>
  <c r="BI38" i="10" l="1"/>
  <c r="BH38" i="10" a="1"/>
  <c r="BH38" i="10" l="1"/>
  <c r="BG38" i="10" a="1"/>
  <c r="BG38" i="10" l="1"/>
  <c r="BF38" i="10" a="1"/>
  <c r="BF38" i="10" l="1"/>
  <c r="BE38" i="10" a="1"/>
  <c r="BE38" i="10" l="1"/>
  <c r="BD38" i="10" a="1"/>
  <c r="BD38" i="10" l="1"/>
  <c r="BC38" i="10" a="1"/>
  <c r="BC38" i="10" l="1"/>
  <c r="BB38" i="10" a="1"/>
  <c r="BB38" i="10" l="1"/>
  <c r="BA38" i="10" a="1"/>
  <c r="BA38" i="10" l="1"/>
  <c r="AZ38" i="10" a="1"/>
  <c r="AZ38" i="10" l="1"/>
  <c r="AY38" i="10" a="1"/>
  <c r="AY38" i="10" l="1"/>
  <c r="AX38" i="10" a="1"/>
  <c r="AX38" i="10" l="1"/>
  <c r="AW38" i="10" a="1"/>
  <c r="AW38" i="10" l="1"/>
  <c r="AV38" i="10" a="1"/>
  <c r="AV38" i="10" l="1"/>
  <c r="AU38" i="10" a="1"/>
  <c r="AU38" i="10" l="1"/>
  <c r="AT38" i="10" a="1"/>
  <c r="AT38" i="10" l="1"/>
  <c r="AS38" i="10" a="1"/>
  <c r="AS38" i="10" l="1"/>
  <c r="AR38" i="10" a="1"/>
  <c r="AR38" i="10" l="1"/>
  <c r="AQ38" i="10" a="1"/>
  <c r="AQ38" i="10" l="1"/>
  <c r="AP38" i="10" a="1"/>
  <c r="AP38" i="10" l="1"/>
  <c r="AO38" i="10" a="1"/>
  <c r="AO38" i="10" l="1"/>
  <c r="AN38" i="10" a="1"/>
  <c r="AN38" i="10" l="1"/>
  <c r="AM38" i="10" a="1"/>
  <c r="AM38" i="10" l="1"/>
  <c r="AL38" i="10" a="1"/>
  <c r="AL38" i="10" l="1"/>
  <c r="AK38" i="10" a="1"/>
  <c r="AK38" i="10" l="1"/>
  <c r="AJ38" i="10" a="1"/>
  <c r="AJ38" i="10" l="1"/>
  <c r="AI38" i="10" a="1"/>
  <c r="AI38" i="10" l="1"/>
  <c r="AH38" i="10" a="1"/>
  <c r="AH38" i="10" l="1"/>
  <c r="AG38" i="10" a="1"/>
  <c r="AG38" i="10" l="1"/>
  <c r="AF38" i="10" a="1"/>
  <c r="AF38" i="10" l="1"/>
  <c r="AE38" i="10" a="1"/>
  <c r="AE38" i="10" l="1"/>
  <c r="AD38" i="10" a="1"/>
  <c r="AD38" i="10" l="1"/>
  <c r="AC38" i="10" a="1"/>
  <c r="AC38" i="10" l="1"/>
  <c r="AB38" i="10" a="1"/>
  <c r="AB38" i="10" l="1"/>
  <c r="AA38" i="10" a="1"/>
  <c r="AA38" i="10" l="1"/>
  <c r="Z38" i="10" a="1"/>
  <c r="Z38" i="10" l="1"/>
  <c r="Y38" i="10" a="1"/>
  <c r="Y38" i="10" l="1"/>
  <c r="X38" i="10" a="1"/>
  <c r="X38" i="10" l="1"/>
  <c r="W38" i="10" a="1"/>
  <c r="W38" i="10" l="1"/>
  <c r="V38" i="10" a="1"/>
  <c r="V38" i="10" l="1"/>
  <c r="U38" i="10" a="1"/>
  <c r="U38" i="10" l="1"/>
  <c r="T38" i="10" a="1"/>
  <c r="T38" i="10" l="1"/>
  <c r="S38" i="10" a="1"/>
  <c r="S38" i="10" l="1"/>
  <c r="R38" i="10" a="1"/>
  <c r="R38" i="10" l="1"/>
  <c r="Q38" i="10" a="1"/>
  <c r="Q38" i="10" l="1"/>
  <c r="P38" i="10" a="1"/>
  <c r="P38" i="10" l="1"/>
  <c r="O38" i="10" a="1"/>
  <c r="O38" i="10" l="1"/>
  <c r="N38" i="10" a="1"/>
  <c r="N38" i="10" l="1"/>
  <c r="M38" i="10" a="1"/>
  <c r="M38" i="10" l="1"/>
  <c r="L38" i="10" a="1"/>
  <c r="L38" i="10" l="1"/>
  <c r="K38" i="10" a="1"/>
  <c r="K38" i="10" l="1"/>
  <c r="J38" i="10" a="1"/>
  <c r="J38" i="10" l="1"/>
  <c r="I38" i="10" a="1"/>
  <c r="I38" i="10" l="1"/>
  <c r="BK34" i="10" a="1"/>
  <c r="BK34" i="10" l="1"/>
  <c r="BJ34" i="10" a="1"/>
  <c r="BJ34" i="10" l="1"/>
  <c r="BI34" i="10" a="1"/>
  <c r="BI34" i="10" l="1"/>
  <c r="BH34" i="10" a="1"/>
  <c r="BH34" i="10" l="1"/>
  <c r="BG34" i="10" a="1"/>
  <c r="BG34" i="10" l="1"/>
  <c r="BF34" i="10" a="1"/>
  <c r="BF34" i="10" l="1"/>
  <c r="BE34" i="10" a="1"/>
  <c r="BE34" i="10" l="1"/>
  <c r="BD34" i="10" a="1"/>
  <c r="BD34" i="10" l="1"/>
  <c r="BC34" i="10" a="1"/>
  <c r="BC34" i="10" l="1"/>
  <c r="BB34" i="10" a="1"/>
  <c r="BB34" i="10" l="1"/>
  <c r="BA34" i="10" a="1"/>
  <c r="BA34" i="10" l="1"/>
  <c r="AZ34" i="10" a="1"/>
  <c r="AZ34" i="10" l="1"/>
  <c r="AY34" i="10" a="1"/>
  <c r="AY34" i="10" l="1"/>
  <c r="AX34" i="10" a="1"/>
  <c r="AX34" i="10" l="1"/>
  <c r="AW34" i="10" a="1"/>
  <c r="AW34" i="10" l="1"/>
  <c r="AV34" i="10" a="1"/>
  <c r="AV34" i="10" l="1"/>
  <c r="AU34" i="10" a="1"/>
  <c r="AU34" i="10" l="1"/>
  <c r="AT34" i="10" a="1"/>
  <c r="AT34" i="10" l="1"/>
  <c r="AS34" i="10" a="1"/>
  <c r="AS34" i="10" l="1"/>
  <c r="AR34" i="10" a="1"/>
  <c r="AR34" i="10" l="1"/>
  <c r="AQ34" i="10" a="1"/>
  <c r="AQ34" i="10" l="1"/>
  <c r="AP34" i="10" a="1"/>
  <c r="AP34" i="10" l="1"/>
  <c r="AO34" i="10" a="1"/>
  <c r="AO34" i="10" l="1"/>
  <c r="AN34" i="10" a="1"/>
  <c r="AN34" i="10" l="1"/>
  <c r="AM34" i="10" a="1"/>
  <c r="AM34" i="10" l="1"/>
  <c r="AL34" i="10" a="1"/>
  <c r="AL34" i="10" l="1"/>
  <c r="AK34" i="10" a="1"/>
  <c r="AK34" i="10" l="1"/>
  <c r="AJ34" i="10" a="1"/>
  <c r="AJ34" i="10" l="1"/>
  <c r="AI34" i="10" a="1"/>
  <c r="AI34" i="10" l="1"/>
  <c r="AH34" i="10" a="1"/>
  <c r="AH34" i="10" l="1"/>
  <c r="AG34" i="10" a="1"/>
  <c r="AG34" i="10" l="1"/>
  <c r="AF34" i="10" a="1"/>
  <c r="AF34" i="10" l="1"/>
  <c r="AE34" i="10" a="1"/>
  <c r="AE34" i="10" l="1"/>
  <c r="AD34" i="10" a="1"/>
  <c r="AD34" i="10" l="1"/>
  <c r="AC34" i="10" a="1"/>
  <c r="AC34" i="10" l="1"/>
  <c r="AB34" i="10" a="1"/>
  <c r="AB34" i="10" l="1"/>
  <c r="AA34" i="10" a="1"/>
  <c r="AA34" i="10" l="1"/>
  <c r="Z34" i="10" a="1"/>
  <c r="Z34" i="10" l="1"/>
  <c r="Y34" i="10" a="1"/>
  <c r="Y34" i="10" l="1"/>
  <c r="X34" i="10" a="1"/>
  <c r="X34" i="10" l="1"/>
  <c r="W34" i="10" a="1"/>
  <c r="W34" i="10" l="1"/>
  <c r="V34" i="10" a="1"/>
  <c r="V34" i="10" l="1"/>
  <c r="U34" i="10" a="1"/>
  <c r="U34" i="10" l="1"/>
  <c r="T34" i="10" a="1"/>
  <c r="T34" i="10" l="1"/>
  <c r="S34" i="10" a="1"/>
  <c r="S34" i="10" l="1"/>
  <c r="R34" i="10" a="1"/>
  <c r="R34" i="10" l="1"/>
  <c r="Q34" i="10" a="1"/>
  <c r="Q34" i="10" l="1"/>
  <c r="P34" i="10" a="1"/>
  <c r="P34" i="10" l="1"/>
  <c r="O34" i="10" a="1"/>
  <c r="O34" i="10" l="1"/>
  <c r="N34" i="10" a="1"/>
  <c r="N34" i="10" l="1"/>
  <c r="M34" i="10" a="1"/>
  <c r="M34" i="10" l="1"/>
  <c r="L34" i="10" a="1"/>
  <c r="L34" i="10" l="1"/>
  <c r="K34" i="10" a="1"/>
  <c r="K34" i="10" l="1"/>
  <c r="J34" i="10" a="1"/>
  <c r="J34" i="10" l="1"/>
  <c r="I34" i="10" a="1"/>
  <c r="I34" i="10" l="1"/>
  <c r="BK29" i="10" a="1"/>
  <c r="BK29" i="10" l="1"/>
  <c r="BJ29" i="10" a="1"/>
  <c r="BJ29" i="10" l="1"/>
  <c r="BI29" i="10" a="1"/>
  <c r="BI29" i="10" l="1"/>
  <c r="BH29" i="10" a="1"/>
  <c r="BH29" i="10" l="1"/>
  <c r="BG29" i="10" a="1"/>
  <c r="BG29" i="10" l="1"/>
  <c r="BF29" i="10" a="1"/>
  <c r="BF29" i="10" l="1"/>
  <c r="BE29" i="10" a="1"/>
  <c r="BE29" i="10" l="1"/>
  <c r="BD29" i="10" a="1"/>
  <c r="BD29" i="10" l="1"/>
  <c r="BC29" i="10" a="1"/>
  <c r="BC29" i="10" l="1"/>
  <c r="BB29" i="10" a="1"/>
  <c r="BB29" i="10" l="1"/>
  <c r="BA29" i="10" a="1"/>
  <c r="BA29" i="10" l="1"/>
  <c r="AZ29" i="10" a="1"/>
  <c r="AZ29" i="10" l="1"/>
  <c r="AY29" i="10" a="1"/>
  <c r="AY29" i="10" l="1"/>
  <c r="AX29" i="10" a="1"/>
  <c r="AX29" i="10" l="1"/>
  <c r="AW29" i="10" a="1"/>
  <c r="AW29" i="10" l="1"/>
  <c r="AV29" i="10" a="1"/>
  <c r="AV29" i="10" l="1"/>
  <c r="AU29" i="10" a="1"/>
  <c r="AU29" i="10" l="1"/>
  <c r="AT29" i="10" a="1"/>
  <c r="AT29" i="10" l="1"/>
  <c r="AS29" i="10" a="1"/>
  <c r="AS29" i="10" l="1"/>
  <c r="AR29" i="10" a="1"/>
  <c r="AR29" i="10" l="1"/>
  <c r="AQ29" i="10" a="1"/>
  <c r="AQ29" i="10" l="1"/>
  <c r="AP29" i="10" a="1"/>
  <c r="AP29" i="10" l="1"/>
  <c r="AO29" i="10" a="1"/>
  <c r="AO29" i="10" l="1"/>
  <c r="AN29" i="10" a="1"/>
  <c r="AN29" i="10" l="1"/>
  <c r="AM29" i="10" a="1"/>
  <c r="AM29" i="10" l="1"/>
  <c r="AL29" i="10" a="1"/>
  <c r="AL29" i="10" l="1"/>
  <c r="AK29" i="10" a="1"/>
  <c r="AK29" i="10" l="1"/>
  <c r="AJ29" i="10" a="1"/>
  <c r="AJ29" i="10" l="1"/>
  <c r="AI29" i="10" a="1"/>
  <c r="AI29" i="10" l="1"/>
  <c r="AH29" i="10" a="1"/>
  <c r="AH29" i="10" l="1"/>
  <c r="AG29" i="10" a="1"/>
  <c r="AG29" i="10" l="1"/>
  <c r="AF29" i="10" a="1"/>
  <c r="AF29" i="10" l="1"/>
  <c r="AE29" i="10" a="1"/>
  <c r="AE29" i="10" l="1"/>
  <c r="AD29" i="10" a="1"/>
  <c r="AD29" i="10" l="1"/>
  <c r="AC29" i="10" a="1"/>
  <c r="AC29" i="10" l="1"/>
  <c r="AB29" i="10" a="1"/>
  <c r="AB29" i="10" l="1"/>
  <c r="AA29" i="10" a="1"/>
  <c r="AA29" i="10" l="1"/>
  <c r="Z29" i="10" a="1"/>
  <c r="Z29" i="10" l="1"/>
  <c r="Y29" i="10" a="1"/>
  <c r="Y29" i="10" l="1"/>
  <c r="X29" i="10" a="1"/>
  <c r="X29" i="10" l="1"/>
  <c r="W29" i="10" a="1"/>
  <c r="W29" i="10" l="1"/>
  <c r="V29" i="10" a="1"/>
  <c r="V29" i="10" l="1"/>
  <c r="U29" i="10" a="1"/>
  <c r="U29" i="10" l="1"/>
  <c r="T29" i="10" a="1"/>
  <c r="T29" i="10" l="1"/>
  <c r="S29" i="10" a="1"/>
  <c r="S29" i="10" l="1"/>
  <c r="R29" i="10" a="1"/>
  <c r="R29" i="10" l="1"/>
  <c r="Q29" i="10" a="1"/>
  <c r="Q29" i="10" l="1"/>
  <c r="P29" i="10" a="1"/>
  <c r="P29" i="10" l="1"/>
  <c r="O29" i="10" a="1"/>
  <c r="O29" i="10" l="1"/>
  <c r="N29" i="10" a="1"/>
  <c r="N29" i="10" l="1"/>
  <c r="M29" i="10" a="1"/>
  <c r="M29" i="10" l="1"/>
  <c r="L29" i="10" a="1"/>
  <c r="L29" i="10" l="1"/>
  <c r="K29" i="10" a="1"/>
  <c r="K29" i="10" l="1"/>
  <c r="J29" i="10" a="1"/>
  <c r="J29" i="10" l="1"/>
  <c r="I29" i="10" a="1"/>
  <c r="I29" i="10" l="1"/>
  <c r="BK20" i="10" a="1"/>
  <c r="BK20" i="10" l="1"/>
  <c r="BJ20" i="10" a="1"/>
  <c r="BJ20" i="10" l="1"/>
  <c r="BI20" i="10" a="1"/>
  <c r="BI20" i="10" l="1"/>
  <c r="BH20" i="10" a="1"/>
  <c r="BH20" i="10" l="1"/>
  <c r="BG20" i="10" a="1"/>
  <c r="BG20" i="10" l="1"/>
  <c r="BF20" i="10" a="1"/>
  <c r="BF20" i="10" l="1"/>
  <c r="BE20" i="10" a="1"/>
  <c r="BE20" i="10" l="1"/>
  <c r="BD20" i="10" a="1"/>
  <c r="BD20" i="10" l="1"/>
  <c r="BC20" i="10" a="1"/>
  <c r="BC20" i="10" l="1"/>
  <c r="BB20" i="10" a="1"/>
  <c r="BB20" i="10" l="1"/>
  <c r="BA20" i="10" a="1"/>
  <c r="BA20" i="10" l="1"/>
  <c r="AZ20" i="10" a="1"/>
  <c r="AZ20" i="10" l="1"/>
  <c r="AY20" i="10" a="1"/>
  <c r="AY20" i="10" l="1"/>
  <c r="AX20" i="10" a="1"/>
  <c r="AX20" i="10" l="1"/>
  <c r="AW20" i="10" a="1"/>
  <c r="AW20" i="10" l="1"/>
  <c r="AV20" i="10" a="1"/>
  <c r="AV20" i="10" l="1"/>
  <c r="AU20" i="10" a="1"/>
  <c r="AU20" i="10" l="1"/>
  <c r="AT20" i="10" a="1"/>
  <c r="AT20" i="10" l="1"/>
  <c r="AS20" i="10" a="1"/>
  <c r="AS20" i="10" l="1"/>
  <c r="AR20" i="10" a="1"/>
  <c r="AR20" i="10" l="1"/>
  <c r="AQ20" i="10" a="1"/>
  <c r="AQ20" i="10" l="1"/>
  <c r="AP20" i="10" a="1"/>
  <c r="AP20" i="10" l="1"/>
  <c r="AO20" i="10" a="1"/>
  <c r="AO20" i="10" l="1"/>
  <c r="AN20" i="10" a="1"/>
  <c r="AN20" i="10" l="1"/>
  <c r="AM20" i="10" a="1"/>
  <c r="AM20" i="10" l="1"/>
  <c r="AL20" i="10" a="1"/>
  <c r="AL20" i="10" l="1"/>
  <c r="AK20" i="10" a="1"/>
  <c r="AK20" i="10" l="1"/>
  <c r="AJ20" i="10" a="1"/>
  <c r="AJ20" i="10" l="1"/>
  <c r="AI20" i="10" a="1"/>
  <c r="AI20" i="10" l="1"/>
  <c r="AH20" i="10" a="1"/>
  <c r="AH20" i="10" l="1"/>
  <c r="AG20" i="10" a="1"/>
  <c r="AG20" i="10" l="1"/>
  <c r="AF20" i="10" a="1"/>
  <c r="AF20" i="10" l="1"/>
  <c r="AE20" i="10" a="1"/>
  <c r="AE20" i="10" l="1"/>
  <c r="AD20" i="10" a="1"/>
  <c r="AD20" i="10" l="1"/>
  <c r="AC20" i="10" a="1"/>
  <c r="AC20" i="10" l="1"/>
  <c r="AB20" i="10" a="1"/>
  <c r="AB20" i="10" l="1"/>
  <c r="AA20" i="10" a="1"/>
  <c r="AA20" i="10" l="1"/>
  <c r="Z20" i="10" a="1"/>
  <c r="Z20" i="10" l="1"/>
  <c r="Y20" i="10" a="1"/>
  <c r="Y20" i="10" l="1"/>
  <c r="X20" i="10" a="1"/>
  <c r="X20" i="10" l="1"/>
  <c r="W20" i="10" a="1"/>
  <c r="W20" i="10" l="1"/>
  <c r="V20" i="10" a="1"/>
  <c r="V20" i="10" l="1"/>
  <c r="U20" i="10" a="1"/>
  <c r="U20" i="10" l="1"/>
  <c r="T20" i="10" a="1"/>
  <c r="T20" i="10" l="1"/>
  <c r="S20" i="10" a="1"/>
  <c r="S20" i="10" l="1"/>
  <c r="R20" i="10" a="1"/>
  <c r="R20" i="10" l="1"/>
  <c r="Q20" i="10" a="1"/>
  <c r="Q20" i="10" l="1"/>
  <c r="P20" i="10" a="1"/>
  <c r="P20" i="10" l="1"/>
  <c r="O20" i="10" a="1"/>
  <c r="O20" i="10" l="1"/>
  <c r="N20" i="10" a="1"/>
  <c r="N20" i="10" l="1"/>
  <c r="M20" i="10" a="1"/>
  <c r="M20" i="10" l="1"/>
  <c r="L20" i="10" a="1"/>
  <c r="L20" i="10" l="1"/>
  <c r="K20" i="10" a="1"/>
  <c r="K20" i="10" l="1"/>
  <c r="J20" i="10" a="1"/>
  <c r="J20" i="10" l="1"/>
  <c r="I20" i="10" a="1"/>
  <c r="I20" i="10" l="1"/>
  <c r="BK12" i="10" a="1"/>
  <c r="BK12" i="10" l="1"/>
  <c r="BJ12" i="10" a="1"/>
  <c r="BJ12" i="10" l="1"/>
  <c r="BI12" i="10" a="1"/>
  <c r="BI12" i="10" l="1"/>
  <c r="BH12" i="10" a="1"/>
  <c r="BH12" i="10" l="1"/>
  <c r="BG12" i="10" a="1"/>
  <c r="BG12" i="10" l="1"/>
  <c r="BF12" i="10" a="1"/>
  <c r="BF12" i="10" l="1"/>
  <c r="BE12" i="10" a="1"/>
  <c r="BE12" i="10" l="1"/>
  <c r="BD12" i="10" a="1"/>
  <c r="BD12" i="10" l="1"/>
  <c r="BC12" i="10" a="1"/>
  <c r="BC12" i="10" l="1"/>
  <c r="BB12" i="10" a="1"/>
  <c r="BB12" i="10" l="1"/>
  <c r="BA12" i="10" a="1"/>
  <c r="BA12" i="10" l="1"/>
  <c r="AZ12" i="10" a="1"/>
  <c r="AZ12" i="10" l="1"/>
  <c r="AY12" i="10" a="1"/>
  <c r="AY12" i="10" l="1"/>
  <c r="AX12" i="10" a="1"/>
  <c r="AX12" i="10" l="1"/>
  <c r="AW12" i="10" a="1"/>
  <c r="AW12" i="10" l="1"/>
  <c r="AV12" i="10" a="1"/>
  <c r="AV12" i="10" l="1"/>
  <c r="AU12" i="10" a="1"/>
  <c r="AU12" i="10" l="1"/>
  <c r="AT12" i="10" a="1"/>
  <c r="AT12" i="10" l="1"/>
  <c r="AS12" i="10" a="1"/>
  <c r="AS12" i="10" l="1"/>
  <c r="AR12" i="10" a="1"/>
  <c r="AR12" i="10" l="1"/>
  <c r="AQ12" i="10" a="1"/>
  <c r="AQ12" i="10" l="1"/>
  <c r="AP12" i="10" a="1"/>
  <c r="AP12" i="10" l="1"/>
  <c r="AO12" i="10" a="1"/>
  <c r="AO12" i="10" l="1"/>
  <c r="AN12" i="10" a="1"/>
  <c r="AN12" i="10" l="1"/>
  <c r="AM12" i="10" a="1"/>
  <c r="AM12" i="10" l="1"/>
  <c r="AL12" i="10" a="1"/>
  <c r="AL12" i="10" l="1"/>
  <c r="AK12" i="10" a="1"/>
  <c r="AK12" i="10" l="1"/>
  <c r="AJ12" i="10" a="1"/>
  <c r="AJ12" i="10" l="1"/>
  <c r="AI12" i="10" a="1"/>
  <c r="AI12" i="10" l="1"/>
  <c r="AH12" i="10" a="1"/>
  <c r="AH12" i="10" l="1"/>
  <c r="AG12" i="10" a="1"/>
  <c r="AG12" i="10" l="1"/>
  <c r="AF12" i="10" a="1"/>
  <c r="AF12" i="10" l="1"/>
  <c r="AE12" i="10" a="1"/>
  <c r="AE12" i="10" l="1"/>
  <c r="AD12" i="10" a="1"/>
  <c r="AD12" i="10" l="1"/>
  <c r="AC12" i="10" a="1"/>
  <c r="AC12" i="10" l="1"/>
  <c r="AB12" i="10" a="1"/>
  <c r="AB12" i="10" l="1"/>
  <c r="AA12" i="10" a="1"/>
  <c r="AA12" i="10" l="1"/>
  <c r="Z12" i="10" a="1"/>
  <c r="Z12" i="10" l="1"/>
  <c r="Y12" i="10" a="1"/>
  <c r="Y12" i="10" l="1"/>
  <c r="X12" i="10" a="1"/>
  <c r="X12" i="10" l="1"/>
  <c r="W12" i="10" a="1"/>
  <c r="W12" i="10" l="1"/>
  <c r="V12" i="10" a="1"/>
  <c r="V12" i="10" l="1"/>
  <c r="U12" i="10" a="1"/>
  <c r="U12" i="10" l="1"/>
  <c r="T12" i="10" a="1"/>
  <c r="T12" i="10" l="1"/>
  <c r="S12" i="10" a="1"/>
  <c r="S12" i="10" l="1"/>
  <c r="R12" i="10" a="1"/>
  <c r="R12" i="10" l="1"/>
  <c r="Q12" i="10" a="1"/>
  <c r="Q12" i="10" l="1"/>
  <c r="P12" i="10" a="1"/>
  <c r="P12" i="10" l="1"/>
  <c r="O12" i="10" a="1"/>
  <c r="O12" i="10" l="1"/>
  <c r="N12" i="10" a="1"/>
  <c r="N12" i="10" l="1"/>
  <c r="M12" i="10" a="1"/>
  <c r="M12" i="10" l="1"/>
  <c r="L12" i="10" a="1"/>
  <c r="L12" i="10" l="1"/>
  <c r="K12" i="10" a="1"/>
  <c r="K12" i="10" l="1"/>
  <c r="J12" i="10" a="1"/>
  <c r="J12" i="10" l="1"/>
  <c r="I12" i="10" a="1"/>
  <c r="I12" i="10" l="1"/>
  <c r="O113" i="42" l="1"/>
  <c r="O108" i="42"/>
  <c r="T113" i="42"/>
  <c r="T112" i="42"/>
  <c r="T108" i="42"/>
  <c r="T107" i="42"/>
  <c r="AC16" i="63"/>
  <c r="AD16" i="63" s="1"/>
  <c r="AE16" i="63" s="1"/>
  <c r="T117" i="59" l="1"/>
  <c r="T165" i="59"/>
  <c r="S132" i="59"/>
  <c r="T132" i="59"/>
  <c r="U131" i="59" s="1"/>
  <c r="U135" i="59" s="1"/>
  <c r="AK121" i="59"/>
  <c r="AH120" i="59"/>
  <c r="AI120" i="59" s="1"/>
  <c r="AJ120" i="59" s="1"/>
  <c r="AF121" i="59"/>
  <c r="AC120" i="59"/>
  <c r="AD120" i="59" s="1"/>
  <c r="AE120" i="59" s="1"/>
  <c r="AF120" i="59" s="1"/>
  <c r="AA121" i="59"/>
  <c r="AK115" i="59"/>
  <c r="AH114" i="59"/>
  <c r="AI114" i="59" s="1"/>
  <c r="AJ114" i="59" s="1"/>
  <c r="AF115" i="59"/>
  <c r="AC114" i="59"/>
  <c r="AD114" i="59" s="1"/>
  <c r="AE114" i="59" s="1"/>
  <c r="AF114" i="59" s="1"/>
  <c r="AA115" i="59"/>
  <c r="AJ40" i="59"/>
  <c r="AI40" i="59"/>
  <c r="AH40" i="59"/>
  <c r="AG40" i="59"/>
  <c r="AE40" i="59"/>
  <c r="AD40" i="59"/>
  <c r="AC40" i="59"/>
  <c r="AB40" i="59"/>
  <c r="Z40" i="59"/>
  <c r="Y40" i="59"/>
  <c r="X40" i="59"/>
  <c r="W40" i="59"/>
  <c r="U40" i="59"/>
  <c r="T40" i="59"/>
  <c r="T39" i="59"/>
  <c r="AJ38" i="59"/>
  <c r="AI38" i="59"/>
  <c r="AH38" i="59"/>
  <c r="AG38" i="59"/>
  <c r="AE38" i="59"/>
  <c r="AD38" i="59"/>
  <c r="AC38" i="59"/>
  <c r="AB38" i="59"/>
  <c r="Z38" i="59"/>
  <c r="Y38" i="59"/>
  <c r="X38" i="59"/>
  <c r="W38" i="59"/>
  <c r="U38" i="59"/>
  <c r="T38" i="59"/>
  <c r="AJ37" i="59"/>
  <c r="AI37" i="59"/>
  <c r="AH37" i="59"/>
  <c r="AG37" i="59"/>
  <c r="AE37" i="59"/>
  <c r="AD37" i="59"/>
  <c r="AC37" i="59"/>
  <c r="AB37" i="59"/>
  <c r="Z37" i="59"/>
  <c r="Y37" i="59"/>
  <c r="X37" i="59"/>
  <c r="W37" i="59"/>
  <c r="U37" i="59"/>
  <c r="T37" i="59"/>
  <c r="U36" i="59"/>
  <c r="T36" i="59"/>
  <c r="S36" i="59"/>
  <c r="R36" i="59"/>
  <c r="S19" i="59"/>
  <c r="T19" i="59"/>
  <c r="T17" i="59"/>
  <c r="T16" i="59"/>
  <c r="T135" i="59"/>
  <c r="S135" i="59"/>
  <c r="AA133" i="59"/>
  <c r="V133" i="59"/>
  <c r="AH132" i="59"/>
  <c r="AI132" i="59" s="1"/>
  <c r="AJ132" i="59" s="1"/>
  <c r="AK132" i="59" s="1"/>
  <c r="AC132" i="59"/>
  <c r="AD132" i="59" s="1"/>
  <c r="AE132" i="59" s="1"/>
  <c r="X132" i="59"/>
  <c r="Q131" i="59"/>
  <c r="R135" i="59" s="1"/>
  <c r="L131" i="59"/>
  <c r="V121" i="59"/>
  <c r="X120" i="59"/>
  <c r="Y120" i="59" s="1"/>
  <c r="Z120" i="59" s="1"/>
  <c r="T120" i="59"/>
  <c r="V120" i="59" s="1"/>
  <c r="U119" i="59"/>
  <c r="V119" i="59" s="1"/>
  <c r="V17" i="59" s="1"/>
  <c r="T161" i="59"/>
  <c r="T150" i="59"/>
  <c r="X114" i="59"/>
  <c r="Y114" i="59" s="1"/>
  <c r="Z114" i="59" s="1"/>
  <c r="V115" i="59"/>
  <c r="AA114" i="59" l="1"/>
  <c r="AA120" i="59"/>
  <c r="AK120" i="59"/>
  <c r="AK114" i="59"/>
  <c r="U17" i="59"/>
  <c r="U19" i="59"/>
  <c r="V135" i="59"/>
  <c r="V131" i="59"/>
  <c r="V19" i="59" s="1"/>
  <c r="AF132" i="59"/>
  <c r="R132" i="59"/>
  <c r="V132" i="59" s="1"/>
  <c r="Y132" i="59"/>
  <c r="Z132" i="59" s="1"/>
  <c r="W119" i="59"/>
  <c r="W17" i="59" s="1"/>
  <c r="AA132" i="59" l="1"/>
  <c r="W131" i="59"/>
  <c r="W19" i="59" s="1"/>
  <c r="X119" i="59"/>
  <c r="X17" i="59" s="1"/>
  <c r="W135" i="59" l="1"/>
  <c r="X131" i="59"/>
  <c r="X19" i="59" s="1"/>
  <c r="Y119" i="59"/>
  <c r="Y17" i="59" s="1"/>
  <c r="X135" i="59" l="1"/>
  <c r="Y131" i="59"/>
  <c r="Y19" i="59" s="1"/>
  <c r="Z119" i="59"/>
  <c r="Z17" i="59" l="1"/>
  <c r="AA119" i="59"/>
  <c r="Y135" i="59"/>
  <c r="Z131" i="59"/>
  <c r="AA17" i="59" l="1"/>
  <c r="AB119" i="59"/>
  <c r="AA131" i="59"/>
  <c r="AA19" i="59" s="1"/>
  <c r="Z19" i="59"/>
  <c r="Z135" i="59"/>
  <c r="AA135" i="59" s="1"/>
  <c r="AB131" i="59" l="1"/>
  <c r="AB19" i="59" s="1"/>
  <c r="AC119" i="59"/>
  <c r="AB17" i="59"/>
  <c r="AC131" i="59" l="1"/>
  <c r="AC19" i="59" s="1"/>
  <c r="AB135" i="59"/>
  <c r="AD119" i="59"/>
  <c r="AC17" i="59"/>
  <c r="AD131" i="59" l="1"/>
  <c r="AD19" i="59" s="1"/>
  <c r="AC135" i="59"/>
  <c r="AD17" i="59"/>
  <c r="AE119" i="59"/>
  <c r="AE131" i="59"/>
  <c r="AD135" i="59" l="1"/>
  <c r="AE17" i="59"/>
  <c r="AF119" i="59"/>
  <c r="AF131" i="59"/>
  <c r="AF19" i="59" s="1"/>
  <c r="AE19" i="59"/>
  <c r="AE135" i="59"/>
  <c r="AG131" i="59"/>
  <c r="AG19" i="59" s="1"/>
  <c r="AF135" i="59" l="1"/>
  <c r="AF17" i="59"/>
  <c r="AG119" i="59"/>
  <c r="AG135" i="59"/>
  <c r="AH131" i="59"/>
  <c r="AH19" i="59" s="1"/>
  <c r="AG17" i="59" l="1"/>
  <c r="AH119" i="59"/>
  <c r="AH135" i="59"/>
  <c r="AI131" i="59"/>
  <c r="AI19" i="59" s="1"/>
  <c r="AH17" i="59" l="1"/>
  <c r="AI119" i="59"/>
  <c r="AI135" i="59"/>
  <c r="AJ131" i="59"/>
  <c r="AJ119" i="59" l="1"/>
  <c r="AI17" i="59"/>
  <c r="AK131" i="59"/>
  <c r="AK19" i="59" s="1"/>
  <c r="AJ19" i="59"/>
  <c r="AJ135" i="59"/>
  <c r="AK135" i="59" s="1"/>
  <c r="AJ17" i="59" l="1"/>
  <c r="AK119" i="59"/>
  <c r="AK17" i="59" s="1"/>
  <c r="T114" i="59" l="1"/>
  <c r="T100" i="59"/>
  <c r="T106" i="58"/>
  <c r="T20" i="5"/>
  <c r="T115" i="63"/>
  <c r="T82" i="63"/>
  <c r="T81" i="63"/>
  <c r="T53" i="42"/>
  <c r="T78" i="42"/>
  <c r="S78" i="42"/>
  <c r="T79" i="42"/>
  <c r="T74" i="42"/>
  <c r="T72" i="42"/>
  <c r="T93" i="63"/>
  <c r="T94" i="63" s="1"/>
  <c r="T95" i="63" l="1"/>
  <c r="T59" i="63"/>
  <c r="T98" i="63" s="1"/>
  <c r="T19" i="6"/>
  <c r="T81" i="6"/>
  <c r="T80" i="6"/>
  <c r="T79" i="6"/>
  <c r="T22" i="5"/>
  <c r="U12" i="5"/>
  <c r="V12" i="5" s="1"/>
  <c r="W12" i="5" s="1"/>
  <c r="X12" i="5" s="1"/>
  <c r="Y12" i="5" s="1"/>
  <c r="Z12" i="5" s="1"/>
  <c r="AA12" i="5" s="1"/>
  <c r="AB12" i="5" s="1"/>
  <c r="AC12" i="5" s="1"/>
  <c r="AD12" i="5" s="1"/>
  <c r="AE12" i="5" s="1"/>
  <c r="AF12" i="5" s="1"/>
  <c r="AG12" i="5" s="1"/>
  <c r="AH12" i="5" s="1"/>
  <c r="AI12" i="5" s="1"/>
  <c r="AJ12" i="5" s="1"/>
  <c r="AK12" i="5" s="1"/>
  <c r="T82" i="6" l="1"/>
  <c r="T84" i="6"/>
  <c r="T67" i="42"/>
  <c r="T65" i="42"/>
  <c r="T39" i="7" l="1"/>
  <c r="T23" i="7"/>
  <c r="T15" i="7"/>
  <c r="T138" i="59"/>
  <c r="T90" i="5" s="1"/>
  <c r="T93" i="59"/>
  <c r="T90" i="59"/>
  <c r="T82" i="59"/>
  <c r="T79" i="59"/>
  <c r="T65" i="59"/>
  <c r="T46" i="59"/>
  <c r="T30" i="59"/>
  <c r="T23" i="59"/>
  <c r="T21" i="59"/>
  <c r="T18" i="59"/>
  <c r="T15" i="59"/>
  <c r="T14" i="59"/>
  <c r="T108" i="5"/>
  <c r="T106" i="5"/>
  <c r="T105" i="5"/>
  <c r="T104" i="5"/>
  <c r="T103" i="5"/>
  <c r="T99" i="5"/>
  <c r="T98" i="5"/>
  <c r="T97" i="5"/>
  <c r="T94" i="5"/>
  <c r="T93" i="5"/>
  <c r="T91" i="5"/>
  <c r="T88" i="5"/>
  <c r="T87" i="5"/>
  <c r="T84" i="5"/>
  <c r="T83" i="5"/>
  <c r="T81" i="5"/>
  <c r="T78" i="5"/>
  <c r="T75" i="5"/>
  <c r="T70" i="5"/>
  <c r="T69" i="5"/>
  <c r="T68" i="5"/>
  <c r="T112" i="5" s="1"/>
  <c r="T66" i="5"/>
  <c r="T102" i="5" s="1"/>
  <c r="T129" i="58"/>
  <c r="T111" i="58"/>
  <c r="T110" i="58"/>
  <c r="T109" i="58"/>
  <c r="T108" i="58"/>
  <c r="T96" i="58"/>
  <c r="T91" i="58"/>
  <c r="T87" i="58"/>
  <c r="T86" i="58"/>
  <c r="T74" i="58"/>
  <c r="T61" i="58"/>
  <c r="T58" i="58"/>
  <c r="T128" i="58" s="1"/>
  <c r="T57" i="58"/>
  <c r="T54" i="58"/>
  <c r="T53" i="58"/>
  <c r="T38" i="58"/>
  <c r="T32" i="58"/>
  <c r="T23" i="58"/>
  <c r="T14" i="58"/>
  <c r="T98" i="3"/>
  <c r="T58" i="3"/>
  <c r="T55" i="3"/>
  <c r="T52" i="58" s="1"/>
  <c r="T45" i="3"/>
  <c r="T47" i="3" s="1"/>
  <c r="T42" i="3"/>
  <c r="T41" i="3"/>
  <c r="T36" i="3"/>
  <c r="T35" i="3"/>
  <c r="T29" i="3"/>
  <c r="T31" i="3" s="1"/>
  <c r="T29" i="58" s="1"/>
  <c r="T25" i="3"/>
  <c r="T24" i="3"/>
  <c r="T53" i="94"/>
  <c r="T52" i="94"/>
  <c r="T51" i="94"/>
  <c r="T50" i="94"/>
  <c r="T49" i="94"/>
  <c r="T45" i="94"/>
  <c r="T44" i="94"/>
  <c r="T36" i="94"/>
  <c r="T35" i="94"/>
  <c r="T34" i="94"/>
  <c r="T28" i="94"/>
  <c r="T37" i="94" s="1"/>
  <c r="T23" i="94"/>
  <c r="T10" i="94"/>
  <c r="T45" i="42"/>
  <c r="T36" i="42"/>
  <c r="T34" i="42"/>
  <c r="T33" i="42"/>
  <c r="T29" i="42"/>
  <c r="T108" i="63"/>
  <c r="T107" i="63"/>
  <c r="T125" i="63"/>
  <c r="S46" i="63"/>
  <c r="S47" i="63" s="1"/>
  <c r="T46" i="63"/>
  <c r="T14" i="94" s="1"/>
  <c r="T35" i="63"/>
  <c r="T38" i="63"/>
  <c r="T37" i="63"/>
  <c r="T36" i="63"/>
  <c r="T11" i="63"/>
  <c r="T14" i="63"/>
  <c r="T13" i="63"/>
  <c r="T12" i="63"/>
  <c r="T46" i="94" l="1"/>
  <c r="T91" i="59"/>
  <c r="T67" i="5"/>
  <c r="T84" i="63"/>
  <c r="T83" i="63" s="1"/>
  <c r="T54" i="94"/>
  <c r="T56" i="94" s="1"/>
  <c r="T43" i="58"/>
  <c r="T47" i="63"/>
  <c r="T43" i="63"/>
  <c r="T41" i="63"/>
  <c r="T71" i="5"/>
  <c r="T130" i="58"/>
  <c r="T65" i="5"/>
  <c r="T96" i="5" s="1"/>
  <c r="T31" i="94"/>
  <c r="T26" i="94"/>
  <c r="T31" i="7"/>
  <c r="T73" i="59"/>
  <c r="T100" i="5"/>
  <c r="T28" i="7" l="1"/>
  <c r="T20" i="7"/>
  <c r="T74" i="59"/>
  <c r="T76" i="59"/>
  <c r="T77" i="59" s="1"/>
  <c r="AI62" i="58" l="1"/>
  <c r="AJ62" i="58" s="1"/>
  <c r="R74" i="58"/>
  <c r="AH21" i="58" l="1"/>
  <c r="AI21" i="58" s="1"/>
  <c r="AJ21" i="58" s="1"/>
  <c r="AC21" i="58"/>
  <c r="AD21" i="58" s="1"/>
  <c r="AE21" i="58" s="1"/>
  <c r="X21" i="58"/>
  <c r="Y21" i="58" s="1"/>
  <c r="Z21" i="58" s="1"/>
  <c r="AH83" i="59"/>
  <c r="AH82" i="59" s="1"/>
  <c r="AG83" i="59"/>
  <c r="AG82" i="59" s="1"/>
  <c r="AC83" i="59"/>
  <c r="AC82" i="59" s="1"/>
  <c r="AB83" i="59"/>
  <c r="AB82" i="59" s="1"/>
  <c r="X83" i="59"/>
  <c r="X82" i="59" s="1"/>
  <c r="W83" i="59"/>
  <c r="W82" i="59" s="1"/>
  <c r="AJ83" i="59"/>
  <c r="AJ82" i="59" s="1"/>
  <c r="AI83" i="59"/>
  <c r="AE83" i="59"/>
  <c r="AE82" i="59" s="1"/>
  <c r="AD83" i="59"/>
  <c r="AD82" i="59" s="1"/>
  <c r="Z83" i="59"/>
  <c r="Z82" i="59" s="1"/>
  <c r="Y83" i="59"/>
  <c r="Y82" i="59" s="1"/>
  <c r="U83" i="59"/>
  <c r="U82" i="59" s="1"/>
  <c r="S165" i="59"/>
  <c r="N64" i="94"/>
  <c r="O64" i="94" s="1"/>
  <c r="M63" i="94"/>
  <c r="N63" i="94" s="1"/>
  <c r="AK83" i="59" l="1"/>
  <c r="V83" i="59"/>
  <c r="AI82" i="59"/>
  <c r="AF83" i="59"/>
  <c r="AA83" i="59"/>
  <c r="L79" i="59" l="1"/>
  <c r="M79" i="59"/>
  <c r="N79" i="59"/>
  <c r="O79" i="59"/>
  <c r="P79" i="59"/>
  <c r="Q79" i="59"/>
  <c r="R79" i="59"/>
  <c r="S79" i="59"/>
  <c r="L82" i="59"/>
  <c r="M82" i="59"/>
  <c r="N82" i="59"/>
  <c r="O82" i="59"/>
  <c r="P82" i="59"/>
  <c r="Q82" i="59"/>
  <c r="R82" i="59"/>
  <c r="S82" i="59"/>
  <c r="H74" i="59"/>
  <c r="I74" i="59"/>
  <c r="J74" i="59"/>
  <c r="K74" i="59"/>
  <c r="L74" i="59"/>
  <c r="M74" i="59"/>
  <c r="N74" i="59"/>
  <c r="O74" i="59"/>
  <c r="AK68" i="6"/>
  <c r="AF68" i="6"/>
  <c r="AA68" i="6"/>
  <c r="V68" i="6"/>
  <c r="AK67" i="6"/>
  <c r="AF67" i="6"/>
  <c r="AA67" i="6"/>
  <c r="V67" i="6"/>
  <c r="AK66" i="6"/>
  <c r="AF66" i="6"/>
  <c r="AA66" i="6"/>
  <c r="V66" i="6"/>
  <c r="AK65" i="6"/>
  <c r="AF65" i="6"/>
  <c r="AA65" i="6"/>
  <c r="V65" i="6"/>
  <c r="AJ44" i="59"/>
  <c r="AI44" i="59"/>
  <c r="AH44" i="59"/>
  <c r="AG44" i="59"/>
  <c r="AJ43" i="59"/>
  <c r="AJ42" i="59"/>
  <c r="AJ41" i="59"/>
  <c r="AI41" i="59"/>
  <c r="AH41" i="59"/>
  <c r="AG41" i="59"/>
  <c r="AJ39" i="59"/>
  <c r="AI39" i="59"/>
  <c r="AH39" i="59"/>
  <c r="AG39" i="59"/>
  <c r="AJ36" i="59"/>
  <c r="AI36" i="59"/>
  <c r="AH36" i="59"/>
  <c r="AG36" i="59"/>
  <c r="AJ35" i="59"/>
  <c r="AE44" i="59"/>
  <c r="AD44" i="59"/>
  <c r="AC44" i="59"/>
  <c r="AB44" i="59"/>
  <c r="AE41" i="59"/>
  <c r="AD41" i="59"/>
  <c r="AC41" i="59"/>
  <c r="AB41" i="59"/>
  <c r="AE39" i="59"/>
  <c r="AD39" i="59"/>
  <c r="AC39" i="59"/>
  <c r="AB39" i="59"/>
  <c r="AE36" i="59"/>
  <c r="AD36" i="59"/>
  <c r="AC36" i="59"/>
  <c r="AB36" i="59"/>
  <c r="Z44" i="59"/>
  <c r="Y44" i="59"/>
  <c r="X44" i="59"/>
  <c r="W44" i="59"/>
  <c r="Z41" i="59"/>
  <c r="Y41" i="59"/>
  <c r="X41" i="59"/>
  <c r="W41" i="59"/>
  <c r="Z39" i="59"/>
  <c r="Y39" i="59"/>
  <c r="X39" i="59"/>
  <c r="W39" i="59"/>
  <c r="Z36" i="59"/>
  <c r="Y36" i="59"/>
  <c r="X36" i="59"/>
  <c r="W36" i="59"/>
  <c r="U44" i="59"/>
  <c r="S44" i="59"/>
  <c r="R44" i="59"/>
  <c r="S43" i="59"/>
  <c r="R43" i="59"/>
  <c r="S46" i="59"/>
  <c r="T48" i="59" s="1"/>
  <c r="R46" i="59"/>
  <c r="S30" i="59"/>
  <c r="T32" i="59" s="1"/>
  <c r="R30" i="59"/>
  <c r="U41" i="59"/>
  <c r="S41" i="59"/>
  <c r="U39" i="59"/>
  <c r="S39" i="59"/>
  <c r="R39" i="59"/>
  <c r="N108" i="42"/>
  <c r="N113" i="42"/>
  <c r="S113" i="42"/>
  <c r="S108" i="42"/>
  <c r="R56" i="3"/>
  <c r="S207" i="59"/>
  <c r="R41" i="59" s="1"/>
  <c r="M18" i="59"/>
  <c r="N18" i="59"/>
  <c r="O18" i="59"/>
  <c r="P18" i="59"/>
  <c r="R18" i="59"/>
  <c r="S18" i="59"/>
  <c r="S129" i="59"/>
  <c r="AA127" i="59"/>
  <c r="V127" i="59"/>
  <c r="AH126" i="59"/>
  <c r="AC126" i="59"/>
  <c r="AD126" i="59" s="1"/>
  <c r="X126" i="59"/>
  <c r="Y126" i="59" s="1"/>
  <c r="Z126" i="59" s="1"/>
  <c r="U126" i="59"/>
  <c r="S126" i="59"/>
  <c r="Q125" i="59"/>
  <c r="R129" i="59" s="1"/>
  <c r="L125" i="59"/>
  <c r="S22" i="5"/>
  <c r="N91" i="6"/>
  <c r="N81" i="6"/>
  <c r="N80" i="6"/>
  <c r="N84" i="6" s="1"/>
  <c r="N79" i="6"/>
  <c r="N72" i="6"/>
  <c r="N51" i="6"/>
  <c r="N105" i="6"/>
  <c r="Q116" i="6"/>
  <c r="L116" i="6"/>
  <c r="S111" i="6"/>
  <c r="L109" i="6"/>
  <c r="L110" i="6"/>
  <c r="Q110" i="6"/>
  <c r="Q109" i="6"/>
  <c r="S108" i="6"/>
  <c r="S106" i="6"/>
  <c r="S105" i="6"/>
  <c r="S101" i="6"/>
  <c r="S100" i="6"/>
  <c r="N96" i="6"/>
  <c r="S96" i="6"/>
  <c r="Q125" i="58"/>
  <c r="Q122" i="58"/>
  <c r="Q121" i="58"/>
  <c r="M61" i="58"/>
  <c r="N61" i="58"/>
  <c r="O61" i="58"/>
  <c r="P61" i="58"/>
  <c r="R61" i="58"/>
  <c r="S61" i="58"/>
  <c r="M58" i="58"/>
  <c r="N58" i="58"/>
  <c r="O58" i="58"/>
  <c r="P58" i="58"/>
  <c r="R58" i="58"/>
  <c r="S58" i="58"/>
  <c r="S55" i="3"/>
  <c r="M38" i="58"/>
  <c r="N38" i="58"/>
  <c r="R38" i="58"/>
  <c r="S38" i="58"/>
  <c r="T40" i="58" s="1"/>
  <c r="T80" i="59" l="1"/>
  <c r="N82" i="6"/>
  <c r="S80" i="59"/>
  <c r="R80" i="59"/>
  <c r="U80" i="59"/>
  <c r="U79" i="59" s="1"/>
  <c r="AJ30" i="59"/>
  <c r="Q18" i="59"/>
  <c r="T129" i="59"/>
  <c r="AI126" i="59"/>
  <c r="AJ126" i="59" s="1"/>
  <c r="AE126" i="59"/>
  <c r="AF126" i="59" s="1"/>
  <c r="R126" i="59"/>
  <c r="U125" i="59"/>
  <c r="AA126" i="59"/>
  <c r="V126" i="59" l="1"/>
  <c r="V125" i="59"/>
  <c r="V18" i="59" s="1"/>
  <c r="U18" i="59"/>
  <c r="AK126" i="59"/>
  <c r="U129" i="59"/>
  <c r="V129" i="59" s="1"/>
  <c r="W125" i="59" l="1"/>
  <c r="W18" i="59" l="1"/>
  <c r="X125" i="59"/>
  <c r="W129" i="59"/>
  <c r="X18" i="59" l="1"/>
  <c r="Y125" i="59"/>
  <c r="X129" i="59"/>
  <c r="Y18" i="59" l="1"/>
  <c r="Z125" i="59"/>
  <c r="Y129" i="59"/>
  <c r="AA125" i="59" l="1"/>
  <c r="AA18" i="59" s="1"/>
  <c r="Z129" i="59"/>
  <c r="Z18" i="59"/>
  <c r="AB125" i="59" l="1"/>
  <c r="AB129" i="59"/>
  <c r="AC125" i="59" l="1"/>
  <c r="AC18" i="59" s="1"/>
  <c r="AB18" i="59"/>
  <c r="AC129" i="59" l="1"/>
  <c r="AD125" i="59"/>
  <c r="AD18" i="59" s="1"/>
  <c r="AD129" i="59" l="1"/>
  <c r="AE125" i="59"/>
  <c r="AF125" i="59" s="1"/>
  <c r="AF18" i="59" s="1"/>
  <c r="AE18" i="59" l="1"/>
  <c r="AE129" i="59"/>
  <c r="AG125" i="59"/>
  <c r="AG18" i="59" s="1"/>
  <c r="AG129" i="59"/>
  <c r="AH125" i="59" l="1"/>
  <c r="AH18" i="59" s="1"/>
  <c r="AH129" i="59"/>
  <c r="AI125" i="59" l="1"/>
  <c r="AI18" i="59" s="1"/>
  <c r="AJ125" i="59"/>
  <c r="AI129" i="59" l="1"/>
  <c r="AK125" i="59"/>
  <c r="AK18" i="59" s="1"/>
  <c r="AJ129" i="59"/>
  <c r="AJ18" i="59"/>
  <c r="N45" i="42" l="1"/>
  <c r="N36" i="42"/>
  <c r="P33" i="42"/>
  <c r="S33" i="42"/>
  <c r="R33" i="42"/>
  <c r="V48" i="6"/>
  <c r="V47" i="6"/>
  <c r="V46" i="6"/>
  <c r="S23" i="7" l="1"/>
  <c r="S15" i="7"/>
  <c r="S161" i="59"/>
  <c r="S138" i="59"/>
  <c r="S90" i="5" s="1"/>
  <c r="S150" i="59"/>
  <c r="S90" i="59"/>
  <c r="S100" i="59"/>
  <c r="S65" i="59"/>
  <c r="R65" i="59"/>
  <c r="S23" i="59"/>
  <c r="S22" i="59"/>
  <c r="S21" i="59"/>
  <c r="S15" i="59"/>
  <c r="S14" i="59"/>
  <c r="S91" i="6"/>
  <c r="S81" i="6"/>
  <c r="U81" i="6" s="1"/>
  <c r="W81" i="6" s="1"/>
  <c r="S80" i="6"/>
  <c r="S79" i="6"/>
  <c r="S113" i="5"/>
  <c r="S108" i="5"/>
  <c r="S106" i="5"/>
  <c r="S105" i="5"/>
  <c r="S104" i="5"/>
  <c r="S103" i="5"/>
  <c r="S99" i="5"/>
  <c r="S98" i="5"/>
  <c r="S97" i="5"/>
  <c r="S94" i="5"/>
  <c r="S93" i="5"/>
  <c r="S91" i="5"/>
  <c r="S88" i="5"/>
  <c r="S87" i="5"/>
  <c r="S84" i="5"/>
  <c r="S83" i="5"/>
  <c r="S81" i="5"/>
  <c r="S78" i="5"/>
  <c r="S75" i="5"/>
  <c r="S70" i="5"/>
  <c r="S69" i="5"/>
  <c r="S68" i="5"/>
  <c r="S112" i="5" s="1"/>
  <c r="S66" i="5"/>
  <c r="S102" i="5" s="1"/>
  <c r="S129" i="58"/>
  <c r="S87" i="58"/>
  <c r="T88" i="58" s="1"/>
  <c r="S86" i="58"/>
  <c r="S74" i="58"/>
  <c r="S128" i="58"/>
  <c r="S57" i="58"/>
  <c r="S54" i="58"/>
  <c r="S53" i="58"/>
  <c r="S52" i="58"/>
  <c r="S32" i="58"/>
  <c r="T34" i="58" s="1"/>
  <c r="S23" i="58"/>
  <c r="T25" i="58" s="1"/>
  <c r="S14" i="58"/>
  <c r="T16" i="58" s="1"/>
  <c r="S98" i="3"/>
  <c r="S45" i="3"/>
  <c r="S42" i="3"/>
  <c r="S36" i="3"/>
  <c r="S29" i="3"/>
  <c r="S31" i="3" s="1"/>
  <c r="S29" i="58" s="1"/>
  <c r="S25" i="3"/>
  <c r="S114" i="42"/>
  <c r="S112" i="42"/>
  <c r="S107" i="42"/>
  <c r="S79" i="42"/>
  <c r="S74" i="42"/>
  <c r="S67" i="42"/>
  <c r="S51" i="42"/>
  <c r="S53" i="42"/>
  <c r="S45" i="42"/>
  <c r="T47" i="42" s="1"/>
  <c r="S36" i="42"/>
  <c r="T38" i="42" s="1"/>
  <c r="S34" i="42"/>
  <c r="S29" i="42"/>
  <c r="S10" i="42"/>
  <c r="S53" i="94"/>
  <c r="S52" i="94"/>
  <c r="S51" i="94"/>
  <c r="S50" i="94"/>
  <c r="S49" i="94"/>
  <c r="S45" i="94"/>
  <c r="S28" i="94"/>
  <c r="S23" i="94"/>
  <c r="T25" i="94" s="1"/>
  <c r="S125" i="63"/>
  <c r="S91" i="63"/>
  <c r="S59" i="63"/>
  <c r="S10" i="58" l="1"/>
  <c r="S117" i="42"/>
  <c r="S68" i="42"/>
  <c r="S37" i="94"/>
  <c r="T30" i="94"/>
  <c r="T66" i="63"/>
  <c r="T61" i="63"/>
  <c r="T63" i="63"/>
  <c r="T19" i="7"/>
  <c r="T44" i="7" s="1"/>
  <c r="T17" i="7"/>
  <c r="T27" i="7"/>
  <c r="T49" i="7" s="1"/>
  <c r="T25" i="7"/>
  <c r="S73" i="59"/>
  <c r="S54" i="94"/>
  <c r="S84" i="6"/>
  <c r="U80" i="6"/>
  <c r="W80" i="6" s="1"/>
  <c r="S130" i="58"/>
  <c r="S100" i="5"/>
  <c r="S31" i="7"/>
  <c r="S71" i="5"/>
  <c r="S82" i="6"/>
  <c r="T76" i="6" s="1"/>
  <c r="S43" i="58"/>
  <c r="T45" i="58" s="1"/>
  <c r="S67" i="5"/>
  <c r="S65" i="5"/>
  <c r="S96" i="5" s="1"/>
  <c r="S18" i="58"/>
  <c r="S27" i="58" s="1"/>
  <c r="S113" i="58"/>
  <c r="S41" i="58"/>
  <c r="S35" i="58"/>
  <c r="S116" i="58"/>
  <c r="S115" i="58"/>
  <c r="S114" i="58"/>
  <c r="S26" i="58"/>
  <c r="S26" i="42"/>
  <c r="S81" i="42"/>
  <c r="S10" i="3"/>
  <c r="S63" i="5"/>
  <c r="S74" i="5" s="1"/>
  <c r="S109" i="42"/>
  <c r="S10" i="7"/>
  <c r="S29" i="7" l="1"/>
  <c r="S21" i="7"/>
  <c r="T69" i="63"/>
  <c r="T67" i="63"/>
  <c r="T71" i="63"/>
  <c r="T73" i="63"/>
  <c r="T35" i="7"/>
  <c r="T33" i="7"/>
  <c r="S28" i="7"/>
  <c r="S74" i="59"/>
  <c r="S76" i="59"/>
  <c r="S193" i="59" s="1"/>
  <c r="S20" i="7"/>
  <c r="S47" i="58"/>
  <c r="S37" i="3"/>
  <c r="S18" i="3"/>
  <c r="S43" i="3"/>
  <c r="S26" i="3"/>
  <c r="S32" i="3"/>
  <c r="S30" i="58" s="1"/>
  <c r="S27" i="42"/>
  <c r="S21" i="58"/>
  <c r="S36" i="7"/>
  <c r="T78" i="63" l="1"/>
  <c r="T76" i="63"/>
  <c r="T74" i="63"/>
  <c r="S59" i="58"/>
  <c r="S64" i="58" s="1"/>
  <c r="S50" i="58"/>
  <c r="S49" i="3"/>
  <c r="S21" i="3"/>
  <c r="S27" i="3"/>
  <c r="S62" i="58" l="1"/>
  <c r="S97" i="3"/>
  <c r="S99" i="3" s="1"/>
  <c r="S62" i="3"/>
  <c r="S65" i="3" s="1"/>
  <c r="S52" i="3"/>
  <c r="S75" i="58"/>
  <c r="S66" i="58"/>
  <c r="S70" i="58"/>
  <c r="S95" i="58" l="1"/>
  <c r="S100" i="3"/>
  <c r="J12" i="59" l="1"/>
  <c r="I12" i="59"/>
  <c r="H12" i="59"/>
  <c r="J11" i="59"/>
  <c r="I11" i="59"/>
  <c r="H11" i="59"/>
  <c r="R23" i="58" l="1"/>
  <c r="G29" i="3"/>
  <c r="G31" i="3" s="1"/>
  <c r="G29" i="58" s="1"/>
  <c r="L29" i="3"/>
  <c r="L31" i="3" s="1"/>
  <c r="L29" i="58" s="1"/>
  <c r="M29" i="3"/>
  <c r="M31" i="3" s="1"/>
  <c r="M29" i="58" s="1"/>
  <c r="N29" i="3"/>
  <c r="N31" i="3" s="1"/>
  <c r="N29" i="58" s="1"/>
  <c r="O29" i="3"/>
  <c r="O31" i="3" s="1"/>
  <c r="O29" i="58" s="1"/>
  <c r="Q29" i="3"/>
  <c r="R29" i="3"/>
  <c r="R31" i="3" s="1"/>
  <c r="R29" i="58" s="1"/>
  <c r="L101" i="63"/>
  <c r="H58" i="94"/>
  <c r="G58" i="94"/>
  <c r="O63" i="94"/>
  <c r="P33" i="94"/>
  <c r="P29" i="3" s="1"/>
  <c r="P31" i="3" s="1"/>
  <c r="P29" i="58" s="1"/>
  <c r="H62" i="94"/>
  <c r="I62" i="94" s="1"/>
  <c r="J62" i="94" s="1"/>
  <c r="K62" i="94" s="1"/>
  <c r="I61" i="94"/>
  <c r="J61" i="94" s="1"/>
  <c r="R67" i="5" l="1"/>
  <c r="S25" i="58"/>
  <c r="W23" i="58"/>
  <c r="J58" i="94"/>
  <c r="I58" i="94"/>
  <c r="K61" i="94"/>
  <c r="L61" i="94" s="1"/>
  <c r="P63" i="94"/>
  <c r="Q63" i="94" s="1"/>
  <c r="M62" i="94"/>
  <c r="N62" i="94" s="1"/>
  <c r="O62" i="94" s="1"/>
  <c r="P62" i="94" s="1"/>
  <c r="R62" i="94" s="1"/>
  <c r="S62" i="94" s="1"/>
  <c r="T62" i="94" s="1"/>
  <c r="U62" i="94" s="1"/>
  <c r="W62" i="94" s="1"/>
  <c r="X62" i="94" s="1"/>
  <c r="Y62" i="94" s="1"/>
  <c r="Z62" i="94" s="1"/>
  <c r="AB62" i="94" s="1"/>
  <c r="AC62" i="94" s="1"/>
  <c r="AD62" i="94" s="1"/>
  <c r="AE62" i="94" s="1"/>
  <c r="AG62" i="94" s="1"/>
  <c r="L62" i="94"/>
  <c r="AB23" i="58" l="1"/>
  <c r="W67" i="5"/>
  <c r="L58" i="94"/>
  <c r="AH62" i="94"/>
  <c r="M61" i="94"/>
  <c r="K58" i="94"/>
  <c r="P64" i="94"/>
  <c r="R64" i="94" s="1"/>
  <c r="S64" i="94" s="1"/>
  <c r="T64" i="94" s="1"/>
  <c r="U64" i="94" s="1"/>
  <c r="W64" i="94" s="1"/>
  <c r="X64" i="94" s="1"/>
  <c r="Y64" i="94" s="1"/>
  <c r="Z64" i="94" s="1"/>
  <c r="AB64" i="94" s="1"/>
  <c r="R63" i="94"/>
  <c r="AF62" i="94"/>
  <c r="AA62" i="94"/>
  <c r="V62" i="94"/>
  <c r="Q62" i="94"/>
  <c r="AB67" i="5" l="1"/>
  <c r="AG23" i="58"/>
  <c r="AG67" i="5" s="1"/>
  <c r="N61" i="94"/>
  <c r="M58" i="94"/>
  <c r="M59" i="94" s="1"/>
  <c r="AI62" i="94"/>
  <c r="AA64" i="94"/>
  <c r="V64" i="94"/>
  <c r="AC64" i="94"/>
  <c r="AD64" i="94" s="1"/>
  <c r="AE64" i="94" s="1"/>
  <c r="AG64" i="94" s="1"/>
  <c r="S63" i="94"/>
  <c r="T63" i="94" s="1"/>
  <c r="U63" i="94" s="1"/>
  <c r="W63" i="94" s="1"/>
  <c r="Q64" i="94"/>
  <c r="AJ62" i="94" l="1"/>
  <c r="AK62" i="94" s="1"/>
  <c r="AF64" i="94"/>
  <c r="O61" i="94"/>
  <c r="N58" i="94"/>
  <c r="N59" i="94" s="1"/>
  <c r="AH64" i="94"/>
  <c r="AI64" i="94" s="1"/>
  <c r="AJ64" i="94" s="1"/>
  <c r="X63" i="94"/>
  <c r="Y63" i="94" s="1"/>
  <c r="Z63" i="94" s="1"/>
  <c r="AB63" i="94" s="1"/>
  <c r="V63" i="94"/>
  <c r="AA63" i="94" l="1"/>
  <c r="P61" i="94"/>
  <c r="Q61" i="94" s="1"/>
  <c r="AC63" i="94"/>
  <c r="AD63" i="94" s="1"/>
  <c r="AE63" i="94" s="1"/>
  <c r="AG63" i="94" s="1"/>
  <c r="AK64" i="94"/>
  <c r="R61" i="94" l="1"/>
  <c r="AF63" i="94"/>
  <c r="AH63" i="94"/>
  <c r="AI63" i="94" l="1"/>
  <c r="S61" i="94"/>
  <c r="F14" i="94"/>
  <c r="H14" i="94"/>
  <c r="I14" i="94"/>
  <c r="J14" i="94"/>
  <c r="K14" i="94"/>
  <c r="N14" i="94"/>
  <c r="O14" i="94"/>
  <c r="T15" i="94" s="1"/>
  <c r="R35" i="94"/>
  <c r="Q34" i="94"/>
  <c r="P35" i="94"/>
  <c r="O35" i="94"/>
  <c r="N34" i="94"/>
  <c r="M35" i="94"/>
  <c r="Q120" i="58"/>
  <c r="L120" i="58"/>
  <c r="O105" i="58"/>
  <c r="O38" i="58" s="1"/>
  <c r="T39" i="58" s="1"/>
  <c r="O104" i="58"/>
  <c r="O103" i="58"/>
  <c r="O102" i="58"/>
  <c r="G98" i="3"/>
  <c r="L98" i="3"/>
  <c r="M98" i="3"/>
  <c r="N98" i="3"/>
  <c r="O98" i="3"/>
  <c r="P98" i="3"/>
  <c r="Q98" i="3"/>
  <c r="R98" i="3"/>
  <c r="M106" i="58"/>
  <c r="M19" i="6" s="1"/>
  <c r="P18" i="94"/>
  <c r="P66" i="94" s="1"/>
  <c r="Q18" i="94"/>
  <c r="N19" i="94"/>
  <c r="M19" i="94"/>
  <c r="R45" i="94"/>
  <c r="P45" i="94"/>
  <c r="O45" i="94"/>
  <c r="K45" i="94"/>
  <c r="R53" i="94"/>
  <c r="P53" i="94"/>
  <c r="O53" i="94"/>
  <c r="K53" i="94"/>
  <c r="R52" i="94"/>
  <c r="P52" i="94"/>
  <c r="O52" i="94"/>
  <c r="K52" i="94"/>
  <c r="R51" i="94"/>
  <c r="P51" i="94"/>
  <c r="O51" i="94"/>
  <c r="K51" i="94"/>
  <c r="R50" i="94"/>
  <c r="P50" i="94"/>
  <c r="O50" i="94"/>
  <c r="K50" i="94"/>
  <c r="K49" i="94"/>
  <c r="O49" i="94"/>
  <c r="P49" i="94"/>
  <c r="R49" i="94"/>
  <c r="M28" i="94"/>
  <c r="N28" i="94"/>
  <c r="N31" i="94" s="1"/>
  <c r="O28" i="94"/>
  <c r="T29" i="94" s="1"/>
  <c r="P28" i="94"/>
  <c r="R28" i="94"/>
  <c r="P42" i="94"/>
  <c r="O42" i="94"/>
  <c r="N42" i="94"/>
  <c r="M42" i="94"/>
  <c r="P41" i="94"/>
  <c r="O41" i="94"/>
  <c r="N41" i="94"/>
  <c r="M41" i="94"/>
  <c r="M40" i="94"/>
  <c r="N40" i="94"/>
  <c r="O40" i="94"/>
  <c r="P40" i="94"/>
  <c r="K44" i="94"/>
  <c r="L21" i="5"/>
  <c r="L20" i="5"/>
  <c r="K115" i="63"/>
  <c r="M44" i="94"/>
  <c r="N44" i="94"/>
  <c r="O44" i="94"/>
  <c r="P44" i="94"/>
  <c r="R44" i="94"/>
  <c r="G10" i="94"/>
  <c r="G31" i="94" s="1"/>
  <c r="L10" i="94"/>
  <c r="L31" i="94" s="1"/>
  <c r="M10" i="94"/>
  <c r="N10" i="94"/>
  <c r="O10" i="94"/>
  <c r="T11" i="94" s="1"/>
  <c r="P10" i="94"/>
  <c r="R10" i="94"/>
  <c r="G23" i="94"/>
  <c r="H23" i="94"/>
  <c r="I23" i="94"/>
  <c r="J23" i="94"/>
  <c r="K23" i="94"/>
  <c r="L23" i="94"/>
  <c r="M23" i="94"/>
  <c r="N23" i="94"/>
  <c r="O23" i="94"/>
  <c r="T24" i="94" s="1"/>
  <c r="P23" i="94"/>
  <c r="Q23" i="94"/>
  <c r="R23" i="94"/>
  <c r="R36" i="94" s="1"/>
  <c r="AK8" i="94"/>
  <c r="AJ8" i="94"/>
  <c r="AI8" i="94"/>
  <c r="AH8" i="94"/>
  <c r="AG8" i="94"/>
  <c r="AF8" i="94"/>
  <c r="AE8" i="94"/>
  <c r="AD8" i="94"/>
  <c r="AC8" i="94"/>
  <c r="AB8" i="94"/>
  <c r="AA8" i="94"/>
  <c r="Z8" i="94"/>
  <c r="Y8" i="94"/>
  <c r="X8" i="94"/>
  <c r="W8" i="94"/>
  <c r="V8" i="94"/>
  <c r="U8" i="94"/>
  <c r="T8" i="94"/>
  <c r="S8" i="94"/>
  <c r="R8" i="94"/>
  <c r="Q8" i="94"/>
  <c r="P8" i="94"/>
  <c r="O8" i="94"/>
  <c r="N8" i="94"/>
  <c r="M8" i="94"/>
  <c r="L8" i="94"/>
  <c r="K8" i="94"/>
  <c r="J8" i="94"/>
  <c r="I8" i="94"/>
  <c r="H8" i="94"/>
  <c r="G8" i="94"/>
  <c r="F8" i="94"/>
  <c r="E8" i="94"/>
  <c r="D8" i="94"/>
  <c r="C8" i="94"/>
  <c r="M31" i="94" l="1"/>
  <c r="R31" i="94"/>
  <c r="P31" i="94"/>
  <c r="O31" i="94"/>
  <c r="L44" i="94"/>
  <c r="R29" i="94"/>
  <c r="R37" i="94"/>
  <c r="P37" i="94"/>
  <c r="M29" i="94"/>
  <c r="M37" i="94"/>
  <c r="O29" i="94"/>
  <c r="O37" i="94"/>
  <c r="U37" i="94"/>
  <c r="W37" i="94" s="1"/>
  <c r="X37" i="94" s="1"/>
  <c r="Y37" i="94" s="1"/>
  <c r="Z37" i="94" s="1"/>
  <c r="AB37" i="94" s="1"/>
  <c r="AC37" i="94" s="1"/>
  <c r="AD37" i="94" s="1"/>
  <c r="AE37" i="94" s="1"/>
  <c r="AG37" i="94" s="1"/>
  <c r="AH37" i="94" s="1"/>
  <c r="AI37" i="94" s="1"/>
  <c r="AJ37" i="94" s="1"/>
  <c r="N29" i="94"/>
  <c r="N37" i="94"/>
  <c r="T61" i="94"/>
  <c r="AJ63" i="94"/>
  <c r="AK63" i="94" s="1"/>
  <c r="P19" i="94"/>
  <c r="Q19" i="94"/>
  <c r="O18" i="94"/>
  <c r="O65" i="94" s="1"/>
  <c r="P65" i="94" s="1"/>
  <c r="O15" i="94"/>
  <c r="N15" i="94"/>
  <c r="Q36" i="94"/>
  <c r="M36" i="94"/>
  <c r="G36" i="94"/>
  <c r="O12" i="94"/>
  <c r="P54" i="94"/>
  <c r="Q54" i="94" s="1"/>
  <c r="L36" i="94"/>
  <c r="O46" i="94"/>
  <c r="K46" i="94"/>
  <c r="L46" i="94" s="1"/>
  <c r="P29" i="94"/>
  <c r="N26" i="94"/>
  <c r="R26" i="94"/>
  <c r="L26" i="94"/>
  <c r="M30" i="94"/>
  <c r="M39" i="94"/>
  <c r="O30" i="94"/>
  <c r="R46" i="94"/>
  <c r="N30" i="94"/>
  <c r="R34" i="94"/>
  <c r="G26" i="94"/>
  <c r="R11" i="94"/>
  <c r="L11" i="94"/>
  <c r="P12" i="94"/>
  <c r="P39" i="94"/>
  <c r="R54" i="94"/>
  <c r="R56" i="94" s="1"/>
  <c r="K54" i="94"/>
  <c r="L54" i="94" s="1"/>
  <c r="O34" i="94"/>
  <c r="N35" i="94"/>
  <c r="M34" i="94"/>
  <c r="N12" i="94"/>
  <c r="P26" i="94"/>
  <c r="P30" i="94"/>
  <c r="O26" i="94"/>
  <c r="R12" i="94"/>
  <c r="P34" i="94"/>
  <c r="M26" i="94"/>
  <c r="O39" i="94"/>
  <c r="P46" i="94"/>
  <c r="Q46" i="94" s="1"/>
  <c r="O54" i="94"/>
  <c r="O56" i="94" s="1"/>
  <c r="R30" i="94"/>
  <c r="N39" i="94"/>
  <c r="M25" i="94"/>
  <c r="M24" i="94"/>
  <c r="P24" i="94"/>
  <c r="P25" i="94"/>
  <c r="R24" i="94"/>
  <c r="R25" i="94"/>
  <c r="R124" i="42"/>
  <c r="P56" i="94" l="1"/>
  <c r="Q56" i="94" s="1"/>
  <c r="U61" i="94"/>
  <c r="Q66" i="94"/>
  <c r="R66" i="94" s="1"/>
  <c r="O58" i="94"/>
  <c r="O59" i="94" s="1"/>
  <c r="O19" i="94"/>
  <c r="K56" i="94"/>
  <c r="L56" i="94" s="1"/>
  <c r="Q24" i="94"/>
  <c r="O25" i="94"/>
  <c r="O24" i="94"/>
  <c r="N25" i="94"/>
  <c r="N24" i="94"/>
  <c r="G124" i="42"/>
  <c r="L124" i="42"/>
  <c r="M124" i="42"/>
  <c r="N124" i="42"/>
  <c r="O124" i="42"/>
  <c r="P124" i="42"/>
  <c r="W61" i="94" l="1"/>
  <c r="V61" i="94"/>
  <c r="S66" i="94"/>
  <c r="T66" i="94" s="1"/>
  <c r="U66" i="94" s="1"/>
  <c r="W66" i="94" s="1"/>
  <c r="P125" i="42"/>
  <c r="Q125" i="42" s="1"/>
  <c r="R125" i="42"/>
  <c r="Q29" i="42"/>
  <c r="M29" i="42"/>
  <c r="L29" i="42"/>
  <c r="R29" i="42"/>
  <c r="Q91" i="42"/>
  <c r="L32" i="42"/>
  <c r="L48" i="42"/>
  <c r="K45" i="42"/>
  <c r="L45" i="42" s="1"/>
  <c r="L39" i="42"/>
  <c r="K36" i="42"/>
  <c r="Q48" i="42"/>
  <c r="Q39" i="42"/>
  <c r="P45" i="42"/>
  <c r="Q45" i="42" s="1"/>
  <c r="M53" i="42"/>
  <c r="R53" i="42"/>
  <c r="AG142" i="42"/>
  <c r="AH142" i="42"/>
  <c r="AI142" i="42"/>
  <c r="AJ142" i="42"/>
  <c r="AK142" i="42"/>
  <c r="P86" i="42"/>
  <c r="K86" i="42"/>
  <c r="O85" i="42"/>
  <c r="N85" i="42"/>
  <c r="K85" i="42"/>
  <c r="P84" i="42"/>
  <c r="O84" i="42"/>
  <c r="N84" i="42"/>
  <c r="M84" i="42"/>
  <c r="K84" i="42"/>
  <c r="Q83" i="42"/>
  <c r="L83" i="42"/>
  <c r="G83" i="42"/>
  <c r="R45" i="42"/>
  <c r="S47" i="42" s="1"/>
  <c r="R51" i="42"/>
  <c r="R72" i="42"/>
  <c r="R65" i="42"/>
  <c r="R78" i="42"/>
  <c r="J47" i="42"/>
  <c r="I47" i="42"/>
  <c r="H47" i="42"/>
  <c r="J46" i="42"/>
  <c r="I46" i="42"/>
  <c r="H46" i="42"/>
  <c r="K52" i="42"/>
  <c r="J52" i="42"/>
  <c r="I52" i="42"/>
  <c r="H52" i="42"/>
  <c r="K51" i="42"/>
  <c r="J51" i="42"/>
  <c r="I51" i="42"/>
  <c r="H51" i="42"/>
  <c r="M46" i="63"/>
  <c r="M14" i="94" s="1"/>
  <c r="M15" i="94" s="1"/>
  <c r="R65" i="94" l="1"/>
  <c r="P58" i="94"/>
  <c r="P59" i="94" s="1"/>
  <c r="Q65" i="94"/>
  <c r="X61" i="94"/>
  <c r="X66" i="94"/>
  <c r="Y66" i="94" s="1"/>
  <c r="Z66" i="94" s="1"/>
  <c r="AB66" i="94" s="1"/>
  <c r="V66" i="94"/>
  <c r="R47" i="42"/>
  <c r="Q46" i="42"/>
  <c r="P46" i="42"/>
  <c r="L36" i="42"/>
  <c r="Q84" i="42"/>
  <c r="Q86" i="42"/>
  <c r="L84" i="42"/>
  <c r="L86" i="42"/>
  <c r="AA66" i="94" l="1"/>
  <c r="Q58" i="94"/>
  <c r="Q59" i="94" s="1"/>
  <c r="S65" i="94"/>
  <c r="Y61" i="94"/>
  <c r="AC66" i="94"/>
  <c r="AD66" i="94" s="1"/>
  <c r="AE66" i="94" s="1"/>
  <c r="AG66" i="94" s="1"/>
  <c r="P46" i="63"/>
  <c r="P14" i="94" s="1"/>
  <c r="P15" i="94" s="1"/>
  <c r="T65" i="94" l="1"/>
  <c r="Z61" i="94"/>
  <c r="AF66" i="94"/>
  <c r="AH66" i="94"/>
  <c r="AI66" i="94" s="1"/>
  <c r="AJ66" i="94" s="1"/>
  <c r="O74" i="63"/>
  <c r="N74" i="63"/>
  <c r="M74" i="63"/>
  <c r="P75" i="63"/>
  <c r="Q116" i="63"/>
  <c r="Q45" i="94" s="1"/>
  <c r="L116" i="63"/>
  <c r="L45" i="94" s="1"/>
  <c r="AK91" i="58"/>
  <c r="AJ91" i="58"/>
  <c r="AI91" i="58"/>
  <c r="AH91" i="58"/>
  <c r="AG91" i="58"/>
  <c r="AF91" i="58"/>
  <c r="AE91" i="58"/>
  <c r="AD91" i="58"/>
  <c r="AC91" i="58"/>
  <c r="AB91" i="58"/>
  <c r="AA91" i="58"/>
  <c r="Z91" i="58"/>
  <c r="Y91" i="58"/>
  <c r="X91" i="58"/>
  <c r="W91" i="58"/>
  <c r="V91" i="58"/>
  <c r="U91" i="58"/>
  <c r="S91" i="58"/>
  <c r="R91" i="58"/>
  <c r="G39" i="7"/>
  <c r="L39" i="7"/>
  <c r="M39" i="7"/>
  <c r="P39" i="7"/>
  <c r="Q39" i="7"/>
  <c r="R39" i="7"/>
  <c r="AB61" i="94" l="1"/>
  <c r="AK66" i="94"/>
  <c r="AA61" i="94"/>
  <c r="U65" i="94"/>
  <c r="W65" i="94" l="1"/>
  <c r="V65" i="94"/>
  <c r="AC61" i="94"/>
  <c r="Q68" i="6"/>
  <c r="Q67" i="6"/>
  <c r="Q65" i="6"/>
  <c r="G91" i="6"/>
  <c r="M91" i="6"/>
  <c r="L91" i="6"/>
  <c r="Q41" i="6"/>
  <c r="L48" i="6"/>
  <c r="L43" i="6"/>
  <c r="L41" i="6"/>
  <c r="L30" i="6"/>
  <c r="L20" i="6"/>
  <c r="L17" i="6"/>
  <c r="Q17" i="6"/>
  <c r="AD61" i="94" l="1"/>
  <c r="X65" i="94"/>
  <c r="Y65" i="94" l="1"/>
  <c r="AE61" i="94"/>
  <c r="AF61" i="94" s="1"/>
  <c r="G100" i="6"/>
  <c r="G102" i="6"/>
  <c r="G105" i="6"/>
  <c r="G114" i="6"/>
  <c r="G113" i="6"/>
  <c r="G106" i="6"/>
  <c r="G108" i="6"/>
  <c r="G111" i="6"/>
  <c r="G112" i="6"/>
  <c r="G115" i="6"/>
  <c r="G117" i="6"/>
  <c r="G118" i="6"/>
  <c r="L118" i="6"/>
  <c r="L115" i="6"/>
  <c r="L114" i="6"/>
  <c r="L112" i="6"/>
  <c r="L111" i="6"/>
  <c r="L108" i="6"/>
  <c r="L106" i="6"/>
  <c r="L102" i="6"/>
  <c r="L103" i="6"/>
  <c r="L104" i="6"/>
  <c r="Q104" i="6"/>
  <c r="Q106" i="6"/>
  <c r="Q108" i="6"/>
  <c r="Q111" i="6"/>
  <c r="Q114" i="6"/>
  <c r="Q113" i="6"/>
  <c r="G87" i="58"/>
  <c r="G86" i="58"/>
  <c r="L87" i="58"/>
  <c r="L86" i="58"/>
  <c r="M87" i="58"/>
  <c r="M86" i="58"/>
  <c r="G81" i="6"/>
  <c r="G80" i="6"/>
  <c r="G84" i="6" s="1"/>
  <c r="G72" i="6"/>
  <c r="L72" i="6"/>
  <c r="G51" i="6"/>
  <c r="G53" i="6" s="1"/>
  <c r="L52" i="6"/>
  <c r="N52" i="6" s="1"/>
  <c r="N53" i="6" s="1"/>
  <c r="L51" i="6"/>
  <c r="L35" i="6"/>
  <c r="N35" i="6" s="1"/>
  <c r="Z65" i="94" l="1"/>
  <c r="L53" i="6"/>
  <c r="G11" i="6"/>
  <c r="L11" i="6"/>
  <c r="AB65" i="94" l="1"/>
  <c r="AA65" i="94"/>
  <c r="AC65" i="94" l="1"/>
  <c r="AD65" i="94" l="1"/>
  <c r="AE65" i="94" l="1"/>
  <c r="AG65" i="94" l="1"/>
  <c r="AF65" i="94"/>
  <c r="AH65" i="94" l="1"/>
  <c r="AI65" i="94" l="1"/>
  <c r="AJ65" i="94" l="1"/>
  <c r="AK65" i="94" l="1"/>
  <c r="U96" i="5" l="1"/>
  <c r="X81" i="6"/>
  <c r="Y81" i="6" s="1"/>
  <c r="Z81" i="6" s="1"/>
  <c r="AB81" i="6" s="1"/>
  <c r="X80" i="6"/>
  <c r="Y80" i="6" s="1"/>
  <c r="Z80" i="6" s="1"/>
  <c r="AB80" i="6" s="1"/>
  <c r="G46" i="63" l="1"/>
  <c r="G14" i="94" s="1"/>
  <c r="L46" i="63"/>
  <c r="Q46" i="63"/>
  <c r="Q14" i="94" s="1"/>
  <c r="K59" i="63"/>
  <c r="L59" i="63" s="1"/>
  <c r="R59" i="63"/>
  <c r="S61" i="63" s="1"/>
  <c r="P59" i="63"/>
  <c r="O59" i="63"/>
  <c r="O38" i="63"/>
  <c r="N38" i="63"/>
  <c r="M38" i="63"/>
  <c r="O37" i="63"/>
  <c r="N37" i="63"/>
  <c r="M37" i="63"/>
  <c r="O36" i="63"/>
  <c r="N36" i="63"/>
  <c r="M36" i="63"/>
  <c r="O35" i="63"/>
  <c r="N35" i="63"/>
  <c r="M35" i="63"/>
  <c r="T60" i="63" l="1"/>
  <c r="T62" i="63"/>
  <c r="L14" i="94"/>
  <c r="Q15" i="94" s="1"/>
  <c r="L47" i="63"/>
  <c r="P41" i="63"/>
  <c r="P125" i="63"/>
  <c r="Q125" i="63" s="1"/>
  <c r="Q124" i="63"/>
  <c r="Q53" i="94" s="1"/>
  <c r="Q123" i="63"/>
  <c r="Q52" i="94" s="1"/>
  <c r="Q122" i="63"/>
  <c r="Q51" i="94" s="1"/>
  <c r="Q121" i="63"/>
  <c r="Q50" i="94" s="1"/>
  <c r="Q120" i="63"/>
  <c r="Q49" i="94" s="1"/>
  <c r="R15" i="59"/>
  <c r="R106" i="58"/>
  <c r="R112" i="42"/>
  <c r="R107" i="42"/>
  <c r="R166" i="59"/>
  <c r="S157" i="59"/>
  <c r="T157" i="59" s="1"/>
  <c r="U157" i="59" s="1"/>
  <c r="W157" i="59" s="1"/>
  <c r="X157" i="59" s="1"/>
  <c r="R155" i="59"/>
  <c r="S156" i="59"/>
  <c r="T156" i="59" s="1"/>
  <c r="U156" i="59" s="1"/>
  <c r="W156" i="59" s="1"/>
  <c r="X156" i="59" s="1"/>
  <c r="Y156" i="59" s="1"/>
  <c r="Z156" i="59" s="1"/>
  <c r="AB156" i="59" s="1"/>
  <c r="AC156" i="59" s="1"/>
  <c r="AD156" i="59" s="1"/>
  <c r="AE156" i="59" s="1"/>
  <c r="AG156" i="59" s="1"/>
  <c r="AH156" i="59" s="1"/>
  <c r="AI156" i="59" s="1"/>
  <c r="AJ156" i="59" s="1"/>
  <c r="R110" i="59"/>
  <c r="AH111" i="59"/>
  <c r="AI111" i="59" s="1"/>
  <c r="AJ111" i="59" s="1"/>
  <c r="AC111" i="59"/>
  <c r="AD111" i="59" s="1"/>
  <c r="X111" i="59"/>
  <c r="Y111" i="59" s="1"/>
  <c r="P110" i="59"/>
  <c r="O110" i="59"/>
  <c r="S111" i="59"/>
  <c r="T111" i="59" s="1"/>
  <c r="U111" i="59" s="1"/>
  <c r="AH96" i="59"/>
  <c r="AI96" i="59" s="1"/>
  <c r="AC96" i="59"/>
  <c r="AD96" i="59" s="1"/>
  <c r="AE96" i="59" s="1"/>
  <c r="X96" i="59"/>
  <c r="Y96" i="59" s="1"/>
  <c r="R95" i="59"/>
  <c r="S96" i="59"/>
  <c r="T96" i="59" s="1"/>
  <c r="P95" i="59"/>
  <c r="O95" i="59"/>
  <c r="N95" i="59"/>
  <c r="M95" i="59"/>
  <c r="K95" i="59"/>
  <c r="M23" i="59"/>
  <c r="N23" i="59"/>
  <c r="O23" i="59"/>
  <c r="P23" i="59"/>
  <c r="R23" i="59"/>
  <c r="AA162" i="59"/>
  <c r="V162" i="59"/>
  <c r="T44" i="59" s="1"/>
  <c r="AH161" i="59"/>
  <c r="AC161" i="59"/>
  <c r="AD161" i="59" s="1"/>
  <c r="X161" i="59"/>
  <c r="Y161" i="59" s="1"/>
  <c r="U161" i="59"/>
  <c r="Q160" i="59"/>
  <c r="L160" i="59"/>
  <c r="R55" i="3"/>
  <c r="R93" i="63"/>
  <c r="R115" i="63"/>
  <c r="R117" i="63" s="1"/>
  <c r="R22" i="5"/>
  <c r="R125" i="63"/>
  <c r="R36" i="42"/>
  <c r="S38" i="42" s="1"/>
  <c r="U84" i="6"/>
  <c r="W84" i="6"/>
  <c r="X84" i="6"/>
  <c r="Y84" i="6"/>
  <c r="Z84" i="6"/>
  <c r="AB84" i="6"/>
  <c r="U52" i="5"/>
  <c r="V52" i="5" s="1"/>
  <c r="W52" i="5" s="1"/>
  <c r="X52" i="5" s="1"/>
  <c r="Y52" i="5" s="1"/>
  <c r="Z52" i="5" s="1"/>
  <c r="AA52" i="5" s="1"/>
  <c r="AB52" i="5" s="1"/>
  <c r="AC52" i="5" s="1"/>
  <c r="AD52" i="5" s="1"/>
  <c r="AE52" i="5" s="1"/>
  <c r="AF52" i="5" s="1"/>
  <c r="AG52" i="5" s="1"/>
  <c r="AH52" i="5" s="1"/>
  <c r="AI52" i="5" s="1"/>
  <c r="AJ52" i="5" s="1"/>
  <c r="AK52" i="5" s="1"/>
  <c r="AH16" i="63"/>
  <c r="AI16" i="63" s="1"/>
  <c r="R46" i="63"/>
  <c r="R14" i="94" s="1"/>
  <c r="U50" i="5"/>
  <c r="V50" i="5" s="1"/>
  <c r="W50" i="5" s="1"/>
  <c r="X50" i="5" s="1"/>
  <c r="Y50" i="5" s="1"/>
  <c r="Z50" i="5" s="1"/>
  <c r="AA50" i="5" s="1"/>
  <c r="AB50" i="5" s="1"/>
  <c r="AC50" i="5" s="1"/>
  <c r="AD50" i="5" s="1"/>
  <c r="AE50" i="5" s="1"/>
  <c r="AF50" i="5" s="1"/>
  <c r="AG50" i="5" s="1"/>
  <c r="AH50" i="5" s="1"/>
  <c r="AI50" i="5" s="1"/>
  <c r="AJ50" i="5" s="1"/>
  <c r="AK50" i="5" s="1"/>
  <c r="L50" i="5"/>
  <c r="Q50" i="5"/>
  <c r="AH32" i="7"/>
  <c r="AK8" i="7"/>
  <c r="AJ8" i="7"/>
  <c r="AI8" i="7"/>
  <c r="AH8" i="7"/>
  <c r="AG8" i="7"/>
  <c r="AH185" i="59"/>
  <c r="AK184" i="59"/>
  <c r="AH206" i="59"/>
  <c r="AI206" i="59" s="1"/>
  <c r="AJ206" i="59" s="1"/>
  <c r="AH146" i="59"/>
  <c r="AH143" i="59"/>
  <c r="AK101" i="59"/>
  <c r="AH100" i="59"/>
  <c r="AI91" i="59"/>
  <c r="AK8" i="59"/>
  <c r="AJ8" i="59"/>
  <c r="AI8" i="59"/>
  <c r="AH8" i="59"/>
  <c r="AG8" i="59"/>
  <c r="AK70" i="6"/>
  <c r="AK64" i="6"/>
  <c r="AK63" i="6"/>
  <c r="AK61" i="6"/>
  <c r="AK57" i="6"/>
  <c r="AK69" i="6"/>
  <c r="AK49" i="6"/>
  <c r="AK45" i="6"/>
  <c r="AK44" i="6"/>
  <c r="AK43" i="6"/>
  <c r="AK42" i="6"/>
  <c r="AK41" i="6"/>
  <c r="AK31" i="6"/>
  <c r="AK22" i="6"/>
  <c r="AK15" i="6"/>
  <c r="AK20" i="6"/>
  <c r="AK18" i="6"/>
  <c r="AJ17" i="6"/>
  <c r="AI17" i="6"/>
  <c r="AH17" i="6"/>
  <c r="AG17" i="6"/>
  <c r="AK11" i="6"/>
  <c r="AJ11" i="6"/>
  <c r="AI11" i="6"/>
  <c r="AH11" i="6"/>
  <c r="AG11" i="6"/>
  <c r="AK8" i="6"/>
  <c r="AJ8" i="6"/>
  <c r="AI8" i="6"/>
  <c r="AH8" i="6"/>
  <c r="AG8" i="6"/>
  <c r="AH108" i="5"/>
  <c r="AI108" i="5" s="1"/>
  <c r="AH96" i="5"/>
  <c r="AI96" i="5" s="1"/>
  <c r="AJ96" i="5" s="1"/>
  <c r="AK94" i="5"/>
  <c r="AG94" i="5"/>
  <c r="AK93" i="5"/>
  <c r="AG93" i="5"/>
  <c r="AK88" i="5"/>
  <c r="AJ88" i="5"/>
  <c r="AI88" i="5"/>
  <c r="AH88" i="5"/>
  <c r="AG88" i="5"/>
  <c r="AH86" i="5"/>
  <c r="AK75" i="5"/>
  <c r="AJ75" i="5"/>
  <c r="AI75" i="5"/>
  <c r="AH75" i="5"/>
  <c r="AG75" i="5"/>
  <c r="AK8" i="5"/>
  <c r="AJ8" i="5"/>
  <c r="AI8" i="5"/>
  <c r="AH8" i="5"/>
  <c r="AG8" i="5"/>
  <c r="AH35" i="58"/>
  <c r="AI35" i="58" s="1"/>
  <c r="AJ35" i="58" s="1"/>
  <c r="AK8" i="58"/>
  <c r="AJ8" i="58"/>
  <c r="AI8" i="58"/>
  <c r="AH8" i="58"/>
  <c r="AG8" i="58"/>
  <c r="AK8" i="3"/>
  <c r="AJ8" i="3"/>
  <c r="AI8" i="3"/>
  <c r="AH8" i="3"/>
  <c r="AG8" i="3"/>
  <c r="AK18" i="42"/>
  <c r="AK17" i="42"/>
  <c r="AG16" i="42"/>
  <c r="AK14" i="42"/>
  <c r="AK8" i="42"/>
  <c r="AJ8" i="42"/>
  <c r="AI8" i="42"/>
  <c r="AH8" i="42"/>
  <c r="AG8" i="42"/>
  <c r="AH96" i="63"/>
  <c r="AI96" i="63" s="1"/>
  <c r="AH91" i="63"/>
  <c r="AI91" i="63" s="1"/>
  <c r="AJ88" i="63"/>
  <c r="AH88" i="63"/>
  <c r="AH85" i="63"/>
  <c r="AH83" i="63"/>
  <c r="AI83" i="63" s="1"/>
  <c r="AI56" i="63"/>
  <c r="AJ56" i="63" s="1"/>
  <c r="AG17" i="63"/>
  <c r="AG17" i="42" s="1"/>
  <c r="AK8" i="63"/>
  <c r="AJ8" i="63"/>
  <c r="AI8" i="63"/>
  <c r="AH8" i="63"/>
  <c r="AG8" i="63"/>
  <c r="U96" i="59" l="1"/>
  <c r="T95" i="59"/>
  <c r="R161" i="59"/>
  <c r="V161" i="59" s="1"/>
  <c r="R165" i="59"/>
  <c r="AI143" i="59"/>
  <c r="R15" i="94"/>
  <c r="R16" i="94"/>
  <c r="R111" i="58"/>
  <c r="R19" i="6"/>
  <c r="R41" i="63"/>
  <c r="AH17" i="63"/>
  <c r="AH17" i="42" s="1"/>
  <c r="AH16" i="42"/>
  <c r="S155" i="59"/>
  <c r="AJ16" i="63"/>
  <c r="AJ16" i="42" s="1"/>
  <c r="AI16" i="42"/>
  <c r="AI17" i="63"/>
  <c r="AI17" i="42" s="1"/>
  <c r="R108" i="58"/>
  <c r="R109" i="58"/>
  <c r="R110" i="58"/>
  <c r="Y157" i="59"/>
  <c r="Z157" i="59" s="1"/>
  <c r="X155" i="59"/>
  <c r="W155" i="59"/>
  <c r="U155" i="59"/>
  <c r="T155" i="59"/>
  <c r="Q23" i="59"/>
  <c r="AE111" i="59"/>
  <c r="Z111" i="59"/>
  <c r="AJ96" i="59"/>
  <c r="Z96" i="59"/>
  <c r="AE161" i="59"/>
  <c r="AF161" i="59" s="1"/>
  <c r="Z161" i="59"/>
  <c r="AA161" i="59" s="1"/>
  <c r="AI161" i="59"/>
  <c r="AJ161" i="59" s="1"/>
  <c r="AI90" i="59"/>
  <c r="AJ91" i="59"/>
  <c r="AJ90" i="59" s="1"/>
  <c r="AI35" i="59" s="1"/>
  <c r="AH90" i="59"/>
  <c r="AK206" i="59"/>
  <c r="S40" i="58"/>
  <c r="AK17" i="6"/>
  <c r="AI32" i="7"/>
  <c r="AI100" i="59"/>
  <c r="AI146" i="59"/>
  <c r="AI185" i="59"/>
  <c r="AJ185" i="59" s="1"/>
  <c r="AI86" i="5"/>
  <c r="AJ108" i="5"/>
  <c r="AK108" i="5" s="1"/>
  <c r="AJ96" i="63"/>
  <c r="AJ83" i="63"/>
  <c r="AJ91" i="63"/>
  <c r="AI85" i="63"/>
  <c r="T166" i="59" l="1"/>
  <c r="AH35" i="59"/>
  <c r="AG35" i="59"/>
  <c r="AJ143" i="59"/>
  <c r="S166" i="59"/>
  <c r="AK161" i="59"/>
  <c r="Y155" i="59"/>
  <c r="AK16" i="63"/>
  <c r="AK16" i="42" s="1"/>
  <c r="AJ17" i="63"/>
  <c r="AJ17" i="42" s="1"/>
  <c r="Z155" i="59"/>
  <c r="AB157" i="59"/>
  <c r="U160" i="59"/>
  <c r="AK185" i="59"/>
  <c r="AJ32" i="7"/>
  <c r="AJ146" i="59"/>
  <c r="AJ100" i="59"/>
  <c r="AJ86" i="5"/>
  <c r="AK91" i="63"/>
  <c r="AJ85" i="63"/>
  <c r="AK96" i="63"/>
  <c r="U165" i="59" l="1"/>
  <c r="V165" i="59" s="1"/>
  <c r="AK100" i="59"/>
  <c r="AC157" i="59"/>
  <c r="AB155" i="59"/>
  <c r="V160" i="59"/>
  <c r="V23" i="59" s="1"/>
  <c r="U23" i="59"/>
  <c r="AK85" i="63"/>
  <c r="U164" i="59" l="1"/>
  <c r="V164" i="59" s="1"/>
  <c r="W160" i="59"/>
  <c r="AD157" i="59"/>
  <c r="AC155" i="59"/>
  <c r="U166" i="59" l="1"/>
  <c r="V166" i="59" s="1"/>
  <c r="W23" i="59"/>
  <c r="W165" i="59"/>
  <c r="X160" i="59"/>
  <c r="AE157" i="59"/>
  <c r="AD155" i="59"/>
  <c r="X23" i="59" l="1"/>
  <c r="X165" i="59"/>
  <c r="W164" i="59"/>
  <c r="Y160" i="59"/>
  <c r="AE155" i="59"/>
  <c r="AG157" i="59"/>
  <c r="W166" i="59" l="1"/>
  <c r="X164" i="59"/>
  <c r="Y23" i="59"/>
  <c r="Y165" i="59"/>
  <c r="Z160" i="59"/>
  <c r="AH157" i="59"/>
  <c r="AG155" i="59"/>
  <c r="Y164" i="59" l="1"/>
  <c r="X166" i="59"/>
  <c r="AA160" i="59"/>
  <c r="AA23" i="59" s="1"/>
  <c r="Z165" i="59"/>
  <c r="AA165" i="59" s="1"/>
  <c r="Z23" i="59"/>
  <c r="AI157" i="59"/>
  <c r="AH155" i="59"/>
  <c r="AB160" i="59" l="1"/>
  <c r="AC160" i="59" s="1"/>
  <c r="Z164" i="59"/>
  <c r="Y166" i="59"/>
  <c r="AI155" i="59"/>
  <c r="AJ157" i="59"/>
  <c r="AJ155" i="59" s="1"/>
  <c r="AC23" i="59" l="1"/>
  <c r="AC165" i="59"/>
  <c r="Z166" i="59"/>
  <c r="AA166" i="59" s="1"/>
  <c r="AA164" i="59"/>
  <c r="AB23" i="59"/>
  <c r="AB165" i="59"/>
  <c r="AD160" i="59"/>
  <c r="AB164" i="59" l="1"/>
  <c r="AC164" i="59" s="1"/>
  <c r="AC166" i="59" s="1"/>
  <c r="AD23" i="59"/>
  <c r="AD165" i="59"/>
  <c r="AE160" i="59"/>
  <c r="AD164" i="59" l="1"/>
  <c r="AD166" i="59" s="1"/>
  <c r="AB166" i="59"/>
  <c r="AF160" i="59"/>
  <c r="AF23" i="59" s="1"/>
  <c r="AE165" i="59"/>
  <c r="AE23" i="59"/>
  <c r="AE164" i="59" l="1"/>
  <c r="AF164" i="59" s="1"/>
  <c r="AF165" i="59"/>
  <c r="AG160" i="59"/>
  <c r="AH160" i="59" s="1"/>
  <c r="AE166" i="59" l="1"/>
  <c r="AF166" i="59" s="1"/>
  <c r="AH23" i="59"/>
  <c r="AH165" i="59"/>
  <c r="AG23" i="59"/>
  <c r="AG165" i="59"/>
  <c r="AI160" i="59"/>
  <c r="AI23" i="59" l="1"/>
  <c r="AI165" i="59"/>
  <c r="AG164" i="59"/>
  <c r="AJ160" i="59"/>
  <c r="AK160" i="59" l="1"/>
  <c r="AK23" i="59" s="1"/>
  <c r="AJ165" i="59"/>
  <c r="AK165" i="59" s="1"/>
  <c r="AH164" i="59"/>
  <c r="AG166" i="59"/>
  <c r="AJ23" i="59"/>
  <c r="AI164" i="59" l="1"/>
  <c r="AH166" i="59"/>
  <c r="R23" i="7"/>
  <c r="R15" i="7"/>
  <c r="R81" i="6"/>
  <c r="R80" i="6"/>
  <c r="R79" i="6"/>
  <c r="R113" i="5"/>
  <c r="R106" i="5"/>
  <c r="R105" i="5"/>
  <c r="R104" i="5"/>
  <c r="R99" i="5"/>
  <c r="R98" i="5"/>
  <c r="R97" i="5"/>
  <c r="R91" i="5"/>
  <c r="R88" i="5"/>
  <c r="R84" i="5"/>
  <c r="R83" i="5"/>
  <c r="R78" i="5"/>
  <c r="R75" i="5"/>
  <c r="R70" i="5"/>
  <c r="R69" i="5"/>
  <c r="R68" i="5"/>
  <c r="R112" i="5" s="1"/>
  <c r="R66" i="5"/>
  <c r="R128" i="58"/>
  <c r="R57" i="58"/>
  <c r="R54" i="58"/>
  <c r="R32" i="58"/>
  <c r="R14" i="58"/>
  <c r="S16" i="58" s="1"/>
  <c r="R45" i="3"/>
  <c r="S47" i="3" s="1"/>
  <c r="R16" i="3"/>
  <c r="R15" i="3"/>
  <c r="R14" i="63"/>
  <c r="R13" i="63"/>
  <c r="R43" i="63" s="1"/>
  <c r="R12" i="63"/>
  <c r="R11" i="63"/>
  <c r="S25" i="7" l="1"/>
  <c r="S27" i="7"/>
  <c r="S19" i="7"/>
  <c r="S17" i="7"/>
  <c r="AJ164" i="59"/>
  <c r="AI166" i="59"/>
  <c r="R130" i="42"/>
  <c r="S34" i="58"/>
  <c r="R84" i="6"/>
  <c r="R82" i="6"/>
  <c r="S76" i="6" s="1"/>
  <c r="R65" i="5"/>
  <c r="R96" i="5" s="1"/>
  <c r="R31" i="7"/>
  <c r="R100" i="5"/>
  <c r="R71" i="5"/>
  <c r="R43" i="58"/>
  <c r="S45" i="58" s="1"/>
  <c r="S35" i="7" l="1"/>
  <c r="S33" i="7"/>
  <c r="AK164" i="59"/>
  <c r="AJ166" i="59"/>
  <c r="AK166" i="59" s="1"/>
  <c r="R20" i="7"/>
  <c r="R28" i="7"/>
  <c r="P34" i="42" l="1"/>
  <c r="R87" i="58" l="1"/>
  <c r="S88" i="58" s="1"/>
  <c r="R86" i="58"/>
  <c r="P71" i="42" l="1"/>
  <c r="O71" i="42"/>
  <c r="N71" i="42"/>
  <c r="M71" i="42"/>
  <c r="L71" i="42"/>
  <c r="K71" i="42"/>
  <c r="Q70" i="42"/>
  <c r="S72" i="42" s="1"/>
  <c r="P79" i="42"/>
  <c r="K79" i="42"/>
  <c r="P66" i="42"/>
  <c r="K66" i="42"/>
  <c r="P59" i="42"/>
  <c r="K59" i="42"/>
  <c r="P64" i="42"/>
  <c r="Q63" i="42"/>
  <c r="S65" i="42" s="1"/>
  <c r="L63" i="42"/>
  <c r="G63" i="42"/>
  <c r="P57" i="42"/>
  <c r="G56" i="42"/>
  <c r="L56" i="42"/>
  <c r="G76" i="42"/>
  <c r="L76" i="42"/>
  <c r="Q76" i="42"/>
  <c r="P77" i="42"/>
  <c r="O78" i="42"/>
  <c r="N78" i="42"/>
  <c r="K78" i="42"/>
  <c r="O77" i="42"/>
  <c r="N77" i="42"/>
  <c r="M77" i="42"/>
  <c r="K77" i="42"/>
  <c r="K65" i="42"/>
  <c r="K64" i="42"/>
  <c r="Q32" i="42"/>
  <c r="Q56" i="42"/>
  <c r="O58" i="42"/>
  <c r="N58" i="42"/>
  <c r="K58" i="42"/>
  <c r="O57" i="42"/>
  <c r="N57" i="42"/>
  <c r="M57" i="42"/>
  <c r="K57" i="42"/>
  <c r="P36" i="42"/>
  <c r="L79" i="42" l="1"/>
  <c r="L57" i="42"/>
  <c r="Q59" i="42"/>
  <c r="Q57" i="42"/>
  <c r="L64" i="42"/>
  <c r="R74" i="42"/>
  <c r="Q79" i="42"/>
  <c r="R79" i="42"/>
  <c r="L59" i="42"/>
  <c r="Q64" i="42"/>
  <c r="R67" i="42"/>
  <c r="L66" i="42"/>
  <c r="Q71" i="42"/>
  <c r="Q66" i="42"/>
  <c r="Q77" i="42"/>
  <c r="R34" i="42"/>
  <c r="Q33" i="42"/>
  <c r="Q36" i="42"/>
  <c r="L77" i="42"/>
  <c r="R38" i="42" l="1"/>
  <c r="Q112" i="42" l="1"/>
  <c r="Q107" i="42"/>
  <c r="Q87" i="58" l="1"/>
  <c r="Q86" i="58"/>
  <c r="X88" i="58" l="1"/>
  <c r="Y88" i="58" s="1"/>
  <c r="Z88" i="58" s="1"/>
  <c r="AB88" i="58" s="1"/>
  <c r="AC88" i="58" s="1"/>
  <c r="AD88" i="58" s="1"/>
  <c r="AE88" i="58" s="1"/>
  <c r="AG88" i="58" s="1"/>
  <c r="AA171" i="59"/>
  <c r="AA207" i="59"/>
  <c r="AH88" i="58" l="1"/>
  <c r="AI88" i="58" s="1"/>
  <c r="AJ88" i="58" s="1"/>
  <c r="U86" i="58"/>
  <c r="W86" i="58" s="1"/>
  <c r="V86" i="58" l="1"/>
  <c r="U88" i="3"/>
  <c r="U87" i="58"/>
  <c r="W88" i="3"/>
  <c r="X86" i="58"/>
  <c r="V88" i="3" l="1"/>
  <c r="Y86" i="58"/>
  <c r="X88" i="3"/>
  <c r="U89" i="3"/>
  <c r="W87" i="58"/>
  <c r="V87" i="58"/>
  <c r="R41" i="83"/>
  <c r="Q41" i="83"/>
  <c r="P41" i="83"/>
  <c r="O41" i="83"/>
  <c r="N41" i="83"/>
  <c r="E13" i="83" s="1"/>
  <c r="M41" i="83"/>
  <c r="L41" i="83"/>
  <c r="R40" i="83"/>
  <c r="Q40" i="83"/>
  <c r="P40" i="83"/>
  <c r="O40" i="83"/>
  <c r="N40" i="83"/>
  <c r="M40" i="83"/>
  <c r="L40" i="83"/>
  <c r="R37" i="83"/>
  <c r="Q37" i="83"/>
  <c r="P37" i="83"/>
  <c r="O37" i="83"/>
  <c r="N37" i="83"/>
  <c r="M37" i="83"/>
  <c r="L37" i="83"/>
  <c r="R35" i="83"/>
  <c r="Q35" i="83"/>
  <c r="P35" i="83"/>
  <c r="O35" i="83"/>
  <c r="N35" i="83"/>
  <c r="M35" i="83"/>
  <c r="L35" i="83"/>
  <c r="R33" i="83"/>
  <c r="Q33" i="83"/>
  <c r="P33" i="83"/>
  <c r="O33" i="83"/>
  <c r="N33" i="83"/>
  <c r="M33" i="83"/>
  <c r="L33" i="83"/>
  <c r="R32" i="83"/>
  <c r="Q32" i="83"/>
  <c r="P32" i="83"/>
  <c r="O32" i="83"/>
  <c r="N32" i="83"/>
  <c r="M32" i="83"/>
  <c r="L32" i="83"/>
  <c r="R30" i="83"/>
  <c r="Q30" i="83"/>
  <c r="P30" i="83"/>
  <c r="O30" i="83"/>
  <c r="N30" i="83"/>
  <c r="M30" i="83"/>
  <c r="L30" i="83"/>
  <c r="R29" i="83"/>
  <c r="Q29" i="83"/>
  <c r="P29" i="83"/>
  <c r="O29" i="83"/>
  <c r="N29" i="83"/>
  <c r="E5" i="83" s="1"/>
  <c r="M29" i="83"/>
  <c r="E4" i="83" s="1"/>
  <c r="L29" i="83"/>
  <c r="O24" i="83"/>
  <c r="N24" i="83"/>
  <c r="M24" i="83"/>
  <c r="L24" i="83"/>
  <c r="G13" i="83"/>
  <c r="AC12" i="83"/>
  <c r="AB12" i="83"/>
  <c r="AA12" i="83"/>
  <c r="Z12" i="83"/>
  <c r="Y12" i="83"/>
  <c r="X12" i="83"/>
  <c r="W12" i="83"/>
  <c r="V12" i="83"/>
  <c r="U12" i="83"/>
  <c r="T12" i="83"/>
  <c r="S12" i="83"/>
  <c r="R12" i="83"/>
  <c r="Q12" i="83"/>
  <c r="P12" i="83"/>
  <c r="O12" i="83"/>
  <c r="N12" i="83"/>
  <c r="M12" i="83"/>
  <c r="L12" i="83"/>
  <c r="AC11" i="83"/>
  <c r="AB11" i="83"/>
  <c r="AA11" i="83"/>
  <c r="Z11" i="83"/>
  <c r="Y11" i="83"/>
  <c r="X11" i="83"/>
  <c r="W11" i="83"/>
  <c r="V11" i="83"/>
  <c r="U11" i="83"/>
  <c r="T11" i="83"/>
  <c r="S11" i="83"/>
  <c r="R11" i="83"/>
  <c r="Q11" i="83"/>
  <c r="P11" i="83"/>
  <c r="O11" i="83"/>
  <c r="N11" i="83"/>
  <c r="M11" i="83"/>
  <c r="L11" i="83"/>
  <c r="AC10" i="83"/>
  <c r="AB10" i="83"/>
  <c r="AA10" i="83"/>
  <c r="Z10" i="83"/>
  <c r="Y10" i="83"/>
  <c r="X10" i="83"/>
  <c r="W10" i="83"/>
  <c r="V10" i="83"/>
  <c r="U10" i="83"/>
  <c r="T10" i="83"/>
  <c r="S10" i="83"/>
  <c r="R10" i="83"/>
  <c r="Q10" i="83"/>
  <c r="P10" i="83"/>
  <c r="O10" i="83"/>
  <c r="N10" i="83"/>
  <c r="M10" i="83"/>
  <c r="L10" i="83"/>
  <c r="AC9" i="83"/>
  <c r="AB9" i="83"/>
  <c r="AA9" i="83"/>
  <c r="Z9" i="83"/>
  <c r="Y9" i="83"/>
  <c r="X9" i="83"/>
  <c r="W9" i="83"/>
  <c r="V9" i="83"/>
  <c r="U9" i="83"/>
  <c r="T9" i="83"/>
  <c r="S9" i="83"/>
  <c r="R9" i="83"/>
  <c r="Q9" i="83"/>
  <c r="P9" i="83"/>
  <c r="O9" i="83"/>
  <c r="N9" i="83"/>
  <c r="M9" i="83"/>
  <c r="L9" i="83"/>
  <c r="AC8" i="83"/>
  <c r="AB8" i="83"/>
  <c r="AA8" i="83"/>
  <c r="Z8" i="83"/>
  <c r="Y8" i="83"/>
  <c r="X8" i="83"/>
  <c r="W8" i="83"/>
  <c r="V8" i="83"/>
  <c r="U8" i="83"/>
  <c r="T8" i="83"/>
  <c r="S8" i="83"/>
  <c r="R8" i="83"/>
  <c r="Q8" i="83"/>
  <c r="P8" i="83"/>
  <c r="O8" i="83"/>
  <c r="N8" i="83"/>
  <c r="M8" i="83"/>
  <c r="L8" i="83"/>
  <c r="AC7" i="83"/>
  <c r="AB7" i="83"/>
  <c r="AA7" i="83"/>
  <c r="Z7" i="83"/>
  <c r="Y7" i="83"/>
  <c r="X7" i="83"/>
  <c r="W7" i="83"/>
  <c r="V7" i="83"/>
  <c r="U7" i="83"/>
  <c r="T7" i="83"/>
  <c r="S7" i="83"/>
  <c r="R7" i="83"/>
  <c r="Q7" i="83"/>
  <c r="P7" i="83"/>
  <c r="O7" i="83"/>
  <c r="N7" i="83"/>
  <c r="M7" i="83"/>
  <c r="L7" i="83"/>
  <c r="AC6" i="83"/>
  <c r="AB6" i="83"/>
  <c r="AA6" i="83"/>
  <c r="Z6" i="83"/>
  <c r="Y6" i="83"/>
  <c r="X6" i="83"/>
  <c r="W6" i="83"/>
  <c r="V6" i="83"/>
  <c r="U6" i="83"/>
  <c r="T6" i="83"/>
  <c r="S6" i="83"/>
  <c r="R6" i="83"/>
  <c r="Q6" i="83"/>
  <c r="P6" i="83"/>
  <c r="O6" i="83"/>
  <c r="N6" i="83"/>
  <c r="M6" i="83"/>
  <c r="L6" i="83"/>
  <c r="AC5" i="83"/>
  <c r="AB5" i="83"/>
  <c r="AA5" i="83"/>
  <c r="Z5" i="83"/>
  <c r="Y5" i="83"/>
  <c r="X5" i="83"/>
  <c r="W5" i="83"/>
  <c r="V5" i="83"/>
  <c r="U5" i="83"/>
  <c r="T5" i="83"/>
  <c r="S5" i="83"/>
  <c r="R5" i="83"/>
  <c r="Q5" i="83"/>
  <c r="P5" i="83"/>
  <c r="O5" i="83"/>
  <c r="N5" i="83"/>
  <c r="M5" i="83"/>
  <c r="L5" i="83"/>
  <c r="I5" i="83"/>
  <c r="AC4" i="83"/>
  <c r="AB4" i="83"/>
  <c r="AA4" i="83"/>
  <c r="Z4" i="83"/>
  <c r="Y4" i="83"/>
  <c r="X4" i="83"/>
  <c r="W4" i="83"/>
  <c r="V4" i="83"/>
  <c r="U4" i="83"/>
  <c r="T4" i="83"/>
  <c r="S4" i="83"/>
  <c r="R4" i="83"/>
  <c r="Q4" i="83"/>
  <c r="P4" i="83"/>
  <c r="O4" i="83"/>
  <c r="N4" i="83"/>
  <c r="M4" i="83"/>
  <c r="L4" i="83"/>
  <c r="R3" i="83"/>
  <c r="X3" i="83" s="1"/>
  <c r="AA3" i="83" s="1"/>
  <c r="Q3" i="83"/>
  <c r="T3" i="83" s="1"/>
  <c r="P3" i="83"/>
  <c r="S3" i="83" s="1"/>
  <c r="O3" i="83"/>
  <c r="Q16" i="83" l="1"/>
  <c r="W16" i="83"/>
  <c r="AC16" i="83"/>
  <c r="Q18" i="83"/>
  <c r="X14" i="83"/>
  <c r="M38" i="83"/>
  <c r="L14" i="83"/>
  <c r="X16" i="83"/>
  <c r="N36" i="83"/>
  <c r="R14" i="83"/>
  <c r="M16" i="83"/>
  <c r="S16" i="83"/>
  <c r="Y16" i="83"/>
  <c r="E6" i="83"/>
  <c r="P18" i="83"/>
  <c r="X87" i="58"/>
  <c r="W89" i="3"/>
  <c r="V89" i="3"/>
  <c r="Z86" i="58"/>
  <c r="Y88" i="3"/>
  <c r="O36" i="83"/>
  <c r="O38" i="83"/>
  <c r="N16" i="83"/>
  <c r="T16" i="83"/>
  <c r="Z16" i="83"/>
  <c r="M26" i="83"/>
  <c r="Q36" i="83"/>
  <c r="AA16" i="83"/>
  <c r="P36" i="83"/>
  <c r="O16" i="83"/>
  <c r="U16" i="83"/>
  <c r="R38" i="83"/>
  <c r="L16" i="83"/>
  <c r="N38" i="83"/>
  <c r="R16" i="83"/>
  <c r="V16" i="83"/>
  <c r="N25" i="83"/>
  <c r="M18" i="83" s="1"/>
  <c r="R36" i="83"/>
  <c r="P38" i="83"/>
  <c r="P16" i="83"/>
  <c r="I4" i="83"/>
  <c r="O18" i="83"/>
  <c r="M36" i="83"/>
  <c r="Q38" i="83"/>
  <c r="AB16" i="83"/>
  <c r="I8" i="83" s="1"/>
  <c r="V3" i="83"/>
  <c r="Y3" i="83"/>
  <c r="AB3" i="83" s="1"/>
  <c r="Z3" i="83"/>
  <c r="AC3" i="83" s="1"/>
  <c r="W3" i="83"/>
  <c r="M14" i="83"/>
  <c r="S14" i="83"/>
  <c r="Y14" i="83"/>
  <c r="E8" i="83" s="1"/>
  <c r="O25" i="83"/>
  <c r="N18" i="83" s="1"/>
  <c r="O26" i="83"/>
  <c r="P26" i="83" s="1"/>
  <c r="Q26" i="83" s="1"/>
  <c r="R26" i="83" s="1"/>
  <c r="N14" i="83"/>
  <c r="T14" i="83"/>
  <c r="Z14" i="83"/>
  <c r="N26" i="83"/>
  <c r="I13" i="83"/>
  <c r="O14" i="83"/>
  <c r="U14" i="83"/>
  <c r="AA14" i="83"/>
  <c r="U3" i="83"/>
  <c r="P14" i="83"/>
  <c r="V14" i="83"/>
  <c r="AB14" i="83"/>
  <c r="Q14" i="83"/>
  <c r="W14" i="83"/>
  <c r="AC14" i="83"/>
  <c r="M25" i="83"/>
  <c r="L18" i="83" s="1"/>
  <c r="E10" i="83" l="1"/>
  <c r="E11" i="83" s="1"/>
  <c r="AB86" i="58"/>
  <c r="Z88" i="3"/>
  <c r="AA86" i="58"/>
  <c r="Y87" i="58"/>
  <c r="X89" i="3"/>
  <c r="P24" i="83"/>
  <c r="Q24" i="83" s="1"/>
  <c r="E14" i="83" l="1"/>
  <c r="I27" i="83" s="1"/>
  <c r="Z87" i="58"/>
  <c r="AA87" i="58" s="1"/>
  <c r="Y89" i="3"/>
  <c r="AA88" i="3"/>
  <c r="AC86" i="58"/>
  <c r="AB88" i="3"/>
  <c r="P25" i="83"/>
  <c r="R24" i="83"/>
  <c r="Q25" i="83"/>
  <c r="E17" i="83" l="1"/>
  <c r="E19" i="83" s="1"/>
  <c r="AA89" i="3"/>
  <c r="AC88" i="3"/>
  <c r="AD86" i="58"/>
  <c r="AB87" i="58"/>
  <c r="Z89" i="3"/>
  <c r="R25" i="83"/>
  <c r="R27" i="83"/>
  <c r="I6" i="83" s="1"/>
  <c r="I11" i="83" s="1"/>
  <c r="I10" i="83" s="1"/>
  <c r="I14" i="83" s="1"/>
  <c r="AE86" i="58" l="1"/>
  <c r="AD88" i="3"/>
  <c r="AC87" i="58"/>
  <c r="AB89" i="3"/>
  <c r="I29" i="83"/>
  <c r="I30" i="83" s="1"/>
  <c r="I17" i="83"/>
  <c r="AF86" i="58" l="1"/>
  <c r="AG86" i="58"/>
  <c r="AC89" i="3"/>
  <c r="AD87" i="58"/>
  <c r="AE88" i="3"/>
  <c r="I19" i="83"/>
  <c r="I31" i="83"/>
  <c r="AF88" i="3" l="1"/>
  <c r="AG88" i="3"/>
  <c r="AH86" i="58"/>
  <c r="AE87" i="58"/>
  <c r="AG87" i="58" s="1"/>
  <c r="AD89" i="3"/>
  <c r="AG89" i="3" l="1"/>
  <c r="AH87" i="58"/>
  <c r="AI86" i="58"/>
  <c r="AH88" i="3"/>
  <c r="AE89" i="3"/>
  <c r="AF87" i="58"/>
  <c r="AJ86" i="58" l="1"/>
  <c r="AK86" i="58" s="1"/>
  <c r="AI88" i="3"/>
  <c r="AI87" i="58"/>
  <c r="AH89" i="3"/>
  <c r="AF89" i="3"/>
  <c r="AJ87" i="58" l="1"/>
  <c r="AK87" i="58" s="1"/>
  <c r="AI89" i="3"/>
  <c r="AK88" i="3"/>
  <c r="AJ88" i="3"/>
  <c r="O86" i="59"/>
  <c r="N86" i="59"/>
  <c r="M86" i="59"/>
  <c r="L86" i="59"/>
  <c r="K86" i="59"/>
  <c r="J86" i="59"/>
  <c r="I86" i="59"/>
  <c r="H86" i="59"/>
  <c r="O77" i="59"/>
  <c r="N77" i="59"/>
  <c r="M77" i="59"/>
  <c r="L77" i="59"/>
  <c r="K77" i="59"/>
  <c r="J77" i="59"/>
  <c r="I77" i="59"/>
  <c r="H77" i="59"/>
  <c r="AC185" i="59"/>
  <c r="AD185" i="59" s="1"/>
  <c r="AF184" i="59"/>
  <c r="X178" i="59"/>
  <c r="AA177" i="59"/>
  <c r="V170" i="59"/>
  <c r="R168" i="59"/>
  <c r="R173" i="59" l="1"/>
  <c r="S168" i="59"/>
  <c r="AK89" i="3"/>
  <c r="AJ89" i="3"/>
  <c r="R24" i="59"/>
  <c r="AE185" i="59"/>
  <c r="AF185" i="59" s="1"/>
  <c r="T171" i="59"/>
  <c r="Y178" i="59"/>
  <c r="Z178" i="59" s="1"/>
  <c r="S24" i="59" l="1"/>
  <c r="T168" i="59"/>
  <c r="T24" i="59" s="1"/>
  <c r="U171" i="59"/>
  <c r="V171" i="59" s="1"/>
  <c r="T85" i="59"/>
  <c r="S173" i="59"/>
  <c r="AA178" i="59"/>
  <c r="U168" i="59" l="1"/>
  <c r="T173" i="59"/>
  <c r="V168" i="59" l="1"/>
  <c r="U24" i="59"/>
  <c r="U173" i="59"/>
  <c r="V173" i="59" s="1"/>
  <c r="W175" i="59" l="1"/>
  <c r="V24" i="59"/>
  <c r="W180" i="59" l="1"/>
  <c r="W24" i="59"/>
  <c r="X175" i="59"/>
  <c r="X24" i="59" l="1"/>
  <c r="Y175" i="59"/>
  <c r="Y24" i="59" l="1"/>
  <c r="Z175" i="59"/>
  <c r="AA175" i="59" l="1"/>
  <c r="Z24" i="59"/>
  <c r="AB182" i="59" l="1"/>
  <c r="AB24" i="59" s="1"/>
  <c r="AA24" i="59"/>
  <c r="AC182" i="59" l="1"/>
  <c r="N129" i="58"/>
  <c r="O129" i="58"/>
  <c r="P129" i="58"/>
  <c r="AC24" i="59" l="1"/>
  <c r="AD182" i="59"/>
  <c r="AD24" i="59" l="1"/>
  <c r="AE182" i="59"/>
  <c r="AG182" i="59" s="1"/>
  <c r="AG24" i="59" l="1"/>
  <c r="AH182" i="59"/>
  <c r="AF182" i="59"/>
  <c r="AF24" i="59" s="1"/>
  <c r="AE24" i="59"/>
  <c r="AH24" i="59" l="1"/>
  <c r="AI182" i="59"/>
  <c r="Z86" i="5"/>
  <c r="AJ182" i="59" l="1"/>
  <c r="AI24" i="59"/>
  <c r="AK182" i="59" l="1"/>
  <c r="AK24" i="59" s="1"/>
  <c r="AJ24" i="59"/>
  <c r="AB17" i="6"/>
  <c r="AC17" i="6"/>
  <c r="AD17" i="6"/>
  <c r="AE17" i="6"/>
  <c r="AA17" i="6"/>
  <c r="V17" i="6"/>
  <c r="AF17" i="6" l="1"/>
  <c r="U112" i="5" l="1"/>
  <c r="W112" i="5" s="1"/>
  <c r="X112" i="5" s="1"/>
  <c r="Y112" i="5" s="1"/>
  <c r="Z112" i="5" s="1"/>
  <c r="AB112" i="5" s="1"/>
  <c r="AC112" i="5" s="1"/>
  <c r="AD112" i="5" s="1"/>
  <c r="AE112" i="5" s="1"/>
  <c r="AG112" i="5" s="1"/>
  <c r="AH112" i="5" s="1"/>
  <c r="AI112" i="5" s="1"/>
  <c r="AJ112" i="5" s="1"/>
  <c r="K113" i="5"/>
  <c r="L113" i="5"/>
  <c r="P113" i="5"/>
  <c r="Q113" i="5"/>
  <c r="S194" i="59"/>
  <c r="M104" i="5"/>
  <c r="N104" i="5"/>
  <c r="O104" i="5"/>
  <c r="P104" i="5"/>
  <c r="N103" i="5"/>
  <c r="O103" i="5"/>
  <c r="P103" i="5"/>
  <c r="AC32" i="7"/>
  <c r="AD32" i="7" s="1"/>
  <c r="AE32" i="7" s="1"/>
  <c r="M52" i="6" l="1"/>
  <c r="M35" i="6"/>
  <c r="O113" i="5"/>
  <c r="N113" i="5"/>
  <c r="R81" i="5"/>
  <c r="O97" i="5"/>
  <c r="N97" i="5"/>
  <c r="P97" i="5"/>
  <c r="N87" i="5"/>
  <c r="O87" i="5"/>
  <c r="P87" i="5"/>
  <c r="AC86" i="5"/>
  <c r="Y117" i="58"/>
  <c r="Z117" i="58" s="1"/>
  <c r="AB117" i="58" s="1"/>
  <c r="AD117" i="58" s="1"/>
  <c r="AC88" i="63"/>
  <c r="AE88" i="63"/>
  <c r="S87" i="63"/>
  <c r="T87" i="63"/>
  <c r="U87" i="63"/>
  <c r="W41" i="58"/>
  <c r="X41" i="58" s="1"/>
  <c r="Y41" i="58" s="1"/>
  <c r="P108" i="59"/>
  <c r="E99" i="59" s="1"/>
  <c r="R108" i="59"/>
  <c r="R104" i="59" s="1"/>
  <c r="S108" i="59"/>
  <c r="S104" i="59" s="1"/>
  <c r="T108" i="59"/>
  <c r="T104" i="59" s="1"/>
  <c r="T123" i="59" s="1"/>
  <c r="U107" i="59"/>
  <c r="W107" i="59" s="1"/>
  <c r="U106" i="59"/>
  <c r="N10" i="59"/>
  <c r="M10" i="59"/>
  <c r="T103" i="59" l="1"/>
  <c r="M11" i="59"/>
  <c r="N12" i="59"/>
  <c r="N11" i="59"/>
  <c r="AD86" i="5"/>
  <c r="AH94" i="5"/>
  <c r="AH93" i="5"/>
  <c r="Y87" i="63"/>
  <c r="AD87" i="63" s="1"/>
  <c r="AI87" i="63" s="1"/>
  <c r="U89" i="63"/>
  <c r="Z87" i="63"/>
  <c r="X107" i="59"/>
  <c r="Y107" i="59" s="1"/>
  <c r="Z107" i="59" s="1"/>
  <c r="AB107" i="59" s="1"/>
  <c r="AC107" i="59" s="1"/>
  <c r="AD107" i="59" s="1"/>
  <c r="AE107" i="59" s="1"/>
  <c r="AG107" i="59" s="1"/>
  <c r="AH107" i="59" s="1"/>
  <c r="AI107" i="59" s="1"/>
  <c r="AJ107" i="59" s="1"/>
  <c r="U108" i="59"/>
  <c r="U104" i="59" s="1"/>
  <c r="U123" i="59" s="1"/>
  <c r="V123" i="59" s="1"/>
  <c r="W106" i="59"/>
  <c r="T89" i="63"/>
  <c r="X87" i="63"/>
  <c r="M24" i="59"/>
  <c r="M20" i="59"/>
  <c r="M22" i="59"/>
  <c r="M21" i="59"/>
  <c r="M15" i="59"/>
  <c r="M14" i="59"/>
  <c r="N24" i="59"/>
  <c r="N20" i="59"/>
  <c r="N22" i="59"/>
  <c r="N21" i="59"/>
  <c r="N15" i="59"/>
  <c r="N14" i="59"/>
  <c r="N138" i="59"/>
  <c r="N100" i="59"/>
  <c r="O100" i="59"/>
  <c r="N90" i="59"/>
  <c r="O90" i="59"/>
  <c r="P90" i="59"/>
  <c r="P85" i="59" s="1"/>
  <c r="P86" i="59" s="1"/>
  <c r="M28" i="59" l="1"/>
  <c r="N28" i="59"/>
  <c r="AE86" i="5"/>
  <c r="AI94" i="5"/>
  <c r="AI93" i="5"/>
  <c r="Y89" i="63"/>
  <c r="AE87" i="63"/>
  <c r="AJ87" i="63" s="1"/>
  <c r="AJ89" i="63" s="1"/>
  <c r="Z89" i="63"/>
  <c r="AC87" i="63"/>
  <c r="AH87" i="63" s="1"/>
  <c r="X106" i="59"/>
  <c r="W108" i="59"/>
  <c r="W104" i="59" s="1"/>
  <c r="W123" i="59" s="1"/>
  <c r="AI89" i="63" l="1"/>
  <c r="AJ94" i="5"/>
  <c r="AJ93" i="5"/>
  <c r="AD89" i="63"/>
  <c r="AE89" i="63"/>
  <c r="X108" i="59"/>
  <c r="Y106" i="59"/>
  <c r="Y108" i="59" l="1"/>
  <c r="Z106" i="59"/>
  <c r="Z108" i="59" l="1"/>
  <c r="AB106" i="59"/>
  <c r="AB108" i="59" l="1"/>
  <c r="AC106" i="59"/>
  <c r="AD106" i="59" l="1"/>
  <c r="AC108" i="59"/>
  <c r="AD108" i="59" l="1"/>
  <c r="AE106" i="59"/>
  <c r="AE108" i="59" l="1"/>
  <c r="AG106" i="59"/>
  <c r="V80" i="6"/>
  <c r="V81" i="6"/>
  <c r="AC108" i="5"/>
  <c r="AD108" i="5" s="1"/>
  <c r="AE108" i="5" s="1"/>
  <c r="Z41" i="58"/>
  <c r="AB41" i="58" s="1"/>
  <c r="AA16" i="63"/>
  <c r="V84" i="6" l="1"/>
  <c r="AG108" i="59"/>
  <c r="AH106" i="59"/>
  <c r="AF16" i="63"/>
  <c r="AI106" i="59" l="1"/>
  <c r="AH108" i="59"/>
  <c r="AJ106" i="59" l="1"/>
  <c r="AI108" i="59"/>
  <c r="AJ108" i="59" l="1"/>
  <c r="AC35" i="58"/>
  <c r="AD35" i="58" s="1"/>
  <c r="AE35" i="58" s="1"/>
  <c r="J48" i="59" l="1"/>
  <c r="I48" i="59"/>
  <c r="H48" i="59"/>
  <c r="J47" i="59"/>
  <c r="I47" i="59"/>
  <c r="H47" i="59"/>
  <c r="J32" i="59"/>
  <c r="I32" i="59"/>
  <c r="H32" i="59"/>
  <c r="J31" i="59"/>
  <c r="I31" i="59"/>
  <c r="H31" i="59"/>
  <c r="AB90" i="59"/>
  <c r="Y110" i="58"/>
  <c r="Z110" i="58" s="1"/>
  <c r="AB110" i="58" s="1"/>
  <c r="AC110" i="58" s="1"/>
  <c r="AD110" i="58" s="1"/>
  <c r="AE110" i="58" s="1"/>
  <c r="AG110" i="58" s="1"/>
  <c r="AH110" i="58" s="1"/>
  <c r="AI110" i="58" s="1"/>
  <c r="AJ110" i="58" s="1"/>
  <c r="X35" i="58"/>
  <c r="Y35" i="58" s="1"/>
  <c r="Q10" i="5" l="1"/>
  <c r="Q13" i="5"/>
  <c r="Q14" i="5"/>
  <c r="Q15" i="5"/>
  <c r="X146" i="59"/>
  <c r="Y146" i="59" s="1"/>
  <c r="Z146" i="59" s="1"/>
  <c r="AC143" i="59"/>
  <c r="AD143" i="59" l="1"/>
  <c r="AE143" i="59" l="1"/>
  <c r="Q146" i="59" l="1"/>
  <c r="X180" i="59" l="1"/>
  <c r="X104" i="59"/>
  <c r="X123" i="59" s="1"/>
  <c r="Y180" i="59" l="1"/>
  <c r="Z62" i="59"/>
  <c r="Y104" i="59"/>
  <c r="Y123" i="59" s="1"/>
  <c r="AA129" i="59" l="1"/>
  <c r="Z104" i="59"/>
  <c r="Z123" i="59" s="1"/>
  <c r="AA123" i="59" s="1"/>
  <c r="Z180" i="59"/>
  <c r="AA180" i="59" s="1"/>
  <c r="X100" i="59"/>
  <c r="F27" i="58" l="1"/>
  <c r="E27" i="58"/>
  <c r="D27" i="58"/>
  <c r="C27" i="58"/>
  <c r="F27" i="3"/>
  <c r="E27" i="3"/>
  <c r="D27" i="3"/>
  <c r="C27" i="3"/>
  <c r="K30" i="59"/>
  <c r="M30" i="59"/>
  <c r="N30" i="59"/>
  <c r="O30" i="59"/>
  <c r="T31" i="59" s="1"/>
  <c r="P30" i="59"/>
  <c r="O24" i="59"/>
  <c r="O20" i="59"/>
  <c r="O22" i="59"/>
  <c r="O21" i="59"/>
  <c r="O15" i="59"/>
  <c r="O14" i="59"/>
  <c r="P139" i="59"/>
  <c r="Q139" i="59"/>
  <c r="O28" i="59" l="1"/>
  <c r="O10" i="59"/>
  <c r="O31" i="59"/>
  <c r="O32" i="59"/>
  <c r="N31" i="59"/>
  <c r="N32" i="59"/>
  <c r="M31" i="59"/>
  <c r="M32" i="59"/>
  <c r="K31" i="59"/>
  <c r="K32" i="59"/>
  <c r="P32" i="59"/>
  <c r="P31" i="59"/>
  <c r="O11" i="59" l="1"/>
  <c r="O12" i="59"/>
  <c r="Y83" i="63"/>
  <c r="Z83" i="63"/>
  <c r="AC83" i="63"/>
  <c r="AD83" i="63" l="1"/>
  <c r="AE83" i="63" l="1"/>
  <c r="P66" i="63"/>
  <c r="M31" i="63" l="1"/>
  <c r="N31" i="63"/>
  <c r="P31" i="63"/>
  <c r="P64" i="63" s="1"/>
  <c r="B32" i="63"/>
  <c r="B31" i="63"/>
  <c r="P25" i="63" l="1"/>
  <c r="O31" i="63"/>
  <c r="O64" i="63" s="1"/>
  <c r="Q59" i="63"/>
  <c r="P61" i="63"/>
  <c r="P60" i="63"/>
  <c r="O60" i="63"/>
  <c r="N60" i="63"/>
  <c r="M60" i="63"/>
  <c r="P63" i="63"/>
  <c r="P62" i="63"/>
  <c r="AF18" i="42"/>
  <c r="AA18" i="42"/>
  <c r="V18" i="42"/>
  <c r="Q18" i="42"/>
  <c r="AF17" i="42"/>
  <c r="AA17" i="42"/>
  <c r="V17" i="42"/>
  <c r="Q17" i="42"/>
  <c r="AE16" i="42"/>
  <c r="AD16" i="42"/>
  <c r="AC16" i="42"/>
  <c r="AB16" i="42"/>
  <c r="Z16" i="42"/>
  <c r="Y16" i="42"/>
  <c r="X16" i="42"/>
  <c r="W16" i="42"/>
  <c r="U16" i="42"/>
  <c r="Q16" i="42"/>
  <c r="AF14" i="42"/>
  <c r="AA14" i="42"/>
  <c r="V14" i="42"/>
  <c r="Q14" i="42"/>
  <c r="L14" i="42"/>
  <c r="P10" i="42"/>
  <c r="O10" i="42"/>
  <c r="N10" i="42"/>
  <c r="M10" i="42"/>
  <c r="L10" i="42"/>
  <c r="G10" i="42"/>
  <c r="G117" i="42" s="1"/>
  <c r="G118" i="42" s="1"/>
  <c r="Q10" i="63"/>
  <c r="J10" i="63"/>
  <c r="J10" i="94" s="1"/>
  <c r="J31" i="94" s="1"/>
  <c r="I10" i="63"/>
  <c r="H10" i="63"/>
  <c r="AE17" i="63"/>
  <c r="AE17" i="42" s="1"/>
  <c r="AD17" i="63"/>
  <c r="AD17" i="42" s="1"/>
  <c r="AC17" i="63"/>
  <c r="AC17" i="42" s="1"/>
  <c r="AB17" i="63"/>
  <c r="AB17" i="42" s="1"/>
  <c r="Z17" i="63"/>
  <c r="Z17" i="42" s="1"/>
  <c r="Y17" i="63"/>
  <c r="Y17" i="42" s="1"/>
  <c r="X17" i="63"/>
  <c r="X17" i="42" s="1"/>
  <c r="W17" i="63"/>
  <c r="W17" i="42" s="1"/>
  <c r="U17" i="63"/>
  <c r="U17" i="42" s="1"/>
  <c r="P14" i="63"/>
  <c r="P14" i="42" s="1"/>
  <c r="O14" i="63"/>
  <c r="O14" i="42" s="1"/>
  <c r="N14" i="63"/>
  <c r="N14" i="42" s="1"/>
  <c r="L13" i="63"/>
  <c r="L13" i="42" s="1"/>
  <c r="P12" i="63"/>
  <c r="O12" i="63"/>
  <c r="N12" i="63"/>
  <c r="L11" i="63"/>
  <c r="N117" i="42" l="1"/>
  <c r="S118" i="42" s="1"/>
  <c r="N114" i="42"/>
  <c r="N109" i="42"/>
  <c r="S11" i="42"/>
  <c r="O117" i="42"/>
  <c r="O109" i="42"/>
  <c r="O114" i="42"/>
  <c r="Q41" i="63"/>
  <c r="Q10" i="94"/>
  <c r="P12" i="42"/>
  <c r="L117" i="42"/>
  <c r="L118" i="42" s="1"/>
  <c r="L11" i="42"/>
  <c r="L137" i="42" s="1"/>
  <c r="H10" i="42"/>
  <c r="H126" i="42" s="1"/>
  <c r="H10" i="94"/>
  <c r="H31" i="94" s="1"/>
  <c r="M117" i="42"/>
  <c r="M118" i="42" s="1"/>
  <c r="I11" i="63"/>
  <c r="I10" i="94"/>
  <c r="N12" i="42"/>
  <c r="O11" i="94"/>
  <c r="J11" i="94"/>
  <c r="J26" i="94"/>
  <c r="O12" i="42"/>
  <c r="M126" i="42"/>
  <c r="M132" i="42"/>
  <c r="N132" i="42"/>
  <c r="N126" i="42"/>
  <c r="O132" i="42"/>
  <c r="O126" i="42"/>
  <c r="H132" i="42"/>
  <c r="P132" i="42"/>
  <c r="P126" i="42"/>
  <c r="Q126" i="42" s="1"/>
  <c r="G88" i="42"/>
  <c r="L88" i="42"/>
  <c r="L26" i="42"/>
  <c r="M21" i="42"/>
  <c r="M22" i="42" s="1"/>
  <c r="M26" i="42"/>
  <c r="M27" i="42" s="1"/>
  <c r="P88" i="42"/>
  <c r="R66" i="63"/>
  <c r="Q66" i="63"/>
  <c r="M114" i="42"/>
  <c r="M109" i="42"/>
  <c r="L81" i="42"/>
  <c r="M81" i="42"/>
  <c r="N81" i="42"/>
  <c r="O81" i="42"/>
  <c r="P81" i="42"/>
  <c r="G81" i="42"/>
  <c r="L61" i="42"/>
  <c r="L68" i="42"/>
  <c r="P61" i="42"/>
  <c r="P68" i="42"/>
  <c r="G61" i="42"/>
  <c r="G68" i="42"/>
  <c r="Q62" i="63"/>
  <c r="Q10" i="42"/>
  <c r="O25" i="63"/>
  <c r="Q60" i="63"/>
  <c r="Q13" i="63"/>
  <c r="I10" i="42"/>
  <c r="K10" i="63"/>
  <c r="H14" i="63"/>
  <c r="H14" i="42" s="1"/>
  <c r="J10" i="42"/>
  <c r="O11" i="42" s="1"/>
  <c r="J13" i="63"/>
  <c r="J13" i="42" s="1"/>
  <c r="I14" i="63"/>
  <c r="I14" i="42" s="1"/>
  <c r="Q11" i="63"/>
  <c r="H13" i="63"/>
  <c r="H13" i="42" s="1"/>
  <c r="N13" i="63"/>
  <c r="H11" i="63"/>
  <c r="I13" i="63"/>
  <c r="I13" i="42" s="1"/>
  <c r="J14" i="63"/>
  <c r="J14" i="42" s="1"/>
  <c r="H12" i="63"/>
  <c r="I12" i="63"/>
  <c r="M13" i="63"/>
  <c r="J12" i="63"/>
  <c r="O13" i="63"/>
  <c r="J11" i="63"/>
  <c r="L141" i="42" l="1"/>
  <c r="M11" i="42"/>
  <c r="J12" i="94"/>
  <c r="I31" i="94"/>
  <c r="I11" i="42"/>
  <c r="I12" i="42"/>
  <c r="Q117" i="42"/>
  <c r="Q118" i="42" s="1"/>
  <c r="Q11" i="42"/>
  <c r="N11" i="42"/>
  <c r="H26" i="94"/>
  <c r="H12" i="94"/>
  <c r="H11" i="94"/>
  <c r="M11" i="94"/>
  <c r="Q11" i="94"/>
  <c r="Q26" i="94"/>
  <c r="J12" i="42"/>
  <c r="J11" i="42"/>
  <c r="K10" i="42"/>
  <c r="K88" i="42" s="1"/>
  <c r="K10" i="94"/>
  <c r="K31" i="94" s="1"/>
  <c r="I12" i="94"/>
  <c r="N11" i="94"/>
  <c r="I26" i="94"/>
  <c r="I11" i="94"/>
  <c r="H11" i="42"/>
  <c r="H12" i="42"/>
  <c r="M127" i="42"/>
  <c r="M133" i="42"/>
  <c r="J132" i="42"/>
  <c r="O133" i="42" s="1"/>
  <c r="J126" i="42"/>
  <c r="O127" i="42" s="1"/>
  <c r="I126" i="42"/>
  <c r="N127" i="42" s="1"/>
  <c r="I132" i="42"/>
  <c r="N133" i="42" s="1"/>
  <c r="Q132" i="42"/>
  <c r="Q21" i="42"/>
  <c r="Q26" i="42"/>
  <c r="Q27" i="42" s="1"/>
  <c r="Q137" i="42"/>
  <c r="Q141" i="42"/>
  <c r="Q88" i="42"/>
  <c r="R73" i="63"/>
  <c r="R74" i="63" s="1"/>
  <c r="R71" i="63"/>
  <c r="Q13" i="42"/>
  <c r="Q43" i="63"/>
  <c r="Q81" i="42"/>
  <c r="Q68" i="42"/>
  <c r="Q61" i="42"/>
  <c r="Q114" i="42"/>
  <c r="Q109" i="42"/>
  <c r="M13" i="42"/>
  <c r="N13" i="42"/>
  <c r="O13" i="42"/>
  <c r="P13" i="63"/>
  <c r="M12" i="63"/>
  <c r="K12" i="63"/>
  <c r="M14" i="63"/>
  <c r="M14" i="42" s="1"/>
  <c r="P11" i="63"/>
  <c r="K14" i="63"/>
  <c r="K14" i="42" s="1"/>
  <c r="K13" i="63"/>
  <c r="K13" i="42" s="1"/>
  <c r="K11" i="63"/>
  <c r="N137" i="42" l="1"/>
  <c r="N141" i="42"/>
  <c r="K61" i="42"/>
  <c r="K68" i="42"/>
  <c r="K132" i="42"/>
  <c r="L132" i="42" s="1"/>
  <c r="Q133" i="42" s="1"/>
  <c r="K81" i="42"/>
  <c r="M137" i="42"/>
  <c r="M141" i="42"/>
  <c r="K26" i="94"/>
  <c r="P11" i="94"/>
  <c r="K12" i="94"/>
  <c r="M12" i="94"/>
  <c r="K11" i="94"/>
  <c r="K11" i="42"/>
  <c r="K12" i="42"/>
  <c r="P11" i="42"/>
  <c r="P137" i="42" s="1"/>
  <c r="M12" i="42"/>
  <c r="K126" i="42"/>
  <c r="L126" i="42" s="1"/>
  <c r="Q127" i="42" s="1"/>
  <c r="Q123" i="42" s="1"/>
  <c r="R78" i="63"/>
  <c r="R76" i="63"/>
  <c r="P13" i="42"/>
  <c r="P43" i="63"/>
  <c r="P141" i="42" l="1"/>
  <c r="P127" i="42"/>
  <c r="P123" i="42" s="1"/>
  <c r="P133" i="42"/>
  <c r="P56" i="59"/>
  <c r="Q56" i="59"/>
  <c r="Q35" i="6" l="1"/>
  <c r="Q52" i="6"/>
  <c r="Q57" i="6"/>
  <c r="T197" i="59" l="1"/>
  <c r="U197" i="59" s="1"/>
  <c r="R196" i="59"/>
  <c r="S196" i="59"/>
  <c r="T196" i="59"/>
  <c r="U196" i="59"/>
  <c r="W196" i="59"/>
  <c r="X196" i="59"/>
  <c r="Y196" i="59"/>
  <c r="Z196" i="59"/>
  <c r="AB196" i="59"/>
  <c r="R194" i="59"/>
  <c r="T194" i="59"/>
  <c r="U194" i="59"/>
  <c r="P119" i="5"/>
  <c r="P24" i="59"/>
  <c r="P20" i="59"/>
  <c r="P22" i="59"/>
  <c r="P21" i="59"/>
  <c r="P15" i="59"/>
  <c r="P14" i="59"/>
  <c r="P28" i="59" l="1"/>
  <c r="P10" i="59"/>
  <c r="V196" i="59"/>
  <c r="AA196" i="59"/>
  <c r="W197" i="59"/>
  <c r="X197" i="59" s="1"/>
  <c r="Y197" i="59" s="1"/>
  <c r="Z197" i="59" s="1"/>
  <c r="AA197" i="59" s="1"/>
  <c r="V197" i="59"/>
  <c r="P12" i="59" l="1"/>
  <c r="AB197" i="59"/>
  <c r="AC197" i="59" s="1"/>
  <c r="AD197" i="59" s="1"/>
  <c r="AE197" i="59" s="1"/>
  <c r="AA57" i="6"/>
  <c r="AA69" i="6"/>
  <c r="AA49" i="6"/>
  <c r="AA45" i="6"/>
  <c r="AA44" i="6"/>
  <c r="AA43" i="6"/>
  <c r="AA42" i="6"/>
  <c r="AA41" i="6"/>
  <c r="Z11" i="6"/>
  <c r="Y11" i="6"/>
  <c r="X11" i="6"/>
  <c r="W11" i="6"/>
  <c r="AA81" i="6"/>
  <c r="AA80" i="6"/>
  <c r="AA84" i="6" l="1"/>
  <c r="AF197" i="59"/>
  <c r="AG197" i="59"/>
  <c r="AH197" i="59" s="1"/>
  <c r="AI197" i="59" s="1"/>
  <c r="AJ197" i="59" s="1"/>
  <c r="AK197" i="59" s="1"/>
  <c r="Y49" i="5"/>
  <c r="AB18" i="5"/>
  <c r="AB11" i="5"/>
  <c r="Z18" i="5"/>
  <c r="Y18" i="5"/>
  <c r="X18" i="5"/>
  <c r="W18" i="5"/>
  <c r="Z11" i="5"/>
  <c r="Y11" i="5"/>
  <c r="X11" i="5"/>
  <c r="W11" i="5"/>
  <c r="M115" i="63"/>
  <c r="N115" i="63"/>
  <c r="O115" i="63"/>
  <c r="O20" i="63" s="1"/>
  <c r="P115" i="63"/>
  <c r="P117" i="63" s="1"/>
  <c r="Q117" i="63" s="1"/>
  <c r="X130" i="58"/>
  <c r="Y130" i="58" s="1"/>
  <c r="Z130" i="58" s="1"/>
  <c r="P110" i="63"/>
  <c r="P101" i="63" s="1"/>
  <c r="O110" i="63"/>
  <c r="O101" i="63" s="1"/>
  <c r="N110" i="63"/>
  <c r="N101" i="63" s="1"/>
  <c r="M110" i="63"/>
  <c r="M101" i="63" s="1"/>
  <c r="L110" i="63"/>
  <c r="K110" i="63"/>
  <c r="J110" i="63"/>
  <c r="I110" i="63"/>
  <c r="H110" i="63"/>
  <c r="G110" i="63"/>
  <c r="Q113" i="63"/>
  <c r="Q42" i="94" s="1"/>
  <c r="Q112" i="63"/>
  <c r="Q41" i="94" s="1"/>
  <c r="Q111" i="63"/>
  <c r="Q40" i="94" s="1"/>
  <c r="AF41" i="6"/>
  <c r="V41" i="6"/>
  <c r="AF22" i="6"/>
  <c r="AF20" i="6"/>
  <c r="AF18" i="6"/>
  <c r="AF15" i="6"/>
  <c r="AF11" i="6"/>
  <c r="AA22" i="6"/>
  <c r="AA20" i="6"/>
  <c r="AA18" i="6"/>
  <c r="AA15" i="6"/>
  <c r="AA11" i="6"/>
  <c r="W110" i="5"/>
  <c r="V110" i="5"/>
  <c r="V194" i="59" s="1"/>
  <c r="K68" i="5"/>
  <c r="K112" i="5" s="1"/>
  <c r="M68" i="5"/>
  <c r="M112" i="5" s="1"/>
  <c r="N68" i="5"/>
  <c r="N112" i="5" s="1"/>
  <c r="O68" i="5"/>
  <c r="O112" i="5" s="1"/>
  <c r="P68" i="5"/>
  <c r="P112" i="5" s="1"/>
  <c r="AA108" i="5"/>
  <c r="N108" i="5"/>
  <c r="O108" i="5"/>
  <c r="P108" i="5"/>
  <c r="Z102" i="5"/>
  <c r="AB102" i="5" s="1"/>
  <c r="AC102" i="5" s="1"/>
  <c r="AD102" i="5" s="1"/>
  <c r="AE102" i="5" s="1"/>
  <c r="AG102" i="5" s="1"/>
  <c r="AH102" i="5" s="1"/>
  <c r="AI102" i="5" s="1"/>
  <c r="AJ102" i="5" s="1"/>
  <c r="K106" i="5"/>
  <c r="M106" i="5"/>
  <c r="N106" i="5"/>
  <c r="O106" i="5"/>
  <c r="P106" i="5"/>
  <c r="K105" i="5"/>
  <c r="M105" i="5"/>
  <c r="N105" i="5"/>
  <c r="O105" i="5"/>
  <c r="P105" i="5"/>
  <c r="L66" i="5"/>
  <c r="M66" i="5"/>
  <c r="N66" i="5"/>
  <c r="N102" i="5" s="1"/>
  <c r="O66" i="5"/>
  <c r="O102" i="5" s="1"/>
  <c r="P66" i="5"/>
  <c r="P102" i="5" s="1"/>
  <c r="K99" i="5"/>
  <c r="M99" i="5"/>
  <c r="N99" i="5"/>
  <c r="O99" i="5"/>
  <c r="P99" i="5"/>
  <c r="K98" i="5"/>
  <c r="M98" i="5"/>
  <c r="N98" i="5"/>
  <c r="O98" i="5"/>
  <c r="P98" i="5"/>
  <c r="P23" i="7"/>
  <c r="P15" i="7"/>
  <c r="Q89" i="5"/>
  <c r="M92" i="5"/>
  <c r="N92" i="5"/>
  <c r="M91" i="5"/>
  <c r="N91" i="5"/>
  <c r="O91" i="5"/>
  <c r="P91" i="5"/>
  <c r="U91" i="5"/>
  <c r="M90" i="5"/>
  <c r="N90" i="5"/>
  <c r="O90" i="5"/>
  <c r="P89" i="5"/>
  <c r="M89" i="5"/>
  <c r="N89" i="5"/>
  <c r="O89" i="5"/>
  <c r="N84" i="5"/>
  <c r="O84" i="5"/>
  <c r="P84" i="5"/>
  <c r="K83" i="5"/>
  <c r="M83" i="5"/>
  <c r="N83" i="5"/>
  <c r="O83" i="5"/>
  <c r="P83" i="5"/>
  <c r="AF70" i="6"/>
  <c r="AF64" i="6"/>
  <c r="AF63" i="6"/>
  <c r="AF61" i="6"/>
  <c r="AF57" i="6"/>
  <c r="AF69" i="6"/>
  <c r="AA70" i="6"/>
  <c r="AA64" i="6"/>
  <c r="AA63" i="6"/>
  <c r="AA61" i="6"/>
  <c r="V62" i="6"/>
  <c r="Q151" i="59"/>
  <c r="X151" i="59"/>
  <c r="G65" i="59"/>
  <c r="L65" i="59"/>
  <c r="Q67" i="59"/>
  <c r="P145" i="59"/>
  <c r="P92" i="5" s="1"/>
  <c r="AC146" i="59"/>
  <c r="AD146" i="59" s="1"/>
  <c r="AE146" i="59" s="1"/>
  <c r="P46" i="59"/>
  <c r="Q142" i="59"/>
  <c r="V142" i="59"/>
  <c r="AF101" i="59"/>
  <c r="AA101" i="59"/>
  <c r="V101" i="59"/>
  <c r="AC100" i="59"/>
  <c r="AC91" i="59"/>
  <c r="AD91" i="59" s="1"/>
  <c r="AE91" i="59" s="1"/>
  <c r="AE90" i="59" s="1"/>
  <c r="Z90" i="59"/>
  <c r="Y90" i="59"/>
  <c r="X90" i="59"/>
  <c r="W90" i="59"/>
  <c r="U90" i="59"/>
  <c r="T35" i="59" l="1"/>
  <c r="S35" i="59"/>
  <c r="R35" i="59"/>
  <c r="U35" i="59"/>
  <c r="V91" i="5"/>
  <c r="W35" i="59"/>
  <c r="Q39" i="94"/>
  <c r="T86" i="59"/>
  <c r="U85" i="59"/>
  <c r="U86" i="59" s="1"/>
  <c r="U83" i="5"/>
  <c r="W83" i="5" s="1"/>
  <c r="X83" i="5" s="1"/>
  <c r="Y83" i="5" s="1"/>
  <c r="Z83" i="5" s="1"/>
  <c r="AB83" i="5" s="1"/>
  <c r="AC83" i="5" s="1"/>
  <c r="AD83" i="5" s="1"/>
  <c r="AE83" i="5" s="1"/>
  <c r="AG83" i="5" s="1"/>
  <c r="AH83" i="5" s="1"/>
  <c r="AI83" i="5" s="1"/>
  <c r="AJ83" i="5" s="1"/>
  <c r="P20" i="63"/>
  <c r="P23" i="63" s="1"/>
  <c r="P127" i="63"/>
  <c r="Q127" i="63" s="1"/>
  <c r="V155" i="59"/>
  <c r="R27" i="7"/>
  <c r="R49" i="7" s="1"/>
  <c r="R25" i="7"/>
  <c r="R17" i="7"/>
  <c r="R19" i="7"/>
  <c r="R44" i="7" s="1"/>
  <c r="Q91" i="5"/>
  <c r="AB130" i="58"/>
  <c r="AC130" i="58" s="1"/>
  <c r="AD130" i="58" s="1"/>
  <c r="AE130" i="58" s="1"/>
  <c r="AG130" i="58" s="1"/>
  <c r="AH130" i="58" s="1"/>
  <c r="AI130" i="58" s="1"/>
  <c r="AJ130" i="58" s="1"/>
  <c r="Q115" i="63"/>
  <c r="N100" i="5"/>
  <c r="M100" i="5"/>
  <c r="P100" i="5"/>
  <c r="K100" i="5"/>
  <c r="O100" i="5"/>
  <c r="Z49" i="5"/>
  <c r="O104" i="63"/>
  <c r="P104" i="63"/>
  <c r="M102" i="63"/>
  <c r="M104" i="63"/>
  <c r="N102" i="63"/>
  <c r="N104" i="63"/>
  <c r="X110" i="5"/>
  <c r="W194" i="59"/>
  <c r="P103" i="63"/>
  <c r="AD100" i="59"/>
  <c r="V151" i="59"/>
  <c r="T43" i="59" s="1"/>
  <c r="Y151" i="59"/>
  <c r="O103" i="63"/>
  <c r="O102" i="63"/>
  <c r="M103" i="63"/>
  <c r="P102" i="63"/>
  <c r="N103" i="63"/>
  <c r="Q110" i="63"/>
  <c r="P31" i="7"/>
  <c r="Y100" i="59"/>
  <c r="AC90" i="59"/>
  <c r="AD90" i="59"/>
  <c r="Y35" i="59" l="1"/>
  <c r="Z35" i="59"/>
  <c r="X35" i="59"/>
  <c r="U31" i="7"/>
  <c r="Z31" i="7" s="1"/>
  <c r="R35" i="7"/>
  <c r="R33" i="7"/>
  <c r="T195" i="59"/>
  <c r="Q23" i="63"/>
  <c r="P16" i="63"/>
  <c r="Y110" i="5"/>
  <c r="X194" i="59"/>
  <c r="AE100" i="59"/>
  <c r="Z151" i="59"/>
  <c r="P28" i="7"/>
  <c r="U98" i="5"/>
  <c r="P20" i="7"/>
  <c r="Q31" i="7"/>
  <c r="Z100" i="59"/>
  <c r="U43" i="59" l="1"/>
  <c r="AA155" i="59"/>
  <c r="AE31" i="7"/>
  <c r="U195" i="59"/>
  <c r="Z110" i="5"/>
  <c r="Y194" i="59"/>
  <c r="AB151" i="59"/>
  <c r="AA151" i="59"/>
  <c r="U99" i="5"/>
  <c r="W98" i="5"/>
  <c r="W43" i="59" l="1"/>
  <c r="X43" i="59"/>
  <c r="AJ31" i="7"/>
  <c r="AK31" i="7" s="1"/>
  <c r="AA62" i="6"/>
  <c r="U58" i="6"/>
  <c r="AA110" i="5"/>
  <c r="Z194" i="59"/>
  <c r="AB110" i="5"/>
  <c r="AC151" i="59"/>
  <c r="W99" i="5"/>
  <c r="X98" i="5"/>
  <c r="AJ34" i="7" l="1"/>
  <c r="AA194" i="59"/>
  <c r="AC110" i="5"/>
  <c r="AB194" i="59"/>
  <c r="AD151" i="59"/>
  <c r="Y98" i="5"/>
  <c r="X99" i="5"/>
  <c r="Y43" i="59" l="1"/>
  <c r="W90" i="5"/>
  <c r="U90" i="5"/>
  <c r="AD110" i="5"/>
  <c r="AC194" i="59"/>
  <c r="AE151" i="59"/>
  <c r="Z98" i="5"/>
  <c r="Y99" i="5"/>
  <c r="Z43" i="59" l="1"/>
  <c r="AG151" i="59"/>
  <c r="AE110" i="5"/>
  <c r="AG110" i="5" s="1"/>
  <c r="AD194" i="59"/>
  <c r="AF151" i="59"/>
  <c r="Z99" i="5"/>
  <c r="AB98" i="5"/>
  <c r="AH151" i="59" l="1"/>
  <c r="AI151" i="59" s="1"/>
  <c r="AD43" i="59" s="1"/>
  <c r="AC43" i="59"/>
  <c r="AB43" i="59"/>
  <c r="AH110" i="5"/>
  <c r="AG194" i="59"/>
  <c r="AF62" i="6"/>
  <c r="AE194" i="59"/>
  <c r="AF110" i="5"/>
  <c r="AB99" i="5"/>
  <c r="AC98" i="5"/>
  <c r="AJ151" i="59" l="1"/>
  <c r="AI43" i="59" s="1"/>
  <c r="AI110" i="5"/>
  <c r="AH194" i="59"/>
  <c r="AF194" i="59"/>
  <c r="AC99" i="5"/>
  <c r="AD98" i="5"/>
  <c r="AG43" i="59" l="1"/>
  <c r="AE43" i="59"/>
  <c r="AH43" i="59"/>
  <c r="AK151" i="59"/>
  <c r="AJ110" i="5"/>
  <c r="AI194" i="59"/>
  <c r="AD99" i="5"/>
  <c r="AE98" i="5"/>
  <c r="AK110" i="5" l="1"/>
  <c r="AK194" i="59" s="1"/>
  <c r="AJ194" i="59"/>
  <c r="AE99" i="5"/>
  <c r="AG98" i="5"/>
  <c r="AK62" i="6" l="1"/>
  <c r="AG99" i="5"/>
  <c r="AH98" i="5"/>
  <c r="AI98" i="5" l="1"/>
  <c r="AH99" i="5"/>
  <c r="W150" i="59"/>
  <c r="W73" i="59" s="1"/>
  <c r="Q137" i="59"/>
  <c r="R138" i="59" s="1"/>
  <c r="R90" i="5" s="1"/>
  <c r="Q149" i="59"/>
  <c r="R150" i="59" s="1"/>
  <c r="V150" i="59" s="1"/>
  <c r="Q24" i="59"/>
  <c r="P100" i="59"/>
  <c r="P73" i="59" s="1"/>
  <c r="Q21" i="5"/>
  <c r="Q20" i="5"/>
  <c r="P51" i="6"/>
  <c r="P74" i="59" l="1"/>
  <c r="P76" i="59"/>
  <c r="Q44" i="94"/>
  <c r="AJ98" i="5"/>
  <c r="AJ99" i="5" s="1"/>
  <c r="AI99" i="5"/>
  <c r="P57" i="59"/>
  <c r="Q57" i="59" s="1"/>
  <c r="Q21" i="59"/>
  <c r="R143" i="59"/>
  <c r="Q31" i="63"/>
  <c r="Q64" i="63" s="1"/>
  <c r="P90" i="5"/>
  <c r="P140" i="59"/>
  <c r="Q22" i="59"/>
  <c r="X150" i="59"/>
  <c r="R153" i="59" l="1"/>
  <c r="R22" i="59"/>
  <c r="P77" i="59"/>
  <c r="Y150" i="59"/>
  <c r="S153" i="59" l="1"/>
  <c r="U15" i="5"/>
  <c r="T22" i="59"/>
  <c r="Z150" i="59"/>
  <c r="V15" i="5" l="1"/>
  <c r="AA150" i="59"/>
  <c r="AB150" i="59"/>
  <c r="U149" i="59"/>
  <c r="U22" i="59" s="1"/>
  <c r="T153" i="59"/>
  <c r="W15" i="5" l="1"/>
  <c r="AC150" i="59"/>
  <c r="V149" i="59"/>
  <c r="V22" i="59" s="1"/>
  <c r="U153" i="59"/>
  <c r="V153" i="59" s="1"/>
  <c r="AD150" i="59" l="1"/>
  <c r="X15" i="5"/>
  <c r="W149" i="59"/>
  <c r="W22" i="59" s="1"/>
  <c r="AE150" i="59" l="1"/>
  <c r="Y15" i="5"/>
  <c r="X149" i="59"/>
  <c r="X22" i="59" s="1"/>
  <c r="W153" i="59"/>
  <c r="AG150" i="59" l="1"/>
  <c r="AH150" i="59" s="1"/>
  <c r="AI150" i="59" s="1"/>
  <c r="AF150" i="59"/>
  <c r="Z15" i="5"/>
  <c r="Y149" i="59"/>
  <c r="Y22" i="59" s="1"/>
  <c r="X153" i="59"/>
  <c r="AJ150" i="59" l="1"/>
  <c r="AA15" i="5"/>
  <c r="Z149" i="59"/>
  <c r="Z22" i="59" s="1"/>
  <c r="Y153" i="59"/>
  <c r="AK150" i="59" l="1"/>
  <c r="AB15" i="5"/>
  <c r="AA149" i="59"/>
  <c r="AA22" i="59" s="1"/>
  <c r="Z153" i="59"/>
  <c r="AA153" i="59" s="1"/>
  <c r="AC15" i="5" l="1"/>
  <c r="AB149" i="59"/>
  <c r="AB22" i="59" s="1"/>
  <c r="AD15" i="5" l="1"/>
  <c r="AC149" i="59"/>
  <c r="AC22" i="59" s="1"/>
  <c r="AE15" i="5" l="1"/>
  <c r="AD149" i="59"/>
  <c r="AD22" i="59" s="1"/>
  <c r="K57" i="5"/>
  <c r="M57" i="5"/>
  <c r="N57" i="5"/>
  <c r="O57" i="5"/>
  <c r="P57" i="5"/>
  <c r="P70" i="5"/>
  <c r="P69" i="5"/>
  <c r="P63" i="5"/>
  <c r="Q56" i="5"/>
  <c r="Q55" i="5"/>
  <c r="Q54" i="5"/>
  <c r="Q53" i="5"/>
  <c r="Q51" i="5"/>
  <c r="Q49" i="5"/>
  <c r="Q45" i="5"/>
  <c r="Q44" i="5"/>
  <c r="R108" i="5" s="1"/>
  <c r="V108" i="5" s="1"/>
  <c r="Q43" i="5"/>
  <c r="Q42" i="5"/>
  <c r="Q41" i="5"/>
  <c r="Q40" i="5"/>
  <c r="Q39" i="5"/>
  <c r="Q36" i="5"/>
  <c r="Q35" i="5"/>
  <c r="Q34" i="5"/>
  <c r="Q33" i="5"/>
  <c r="Q32" i="5"/>
  <c r="Q31" i="5"/>
  <c r="Q30" i="5"/>
  <c r="Q26" i="5"/>
  <c r="Q25" i="5"/>
  <c r="Q24" i="5"/>
  <c r="Q23" i="5"/>
  <c r="Q19" i="5"/>
  <c r="Q18" i="5"/>
  <c r="M22" i="5"/>
  <c r="N22" i="5"/>
  <c r="O22" i="5"/>
  <c r="P22" i="5"/>
  <c r="L15" i="5"/>
  <c r="K16" i="5"/>
  <c r="K27" i="5" s="1"/>
  <c r="M16" i="5"/>
  <c r="N16" i="5"/>
  <c r="O16" i="5"/>
  <c r="P16" i="5"/>
  <c r="R87" i="5" l="1"/>
  <c r="R103" i="5"/>
  <c r="R102" i="5"/>
  <c r="Q104" i="5"/>
  <c r="AF15" i="5"/>
  <c r="AG15" i="5" s="1"/>
  <c r="AH15" i="5" s="1"/>
  <c r="AI15" i="5" s="1"/>
  <c r="AJ15" i="5" s="1"/>
  <c r="AK15" i="5" s="1"/>
  <c r="Q46" i="59"/>
  <c r="Q30" i="59"/>
  <c r="O32" i="63"/>
  <c r="Q15" i="7"/>
  <c r="Q23" i="7"/>
  <c r="N32" i="63"/>
  <c r="Q68" i="5"/>
  <c r="Q112" i="5" s="1"/>
  <c r="M27" i="5"/>
  <c r="M32" i="63"/>
  <c r="P32" i="63"/>
  <c r="P122" i="5"/>
  <c r="AE149" i="59"/>
  <c r="AE22" i="59" s="1"/>
  <c r="Q105" i="5"/>
  <c r="Q106" i="5"/>
  <c r="Q98" i="5"/>
  <c r="Q99" i="5"/>
  <c r="Q83" i="5"/>
  <c r="Q57" i="5"/>
  <c r="P27" i="5"/>
  <c r="P71" i="5"/>
  <c r="O27" i="5"/>
  <c r="Q22" i="5"/>
  <c r="N27" i="5"/>
  <c r="Q32" i="63" l="1"/>
  <c r="AF149" i="59"/>
  <c r="W96" i="5"/>
  <c r="M59" i="64"/>
  <c r="N59" i="64" s="1"/>
  <c r="AF22" i="59" l="1"/>
  <c r="AG149" i="59"/>
  <c r="X96" i="5"/>
  <c r="O59" i="64"/>
  <c r="AG22" i="59" l="1"/>
  <c r="AH149" i="59"/>
  <c r="U26" i="5"/>
  <c r="U105" i="5"/>
  <c r="U44" i="5"/>
  <c r="Y96" i="5"/>
  <c r="U36" i="5"/>
  <c r="P59" i="64"/>
  <c r="AI149" i="59" l="1"/>
  <c r="AH22" i="59"/>
  <c r="W105" i="5"/>
  <c r="U106" i="5"/>
  <c r="U21" i="6"/>
  <c r="Z96" i="5"/>
  <c r="V36" i="5"/>
  <c r="AJ149" i="59" l="1"/>
  <c r="AI22" i="59"/>
  <c r="X105" i="5"/>
  <c r="W106" i="5"/>
  <c r="W36" i="5"/>
  <c r="R59" i="64"/>
  <c r="AK149" i="59" l="1"/>
  <c r="AK22" i="59" s="1"/>
  <c r="AJ22" i="59"/>
  <c r="X106" i="5"/>
  <c r="Y105" i="5"/>
  <c r="X36" i="5"/>
  <c r="AC96" i="5"/>
  <c r="S59" i="64"/>
  <c r="Y106" i="5" l="1"/>
  <c r="Z105" i="5"/>
  <c r="Y36" i="5"/>
  <c r="AD96" i="5"/>
  <c r="N34" i="64"/>
  <c r="M21" i="64"/>
  <c r="AB105" i="5" l="1"/>
  <c r="Z106" i="5"/>
  <c r="Z36" i="5"/>
  <c r="AE96" i="5"/>
  <c r="O47" i="64"/>
  <c r="M7" i="64"/>
  <c r="AC105" i="5" l="1"/>
  <c r="AB106" i="5"/>
  <c r="AA36" i="5"/>
  <c r="O21" i="64"/>
  <c r="P34" i="64"/>
  <c r="P47" i="64"/>
  <c r="AD105" i="5" l="1"/>
  <c r="AC106" i="5"/>
  <c r="AB36" i="5"/>
  <c r="P21" i="64"/>
  <c r="Q34" i="64"/>
  <c r="Q47" i="64"/>
  <c r="O7" i="64"/>
  <c r="AE105" i="5" l="1"/>
  <c r="AD106" i="5"/>
  <c r="AC36" i="5"/>
  <c r="R34" i="64"/>
  <c r="R47" i="64"/>
  <c r="Q21" i="64"/>
  <c r="P7" i="64"/>
  <c r="AE106" i="5" l="1"/>
  <c r="AG105" i="5"/>
  <c r="AD36" i="5"/>
  <c r="S47" i="64"/>
  <c r="S34" i="64"/>
  <c r="R21" i="64"/>
  <c r="Q7" i="64"/>
  <c r="AG106" i="5" l="1"/>
  <c r="AH105" i="5"/>
  <c r="AE36" i="5"/>
  <c r="S21" i="64"/>
  <c r="R7" i="64"/>
  <c r="AI105" i="5" l="1"/>
  <c r="AH106" i="5"/>
  <c r="AF36" i="5"/>
  <c r="AG36" i="5" s="1"/>
  <c r="AH36" i="5" s="1"/>
  <c r="AI36" i="5" s="1"/>
  <c r="AJ36" i="5" s="1"/>
  <c r="AK36" i="5" s="1"/>
  <c r="S7" i="64"/>
  <c r="AJ105" i="5" l="1"/>
  <c r="AJ106" i="5" s="1"/>
  <c r="AI106" i="5"/>
  <c r="O117" i="63"/>
  <c r="K117" i="63"/>
  <c r="L117" i="63" s="1"/>
  <c r="O125" i="63" l="1"/>
  <c r="L115" i="63"/>
  <c r="L124" i="63"/>
  <c r="L53" i="94" s="1"/>
  <c r="L123" i="63"/>
  <c r="L52" i="94" s="1"/>
  <c r="L122" i="63"/>
  <c r="L51" i="94" s="1"/>
  <c r="L121" i="63"/>
  <c r="L50" i="94" s="1"/>
  <c r="L120" i="63"/>
  <c r="L49" i="94" s="1"/>
  <c r="K125" i="63"/>
  <c r="K127" i="63" s="1"/>
  <c r="L127" i="63" s="1"/>
  <c r="O127" i="63" l="1"/>
  <c r="L125" i="63"/>
  <c r="AD62" i="58" l="1"/>
  <c r="M53" i="58"/>
  <c r="N53" i="58"/>
  <c r="O53" i="58"/>
  <c r="P53" i="58"/>
  <c r="M93" i="63"/>
  <c r="N93" i="63"/>
  <c r="O93" i="63"/>
  <c r="P93" i="63"/>
  <c r="P73" i="63" s="1"/>
  <c r="Q56" i="3"/>
  <c r="Q93" i="63" s="1"/>
  <c r="Q55" i="3"/>
  <c r="Q52" i="58" s="1"/>
  <c r="Q91" i="58"/>
  <c r="Q74" i="58"/>
  <c r="L53" i="58"/>
  <c r="K53" i="58"/>
  <c r="J53" i="58"/>
  <c r="I53" i="58"/>
  <c r="H53" i="58"/>
  <c r="G53" i="58"/>
  <c r="P52" i="58"/>
  <c r="O52" i="58"/>
  <c r="N52" i="58"/>
  <c r="M52" i="58"/>
  <c r="L52" i="58"/>
  <c r="K52" i="58"/>
  <c r="J52" i="58"/>
  <c r="I52" i="58"/>
  <c r="H52" i="58"/>
  <c r="G52" i="58"/>
  <c r="P108" i="63"/>
  <c r="O108" i="63"/>
  <c r="N108" i="63"/>
  <c r="M108" i="63"/>
  <c r="P107" i="63"/>
  <c r="O107" i="63"/>
  <c r="N107" i="63"/>
  <c r="M107" i="63"/>
  <c r="Q106" i="63"/>
  <c r="Q28" i="94" s="1"/>
  <c r="Q31" i="94" s="1"/>
  <c r="P28" i="63"/>
  <c r="O28" i="63"/>
  <c r="N22" i="63"/>
  <c r="M22" i="63"/>
  <c r="N21" i="63"/>
  <c r="M21" i="63"/>
  <c r="O26" i="63"/>
  <c r="N26" i="63"/>
  <c r="M26" i="63"/>
  <c r="Q25" i="63"/>
  <c r="P27" i="63"/>
  <c r="O27" i="63"/>
  <c r="N27" i="63"/>
  <c r="M27" i="63"/>
  <c r="Q37" i="94" l="1"/>
  <c r="Q29" i="94"/>
  <c r="P74" i="63"/>
  <c r="R77" i="63"/>
  <c r="O18" i="63"/>
  <c r="O18" i="42" s="1"/>
  <c r="P18" i="63"/>
  <c r="P18" i="42" s="1"/>
  <c r="R75" i="63"/>
  <c r="Q20" i="63"/>
  <c r="O23" i="63"/>
  <c r="Q97" i="63"/>
  <c r="P98" i="63"/>
  <c r="M97" i="63"/>
  <c r="P97" i="63"/>
  <c r="O97" i="63"/>
  <c r="N97" i="63"/>
  <c r="Q26" i="63"/>
  <c r="M69" i="59"/>
  <c r="Q101" i="63"/>
  <c r="O69" i="59"/>
  <c r="N69" i="59"/>
  <c r="P69" i="59"/>
  <c r="O22" i="63"/>
  <c r="Q69" i="59"/>
  <c r="AE62" i="58"/>
  <c r="Q107" i="63"/>
  <c r="Q53" i="58"/>
  <c r="O21" i="63"/>
  <c r="Q28" i="63"/>
  <c r="O16" i="63" l="1"/>
  <c r="O17" i="63" s="1"/>
  <c r="O17" i="42" s="1"/>
  <c r="Q102" i="63"/>
  <c r="O16" i="42" l="1"/>
  <c r="AC96" i="63"/>
  <c r="AD96" i="63" s="1"/>
  <c r="AE96" i="63" s="1"/>
  <c r="AF96" i="63" s="1"/>
  <c r="X96" i="63"/>
  <c r="Y96" i="63" s="1"/>
  <c r="Z96" i="63" s="1"/>
  <c r="AA96" i="63" s="1"/>
  <c r="S96" i="63"/>
  <c r="T96" i="63" s="1"/>
  <c r="U96" i="63" s="1"/>
  <c r="V96" i="63" s="1"/>
  <c r="N96" i="63"/>
  <c r="O96" i="63" s="1"/>
  <c r="P96" i="63" s="1"/>
  <c r="Q96" i="63" s="1"/>
  <c r="AC91" i="63"/>
  <c r="AD91" i="63" s="1"/>
  <c r="AE91" i="63" s="1"/>
  <c r="AF91" i="63" s="1"/>
  <c r="X91" i="63"/>
  <c r="Y91" i="63" s="1"/>
  <c r="Z91" i="63" s="1"/>
  <c r="AA91" i="63" s="1"/>
  <c r="T91" i="63"/>
  <c r="N91" i="63"/>
  <c r="O91" i="63" s="1"/>
  <c r="P91" i="63" s="1"/>
  <c r="Q91" i="63" s="1"/>
  <c r="AC85" i="63"/>
  <c r="AD85" i="63" s="1"/>
  <c r="AE85" i="63" s="1"/>
  <c r="AF85" i="63" s="1"/>
  <c r="X85" i="63"/>
  <c r="Y85" i="63" s="1"/>
  <c r="Z85" i="63" s="1"/>
  <c r="AA85" i="63" s="1"/>
  <c r="T85" i="63"/>
  <c r="N85" i="63"/>
  <c r="O85" i="63" s="1"/>
  <c r="P85" i="63" s="1"/>
  <c r="Q85" i="63" s="1"/>
  <c r="Q87" i="63"/>
  <c r="Q80" i="63"/>
  <c r="M88" i="63"/>
  <c r="P95" i="63"/>
  <c r="O95" i="63"/>
  <c r="N95" i="63"/>
  <c r="M95" i="63"/>
  <c r="P94" i="63"/>
  <c r="O94" i="63"/>
  <c r="N94" i="63"/>
  <c r="M94" i="63"/>
  <c r="P89" i="63"/>
  <c r="O89" i="63"/>
  <c r="N89" i="63"/>
  <c r="M89" i="63"/>
  <c r="P88" i="63"/>
  <c r="O88" i="63"/>
  <c r="N88" i="63"/>
  <c r="P82" i="63"/>
  <c r="O82" i="63"/>
  <c r="N82" i="63"/>
  <c r="M82" i="63"/>
  <c r="P81" i="63"/>
  <c r="O81" i="63"/>
  <c r="N81" i="63"/>
  <c r="M81" i="63"/>
  <c r="P68" i="63"/>
  <c r="O68" i="63"/>
  <c r="N68" i="63"/>
  <c r="M68" i="63"/>
  <c r="Q67" i="63"/>
  <c r="P67" i="63"/>
  <c r="O67" i="63"/>
  <c r="N67" i="63"/>
  <c r="M67" i="63"/>
  <c r="Q55" i="63"/>
  <c r="Q53" i="63"/>
  <c r="P53" i="63"/>
  <c r="O53" i="63"/>
  <c r="N53" i="63"/>
  <c r="M53" i="63"/>
  <c r="O47" i="63"/>
  <c r="N47" i="63"/>
  <c r="M47" i="63"/>
  <c r="O48" i="63"/>
  <c r="N48" i="63"/>
  <c r="M48" i="63"/>
  <c r="P11" i="6"/>
  <c r="P105" i="58"/>
  <c r="P38" i="58" s="1"/>
  <c r="P104" i="58"/>
  <c r="P103" i="58"/>
  <c r="P102" i="58"/>
  <c r="L58" i="3"/>
  <c r="J40" i="3"/>
  <c r="I40" i="3"/>
  <c r="H40" i="3"/>
  <c r="J34" i="3"/>
  <c r="I34" i="3"/>
  <c r="H34" i="3"/>
  <c r="J23" i="3"/>
  <c r="J66" i="5" s="1"/>
  <c r="I23" i="3"/>
  <c r="I66" i="5" s="1"/>
  <c r="H23" i="3"/>
  <c r="H66" i="5" s="1"/>
  <c r="H14" i="3"/>
  <c r="I14" i="3"/>
  <c r="J14" i="3"/>
  <c r="M57" i="3"/>
  <c r="N57" i="3"/>
  <c r="O57" i="3"/>
  <c r="P57" i="3"/>
  <c r="P91" i="58"/>
  <c r="P74" i="58"/>
  <c r="P10" i="58"/>
  <c r="P10" i="3"/>
  <c r="P32" i="3" s="1"/>
  <c r="P30" i="58" s="1"/>
  <c r="U85" i="63" l="1"/>
  <c r="V85" i="63" s="1"/>
  <c r="T111" i="63"/>
  <c r="T40" i="94" s="1"/>
  <c r="U91" i="63"/>
  <c r="V91" i="63" s="1"/>
  <c r="I124" i="42"/>
  <c r="J124" i="42"/>
  <c r="H124" i="42"/>
  <c r="P65" i="59"/>
  <c r="P70" i="59" s="1"/>
  <c r="J57" i="3"/>
  <c r="O65" i="59"/>
  <c r="H57" i="3"/>
  <c r="M65" i="59"/>
  <c r="I57" i="3"/>
  <c r="N65" i="59"/>
  <c r="P114" i="58"/>
  <c r="P116" i="58"/>
  <c r="P115" i="58"/>
  <c r="P113" i="58"/>
  <c r="P47" i="63"/>
  <c r="P49" i="63"/>
  <c r="Q81" i="63"/>
  <c r="Q88" i="63"/>
  <c r="P48" i="63"/>
  <c r="P50" i="63"/>
  <c r="Q94" i="63"/>
  <c r="P36" i="63" l="1"/>
  <c r="P35" i="63"/>
  <c r="Q34" i="63"/>
  <c r="P38" i="63"/>
  <c r="P37" i="63"/>
  <c r="I58" i="3"/>
  <c r="I65" i="59"/>
  <c r="H58" i="3"/>
  <c r="H65" i="59"/>
  <c r="J58" i="3"/>
  <c r="J65" i="59"/>
  <c r="Q47" i="63"/>
  <c r="Q49" i="63"/>
  <c r="Q73" i="63" l="1"/>
  <c r="Q74" i="63" s="1"/>
  <c r="Q35" i="63"/>
  <c r="Q37" i="63"/>
  <c r="Q26" i="59" l="1"/>
  <c r="AC206" i="59"/>
  <c r="X206" i="59"/>
  <c r="X73" i="59" s="1"/>
  <c r="Q205" i="59"/>
  <c r="U206" i="59"/>
  <c r="U73" i="59" s="1"/>
  <c r="L205" i="59"/>
  <c r="U74" i="59" l="1"/>
  <c r="X74" i="59"/>
  <c r="Q20" i="59"/>
  <c r="O70" i="59"/>
  <c r="Y206" i="59"/>
  <c r="Y73" i="59" s="1"/>
  <c r="R20" i="59"/>
  <c r="AD206" i="59"/>
  <c r="Q89" i="59"/>
  <c r="Q95" i="59"/>
  <c r="AF90" i="59"/>
  <c r="Q14" i="59" l="1"/>
  <c r="R90" i="59"/>
  <c r="R209" i="59"/>
  <c r="AE206" i="59"/>
  <c r="Z206" i="59"/>
  <c r="Z73" i="59" s="1"/>
  <c r="AA90" i="59"/>
  <c r="R14" i="59"/>
  <c r="Z74" i="59" l="1"/>
  <c r="R85" i="59"/>
  <c r="R91" i="59"/>
  <c r="AF206" i="59"/>
  <c r="AA206" i="59"/>
  <c r="R93" i="59"/>
  <c r="S95" i="59" l="1"/>
  <c r="R86" i="59"/>
  <c r="R195" i="59"/>
  <c r="S93" i="59"/>
  <c r="L45" i="64"/>
  <c r="L19" i="64" l="1"/>
  <c r="L32" i="64"/>
  <c r="U89" i="59"/>
  <c r="L5" i="64"/>
  <c r="U14" i="59" l="1"/>
  <c r="U95" i="59"/>
  <c r="V95" i="59" s="1"/>
  <c r="U93" i="59"/>
  <c r="V89" i="59"/>
  <c r="V14" i="59" s="1"/>
  <c r="L57" i="64"/>
  <c r="W89" i="59" l="1"/>
  <c r="W14" i="59" l="1"/>
  <c r="W95" i="59"/>
  <c r="W93" i="59"/>
  <c r="X89" i="59"/>
  <c r="X14" i="59" l="1"/>
  <c r="X95" i="59"/>
  <c r="Y89" i="59"/>
  <c r="X93" i="59"/>
  <c r="Y14" i="59" l="1"/>
  <c r="Y95" i="59"/>
  <c r="Z89" i="59"/>
  <c r="Y93" i="59"/>
  <c r="Z14" i="59" l="1"/>
  <c r="Z95" i="59"/>
  <c r="AA95" i="59" s="1"/>
  <c r="AA89" i="59"/>
  <c r="AA14" i="59" s="1"/>
  <c r="Z93" i="59"/>
  <c r="AB89" i="59" l="1"/>
  <c r="AB14" i="59" l="1"/>
  <c r="AB95" i="59"/>
  <c r="AC89" i="59"/>
  <c r="AC14" i="59" l="1"/>
  <c r="AC95" i="59"/>
  <c r="AD89" i="59"/>
  <c r="AD14" i="59" l="1"/>
  <c r="AD95" i="59"/>
  <c r="AE89" i="59"/>
  <c r="Q110" i="59"/>
  <c r="Q99" i="59"/>
  <c r="Q15" i="59" s="1"/>
  <c r="Q28" i="59" s="1"/>
  <c r="K214" i="59"/>
  <c r="P62" i="59"/>
  <c r="AE14" i="59" l="1"/>
  <c r="AE95" i="59"/>
  <c r="AF95" i="59" s="1"/>
  <c r="AG90" i="59"/>
  <c r="P104" i="59"/>
  <c r="Q10" i="59"/>
  <c r="P153" i="59"/>
  <c r="P93" i="59"/>
  <c r="AF89" i="59"/>
  <c r="Q62" i="59"/>
  <c r="O145" i="59"/>
  <c r="J212" i="59"/>
  <c r="L213" i="59"/>
  <c r="H212" i="59"/>
  <c r="I212" i="59" s="1"/>
  <c r="L149" i="59"/>
  <c r="Q150" i="59" s="1"/>
  <c r="AF49" i="6"/>
  <c r="AF45" i="6"/>
  <c r="AF44" i="6"/>
  <c r="AF43" i="6"/>
  <c r="AF42" i="6"/>
  <c r="V69" i="6"/>
  <c r="V70" i="6"/>
  <c r="V64" i="6"/>
  <c r="V63" i="6"/>
  <c r="V61" i="6"/>
  <c r="V57" i="6"/>
  <c r="V49" i="6"/>
  <c r="V45" i="6"/>
  <c r="V44" i="6"/>
  <c r="V43" i="6"/>
  <c r="V42" i="6"/>
  <c r="V22" i="6"/>
  <c r="V21" i="6"/>
  <c r="V20" i="6"/>
  <c r="V18" i="6"/>
  <c r="V15" i="6"/>
  <c r="V11" i="6"/>
  <c r="V44" i="5"/>
  <c r="P53" i="59" l="1"/>
  <c r="AE35" i="59"/>
  <c r="AD35" i="59"/>
  <c r="AC35" i="59"/>
  <c r="AB35" i="59"/>
  <c r="AG91" i="59"/>
  <c r="AK90" i="59"/>
  <c r="AF14" i="59"/>
  <c r="AG89" i="59"/>
  <c r="AG95" i="59" s="1"/>
  <c r="P103" i="59"/>
  <c r="Q104" i="59"/>
  <c r="Q53" i="59" s="1"/>
  <c r="P54" i="59"/>
  <c r="W44" i="5"/>
  <c r="Q153" i="59"/>
  <c r="Q145" i="59"/>
  <c r="Q92" i="5" s="1"/>
  <c r="O92" i="5"/>
  <c r="Q93" i="59"/>
  <c r="Q66" i="59"/>
  <c r="Q103" i="59" l="1"/>
  <c r="AH89" i="59"/>
  <c r="AH95" i="59" s="1"/>
  <c r="AG14" i="59"/>
  <c r="Q54" i="59"/>
  <c r="W21" i="6"/>
  <c r="X44" i="5"/>
  <c r="U40" i="5"/>
  <c r="AH14" i="59" l="1"/>
  <c r="AI89" i="59"/>
  <c r="AI95" i="59" s="1"/>
  <c r="X21" i="6"/>
  <c r="Y44" i="5"/>
  <c r="U19" i="5"/>
  <c r="U53" i="5"/>
  <c r="U31" i="5"/>
  <c r="U55" i="5"/>
  <c r="U24" i="5"/>
  <c r="V40" i="5"/>
  <c r="U49" i="5"/>
  <c r="AJ89" i="59" l="1"/>
  <c r="AJ95" i="59" s="1"/>
  <c r="AI14" i="59"/>
  <c r="Z44" i="5"/>
  <c r="Z21" i="6" s="1"/>
  <c r="Y21" i="6"/>
  <c r="V31" i="5"/>
  <c r="V24" i="5"/>
  <c r="V53" i="5"/>
  <c r="V55" i="5"/>
  <c r="V19" i="5"/>
  <c r="W40" i="5"/>
  <c r="V49" i="5"/>
  <c r="V93" i="59"/>
  <c r="V62" i="59"/>
  <c r="AA100" i="59"/>
  <c r="AJ14" i="59" l="1"/>
  <c r="AK89" i="59"/>
  <c r="AK95" i="59"/>
  <c r="W53" i="5"/>
  <c r="W19" i="5"/>
  <c r="W24" i="5"/>
  <c r="W49" i="5"/>
  <c r="W55" i="5"/>
  <c r="W31" i="5"/>
  <c r="X40" i="5"/>
  <c r="AA44" i="5"/>
  <c r="AA21" i="6"/>
  <c r="AF100" i="59"/>
  <c r="AK14" i="59" l="1"/>
  <c r="X31" i="5"/>
  <c r="X55" i="5"/>
  <c r="X19" i="5"/>
  <c r="X53" i="5"/>
  <c r="X24" i="5"/>
  <c r="Y40" i="5"/>
  <c r="AB44" i="5"/>
  <c r="AB21" i="6" l="1"/>
  <c r="AC44" i="5"/>
  <c r="Y19" i="5"/>
  <c r="Y55" i="5"/>
  <c r="Y24" i="5"/>
  <c r="Y53" i="5"/>
  <c r="Y31" i="5"/>
  <c r="Z40" i="5"/>
  <c r="AA62" i="59"/>
  <c r="AC21" i="6" l="1"/>
  <c r="Z24" i="5"/>
  <c r="Z31" i="5"/>
  <c r="Z55" i="5"/>
  <c r="Z53" i="5"/>
  <c r="Z19" i="5"/>
  <c r="AA40" i="5"/>
  <c r="AA93" i="59"/>
  <c r="AB187" i="59" l="1"/>
  <c r="AC62" i="59"/>
  <c r="AB104" i="59"/>
  <c r="AB153" i="59"/>
  <c r="AA55" i="5"/>
  <c r="AA31" i="5"/>
  <c r="AA19" i="5"/>
  <c r="AA53" i="5"/>
  <c r="AA24" i="5"/>
  <c r="AB40" i="5"/>
  <c r="AB93" i="59"/>
  <c r="AA49" i="5"/>
  <c r="AB123" i="59" l="1"/>
  <c r="AD62" i="59"/>
  <c r="AC104" i="59"/>
  <c r="AC187" i="59"/>
  <c r="AC93" i="59"/>
  <c r="AC153" i="59"/>
  <c r="AB19" i="5"/>
  <c r="AB24" i="5"/>
  <c r="AB31" i="5"/>
  <c r="AB53" i="5"/>
  <c r="AB55" i="5"/>
  <c r="AC40" i="5"/>
  <c r="AB49" i="5"/>
  <c r="AC123" i="59" l="1"/>
  <c r="AD153" i="59"/>
  <c r="AD104" i="59"/>
  <c r="AD93" i="59"/>
  <c r="AD187" i="59"/>
  <c r="AE62" i="59"/>
  <c r="AC19" i="5"/>
  <c r="AC31" i="5"/>
  <c r="AC24" i="5"/>
  <c r="AC55" i="5"/>
  <c r="AC53" i="5"/>
  <c r="AD40" i="5"/>
  <c r="AC49" i="5"/>
  <c r="AE187" i="59" l="1"/>
  <c r="AF187" i="59" s="1"/>
  <c r="AD123" i="59"/>
  <c r="AE153" i="59"/>
  <c r="AF153" i="59" s="1"/>
  <c r="AE93" i="59"/>
  <c r="AF93" i="59" s="1"/>
  <c r="AF62" i="59"/>
  <c r="AG62" i="59" s="1"/>
  <c r="AF129" i="59"/>
  <c r="AE104" i="59"/>
  <c r="AF155" i="59"/>
  <c r="AD31" i="5"/>
  <c r="AD24" i="5"/>
  <c r="AD53" i="5"/>
  <c r="AD55" i="5"/>
  <c r="AD19" i="5"/>
  <c r="AE40" i="5"/>
  <c r="AD49" i="5"/>
  <c r="G228" i="59"/>
  <c r="H228" i="59"/>
  <c r="I228" i="59"/>
  <c r="J228" i="59"/>
  <c r="L228" i="59"/>
  <c r="M228" i="59"/>
  <c r="N228" i="59"/>
  <c r="O228" i="59"/>
  <c r="K227" i="59"/>
  <c r="K226" i="59"/>
  <c r="K225" i="59"/>
  <c r="K223" i="59"/>
  <c r="K69" i="59"/>
  <c r="K68" i="59"/>
  <c r="K67" i="59"/>
  <c r="K66" i="59"/>
  <c r="AE123" i="59" l="1"/>
  <c r="AF123" i="59" s="1"/>
  <c r="AG187" i="59"/>
  <c r="AG153" i="59"/>
  <c r="AG104" i="59"/>
  <c r="AH62" i="59"/>
  <c r="AG93" i="59"/>
  <c r="AE55" i="5"/>
  <c r="AE31" i="5"/>
  <c r="AE53" i="5"/>
  <c r="AE19" i="5"/>
  <c r="AE24" i="5"/>
  <c r="AF40" i="5"/>
  <c r="AG40" i="5" s="1"/>
  <c r="AH40" i="5" s="1"/>
  <c r="AI40" i="5" s="1"/>
  <c r="AJ40" i="5" s="1"/>
  <c r="AK40" i="5" s="1"/>
  <c r="AE49" i="5"/>
  <c r="K228" i="59"/>
  <c r="AG123" i="59" l="1"/>
  <c r="AI62" i="59"/>
  <c r="AI153" i="59" s="1"/>
  <c r="AH104" i="59"/>
  <c r="AH153" i="59"/>
  <c r="AH93" i="59"/>
  <c r="AH187" i="59"/>
  <c r="AI104" i="59"/>
  <c r="AF19" i="5"/>
  <c r="AG19" i="5" s="1"/>
  <c r="AH19" i="5" s="1"/>
  <c r="AI19" i="5" s="1"/>
  <c r="AJ19" i="5" s="1"/>
  <c r="AK19" i="5" s="1"/>
  <c r="AF53" i="5"/>
  <c r="AG53" i="5" s="1"/>
  <c r="AH53" i="5" s="1"/>
  <c r="AI53" i="5" s="1"/>
  <c r="AJ53" i="5" s="1"/>
  <c r="AK53" i="5" s="1"/>
  <c r="AF24" i="5"/>
  <c r="AG24" i="5" s="1"/>
  <c r="AH24" i="5" s="1"/>
  <c r="AI24" i="5" s="1"/>
  <c r="AJ24" i="5" s="1"/>
  <c r="AK24" i="5" s="1"/>
  <c r="AF31" i="5"/>
  <c r="AG31" i="5" s="1"/>
  <c r="AH31" i="5" s="1"/>
  <c r="AI31" i="5" s="1"/>
  <c r="AJ31" i="5" s="1"/>
  <c r="AK31" i="5" s="1"/>
  <c r="AF55" i="5"/>
  <c r="AG55" i="5" s="1"/>
  <c r="AH55" i="5" s="1"/>
  <c r="AI55" i="5" s="1"/>
  <c r="AJ55" i="5" s="1"/>
  <c r="AK55" i="5" s="1"/>
  <c r="AF49" i="5"/>
  <c r="AG49" i="5" s="1"/>
  <c r="AH49" i="5" s="1"/>
  <c r="AI49" i="5" s="1"/>
  <c r="AJ49" i="5" s="1"/>
  <c r="AK49" i="5" s="1"/>
  <c r="K46" i="59"/>
  <c r="M46" i="59"/>
  <c r="N46" i="59"/>
  <c r="O46" i="59"/>
  <c r="T47" i="59" s="1"/>
  <c r="L26" i="59"/>
  <c r="L137" i="59"/>
  <c r="Q138" i="59" s="1"/>
  <c r="Q90" i="5" s="1"/>
  <c r="L99" i="59"/>
  <c r="L89" i="59"/>
  <c r="L212" i="59"/>
  <c r="M212" i="59" s="1"/>
  <c r="L221" i="59"/>
  <c r="AI187" i="59" l="1"/>
  <c r="AH123" i="59"/>
  <c r="AI123" i="59"/>
  <c r="AJ62" i="59"/>
  <c r="AK62" i="59" s="1"/>
  <c r="AI93" i="59"/>
  <c r="AK129" i="59"/>
  <c r="AK155" i="59"/>
  <c r="Q100" i="59"/>
  <c r="Q73" i="59" s="1"/>
  <c r="M100" i="59"/>
  <c r="M47" i="59"/>
  <c r="M48" i="59"/>
  <c r="K48" i="59"/>
  <c r="K47" i="59"/>
  <c r="P47" i="59"/>
  <c r="O48" i="59"/>
  <c r="O47" i="59"/>
  <c r="P48" i="59"/>
  <c r="Q90" i="59"/>
  <c r="Q85" i="59" s="1"/>
  <c r="M90" i="59"/>
  <c r="N48" i="59"/>
  <c r="N47" i="59"/>
  <c r="N212" i="59"/>
  <c r="L10" i="59"/>
  <c r="AB94" i="5"/>
  <c r="AB93" i="5"/>
  <c r="G88" i="5"/>
  <c r="C88" i="5"/>
  <c r="C75" i="5"/>
  <c r="G75" i="5"/>
  <c r="C78" i="5"/>
  <c r="D78" i="5"/>
  <c r="E78" i="5"/>
  <c r="F78" i="5"/>
  <c r="J77" i="5"/>
  <c r="I77" i="5"/>
  <c r="H77" i="5"/>
  <c r="G77" i="5"/>
  <c r="F77" i="5"/>
  <c r="E77" i="5"/>
  <c r="D77" i="5"/>
  <c r="C77" i="5"/>
  <c r="J76" i="5"/>
  <c r="I76" i="5"/>
  <c r="H76" i="5"/>
  <c r="G76" i="5"/>
  <c r="F76" i="5"/>
  <c r="E76" i="5"/>
  <c r="D76" i="5"/>
  <c r="C76" i="5"/>
  <c r="K69" i="5"/>
  <c r="O69" i="5"/>
  <c r="K70" i="5"/>
  <c r="M70" i="5"/>
  <c r="N70" i="5"/>
  <c r="O70" i="5"/>
  <c r="Q70" i="5"/>
  <c r="G63" i="5"/>
  <c r="H63" i="5"/>
  <c r="I63" i="5"/>
  <c r="L63" i="5"/>
  <c r="M63" i="5"/>
  <c r="N63" i="5"/>
  <c r="M37" i="5"/>
  <c r="N37" i="5"/>
  <c r="M81" i="6"/>
  <c r="M80" i="6"/>
  <c r="AJ104" i="59" l="1"/>
  <c r="AJ153" i="59"/>
  <c r="AK153" i="59" s="1"/>
  <c r="AJ187" i="59"/>
  <c r="AK187" i="59" s="1"/>
  <c r="AJ93" i="59"/>
  <c r="AJ123" i="59"/>
  <c r="AK123" i="59" s="1"/>
  <c r="AK93" i="59"/>
  <c r="Q74" i="59"/>
  <c r="Q76" i="59"/>
  <c r="L11" i="59"/>
  <c r="Q11" i="59"/>
  <c r="M84" i="6"/>
  <c r="Q86" i="59"/>
  <c r="K10" i="59"/>
  <c r="N46" i="5"/>
  <c r="M46" i="5"/>
  <c r="L28" i="59"/>
  <c r="AC93" i="5"/>
  <c r="O71" i="5"/>
  <c r="X93" i="5"/>
  <c r="AC94" i="5"/>
  <c r="X94" i="5"/>
  <c r="K71" i="5"/>
  <c r="K28" i="59" l="1"/>
  <c r="K12" i="59"/>
  <c r="K11" i="59"/>
  <c r="M12" i="59"/>
  <c r="P11" i="59"/>
  <c r="Q77" i="59"/>
  <c r="N58" i="5"/>
  <c r="M70" i="59"/>
  <c r="N70" i="59"/>
  <c r="M58" i="5"/>
  <c r="Y94" i="5" l="1"/>
  <c r="U25" i="5"/>
  <c r="Y93" i="5"/>
  <c r="Z93" i="5"/>
  <c r="Z94" i="5"/>
  <c r="V25" i="5" l="1"/>
  <c r="AD93" i="5"/>
  <c r="AD94" i="5"/>
  <c r="U51" i="5"/>
  <c r="W25" i="5" l="1"/>
  <c r="AE93" i="5"/>
  <c r="AE94" i="5"/>
  <c r="V51" i="5"/>
  <c r="X25" i="5" l="1"/>
  <c r="W51" i="5"/>
  <c r="Y25" i="5" l="1"/>
  <c r="X51" i="5"/>
  <c r="Z25" i="5" l="1"/>
  <c r="Y51" i="5"/>
  <c r="AA25" i="5" l="1"/>
  <c r="Z51" i="5"/>
  <c r="AB25" i="5" l="1"/>
  <c r="AA51" i="5"/>
  <c r="AC25" i="5" l="1"/>
  <c r="AB51" i="5"/>
  <c r="O29" i="42"/>
  <c r="J29" i="42"/>
  <c r="G29" i="42"/>
  <c r="L21" i="42"/>
  <c r="Q22" i="42" s="1"/>
  <c r="G21" i="42"/>
  <c r="I28" i="42"/>
  <c r="H28" i="42"/>
  <c r="N27" i="42"/>
  <c r="I27" i="42"/>
  <c r="H27" i="42"/>
  <c r="M23" i="42"/>
  <c r="I23" i="42"/>
  <c r="H23" i="42"/>
  <c r="N22" i="42"/>
  <c r="I22" i="42"/>
  <c r="H22" i="42"/>
  <c r="N38" i="42"/>
  <c r="J38" i="42"/>
  <c r="I38" i="42"/>
  <c r="H38" i="42"/>
  <c r="N37" i="42"/>
  <c r="M37" i="42"/>
  <c r="J37" i="42"/>
  <c r="I37" i="42"/>
  <c r="H37" i="42"/>
  <c r="O34" i="42"/>
  <c r="M34" i="42"/>
  <c r="K34" i="42"/>
  <c r="J34" i="42"/>
  <c r="I34" i="42"/>
  <c r="H34" i="42"/>
  <c r="O33" i="42"/>
  <c r="N33" i="42"/>
  <c r="M33" i="42"/>
  <c r="J33" i="42"/>
  <c r="I33" i="42"/>
  <c r="H33" i="42"/>
  <c r="O36" i="42"/>
  <c r="K23" i="7"/>
  <c r="M23" i="7"/>
  <c r="N23" i="7"/>
  <c r="O23" i="7"/>
  <c r="K15" i="7"/>
  <c r="M15" i="7"/>
  <c r="N15" i="7"/>
  <c r="O15" i="7"/>
  <c r="G10" i="7"/>
  <c r="G40" i="7" s="1"/>
  <c r="H10" i="7"/>
  <c r="H12" i="7" s="1"/>
  <c r="I10" i="7"/>
  <c r="L10" i="7"/>
  <c r="L40" i="7" s="1"/>
  <c r="M10" i="7"/>
  <c r="N10" i="7"/>
  <c r="S11" i="7" s="1"/>
  <c r="G91" i="58"/>
  <c r="H91" i="58"/>
  <c r="I91" i="58"/>
  <c r="L91" i="58"/>
  <c r="M91" i="58"/>
  <c r="N91" i="58"/>
  <c r="O91" i="58"/>
  <c r="Q124" i="58"/>
  <c r="L114" i="42"/>
  <c r="G114" i="42"/>
  <c r="L112" i="42"/>
  <c r="L107" i="42"/>
  <c r="G109" i="42"/>
  <c r="L109" i="42"/>
  <c r="G58" i="58"/>
  <c r="H58" i="58"/>
  <c r="I58" i="58"/>
  <c r="L58" i="58"/>
  <c r="G57" i="58"/>
  <c r="L57" i="58"/>
  <c r="N123" i="58"/>
  <c r="M123" i="58"/>
  <c r="I123" i="58"/>
  <c r="H123" i="58"/>
  <c r="H57" i="58" s="1"/>
  <c r="K124" i="58"/>
  <c r="G38" i="58"/>
  <c r="G37" i="58" s="1"/>
  <c r="H38" i="58"/>
  <c r="I38" i="58"/>
  <c r="I39" i="58" s="1"/>
  <c r="L38" i="58"/>
  <c r="G32" i="58"/>
  <c r="G130" i="42" s="1"/>
  <c r="H32" i="58"/>
  <c r="H130" i="42" s="1"/>
  <c r="I32" i="58"/>
  <c r="I130" i="42" s="1"/>
  <c r="L32" i="58"/>
  <c r="L130" i="42" s="1"/>
  <c r="M32" i="58"/>
  <c r="M130" i="42" s="1"/>
  <c r="N32" i="58"/>
  <c r="G23" i="58"/>
  <c r="H23" i="58"/>
  <c r="I23" i="58"/>
  <c r="I67" i="5" s="1"/>
  <c r="L23" i="58"/>
  <c r="L67" i="5" s="1"/>
  <c r="M23" i="58"/>
  <c r="M67" i="5" s="1"/>
  <c r="N23" i="58"/>
  <c r="G14" i="58"/>
  <c r="H14" i="58"/>
  <c r="I14" i="58"/>
  <c r="L14" i="58"/>
  <c r="M14" i="58"/>
  <c r="N14" i="58"/>
  <c r="S15" i="58" s="1"/>
  <c r="L61" i="58"/>
  <c r="I61" i="58"/>
  <c r="H61" i="58"/>
  <c r="G61" i="58"/>
  <c r="O74" i="58"/>
  <c r="N74" i="58"/>
  <c r="M74" i="58"/>
  <c r="L74" i="58"/>
  <c r="J74" i="58"/>
  <c r="I74" i="58"/>
  <c r="H74" i="58"/>
  <c r="G74" i="58"/>
  <c r="N54" i="58"/>
  <c r="M54" i="58"/>
  <c r="L54" i="58"/>
  <c r="I54" i="58"/>
  <c r="H54" i="58"/>
  <c r="G54" i="58"/>
  <c r="G106" i="58"/>
  <c r="L106" i="58"/>
  <c r="N106" i="58"/>
  <c r="N19" i="6" s="1"/>
  <c r="F50" i="58"/>
  <c r="E50" i="58"/>
  <c r="D50" i="58"/>
  <c r="C50" i="58"/>
  <c r="F41" i="58"/>
  <c r="E41" i="58"/>
  <c r="D41" i="58"/>
  <c r="C41" i="58"/>
  <c r="F35" i="58"/>
  <c r="E35" i="58"/>
  <c r="D35" i="58"/>
  <c r="C35" i="58"/>
  <c r="F26" i="58"/>
  <c r="E26" i="58"/>
  <c r="D26" i="58"/>
  <c r="C26" i="58"/>
  <c r="F21" i="58"/>
  <c r="E21" i="58"/>
  <c r="D21" i="58"/>
  <c r="C21" i="58"/>
  <c r="N10" i="58"/>
  <c r="M10" i="58"/>
  <c r="L10" i="58"/>
  <c r="I10" i="58"/>
  <c r="H10" i="58"/>
  <c r="G10" i="58"/>
  <c r="O78" i="5"/>
  <c r="N78" i="5"/>
  <c r="N81" i="5"/>
  <c r="J78" i="5"/>
  <c r="I78" i="5"/>
  <c r="M81" i="5"/>
  <c r="P81" i="5"/>
  <c r="L78" i="5"/>
  <c r="H78" i="5"/>
  <c r="G78" i="5"/>
  <c r="Q11" i="6"/>
  <c r="R11" i="6"/>
  <c r="S11" i="6"/>
  <c r="T11" i="6"/>
  <c r="U11" i="6"/>
  <c r="AB11" i="6"/>
  <c r="AC11" i="6"/>
  <c r="AD11" i="6"/>
  <c r="AE11" i="6"/>
  <c r="K78" i="5"/>
  <c r="O81" i="5"/>
  <c r="H10" i="3"/>
  <c r="I10" i="3"/>
  <c r="L51" i="5"/>
  <c r="L53" i="5"/>
  <c r="L54" i="5"/>
  <c r="L55" i="5"/>
  <c r="L56" i="5"/>
  <c r="L49" i="5"/>
  <c r="L39" i="5"/>
  <c r="L40" i="5"/>
  <c r="L41" i="5"/>
  <c r="L23" i="7" s="1"/>
  <c r="L42" i="5"/>
  <c r="L43" i="5"/>
  <c r="L44" i="5"/>
  <c r="L45" i="5"/>
  <c r="L30" i="5"/>
  <c r="L31" i="5"/>
  <c r="L32" i="5"/>
  <c r="L33" i="5"/>
  <c r="L15" i="7" s="1"/>
  <c r="L34" i="5"/>
  <c r="L35" i="5"/>
  <c r="L36" i="5"/>
  <c r="L18" i="5"/>
  <c r="L19" i="5"/>
  <c r="L22" i="5"/>
  <c r="L23" i="5"/>
  <c r="L24" i="5"/>
  <c r="L25" i="5"/>
  <c r="L26" i="5"/>
  <c r="L10" i="5"/>
  <c r="L11" i="5"/>
  <c r="L13" i="5"/>
  <c r="L14" i="5"/>
  <c r="S16" i="7" l="1"/>
  <c r="S18" i="7"/>
  <c r="T26" i="7"/>
  <c r="T24" i="7"/>
  <c r="T16" i="7"/>
  <c r="T18" i="7"/>
  <c r="S26" i="7"/>
  <c r="S24" i="7"/>
  <c r="S55" i="58"/>
  <c r="S24" i="58"/>
  <c r="N130" i="42"/>
  <c r="S33" i="58"/>
  <c r="S39" i="58"/>
  <c r="R55" i="58"/>
  <c r="S36" i="58"/>
  <c r="S11" i="58"/>
  <c r="H25" i="58"/>
  <c r="H67" i="5"/>
  <c r="N67" i="5"/>
  <c r="X23" i="58"/>
  <c r="X67" i="5" s="1"/>
  <c r="Q37" i="42"/>
  <c r="P38" i="42"/>
  <c r="M40" i="7"/>
  <c r="M41" i="7" s="1"/>
  <c r="L41" i="7"/>
  <c r="K16" i="7"/>
  <c r="L114" i="58"/>
  <c r="L116" i="58"/>
  <c r="L115" i="58"/>
  <c r="L113" i="58"/>
  <c r="L96" i="58"/>
  <c r="L111" i="58"/>
  <c r="L117" i="58"/>
  <c r="L110" i="58"/>
  <c r="L19" i="6"/>
  <c r="L109" i="58"/>
  <c r="L108" i="58"/>
  <c r="G96" i="58"/>
  <c r="G108" i="58"/>
  <c r="G19" i="6"/>
  <c r="G111" i="58"/>
  <c r="G117" i="58"/>
  <c r="G110" i="58"/>
  <c r="G109" i="58"/>
  <c r="G115" i="58"/>
  <c r="G114" i="58"/>
  <c r="G113" i="58"/>
  <c r="G116" i="58"/>
  <c r="R15" i="58"/>
  <c r="R24" i="58"/>
  <c r="R33" i="58"/>
  <c r="R39" i="58"/>
  <c r="Q81" i="5"/>
  <c r="R24" i="7"/>
  <c r="R26" i="7"/>
  <c r="M78" i="5"/>
  <c r="M84" i="5"/>
  <c r="R16" i="7"/>
  <c r="R18" i="7"/>
  <c r="H55" i="58"/>
  <c r="I55" i="58"/>
  <c r="L128" i="58"/>
  <c r="H65" i="5"/>
  <c r="H34" i="58"/>
  <c r="M129" i="58"/>
  <c r="M97" i="5"/>
  <c r="M103" i="5"/>
  <c r="Q103" i="5"/>
  <c r="M108" i="5"/>
  <c r="Q108" i="5" s="1"/>
  <c r="N84" i="63"/>
  <c r="N83" i="63" s="1"/>
  <c r="N25" i="58"/>
  <c r="M84" i="63"/>
  <c r="M83" i="63" s="1"/>
  <c r="R84" i="63"/>
  <c r="I24" i="58"/>
  <c r="I25" i="58"/>
  <c r="L30" i="59"/>
  <c r="Q31" i="59" s="1"/>
  <c r="M87" i="5"/>
  <c r="Q87" i="5"/>
  <c r="L46" i="59"/>
  <c r="L47" i="59" s="1"/>
  <c r="AD25" i="5"/>
  <c r="AC51" i="5"/>
  <c r="N128" i="58"/>
  <c r="M128" i="58"/>
  <c r="M57" i="58"/>
  <c r="N57" i="58"/>
  <c r="M36" i="58"/>
  <c r="N36" i="58"/>
  <c r="N90" i="63"/>
  <c r="N65" i="5"/>
  <c r="N96" i="5" s="1"/>
  <c r="M90" i="63"/>
  <c r="M65" i="5"/>
  <c r="M96" i="5" s="1"/>
  <c r="L65" i="5"/>
  <c r="L96" i="5" s="1"/>
  <c r="I15" i="58"/>
  <c r="I65" i="5"/>
  <c r="L68" i="5"/>
  <c r="L112" i="5" s="1"/>
  <c r="M102" i="5"/>
  <c r="L105" i="5"/>
  <c r="L102" i="5"/>
  <c r="L99" i="5"/>
  <c r="L106" i="5"/>
  <c r="L98" i="5"/>
  <c r="L83" i="5"/>
  <c r="L57" i="5"/>
  <c r="L16" i="5"/>
  <c r="N117" i="58"/>
  <c r="M117" i="58"/>
  <c r="M115" i="58"/>
  <c r="M116" i="58"/>
  <c r="N115" i="58"/>
  <c r="N116" i="58"/>
  <c r="M113" i="58"/>
  <c r="M114" i="58"/>
  <c r="N113" i="58"/>
  <c r="N114" i="58"/>
  <c r="N111" i="58"/>
  <c r="M110" i="58"/>
  <c r="M111" i="58"/>
  <c r="N109" i="58"/>
  <c r="N110" i="58"/>
  <c r="M108" i="58"/>
  <c r="M109" i="58"/>
  <c r="N96" i="58"/>
  <c r="N108" i="58"/>
  <c r="M96" i="58"/>
  <c r="M55" i="58"/>
  <c r="L55" i="58"/>
  <c r="N55" i="58"/>
  <c r="Q102" i="58"/>
  <c r="G26" i="58"/>
  <c r="I34" i="58"/>
  <c r="I41" i="58"/>
  <c r="I33" i="58"/>
  <c r="H24" i="58"/>
  <c r="M26" i="58"/>
  <c r="P106" i="58"/>
  <c r="P19" i="6" s="1"/>
  <c r="I16" i="58"/>
  <c r="Q103" i="58"/>
  <c r="Q104" i="58"/>
  <c r="N15" i="58"/>
  <c r="N24" i="58"/>
  <c r="N39" i="58"/>
  <c r="Q105" i="58"/>
  <c r="M15" i="58"/>
  <c r="M39" i="58"/>
  <c r="J123" i="58"/>
  <c r="K123" i="58" s="1"/>
  <c r="I40" i="58"/>
  <c r="H43" i="58"/>
  <c r="H45" i="58" s="1"/>
  <c r="G43" i="58"/>
  <c r="L39" i="58"/>
  <c r="O123" i="58"/>
  <c r="M43" i="58"/>
  <c r="N40" i="58"/>
  <c r="L22" i="42"/>
  <c r="N12" i="7"/>
  <c r="I57" i="58"/>
  <c r="N24" i="7"/>
  <c r="O19" i="7"/>
  <c r="O44" i="7" s="1"/>
  <c r="K27" i="7"/>
  <c r="L24" i="7"/>
  <c r="N31" i="7"/>
  <c r="K18" i="7"/>
  <c r="M18" i="7"/>
  <c r="O26" i="7"/>
  <c r="O16" i="7"/>
  <c r="O24" i="7"/>
  <c r="K17" i="7"/>
  <c r="O27" i="7"/>
  <c r="O49" i="7" s="1"/>
  <c r="M31" i="7"/>
  <c r="M36" i="7" s="1"/>
  <c r="O25" i="7"/>
  <c r="O31" i="7"/>
  <c r="L79" i="6"/>
  <c r="L69" i="5"/>
  <c r="K19" i="7"/>
  <c r="N26" i="7"/>
  <c r="M29" i="7"/>
  <c r="L18" i="7"/>
  <c r="L16" i="7"/>
  <c r="N16" i="7"/>
  <c r="L31" i="7"/>
  <c r="L36" i="7" s="1"/>
  <c r="L81" i="6"/>
  <c r="K31" i="7"/>
  <c r="N18" i="7"/>
  <c r="M19" i="7"/>
  <c r="M44" i="7" s="1"/>
  <c r="M45" i="7" s="1"/>
  <c r="M25" i="7"/>
  <c r="M17" i="7"/>
  <c r="L70" i="5"/>
  <c r="O17" i="7"/>
  <c r="O18" i="7"/>
  <c r="N19" i="7"/>
  <c r="N44" i="7" s="1"/>
  <c r="N45" i="7" s="1"/>
  <c r="N46" i="7" s="1"/>
  <c r="K24" i="7"/>
  <c r="L26" i="7"/>
  <c r="L80" i="6"/>
  <c r="L84" i="6" s="1"/>
  <c r="K25" i="7"/>
  <c r="K26" i="7"/>
  <c r="N25" i="7"/>
  <c r="M26" i="7"/>
  <c r="M27" i="7"/>
  <c r="M49" i="7" s="1"/>
  <c r="N27" i="7"/>
  <c r="N49" i="7" s="1"/>
  <c r="N50" i="7" s="1"/>
  <c r="N51" i="7" s="1"/>
  <c r="M24" i="7"/>
  <c r="M16" i="7"/>
  <c r="N17" i="7"/>
  <c r="O38" i="42"/>
  <c r="M21" i="7"/>
  <c r="O37" i="42"/>
  <c r="L29" i="7"/>
  <c r="L11" i="7"/>
  <c r="I12" i="7"/>
  <c r="M11" i="7"/>
  <c r="H11" i="7"/>
  <c r="N11" i="7"/>
  <c r="N21" i="7"/>
  <c r="N29" i="7"/>
  <c r="I11" i="7"/>
  <c r="L21" i="7"/>
  <c r="U124" i="58"/>
  <c r="V124" i="58" s="1"/>
  <c r="N34" i="58"/>
  <c r="N43" i="58"/>
  <c r="H15" i="58"/>
  <c r="H16" i="58"/>
  <c r="M33" i="58"/>
  <c r="L15" i="58"/>
  <c r="N16" i="58"/>
  <c r="M24" i="58"/>
  <c r="H40" i="58"/>
  <c r="I43" i="58"/>
  <c r="I44" i="58" s="1"/>
  <c r="H33" i="58"/>
  <c r="H39" i="58"/>
  <c r="L41" i="58"/>
  <c r="L24" i="58"/>
  <c r="L33" i="58"/>
  <c r="N33" i="58"/>
  <c r="L43" i="58"/>
  <c r="L64" i="5" s="1"/>
  <c r="L80" i="5" s="1"/>
  <c r="O106" i="58"/>
  <c r="O19" i="6" s="1"/>
  <c r="H12" i="58"/>
  <c r="M18" i="58"/>
  <c r="M35" i="58"/>
  <c r="L11" i="58"/>
  <c r="H26" i="58"/>
  <c r="M41" i="58"/>
  <c r="I26" i="58"/>
  <c r="G35" i="58"/>
  <c r="G18" i="58"/>
  <c r="L26" i="58"/>
  <c r="I35" i="58"/>
  <c r="G41" i="58"/>
  <c r="I18" i="58"/>
  <c r="I27" i="58" s="1"/>
  <c r="L35" i="58"/>
  <c r="H11" i="58"/>
  <c r="H35" i="58"/>
  <c r="H41" i="58"/>
  <c r="M11" i="58"/>
  <c r="H18" i="58"/>
  <c r="H27" i="58" s="1"/>
  <c r="N35" i="58"/>
  <c r="N26" i="58"/>
  <c r="N12" i="58"/>
  <c r="N11" i="58"/>
  <c r="N41" i="58"/>
  <c r="N18" i="58"/>
  <c r="S19" i="58" s="1"/>
  <c r="L18" i="58"/>
  <c r="L27" i="58" s="1"/>
  <c r="I11" i="58"/>
  <c r="I12" i="58"/>
  <c r="N36" i="7" l="1"/>
  <c r="S32" i="7"/>
  <c r="S34" i="7"/>
  <c r="T32" i="7"/>
  <c r="T34" i="7"/>
  <c r="N64" i="5"/>
  <c r="N80" i="5" s="1"/>
  <c r="S44" i="58"/>
  <c r="M50" i="7"/>
  <c r="AC23" i="58"/>
  <c r="AC67" i="5" s="1"/>
  <c r="M42" i="7"/>
  <c r="M51" i="6"/>
  <c r="M53" i="6" s="1"/>
  <c r="Y31" i="7"/>
  <c r="R111" i="63"/>
  <c r="R40" i="94" s="1"/>
  <c r="R83" i="63"/>
  <c r="M64" i="5"/>
  <c r="M80" i="5" s="1"/>
  <c r="R44" i="58"/>
  <c r="L27" i="5"/>
  <c r="R32" i="7"/>
  <c r="R34" i="7"/>
  <c r="N27" i="58"/>
  <c r="M27" i="58"/>
  <c r="L31" i="59"/>
  <c r="M113" i="5"/>
  <c r="M20" i="7"/>
  <c r="Q84" i="5"/>
  <c r="Q97" i="5"/>
  <c r="Q51" i="6"/>
  <c r="Q53" i="6" s="1"/>
  <c r="M72" i="6"/>
  <c r="Q47" i="59"/>
  <c r="AE25" i="5"/>
  <c r="AD51" i="5"/>
  <c r="G21" i="58"/>
  <c r="G27" i="58"/>
  <c r="P117" i="58"/>
  <c r="P32" i="7"/>
  <c r="P34" i="7"/>
  <c r="O28" i="7"/>
  <c r="P33" i="7"/>
  <c r="P35" i="7"/>
  <c r="P108" i="58"/>
  <c r="P111" i="58"/>
  <c r="P110" i="58"/>
  <c r="P109" i="58"/>
  <c r="O111" i="58"/>
  <c r="O109" i="58"/>
  <c r="O110" i="58"/>
  <c r="O96" i="58"/>
  <c r="O108" i="58"/>
  <c r="L44" i="58"/>
  <c r="M44" i="58"/>
  <c r="N45" i="58"/>
  <c r="M47" i="58"/>
  <c r="H44" i="58"/>
  <c r="Q106" i="58"/>
  <c r="Q19" i="6" s="1"/>
  <c r="P96" i="58"/>
  <c r="W124" i="58"/>
  <c r="N28" i="7"/>
  <c r="L20" i="7"/>
  <c r="N20" i="7"/>
  <c r="O34" i="7"/>
  <c r="M34" i="7"/>
  <c r="L82" i="6"/>
  <c r="Q129" i="58" s="1"/>
  <c r="M28" i="7"/>
  <c r="N35" i="7"/>
  <c r="L71" i="5"/>
  <c r="M35" i="7"/>
  <c r="O35" i="7"/>
  <c r="N33" i="7"/>
  <c r="N32" i="7"/>
  <c r="O33" i="7"/>
  <c r="M32" i="7"/>
  <c r="N34" i="7"/>
  <c r="O20" i="7"/>
  <c r="K28" i="7"/>
  <c r="K20" i="7"/>
  <c r="K35" i="7"/>
  <c r="K33" i="7"/>
  <c r="K32" i="7"/>
  <c r="K34" i="7"/>
  <c r="M33" i="7"/>
  <c r="L28" i="7"/>
  <c r="L32" i="7"/>
  <c r="L34" i="7"/>
  <c r="O32" i="7"/>
  <c r="U20" i="7"/>
  <c r="N44" i="58"/>
  <c r="I45" i="58"/>
  <c r="I47" i="58"/>
  <c r="M21" i="58"/>
  <c r="M19" i="58"/>
  <c r="G47" i="58"/>
  <c r="I21" i="58"/>
  <c r="I19" i="58"/>
  <c r="I20" i="58"/>
  <c r="L21" i="58"/>
  <c r="L19" i="58"/>
  <c r="L47" i="58"/>
  <c r="H21" i="58"/>
  <c r="H20" i="58"/>
  <c r="H47" i="58"/>
  <c r="H19" i="58"/>
  <c r="N21" i="58"/>
  <c r="N47" i="58"/>
  <c r="N20" i="58"/>
  <c r="N19" i="58"/>
  <c r="S48" i="58" l="1"/>
  <c r="AH23" i="58"/>
  <c r="AH67" i="5" s="1"/>
  <c r="U33" i="7"/>
  <c r="G59" i="58"/>
  <c r="H59" i="58"/>
  <c r="I59" i="58"/>
  <c r="AD31" i="7"/>
  <c r="Z33" i="7"/>
  <c r="X31" i="7"/>
  <c r="W31" i="7"/>
  <c r="M76" i="6"/>
  <c r="AF25" i="5"/>
  <c r="AG25" i="5" s="1"/>
  <c r="AH25" i="5" s="1"/>
  <c r="AI25" i="5" s="1"/>
  <c r="AJ25" i="5" s="1"/>
  <c r="AK25" i="5" s="1"/>
  <c r="AE51" i="5"/>
  <c r="N59" i="58"/>
  <c r="W20" i="7"/>
  <c r="U28" i="7"/>
  <c r="M59" i="58"/>
  <c r="L59" i="58"/>
  <c r="Q96" i="58"/>
  <c r="Q110" i="58"/>
  <c r="Q109" i="58"/>
  <c r="Q108" i="58"/>
  <c r="Q111" i="58"/>
  <c r="M50" i="58"/>
  <c r="M48" i="58"/>
  <c r="Q123" i="58"/>
  <c r="X124" i="58"/>
  <c r="I48" i="58"/>
  <c r="I50" i="58"/>
  <c r="G50" i="58"/>
  <c r="I49" i="58"/>
  <c r="N50" i="58"/>
  <c r="N49" i="58"/>
  <c r="N48" i="58"/>
  <c r="L50" i="58"/>
  <c r="L48" i="58"/>
  <c r="H49" i="58"/>
  <c r="H48" i="58"/>
  <c r="H50" i="58"/>
  <c r="AE33" i="7" l="1"/>
  <c r="AI31" i="7"/>
  <c r="G64" i="58"/>
  <c r="G66" i="58" s="1"/>
  <c r="I64" i="58"/>
  <c r="I66" i="58" s="1"/>
  <c r="H62" i="58"/>
  <c r="N62" i="58"/>
  <c r="L62" i="58"/>
  <c r="M62" i="58"/>
  <c r="I62" i="58"/>
  <c r="G62" i="58"/>
  <c r="W33" i="7"/>
  <c r="AB31" i="7"/>
  <c r="X33" i="7"/>
  <c r="AC31" i="7"/>
  <c r="Y33" i="7"/>
  <c r="AF51" i="5"/>
  <c r="AG51" i="5" s="1"/>
  <c r="AH51" i="5" s="1"/>
  <c r="AI51" i="5" s="1"/>
  <c r="AJ51" i="5" s="1"/>
  <c r="AK51" i="5" s="1"/>
  <c r="M64" i="58"/>
  <c r="U123" i="58"/>
  <c r="X20" i="7"/>
  <c r="W28" i="7"/>
  <c r="Y124" i="58"/>
  <c r="L64" i="58"/>
  <c r="H64" i="58"/>
  <c r="N64" i="58"/>
  <c r="I70" i="58" l="1"/>
  <c r="AH31" i="7"/>
  <c r="AI33" i="7" s="1"/>
  <c r="G70" i="58"/>
  <c r="G75" i="58"/>
  <c r="AB33" i="7"/>
  <c r="AG31" i="7"/>
  <c r="AI34" i="7"/>
  <c r="AJ33" i="7"/>
  <c r="AJ35" i="7"/>
  <c r="AJ28" i="6" s="1"/>
  <c r="AJ39" i="7" s="1"/>
  <c r="AH34" i="7"/>
  <c r="I75" i="58"/>
  <c r="N66" i="58"/>
  <c r="S67" i="58" s="1"/>
  <c r="N70" i="58"/>
  <c r="S71" i="58" s="1"/>
  <c r="H66" i="58"/>
  <c r="H70" i="58"/>
  <c r="L66" i="58"/>
  <c r="L67" i="58" s="1"/>
  <c r="L70" i="58"/>
  <c r="M66" i="58"/>
  <c r="M70" i="58"/>
  <c r="AD33" i="7"/>
  <c r="AC33" i="7"/>
  <c r="V123" i="58"/>
  <c r="M75" i="58"/>
  <c r="W123" i="58"/>
  <c r="Y20" i="7"/>
  <c r="X28" i="7"/>
  <c r="Z124" i="58"/>
  <c r="L75" i="58"/>
  <c r="N75" i="58"/>
  <c r="H75" i="58"/>
  <c r="I67" i="58"/>
  <c r="G78" i="58" l="1"/>
  <c r="G92" i="58"/>
  <c r="AI35" i="7"/>
  <c r="AI28" i="6" s="1"/>
  <c r="AI39" i="7" s="1"/>
  <c r="G82" i="58"/>
  <c r="I82" i="58"/>
  <c r="I92" i="58"/>
  <c r="I78" i="58"/>
  <c r="I79" i="58" s="1"/>
  <c r="AG34" i="7"/>
  <c r="AG33" i="7"/>
  <c r="AG35" i="7"/>
  <c r="AG28" i="6" s="1"/>
  <c r="AG39" i="7" s="1"/>
  <c r="AH33" i="7"/>
  <c r="AH35" i="7"/>
  <c r="AH28" i="6" s="1"/>
  <c r="AH39" i="7" s="1"/>
  <c r="L71" i="58"/>
  <c r="M67" i="58"/>
  <c r="N82" i="58"/>
  <c r="N78" i="58"/>
  <c r="M82" i="58"/>
  <c r="M78" i="58"/>
  <c r="L82" i="58"/>
  <c r="L78" i="58"/>
  <c r="H82" i="58"/>
  <c r="H78" i="58"/>
  <c r="M92" i="58"/>
  <c r="X123" i="58"/>
  <c r="Z20" i="7"/>
  <c r="Y28" i="7"/>
  <c r="W111" i="58"/>
  <c r="AB124" i="58"/>
  <c r="AA124" i="58"/>
  <c r="I68" i="58"/>
  <c r="H92" i="58"/>
  <c r="H68" i="58"/>
  <c r="H67" i="58"/>
  <c r="N67" i="58"/>
  <c r="N68" i="58"/>
  <c r="N72" i="58"/>
  <c r="N92" i="58"/>
  <c r="L92" i="58"/>
  <c r="L79" i="58" l="1"/>
  <c r="L83" i="58"/>
  <c r="I80" i="58"/>
  <c r="AK28" i="6"/>
  <c r="AK39" i="7" s="1"/>
  <c r="Y123" i="58"/>
  <c r="Z28" i="7"/>
  <c r="AC124" i="58"/>
  <c r="N84" i="58"/>
  <c r="N79" i="58"/>
  <c r="N80" i="58"/>
  <c r="H80" i="58"/>
  <c r="H79" i="58"/>
  <c r="M79" i="58"/>
  <c r="Z123" i="58" l="1"/>
  <c r="AD124" i="58"/>
  <c r="AB123" i="58" l="1"/>
  <c r="AA123" i="58"/>
  <c r="AE124" i="58"/>
  <c r="AG124" i="58" s="1"/>
  <c r="AH124" i="58" l="1"/>
  <c r="AI124" i="58" s="1"/>
  <c r="AJ124" i="58" s="1"/>
  <c r="AC123" i="58"/>
  <c r="AF124" i="58"/>
  <c r="AK124" i="58" l="1"/>
  <c r="AD123" i="58"/>
  <c r="AE123" i="58" l="1"/>
  <c r="AG123" i="58" s="1"/>
  <c r="AH123" i="58" s="1"/>
  <c r="AI123" i="58" s="1"/>
  <c r="AJ123" i="58" s="1"/>
  <c r="AK123" i="58" s="1"/>
  <c r="O60" i="3"/>
  <c r="P57" i="58" s="1"/>
  <c r="G45" i="3"/>
  <c r="H45" i="3"/>
  <c r="I45" i="3"/>
  <c r="I46" i="3" s="1"/>
  <c r="L45" i="3"/>
  <c r="M45" i="3"/>
  <c r="R46" i="3" s="1"/>
  <c r="N45" i="3"/>
  <c r="S46" i="3" s="1"/>
  <c r="G10" i="3"/>
  <c r="H26" i="3"/>
  <c r="I18" i="3"/>
  <c r="L10" i="3"/>
  <c r="L32" i="3" s="1"/>
  <c r="L30" i="58" s="1"/>
  <c r="M10" i="3"/>
  <c r="M32" i="3" s="1"/>
  <c r="M30" i="58" s="1"/>
  <c r="N10" i="3"/>
  <c r="F52" i="3"/>
  <c r="E52" i="3"/>
  <c r="D52" i="3"/>
  <c r="C52" i="3"/>
  <c r="F43" i="3"/>
  <c r="E43" i="3"/>
  <c r="D43" i="3"/>
  <c r="C43" i="3"/>
  <c r="F37" i="3"/>
  <c r="E37" i="3"/>
  <c r="D37" i="3"/>
  <c r="C37" i="3"/>
  <c r="F26" i="3"/>
  <c r="E26" i="3"/>
  <c r="D26" i="3"/>
  <c r="C26" i="3"/>
  <c r="F21" i="3"/>
  <c r="E21" i="3"/>
  <c r="D21" i="3"/>
  <c r="C21" i="3"/>
  <c r="N42" i="3"/>
  <c r="I42" i="3"/>
  <c r="H42" i="3"/>
  <c r="L41" i="3"/>
  <c r="I41" i="3"/>
  <c r="H41" i="3"/>
  <c r="N36" i="3"/>
  <c r="J36" i="3"/>
  <c r="I36" i="3"/>
  <c r="H36" i="3"/>
  <c r="L35" i="3"/>
  <c r="J35" i="3"/>
  <c r="I35" i="3"/>
  <c r="H35" i="3"/>
  <c r="N25" i="3"/>
  <c r="I25" i="3"/>
  <c r="H25" i="3"/>
  <c r="L24" i="3"/>
  <c r="I24" i="3"/>
  <c r="H24" i="3"/>
  <c r="N16" i="3"/>
  <c r="I16" i="3"/>
  <c r="H16" i="3"/>
  <c r="L15" i="3"/>
  <c r="I15" i="3"/>
  <c r="H15" i="3"/>
  <c r="N32" i="3" l="1"/>
  <c r="N30" i="58" s="1"/>
  <c r="S38" i="3"/>
  <c r="S11" i="3"/>
  <c r="L18" i="3"/>
  <c r="L27" i="3" s="1"/>
  <c r="G18" i="3"/>
  <c r="G27" i="3" s="1"/>
  <c r="G32" i="3"/>
  <c r="G30" i="58" s="1"/>
  <c r="N38" i="3"/>
  <c r="I19" i="3"/>
  <c r="I27" i="3"/>
  <c r="AF123" i="58"/>
  <c r="M18" i="3"/>
  <c r="M38" i="3"/>
  <c r="N46" i="3"/>
  <c r="K91" i="58"/>
  <c r="J91" i="58"/>
  <c r="P42" i="3"/>
  <c r="P43" i="3"/>
  <c r="O42" i="3"/>
  <c r="P36" i="3"/>
  <c r="P37" i="3"/>
  <c r="P32" i="58"/>
  <c r="P130" i="42" s="1"/>
  <c r="P25" i="3"/>
  <c r="P45" i="3"/>
  <c r="R47" i="3" s="1"/>
  <c r="P23" i="58"/>
  <c r="P26" i="3"/>
  <c r="O10" i="7"/>
  <c r="O63" i="5"/>
  <c r="O21" i="42"/>
  <c r="O26" i="42"/>
  <c r="J10" i="7"/>
  <c r="J63" i="5"/>
  <c r="J26" i="42"/>
  <c r="J21" i="42"/>
  <c r="O57" i="58"/>
  <c r="Q60" i="3"/>
  <c r="Q57" i="58" s="1"/>
  <c r="O54" i="58"/>
  <c r="T55" i="58" s="1"/>
  <c r="Q57" i="3"/>
  <c r="O32" i="58"/>
  <c r="K40" i="3"/>
  <c r="K38" i="58" s="1"/>
  <c r="J38" i="58"/>
  <c r="K34" i="3"/>
  <c r="K124" i="42" s="1"/>
  <c r="J32" i="58"/>
  <c r="J130" i="42" s="1"/>
  <c r="K58" i="58"/>
  <c r="J58" i="58"/>
  <c r="K74" i="58"/>
  <c r="O16" i="3"/>
  <c r="O14" i="58"/>
  <c r="T15" i="58" s="1"/>
  <c r="K61" i="58"/>
  <c r="J61" i="58"/>
  <c r="K14" i="3"/>
  <c r="J14" i="58"/>
  <c r="K23" i="3"/>
  <c r="K66" i="5" s="1"/>
  <c r="K102" i="5" s="1"/>
  <c r="J23" i="58"/>
  <c r="J57" i="58"/>
  <c r="K57" i="3"/>
  <c r="J54" i="58"/>
  <c r="O23" i="58"/>
  <c r="T24" i="58" s="1"/>
  <c r="O10" i="3"/>
  <c r="O32" i="3" s="1"/>
  <c r="O30" i="58" s="1"/>
  <c r="O10" i="58"/>
  <c r="J10" i="58"/>
  <c r="M43" i="3"/>
  <c r="M37" i="3"/>
  <c r="M26" i="3"/>
  <c r="N47" i="3"/>
  <c r="O45" i="3"/>
  <c r="L46" i="3"/>
  <c r="M46" i="3"/>
  <c r="J15" i="3"/>
  <c r="H46" i="3"/>
  <c r="I47" i="3"/>
  <c r="H47" i="3"/>
  <c r="J45" i="3"/>
  <c r="J46" i="3" s="1"/>
  <c r="J25" i="3"/>
  <c r="J16" i="3"/>
  <c r="I49" i="3"/>
  <c r="O36" i="3"/>
  <c r="N26" i="3"/>
  <c r="J41" i="3"/>
  <c r="J42" i="3"/>
  <c r="O25" i="3"/>
  <c r="J24" i="3"/>
  <c r="N18" i="3"/>
  <c r="N12" i="3"/>
  <c r="I11" i="3"/>
  <c r="I43" i="3"/>
  <c r="H37" i="3"/>
  <c r="H11" i="3"/>
  <c r="M11" i="3"/>
  <c r="H18" i="3"/>
  <c r="H43" i="3"/>
  <c r="H12" i="3"/>
  <c r="I21" i="3"/>
  <c r="I37" i="3"/>
  <c r="N43" i="3"/>
  <c r="N37" i="3"/>
  <c r="I26" i="3"/>
  <c r="I12" i="3"/>
  <c r="N11" i="3"/>
  <c r="J10" i="3"/>
  <c r="J18" i="3" s="1"/>
  <c r="J27" i="3" s="1"/>
  <c r="O47" i="3" l="1"/>
  <c r="T46" i="3"/>
  <c r="O130" i="42"/>
  <c r="P131" i="42" s="1"/>
  <c r="T33" i="58"/>
  <c r="N27" i="3"/>
  <c r="S19" i="3"/>
  <c r="J25" i="58"/>
  <c r="J67" i="5"/>
  <c r="U23" i="58"/>
  <c r="U67" i="5" s="1"/>
  <c r="P67" i="5"/>
  <c r="O67" i="5"/>
  <c r="L49" i="3"/>
  <c r="L97" i="3" s="1"/>
  <c r="L99" i="3" s="1"/>
  <c r="L100" i="3" s="1"/>
  <c r="G49" i="3"/>
  <c r="G62" i="3" s="1"/>
  <c r="G65" i="3" s="1"/>
  <c r="Y23" i="58"/>
  <c r="Y67" i="5" s="1"/>
  <c r="O125" i="42"/>
  <c r="O123" i="42" s="1"/>
  <c r="N125" i="42"/>
  <c r="N123" i="42" s="1"/>
  <c r="M125" i="42"/>
  <c r="M123" i="42" s="1"/>
  <c r="R131" i="42"/>
  <c r="O36" i="7"/>
  <c r="O50" i="7"/>
  <c r="O45" i="7"/>
  <c r="R34" i="58"/>
  <c r="R40" i="58"/>
  <c r="R25" i="58"/>
  <c r="P35" i="3"/>
  <c r="J55" i="58"/>
  <c r="J65" i="5"/>
  <c r="O84" i="63"/>
  <c r="O83" i="63" s="1"/>
  <c r="O25" i="58"/>
  <c r="P84" i="63"/>
  <c r="P83" i="63" s="1"/>
  <c r="P25" i="58"/>
  <c r="K65" i="59"/>
  <c r="Q65" i="59"/>
  <c r="Q70" i="59" s="1"/>
  <c r="M21" i="3"/>
  <c r="M27" i="3"/>
  <c r="H49" i="3"/>
  <c r="H52" i="3" s="1"/>
  <c r="H27" i="3"/>
  <c r="P128" i="58"/>
  <c r="O128" i="58"/>
  <c r="M49" i="3"/>
  <c r="N20" i="3"/>
  <c r="O38" i="3"/>
  <c r="O117" i="58"/>
  <c r="O36" i="58"/>
  <c r="O90" i="63"/>
  <c r="O65" i="5"/>
  <c r="O96" i="5" s="1"/>
  <c r="O115" i="58"/>
  <c r="O116" i="58"/>
  <c r="O113" i="58"/>
  <c r="O114" i="58"/>
  <c r="Q58" i="3"/>
  <c r="Q54" i="58"/>
  <c r="L62" i="3"/>
  <c r="L65" i="3" s="1"/>
  <c r="O55" i="58"/>
  <c r="P58" i="3"/>
  <c r="K58" i="3"/>
  <c r="K24" i="3"/>
  <c r="P24" i="3"/>
  <c r="K16" i="3"/>
  <c r="P15" i="3"/>
  <c r="P54" i="58"/>
  <c r="M25" i="3"/>
  <c r="M42" i="3"/>
  <c r="K14" i="58"/>
  <c r="P41" i="3"/>
  <c r="K15" i="3"/>
  <c r="Q61" i="3"/>
  <c r="O18" i="3"/>
  <c r="P12" i="3"/>
  <c r="P12" i="58"/>
  <c r="P39" i="58"/>
  <c r="P40" i="58"/>
  <c r="P41" i="58"/>
  <c r="AC41" i="58" s="1"/>
  <c r="P34" i="58"/>
  <c r="P35" i="58"/>
  <c r="P43" i="58"/>
  <c r="R45" i="58" s="1"/>
  <c r="P26" i="58"/>
  <c r="P47" i="3"/>
  <c r="P18" i="3"/>
  <c r="P27" i="3" s="1"/>
  <c r="P16" i="3"/>
  <c r="P14" i="58"/>
  <c r="O12" i="7"/>
  <c r="O29" i="7"/>
  <c r="O21" i="7"/>
  <c r="J12" i="7"/>
  <c r="O11" i="7"/>
  <c r="J11" i="7"/>
  <c r="K10" i="7"/>
  <c r="K63" i="5"/>
  <c r="J28" i="42"/>
  <c r="J27" i="42"/>
  <c r="O27" i="42"/>
  <c r="O28" i="42"/>
  <c r="O23" i="42"/>
  <c r="O22" i="42"/>
  <c r="J22" i="42"/>
  <c r="J23" i="42"/>
  <c r="K57" i="58"/>
  <c r="K54" i="58"/>
  <c r="H84" i="58"/>
  <c r="H83" i="58"/>
  <c r="M83" i="58"/>
  <c r="I72" i="58"/>
  <c r="H72" i="58"/>
  <c r="M71" i="58"/>
  <c r="H71" i="58"/>
  <c r="J24" i="58"/>
  <c r="I83" i="58"/>
  <c r="I84" i="58"/>
  <c r="N83" i="58"/>
  <c r="K23" i="58"/>
  <c r="O33" i="58"/>
  <c r="O34" i="58"/>
  <c r="O24" i="58"/>
  <c r="K32" i="58"/>
  <c r="K130" i="42" s="1"/>
  <c r="K45" i="3"/>
  <c r="M47" i="3" s="1"/>
  <c r="J15" i="58"/>
  <c r="J16" i="58"/>
  <c r="O39" i="58"/>
  <c r="J39" i="58"/>
  <c r="J40" i="58"/>
  <c r="J43" i="58"/>
  <c r="M36" i="3"/>
  <c r="M40" i="58"/>
  <c r="K39" i="58"/>
  <c r="K40" i="58"/>
  <c r="M16" i="3"/>
  <c r="K35" i="3"/>
  <c r="K41" i="3"/>
  <c r="K25" i="3"/>
  <c r="K36" i="3"/>
  <c r="K42" i="3"/>
  <c r="I71" i="58"/>
  <c r="N71" i="58"/>
  <c r="O40" i="58"/>
  <c r="O43" i="58"/>
  <c r="O16" i="58"/>
  <c r="O15" i="58"/>
  <c r="J33" i="58"/>
  <c r="J34" i="58"/>
  <c r="K10" i="58"/>
  <c r="O12" i="3"/>
  <c r="K10" i="3"/>
  <c r="O37" i="3"/>
  <c r="J11" i="58"/>
  <c r="J26" i="58"/>
  <c r="J12" i="58"/>
  <c r="J35" i="58"/>
  <c r="J41" i="58"/>
  <c r="J18" i="58"/>
  <c r="J27" i="58" s="1"/>
  <c r="O43" i="3"/>
  <c r="I100" i="3"/>
  <c r="O26" i="3"/>
  <c r="O12" i="58"/>
  <c r="O11" i="58"/>
  <c r="O35" i="58"/>
  <c r="O41" i="58"/>
  <c r="O26" i="58"/>
  <c r="O18" i="58"/>
  <c r="O27" i="58" s="1"/>
  <c r="N19" i="3"/>
  <c r="J47" i="3"/>
  <c r="J49" i="3"/>
  <c r="O46" i="3"/>
  <c r="I20" i="3"/>
  <c r="I50" i="3"/>
  <c r="I52" i="3"/>
  <c r="N21" i="3"/>
  <c r="N49" i="3"/>
  <c r="S50" i="3" s="1"/>
  <c r="H20" i="3"/>
  <c r="M19" i="3"/>
  <c r="H21" i="3"/>
  <c r="H19" i="3"/>
  <c r="J20" i="3"/>
  <c r="J19" i="3"/>
  <c r="J37" i="3"/>
  <c r="J26" i="3"/>
  <c r="O11" i="3"/>
  <c r="J21" i="3"/>
  <c r="J11" i="3"/>
  <c r="J12" i="3"/>
  <c r="J43" i="3"/>
  <c r="O131" i="42" l="1"/>
  <c r="O129" i="42" s="1"/>
  <c r="O64" i="5"/>
  <c r="O80" i="5" s="1"/>
  <c r="T44" i="58"/>
  <c r="V23" i="58"/>
  <c r="V67" i="5" s="1"/>
  <c r="L95" i="58"/>
  <c r="L97" i="58" s="1"/>
  <c r="M25" i="58"/>
  <c r="K67" i="5"/>
  <c r="G97" i="3"/>
  <c r="G99" i="3" s="1"/>
  <c r="Z23" i="58"/>
  <c r="AA23" i="58" s="1"/>
  <c r="AD23" i="58"/>
  <c r="P38" i="3"/>
  <c r="N131" i="42"/>
  <c r="N129" i="42" s="1"/>
  <c r="M131" i="42"/>
  <c r="M129" i="42" s="1"/>
  <c r="Q131" i="42"/>
  <c r="Q129" i="42" s="1"/>
  <c r="P129" i="42"/>
  <c r="O47" i="7"/>
  <c r="O46" i="7"/>
  <c r="O51" i="7"/>
  <c r="O52" i="7"/>
  <c r="K21" i="7"/>
  <c r="K36" i="7"/>
  <c r="R16" i="58"/>
  <c r="P36" i="58"/>
  <c r="K55" i="58"/>
  <c r="Q58" i="58"/>
  <c r="K25" i="58"/>
  <c r="H50" i="3"/>
  <c r="N62" i="3"/>
  <c r="P90" i="63"/>
  <c r="M97" i="3"/>
  <c r="M99" i="3" s="1"/>
  <c r="M100" i="3" s="1"/>
  <c r="I51" i="3"/>
  <c r="H51" i="3"/>
  <c r="M52" i="3"/>
  <c r="O20" i="3"/>
  <c r="O27" i="3"/>
  <c r="M50" i="3"/>
  <c r="P24" i="58"/>
  <c r="P33" i="58"/>
  <c r="Q55" i="58"/>
  <c r="AD41" i="58"/>
  <c r="M62" i="3"/>
  <c r="K15" i="58"/>
  <c r="K65" i="5"/>
  <c r="K96" i="5" s="1"/>
  <c r="P64" i="5"/>
  <c r="P80" i="5" s="1"/>
  <c r="P65" i="5"/>
  <c r="O21" i="3"/>
  <c r="O49" i="3"/>
  <c r="L67" i="3"/>
  <c r="K47" i="3"/>
  <c r="P55" i="58"/>
  <c r="K16" i="58"/>
  <c r="M16" i="58"/>
  <c r="O19" i="3"/>
  <c r="P46" i="3"/>
  <c r="K43" i="58"/>
  <c r="K45" i="58" s="1"/>
  <c r="U57" i="58"/>
  <c r="V57" i="58" s="1"/>
  <c r="M12" i="58"/>
  <c r="P11" i="58"/>
  <c r="P11" i="3"/>
  <c r="P45" i="58"/>
  <c r="P21" i="3"/>
  <c r="P20" i="3"/>
  <c r="P49" i="3"/>
  <c r="P15" i="58"/>
  <c r="P16" i="58"/>
  <c r="P18" i="58"/>
  <c r="K12" i="7"/>
  <c r="M12" i="7"/>
  <c r="K11" i="7"/>
  <c r="K29" i="7"/>
  <c r="K43" i="3"/>
  <c r="K37" i="3"/>
  <c r="K26" i="3"/>
  <c r="P10" i="7"/>
  <c r="K11" i="3"/>
  <c r="K12" i="3"/>
  <c r="M12" i="3"/>
  <c r="K18" i="3"/>
  <c r="M34" i="58"/>
  <c r="K34" i="58"/>
  <c r="K33" i="58"/>
  <c r="K24" i="58"/>
  <c r="J44" i="58"/>
  <c r="J45" i="58"/>
  <c r="G67" i="3"/>
  <c r="G69" i="3" s="1"/>
  <c r="K46" i="3"/>
  <c r="O45" i="58"/>
  <c r="O44" i="58"/>
  <c r="K35" i="58"/>
  <c r="K12" i="58"/>
  <c r="K26" i="58"/>
  <c r="K18" i="58"/>
  <c r="K27" i="58" s="1"/>
  <c r="K41" i="58"/>
  <c r="K11" i="58"/>
  <c r="N97" i="3"/>
  <c r="N99" i="3" s="1"/>
  <c r="N100" i="3" s="1"/>
  <c r="H100" i="3"/>
  <c r="J21" i="58"/>
  <c r="J47" i="58"/>
  <c r="J20" i="58"/>
  <c r="J19" i="58"/>
  <c r="O21" i="58"/>
  <c r="O20" i="58"/>
  <c r="O47" i="58"/>
  <c r="O19" i="58"/>
  <c r="J51" i="3"/>
  <c r="J52" i="3"/>
  <c r="J50" i="3"/>
  <c r="N50" i="3"/>
  <c r="N52" i="3"/>
  <c r="N51" i="3"/>
  <c r="L99" i="58" l="1"/>
  <c r="G95" i="58"/>
  <c r="G97" i="58" s="1"/>
  <c r="L98" i="58" s="1"/>
  <c r="G100" i="3"/>
  <c r="AA24" i="58"/>
  <c r="AA67" i="5"/>
  <c r="AD67" i="5"/>
  <c r="AE23" i="58"/>
  <c r="Z67" i="5"/>
  <c r="AI23" i="58"/>
  <c r="P36" i="7"/>
  <c r="P40" i="7"/>
  <c r="P96" i="5"/>
  <c r="P27" i="58"/>
  <c r="Q128" i="58"/>
  <c r="J59" i="58"/>
  <c r="O51" i="59"/>
  <c r="N67" i="3"/>
  <c r="N73" i="3" s="1"/>
  <c r="L78" i="3"/>
  <c r="L73" i="3"/>
  <c r="L69" i="3"/>
  <c r="P62" i="3"/>
  <c r="O52" i="3"/>
  <c r="M65" i="3"/>
  <c r="N65" i="3"/>
  <c r="M95" i="58"/>
  <c r="K20" i="3"/>
  <c r="K27" i="3"/>
  <c r="M67" i="3"/>
  <c r="AE41" i="58"/>
  <c r="AG41" i="58" s="1"/>
  <c r="AH41" i="58" s="1"/>
  <c r="AI41" i="58" s="1"/>
  <c r="AJ41" i="58" s="1"/>
  <c r="Q104" i="63"/>
  <c r="D5" i="64"/>
  <c r="O59" i="58"/>
  <c r="K64" i="5"/>
  <c r="K80" i="5" s="1"/>
  <c r="O97" i="3"/>
  <c r="O99" i="3" s="1"/>
  <c r="O50" i="3"/>
  <c r="Q10" i="58"/>
  <c r="O51" i="3"/>
  <c r="O62" i="3"/>
  <c r="P44" i="58"/>
  <c r="M45" i="58"/>
  <c r="K44" i="58"/>
  <c r="K47" i="58"/>
  <c r="W57" i="58"/>
  <c r="W60" i="3" s="1"/>
  <c r="U60" i="3"/>
  <c r="V60" i="3" s="1"/>
  <c r="P19" i="3"/>
  <c r="P52" i="3"/>
  <c r="P51" i="3"/>
  <c r="P97" i="3"/>
  <c r="P47" i="58"/>
  <c r="P19" i="58"/>
  <c r="P21" i="58"/>
  <c r="P20" i="58"/>
  <c r="M20" i="3"/>
  <c r="P11" i="7"/>
  <c r="P12" i="7"/>
  <c r="Q10" i="7"/>
  <c r="Q63" i="5"/>
  <c r="K49" i="3"/>
  <c r="K19" i="3"/>
  <c r="K21" i="3"/>
  <c r="G78" i="3"/>
  <c r="G73" i="3"/>
  <c r="K21" i="58"/>
  <c r="M20" i="58"/>
  <c r="K19" i="58"/>
  <c r="K20" i="58"/>
  <c r="Q10" i="3"/>
  <c r="J100" i="3"/>
  <c r="O49" i="58"/>
  <c r="O48" i="58"/>
  <c r="O50" i="58"/>
  <c r="N95" i="58"/>
  <c r="J50" i="58"/>
  <c r="J49" i="58"/>
  <c r="J48" i="58"/>
  <c r="L10" i="6" l="1"/>
  <c r="L94" i="3"/>
  <c r="O95" i="58"/>
  <c r="O97" i="58" s="1"/>
  <c r="O100" i="3"/>
  <c r="G99" i="58"/>
  <c r="AJ23" i="58"/>
  <c r="AJ67" i="5" s="1"/>
  <c r="AE67" i="5"/>
  <c r="AF23" i="58"/>
  <c r="AI67" i="5"/>
  <c r="G80" i="3"/>
  <c r="G10" i="6"/>
  <c r="L12" i="6"/>
  <c r="L34" i="6" s="1"/>
  <c r="L36" i="6" s="1"/>
  <c r="Q40" i="7"/>
  <c r="Q41" i="7" s="1"/>
  <c r="P41" i="7"/>
  <c r="P42" i="7"/>
  <c r="Q11" i="7"/>
  <c r="Q36" i="7"/>
  <c r="N69" i="3"/>
  <c r="N70" i="3" s="1"/>
  <c r="N78" i="3"/>
  <c r="O62" i="58"/>
  <c r="J62" i="58"/>
  <c r="P51" i="59"/>
  <c r="L84" i="3"/>
  <c r="L80" i="3"/>
  <c r="M73" i="3"/>
  <c r="N75" i="3" s="1"/>
  <c r="M69" i="3"/>
  <c r="P65" i="3"/>
  <c r="M97" i="58"/>
  <c r="M78" i="3"/>
  <c r="M94" i="3" s="1"/>
  <c r="P59" i="58"/>
  <c r="N97" i="58"/>
  <c r="Q117" i="58"/>
  <c r="O67" i="3"/>
  <c r="O65" i="3"/>
  <c r="Q115" i="58"/>
  <c r="Q116" i="58"/>
  <c r="Q114" i="58"/>
  <c r="Q113" i="58"/>
  <c r="Q11" i="58"/>
  <c r="K50" i="58"/>
  <c r="K59" i="58"/>
  <c r="K49" i="58"/>
  <c r="K48" i="58"/>
  <c r="M51" i="3"/>
  <c r="M49" i="58"/>
  <c r="X57" i="58"/>
  <c r="X60" i="3" s="1"/>
  <c r="P50" i="3"/>
  <c r="P50" i="58"/>
  <c r="P49" i="58"/>
  <c r="P48" i="58"/>
  <c r="P67" i="3"/>
  <c r="G84" i="3"/>
  <c r="G94" i="3"/>
  <c r="P16" i="7"/>
  <c r="P18" i="7"/>
  <c r="P19" i="7"/>
  <c r="P44" i="7" s="1"/>
  <c r="P17" i="7"/>
  <c r="P21" i="7"/>
  <c r="K100" i="3"/>
  <c r="K50" i="3"/>
  <c r="K51" i="3"/>
  <c r="K52" i="3"/>
  <c r="Q23" i="3"/>
  <c r="Q14" i="3"/>
  <c r="Q14" i="58" s="1"/>
  <c r="Q34" i="3"/>
  <c r="Q124" i="42" s="1"/>
  <c r="Q40" i="3"/>
  <c r="O64" i="58"/>
  <c r="J64" i="58"/>
  <c r="N74" i="3"/>
  <c r="N80" i="3" l="1"/>
  <c r="N94" i="3"/>
  <c r="AK23" i="58"/>
  <c r="AK67" i="5" s="1"/>
  <c r="AF67" i="5"/>
  <c r="AF24" i="58"/>
  <c r="Q44" i="7"/>
  <c r="Q45" i="7" s="1"/>
  <c r="Q46" i="7" s="1"/>
  <c r="P45" i="7"/>
  <c r="Q66" i="5"/>
  <c r="Q102" i="5" s="1"/>
  <c r="Q31" i="3"/>
  <c r="L90" i="6"/>
  <c r="L92" i="6" s="1"/>
  <c r="L93" i="6" s="1"/>
  <c r="L138" i="42" s="1"/>
  <c r="L136" i="42" s="1"/>
  <c r="L37" i="6"/>
  <c r="L75" i="6"/>
  <c r="G12" i="6"/>
  <c r="G34" i="6" s="1"/>
  <c r="G36" i="6" s="1"/>
  <c r="N10" i="6"/>
  <c r="N84" i="3"/>
  <c r="N85" i="3" s="1"/>
  <c r="N71" i="3"/>
  <c r="Q38" i="3"/>
  <c r="M70" i="3"/>
  <c r="P62" i="58"/>
  <c r="P73" i="3"/>
  <c r="P69" i="3"/>
  <c r="P70" i="3" s="1"/>
  <c r="M84" i="3"/>
  <c r="M80" i="3"/>
  <c r="N82" i="3" s="1"/>
  <c r="O78" i="3"/>
  <c r="O73" i="3"/>
  <c r="O74" i="3" s="1"/>
  <c r="O69" i="3"/>
  <c r="O70" i="3" s="1"/>
  <c r="J66" i="58"/>
  <c r="J70" i="58"/>
  <c r="O66" i="58"/>
  <c r="O70" i="58"/>
  <c r="M10" i="6"/>
  <c r="O98" i="58"/>
  <c r="M98" i="58"/>
  <c r="M99" i="58"/>
  <c r="M74" i="3"/>
  <c r="N98" i="58"/>
  <c r="N99" i="58"/>
  <c r="O99" i="58"/>
  <c r="Q15" i="58"/>
  <c r="Q65" i="5"/>
  <c r="Q96" i="5" s="1"/>
  <c r="K64" i="58"/>
  <c r="K62" i="58"/>
  <c r="Q24" i="3"/>
  <c r="Q23" i="58"/>
  <c r="Q35" i="3"/>
  <c r="Q32" i="58"/>
  <c r="Q43" i="3"/>
  <c r="Q38" i="58"/>
  <c r="Q18" i="58"/>
  <c r="Q90" i="63"/>
  <c r="Y57" i="58"/>
  <c r="Y60" i="3" s="1"/>
  <c r="P78" i="3"/>
  <c r="P64" i="58"/>
  <c r="Q21" i="7"/>
  <c r="Q16" i="7"/>
  <c r="Q18" i="7"/>
  <c r="M75" i="3"/>
  <c r="Q37" i="3"/>
  <c r="Q15" i="3"/>
  <c r="Q26" i="3"/>
  <c r="Q18" i="3"/>
  <c r="Q27" i="3" s="1"/>
  <c r="Q45" i="3"/>
  <c r="Q46" i="3" s="1"/>
  <c r="Q41" i="3"/>
  <c r="O75" i="58"/>
  <c r="J75" i="58"/>
  <c r="M71" i="3"/>
  <c r="N81" i="3"/>
  <c r="Q32" i="3" l="1"/>
  <c r="Q30" i="58" s="1"/>
  <c r="Q29" i="58"/>
  <c r="AK24" i="58"/>
  <c r="O94" i="3"/>
  <c r="P80" i="3"/>
  <c r="P94" i="3"/>
  <c r="Q130" i="42"/>
  <c r="V24" i="58"/>
  <c r="Q67" i="5"/>
  <c r="P46" i="7"/>
  <c r="P47" i="7"/>
  <c r="G90" i="6"/>
  <c r="G92" i="6" s="1"/>
  <c r="G93" i="6" s="1"/>
  <c r="G75" i="6"/>
  <c r="G77" i="6" s="1"/>
  <c r="G10" i="5" s="1"/>
  <c r="G79" i="6" s="1"/>
  <c r="G82" i="6" s="1"/>
  <c r="G87" i="6" s="1"/>
  <c r="G37" i="6"/>
  <c r="N86" i="3"/>
  <c r="N12" i="6"/>
  <c r="M12" i="6"/>
  <c r="M34" i="6" s="1"/>
  <c r="M36" i="6" s="1"/>
  <c r="M90" i="6" s="1"/>
  <c r="M92" i="6" s="1"/>
  <c r="M93" i="6" s="1"/>
  <c r="M138" i="42" s="1"/>
  <c r="M136" i="42" s="1"/>
  <c r="Q84" i="63"/>
  <c r="Q83" i="63" s="1"/>
  <c r="O84" i="3"/>
  <c r="O86" i="3" s="1"/>
  <c r="O80" i="3"/>
  <c r="O82" i="3" s="1"/>
  <c r="P84" i="3"/>
  <c r="O10" i="6"/>
  <c r="J82" i="58"/>
  <c r="J78" i="58"/>
  <c r="K66" i="58"/>
  <c r="M68" i="58" s="1"/>
  <c r="K70" i="58"/>
  <c r="P66" i="58"/>
  <c r="P70" i="58"/>
  <c r="O82" i="58"/>
  <c r="O78" i="58"/>
  <c r="M85" i="3"/>
  <c r="M81" i="3"/>
  <c r="Q43" i="58"/>
  <c r="Q21" i="3"/>
  <c r="Q27" i="58"/>
  <c r="P10" i="6"/>
  <c r="Q36" i="58"/>
  <c r="O75" i="3"/>
  <c r="O71" i="3"/>
  <c r="K75" i="58"/>
  <c r="Q41" i="58"/>
  <c r="Q39" i="58"/>
  <c r="Q35" i="58"/>
  <c r="Q33" i="58"/>
  <c r="Q26" i="58"/>
  <c r="Q24" i="58"/>
  <c r="Q21" i="58"/>
  <c r="Q19" i="58"/>
  <c r="Z57" i="58"/>
  <c r="P74" i="3"/>
  <c r="P75" i="3"/>
  <c r="P75" i="58"/>
  <c r="P71" i="3"/>
  <c r="Q49" i="3"/>
  <c r="J67" i="58"/>
  <c r="J68" i="58"/>
  <c r="O67" i="58"/>
  <c r="O68" i="58"/>
  <c r="J92" i="58"/>
  <c r="O92" i="58"/>
  <c r="O72" i="58"/>
  <c r="O71" i="58"/>
  <c r="J72" i="58"/>
  <c r="J71" i="58"/>
  <c r="H10" i="5"/>
  <c r="N34" i="6" l="1"/>
  <c r="N36" i="6" s="1"/>
  <c r="L76" i="6"/>
  <c r="L77" i="6" s="1"/>
  <c r="G85" i="6"/>
  <c r="P12" i="6"/>
  <c r="P71" i="58"/>
  <c r="O12" i="6"/>
  <c r="K72" i="58"/>
  <c r="M37" i="6"/>
  <c r="M75" i="6"/>
  <c r="O85" i="3"/>
  <c r="O81" i="3"/>
  <c r="P82" i="3"/>
  <c r="K71" i="58"/>
  <c r="M72" i="58"/>
  <c r="K82" i="58"/>
  <c r="K83" i="58" s="1"/>
  <c r="K78" i="58"/>
  <c r="K79" i="58" s="1"/>
  <c r="P82" i="58"/>
  <c r="P78" i="58"/>
  <c r="AA57" i="58"/>
  <c r="Z60" i="3"/>
  <c r="AA60" i="3" s="1"/>
  <c r="AB57" i="58"/>
  <c r="K92" i="58"/>
  <c r="D8" i="64"/>
  <c r="K67" i="58"/>
  <c r="K68" i="58"/>
  <c r="P67" i="58"/>
  <c r="Q44" i="58"/>
  <c r="Q64" i="5"/>
  <c r="Q80" i="5" s="1"/>
  <c r="Q47" i="58"/>
  <c r="Q51" i="59" s="1"/>
  <c r="Q52" i="3"/>
  <c r="Q62" i="3"/>
  <c r="M86" i="3"/>
  <c r="P85" i="3"/>
  <c r="P81" i="3"/>
  <c r="P92" i="58"/>
  <c r="P86" i="3"/>
  <c r="P68" i="58"/>
  <c r="P72" i="58"/>
  <c r="M82" i="3"/>
  <c r="Q97" i="3"/>
  <c r="Q64" i="3"/>
  <c r="Q61" i="58" s="1"/>
  <c r="J84" i="58"/>
  <c r="J83" i="58"/>
  <c r="O84" i="58"/>
  <c r="O83" i="58"/>
  <c r="J80" i="58"/>
  <c r="J79" i="58"/>
  <c r="O79" i="58"/>
  <c r="O80" i="58"/>
  <c r="I10" i="5"/>
  <c r="N37" i="6" l="1"/>
  <c r="N90" i="6"/>
  <c r="N92" i="6" s="1"/>
  <c r="N93" i="6" s="1"/>
  <c r="N138" i="42" s="1"/>
  <c r="N136" i="42" s="1"/>
  <c r="N75" i="6"/>
  <c r="L87" i="6"/>
  <c r="L85" i="6"/>
  <c r="Q76" i="6"/>
  <c r="M77" i="6"/>
  <c r="K84" i="58"/>
  <c r="M84" i="58"/>
  <c r="P83" i="58"/>
  <c r="K80" i="58"/>
  <c r="AB60" i="3"/>
  <c r="AC57" i="58"/>
  <c r="D9" i="64"/>
  <c r="Q65" i="3"/>
  <c r="M80" i="58"/>
  <c r="P79" i="58"/>
  <c r="Q59" i="58"/>
  <c r="Q50" i="58"/>
  <c r="Q48" i="58"/>
  <c r="P80" i="58"/>
  <c r="P84" i="58"/>
  <c r="M69" i="5"/>
  <c r="M71" i="5" s="1"/>
  <c r="Q67" i="3"/>
  <c r="M85" i="6" l="1"/>
  <c r="Q62" i="58"/>
  <c r="Q73" i="3"/>
  <c r="Q69" i="3"/>
  <c r="AD57" i="58"/>
  <c r="AC60" i="3"/>
  <c r="Q64" i="58"/>
  <c r="M60" i="5"/>
  <c r="M79" i="6"/>
  <c r="Q78" i="3"/>
  <c r="N60" i="5"/>
  <c r="N69" i="5"/>
  <c r="N71" i="5" s="1"/>
  <c r="Q94" i="3" l="1"/>
  <c r="M82" i="6"/>
  <c r="Q84" i="3"/>
  <c r="Q80" i="3"/>
  <c r="Q75" i="58"/>
  <c r="Q66" i="58"/>
  <c r="Q70" i="58"/>
  <c r="AD60" i="3"/>
  <c r="AE57" i="58"/>
  <c r="D14" i="64"/>
  <c r="M130" i="58"/>
  <c r="N130" i="58"/>
  <c r="O130" i="58"/>
  <c r="Q10" i="6"/>
  <c r="M87" i="6" l="1"/>
  <c r="N76" i="6"/>
  <c r="N77" i="6" s="1"/>
  <c r="P76" i="6"/>
  <c r="AE60" i="3"/>
  <c r="AF60" i="3" s="1"/>
  <c r="AG57" i="58"/>
  <c r="Q12" i="6"/>
  <c r="Q92" i="58"/>
  <c r="D16" i="64"/>
  <c r="Q82" i="58"/>
  <c r="Q78" i="58"/>
  <c r="AF57" i="58"/>
  <c r="N87" i="6" l="1"/>
  <c r="N85" i="6"/>
  <c r="AG60" i="3"/>
  <c r="AH57" i="58"/>
  <c r="AI57" i="58" l="1"/>
  <c r="AH60" i="3"/>
  <c r="AI60" i="3" l="1"/>
  <c r="AJ57" i="58"/>
  <c r="AJ60" i="3" s="1"/>
  <c r="G26" i="3"/>
  <c r="G37" i="3"/>
  <c r="G43" i="3"/>
  <c r="L26" i="3"/>
  <c r="Q11" i="3"/>
  <c r="L37" i="3"/>
  <c r="L43" i="3"/>
  <c r="L11" i="3"/>
  <c r="O37" i="5"/>
  <c r="AK57" i="58" l="1"/>
  <c r="AK60" i="3"/>
  <c r="O46" i="5"/>
  <c r="G21" i="3"/>
  <c r="Q19" i="3"/>
  <c r="L21" i="3"/>
  <c r="L19" i="3"/>
  <c r="K37" i="5"/>
  <c r="L37" i="5" l="1"/>
  <c r="O58" i="5"/>
  <c r="K46" i="5"/>
  <c r="Q50" i="3"/>
  <c r="L50" i="3"/>
  <c r="L52" i="3"/>
  <c r="Q53" i="3" s="1"/>
  <c r="G52" i="3"/>
  <c r="O60" i="5" l="1"/>
  <c r="K58" i="5"/>
  <c r="L46" i="5"/>
  <c r="L58" i="5" l="1"/>
  <c r="K60" i="5"/>
  <c r="L70" i="3"/>
  <c r="L74" i="3"/>
  <c r="L60" i="5" l="1"/>
  <c r="L85" i="3"/>
  <c r="L81" i="3"/>
  <c r="L19" i="11" l="1"/>
  <c r="Q19" i="11" l="1"/>
  <c r="V19" i="11" s="1"/>
  <c r="AA19" i="11" s="1"/>
  <c r="AF19" i="11" s="1"/>
  <c r="AK19" i="11" s="1"/>
  <c r="AP19" i="11" s="1"/>
  <c r="AU19" i="11" s="1"/>
  <c r="AZ19" i="11" s="1"/>
  <c r="BE19" i="11" s="1"/>
  <c r="BJ19" i="11" s="1"/>
  <c r="BO19" i="11" s="1"/>
  <c r="BT19" i="11" s="1"/>
  <c r="BY19" i="11" s="1"/>
  <c r="CD19" i="11" s="1"/>
  <c r="CI19" i="11" s="1"/>
  <c r="BU13" i="11" l="1"/>
  <c r="BV13" i="11"/>
  <c r="BW13" i="11"/>
  <c r="BX13" i="11"/>
  <c r="BY13" i="11"/>
  <c r="BZ13" i="11"/>
  <c r="CA13" i="11"/>
  <c r="CB13" i="11"/>
  <c r="CC13" i="11"/>
  <c r="CD13" i="11"/>
  <c r="CE13" i="11"/>
  <c r="CF13" i="11"/>
  <c r="CG13" i="11"/>
  <c r="CH13" i="11"/>
  <c r="CI13" i="11"/>
  <c r="CJ13" i="11"/>
  <c r="CK13" i="11"/>
  <c r="CL13" i="11"/>
  <c r="CM13" i="11"/>
  <c r="CN13" i="11"/>
  <c r="CO13" i="11"/>
  <c r="CP13" i="11"/>
  <c r="CQ13" i="11"/>
  <c r="CR13" i="11"/>
  <c r="CS13" i="11"/>
  <c r="CT13" i="11"/>
  <c r="CU13" i="11"/>
  <c r="CV13" i="11"/>
  <c r="CW13" i="11"/>
  <c r="CX13" i="11"/>
  <c r="CY13" i="11"/>
  <c r="CZ13" i="11"/>
  <c r="DA13" i="11"/>
  <c r="DB13" i="11"/>
  <c r="DC13" i="11"/>
  <c r="DD13" i="11"/>
  <c r="DE13" i="11"/>
  <c r="DF13" i="11"/>
  <c r="DG13" i="11"/>
  <c r="DH13" i="11"/>
  <c r="DI13" i="11"/>
  <c r="DJ13" i="11"/>
  <c r="DK13" i="11"/>
  <c r="DL13" i="11"/>
  <c r="DM13" i="11"/>
  <c r="DN13" i="11"/>
  <c r="DO13" i="11"/>
  <c r="DP13" i="11"/>
  <c r="DQ13" i="11"/>
  <c r="DR13" i="11"/>
  <c r="DS13" i="11"/>
  <c r="DT13" i="11"/>
  <c r="DU13" i="11"/>
  <c r="DV13" i="11"/>
  <c r="DW13" i="11"/>
  <c r="DX13" i="11"/>
  <c r="DY13" i="11"/>
  <c r="DZ13" i="11"/>
  <c r="EA13" i="11"/>
  <c r="EB13" i="11"/>
  <c r="EC13" i="11"/>
  <c r="ED13" i="11"/>
  <c r="EE13" i="11"/>
  <c r="EF13" i="11"/>
  <c r="EG13" i="11"/>
  <c r="EH13" i="11"/>
  <c r="EI13" i="11"/>
  <c r="EJ13" i="11"/>
  <c r="EK13" i="11"/>
  <c r="EL13" i="11"/>
  <c r="EM13" i="11"/>
  <c r="EN13" i="11"/>
  <c r="EO13" i="11"/>
  <c r="EP13" i="11"/>
  <c r="EQ13" i="11"/>
  <c r="ER13" i="11"/>
  <c r="ES13" i="11"/>
  <c r="ET13" i="11"/>
  <c r="EU13" i="11"/>
  <c r="EV13" i="11"/>
  <c r="EW13" i="11"/>
  <c r="EX13" i="11"/>
  <c r="EY13" i="11"/>
  <c r="EZ13" i="11"/>
  <c r="FA13" i="11"/>
  <c r="FB13" i="11"/>
  <c r="FC13" i="11"/>
  <c r="FD13" i="11"/>
  <c r="FE13" i="11"/>
  <c r="FF13" i="11"/>
  <c r="FG13" i="11"/>
  <c r="FH13" i="11"/>
  <c r="FI13" i="11"/>
  <c r="FJ13" i="11"/>
  <c r="FK13" i="11"/>
  <c r="BU18" i="11"/>
  <c r="BV18" i="11"/>
  <c r="BW18" i="11"/>
  <c r="BX18" i="11"/>
  <c r="BZ18" i="11"/>
  <c r="CA18" i="11"/>
  <c r="CB18" i="11"/>
  <c r="CC18" i="11"/>
  <c r="CE18" i="11"/>
  <c r="CF18" i="11"/>
  <c r="CG18" i="11"/>
  <c r="CH18" i="11"/>
  <c r="CJ18" i="11"/>
  <c r="CK18" i="11"/>
  <c r="CL18" i="11"/>
  <c r="CM18" i="11"/>
  <c r="CO18" i="11"/>
  <c r="CP18" i="11"/>
  <c r="CQ18" i="11"/>
  <c r="CN19" i="11"/>
  <c r="CS19" i="11" s="1"/>
  <c r="CX19" i="11" s="1"/>
  <c r="DC19" i="11" s="1"/>
  <c r="DH19" i="11" s="1"/>
  <c r="DM19" i="11" s="1"/>
  <c r="DR19" i="11" s="1"/>
  <c r="DW19" i="11" s="1"/>
  <c r="EB19" i="11" s="1"/>
  <c r="EG19" i="11" s="1"/>
  <c r="EL19" i="11" s="1"/>
  <c r="EQ19" i="11" s="1"/>
  <c r="EV19" i="11" s="1"/>
  <c r="FA19" i="11" s="1"/>
  <c r="FF19" i="11" s="1"/>
  <c r="FK19" i="11" s="1"/>
  <c r="D46" i="10" l="1"/>
  <c r="E46" i="10"/>
  <c r="F46" i="10"/>
  <c r="G46" i="10"/>
  <c r="H46" i="10"/>
  <c r="BT13" i="11" l="1"/>
  <c r="BS13" i="11"/>
  <c r="BR13" i="11"/>
  <c r="BQ13" i="11"/>
  <c r="BP13" i="11"/>
  <c r="BO13" i="11"/>
  <c r="BN13" i="11"/>
  <c r="BM13" i="11"/>
  <c r="BL13" i="11"/>
  <c r="BK13" i="11"/>
  <c r="BJ13" i="11"/>
  <c r="BI13" i="11"/>
  <c r="BH13" i="11"/>
  <c r="BG13" i="11"/>
  <c r="BF13" i="11"/>
  <c r="BE13" i="11"/>
  <c r="BD13" i="11"/>
  <c r="BC13" i="11"/>
  <c r="BB13" i="11"/>
  <c r="BA13" i="11"/>
  <c r="AZ13" i="11"/>
  <c r="AY13" i="11"/>
  <c r="AX13" i="11"/>
  <c r="AW13" i="11"/>
  <c r="AV13" i="11"/>
  <c r="AU13" i="11"/>
  <c r="AT13" i="11"/>
  <c r="AS13" i="11"/>
  <c r="AR13" i="11"/>
  <c r="AQ13" i="11"/>
  <c r="AP13" i="11"/>
  <c r="AO13" i="11"/>
  <c r="AN13" i="11"/>
  <c r="AM13" i="11"/>
  <c r="AL13" i="11"/>
  <c r="AK13" i="11"/>
  <c r="AJ13" i="11"/>
  <c r="AI13" i="11"/>
  <c r="AH13" i="11"/>
  <c r="AG13" i="11"/>
  <c r="AF13" i="11"/>
  <c r="AE13" i="11"/>
  <c r="AD13" i="11"/>
  <c r="AC13" i="11"/>
  <c r="AB13" i="11"/>
  <c r="AA13" i="11"/>
  <c r="Z13" i="11"/>
  <c r="Y13" i="11"/>
  <c r="X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D8" i="10" l="1"/>
  <c r="E8" i="10" l="1"/>
  <c r="G8" i="10" l="1"/>
  <c r="D6" i="10"/>
  <c r="F8" i="10"/>
  <c r="H7" i="10" l="1"/>
  <c r="H8" i="10"/>
  <c r="G7" i="10"/>
  <c r="E7" i="10"/>
  <c r="I8" i="10"/>
  <c r="D7" i="10"/>
  <c r="F7" i="10"/>
  <c r="J8" i="10" l="1"/>
  <c r="D9" i="10"/>
  <c r="E9" i="10"/>
  <c r="F9" i="10"/>
  <c r="G9" i="10"/>
  <c r="H9" i="10"/>
  <c r="K8" i="10" l="1"/>
  <c r="I6" i="10" l="1"/>
  <c r="L8" i="10"/>
  <c r="M8" i="10" l="1"/>
  <c r="L7" i="10"/>
  <c r="M7" i="10"/>
  <c r="J7" i="10"/>
  <c r="N8" i="10"/>
  <c r="K7" i="10"/>
  <c r="I7" i="10"/>
  <c r="I9" i="10" l="1"/>
  <c r="M9" i="10"/>
  <c r="J9" i="10"/>
  <c r="L9" i="10"/>
  <c r="K9" i="10"/>
  <c r="O8" i="10"/>
  <c r="P8" i="10" l="1"/>
  <c r="M71" i="10" l="1"/>
  <c r="M105" i="10"/>
  <c r="M35" i="10"/>
  <c r="M63" i="10"/>
  <c r="M53" i="10"/>
  <c r="M39" i="10"/>
  <c r="M67" i="10"/>
  <c r="M21" i="10"/>
  <c r="M89" i="10"/>
  <c r="M44" i="10"/>
  <c r="M30" i="10"/>
  <c r="M49" i="10"/>
  <c r="M59" i="10"/>
  <c r="M101" i="10"/>
  <c r="M13" i="10"/>
  <c r="Q8" i="10"/>
  <c r="N6" i="10"/>
  <c r="J72" i="10" l="1"/>
  <c r="J71" i="10"/>
  <c r="I72" i="10"/>
  <c r="I71" i="10"/>
  <c r="L71" i="10"/>
  <c r="L72" i="10"/>
  <c r="K71" i="10"/>
  <c r="K72" i="10"/>
  <c r="K105" i="10"/>
  <c r="K106" i="10"/>
  <c r="I106" i="10"/>
  <c r="I105" i="10"/>
  <c r="L106" i="10"/>
  <c r="L105" i="10"/>
  <c r="J106" i="10"/>
  <c r="J105" i="10"/>
  <c r="J60" i="10"/>
  <c r="J59" i="10"/>
  <c r="I53" i="10"/>
  <c r="I54" i="10"/>
  <c r="I60" i="10"/>
  <c r="I59" i="10"/>
  <c r="J50" i="10"/>
  <c r="J49" i="10"/>
  <c r="L90" i="10"/>
  <c r="L89" i="10"/>
  <c r="L67" i="10"/>
  <c r="L68" i="10"/>
  <c r="I90" i="10"/>
  <c r="I89" i="10"/>
  <c r="J63" i="10"/>
  <c r="J64" i="10"/>
  <c r="I44" i="10"/>
  <c r="I45" i="10"/>
  <c r="J36" i="10"/>
  <c r="J35" i="10"/>
  <c r="I67" i="10"/>
  <c r="I68" i="10"/>
  <c r="I40" i="10"/>
  <c r="I39" i="10"/>
  <c r="J30" i="10"/>
  <c r="J31" i="10"/>
  <c r="K30" i="10"/>
  <c r="K31" i="10"/>
  <c r="L102" i="10"/>
  <c r="L101" i="10"/>
  <c r="I30" i="10"/>
  <c r="I31" i="10"/>
  <c r="I22" i="10"/>
  <c r="I21" i="10"/>
  <c r="J13" i="10"/>
  <c r="J14" i="10"/>
  <c r="L39" i="10"/>
  <c r="L40" i="10"/>
  <c r="I63" i="10"/>
  <c r="I64" i="10"/>
  <c r="L50" i="10"/>
  <c r="L49" i="10"/>
  <c r="I14" i="10"/>
  <c r="I13" i="10"/>
  <c r="L64" i="10"/>
  <c r="L63" i="10"/>
  <c r="I35" i="10"/>
  <c r="I36" i="10"/>
  <c r="K22" i="10"/>
  <c r="K21" i="10"/>
  <c r="L13" i="10"/>
  <c r="L14" i="10"/>
  <c r="K36" i="10"/>
  <c r="K35" i="10"/>
  <c r="K13" i="10"/>
  <c r="K14" i="10"/>
  <c r="K102" i="10"/>
  <c r="K101" i="10"/>
  <c r="J44" i="10"/>
  <c r="J45" i="10"/>
  <c r="L36" i="10"/>
  <c r="L35" i="10"/>
  <c r="L53" i="10"/>
  <c r="L54" i="10"/>
  <c r="K68" i="10"/>
  <c r="K67" i="10"/>
  <c r="K50" i="10"/>
  <c r="K49" i="10"/>
  <c r="J54" i="10"/>
  <c r="J53" i="10"/>
  <c r="L45" i="10"/>
  <c r="L44" i="10"/>
  <c r="I102" i="10"/>
  <c r="I101" i="10"/>
  <c r="J67" i="10"/>
  <c r="J68" i="10"/>
  <c r="L59" i="10"/>
  <c r="L60" i="10"/>
  <c r="K89" i="10"/>
  <c r="K90" i="10"/>
  <c r="I50" i="10"/>
  <c r="I49" i="10"/>
  <c r="K63" i="10"/>
  <c r="K64" i="10"/>
  <c r="K59" i="10"/>
  <c r="K60" i="10"/>
  <c r="J89" i="10"/>
  <c r="J90" i="10"/>
  <c r="L22" i="10"/>
  <c r="L21" i="10"/>
  <c r="K40" i="10"/>
  <c r="K39" i="10"/>
  <c r="J21" i="10"/>
  <c r="J22" i="10"/>
  <c r="J102" i="10"/>
  <c r="J101" i="10"/>
  <c r="K54" i="10"/>
  <c r="K53" i="10"/>
  <c r="J40" i="10"/>
  <c r="J39" i="10"/>
  <c r="L30" i="10"/>
  <c r="L31" i="10"/>
  <c r="K45" i="10"/>
  <c r="K44" i="10"/>
  <c r="J46" i="10"/>
  <c r="L46" i="10"/>
  <c r="M46" i="10"/>
  <c r="K46" i="10"/>
  <c r="I46" i="10"/>
  <c r="N7" i="10"/>
  <c r="J32" i="10"/>
  <c r="K25" i="10"/>
  <c r="K23" i="10"/>
  <c r="M55" i="10"/>
  <c r="K32" i="10"/>
  <c r="I23" i="10"/>
  <c r="I25" i="10"/>
  <c r="Q7" i="10"/>
  <c r="S8" i="10"/>
  <c r="M23" i="10"/>
  <c r="M25" i="10"/>
  <c r="M26" i="10" s="1"/>
  <c r="I32" i="10"/>
  <c r="I76" i="10"/>
  <c r="K16" i="10"/>
  <c r="J23" i="10"/>
  <c r="J25" i="10"/>
  <c r="K76" i="10"/>
  <c r="I84" i="10"/>
  <c r="L76" i="10"/>
  <c r="J76" i="10"/>
  <c r="I55" i="10"/>
  <c r="L80" i="10"/>
  <c r="L84" i="10"/>
  <c r="P7" i="10"/>
  <c r="M84" i="10"/>
  <c r="M85" i="10" s="1"/>
  <c r="J84" i="10"/>
  <c r="L32" i="10"/>
  <c r="I16" i="10"/>
  <c r="K80" i="10"/>
  <c r="L25" i="10"/>
  <c r="L23" i="10"/>
  <c r="L16" i="10"/>
  <c r="I80" i="10"/>
  <c r="O7" i="10"/>
  <c r="R7" i="10"/>
  <c r="R8" i="10"/>
  <c r="M80" i="10"/>
  <c r="M81" i="10" s="1"/>
  <c r="K55" i="10"/>
  <c r="M16" i="10"/>
  <c r="M17" i="10" s="1"/>
  <c r="L55" i="10"/>
  <c r="J55" i="10"/>
  <c r="M32" i="10"/>
  <c r="M76" i="10"/>
  <c r="M77" i="10" s="1"/>
  <c r="K84" i="10"/>
  <c r="J80" i="10"/>
  <c r="J16" i="10"/>
  <c r="J18" i="10" l="1"/>
  <c r="J17" i="10"/>
  <c r="J82" i="10"/>
  <c r="J81" i="10"/>
  <c r="K85" i="10"/>
  <c r="K86" i="10"/>
  <c r="I82" i="10"/>
  <c r="I81" i="10"/>
  <c r="L18" i="10"/>
  <c r="L17" i="10"/>
  <c r="L27" i="10"/>
  <c r="L26" i="10"/>
  <c r="K81" i="10"/>
  <c r="K82" i="10"/>
  <c r="I17" i="10"/>
  <c r="I18" i="10"/>
  <c r="J92" i="10"/>
  <c r="J86" i="10"/>
  <c r="J85" i="10"/>
  <c r="L86" i="10"/>
  <c r="L85" i="10"/>
  <c r="L82" i="10"/>
  <c r="L81" i="10"/>
  <c r="J96" i="10"/>
  <c r="J78" i="10"/>
  <c r="J77" i="10"/>
  <c r="L78" i="10"/>
  <c r="L77" i="10"/>
  <c r="I86" i="10"/>
  <c r="I85" i="10"/>
  <c r="K78" i="10"/>
  <c r="K77" i="10"/>
  <c r="J27" i="10"/>
  <c r="J26" i="10"/>
  <c r="K18" i="10"/>
  <c r="K17" i="10"/>
  <c r="I78" i="10"/>
  <c r="I77" i="10"/>
  <c r="I27" i="10"/>
  <c r="I26" i="10"/>
  <c r="K27" i="10"/>
  <c r="K26" i="10"/>
  <c r="M92" i="10"/>
  <c r="M93" i="10" s="1"/>
  <c r="T8" i="10"/>
  <c r="M96" i="10"/>
  <c r="M97" i="10" s="1"/>
  <c r="K96" i="10"/>
  <c r="L92" i="10"/>
  <c r="I92" i="10"/>
  <c r="O9" i="10"/>
  <c r="Q9" i="10"/>
  <c r="N9" i="10"/>
  <c r="P9" i="10"/>
  <c r="R9" i="10"/>
  <c r="L96" i="10"/>
  <c r="I96" i="10"/>
  <c r="K92" i="10"/>
  <c r="K93" i="10" l="1"/>
  <c r="K94" i="10"/>
  <c r="I98" i="10"/>
  <c r="I97" i="10"/>
  <c r="L98" i="10"/>
  <c r="L97" i="10"/>
  <c r="I94" i="10"/>
  <c r="I93" i="10"/>
  <c r="L94" i="10"/>
  <c r="L93" i="10"/>
  <c r="K98" i="10"/>
  <c r="K97" i="10"/>
  <c r="J98" i="10"/>
  <c r="J97" i="10"/>
  <c r="J94" i="10"/>
  <c r="J93" i="10"/>
  <c r="U8" i="10"/>
  <c r="R71" i="10" l="1"/>
  <c r="R53" i="10"/>
  <c r="R63" i="10"/>
  <c r="R105" i="10"/>
  <c r="Q46" i="10"/>
  <c r="R44" i="10"/>
  <c r="R101" i="10"/>
  <c r="R35" i="10"/>
  <c r="R49" i="10"/>
  <c r="R89" i="10"/>
  <c r="R39" i="10"/>
  <c r="R67" i="10"/>
  <c r="R30" i="10"/>
  <c r="R21" i="10"/>
  <c r="R13" i="10"/>
  <c r="R59" i="10"/>
  <c r="S6" i="10"/>
  <c r="V8" i="10"/>
  <c r="C5" i="11"/>
  <c r="D11" i="11"/>
  <c r="Q72" i="10" l="1"/>
  <c r="Q71" i="10"/>
  <c r="N72" i="10"/>
  <c r="N71" i="10"/>
  <c r="O72" i="10"/>
  <c r="O71" i="10"/>
  <c r="P72" i="10"/>
  <c r="P71" i="10"/>
  <c r="Q106" i="10"/>
  <c r="Q105" i="10"/>
  <c r="P106" i="10"/>
  <c r="P105" i="10"/>
  <c r="N106" i="10"/>
  <c r="N105" i="10"/>
  <c r="O105" i="10"/>
  <c r="O106" i="10"/>
  <c r="C8" i="58"/>
  <c r="C8" i="63"/>
  <c r="P14" i="10"/>
  <c r="P13" i="10"/>
  <c r="P22" i="10"/>
  <c r="P21" i="10"/>
  <c r="P46" i="10"/>
  <c r="N59" i="10"/>
  <c r="N60" i="10"/>
  <c r="N22" i="10"/>
  <c r="N21" i="10"/>
  <c r="P90" i="10"/>
  <c r="P89" i="10"/>
  <c r="O31" i="10"/>
  <c r="O30" i="10"/>
  <c r="P40" i="10"/>
  <c r="P39" i="10"/>
  <c r="O53" i="10"/>
  <c r="O54" i="10"/>
  <c r="P36" i="10"/>
  <c r="P35" i="10"/>
  <c r="O50" i="10"/>
  <c r="O49" i="10"/>
  <c r="O67" i="10"/>
  <c r="O68" i="10"/>
  <c r="N67" i="10"/>
  <c r="N68" i="10"/>
  <c r="P102" i="10"/>
  <c r="P101" i="10"/>
  <c r="N31" i="10"/>
  <c r="N30" i="10"/>
  <c r="O59" i="10"/>
  <c r="O60" i="10"/>
  <c r="P45" i="10"/>
  <c r="P44" i="10"/>
  <c r="Q90" i="10"/>
  <c r="Q89" i="10"/>
  <c r="O22" i="10"/>
  <c r="O21" i="10"/>
  <c r="Q67" i="10"/>
  <c r="Q68" i="10"/>
  <c r="O14" i="10"/>
  <c r="O13" i="10"/>
  <c r="O40" i="10"/>
  <c r="O39" i="10"/>
  <c r="N39" i="10"/>
  <c r="N40" i="10"/>
  <c r="P49" i="10"/>
  <c r="P50" i="10"/>
  <c r="O63" i="10"/>
  <c r="O64" i="10"/>
  <c r="Q102" i="10"/>
  <c r="Q101" i="10"/>
  <c r="P54" i="10"/>
  <c r="P53" i="10"/>
  <c r="Q45" i="10"/>
  <c r="Q44" i="10"/>
  <c r="Q40" i="10"/>
  <c r="Q39" i="10"/>
  <c r="P59" i="10"/>
  <c r="P60" i="10"/>
  <c r="O89" i="10"/>
  <c r="O90" i="10"/>
  <c r="Q50" i="10"/>
  <c r="Q49" i="10"/>
  <c r="N35" i="10"/>
  <c r="N36" i="10"/>
  <c r="N102" i="10"/>
  <c r="N101" i="10"/>
  <c r="N90" i="10"/>
  <c r="N89" i="10"/>
  <c r="P31" i="10"/>
  <c r="P30" i="10"/>
  <c r="O44" i="10"/>
  <c r="O45" i="10"/>
  <c r="Q14" i="10"/>
  <c r="Q13" i="10"/>
  <c r="O36" i="10"/>
  <c r="O35" i="10"/>
  <c r="Q54" i="10"/>
  <c r="Q53" i="10"/>
  <c r="N50" i="10"/>
  <c r="N49" i="10"/>
  <c r="Q30" i="10"/>
  <c r="Q31" i="10"/>
  <c r="N45" i="10"/>
  <c r="N44" i="10"/>
  <c r="Q63" i="10"/>
  <c r="Q64" i="10"/>
  <c r="Q21" i="10"/>
  <c r="Q22" i="10"/>
  <c r="N54" i="10"/>
  <c r="N53" i="10"/>
  <c r="P68" i="10"/>
  <c r="P67" i="10"/>
  <c r="N13" i="10"/>
  <c r="N14" i="10"/>
  <c r="P63" i="10"/>
  <c r="P64" i="10"/>
  <c r="O101" i="10"/>
  <c r="O102" i="10"/>
  <c r="Q60" i="10"/>
  <c r="Q59" i="10"/>
  <c r="Q36" i="10"/>
  <c r="Q35" i="10"/>
  <c r="N64" i="10"/>
  <c r="N63" i="10"/>
  <c r="C8" i="42"/>
  <c r="C8" i="3"/>
  <c r="N46" i="10"/>
  <c r="O46" i="10"/>
  <c r="C8" i="7"/>
  <c r="R46" i="10"/>
  <c r="T7" i="10"/>
  <c r="O32" i="10"/>
  <c r="O55" i="10"/>
  <c r="C8" i="6"/>
  <c r="C8" i="5"/>
  <c r="X8" i="10"/>
  <c r="Q76" i="10"/>
  <c r="N32" i="10"/>
  <c r="N23" i="10"/>
  <c r="N25" i="10"/>
  <c r="N84" i="10"/>
  <c r="R16" i="10"/>
  <c r="R17" i="10" s="1"/>
  <c r="O80" i="10"/>
  <c r="P84" i="10"/>
  <c r="W7" i="10"/>
  <c r="R55" i="10"/>
  <c r="Q80" i="10"/>
  <c r="P55" i="10"/>
  <c r="P80" i="10"/>
  <c r="O84" i="10"/>
  <c r="Q84" i="10"/>
  <c r="O76" i="10"/>
  <c r="Q55" i="10"/>
  <c r="R80" i="10"/>
  <c r="R81" i="10" s="1"/>
  <c r="O23" i="10"/>
  <c r="O25" i="10"/>
  <c r="P16" i="10"/>
  <c r="P32" i="10"/>
  <c r="S7" i="10"/>
  <c r="U7" i="10"/>
  <c r="N76" i="10"/>
  <c r="O16" i="10"/>
  <c r="Q16" i="10"/>
  <c r="V7" i="10"/>
  <c r="P25" i="10"/>
  <c r="P23" i="10"/>
  <c r="W8" i="10"/>
  <c r="P76" i="10"/>
  <c r="Q32" i="10"/>
  <c r="N16" i="10"/>
  <c r="N80" i="10"/>
  <c r="R23" i="10"/>
  <c r="R25" i="10"/>
  <c r="R26" i="10" s="1"/>
  <c r="R84" i="10"/>
  <c r="R85" i="10" s="1"/>
  <c r="R32" i="10"/>
  <c r="R76" i="10"/>
  <c r="R77" i="10" s="1"/>
  <c r="N55" i="10"/>
  <c r="Q25" i="10"/>
  <c r="Q23" i="10"/>
  <c r="D14" i="11"/>
  <c r="E11" i="11"/>
  <c r="D5" i="11"/>
  <c r="D88" i="5" l="1"/>
  <c r="D75" i="5"/>
  <c r="D8" i="58"/>
  <c r="D8" i="63"/>
  <c r="D8" i="42"/>
  <c r="D8" i="3"/>
  <c r="Q27" i="10"/>
  <c r="Q26" i="10"/>
  <c r="N82" i="10"/>
  <c r="N81" i="10"/>
  <c r="N18" i="10"/>
  <c r="N17" i="10"/>
  <c r="P96" i="10"/>
  <c r="P77" i="10"/>
  <c r="P78" i="10"/>
  <c r="P26" i="10"/>
  <c r="P27" i="10"/>
  <c r="Q18" i="10"/>
  <c r="Q17" i="10"/>
  <c r="O18" i="10"/>
  <c r="O17" i="10"/>
  <c r="N78" i="10"/>
  <c r="N77" i="10"/>
  <c r="P18" i="10"/>
  <c r="P17" i="10"/>
  <c r="O26" i="10"/>
  <c r="O27" i="10"/>
  <c r="O77" i="10"/>
  <c r="O78" i="10"/>
  <c r="Q86" i="10"/>
  <c r="Q85" i="10"/>
  <c r="O86" i="10"/>
  <c r="O85" i="10"/>
  <c r="P82" i="10"/>
  <c r="P81" i="10"/>
  <c r="Q82" i="10"/>
  <c r="Q81" i="10"/>
  <c r="P86" i="10"/>
  <c r="P85" i="10"/>
  <c r="O82" i="10"/>
  <c r="O81" i="10"/>
  <c r="N92" i="10"/>
  <c r="N86" i="10"/>
  <c r="N85" i="10"/>
  <c r="N26" i="10"/>
  <c r="N27" i="10"/>
  <c r="Q78" i="10"/>
  <c r="Q77" i="10"/>
  <c r="D8" i="7"/>
  <c r="D8" i="6"/>
  <c r="D8" i="5"/>
  <c r="Y8" i="10"/>
  <c r="Q92" i="10"/>
  <c r="O92" i="10"/>
  <c r="R96" i="10"/>
  <c r="R97" i="10" s="1"/>
  <c r="O96" i="10"/>
  <c r="N96" i="10"/>
  <c r="V9" i="10"/>
  <c r="U9" i="10"/>
  <c r="T9" i="10"/>
  <c r="W9" i="10"/>
  <c r="S9" i="10"/>
  <c r="P92" i="10"/>
  <c r="R92" i="10"/>
  <c r="R93" i="10" s="1"/>
  <c r="Q96" i="10"/>
  <c r="E14" i="11"/>
  <c r="E5" i="11"/>
  <c r="F11" i="11"/>
  <c r="E8" i="58" l="1"/>
  <c r="E75" i="5"/>
  <c r="E88" i="5"/>
  <c r="E8" i="63"/>
  <c r="E8" i="42"/>
  <c r="E8" i="3"/>
  <c r="Q98" i="10"/>
  <c r="Q97" i="10"/>
  <c r="P94" i="10"/>
  <c r="P93" i="10"/>
  <c r="N98" i="10"/>
  <c r="N97" i="10"/>
  <c r="O98" i="10"/>
  <c r="O97" i="10"/>
  <c r="O94" i="10"/>
  <c r="O93" i="10"/>
  <c r="Q94" i="10"/>
  <c r="Q93" i="10"/>
  <c r="N94" i="10"/>
  <c r="N93" i="10"/>
  <c r="P98" i="10"/>
  <c r="P97" i="10"/>
  <c r="E8" i="7"/>
  <c r="E8" i="6"/>
  <c r="E8" i="5"/>
  <c r="Z8" i="10"/>
  <c r="F14" i="11"/>
  <c r="G11" i="11"/>
  <c r="C3" i="11" s="1"/>
  <c r="H11" i="11"/>
  <c r="F5" i="11"/>
  <c r="C6" i="94" l="1"/>
  <c r="W71" i="10"/>
  <c r="W21" i="10"/>
  <c r="W105" i="10"/>
  <c r="W63" i="10"/>
  <c r="W59" i="10"/>
  <c r="W53" i="10"/>
  <c r="W44" i="10"/>
  <c r="W67" i="10"/>
  <c r="W39" i="10"/>
  <c r="W30" i="10"/>
  <c r="W35" i="10"/>
  <c r="W13" i="10"/>
  <c r="W49" i="10"/>
  <c r="C6" i="63"/>
  <c r="W101" i="10"/>
  <c r="W89" i="10"/>
  <c r="F88" i="5"/>
  <c r="F75" i="5"/>
  <c r="F8" i="58"/>
  <c r="F8" i="63"/>
  <c r="C6" i="58"/>
  <c r="F8" i="42"/>
  <c r="F8" i="3"/>
  <c r="C6" i="3"/>
  <c r="C6" i="42"/>
  <c r="C6" i="7"/>
  <c r="F8" i="7"/>
  <c r="C6" i="6"/>
  <c r="C6" i="5"/>
  <c r="X6" i="10"/>
  <c r="F8" i="6"/>
  <c r="F8" i="5"/>
  <c r="AA8" i="10"/>
  <c r="H14" i="11"/>
  <c r="I11" i="11"/>
  <c r="H5" i="11"/>
  <c r="C4" i="11"/>
  <c r="G4" i="11"/>
  <c r="F4" i="11"/>
  <c r="G5" i="11"/>
  <c r="D4" i="11"/>
  <c r="E4" i="11"/>
  <c r="F7" i="94" l="1"/>
  <c r="C7" i="94"/>
  <c r="E7" i="94"/>
  <c r="G7" i="94"/>
  <c r="D7" i="94"/>
  <c r="S72" i="10"/>
  <c r="S71" i="10"/>
  <c r="T71" i="10"/>
  <c r="T72" i="10"/>
  <c r="V71" i="10"/>
  <c r="V72" i="10"/>
  <c r="U71" i="10"/>
  <c r="U72" i="10"/>
  <c r="V105" i="10"/>
  <c r="V106" i="10"/>
  <c r="T106" i="10"/>
  <c r="T105" i="10"/>
  <c r="S106" i="10"/>
  <c r="S105" i="10"/>
  <c r="U106" i="10"/>
  <c r="U105" i="10"/>
  <c r="D7" i="63"/>
  <c r="F7" i="63"/>
  <c r="C7" i="63"/>
  <c r="G7" i="63"/>
  <c r="E7" i="63"/>
  <c r="H75" i="5"/>
  <c r="H88" i="5"/>
  <c r="G8" i="59"/>
  <c r="G8" i="58"/>
  <c r="H8" i="59"/>
  <c r="H8" i="58"/>
  <c r="G8" i="63"/>
  <c r="H8" i="63"/>
  <c r="G7" i="59"/>
  <c r="G7" i="58"/>
  <c r="C7" i="58"/>
  <c r="D7" i="58"/>
  <c r="F7" i="58"/>
  <c r="E7" i="58"/>
  <c r="U59" i="10"/>
  <c r="U60" i="10"/>
  <c r="S90" i="10"/>
  <c r="S89" i="10"/>
  <c r="U21" i="10"/>
  <c r="U22" i="10"/>
  <c r="S40" i="10"/>
  <c r="S39" i="10"/>
  <c r="T67" i="10"/>
  <c r="T68" i="10"/>
  <c r="T36" i="10"/>
  <c r="T35" i="10"/>
  <c r="V49" i="10"/>
  <c r="V50" i="10"/>
  <c r="U63" i="10"/>
  <c r="U64" i="10"/>
  <c r="U30" i="10"/>
  <c r="U31" i="10"/>
  <c r="T89" i="10"/>
  <c r="T90" i="10"/>
  <c r="T39" i="10"/>
  <c r="T40" i="10"/>
  <c r="V53" i="10"/>
  <c r="V54" i="10"/>
  <c r="U68" i="10"/>
  <c r="U67" i="10"/>
  <c r="V14" i="10"/>
  <c r="V13" i="10"/>
  <c r="U35" i="10"/>
  <c r="U36" i="10"/>
  <c r="S50" i="10"/>
  <c r="S49" i="10"/>
  <c r="T101" i="10"/>
  <c r="T102" i="10"/>
  <c r="T44" i="10"/>
  <c r="T45" i="10"/>
  <c r="V60" i="10"/>
  <c r="V59" i="10"/>
  <c r="U90" i="10"/>
  <c r="U89" i="10"/>
  <c r="V21" i="10"/>
  <c r="V22" i="10"/>
  <c r="U40" i="10"/>
  <c r="U39" i="10"/>
  <c r="S54" i="10"/>
  <c r="S53" i="10"/>
  <c r="S14" i="10"/>
  <c r="S13" i="10"/>
  <c r="T49" i="10"/>
  <c r="T50" i="10"/>
  <c r="V63" i="10"/>
  <c r="V64" i="10"/>
  <c r="U101" i="10"/>
  <c r="U102" i="10"/>
  <c r="V30" i="10"/>
  <c r="V31" i="10"/>
  <c r="U45" i="10"/>
  <c r="U44" i="10"/>
  <c r="S59" i="10"/>
  <c r="S60" i="10"/>
  <c r="S21" i="10"/>
  <c r="S22" i="10"/>
  <c r="S44" i="10"/>
  <c r="S45" i="10"/>
  <c r="V35" i="10"/>
  <c r="V36" i="10"/>
  <c r="S64" i="10"/>
  <c r="S63" i="10"/>
  <c r="S31" i="10"/>
  <c r="S30" i="10"/>
  <c r="T59" i="10"/>
  <c r="T60" i="10"/>
  <c r="V90" i="10"/>
  <c r="V89" i="10"/>
  <c r="S102" i="10"/>
  <c r="S101" i="10"/>
  <c r="T54" i="10"/>
  <c r="T53" i="10"/>
  <c r="V67" i="10"/>
  <c r="V68" i="10"/>
  <c r="T13" i="10"/>
  <c r="T14" i="10"/>
  <c r="U49" i="10"/>
  <c r="U50" i="10"/>
  <c r="T21" i="10"/>
  <c r="T22" i="10"/>
  <c r="V40" i="10"/>
  <c r="V39" i="10"/>
  <c r="U54" i="10"/>
  <c r="U53" i="10"/>
  <c r="S68" i="10"/>
  <c r="S67" i="10"/>
  <c r="U13" i="10"/>
  <c r="U14" i="10"/>
  <c r="S35" i="10"/>
  <c r="S36" i="10"/>
  <c r="T63" i="10"/>
  <c r="T64" i="10"/>
  <c r="V102" i="10"/>
  <c r="V101" i="10"/>
  <c r="T30" i="10"/>
  <c r="T31" i="10"/>
  <c r="V44" i="10"/>
  <c r="V45" i="10"/>
  <c r="H8" i="42"/>
  <c r="H8" i="3"/>
  <c r="G8" i="42"/>
  <c r="G8" i="6"/>
  <c r="G8" i="3"/>
  <c r="E7" i="3"/>
  <c r="D7" i="3"/>
  <c r="F7" i="3"/>
  <c r="G7" i="6"/>
  <c r="G7" i="3"/>
  <c r="C7" i="3"/>
  <c r="E7" i="42"/>
  <c r="D7" i="42"/>
  <c r="F7" i="42"/>
  <c r="G7" i="42"/>
  <c r="C7" i="42"/>
  <c r="V46" i="10"/>
  <c r="G8" i="7"/>
  <c r="G7" i="7"/>
  <c r="E7" i="7"/>
  <c r="F7" i="7"/>
  <c r="C7" i="7"/>
  <c r="D7" i="7"/>
  <c r="H8" i="7"/>
  <c r="U46" i="10"/>
  <c r="W46" i="10"/>
  <c r="S46" i="10"/>
  <c r="T46" i="10"/>
  <c r="E7" i="6"/>
  <c r="E7" i="5"/>
  <c r="Z7" i="10"/>
  <c r="T23" i="10"/>
  <c r="T25" i="10"/>
  <c r="T16" i="10"/>
  <c r="U16" i="10"/>
  <c r="V16" i="10"/>
  <c r="T76" i="10"/>
  <c r="V32" i="10"/>
  <c r="S16" i="10"/>
  <c r="V55" i="10"/>
  <c r="W84" i="10"/>
  <c r="W85" i="10" s="1"/>
  <c r="U80" i="10"/>
  <c r="S55" i="10"/>
  <c r="T55" i="10"/>
  <c r="V76" i="10"/>
  <c r="W80" i="10"/>
  <c r="W81" i="10" s="1"/>
  <c r="W32" i="10"/>
  <c r="F7" i="6"/>
  <c r="F7" i="5"/>
  <c r="AA7" i="10"/>
  <c r="W16" i="10"/>
  <c r="W17" i="10" s="1"/>
  <c r="U23" i="10"/>
  <c r="U25" i="10"/>
  <c r="D7" i="6"/>
  <c r="D7" i="5"/>
  <c r="Y7" i="10"/>
  <c r="H8" i="6"/>
  <c r="H8" i="5"/>
  <c r="AC8" i="10"/>
  <c r="V25" i="10"/>
  <c r="V23" i="10"/>
  <c r="G8" i="5"/>
  <c r="AB8" i="10"/>
  <c r="T32" i="10"/>
  <c r="S80" i="10"/>
  <c r="W55" i="10"/>
  <c r="U76" i="10"/>
  <c r="W23" i="10"/>
  <c r="W25" i="10"/>
  <c r="W26" i="10" s="1"/>
  <c r="T80" i="10"/>
  <c r="S76" i="10"/>
  <c r="T84" i="10"/>
  <c r="U55" i="10"/>
  <c r="G7" i="5"/>
  <c r="AB7" i="10"/>
  <c r="C7" i="6"/>
  <c r="C7" i="5"/>
  <c r="X7" i="10"/>
  <c r="V80" i="10"/>
  <c r="W76" i="10"/>
  <c r="W77" i="10" s="1"/>
  <c r="U84" i="10"/>
  <c r="V84" i="10"/>
  <c r="U32" i="10"/>
  <c r="S23" i="10"/>
  <c r="S25" i="10"/>
  <c r="S84" i="10"/>
  <c r="S32" i="10"/>
  <c r="C15" i="11"/>
  <c r="G15" i="11"/>
  <c r="F15" i="11"/>
  <c r="E15" i="11"/>
  <c r="D15" i="11"/>
  <c r="I14" i="11"/>
  <c r="I5" i="11"/>
  <c r="J11" i="11"/>
  <c r="I88" i="5" l="1"/>
  <c r="I75" i="5"/>
  <c r="I8" i="58"/>
  <c r="I8" i="59"/>
  <c r="I8" i="63"/>
  <c r="I8" i="42"/>
  <c r="I8" i="3"/>
  <c r="S85" i="10"/>
  <c r="S86" i="10"/>
  <c r="S26" i="10"/>
  <c r="S27" i="10"/>
  <c r="V86" i="10"/>
  <c r="V85" i="10"/>
  <c r="U92" i="10"/>
  <c r="U86" i="10"/>
  <c r="U85" i="10"/>
  <c r="V81" i="10"/>
  <c r="V82" i="10"/>
  <c r="T85" i="10"/>
  <c r="T86" i="10"/>
  <c r="S78" i="10"/>
  <c r="S77" i="10"/>
  <c r="T81" i="10"/>
  <c r="T82" i="10"/>
  <c r="U78" i="10"/>
  <c r="U77" i="10"/>
  <c r="S81" i="10"/>
  <c r="S82" i="10"/>
  <c r="V27" i="10"/>
  <c r="V26" i="10"/>
  <c r="U27" i="10"/>
  <c r="U26" i="10"/>
  <c r="V78" i="10"/>
  <c r="V77" i="10"/>
  <c r="U81" i="10"/>
  <c r="U82" i="10"/>
  <c r="S17" i="10"/>
  <c r="S18" i="10"/>
  <c r="T77" i="10"/>
  <c r="T78" i="10"/>
  <c r="V17" i="10"/>
  <c r="V18" i="10"/>
  <c r="U17" i="10"/>
  <c r="U18" i="10"/>
  <c r="T18" i="10"/>
  <c r="T17" i="10"/>
  <c r="T27" i="10"/>
  <c r="T26" i="10"/>
  <c r="I8" i="7"/>
  <c r="W92" i="10"/>
  <c r="W93" i="10" s="1"/>
  <c r="S92" i="10"/>
  <c r="T92" i="10"/>
  <c r="U96" i="10"/>
  <c r="T96" i="10"/>
  <c r="V92" i="10"/>
  <c r="S96" i="10"/>
  <c r="Y9" i="10"/>
  <c r="X9" i="10"/>
  <c r="AA9" i="10"/>
  <c r="Z9" i="10"/>
  <c r="AB9" i="10"/>
  <c r="V96" i="10"/>
  <c r="W96" i="10"/>
  <c r="W97" i="10" s="1"/>
  <c r="I8" i="6"/>
  <c r="I8" i="5"/>
  <c r="AD8" i="10"/>
  <c r="J14" i="11"/>
  <c r="K11" i="11"/>
  <c r="J5" i="11"/>
  <c r="J8" i="58" l="1"/>
  <c r="J8" i="59"/>
  <c r="J88" i="5"/>
  <c r="J75" i="5"/>
  <c r="J8" i="63"/>
  <c r="J8" i="42"/>
  <c r="J8" i="3"/>
  <c r="V97" i="10"/>
  <c r="V98" i="10"/>
  <c r="S97" i="10"/>
  <c r="S98" i="10"/>
  <c r="V93" i="10"/>
  <c r="V94" i="10"/>
  <c r="T97" i="10"/>
  <c r="T98" i="10"/>
  <c r="U98" i="10"/>
  <c r="U97" i="10"/>
  <c r="T93" i="10"/>
  <c r="T94" i="10"/>
  <c r="S93" i="10"/>
  <c r="S94" i="10"/>
  <c r="U93" i="10"/>
  <c r="U94" i="10"/>
  <c r="J8" i="7"/>
  <c r="J8" i="6"/>
  <c r="J8" i="5"/>
  <c r="AE8" i="10"/>
  <c r="K14" i="11"/>
  <c r="M11" i="11"/>
  <c r="K5" i="11"/>
  <c r="L11" i="11"/>
  <c r="H3" i="11" s="1"/>
  <c r="AA71" i="10" l="1"/>
  <c r="H6" i="94"/>
  <c r="Z71" i="10"/>
  <c r="Y72" i="10"/>
  <c r="AB71" i="10"/>
  <c r="Y71" i="10"/>
  <c r="AB59" i="10"/>
  <c r="AB63" i="10"/>
  <c r="AB44" i="10"/>
  <c r="AB101" i="10"/>
  <c r="AB105" i="10"/>
  <c r="AB35" i="10"/>
  <c r="AB53" i="10"/>
  <c r="AB13" i="10"/>
  <c r="AB67" i="10"/>
  <c r="H6" i="63"/>
  <c r="AB30" i="10"/>
  <c r="AB49" i="10"/>
  <c r="AB39" i="10"/>
  <c r="K75" i="5"/>
  <c r="K74" i="5" s="1"/>
  <c r="K88" i="5"/>
  <c r="K8" i="58"/>
  <c r="K8" i="59"/>
  <c r="K8" i="63"/>
  <c r="H6" i="59"/>
  <c r="H6" i="58"/>
  <c r="AB89" i="10"/>
  <c r="AB21" i="10"/>
  <c r="K8" i="42"/>
  <c r="K8" i="3"/>
  <c r="H6" i="3"/>
  <c r="H6" i="42"/>
  <c r="H6" i="7"/>
  <c r="K8" i="7"/>
  <c r="H6" i="6"/>
  <c r="H6" i="5"/>
  <c r="AC6" i="10"/>
  <c r="K8" i="6"/>
  <c r="K8" i="5"/>
  <c r="AF8" i="10"/>
  <c r="L14" i="11"/>
  <c r="I4" i="11"/>
  <c r="L5" i="11"/>
  <c r="L4" i="11"/>
  <c r="H4" i="11"/>
  <c r="J4" i="11"/>
  <c r="K4" i="11"/>
  <c r="M14" i="11"/>
  <c r="N11" i="11"/>
  <c r="M5" i="11"/>
  <c r="Z72" i="10" l="1"/>
  <c r="AA72" i="10"/>
  <c r="J7" i="94"/>
  <c r="L7" i="94"/>
  <c r="X72" i="10"/>
  <c r="X71" i="10"/>
  <c r="I7" i="94"/>
  <c r="H7" i="94"/>
  <c r="K7" i="94"/>
  <c r="AA105" i="10"/>
  <c r="AA106" i="10"/>
  <c r="Z105" i="10"/>
  <c r="Z106" i="10"/>
  <c r="X105" i="10"/>
  <c r="X106" i="10"/>
  <c r="Y106" i="10"/>
  <c r="Y105" i="10"/>
  <c r="I7" i="63"/>
  <c r="J7" i="63"/>
  <c r="H7" i="63"/>
  <c r="L7" i="63"/>
  <c r="K7" i="63"/>
  <c r="AA46" i="10"/>
  <c r="M8" i="59"/>
  <c r="M8" i="58"/>
  <c r="L8" i="58"/>
  <c r="L8" i="59"/>
  <c r="L88" i="5"/>
  <c r="L75" i="5"/>
  <c r="L74" i="5" s="1"/>
  <c r="M75" i="5"/>
  <c r="M74" i="5" s="1"/>
  <c r="M88" i="5"/>
  <c r="K76" i="5"/>
  <c r="K77" i="5"/>
  <c r="M8" i="63"/>
  <c r="L8" i="63"/>
  <c r="J7" i="58"/>
  <c r="J7" i="59"/>
  <c r="L7" i="58"/>
  <c r="L7" i="59"/>
  <c r="H7" i="59"/>
  <c r="H7" i="58"/>
  <c r="I7" i="58"/>
  <c r="I7" i="59"/>
  <c r="K7" i="58"/>
  <c r="K7" i="59"/>
  <c r="Y60" i="10"/>
  <c r="Y59" i="10"/>
  <c r="Y30" i="10"/>
  <c r="Y31" i="10"/>
  <c r="Y90" i="10"/>
  <c r="Y89" i="10"/>
  <c r="Z36" i="10"/>
  <c r="Z35" i="10"/>
  <c r="X31" i="10"/>
  <c r="X30" i="10"/>
  <c r="Y53" i="10"/>
  <c r="Y54" i="10"/>
  <c r="X14" i="10"/>
  <c r="X13" i="10"/>
  <c r="Y14" i="10"/>
  <c r="Y13" i="10"/>
  <c r="Z60" i="10"/>
  <c r="Z59" i="10"/>
  <c r="AA63" i="10"/>
  <c r="AA64" i="10"/>
  <c r="Y44" i="10"/>
  <c r="Y45" i="10"/>
  <c r="AA45" i="10"/>
  <c r="AA44" i="10"/>
  <c r="Y22" i="10"/>
  <c r="Y21" i="10"/>
  <c r="AA54" i="10"/>
  <c r="AA53" i="10"/>
  <c r="Z64" i="10"/>
  <c r="Z63" i="10"/>
  <c r="Y64" i="10"/>
  <c r="Y63" i="10"/>
  <c r="Z13" i="10"/>
  <c r="Z14" i="10"/>
  <c r="Y50" i="10"/>
  <c r="Y49" i="10"/>
  <c r="M8" i="42"/>
  <c r="M8" i="3"/>
  <c r="Z46" i="10"/>
  <c r="AA35" i="10"/>
  <c r="AA36" i="10"/>
  <c r="AA49" i="10"/>
  <c r="AA50" i="10"/>
  <c r="X35" i="10"/>
  <c r="X36" i="10"/>
  <c r="AA59" i="10"/>
  <c r="AA60" i="10"/>
  <c r="Z89" i="10"/>
  <c r="Z90" i="10"/>
  <c r="AA21" i="10"/>
  <c r="AA22" i="10"/>
  <c r="Y68" i="10"/>
  <c r="Y67" i="10"/>
  <c r="AA67" i="10"/>
  <c r="AA68" i="10"/>
  <c r="Z39" i="10"/>
  <c r="Z40" i="10"/>
  <c r="Z68" i="10"/>
  <c r="Z67" i="10"/>
  <c r="Y35" i="10"/>
  <c r="Y36" i="10"/>
  <c r="X50" i="10"/>
  <c r="X49" i="10"/>
  <c r="X68" i="10"/>
  <c r="X67" i="10"/>
  <c r="L8" i="42"/>
  <c r="L8" i="3"/>
  <c r="Z53" i="10"/>
  <c r="Z54" i="10"/>
  <c r="X53" i="10"/>
  <c r="X54" i="10"/>
  <c r="AA13" i="10"/>
  <c r="AA14" i="10"/>
  <c r="Z101" i="10"/>
  <c r="Z102" i="10"/>
  <c r="AA30" i="10"/>
  <c r="AA31" i="10"/>
  <c r="Z44" i="10"/>
  <c r="Z45" i="10"/>
  <c r="X89" i="10"/>
  <c r="X90" i="10"/>
  <c r="AA90" i="10"/>
  <c r="AA89" i="10"/>
  <c r="AA39" i="10"/>
  <c r="AA40" i="10"/>
  <c r="AA101" i="10"/>
  <c r="AA102" i="10"/>
  <c r="Z22" i="10"/>
  <c r="Z21" i="10"/>
  <c r="X22" i="10"/>
  <c r="X21" i="10"/>
  <c r="X40" i="10"/>
  <c r="X39" i="10"/>
  <c r="Z31" i="10"/>
  <c r="Z30" i="10"/>
  <c r="Z50" i="10"/>
  <c r="Z49" i="10"/>
  <c r="X102" i="10"/>
  <c r="X101" i="10"/>
  <c r="Y102" i="10"/>
  <c r="Y101" i="10"/>
  <c r="X45" i="10"/>
  <c r="X44" i="10"/>
  <c r="X64" i="10"/>
  <c r="X63" i="10"/>
  <c r="X59" i="10"/>
  <c r="X60" i="10"/>
  <c r="Y40" i="10"/>
  <c r="Y39" i="10"/>
  <c r="K7" i="3"/>
  <c r="J7" i="3"/>
  <c r="H7" i="3"/>
  <c r="L7" i="3"/>
  <c r="I7" i="3"/>
  <c r="K7" i="42"/>
  <c r="J7" i="42"/>
  <c r="H7" i="42"/>
  <c r="L7" i="42"/>
  <c r="I7" i="42"/>
  <c r="Y46" i="10"/>
  <c r="J7" i="7"/>
  <c r="H7" i="7"/>
  <c r="L7" i="7"/>
  <c r="I7" i="7"/>
  <c r="M8" i="7"/>
  <c r="L8" i="7"/>
  <c r="K7" i="7"/>
  <c r="X46" i="10"/>
  <c r="AB46" i="10"/>
  <c r="M8" i="6"/>
  <c r="M8" i="5"/>
  <c r="AH8" i="10"/>
  <c r="L7" i="6"/>
  <c r="L7" i="5"/>
  <c r="AG7" i="10"/>
  <c r="AA84" i="10"/>
  <c r="AA32" i="10"/>
  <c r="AB23" i="10"/>
  <c r="AB25" i="10"/>
  <c r="AB26" i="10" s="1"/>
  <c r="L8" i="6"/>
  <c r="L8" i="5"/>
  <c r="AG8" i="10"/>
  <c r="AB16" i="10"/>
  <c r="AB17" i="10" s="1"/>
  <c r="AA23" i="10"/>
  <c r="AA25" i="10"/>
  <c r="X16" i="10"/>
  <c r="Y84" i="10"/>
  <c r="Z32" i="10"/>
  <c r="Z76" i="10"/>
  <c r="I7" i="6"/>
  <c r="I7" i="5"/>
  <c r="AD7" i="10"/>
  <c r="Y76" i="10"/>
  <c r="Z55" i="10"/>
  <c r="AB32" i="10"/>
  <c r="AA16" i="10"/>
  <c r="AA76" i="10"/>
  <c r="AB76" i="10"/>
  <c r="AB77" i="10" s="1"/>
  <c r="Y80" i="10"/>
  <c r="Z84" i="10"/>
  <c r="Y32" i="10"/>
  <c r="X80" i="10"/>
  <c r="Y16" i="10"/>
  <c r="AA55" i="10"/>
  <c r="J7" i="6"/>
  <c r="J7" i="5"/>
  <c r="AE7" i="10"/>
  <c r="Y55" i="10"/>
  <c r="Z80" i="10"/>
  <c r="Y23" i="10"/>
  <c r="Y25" i="10"/>
  <c r="X76" i="10"/>
  <c r="AB80" i="10"/>
  <c r="AB81" i="10" s="1"/>
  <c r="K7" i="6"/>
  <c r="K7" i="5"/>
  <c r="AF7" i="10"/>
  <c r="H7" i="6"/>
  <c r="H7" i="5"/>
  <c r="AC7" i="10"/>
  <c r="X55" i="10"/>
  <c r="AB84" i="10"/>
  <c r="AB85" i="10" s="1"/>
  <c r="AA80" i="10"/>
  <c r="Z16" i="10"/>
  <c r="Z23" i="10"/>
  <c r="Z25" i="10"/>
  <c r="X23" i="10"/>
  <c r="X25" i="10"/>
  <c r="X84" i="10"/>
  <c r="AB55" i="10"/>
  <c r="X32" i="10"/>
  <c r="I15" i="11"/>
  <c r="H15" i="11"/>
  <c r="L15" i="11"/>
  <c r="K15" i="11"/>
  <c r="J15" i="11"/>
  <c r="N14" i="11"/>
  <c r="O11" i="11"/>
  <c r="N5" i="11"/>
  <c r="N8" i="59" l="1"/>
  <c r="N8" i="58"/>
  <c r="N75" i="5"/>
  <c r="N74" i="5" s="1"/>
  <c r="N88" i="5"/>
  <c r="M93" i="5"/>
  <c r="M94" i="5"/>
  <c r="L77" i="5"/>
  <c r="L76" i="5"/>
  <c r="M76" i="5"/>
  <c r="M77" i="5"/>
  <c r="N8" i="63"/>
  <c r="N8" i="42"/>
  <c r="N8" i="3"/>
  <c r="X86" i="10"/>
  <c r="X85" i="10"/>
  <c r="X26" i="10"/>
  <c r="X27" i="10"/>
  <c r="Z27" i="10"/>
  <c r="Z26" i="10"/>
  <c r="Z18" i="10"/>
  <c r="Z17" i="10"/>
  <c r="AA81" i="10"/>
  <c r="AA82" i="10"/>
  <c r="X77" i="10"/>
  <c r="X78" i="10"/>
  <c r="Y26" i="10"/>
  <c r="Y27" i="10"/>
  <c r="Z81" i="10"/>
  <c r="Z82" i="10"/>
  <c r="Y17" i="10"/>
  <c r="Y18" i="10"/>
  <c r="X82" i="10"/>
  <c r="X81" i="10"/>
  <c r="Z86" i="10"/>
  <c r="Z85" i="10"/>
  <c r="Y82" i="10"/>
  <c r="Y81" i="10"/>
  <c r="AA78" i="10"/>
  <c r="AA77" i="10"/>
  <c r="AA18" i="10"/>
  <c r="AA17" i="10"/>
  <c r="Y78" i="10"/>
  <c r="Y77" i="10"/>
  <c r="Z96" i="10"/>
  <c r="Z77" i="10"/>
  <c r="Z78" i="10"/>
  <c r="Y86" i="10"/>
  <c r="Y85" i="10"/>
  <c r="X17" i="10"/>
  <c r="X18" i="10"/>
  <c r="AA27" i="10"/>
  <c r="AA26" i="10"/>
  <c r="AA86" i="10"/>
  <c r="AA85" i="10"/>
  <c r="N8" i="7"/>
  <c r="X92" i="10"/>
  <c r="AB96" i="10"/>
  <c r="AB97" i="10" s="1"/>
  <c r="Z92" i="10"/>
  <c r="Y96" i="10"/>
  <c r="Y92" i="10"/>
  <c r="N8" i="6"/>
  <c r="N8" i="5"/>
  <c r="AI8" i="10"/>
  <c r="AA96" i="10"/>
  <c r="AB92" i="10"/>
  <c r="AB93" i="10" s="1"/>
  <c r="AA92" i="10"/>
  <c r="X96" i="10"/>
  <c r="AG9" i="10"/>
  <c r="AE9" i="10"/>
  <c r="AC9" i="10"/>
  <c r="AF9" i="10"/>
  <c r="AD9" i="10"/>
  <c r="O14" i="11"/>
  <c r="O5" i="11"/>
  <c r="P11" i="11"/>
  <c r="X74" i="5" l="1"/>
  <c r="AC74" i="5" s="1"/>
  <c r="AH74" i="5" s="1"/>
  <c r="S77" i="5"/>
  <c r="S76" i="5"/>
  <c r="AH77" i="5"/>
  <c r="AH76" i="5"/>
  <c r="N94" i="5"/>
  <c r="N93" i="5"/>
  <c r="N77" i="5"/>
  <c r="N76" i="5"/>
  <c r="O8" i="58"/>
  <c r="O8" i="59"/>
  <c r="O88" i="5"/>
  <c r="O75" i="5"/>
  <c r="O74" i="5" s="1"/>
  <c r="O8" i="63"/>
  <c r="O8" i="42"/>
  <c r="O8" i="3"/>
  <c r="X97" i="10"/>
  <c r="X98" i="10"/>
  <c r="AA93" i="10"/>
  <c r="AA94" i="10"/>
  <c r="AA98" i="10"/>
  <c r="AA97" i="10"/>
  <c r="Y94" i="10"/>
  <c r="Y93" i="10"/>
  <c r="Y97" i="10"/>
  <c r="Y98" i="10"/>
  <c r="Z93" i="10"/>
  <c r="Z94" i="10"/>
  <c r="X94" i="10"/>
  <c r="X93" i="10"/>
  <c r="Z97" i="10"/>
  <c r="Z98" i="10"/>
  <c r="O8" i="7"/>
  <c r="O8" i="6"/>
  <c r="O8" i="5"/>
  <c r="AJ8" i="10"/>
  <c r="P14" i="11"/>
  <c r="R11" i="11"/>
  <c r="Q11" i="11"/>
  <c r="M3" i="11" s="1"/>
  <c r="P5" i="11"/>
  <c r="AC72" i="10" l="1"/>
  <c r="AD71" i="10"/>
  <c r="AE72" i="10"/>
  <c r="AF72" i="10"/>
  <c r="M6" i="94"/>
  <c r="AF71" i="10"/>
  <c r="AG71" i="10"/>
  <c r="AG89" i="10"/>
  <c r="AG13" i="10"/>
  <c r="AG49" i="10"/>
  <c r="AG53" i="10"/>
  <c r="AG105" i="10"/>
  <c r="AG63" i="10"/>
  <c r="AG44" i="10"/>
  <c r="AG59" i="10"/>
  <c r="AG21" i="10"/>
  <c r="AG39" i="10"/>
  <c r="AG35" i="10"/>
  <c r="M6" i="63"/>
  <c r="P75" i="5"/>
  <c r="P74" i="5" s="1"/>
  <c r="U74" i="5" s="1"/>
  <c r="Z74" i="5" s="1"/>
  <c r="AE74" i="5" s="1"/>
  <c r="AJ74" i="5" s="1"/>
  <c r="P88" i="5"/>
  <c r="AG30" i="10"/>
  <c r="AG67" i="10"/>
  <c r="AG101" i="10"/>
  <c r="P8" i="58"/>
  <c r="P8" i="59"/>
  <c r="O76" i="5"/>
  <c r="O77" i="5"/>
  <c r="O93" i="5"/>
  <c r="O94" i="5"/>
  <c r="P8" i="6"/>
  <c r="P8" i="63"/>
  <c r="M6" i="58"/>
  <c r="M6" i="59"/>
  <c r="P8" i="42"/>
  <c r="P8" i="3"/>
  <c r="M6" i="3"/>
  <c r="M6" i="42"/>
  <c r="M6" i="7"/>
  <c r="P8" i="7"/>
  <c r="P8" i="5"/>
  <c r="AK8" i="10"/>
  <c r="M6" i="6"/>
  <c r="M6" i="5"/>
  <c r="AH6" i="10"/>
  <c r="Q14" i="11"/>
  <c r="Q5" i="11"/>
  <c r="O4" i="11"/>
  <c r="M4" i="11"/>
  <c r="N4" i="11"/>
  <c r="Q4" i="11"/>
  <c r="P4" i="11"/>
  <c r="R14" i="11"/>
  <c r="S11" i="11"/>
  <c r="R5" i="11"/>
  <c r="AE71" i="10" l="1"/>
  <c r="Q7" i="94"/>
  <c r="AC71" i="10"/>
  <c r="P7" i="94"/>
  <c r="AD72" i="10"/>
  <c r="O7" i="94"/>
  <c r="N7" i="94"/>
  <c r="M7" i="94"/>
  <c r="Z76" i="5"/>
  <c r="AJ77" i="5"/>
  <c r="AJ76" i="5"/>
  <c r="Z77" i="5"/>
  <c r="U94" i="5"/>
  <c r="U93" i="5"/>
  <c r="P94" i="5"/>
  <c r="P93" i="5"/>
  <c r="AD106" i="10"/>
  <c r="AD105" i="10"/>
  <c r="AF106" i="10"/>
  <c r="AF105" i="10"/>
  <c r="AC105" i="10"/>
  <c r="AC106" i="10"/>
  <c r="AE106" i="10"/>
  <c r="AE105" i="10"/>
  <c r="Q7" i="63"/>
  <c r="N7" i="63"/>
  <c r="M7" i="63"/>
  <c r="O7" i="63"/>
  <c r="P77" i="5"/>
  <c r="P76" i="5"/>
  <c r="U77" i="5"/>
  <c r="U76" i="5"/>
  <c r="R8" i="58"/>
  <c r="R8" i="59"/>
  <c r="Q8" i="58"/>
  <c r="Q8" i="59"/>
  <c r="Q75" i="5"/>
  <c r="Q74" i="5" s="1"/>
  <c r="Q88" i="5"/>
  <c r="X77" i="5"/>
  <c r="X76" i="5"/>
  <c r="P37" i="5"/>
  <c r="AE76" i="5"/>
  <c r="AE77" i="5"/>
  <c r="R8" i="63"/>
  <c r="P7" i="63"/>
  <c r="P7" i="6"/>
  <c r="Q8" i="63"/>
  <c r="P7" i="58"/>
  <c r="P7" i="59"/>
  <c r="Q7" i="58"/>
  <c r="Q7" i="59"/>
  <c r="M7" i="59"/>
  <c r="M7" i="58"/>
  <c r="O7" i="59"/>
  <c r="O7" i="58"/>
  <c r="N7" i="58"/>
  <c r="N7" i="59"/>
  <c r="AD31" i="10"/>
  <c r="AD30" i="10"/>
  <c r="R8" i="42"/>
  <c r="R8" i="3"/>
  <c r="AD44" i="10"/>
  <c r="AD45" i="10"/>
  <c r="AC54" i="10"/>
  <c r="AC53" i="10"/>
  <c r="AD40" i="10"/>
  <c r="AD39" i="10"/>
  <c r="AD50" i="10"/>
  <c r="AD49" i="10"/>
  <c r="AD64" i="10"/>
  <c r="AD63" i="10"/>
  <c r="AC64" i="10"/>
  <c r="AC63" i="10"/>
  <c r="AC59" i="10"/>
  <c r="AC60" i="10"/>
  <c r="AF89" i="10"/>
  <c r="AF90" i="10"/>
  <c r="AD89" i="10"/>
  <c r="AD90" i="10"/>
  <c r="AD68" i="10"/>
  <c r="AD67" i="10"/>
  <c r="AE14" i="10"/>
  <c r="AE13" i="10"/>
  <c r="AE44" i="10"/>
  <c r="AE45" i="10"/>
  <c r="AC102" i="10"/>
  <c r="AC101" i="10"/>
  <c r="AC90" i="10"/>
  <c r="AC89" i="10"/>
  <c r="AE60" i="10"/>
  <c r="AE59" i="10"/>
  <c r="AD35" i="10"/>
  <c r="AD36" i="10"/>
  <c r="AC35" i="10"/>
  <c r="AC36" i="10"/>
  <c r="AF102" i="10"/>
  <c r="AF101" i="10"/>
  <c r="AC31" i="10"/>
  <c r="AC30" i="10"/>
  <c r="AF44" i="10"/>
  <c r="AF45" i="10"/>
  <c r="Q8" i="42"/>
  <c r="Q8" i="6"/>
  <c r="Q8" i="3"/>
  <c r="AC50" i="10"/>
  <c r="AC49" i="10"/>
  <c r="AC45" i="10"/>
  <c r="AC44" i="10"/>
  <c r="AC68" i="10"/>
  <c r="AC67" i="10"/>
  <c r="AF53" i="10"/>
  <c r="AF54" i="10"/>
  <c r="AE67" i="10"/>
  <c r="AE68" i="10"/>
  <c r="AF50" i="10"/>
  <c r="AF49" i="10"/>
  <c r="AE64" i="10"/>
  <c r="AE63" i="10"/>
  <c r="AD102" i="10"/>
  <c r="AD101" i="10"/>
  <c r="AF67" i="10"/>
  <c r="AF68" i="10"/>
  <c r="AC14" i="10"/>
  <c r="AC13" i="10"/>
  <c r="AF63" i="10"/>
  <c r="AF64" i="10"/>
  <c r="AE102" i="10"/>
  <c r="AE101" i="10"/>
  <c r="AC40" i="10"/>
  <c r="AC39" i="10"/>
  <c r="AF21" i="10"/>
  <c r="AF22" i="10"/>
  <c r="AE40" i="10"/>
  <c r="AE39" i="10"/>
  <c r="AF13" i="10"/>
  <c r="AF14" i="10"/>
  <c r="AE35" i="10"/>
  <c r="AE36" i="10"/>
  <c r="AD14" i="10"/>
  <c r="AD13" i="10"/>
  <c r="AE22" i="10"/>
  <c r="AE21" i="10"/>
  <c r="AF30" i="10"/>
  <c r="AF31" i="10"/>
  <c r="AD22" i="10"/>
  <c r="AD21" i="10"/>
  <c r="AF39" i="10"/>
  <c r="AF40" i="10"/>
  <c r="AE53" i="10"/>
  <c r="AE54" i="10"/>
  <c r="AF36" i="10"/>
  <c r="AF35" i="10"/>
  <c r="AE50" i="10"/>
  <c r="AE49" i="10"/>
  <c r="AF59" i="10"/>
  <c r="AF60" i="10"/>
  <c r="AE90" i="10"/>
  <c r="AE89" i="10"/>
  <c r="AD59" i="10"/>
  <c r="AD60" i="10"/>
  <c r="AC22" i="10"/>
  <c r="AC21" i="10"/>
  <c r="AD54" i="10"/>
  <c r="AD53" i="10"/>
  <c r="AE30" i="10"/>
  <c r="AE31" i="10"/>
  <c r="P7" i="3"/>
  <c r="Q7" i="6"/>
  <c r="Q7" i="3"/>
  <c r="N7" i="3"/>
  <c r="M7" i="3"/>
  <c r="O7" i="3"/>
  <c r="AD46" i="10"/>
  <c r="P7" i="42"/>
  <c r="Q7" i="42"/>
  <c r="N7" i="42"/>
  <c r="M7" i="42"/>
  <c r="O7" i="42"/>
  <c r="N7" i="7"/>
  <c r="Q8" i="7"/>
  <c r="R8" i="7"/>
  <c r="M7" i="7"/>
  <c r="P7" i="7"/>
  <c r="Q7" i="7"/>
  <c r="O7" i="7"/>
  <c r="AC46" i="10"/>
  <c r="AG46" i="10"/>
  <c r="AF46" i="10"/>
  <c r="AE46" i="10"/>
  <c r="M7" i="6"/>
  <c r="M7" i="5"/>
  <c r="AH7" i="10"/>
  <c r="AE23" i="10"/>
  <c r="AE25" i="10"/>
  <c r="O7" i="6"/>
  <c r="O7" i="5"/>
  <c r="AJ7" i="10"/>
  <c r="AD25" i="10"/>
  <c r="AD23" i="10"/>
  <c r="AF16" i="10"/>
  <c r="AG16" i="10"/>
  <c r="AG17" i="10" s="1"/>
  <c r="AD84" i="10"/>
  <c r="AF32" i="10"/>
  <c r="AG32" i="10"/>
  <c r="AF76" i="10"/>
  <c r="AE84" i="10"/>
  <c r="AE32" i="10"/>
  <c r="AC23" i="10"/>
  <c r="AC25" i="10"/>
  <c r="AC16" i="10"/>
  <c r="Q7" i="5"/>
  <c r="AL7" i="10"/>
  <c r="R8" i="6"/>
  <c r="R8" i="5"/>
  <c r="AM8" i="10"/>
  <c r="Q8" i="5"/>
  <c r="AL8" i="10"/>
  <c r="AE55" i="10"/>
  <c r="AD32" i="10"/>
  <c r="AF80" i="10"/>
  <c r="AG80" i="10"/>
  <c r="AG81" i="10" s="1"/>
  <c r="P7" i="5"/>
  <c r="AK7" i="10"/>
  <c r="AC32" i="10"/>
  <c r="AD16" i="10"/>
  <c r="AC76" i="10"/>
  <c r="AC55" i="10"/>
  <c r="AG76" i="10"/>
  <c r="AG77" i="10" s="1"/>
  <c r="AE16" i="10"/>
  <c r="AD55" i="10"/>
  <c r="AE80" i="10"/>
  <c r="AD76" i="10"/>
  <c r="AF55" i="10"/>
  <c r="AF23" i="10"/>
  <c r="AF25" i="10"/>
  <c r="AG23" i="10"/>
  <c r="AG25" i="10"/>
  <c r="AG26" i="10" s="1"/>
  <c r="N7" i="6"/>
  <c r="N7" i="5"/>
  <c r="AI7" i="10"/>
  <c r="AD80" i="10"/>
  <c r="AF84" i="10"/>
  <c r="AG84" i="10"/>
  <c r="AG85" i="10" s="1"/>
  <c r="AG55" i="10"/>
  <c r="AC80" i="10"/>
  <c r="AE76" i="10"/>
  <c r="AC84" i="10"/>
  <c r="O15" i="11"/>
  <c r="N15" i="11"/>
  <c r="M15" i="11"/>
  <c r="Q15" i="11"/>
  <c r="P15" i="11"/>
  <c r="S14" i="11"/>
  <c r="T11" i="11"/>
  <c r="S5" i="11"/>
  <c r="N52" i="7" l="1"/>
  <c r="M51" i="7"/>
  <c r="M52" i="7"/>
  <c r="N47" i="7"/>
  <c r="M46" i="7"/>
  <c r="M47" i="7"/>
  <c r="Q37" i="5"/>
  <c r="Q94" i="5"/>
  <c r="S8" i="59"/>
  <c r="S8" i="58"/>
  <c r="Q77" i="5"/>
  <c r="Q76" i="5"/>
  <c r="AC76" i="5"/>
  <c r="AC77" i="5"/>
  <c r="S8" i="63"/>
  <c r="S8" i="42"/>
  <c r="S8" i="3"/>
  <c r="AC85" i="10"/>
  <c r="AC86" i="10"/>
  <c r="AE78" i="10"/>
  <c r="AE77" i="10"/>
  <c r="AC81" i="10"/>
  <c r="AC82" i="10"/>
  <c r="AF86" i="10"/>
  <c r="AF85" i="10"/>
  <c r="AD82" i="10"/>
  <c r="AD81" i="10"/>
  <c r="AF27" i="10"/>
  <c r="AF26" i="10"/>
  <c r="AD77" i="10"/>
  <c r="AD78" i="10"/>
  <c r="AE82" i="10"/>
  <c r="AE81" i="10"/>
  <c r="AE17" i="10"/>
  <c r="AE18" i="10"/>
  <c r="AC78" i="10"/>
  <c r="AC77" i="10"/>
  <c r="AD17" i="10"/>
  <c r="AD18" i="10"/>
  <c r="AF82" i="10"/>
  <c r="AF81" i="10"/>
  <c r="AC17" i="10"/>
  <c r="AC18" i="10"/>
  <c r="AC26" i="10"/>
  <c r="AC27" i="10"/>
  <c r="AE86" i="10"/>
  <c r="AE85" i="10"/>
  <c r="AF96" i="10"/>
  <c r="AF77" i="10"/>
  <c r="AF78" i="10"/>
  <c r="AD92" i="10"/>
  <c r="AD86" i="10"/>
  <c r="AD85" i="10"/>
  <c r="AF18" i="10"/>
  <c r="AF17" i="10"/>
  <c r="AD26" i="10"/>
  <c r="AD27" i="10"/>
  <c r="AE26" i="10"/>
  <c r="AE27" i="10"/>
  <c r="S8" i="7"/>
  <c r="AD96" i="10"/>
  <c r="AL9" i="10"/>
  <c r="AJ9" i="10"/>
  <c r="AH9" i="10"/>
  <c r="AI9" i="10"/>
  <c r="AK9" i="10"/>
  <c r="AE96" i="10"/>
  <c r="AG92" i="10"/>
  <c r="AG93" i="10" s="1"/>
  <c r="AG96" i="10"/>
  <c r="AG97" i="10" s="1"/>
  <c r="AF92" i="10"/>
  <c r="S8" i="6"/>
  <c r="S8" i="5"/>
  <c r="AN8" i="10"/>
  <c r="AC92" i="10"/>
  <c r="AE92" i="10"/>
  <c r="AC96" i="10"/>
  <c r="T14" i="11"/>
  <c r="T5" i="11"/>
  <c r="U11" i="11"/>
  <c r="Q93" i="5" l="1"/>
  <c r="T8" i="59"/>
  <c r="T8" i="58"/>
  <c r="T8" i="63"/>
  <c r="T8" i="42"/>
  <c r="T8" i="3"/>
  <c r="AC98" i="10"/>
  <c r="AC97" i="10"/>
  <c r="AE94" i="10"/>
  <c r="AE93" i="10"/>
  <c r="AC93" i="10"/>
  <c r="AC94" i="10"/>
  <c r="AF94" i="10"/>
  <c r="AF93" i="10"/>
  <c r="AE97" i="10"/>
  <c r="AE98" i="10"/>
  <c r="AD97" i="10"/>
  <c r="AD98" i="10"/>
  <c r="AD94" i="10"/>
  <c r="AD93" i="10"/>
  <c r="AF97" i="10"/>
  <c r="AF98" i="10"/>
  <c r="T8" i="7"/>
  <c r="T8" i="6"/>
  <c r="T8" i="5"/>
  <c r="AO8" i="10"/>
  <c r="U14" i="11"/>
  <c r="U88" i="5" s="1"/>
  <c r="W11" i="11"/>
  <c r="U5" i="11"/>
  <c r="V11" i="11"/>
  <c r="R3" i="11" s="1"/>
  <c r="R6" i="94" l="1"/>
  <c r="AI71" i="10"/>
  <c r="AK72" i="10"/>
  <c r="AL71" i="10"/>
  <c r="AH71" i="10"/>
  <c r="AH72" i="10"/>
  <c r="AJ71" i="10"/>
  <c r="AJ72" i="10"/>
  <c r="AL44" i="10"/>
  <c r="AL49" i="10"/>
  <c r="AL105" i="10"/>
  <c r="AL59" i="10"/>
  <c r="AL39" i="10"/>
  <c r="R6" i="63"/>
  <c r="AL67" i="10"/>
  <c r="AL21" i="10"/>
  <c r="AL101" i="10"/>
  <c r="AL35" i="10"/>
  <c r="AL53" i="10"/>
  <c r="AL13" i="10"/>
  <c r="AL89" i="10"/>
  <c r="AL30" i="10"/>
  <c r="AL63" i="10"/>
  <c r="U8" i="58"/>
  <c r="U8" i="59"/>
  <c r="U75" i="5"/>
  <c r="U8" i="63"/>
  <c r="R6" i="58"/>
  <c r="R6" i="59"/>
  <c r="U8" i="42"/>
  <c r="U8" i="3"/>
  <c r="R6" i="3"/>
  <c r="R6" i="42"/>
  <c r="R6" i="7"/>
  <c r="U8" i="7"/>
  <c r="U8" i="6"/>
  <c r="U8" i="5"/>
  <c r="AP8" i="10"/>
  <c r="R6" i="6"/>
  <c r="R6" i="5"/>
  <c r="AM6" i="10"/>
  <c r="W14" i="11"/>
  <c r="W5" i="11"/>
  <c r="X11" i="11"/>
  <c r="V14" i="11"/>
  <c r="U4" i="11"/>
  <c r="S4" i="11"/>
  <c r="R4" i="11"/>
  <c r="V4" i="11"/>
  <c r="V5" i="11"/>
  <c r="T4" i="11"/>
  <c r="V7" i="94" l="1"/>
  <c r="R7" i="94"/>
  <c r="U7" i="94"/>
  <c r="AK71" i="10"/>
  <c r="S7" i="94"/>
  <c r="AI72" i="10"/>
  <c r="T7" i="94"/>
  <c r="AK105" i="10"/>
  <c r="AK106" i="10"/>
  <c r="AI105" i="10"/>
  <c r="AI106" i="10"/>
  <c r="AJ106" i="10"/>
  <c r="AJ105" i="10"/>
  <c r="AH106" i="10"/>
  <c r="AH105" i="10"/>
  <c r="V7" i="63"/>
  <c r="T7" i="63"/>
  <c r="S7" i="63"/>
  <c r="R7" i="63"/>
  <c r="U7" i="63"/>
  <c r="AI46" i="10"/>
  <c r="V8" i="58"/>
  <c r="V8" i="59"/>
  <c r="V88" i="5"/>
  <c r="V75" i="5"/>
  <c r="W8" i="58"/>
  <c r="W8" i="59"/>
  <c r="W75" i="5"/>
  <c r="W88" i="5"/>
  <c r="V8" i="63"/>
  <c r="W8" i="63"/>
  <c r="T7" i="59"/>
  <c r="T7" i="58"/>
  <c r="V7" i="58"/>
  <c r="V7" i="59"/>
  <c r="R7" i="59"/>
  <c r="R7" i="58"/>
  <c r="S7" i="59"/>
  <c r="S7" i="58"/>
  <c r="U7" i="58"/>
  <c r="U7" i="59"/>
  <c r="AJ59" i="10"/>
  <c r="AJ60" i="10"/>
  <c r="AI22" i="10"/>
  <c r="AI21" i="10"/>
  <c r="AH50" i="10"/>
  <c r="AH49" i="10"/>
  <c r="AI101" i="10"/>
  <c r="AI102" i="10"/>
  <c r="AH30" i="10"/>
  <c r="AH31" i="10"/>
  <c r="AJ50" i="10"/>
  <c r="AJ49" i="10"/>
  <c r="AJ68" i="10"/>
  <c r="AJ67" i="10"/>
  <c r="AH68" i="10"/>
  <c r="AH67" i="10"/>
  <c r="AI67" i="10"/>
  <c r="AI68" i="10"/>
  <c r="AK31" i="10"/>
  <c r="AK30" i="10"/>
  <c r="AJ31" i="10"/>
  <c r="AJ30" i="10"/>
  <c r="AK60" i="10"/>
  <c r="AK59" i="10"/>
  <c r="AH13" i="10"/>
  <c r="AH14" i="10"/>
  <c r="AI49" i="10"/>
  <c r="AI50" i="10"/>
  <c r="AJ14" i="10"/>
  <c r="AJ13" i="10"/>
  <c r="AI64" i="10"/>
  <c r="AI63" i="10"/>
  <c r="AH39" i="10"/>
  <c r="AH40" i="10"/>
  <c r="AI39" i="10"/>
  <c r="AI40" i="10"/>
  <c r="AH60" i="10"/>
  <c r="AH59" i="10"/>
  <c r="AK102" i="10"/>
  <c r="AK101" i="10"/>
  <c r="AJ36" i="10"/>
  <c r="AJ35" i="10"/>
  <c r="AJ54" i="10"/>
  <c r="AJ53" i="10"/>
  <c r="AI13" i="10"/>
  <c r="AI14" i="10"/>
  <c r="AK68" i="10"/>
  <c r="AK67" i="10"/>
  <c r="AJ89" i="10"/>
  <c r="AJ90" i="10"/>
  <c r="AJ64" i="10"/>
  <c r="AJ63" i="10"/>
  <c r="AK50" i="10"/>
  <c r="AK49" i="10"/>
  <c r="AJ22" i="10"/>
  <c r="AJ21" i="10"/>
  <c r="AH36" i="10"/>
  <c r="AH35" i="10"/>
  <c r="AH90" i="10"/>
  <c r="AH89" i="10"/>
  <c r="AK40" i="10"/>
  <c r="AK39" i="10"/>
  <c r="AK22" i="10"/>
  <c r="AK21" i="10"/>
  <c r="AJ45" i="10"/>
  <c r="AJ44" i="10"/>
  <c r="AK54" i="10"/>
  <c r="AK53" i="10"/>
  <c r="V8" i="42"/>
  <c r="V8" i="6"/>
  <c r="V8" i="3"/>
  <c r="AH53" i="10"/>
  <c r="AH54" i="10"/>
  <c r="AK14" i="10"/>
  <c r="AK13" i="10"/>
  <c r="AK89" i="10"/>
  <c r="AK90" i="10"/>
  <c r="AI35" i="10"/>
  <c r="AI36" i="10"/>
  <c r="AH45" i="10"/>
  <c r="AH44" i="10"/>
  <c r="AI90" i="10"/>
  <c r="AI89" i="10"/>
  <c r="AK63" i="10"/>
  <c r="AK64" i="10"/>
  <c r="AH64" i="10"/>
  <c r="AH63" i="10"/>
  <c r="AI59" i="10"/>
  <c r="AI60" i="10"/>
  <c r="W8" i="42"/>
  <c r="W8" i="3"/>
  <c r="AH22" i="10"/>
  <c r="AH21" i="10"/>
  <c r="AI54" i="10"/>
  <c r="AI53" i="10"/>
  <c r="AH101" i="10"/>
  <c r="AH102" i="10"/>
  <c r="AK45" i="10"/>
  <c r="AK44" i="10"/>
  <c r="AJ101" i="10"/>
  <c r="AJ102" i="10"/>
  <c r="AI45" i="10"/>
  <c r="AI44" i="10"/>
  <c r="AK35" i="10"/>
  <c r="AK36" i="10"/>
  <c r="AJ40" i="10"/>
  <c r="AJ39" i="10"/>
  <c r="AI31" i="10"/>
  <c r="AI30" i="10"/>
  <c r="T7" i="3"/>
  <c r="V7" i="6"/>
  <c r="V7" i="3"/>
  <c r="R7" i="3"/>
  <c r="S7" i="3"/>
  <c r="U7" i="3"/>
  <c r="T7" i="42"/>
  <c r="V7" i="42"/>
  <c r="R7" i="42"/>
  <c r="S7" i="42"/>
  <c r="U7" i="42"/>
  <c r="AK46" i="10"/>
  <c r="AH46" i="10"/>
  <c r="R7" i="7"/>
  <c r="S7" i="7"/>
  <c r="U7" i="7"/>
  <c r="T7" i="7"/>
  <c r="V8" i="7"/>
  <c r="W8" i="7"/>
  <c r="V7" i="7"/>
  <c r="AL46" i="10"/>
  <c r="AJ46" i="10"/>
  <c r="T7" i="6"/>
  <c r="T7" i="5"/>
  <c r="AO7" i="10"/>
  <c r="AH16" i="10"/>
  <c r="AL16" i="10"/>
  <c r="AL17" i="10" s="1"/>
  <c r="AK80" i="10"/>
  <c r="AI32" i="10"/>
  <c r="AH76" i="10"/>
  <c r="AL76" i="10"/>
  <c r="AL77" i="10" s="1"/>
  <c r="AI55" i="10"/>
  <c r="AJ76" i="10"/>
  <c r="AK84" i="10"/>
  <c r="V8" i="5"/>
  <c r="AQ8" i="10"/>
  <c r="W8" i="6"/>
  <c r="W8" i="5"/>
  <c r="AR8" i="10"/>
  <c r="AI23" i="10"/>
  <c r="AI25" i="10"/>
  <c r="AL80" i="10"/>
  <c r="AL81" i="10" s="1"/>
  <c r="AJ16" i="10"/>
  <c r="AI84" i="10"/>
  <c r="AJ80" i="10"/>
  <c r="AK55" i="10"/>
  <c r="AH80" i="10"/>
  <c r="AK16" i="10"/>
  <c r="V7" i="5"/>
  <c r="AQ7" i="10"/>
  <c r="AL25" i="10"/>
  <c r="AL26" i="10" s="1"/>
  <c r="AL23" i="10"/>
  <c r="AI16" i="10"/>
  <c r="AJ23" i="10"/>
  <c r="AJ25" i="10"/>
  <c r="AH32" i="10"/>
  <c r="AI76" i="10"/>
  <c r="AK25" i="10"/>
  <c r="AK23" i="10"/>
  <c r="AH55" i="10"/>
  <c r="AL55" i="10"/>
  <c r="AJ55" i="10"/>
  <c r="R7" i="6"/>
  <c r="R7" i="5"/>
  <c r="AM7" i="10"/>
  <c r="S7" i="6"/>
  <c r="S7" i="5"/>
  <c r="AN7" i="10"/>
  <c r="AH23" i="10"/>
  <c r="AH25" i="10"/>
  <c r="AK76" i="10"/>
  <c r="AH84" i="10"/>
  <c r="AL84" i="10"/>
  <c r="AL85" i="10" s="1"/>
  <c r="AL32" i="10"/>
  <c r="AJ32" i="10"/>
  <c r="U7" i="6"/>
  <c r="U7" i="5"/>
  <c r="AP7" i="10"/>
  <c r="AI80" i="10"/>
  <c r="AJ84" i="10"/>
  <c r="AK32" i="10"/>
  <c r="U15" i="11"/>
  <c r="T15" i="11"/>
  <c r="S15" i="11"/>
  <c r="R15" i="11"/>
  <c r="V15" i="11"/>
  <c r="X14" i="11"/>
  <c r="X88" i="5" s="1"/>
  <c r="Y11" i="11"/>
  <c r="X5" i="11"/>
  <c r="X8" i="58" l="1"/>
  <c r="X8" i="59"/>
  <c r="X75" i="5"/>
  <c r="X8" i="63"/>
  <c r="X8" i="42"/>
  <c r="X8" i="3"/>
  <c r="AJ86" i="10"/>
  <c r="AJ85" i="10"/>
  <c r="AI81" i="10"/>
  <c r="AI82" i="10"/>
  <c r="AH86" i="10"/>
  <c r="AH85" i="10"/>
  <c r="AK77" i="10"/>
  <c r="AK78" i="10"/>
  <c r="AH27" i="10"/>
  <c r="AH26" i="10"/>
  <c r="AK26" i="10"/>
  <c r="AK27" i="10"/>
  <c r="AI96" i="10"/>
  <c r="AI78" i="10"/>
  <c r="AI77" i="10"/>
  <c r="AJ26" i="10"/>
  <c r="AJ27" i="10"/>
  <c r="AI18" i="10"/>
  <c r="AI17" i="10"/>
  <c r="AK17" i="10"/>
  <c r="AK18" i="10"/>
  <c r="AH81" i="10"/>
  <c r="AH82" i="10"/>
  <c r="AJ82" i="10"/>
  <c r="AJ81" i="10"/>
  <c r="AI85" i="10"/>
  <c r="AI86" i="10"/>
  <c r="AJ17" i="10"/>
  <c r="AJ18" i="10"/>
  <c r="AI27" i="10"/>
  <c r="AI26" i="10"/>
  <c r="AK86" i="10"/>
  <c r="AK85" i="10"/>
  <c r="AJ78" i="10"/>
  <c r="AJ77" i="10"/>
  <c r="AH78" i="10"/>
  <c r="AH77" i="10"/>
  <c r="AK82" i="10"/>
  <c r="AK81" i="10"/>
  <c r="AH18" i="10"/>
  <c r="AH17" i="10"/>
  <c r="X8" i="7"/>
  <c r="AK92" i="10"/>
  <c r="AH96" i="10"/>
  <c r="AI92" i="10"/>
  <c r="AL92" i="10"/>
  <c r="AL93" i="10" s="1"/>
  <c r="AH92" i="10"/>
  <c r="AJ92" i="10"/>
  <c r="AJ96" i="10"/>
  <c r="AP9" i="10"/>
  <c r="AN9" i="10"/>
  <c r="AM9" i="10"/>
  <c r="AQ9" i="10"/>
  <c r="AO9" i="10"/>
  <c r="AL96" i="10"/>
  <c r="AL97" i="10" s="1"/>
  <c r="X8" i="6"/>
  <c r="X8" i="5"/>
  <c r="AS8" i="10"/>
  <c r="AK96" i="10"/>
  <c r="Y14" i="11"/>
  <c r="Z11" i="11"/>
  <c r="Y5" i="11"/>
  <c r="Y8" i="59" l="1"/>
  <c r="Y8" i="58"/>
  <c r="Y75" i="5"/>
  <c r="Y88" i="5"/>
  <c r="Y8" i="63"/>
  <c r="Y8" i="42"/>
  <c r="Y8" i="3"/>
  <c r="AK97" i="10"/>
  <c r="AK98" i="10"/>
  <c r="AJ98" i="10"/>
  <c r="AJ97" i="10"/>
  <c r="AJ94" i="10"/>
  <c r="AJ93" i="10"/>
  <c r="AH93" i="10"/>
  <c r="AH94" i="10"/>
  <c r="AI93" i="10"/>
  <c r="AI94" i="10"/>
  <c r="AH98" i="10"/>
  <c r="AH97" i="10"/>
  <c r="AK94" i="10"/>
  <c r="AK93" i="10"/>
  <c r="AI98" i="10"/>
  <c r="AI97" i="10"/>
  <c r="Y8" i="7"/>
  <c r="Y8" i="6"/>
  <c r="Y8" i="5"/>
  <c r="AT8" i="10"/>
  <c r="Z14" i="11"/>
  <c r="AA11" i="11"/>
  <c r="W3" i="11" s="1"/>
  <c r="Z5" i="11"/>
  <c r="AB11" i="11"/>
  <c r="AP106" i="10" l="1"/>
  <c r="W6" i="94"/>
  <c r="AN71" i="10"/>
  <c r="AM71" i="10"/>
  <c r="AM72" i="10"/>
  <c r="AQ71" i="10"/>
  <c r="AQ105" i="10"/>
  <c r="AQ35" i="10"/>
  <c r="AQ21" i="10"/>
  <c r="AQ59" i="10"/>
  <c r="AQ63" i="10"/>
  <c r="AQ49" i="10"/>
  <c r="AQ13" i="10"/>
  <c r="AQ44" i="10"/>
  <c r="AQ53" i="10"/>
  <c r="W6" i="63"/>
  <c r="AQ39" i="10"/>
  <c r="AQ67" i="10"/>
  <c r="AQ101" i="10"/>
  <c r="AQ30" i="10"/>
  <c r="AQ89" i="10"/>
  <c r="Z8" i="59"/>
  <c r="Z8" i="58"/>
  <c r="Z75" i="5"/>
  <c r="Z88" i="5"/>
  <c r="Z8" i="63"/>
  <c r="W6" i="58"/>
  <c r="W6" i="59"/>
  <c r="Z8" i="42"/>
  <c r="Z8" i="3"/>
  <c r="W6" i="3"/>
  <c r="W6" i="42"/>
  <c r="Z8" i="7"/>
  <c r="W6" i="7"/>
  <c r="W6" i="6"/>
  <c r="W6" i="5"/>
  <c r="AR6" i="10"/>
  <c r="Z8" i="6"/>
  <c r="Z8" i="5"/>
  <c r="AU8" i="10"/>
  <c r="AA14" i="11"/>
  <c r="AA5" i="11"/>
  <c r="AA4" i="11"/>
  <c r="Y4" i="11"/>
  <c r="X4" i="11"/>
  <c r="Z4" i="11"/>
  <c r="W4" i="11"/>
  <c r="AB14" i="11"/>
  <c r="AC11" i="11"/>
  <c r="AB5" i="11"/>
  <c r="AP72" i="10" l="1"/>
  <c r="AP105" i="10"/>
  <c r="Z7" i="94"/>
  <c r="X7" i="94"/>
  <c r="Y7" i="94"/>
  <c r="AA7" i="94"/>
  <c r="AM106" i="10"/>
  <c r="AP71" i="10"/>
  <c r="AO71" i="10"/>
  <c r="AN72" i="10"/>
  <c r="AO72" i="10"/>
  <c r="W7" i="94"/>
  <c r="AM105" i="10"/>
  <c r="AO105" i="10"/>
  <c r="AO106" i="10"/>
  <c r="AN106" i="10"/>
  <c r="AN105" i="10"/>
  <c r="W7" i="63"/>
  <c r="Z7" i="63"/>
  <c r="Y7" i="63"/>
  <c r="AA7" i="63"/>
  <c r="X7" i="63"/>
  <c r="AB8" i="58"/>
  <c r="AB8" i="59"/>
  <c r="AB88" i="5"/>
  <c r="AB75" i="5"/>
  <c r="AA8" i="58"/>
  <c r="AA8" i="59"/>
  <c r="AA88" i="5"/>
  <c r="AA75" i="5"/>
  <c r="AB8" i="63"/>
  <c r="AA8" i="63"/>
  <c r="W7" i="58"/>
  <c r="W7" i="59"/>
  <c r="Z7" i="59"/>
  <c r="Z7" i="58"/>
  <c r="X7" i="59"/>
  <c r="X7" i="58"/>
  <c r="Y7" i="59"/>
  <c r="Y7" i="58"/>
  <c r="AA7" i="59"/>
  <c r="AA7" i="58"/>
  <c r="AA8" i="42"/>
  <c r="AA8" i="6"/>
  <c r="AA8" i="3"/>
  <c r="AO90" i="10"/>
  <c r="AO89" i="10"/>
  <c r="AM22" i="10"/>
  <c r="AM21" i="10"/>
  <c r="AO67" i="10"/>
  <c r="AO68" i="10"/>
  <c r="AM14" i="10"/>
  <c r="AM13" i="10"/>
  <c r="AO64" i="10"/>
  <c r="AO63" i="10"/>
  <c r="AP30" i="10"/>
  <c r="AP31" i="10"/>
  <c r="AP39" i="10"/>
  <c r="AP40" i="10"/>
  <c r="AM40" i="10"/>
  <c r="AM39" i="10"/>
  <c r="AP36" i="10"/>
  <c r="AP35" i="10"/>
  <c r="AM36" i="10"/>
  <c r="AM35" i="10"/>
  <c r="AN102" i="10"/>
  <c r="AN101" i="10"/>
  <c r="AO44" i="10"/>
  <c r="AO45" i="10"/>
  <c r="AN90" i="10"/>
  <c r="AN89" i="10"/>
  <c r="AO40" i="10"/>
  <c r="AO39" i="10"/>
  <c r="AM31" i="10"/>
  <c r="AM30" i="10"/>
  <c r="AO36" i="10"/>
  <c r="AO35" i="10"/>
  <c r="AO14" i="10"/>
  <c r="AO13" i="10"/>
  <c r="AO60" i="10"/>
  <c r="AO59" i="10"/>
  <c r="AO49" i="10"/>
  <c r="AO50" i="10"/>
  <c r="AO53" i="10"/>
  <c r="AO54" i="10"/>
  <c r="AN53" i="10"/>
  <c r="AN54" i="10"/>
  <c r="AN49" i="10"/>
  <c r="AN50" i="10"/>
  <c r="AN45" i="10"/>
  <c r="AN44" i="10"/>
  <c r="AN67" i="10"/>
  <c r="AN68" i="10"/>
  <c r="AO31" i="10"/>
  <c r="AO30" i="10"/>
  <c r="AO22" i="10"/>
  <c r="AO21" i="10"/>
  <c r="AN22" i="10"/>
  <c r="AN21" i="10"/>
  <c r="AN13" i="10"/>
  <c r="AN14" i="10"/>
  <c r="AP101" i="10"/>
  <c r="AP102" i="10"/>
  <c r="AN40" i="10"/>
  <c r="AN39" i="10"/>
  <c r="AN64" i="10"/>
  <c r="AN63" i="10"/>
  <c r="AN60" i="10"/>
  <c r="AN59" i="10"/>
  <c r="AP59" i="10"/>
  <c r="AP60" i="10"/>
  <c r="AP54" i="10"/>
  <c r="AP53" i="10"/>
  <c r="AP50" i="10"/>
  <c r="AP49" i="10"/>
  <c r="AM102" i="10"/>
  <c r="AM101" i="10"/>
  <c r="AP89" i="10"/>
  <c r="AP90" i="10"/>
  <c r="AM89" i="10"/>
  <c r="AM90" i="10"/>
  <c r="AN35" i="10"/>
  <c r="AN36" i="10"/>
  <c r="AN30" i="10"/>
  <c r="AN31" i="10"/>
  <c r="AO101" i="10"/>
  <c r="AO102" i="10"/>
  <c r="AB8" i="42"/>
  <c r="AB8" i="3"/>
  <c r="AP22" i="10"/>
  <c r="AP21" i="10"/>
  <c r="AM54" i="10"/>
  <c r="AM53" i="10"/>
  <c r="AP14" i="10"/>
  <c r="AP13" i="10"/>
  <c r="AM50" i="10"/>
  <c r="AM49" i="10"/>
  <c r="AP45" i="10"/>
  <c r="AP44" i="10"/>
  <c r="AM45" i="10"/>
  <c r="AM44" i="10"/>
  <c r="AP67" i="10"/>
  <c r="AP68" i="10"/>
  <c r="AM67" i="10"/>
  <c r="AM68" i="10"/>
  <c r="AP63" i="10"/>
  <c r="AP64" i="10"/>
  <c r="AM63" i="10"/>
  <c r="AM64" i="10"/>
  <c r="AM59" i="10"/>
  <c r="AM60" i="10"/>
  <c r="W7" i="3"/>
  <c r="Z7" i="3"/>
  <c r="X7" i="3"/>
  <c r="Y7" i="3"/>
  <c r="AA7" i="6"/>
  <c r="AA7" i="3"/>
  <c r="AO46" i="10"/>
  <c r="W7" i="42"/>
  <c r="Z7" i="42"/>
  <c r="X7" i="42"/>
  <c r="Y7" i="42"/>
  <c r="AA7" i="42"/>
  <c r="AN46" i="10"/>
  <c r="AP46" i="10"/>
  <c r="X7" i="7"/>
  <c r="AA8" i="7"/>
  <c r="W7" i="7"/>
  <c r="Z7" i="7"/>
  <c r="Y7" i="7"/>
  <c r="AB8" i="7"/>
  <c r="AA7" i="7"/>
  <c r="AQ46" i="10"/>
  <c r="AM46" i="10"/>
  <c r="AB8" i="6"/>
  <c r="AB8" i="5"/>
  <c r="AW8" i="10"/>
  <c r="Y7" i="6"/>
  <c r="Y7" i="5"/>
  <c r="AT7" i="10"/>
  <c r="AP25" i="10"/>
  <c r="AP23" i="10"/>
  <c r="AO32" i="10"/>
  <c r="AP55" i="10"/>
  <c r="AQ76" i="10"/>
  <c r="AQ77" i="10" s="1"/>
  <c r="AM76" i="10"/>
  <c r="X7" i="6"/>
  <c r="X7" i="5"/>
  <c r="AS7" i="10"/>
  <c r="AO80" i="10"/>
  <c r="AN80" i="10"/>
  <c r="AO84" i="10"/>
  <c r="AM84" i="10"/>
  <c r="AP32" i="10"/>
  <c r="AQ32" i="10"/>
  <c r="AA7" i="5"/>
  <c r="AV7" i="10"/>
  <c r="AO25" i="10"/>
  <c r="AO23" i="10"/>
  <c r="AN25" i="10"/>
  <c r="AN23" i="10"/>
  <c r="AO16" i="10"/>
  <c r="AN84" i="10"/>
  <c r="AO76" i="10"/>
  <c r="AA8" i="5"/>
  <c r="AV8" i="10"/>
  <c r="AM16" i="10"/>
  <c r="AP84" i="10"/>
  <c r="AQ80" i="10"/>
  <c r="AQ81" i="10" s="1"/>
  <c r="AM80" i="10"/>
  <c r="AQ55" i="10"/>
  <c r="AN32" i="10"/>
  <c r="W7" i="6"/>
  <c r="W7" i="5"/>
  <c r="AR7" i="10"/>
  <c r="AN16" i="10"/>
  <c r="AM55" i="10"/>
  <c r="AN76" i="10"/>
  <c r="AO55" i="10"/>
  <c r="Z7" i="6"/>
  <c r="Z7" i="5"/>
  <c r="AU7" i="10"/>
  <c r="AP80" i="10"/>
  <c r="AQ16" i="10"/>
  <c r="AQ17" i="10" s="1"/>
  <c r="AM32" i="10"/>
  <c r="AP16" i="10"/>
  <c r="AQ23" i="10"/>
  <c r="AQ25" i="10"/>
  <c r="AQ26" i="10" s="1"/>
  <c r="AM25" i="10"/>
  <c r="AM23" i="10"/>
  <c r="AQ84" i="10"/>
  <c r="AQ85" i="10" s="1"/>
  <c r="AP76" i="10"/>
  <c r="AN55" i="10"/>
  <c r="AA15" i="11"/>
  <c r="Z15" i="11"/>
  <c r="Y15" i="11"/>
  <c r="X15" i="11"/>
  <c r="W15" i="11"/>
  <c r="AC14" i="11"/>
  <c r="AC5" i="11"/>
  <c r="AD11" i="11"/>
  <c r="AC8" i="58" l="1"/>
  <c r="AC8" i="59"/>
  <c r="AC75" i="5"/>
  <c r="AC88" i="5"/>
  <c r="AC8" i="63"/>
  <c r="AC8" i="42"/>
  <c r="AC8" i="3"/>
  <c r="AP96" i="10"/>
  <c r="AP78" i="10"/>
  <c r="AP77" i="10"/>
  <c r="AM27" i="10"/>
  <c r="AM26" i="10"/>
  <c r="AP18" i="10"/>
  <c r="AP17" i="10"/>
  <c r="AP82" i="10"/>
  <c r="AP81" i="10"/>
  <c r="AN78" i="10"/>
  <c r="AN77" i="10"/>
  <c r="AN18" i="10"/>
  <c r="AN17" i="10"/>
  <c r="AM82" i="10"/>
  <c r="AM81" i="10"/>
  <c r="AP86" i="10"/>
  <c r="AP85" i="10"/>
  <c r="AM18" i="10"/>
  <c r="AM17" i="10"/>
  <c r="AO78" i="10"/>
  <c r="AO77" i="10"/>
  <c r="AN86" i="10"/>
  <c r="AN85" i="10"/>
  <c r="AO18" i="10"/>
  <c r="AO17" i="10"/>
  <c r="AN27" i="10"/>
  <c r="AN26" i="10"/>
  <c r="AO27" i="10"/>
  <c r="AO26" i="10"/>
  <c r="AM92" i="10"/>
  <c r="AM86" i="10"/>
  <c r="AM85" i="10"/>
  <c r="AO92" i="10"/>
  <c r="AO85" i="10"/>
  <c r="AO86" i="10"/>
  <c r="AN82" i="10"/>
  <c r="AN81" i="10"/>
  <c r="AO81" i="10"/>
  <c r="AO82" i="10"/>
  <c r="AM77" i="10"/>
  <c r="AM78" i="10"/>
  <c r="AP27" i="10"/>
  <c r="AP26" i="10"/>
  <c r="AC8" i="7"/>
  <c r="AQ92" i="10"/>
  <c r="AQ93" i="10" s="1"/>
  <c r="AN92" i="10"/>
  <c r="AP92" i="10"/>
  <c r="AC8" i="6"/>
  <c r="AC8" i="5"/>
  <c r="AX8" i="10"/>
  <c r="AM96" i="10"/>
  <c r="AS9" i="10"/>
  <c r="AV9" i="10"/>
  <c r="AU9" i="10"/>
  <c r="AT9" i="10"/>
  <c r="AR9" i="10"/>
  <c r="AO96" i="10"/>
  <c r="AN96" i="10"/>
  <c r="AQ96" i="10"/>
  <c r="AQ97" i="10" s="1"/>
  <c r="AD14" i="11"/>
  <c r="AE11" i="11"/>
  <c r="AD5" i="11"/>
  <c r="AD8" i="58" l="1"/>
  <c r="AD8" i="59"/>
  <c r="AD88" i="5"/>
  <c r="AD75" i="5"/>
  <c r="AD8" i="63"/>
  <c r="AD8" i="42"/>
  <c r="AD8" i="3"/>
  <c r="AN98" i="10"/>
  <c r="AN97" i="10"/>
  <c r="AO98" i="10"/>
  <c r="AO97" i="10"/>
  <c r="AM97" i="10"/>
  <c r="AM98" i="10"/>
  <c r="AP93" i="10"/>
  <c r="AP94" i="10"/>
  <c r="AN94" i="10"/>
  <c r="AN93" i="10"/>
  <c r="AO93" i="10"/>
  <c r="AO94" i="10"/>
  <c r="AM94" i="10"/>
  <c r="AM93" i="10"/>
  <c r="AP98" i="10"/>
  <c r="AP97" i="10"/>
  <c r="AD8" i="7"/>
  <c r="AD8" i="6"/>
  <c r="AD8" i="5"/>
  <c r="AY8" i="10"/>
  <c r="AE14" i="11"/>
  <c r="AF11" i="11"/>
  <c r="AB3" i="11" s="1"/>
  <c r="AG11" i="11"/>
  <c r="AE5" i="11"/>
  <c r="AS71" i="10" l="1"/>
  <c r="AB6" i="94"/>
  <c r="AU106" i="10"/>
  <c r="AS72" i="10"/>
  <c r="AT71" i="10"/>
  <c r="AV59" i="10"/>
  <c r="AV63" i="10"/>
  <c r="AV67" i="10"/>
  <c r="AV105" i="10"/>
  <c r="AV101" i="10"/>
  <c r="AV89" i="10"/>
  <c r="AV13" i="10"/>
  <c r="AV39" i="10"/>
  <c r="AV44" i="10"/>
  <c r="AV49" i="10"/>
  <c r="AB6" i="63"/>
  <c r="AV30" i="10"/>
  <c r="AV53" i="10"/>
  <c r="AV21" i="10"/>
  <c r="AV35" i="10"/>
  <c r="AE8" i="59"/>
  <c r="AE8" i="58"/>
  <c r="AE75" i="5"/>
  <c r="AE88" i="5"/>
  <c r="AE8" i="63"/>
  <c r="AB6" i="59"/>
  <c r="AB6" i="58"/>
  <c r="AE8" i="42"/>
  <c r="AE8" i="3"/>
  <c r="AB6" i="3"/>
  <c r="AB6" i="42"/>
  <c r="AB6" i="7"/>
  <c r="AE8" i="7"/>
  <c r="AE8" i="6"/>
  <c r="AE8" i="5"/>
  <c r="AZ8" i="10"/>
  <c r="AB6" i="6"/>
  <c r="AB6" i="5"/>
  <c r="AW6" i="10"/>
  <c r="AG14" i="11"/>
  <c r="AG5" i="11"/>
  <c r="AH11" i="11"/>
  <c r="AF14" i="11"/>
  <c r="AF5" i="11"/>
  <c r="AE4" i="11"/>
  <c r="AD4" i="11"/>
  <c r="AB4" i="11"/>
  <c r="AF4" i="11"/>
  <c r="AC4" i="11"/>
  <c r="AR105" i="10" l="1"/>
  <c r="AR106" i="10"/>
  <c r="AC7" i="94"/>
  <c r="AF7" i="94"/>
  <c r="AD7" i="94"/>
  <c r="AE7" i="94"/>
  <c r="AS106" i="10"/>
  <c r="AS105" i="10"/>
  <c r="AT105" i="10"/>
  <c r="AR71" i="10"/>
  <c r="AR72" i="10"/>
  <c r="AB7" i="94"/>
  <c r="AT106" i="10"/>
  <c r="AU71" i="10"/>
  <c r="AU72" i="10"/>
  <c r="AT72" i="10"/>
  <c r="AV71" i="10"/>
  <c r="AU105" i="10"/>
  <c r="AD7" i="63"/>
  <c r="AE7" i="63"/>
  <c r="AF7" i="63"/>
  <c r="AC7" i="63"/>
  <c r="AB7" i="63"/>
  <c r="AF8" i="59"/>
  <c r="AF8" i="58"/>
  <c r="AF75" i="5"/>
  <c r="AF88" i="5"/>
  <c r="AF8" i="63"/>
  <c r="AC7" i="58"/>
  <c r="AC7" i="59"/>
  <c r="AF7" i="59"/>
  <c r="AF7" i="58"/>
  <c r="AB7" i="58"/>
  <c r="AB7" i="59"/>
  <c r="AD7" i="58"/>
  <c r="AD7" i="59"/>
  <c r="AE7" i="59"/>
  <c r="AE7" i="58"/>
  <c r="AU60" i="10"/>
  <c r="AU59" i="10"/>
  <c r="AR101" i="10"/>
  <c r="AR102" i="10"/>
  <c r="AR64" i="10"/>
  <c r="AR63" i="10"/>
  <c r="AR14" i="10"/>
  <c r="AR13" i="10"/>
  <c r="AT40" i="10"/>
  <c r="AT39" i="10"/>
  <c r="AT50" i="10"/>
  <c r="AT49" i="10"/>
  <c r="AR45" i="10"/>
  <c r="AR44" i="10"/>
  <c r="AT44" i="10"/>
  <c r="AT45" i="10"/>
  <c r="AS90" i="10"/>
  <c r="AS89" i="10"/>
  <c r="AS68" i="10"/>
  <c r="AS67" i="10"/>
  <c r="AU36" i="10"/>
  <c r="AU35" i="10"/>
  <c r="AU68" i="10"/>
  <c r="AU67" i="10"/>
  <c r="AT54" i="10"/>
  <c r="AT53" i="10"/>
  <c r="AS53" i="10"/>
  <c r="AS54" i="10"/>
  <c r="AR54" i="10"/>
  <c r="AR53" i="10"/>
  <c r="AT22" i="10"/>
  <c r="AT21" i="10"/>
  <c r="AS49" i="10"/>
  <c r="AS50" i="10"/>
  <c r="AR50" i="10"/>
  <c r="AR49" i="10"/>
  <c r="AU102" i="10"/>
  <c r="AU101" i="10"/>
  <c r="AU89" i="10"/>
  <c r="AU90" i="10"/>
  <c r="AT60" i="10"/>
  <c r="AT59" i="10"/>
  <c r="AU64" i="10"/>
  <c r="AU63" i="10"/>
  <c r="AU54" i="10"/>
  <c r="AU53" i="10"/>
  <c r="AT67" i="10"/>
  <c r="AT68" i="10"/>
  <c r="AU13" i="10"/>
  <c r="AU14" i="10"/>
  <c r="AT64" i="10"/>
  <c r="AT63" i="10"/>
  <c r="AS63" i="10"/>
  <c r="AS64" i="10"/>
  <c r="AF8" i="42"/>
  <c r="AF8" i="6"/>
  <c r="AF8" i="3"/>
  <c r="AT102" i="10"/>
  <c r="AT101" i="10"/>
  <c r="AU31" i="10"/>
  <c r="AU30" i="10"/>
  <c r="AT90" i="10"/>
  <c r="AT89" i="10"/>
  <c r="AU22" i="10"/>
  <c r="AU21" i="10"/>
  <c r="AT36" i="10"/>
  <c r="AT35" i="10"/>
  <c r="AS36" i="10"/>
  <c r="AS35" i="10"/>
  <c r="AR36" i="10"/>
  <c r="AR35" i="10"/>
  <c r="AT13" i="10"/>
  <c r="AT14" i="10"/>
  <c r="AR68" i="10"/>
  <c r="AR67" i="10"/>
  <c r="AS102" i="10"/>
  <c r="AS101" i="10"/>
  <c r="AS45" i="10"/>
  <c r="AS44" i="10"/>
  <c r="AR90" i="10"/>
  <c r="AR89" i="10"/>
  <c r="AS40" i="10"/>
  <c r="AS39" i="10"/>
  <c r="AR31" i="10"/>
  <c r="AR30" i="10"/>
  <c r="AU40" i="10"/>
  <c r="AU39" i="10"/>
  <c r="AS60" i="10"/>
  <c r="AS59" i="10"/>
  <c r="AS22" i="10"/>
  <c r="AS21" i="10"/>
  <c r="AR22" i="10"/>
  <c r="AR21" i="10"/>
  <c r="AS30" i="10"/>
  <c r="AS31" i="10"/>
  <c r="AS14" i="10"/>
  <c r="AS13" i="10"/>
  <c r="AU50" i="10"/>
  <c r="AU49" i="10"/>
  <c r="AR39" i="10"/>
  <c r="AR40" i="10"/>
  <c r="AU45" i="10"/>
  <c r="AU44" i="10"/>
  <c r="AT31" i="10"/>
  <c r="AT30" i="10"/>
  <c r="AR59" i="10"/>
  <c r="AR60" i="10"/>
  <c r="AC7" i="3"/>
  <c r="AF7" i="6"/>
  <c r="AF7" i="3"/>
  <c r="AB7" i="3"/>
  <c r="AD7" i="3"/>
  <c r="AE7" i="3"/>
  <c r="AT46" i="10"/>
  <c r="AC7" i="42"/>
  <c r="AF7" i="42"/>
  <c r="AB7" i="42"/>
  <c r="AD7" i="42"/>
  <c r="AE7" i="42"/>
  <c r="AS46" i="10"/>
  <c r="AF8" i="7"/>
  <c r="AD7" i="7"/>
  <c r="AF7" i="7"/>
  <c r="AE7" i="7"/>
  <c r="AC7" i="7"/>
  <c r="AB7" i="7"/>
  <c r="AU46" i="10"/>
  <c r="AV46" i="10"/>
  <c r="AR46" i="10"/>
  <c r="AF7" i="5"/>
  <c r="BA7" i="10"/>
  <c r="AS32" i="10"/>
  <c r="AU55" i="10"/>
  <c r="AS16" i="10"/>
  <c r="AS25" i="10"/>
  <c r="AS23" i="10"/>
  <c r="AR76" i="10"/>
  <c r="BB8" i="10"/>
  <c r="AU25" i="10"/>
  <c r="AU23" i="10"/>
  <c r="AR16" i="10"/>
  <c r="AU84" i="10"/>
  <c r="AS76" i="10"/>
  <c r="AU32" i="10"/>
  <c r="AT55" i="10"/>
  <c r="AV84" i="10"/>
  <c r="AV85" i="10" s="1"/>
  <c r="AT80" i="10"/>
  <c r="AR32" i="10"/>
  <c r="AV80" i="10"/>
  <c r="AV81" i="10" s="1"/>
  <c r="AV55" i="10"/>
  <c r="AE7" i="6"/>
  <c r="AE7" i="5"/>
  <c r="AZ7" i="10"/>
  <c r="AT32" i="10"/>
  <c r="AS80" i="10"/>
  <c r="AU16" i="10"/>
  <c r="AR80" i="10"/>
  <c r="AV76" i="10"/>
  <c r="AV77" i="10" s="1"/>
  <c r="AD7" i="6"/>
  <c r="AD7" i="5"/>
  <c r="AY7" i="10"/>
  <c r="AF8" i="5"/>
  <c r="BA8" i="10"/>
  <c r="AV16" i="10"/>
  <c r="AV17" i="10" s="1"/>
  <c r="AS55" i="10"/>
  <c r="AV23" i="10"/>
  <c r="AV25" i="10"/>
  <c r="AV26" i="10" s="1"/>
  <c r="AT76" i="10"/>
  <c r="AR23" i="10"/>
  <c r="AR25" i="10"/>
  <c r="AT84" i="10"/>
  <c r="AT16" i="10"/>
  <c r="AB7" i="6"/>
  <c r="AB7" i="5"/>
  <c r="AW7" i="10"/>
  <c r="AC7" i="6"/>
  <c r="AC7" i="5"/>
  <c r="AX7" i="10"/>
  <c r="AU80" i="10"/>
  <c r="AR84" i="10"/>
  <c r="AV32" i="10"/>
  <c r="AT25" i="10"/>
  <c r="AT23" i="10"/>
  <c r="AS84" i="10"/>
  <c r="AU76" i="10"/>
  <c r="AR55" i="10"/>
  <c r="AF15" i="11"/>
  <c r="AE15" i="11"/>
  <c r="AD15" i="11"/>
  <c r="AC15" i="11"/>
  <c r="AB15" i="11"/>
  <c r="AH14" i="11"/>
  <c r="AI11" i="11"/>
  <c r="AH5" i="11"/>
  <c r="AU78" i="10" l="1"/>
  <c r="AU77" i="10"/>
  <c r="AS86" i="10"/>
  <c r="AS85" i="10"/>
  <c r="AT27" i="10"/>
  <c r="AT26" i="10"/>
  <c r="AR92" i="10"/>
  <c r="AR86" i="10"/>
  <c r="AR85" i="10"/>
  <c r="AU82" i="10"/>
  <c r="AU81" i="10"/>
  <c r="AT18" i="10"/>
  <c r="AT17" i="10"/>
  <c r="AT92" i="10"/>
  <c r="AT86" i="10"/>
  <c r="AT85" i="10"/>
  <c r="AR26" i="10"/>
  <c r="AR27" i="10"/>
  <c r="AT96" i="10"/>
  <c r="AT78" i="10"/>
  <c r="AT77" i="10"/>
  <c r="AR82" i="10"/>
  <c r="AR81" i="10"/>
  <c r="AU18" i="10"/>
  <c r="AU17" i="10"/>
  <c r="AS82" i="10"/>
  <c r="AS81" i="10"/>
  <c r="AT82" i="10"/>
  <c r="AT81" i="10"/>
  <c r="AS78" i="10"/>
  <c r="AS77" i="10"/>
  <c r="AU86" i="10"/>
  <c r="AU85" i="10"/>
  <c r="AR18" i="10"/>
  <c r="AR17" i="10"/>
  <c r="AU27" i="10"/>
  <c r="AU26" i="10"/>
  <c r="AR96" i="10"/>
  <c r="AR78" i="10"/>
  <c r="AR77" i="10"/>
  <c r="AS26" i="10"/>
  <c r="AS27" i="10"/>
  <c r="AS18" i="10"/>
  <c r="AS17" i="10"/>
  <c r="AV92" i="10"/>
  <c r="AV93" i="10" s="1"/>
  <c r="AU92" i="10"/>
  <c r="AS92" i="10"/>
  <c r="AS96" i="10"/>
  <c r="AW9" i="10"/>
  <c r="AX9" i="10"/>
  <c r="AZ9" i="10"/>
  <c r="AY9" i="10"/>
  <c r="BA9" i="10"/>
  <c r="BC8" i="10"/>
  <c r="AU96" i="10"/>
  <c r="AV96" i="10"/>
  <c r="AV97" i="10" s="1"/>
  <c r="AI14" i="11"/>
  <c r="AI5" i="11"/>
  <c r="AJ11" i="11"/>
  <c r="AU98" i="10" l="1"/>
  <c r="AU97" i="10"/>
  <c r="AS98" i="10"/>
  <c r="AS97" i="10"/>
  <c r="AS94" i="10"/>
  <c r="AS93" i="10"/>
  <c r="AU94" i="10"/>
  <c r="AU93" i="10"/>
  <c r="AR98" i="10"/>
  <c r="AR97" i="10"/>
  <c r="AT98" i="10"/>
  <c r="AT97" i="10"/>
  <c r="AT94" i="10"/>
  <c r="AT93" i="10"/>
  <c r="AR94" i="10"/>
  <c r="AR93" i="10"/>
  <c r="BD8" i="10"/>
  <c r="AJ14" i="11"/>
  <c r="AK11" i="11"/>
  <c r="AG3" i="11" s="1"/>
  <c r="AL11" i="11"/>
  <c r="AJ5" i="11"/>
  <c r="AX72" i="10" l="1"/>
  <c r="AZ71" i="10"/>
  <c r="AY71" i="10"/>
  <c r="AX71" i="10"/>
  <c r="AX105" i="10"/>
  <c r="AG6" i="94"/>
  <c r="AG6" i="6"/>
  <c r="AG6" i="58"/>
  <c r="AG6" i="7"/>
  <c r="AG6" i="5"/>
  <c r="AG6" i="42"/>
  <c r="AG6" i="59"/>
  <c r="AG6" i="63"/>
  <c r="AG6" i="3"/>
  <c r="BA59" i="10"/>
  <c r="AZ105" i="10"/>
  <c r="BA13" i="10"/>
  <c r="BA105" i="10"/>
  <c r="AW105" i="10"/>
  <c r="AY105" i="10"/>
  <c r="BA101" i="10"/>
  <c r="BA53" i="10"/>
  <c r="BA21" i="10"/>
  <c r="BA35" i="10"/>
  <c r="BA39" i="10"/>
  <c r="BA63" i="10"/>
  <c r="BA44" i="10"/>
  <c r="BA30" i="10"/>
  <c r="BA67" i="10"/>
  <c r="BA89" i="10"/>
  <c r="BA49" i="10"/>
  <c r="BB6" i="10"/>
  <c r="BE8" i="10"/>
  <c r="AL14" i="11"/>
  <c r="AL5" i="11"/>
  <c r="AM11" i="11"/>
  <c r="AK14" i="11"/>
  <c r="AG4" i="11"/>
  <c r="AK4" i="11"/>
  <c r="AK5" i="11"/>
  <c r="AJ4" i="11"/>
  <c r="AH4" i="11"/>
  <c r="AI4" i="11"/>
  <c r="AW71" i="10" l="1"/>
  <c r="AW72" i="10"/>
  <c r="AJ7" i="94"/>
  <c r="AJ7" i="5"/>
  <c r="AJ7" i="3"/>
  <c r="AJ7" i="42"/>
  <c r="AJ7" i="63"/>
  <c r="AJ7" i="6"/>
  <c r="AJ7" i="58"/>
  <c r="AJ7" i="7"/>
  <c r="AJ7" i="59"/>
  <c r="AY106" i="10"/>
  <c r="AX106" i="10"/>
  <c r="AH7" i="94"/>
  <c r="AH7" i="42"/>
  <c r="AH7" i="59"/>
  <c r="AH7" i="63"/>
  <c r="AH7" i="6"/>
  <c r="AH7" i="58"/>
  <c r="AH7" i="7"/>
  <c r="AH7" i="5"/>
  <c r="AH7" i="3"/>
  <c r="AK7" i="94"/>
  <c r="AK7" i="5"/>
  <c r="AK7" i="3"/>
  <c r="AK7" i="6"/>
  <c r="AK7" i="58"/>
  <c r="AK7" i="42"/>
  <c r="AK7" i="63"/>
  <c r="AK7" i="7"/>
  <c r="AK7" i="59"/>
  <c r="AG7" i="94"/>
  <c r="AG7" i="7"/>
  <c r="AG7" i="42"/>
  <c r="AG7" i="6"/>
  <c r="AG7" i="59"/>
  <c r="AG7" i="63"/>
  <c r="AG7" i="5"/>
  <c r="AG7" i="3"/>
  <c r="AG7" i="58"/>
  <c r="AZ72" i="10"/>
  <c r="AI7" i="94"/>
  <c r="AI7" i="59"/>
  <c r="AI7" i="63"/>
  <c r="AI7" i="7"/>
  <c r="AI7" i="42"/>
  <c r="AI7" i="5"/>
  <c r="AI7" i="3"/>
  <c r="AI7" i="6"/>
  <c r="AI7" i="58"/>
  <c r="AY72" i="10"/>
  <c r="BA71" i="10"/>
  <c r="AW106" i="10"/>
  <c r="AZ106" i="10"/>
  <c r="AX21" i="10"/>
  <c r="AX22" i="10"/>
  <c r="AZ68" i="10"/>
  <c r="AZ67" i="10"/>
  <c r="AW50" i="10"/>
  <c r="AW49" i="10"/>
  <c r="AZ101" i="10"/>
  <c r="AZ102" i="10"/>
  <c r="AW44" i="10"/>
  <c r="AW45" i="10"/>
  <c r="AZ45" i="10"/>
  <c r="AZ44" i="10"/>
  <c r="AX89" i="10"/>
  <c r="AX90" i="10"/>
  <c r="AY59" i="10"/>
  <c r="AY60" i="10"/>
  <c r="AW60" i="10"/>
  <c r="AW59" i="10"/>
  <c r="AY21" i="10"/>
  <c r="AY22" i="10"/>
  <c r="AW21" i="10"/>
  <c r="AW22" i="10"/>
  <c r="AZ54" i="10"/>
  <c r="AZ53" i="10"/>
  <c r="AZ21" i="10"/>
  <c r="AZ22" i="10"/>
  <c r="AW14" i="10"/>
  <c r="AW13" i="10"/>
  <c r="AZ49" i="10"/>
  <c r="AZ50" i="10"/>
  <c r="AX101" i="10"/>
  <c r="AX102" i="10"/>
  <c r="AX44" i="10"/>
  <c r="AX45" i="10"/>
  <c r="AY30" i="10"/>
  <c r="AY31" i="10"/>
  <c r="AW30" i="10"/>
  <c r="AW31" i="10"/>
  <c r="AZ59" i="10"/>
  <c r="AZ60" i="10"/>
  <c r="AZ14" i="10"/>
  <c r="AZ13" i="10"/>
  <c r="AX49" i="10"/>
  <c r="AX50" i="10"/>
  <c r="AY63" i="10"/>
  <c r="AY64" i="10"/>
  <c r="AW63" i="10"/>
  <c r="AW64" i="10"/>
  <c r="AZ63" i="10"/>
  <c r="AZ64" i="10"/>
  <c r="AZ30" i="10"/>
  <c r="AZ31" i="10"/>
  <c r="AX59" i="10"/>
  <c r="AX60" i="10"/>
  <c r="AY90" i="10"/>
  <c r="AY89" i="10"/>
  <c r="AY39" i="10"/>
  <c r="AY40" i="10"/>
  <c r="AW67" i="10"/>
  <c r="AW68" i="10"/>
  <c r="AX67" i="10"/>
  <c r="AX68" i="10"/>
  <c r="AX35" i="10"/>
  <c r="AX36" i="10"/>
  <c r="AY50" i="10"/>
  <c r="AY49" i="10"/>
  <c r="AW101" i="10"/>
  <c r="AW102" i="10"/>
  <c r="AY45" i="10"/>
  <c r="AY44" i="10"/>
  <c r="AW89" i="10"/>
  <c r="AW90" i="10"/>
  <c r="AZ89" i="10"/>
  <c r="AZ90" i="10"/>
  <c r="AW40" i="10"/>
  <c r="AW39" i="10"/>
  <c r="AZ39" i="10"/>
  <c r="AZ40" i="10"/>
  <c r="AX39" i="10"/>
  <c r="AX40" i="10"/>
  <c r="AY53" i="10"/>
  <c r="AY54" i="10"/>
  <c r="AW53" i="10"/>
  <c r="AW54" i="10"/>
  <c r="AY13" i="10"/>
  <c r="AY14" i="10"/>
  <c r="AY46" i="10"/>
  <c r="AW46" i="10"/>
  <c r="AX53" i="10"/>
  <c r="AX54" i="10"/>
  <c r="AY68" i="10"/>
  <c r="AY67" i="10"/>
  <c r="AX13" i="10"/>
  <c r="AX14" i="10"/>
  <c r="AY36" i="10"/>
  <c r="AY35" i="10"/>
  <c r="AW35" i="10"/>
  <c r="AW36" i="10"/>
  <c r="AZ35" i="10"/>
  <c r="AZ36" i="10"/>
  <c r="AX64" i="10"/>
  <c r="AX63" i="10"/>
  <c r="AY102" i="10"/>
  <c r="AY101" i="10"/>
  <c r="AX30" i="10"/>
  <c r="AX31" i="10"/>
  <c r="AX46" i="10"/>
  <c r="AZ46" i="10"/>
  <c r="BA46" i="10"/>
  <c r="AW16" i="10"/>
  <c r="AW32" i="10"/>
  <c r="AZ16" i="10"/>
  <c r="AY84" i="10"/>
  <c r="AX76" i="10"/>
  <c r="BA55" i="10"/>
  <c r="AZ76" i="10"/>
  <c r="BE7" i="10"/>
  <c r="BG8" i="10"/>
  <c r="BA23" i="10"/>
  <c r="BA25" i="10"/>
  <c r="BA26" i="10" s="1"/>
  <c r="AX80" i="10"/>
  <c r="AX84" i="10"/>
  <c r="AZ55" i="10"/>
  <c r="AY80" i="10"/>
  <c r="AY55" i="10"/>
  <c r="AX16" i="10"/>
  <c r="AY76" i="10"/>
  <c r="AX32" i="10"/>
  <c r="AW25" i="10"/>
  <c r="AW23" i="10"/>
  <c r="AY16" i="10"/>
  <c r="AX25" i="10"/>
  <c r="AX23" i="10"/>
  <c r="BA84" i="10"/>
  <c r="BA85" i="10" s="1"/>
  <c r="AW80" i="10"/>
  <c r="AY25" i="10"/>
  <c r="AY23" i="10"/>
  <c r="BA76" i="10"/>
  <c r="BA77" i="10" s="1"/>
  <c r="AW55" i="10"/>
  <c r="AX55" i="10"/>
  <c r="BF7" i="10"/>
  <c r="BB7" i="10"/>
  <c r="AW84" i="10"/>
  <c r="AZ25" i="10"/>
  <c r="AZ23" i="10"/>
  <c r="AZ84" i="10"/>
  <c r="AZ32" i="10"/>
  <c r="AY32" i="10"/>
  <c r="BC7" i="10"/>
  <c r="BF8" i="10"/>
  <c r="AZ80" i="10"/>
  <c r="BD7" i="10"/>
  <c r="BA80" i="10"/>
  <c r="BA81" i="10" s="1"/>
  <c r="AW76" i="10"/>
  <c r="BA16" i="10"/>
  <c r="BA17" i="10" s="1"/>
  <c r="BA32" i="10"/>
  <c r="AM14" i="11"/>
  <c r="AM5" i="11"/>
  <c r="AN11" i="11"/>
  <c r="AG15" i="11"/>
  <c r="AK15" i="11"/>
  <c r="AJ15" i="11"/>
  <c r="AI15" i="11"/>
  <c r="AH15" i="11"/>
  <c r="AW77" i="10" l="1"/>
  <c r="AW78" i="10"/>
  <c r="AZ81" i="10"/>
  <c r="AZ82" i="10"/>
  <c r="AZ85" i="10"/>
  <c r="AZ86" i="10"/>
  <c r="AZ26" i="10"/>
  <c r="AZ27" i="10"/>
  <c r="AW85" i="10"/>
  <c r="AW86" i="10"/>
  <c r="AY26" i="10"/>
  <c r="AY27" i="10"/>
  <c r="AW81" i="10"/>
  <c r="AW82" i="10"/>
  <c r="AX27" i="10"/>
  <c r="AX26" i="10"/>
  <c r="AY17" i="10"/>
  <c r="AY18" i="10"/>
  <c r="AW26" i="10"/>
  <c r="AW27" i="10"/>
  <c r="AY78" i="10"/>
  <c r="AY77" i="10"/>
  <c r="AX18" i="10"/>
  <c r="AX17" i="10"/>
  <c r="AY82" i="10"/>
  <c r="AY81" i="10"/>
  <c r="AX85" i="10"/>
  <c r="AX86" i="10"/>
  <c r="AX81" i="10"/>
  <c r="AX82" i="10"/>
  <c r="AZ77" i="10"/>
  <c r="AZ78" i="10"/>
  <c r="AX77" i="10"/>
  <c r="AX78" i="10"/>
  <c r="AY85" i="10"/>
  <c r="AY86" i="10"/>
  <c r="AZ18" i="10"/>
  <c r="AZ17" i="10"/>
  <c r="AW17" i="10"/>
  <c r="AW18" i="10"/>
  <c r="BA92" i="10"/>
  <c r="BA93" i="10" s="1"/>
  <c r="BF9" i="10"/>
  <c r="BC9" i="10"/>
  <c r="BB9" i="10"/>
  <c r="BE9" i="10"/>
  <c r="BD9" i="10"/>
  <c r="AZ96" i="10"/>
  <c r="AX96" i="10"/>
  <c r="BA96" i="10"/>
  <c r="BA97" i="10" s="1"/>
  <c r="AX92" i="10"/>
  <c r="AZ92" i="10"/>
  <c r="BH8" i="10"/>
  <c r="AY96" i="10"/>
  <c r="AY92" i="10"/>
  <c r="AW96" i="10"/>
  <c r="AW92" i="10"/>
  <c r="AN14" i="11"/>
  <c r="AO11" i="11"/>
  <c r="AN5" i="11"/>
  <c r="AW93" i="10" l="1"/>
  <c r="AW94" i="10"/>
  <c r="AW97" i="10"/>
  <c r="AW98" i="10"/>
  <c r="AY93" i="10"/>
  <c r="AY94" i="10"/>
  <c r="AY98" i="10"/>
  <c r="AY97" i="10"/>
  <c r="AZ93" i="10"/>
  <c r="AZ94" i="10"/>
  <c r="AX93" i="10"/>
  <c r="AX94" i="10"/>
  <c r="AX97" i="10"/>
  <c r="AX98" i="10"/>
  <c r="AZ97" i="10"/>
  <c r="AZ98" i="10"/>
  <c r="BI8" i="10"/>
  <c r="AO14" i="11"/>
  <c r="AQ11" i="11"/>
  <c r="AO5" i="11"/>
  <c r="AP11" i="11"/>
  <c r="AL3" i="11" s="1"/>
  <c r="BE105" i="10" l="1"/>
  <c r="BE72" i="10"/>
  <c r="BC71" i="10"/>
  <c r="BE71" i="10"/>
  <c r="BD106" i="10"/>
  <c r="BB106" i="10"/>
  <c r="BB71" i="10"/>
  <c r="BB72" i="10"/>
  <c r="BF71" i="10"/>
  <c r="BB105" i="10"/>
  <c r="BF39" i="10"/>
  <c r="BF105" i="10"/>
  <c r="BC105" i="10"/>
  <c r="BF49" i="10"/>
  <c r="BF59" i="10"/>
  <c r="BF89" i="10"/>
  <c r="BF101" i="10"/>
  <c r="BF44" i="10"/>
  <c r="BF53" i="10"/>
  <c r="BF63" i="10"/>
  <c r="BF67" i="10"/>
  <c r="BF35" i="10"/>
  <c r="BF21" i="10"/>
  <c r="BF13" i="10"/>
  <c r="BF30" i="10"/>
  <c r="BG6" i="10"/>
  <c r="BJ8" i="10"/>
  <c r="AQ14" i="11"/>
  <c r="AR11" i="11"/>
  <c r="AQ5" i="11"/>
  <c r="AP14" i="11"/>
  <c r="AP5" i="11"/>
  <c r="AM4" i="11"/>
  <c r="AP4" i="11"/>
  <c r="AN4" i="11"/>
  <c r="AL4" i="11"/>
  <c r="AO4" i="11"/>
  <c r="BD105" i="10" l="1"/>
  <c r="BD71" i="10"/>
  <c r="BC72" i="10"/>
  <c r="BE106" i="10"/>
  <c r="BD72" i="10"/>
  <c r="BC106" i="10"/>
  <c r="BD46" i="10"/>
  <c r="BD63" i="10"/>
  <c r="BD64" i="10"/>
  <c r="BE59" i="10"/>
  <c r="BE60" i="10"/>
  <c r="BC102" i="10"/>
  <c r="BC101" i="10"/>
  <c r="BD30" i="10"/>
  <c r="BD31" i="10"/>
  <c r="BC89" i="10"/>
  <c r="BC90" i="10"/>
  <c r="BD21" i="10"/>
  <c r="BD22" i="10"/>
  <c r="BD36" i="10"/>
  <c r="BD35" i="10"/>
  <c r="BD101" i="10"/>
  <c r="BD102" i="10"/>
  <c r="BE30" i="10"/>
  <c r="BE31" i="10"/>
  <c r="BE53" i="10"/>
  <c r="BE54" i="10"/>
  <c r="BE50" i="10"/>
  <c r="BE49" i="10"/>
  <c r="BC50" i="10"/>
  <c r="BC49" i="10"/>
  <c r="BB63" i="10"/>
  <c r="BB64" i="10"/>
  <c r="BC44" i="10"/>
  <c r="BC45" i="10"/>
  <c r="BB59" i="10"/>
  <c r="BB60" i="10"/>
  <c r="BE44" i="10"/>
  <c r="BE45" i="10"/>
  <c r="BD49" i="10"/>
  <c r="BD50" i="10"/>
  <c r="BC21" i="10"/>
  <c r="BC22" i="10"/>
  <c r="BD89" i="10"/>
  <c r="BD90" i="10"/>
  <c r="BE21" i="10"/>
  <c r="BE22" i="10"/>
  <c r="BD67" i="10"/>
  <c r="BD68" i="10"/>
  <c r="BE14" i="10"/>
  <c r="BE13" i="10"/>
  <c r="BD60" i="10"/>
  <c r="BD59" i="10"/>
  <c r="BD54" i="10"/>
  <c r="BD53" i="10"/>
  <c r="BC53" i="10"/>
  <c r="BC54" i="10"/>
  <c r="BB14" i="10"/>
  <c r="BB13" i="10"/>
  <c r="BE101" i="10"/>
  <c r="BE102" i="10"/>
  <c r="BC14" i="10"/>
  <c r="BC13" i="10"/>
  <c r="BB35" i="10"/>
  <c r="BB36" i="10"/>
  <c r="BB30" i="10"/>
  <c r="BB31" i="10"/>
  <c r="BC68" i="10"/>
  <c r="BC67" i="10"/>
  <c r="BD13" i="10"/>
  <c r="BD14" i="10"/>
  <c r="BB40" i="10"/>
  <c r="BB39" i="10"/>
  <c r="BD44" i="10"/>
  <c r="BD45" i="10"/>
  <c r="BD39" i="10"/>
  <c r="BD40" i="10"/>
  <c r="BE68" i="10"/>
  <c r="BE67" i="10"/>
  <c r="BE63" i="10"/>
  <c r="BE64" i="10"/>
  <c r="BC39" i="10"/>
  <c r="BC40" i="10"/>
  <c r="BB53" i="10"/>
  <c r="BB54" i="10"/>
  <c r="BC63" i="10"/>
  <c r="BC64" i="10"/>
  <c r="BB102" i="10"/>
  <c r="BB101" i="10"/>
  <c r="BC59" i="10"/>
  <c r="BC60" i="10"/>
  <c r="BB90" i="10"/>
  <c r="BB89" i="10"/>
  <c r="BB68" i="10"/>
  <c r="BB67" i="10"/>
  <c r="BE39" i="10"/>
  <c r="BE40" i="10"/>
  <c r="BE36" i="10"/>
  <c r="BE35" i="10"/>
  <c r="BB22" i="10"/>
  <c r="BB21" i="10"/>
  <c r="BC35" i="10"/>
  <c r="BC36" i="10"/>
  <c r="BB50" i="10"/>
  <c r="BB49" i="10"/>
  <c r="BC30" i="10"/>
  <c r="BC31" i="10"/>
  <c r="BB44" i="10"/>
  <c r="BB45" i="10"/>
  <c r="BE90" i="10"/>
  <c r="BE89" i="10"/>
  <c r="BC46" i="10"/>
  <c r="BB46" i="10"/>
  <c r="BE46" i="10"/>
  <c r="BF46" i="10"/>
  <c r="BG7" i="10"/>
  <c r="BE55" i="10"/>
  <c r="BE80" i="10"/>
  <c r="BF80" i="10"/>
  <c r="BF81" i="10" s="1"/>
  <c r="BB84" i="10"/>
  <c r="BE25" i="10"/>
  <c r="BE23" i="10"/>
  <c r="BE84" i="10"/>
  <c r="BC25" i="10"/>
  <c r="BC23" i="10"/>
  <c r="BK7" i="10"/>
  <c r="BE16" i="10"/>
  <c r="BB55" i="10"/>
  <c r="BF23" i="10"/>
  <c r="BF25" i="10"/>
  <c r="BF26" i="10" s="1"/>
  <c r="BB80" i="10"/>
  <c r="BB32" i="10"/>
  <c r="BF55" i="10"/>
  <c r="BE32" i="10"/>
  <c r="BB16" i="10"/>
  <c r="BE76" i="10"/>
  <c r="BF32" i="10"/>
  <c r="BC84" i="10"/>
  <c r="BD80" i="10"/>
  <c r="BF16" i="10"/>
  <c r="BF17" i="10" s="1"/>
  <c r="BC76" i="10"/>
  <c r="BD55" i="10"/>
  <c r="BH7" i="10"/>
  <c r="BK8" i="10"/>
  <c r="BB25" i="10"/>
  <c r="BB23" i="10"/>
  <c r="BD84" i="10"/>
  <c r="BD32" i="10"/>
  <c r="BC55" i="10"/>
  <c r="BD76" i="10"/>
  <c r="BB76" i="10"/>
  <c r="BI7" i="10"/>
  <c r="BF84" i="10"/>
  <c r="BF85" i="10" s="1"/>
  <c r="BF76" i="10"/>
  <c r="BF77" i="10" s="1"/>
  <c r="BJ7" i="10"/>
  <c r="BC80" i="10"/>
  <c r="BC16" i="10"/>
  <c r="BD25" i="10"/>
  <c r="BD23" i="10"/>
  <c r="BC32" i="10"/>
  <c r="BD16" i="10"/>
  <c r="AM15" i="11"/>
  <c r="AL15" i="11"/>
  <c r="AP15" i="11"/>
  <c r="AO15" i="11"/>
  <c r="AN15" i="11"/>
  <c r="AR14" i="11"/>
  <c r="AS11" i="11"/>
  <c r="AR5" i="11"/>
  <c r="BD18" i="10" l="1"/>
  <c r="BD17" i="10"/>
  <c r="BD27" i="10"/>
  <c r="BD26" i="10"/>
  <c r="BC17" i="10"/>
  <c r="BC18" i="10"/>
  <c r="BC82" i="10"/>
  <c r="BC81" i="10"/>
  <c r="BB77" i="10"/>
  <c r="BB78" i="10"/>
  <c r="BD96" i="10"/>
  <c r="BD77" i="10"/>
  <c r="BD78" i="10"/>
  <c r="BD85" i="10"/>
  <c r="BD86" i="10"/>
  <c r="BB26" i="10"/>
  <c r="BB27" i="10"/>
  <c r="BC77" i="10"/>
  <c r="BC78" i="10"/>
  <c r="BD82" i="10"/>
  <c r="BD81" i="10"/>
  <c r="BC92" i="10"/>
  <c r="BC86" i="10"/>
  <c r="BC85" i="10"/>
  <c r="BE78" i="10"/>
  <c r="BE77" i="10"/>
  <c r="BB17" i="10"/>
  <c r="BB18" i="10"/>
  <c r="BB82" i="10"/>
  <c r="BB81" i="10"/>
  <c r="BE18" i="10"/>
  <c r="BE17" i="10"/>
  <c r="BC26" i="10"/>
  <c r="BC27" i="10"/>
  <c r="BE92" i="10"/>
  <c r="BE85" i="10"/>
  <c r="BE86" i="10"/>
  <c r="BE27" i="10"/>
  <c r="BE26" i="10"/>
  <c r="BB86" i="10"/>
  <c r="BB85" i="10"/>
  <c r="BE81" i="10"/>
  <c r="BE82" i="10"/>
  <c r="BK9" i="10"/>
  <c r="BH9" i="10"/>
  <c r="BG9" i="10"/>
  <c r="BJ9" i="10"/>
  <c r="BI9" i="10"/>
  <c r="BE96" i="10"/>
  <c r="BB92" i="10"/>
  <c r="BD92" i="10"/>
  <c r="BF92" i="10"/>
  <c r="BF93" i="10" s="1"/>
  <c r="BB96" i="10"/>
  <c r="BC96" i="10"/>
  <c r="BF96" i="10"/>
  <c r="BF97" i="10" s="1"/>
  <c r="AS14" i="11"/>
  <c r="AS5" i="11"/>
  <c r="AT11" i="11"/>
  <c r="BC97" i="10" l="1"/>
  <c r="BC98" i="10"/>
  <c r="BB97" i="10"/>
  <c r="BB98" i="10"/>
  <c r="BD93" i="10"/>
  <c r="BD94" i="10"/>
  <c r="BB94" i="10"/>
  <c r="BB93" i="10"/>
  <c r="BE98" i="10"/>
  <c r="BE97" i="10"/>
  <c r="BE93" i="10"/>
  <c r="BE94" i="10"/>
  <c r="BC94" i="10"/>
  <c r="BC93" i="10"/>
  <c r="BD97" i="10"/>
  <c r="BD98" i="10"/>
  <c r="AT14" i="11"/>
  <c r="AV11" i="11"/>
  <c r="AU11" i="11"/>
  <c r="AQ3" i="11" s="1"/>
  <c r="AT5" i="11"/>
  <c r="BH106" i="10" l="1"/>
  <c r="BJ71" i="10"/>
  <c r="BH71" i="10"/>
  <c r="BI106" i="10"/>
  <c r="BK71" i="10"/>
  <c r="BK53" i="10"/>
  <c r="BK105" i="10"/>
  <c r="BK30" i="10"/>
  <c r="BK59" i="10"/>
  <c r="BK13" i="10"/>
  <c r="BK35" i="10"/>
  <c r="BH105" i="10"/>
  <c r="BK63" i="10"/>
  <c r="BK39" i="10"/>
  <c r="BK21" i="10"/>
  <c r="BK67" i="10"/>
  <c r="BK44" i="10"/>
  <c r="BK89" i="10"/>
  <c r="BK49" i="10"/>
  <c r="BK101" i="10"/>
  <c r="AV14" i="11"/>
  <c r="AW11" i="11"/>
  <c r="AV5" i="11"/>
  <c r="AU14" i="11"/>
  <c r="AU5" i="11"/>
  <c r="AS4" i="11"/>
  <c r="AQ4" i="11"/>
  <c r="AT4" i="11"/>
  <c r="AR4" i="11"/>
  <c r="AU4" i="11"/>
  <c r="BG105" i="10" l="1"/>
  <c r="BI72" i="10"/>
  <c r="BJ106" i="10"/>
  <c r="BH72" i="10"/>
  <c r="BI71" i="10"/>
  <c r="BJ105" i="10"/>
  <c r="BJ72" i="10"/>
  <c r="BG71" i="10"/>
  <c r="BG72" i="10"/>
  <c r="BI105" i="10"/>
  <c r="BG106" i="10"/>
  <c r="BI46" i="10"/>
  <c r="BG54" i="10"/>
  <c r="BG53" i="10"/>
  <c r="BH14" i="10"/>
  <c r="BH13" i="10"/>
  <c r="BI35" i="10"/>
  <c r="BI36" i="10"/>
  <c r="BH89" i="10"/>
  <c r="BH90" i="10"/>
  <c r="BJ22" i="10"/>
  <c r="BJ21" i="10"/>
  <c r="BG64" i="10"/>
  <c r="BG63" i="10"/>
  <c r="BJ102" i="10"/>
  <c r="BJ101" i="10"/>
  <c r="BG31" i="10"/>
  <c r="BG30" i="10"/>
  <c r="BJ44" i="10"/>
  <c r="BJ45" i="10"/>
  <c r="BG102" i="10"/>
  <c r="BG101" i="10"/>
  <c r="BJ68" i="10"/>
  <c r="BJ67" i="10"/>
  <c r="BH59" i="10"/>
  <c r="BH60" i="10"/>
  <c r="BH45" i="10"/>
  <c r="BH44" i="10"/>
  <c r="BI59" i="10"/>
  <c r="BI60" i="10"/>
  <c r="BG36" i="10"/>
  <c r="BG35" i="10"/>
  <c r="BJ49" i="10"/>
  <c r="BJ50" i="10"/>
  <c r="BH63" i="10"/>
  <c r="BH64" i="10"/>
  <c r="BI102" i="10"/>
  <c r="BI101" i="10"/>
  <c r="BG50" i="10"/>
  <c r="BG49" i="10"/>
  <c r="BJ64" i="10"/>
  <c r="BJ63" i="10"/>
  <c r="BG90" i="10"/>
  <c r="BG89" i="10"/>
  <c r="BI31" i="10"/>
  <c r="BI30" i="10"/>
  <c r="BH67" i="10"/>
  <c r="BH68" i="10"/>
  <c r="BJ13" i="10"/>
  <c r="BJ14" i="10"/>
  <c r="BH35" i="10"/>
  <c r="BH36" i="10"/>
  <c r="BI50" i="10"/>
  <c r="BI49" i="10"/>
  <c r="BG14" i="10"/>
  <c r="BG13" i="10"/>
  <c r="BJ36" i="10"/>
  <c r="BJ35" i="10"/>
  <c r="BG45" i="10"/>
  <c r="BG44" i="10"/>
  <c r="BJ60" i="10"/>
  <c r="BJ59" i="10"/>
  <c r="BI44" i="10"/>
  <c r="BI45" i="10"/>
  <c r="BG22" i="10"/>
  <c r="BG21" i="10"/>
  <c r="BH40" i="10"/>
  <c r="BH39" i="10"/>
  <c r="BI54" i="10"/>
  <c r="BI53" i="10"/>
  <c r="BI14" i="10"/>
  <c r="BI13" i="10"/>
  <c r="BH54" i="10"/>
  <c r="BH53" i="10"/>
  <c r="BI67" i="10"/>
  <c r="BI68" i="10"/>
  <c r="BH102" i="10"/>
  <c r="BH101" i="10"/>
  <c r="BJ30" i="10"/>
  <c r="BJ31" i="10"/>
  <c r="BG68" i="10"/>
  <c r="BG67" i="10"/>
  <c r="BI22" i="10"/>
  <c r="BI21" i="10"/>
  <c r="BH31" i="10"/>
  <c r="BH30" i="10"/>
  <c r="BH22" i="10"/>
  <c r="BH21" i="10"/>
  <c r="BI40" i="10"/>
  <c r="BI39" i="10"/>
  <c r="BH50" i="10"/>
  <c r="BH49" i="10"/>
  <c r="BI63" i="10"/>
  <c r="BI64" i="10"/>
  <c r="BG39" i="10"/>
  <c r="BG40" i="10"/>
  <c r="BJ53" i="10"/>
  <c r="BJ54" i="10"/>
  <c r="BJ40" i="10"/>
  <c r="BJ39" i="10"/>
  <c r="BG59" i="10"/>
  <c r="BG60" i="10"/>
  <c r="BJ89" i="10"/>
  <c r="BJ90" i="10"/>
  <c r="BI90" i="10"/>
  <c r="BI89" i="10"/>
  <c r="BH46" i="10"/>
  <c r="BG46" i="10"/>
  <c r="BJ46" i="10"/>
  <c r="BK46" i="10"/>
  <c r="BI84" i="10"/>
  <c r="BK84" i="10"/>
  <c r="BK85" i="10" s="1"/>
  <c r="BI32" i="10"/>
  <c r="BJ23" i="10"/>
  <c r="BJ25" i="10"/>
  <c r="BG32" i="10"/>
  <c r="BJ84" i="10"/>
  <c r="BH80" i="10"/>
  <c r="BH16" i="10"/>
  <c r="BI16" i="10"/>
  <c r="BG16" i="10"/>
  <c r="BK16" i="10"/>
  <c r="BK17" i="10" s="1"/>
  <c r="BH76" i="10"/>
  <c r="BI76" i="10"/>
  <c r="BI80" i="10"/>
  <c r="BG80" i="10"/>
  <c r="BK80" i="10"/>
  <c r="BK81" i="10" s="1"/>
  <c r="BJ55" i="10"/>
  <c r="BG76" i="10"/>
  <c r="BJ16" i="10"/>
  <c r="BK55" i="10"/>
  <c r="BJ32" i="10"/>
  <c r="BH25" i="10"/>
  <c r="BH23" i="10"/>
  <c r="BH32" i="10"/>
  <c r="BH55" i="10"/>
  <c r="BJ76" i="10"/>
  <c r="BH84" i="10"/>
  <c r="BG84" i="10"/>
  <c r="BK32" i="10"/>
  <c r="BI55" i="10"/>
  <c r="BG55" i="10"/>
  <c r="BI23" i="10"/>
  <c r="BI25" i="10"/>
  <c r="BG23" i="10"/>
  <c r="BG25" i="10"/>
  <c r="BK25" i="10"/>
  <c r="BK26" i="10" s="1"/>
  <c r="BK23" i="10"/>
  <c r="BK76" i="10"/>
  <c r="BK77" i="10" s="1"/>
  <c r="BJ80" i="10"/>
  <c r="AS15" i="11"/>
  <c r="AR15" i="11"/>
  <c r="AQ15" i="11"/>
  <c r="AU15" i="11"/>
  <c r="AT15" i="11"/>
  <c r="AW14" i="11"/>
  <c r="AX11" i="11"/>
  <c r="AW5" i="11"/>
  <c r="BJ82" i="10" l="1"/>
  <c r="BJ81" i="10"/>
  <c r="BG26" i="10"/>
  <c r="BG27" i="10"/>
  <c r="BI26" i="10"/>
  <c r="BI27" i="10"/>
  <c r="BG85" i="10"/>
  <c r="BG86" i="10"/>
  <c r="BH86" i="10"/>
  <c r="BH85" i="10"/>
  <c r="BJ96" i="10"/>
  <c r="BJ77" i="10"/>
  <c r="BJ78" i="10"/>
  <c r="BH26" i="10"/>
  <c r="BH27" i="10"/>
  <c r="BJ18" i="10"/>
  <c r="BJ17" i="10"/>
  <c r="BG78" i="10"/>
  <c r="BG77" i="10"/>
  <c r="BG82" i="10"/>
  <c r="BG81" i="10"/>
  <c r="BI82" i="10"/>
  <c r="BI81" i="10"/>
  <c r="BI77" i="10"/>
  <c r="BI78" i="10"/>
  <c r="BH96" i="10"/>
  <c r="BH77" i="10"/>
  <c r="BH78" i="10"/>
  <c r="BG17" i="10"/>
  <c r="BG18" i="10"/>
  <c r="BI17" i="10"/>
  <c r="BI18" i="10"/>
  <c r="BH17" i="10"/>
  <c r="BH18" i="10"/>
  <c r="BH82" i="10"/>
  <c r="BH81" i="10"/>
  <c r="BJ92" i="10"/>
  <c r="BJ86" i="10"/>
  <c r="BJ85" i="10"/>
  <c r="BJ27" i="10"/>
  <c r="BJ26" i="10"/>
  <c r="BI92" i="10"/>
  <c r="BI86" i="10"/>
  <c r="BI85" i="10"/>
  <c r="BK92" i="10"/>
  <c r="BK93" i="10" s="1"/>
  <c r="BG96" i="10"/>
  <c r="BI96" i="10"/>
  <c r="BH92" i="10"/>
  <c r="BK96" i="10"/>
  <c r="BK97" i="10" s="1"/>
  <c r="BG92" i="10"/>
  <c r="AX14" i="11"/>
  <c r="AY11" i="11"/>
  <c r="AX5" i="11"/>
  <c r="BG93" i="10" l="1"/>
  <c r="BG94" i="10"/>
  <c r="BH94" i="10"/>
  <c r="BH93" i="10"/>
  <c r="BI97" i="10"/>
  <c r="BI98" i="10"/>
  <c r="BG98" i="10"/>
  <c r="BG97" i="10"/>
  <c r="BI94" i="10"/>
  <c r="BI93" i="10"/>
  <c r="BJ94" i="10"/>
  <c r="BJ93" i="10"/>
  <c r="BH97" i="10"/>
  <c r="BH98" i="10"/>
  <c r="BJ97" i="10"/>
  <c r="BJ98" i="10"/>
  <c r="AY14" i="11"/>
  <c r="BA11" i="11"/>
  <c r="AY5" i="11"/>
  <c r="AZ11" i="11"/>
  <c r="AV3" i="11" s="1"/>
  <c r="AZ14" i="11" l="1"/>
  <c r="AY4" i="11"/>
  <c r="AW4" i="11"/>
  <c r="AV4" i="11"/>
  <c r="AZ5" i="11"/>
  <c r="AZ4" i="11"/>
  <c r="AX4" i="11"/>
  <c r="BA14" i="11"/>
  <c r="BA5" i="11"/>
  <c r="BB11" i="11"/>
  <c r="BB14" i="11" l="1"/>
  <c r="BC11" i="11"/>
  <c r="BB5" i="11"/>
  <c r="AY15" i="11"/>
  <c r="AX15" i="11"/>
  <c r="AW15" i="11"/>
  <c r="AV15" i="11"/>
  <c r="AZ15" i="11"/>
  <c r="BC14" i="11" l="1"/>
  <c r="BD11" i="11"/>
  <c r="BC5" i="11"/>
  <c r="BD14" i="11" l="1"/>
  <c r="BD5" i="11"/>
  <c r="BF11" i="11"/>
  <c r="BE11" i="11"/>
  <c r="BA3" i="11" s="1"/>
  <c r="BE14" i="11" l="1"/>
  <c r="BE5" i="11"/>
  <c r="BE4" i="11"/>
  <c r="BC4" i="11"/>
  <c r="BB4" i="11"/>
  <c r="BD4" i="11"/>
  <c r="BA4" i="11"/>
  <c r="BF14" i="11"/>
  <c r="BG11" i="11"/>
  <c r="BF5" i="11"/>
  <c r="BG14" i="11" l="1"/>
  <c r="BG5" i="11"/>
  <c r="BH11" i="11"/>
  <c r="BE15" i="11"/>
  <c r="BD15" i="11"/>
  <c r="BC15" i="11"/>
  <c r="BB15" i="11"/>
  <c r="BA15" i="11"/>
  <c r="BH14" i="11" l="1"/>
  <c r="BI11" i="11"/>
  <c r="BH5" i="11"/>
  <c r="BI14" i="11" l="1"/>
  <c r="BJ11" i="11"/>
  <c r="BF3" i="11" s="1"/>
  <c r="BK11" i="11"/>
  <c r="BI5" i="11"/>
  <c r="BK14" i="11" l="1"/>
  <c r="BK5" i="11"/>
  <c r="BL11" i="11"/>
  <c r="BJ14" i="11"/>
  <c r="BI4" i="11"/>
  <c r="BH4" i="11"/>
  <c r="BJ5" i="11"/>
  <c r="BF4" i="11"/>
  <c r="BJ4" i="11"/>
  <c r="BG4" i="11"/>
  <c r="BL14" i="11" l="1"/>
  <c r="BM11" i="11"/>
  <c r="BL5" i="11"/>
  <c r="BJ15" i="11"/>
  <c r="BI15" i="11"/>
  <c r="BH15" i="11"/>
  <c r="BG15" i="11"/>
  <c r="BF15" i="11"/>
  <c r="BM14" i="11" l="1"/>
  <c r="BM5" i="11"/>
  <c r="BN11" i="11"/>
  <c r="BN14" i="11" l="1"/>
  <c r="BO11" i="11"/>
  <c r="BK3" i="11" s="1"/>
  <c r="BP11" i="11"/>
  <c r="BN5" i="11"/>
  <c r="BP14" i="11" l="1"/>
  <c r="BQ11" i="11"/>
  <c r="BP5" i="11"/>
  <c r="BO14" i="11"/>
  <c r="BK4" i="11"/>
  <c r="BO4" i="11"/>
  <c r="BN4" i="11"/>
  <c r="BL4" i="11"/>
  <c r="BO5" i="11"/>
  <c r="BM4" i="11"/>
  <c r="BQ14" i="11" l="1"/>
  <c r="BQ5" i="11"/>
  <c r="BR11" i="11"/>
  <c r="BK15" i="11"/>
  <c r="BO15" i="11"/>
  <c r="BN15" i="11"/>
  <c r="BM15" i="11"/>
  <c r="BL15" i="11"/>
  <c r="BR14" i="11" l="1"/>
  <c r="BR5" i="11"/>
  <c r="BS11" i="11"/>
  <c r="BU11" i="11" s="1"/>
  <c r="BU5" i="11" l="1"/>
  <c r="BV11" i="11"/>
  <c r="BU14" i="11"/>
  <c r="BS14" i="11"/>
  <c r="BS5" i="11"/>
  <c r="BT11" i="11"/>
  <c r="BP3" i="11" s="1"/>
  <c r="BV5" i="11" l="1"/>
  <c r="BW11" i="11"/>
  <c r="BV14" i="11"/>
  <c r="BT14" i="11"/>
  <c r="BQ4" i="11"/>
  <c r="BT4" i="11"/>
  <c r="BT5" i="11"/>
  <c r="BR4" i="11"/>
  <c r="BP4" i="11"/>
  <c r="BS4" i="11"/>
  <c r="BW5" i="11" l="1"/>
  <c r="BX11" i="11"/>
  <c r="BW14" i="11"/>
  <c r="BQ15" i="11"/>
  <c r="BP15" i="11"/>
  <c r="BT15" i="11"/>
  <c r="BS15" i="11"/>
  <c r="BR15" i="11"/>
  <c r="BX14" i="11" l="1"/>
  <c r="BX5" i="11"/>
  <c r="BY11" i="11"/>
  <c r="BZ11" i="11"/>
  <c r="BZ14" i="11" l="1"/>
  <c r="BZ5" i="11"/>
  <c r="CA11" i="11"/>
  <c r="BY14" i="11"/>
  <c r="BW4" i="11"/>
  <c r="BX4" i="11"/>
  <c r="BY5" i="11"/>
  <c r="BY4" i="11"/>
  <c r="BV4" i="11"/>
  <c r="BU4" i="11"/>
  <c r="BU3" i="11"/>
  <c r="BY15" i="11" l="1"/>
  <c r="BX15" i="11"/>
  <c r="BU15" i="11"/>
  <c r="BV15" i="11"/>
  <c r="BW15" i="11"/>
  <c r="CA5" i="11"/>
  <c r="CB11" i="11"/>
  <c r="CA14" i="11"/>
  <c r="CB5" i="11" l="1"/>
  <c r="CC11" i="11"/>
  <c r="CB14" i="11"/>
  <c r="CC5" i="11" l="1"/>
  <c r="CD11" i="11"/>
  <c r="CE11" i="11"/>
  <c r="CC14" i="11"/>
  <c r="CE14" i="11" l="1"/>
  <c r="CE5" i="11"/>
  <c r="CF11" i="11"/>
  <c r="CD14" i="11"/>
  <c r="CC4" i="11"/>
  <c r="CD5" i="11"/>
  <c r="CD4" i="11"/>
  <c r="BZ4" i="11"/>
  <c r="BZ3" i="11"/>
  <c r="CB4" i="11"/>
  <c r="CA4" i="11"/>
  <c r="BZ15" i="11" l="1"/>
  <c r="CA15" i="11"/>
  <c r="CC15" i="11"/>
  <c r="CD15" i="11"/>
  <c r="CB15" i="11"/>
  <c r="CF14" i="11"/>
  <c r="CF5" i="11"/>
  <c r="CG11" i="11"/>
  <c r="CG5" i="11" l="1"/>
  <c r="CH11" i="11"/>
  <c r="CG14" i="11"/>
  <c r="CH5" i="11" l="1"/>
  <c r="CI11" i="11"/>
  <c r="CJ11" i="11"/>
  <c r="CH14" i="11"/>
  <c r="CJ14" i="11" l="1"/>
  <c r="CJ5" i="11"/>
  <c r="CK11" i="11"/>
  <c r="CE3" i="11"/>
  <c r="CI5" i="11"/>
  <c r="CE4" i="11"/>
  <c r="CI4" i="11"/>
  <c r="CI14" i="11"/>
  <c r="CH4" i="11"/>
  <c r="CG4" i="11"/>
  <c r="CF4" i="11"/>
  <c r="CK14" i="11" l="1"/>
  <c r="CK5" i="11"/>
  <c r="CL11" i="11"/>
  <c r="CE15" i="11"/>
  <c r="CF15" i="11"/>
  <c r="CH15" i="11"/>
  <c r="CI15" i="11"/>
  <c r="CG15" i="11"/>
  <c r="CL5" i="11" l="1"/>
  <c r="CM11" i="11"/>
  <c r="CL14" i="11"/>
  <c r="CM5" i="11" l="1"/>
  <c r="CN11" i="11"/>
  <c r="CO11" i="11"/>
  <c r="CM14" i="11"/>
  <c r="CO5" i="11" l="1"/>
  <c r="CP11" i="11"/>
  <c r="CO14" i="11"/>
  <c r="CN5" i="11"/>
  <c r="CN14" i="11"/>
  <c r="CK4" i="11"/>
  <c r="CJ4" i="11"/>
  <c r="CN4" i="11"/>
  <c r="CM4" i="11"/>
  <c r="CJ3" i="11"/>
  <c r="CL4" i="11"/>
  <c r="CK15" i="11" l="1"/>
  <c r="CL15" i="11"/>
  <c r="CM15" i="11"/>
  <c r="CN15" i="11"/>
  <c r="CJ15" i="11"/>
  <c r="CP14" i="11"/>
  <c r="CP5" i="11"/>
  <c r="CQ11" i="11"/>
  <c r="CQ14" i="11" l="1"/>
  <c r="CQ5" i="11"/>
  <c r="CR11" i="11"/>
  <c r="CT11" i="11" l="1"/>
  <c r="CR5" i="11"/>
  <c r="CS11" i="11"/>
  <c r="CR14" i="11"/>
  <c r="CS5" i="11" l="1"/>
  <c r="CO4" i="11"/>
  <c r="CP4" i="11"/>
  <c r="CQ4" i="11"/>
  <c r="CS14" i="11"/>
  <c r="CS4" i="11"/>
  <c r="CR4" i="11"/>
  <c r="CO3" i="11"/>
  <c r="CT5" i="11"/>
  <c r="CU11" i="11"/>
  <c r="CT14" i="11"/>
  <c r="CQ15" i="11" l="1"/>
  <c r="CR15" i="11"/>
  <c r="CP15" i="11"/>
  <c r="CS15" i="11"/>
  <c r="CO15" i="11"/>
  <c r="CU5" i="11"/>
  <c r="CV11" i="11"/>
  <c r="CU14" i="11"/>
  <c r="CV14" i="11" l="1"/>
  <c r="CV5" i="11"/>
  <c r="CW11" i="11"/>
  <c r="CW14" i="11" l="1"/>
  <c r="CW5" i="11"/>
  <c r="CX11" i="11"/>
  <c r="CY11" i="11"/>
  <c r="CY5" i="11" l="1"/>
  <c r="CZ11" i="11"/>
  <c r="CY14" i="11"/>
  <c r="CX14" i="11"/>
  <c r="CU4" i="11"/>
  <c r="CW4" i="11"/>
  <c r="CV4" i="11"/>
  <c r="CX5" i="11"/>
  <c r="CX4" i="11"/>
  <c r="CT3" i="11"/>
  <c r="CT4" i="11"/>
  <c r="CW15" i="11" l="1"/>
  <c r="CX15" i="11"/>
  <c r="CU15" i="11"/>
  <c r="CV15" i="11"/>
  <c r="CT15" i="11"/>
  <c r="CZ5" i="11"/>
  <c r="DA11" i="11"/>
  <c r="CZ14" i="11"/>
  <c r="DA5" i="11" l="1"/>
  <c r="DB11" i="11"/>
  <c r="DA14" i="11"/>
  <c r="DB14" i="11" l="1"/>
  <c r="DB5" i="11"/>
  <c r="DC11" i="11"/>
  <c r="DD11" i="11"/>
  <c r="DD5" i="11" l="1"/>
  <c r="DE11" i="11"/>
  <c r="DD14" i="11"/>
  <c r="DC14" i="11"/>
  <c r="DA4" i="11"/>
  <c r="DB4" i="11"/>
  <c r="DC5" i="11"/>
  <c r="DC4" i="11"/>
  <c r="CZ4" i="11"/>
  <c r="CY3" i="11"/>
  <c r="CY4" i="11"/>
  <c r="DC15" i="11" l="1"/>
  <c r="CZ15" i="11"/>
  <c r="DA15" i="11"/>
  <c r="CY15" i="11"/>
  <c r="DB15" i="11"/>
  <c r="DE5" i="11"/>
  <c r="DF11" i="11"/>
  <c r="DE14" i="11"/>
  <c r="DF5" i="11" l="1"/>
  <c r="DG11" i="11"/>
  <c r="DF14" i="11"/>
  <c r="DG5" i="11" l="1"/>
  <c r="DH11" i="11"/>
  <c r="DI11" i="11"/>
  <c r="DG14" i="11"/>
  <c r="DI14" i="11" l="1"/>
  <c r="DI5" i="11"/>
  <c r="DJ11" i="11"/>
  <c r="DH14" i="11"/>
  <c r="DG4" i="11"/>
  <c r="DH5" i="11"/>
  <c r="DH4" i="11"/>
  <c r="DD4" i="11"/>
  <c r="DD3" i="11"/>
  <c r="DF4" i="11"/>
  <c r="DE4" i="11"/>
  <c r="DD15" i="11" l="1"/>
  <c r="DH15" i="11"/>
  <c r="DE15" i="11"/>
  <c r="DF15" i="11"/>
  <c r="DG15" i="11"/>
  <c r="DJ14" i="11"/>
  <c r="DJ5" i="11"/>
  <c r="DK11" i="11"/>
  <c r="DK5" i="11" l="1"/>
  <c r="DL11" i="11"/>
  <c r="DK14" i="11"/>
  <c r="DL5" i="11" l="1"/>
  <c r="DM11" i="11"/>
  <c r="DN11" i="11"/>
  <c r="DL14" i="11"/>
  <c r="DN14" i="11" l="1"/>
  <c r="DN5" i="11"/>
  <c r="DO11" i="11"/>
  <c r="DM5" i="11"/>
  <c r="DM4" i="11"/>
  <c r="DM14" i="11"/>
  <c r="DI4" i="11"/>
  <c r="DI3" i="11"/>
  <c r="DJ4" i="11"/>
  <c r="DL4" i="11"/>
  <c r="DK4" i="11"/>
  <c r="DO14" i="11" l="1"/>
  <c r="DO5" i="11"/>
  <c r="DP11" i="11"/>
  <c r="DI15" i="11"/>
  <c r="DJ15" i="11"/>
  <c r="DK15" i="11"/>
  <c r="DM15" i="11"/>
  <c r="DL15" i="11"/>
  <c r="DP14" i="11" l="1"/>
  <c r="DP5" i="11"/>
  <c r="DQ11" i="11"/>
  <c r="DQ5" i="11" l="1"/>
  <c r="DR11" i="11"/>
  <c r="DS11" i="11"/>
  <c r="DQ14" i="11"/>
  <c r="DS5" i="11" l="1"/>
  <c r="DT11" i="11"/>
  <c r="DS14" i="11"/>
  <c r="DR5" i="11"/>
  <c r="DN4" i="11"/>
  <c r="DR14" i="11"/>
  <c r="DR4" i="11"/>
  <c r="DQ4" i="11"/>
  <c r="DP4" i="11"/>
  <c r="DN3" i="11"/>
  <c r="DO4" i="11"/>
  <c r="DT14" i="11" l="1"/>
  <c r="DT5" i="11"/>
  <c r="DU11" i="11"/>
  <c r="DO15" i="11"/>
  <c r="DP15" i="11"/>
  <c r="DR15" i="11"/>
  <c r="DN15" i="11"/>
  <c r="DQ15" i="11"/>
  <c r="DU14" i="11" l="1"/>
  <c r="DU5" i="11"/>
  <c r="DV11" i="11"/>
  <c r="DX11" i="11" l="1"/>
  <c r="DV5" i="11"/>
  <c r="DW11" i="11"/>
  <c r="DV14" i="11"/>
  <c r="DW5" i="11" l="1"/>
  <c r="DW14" i="11"/>
  <c r="DS4" i="11"/>
  <c r="DT4" i="11"/>
  <c r="DW4" i="11"/>
  <c r="DU4" i="11"/>
  <c r="DS3" i="11"/>
  <c r="DV4" i="11"/>
  <c r="DX5" i="11"/>
  <c r="DY11" i="11"/>
  <c r="DX14" i="11"/>
  <c r="DY5" i="11" l="1"/>
  <c r="DZ11" i="11"/>
  <c r="DY14" i="11"/>
  <c r="DU15" i="11"/>
  <c r="DV15" i="11"/>
  <c r="DS15" i="11"/>
  <c r="DW15" i="11"/>
  <c r="DT15" i="11"/>
  <c r="DZ14" i="11" l="1"/>
  <c r="DZ5" i="11"/>
  <c r="EA11" i="11"/>
  <c r="EA14" i="11" l="1"/>
  <c r="EA5" i="11"/>
  <c r="EB11" i="11"/>
  <c r="EC11" i="11"/>
  <c r="EC5" i="11" l="1"/>
  <c r="ED11" i="11"/>
  <c r="EC14" i="11"/>
  <c r="DY4" i="11"/>
  <c r="DZ4" i="11"/>
  <c r="EB5" i="11"/>
  <c r="EB14" i="11"/>
  <c r="DX3" i="11"/>
  <c r="DX4" i="11"/>
  <c r="EB4" i="11"/>
  <c r="EA4" i="11"/>
  <c r="ED5" i="11" l="1"/>
  <c r="EE11" i="11"/>
  <c r="ED14" i="11"/>
  <c r="EA15" i="11"/>
  <c r="EB15" i="11"/>
  <c r="DZ15" i="11"/>
  <c r="DX15" i="11"/>
  <c r="DY15" i="11"/>
  <c r="EE5" i="11" l="1"/>
  <c r="EF11" i="11"/>
  <c r="EE14" i="11"/>
  <c r="EF14" i="11" l="1"/>
  <c r="EF5" i="11"/>
  <c r="EG11" i="11"/>
  <c r="EH11" i="11"/>
  <c r="EH14" i="11" l="1"/>
  <c r="EH5" i="11"/>
  <c r="EI11" i="11"/>
  <c r="EG14" i="11"/>
  <c r="EE4" i="11"/>
  <c r="EF4" i="11"/>
  <c r="EG5" i="11"/>
  <c r="ED4" i="11"/>
  <c r="EC3" i="11"/>
  <c r="EG4" i="11"/>
  <c r="EC4" i="11"/>
  <c r="EI5" i="11" l="1"/>
  <c r="EJ11" i="11"/>
  <c r="EI14" i="11"/>
  <c r="EG15" i="11"/>
  <c r="EC15" i="11"/>
  <c r="EE15" i="11"/>
  <c r="EF15" i="11"/>
  <c r="ED15" i="11"/>
  <c r="EJ5" i="11" l="1"/>
  <c r="EK11" i="11"/>
  <c r="EJ14" i="11"/>
  <c r="EK5" i="11" l="1"/>
  <c r="EL11" i="11"/>
  <c r="EM11" i="11"/>
  <c r="EK14" i="11"/>
  <c r="EM14" i="11" l="1"/>
  <c r="EM5" i="11"/>
  <c r="EN11" i="11"/>
  <c r="EL14" i="11"/>
  <c r="EK4" i="11"/>
  <c r="EL5" i="11"/>
  <c r="EL4" i="11"/>
  <c r="EH3" i="11"/>
  <c r="EH4" i="11"/>
  <c r="EI4" i="11"/>
  <c r="EJ4" i="11"/>
  <c r="EH15" i="11" l="1"/>
  <c r="EJ15" i="11"/>
  <c r="EK15" i="11"/>
  <c r="EI15" i="11"/>
  <c r="EL15" i="11"/>
  <c r="EN5" i="11"/>
  <c r="EO11" i="11"/>
  <c r="EN14" i="11"/>
  <c r="EO5" i="11" l="1"/>
  <c r="EP11" i="11"/>
  <c r="EO14" i="11"/>
  <c r="EP5" i="11" l="1"/>
  <c r="EQ11" i="11"/>
  <c r="ER11" i="11"/>
  <c r="EP14" i="11"/>
  <c r="ER14" i="11" l="1"/>
  <c r="ER5" i="11"/>
  <c r="ES11" i="11"/>
  <c r="EQ5" i="11"/>
  <c r="EQ4" i="11"/>
  <c r="EQ14" i="11"/>
  <c r="EM4" i="11"/>
  <c r="EM3" i="11"/>
  <c r="EP4" i="11"/>
  <c r="EN4" i="11"/>
  <c r="EO4" i="11"/>
  <c r="ES14" i="11" l="1"/>
  <c r="ES5" i="11"/>
  <c r="ET11" i="11"/>
  <c r="EM15" i="11"/>
  <c r="EN15" i="11"/>
  <c r="EO15" i="11"/>
  <c r="EP15" i="11"/>
  <c r="EQ15" i="11"/>
  <c r="ET14" i="11" l="1"/>
  <c r="ET5" i="11"/>
  <c r="EU11" i="11"/>
  <c r="EU5" i="11" l="1"/>
  <c r="EV11" i="11"/>
  <c r="EW11" i="11"/>
  <c r="EU14" i="11"/>
  <c r="EW5" i="11" l="1"/>
  <c r="EX11" i="11"/>
  <c r="EW14" i="11"/>
  <c r="EV5" i="11"/>
  <c r="ER4" i="11"/>
  <c r="EV14" i="11"/>
  <c r="ES4" i="11"/>
  <c r="EV4" i="11"/>
  <c r="EU4" i="11"/>
  <c r="ET4" i="11"/>
  <c r="ER3" i="11"/>
  <c r="EX14" i="11" l="1"/>
  <c r="EX5" i="11"/>
  <c r="EY11" i="11"/>
  <c r="ES15" i="11"/>
  <c r="ET15" i="11"/>
  <c r="ER15" i="11"/>
  <c r="EU15" i="11"/>
  <c r="EV15" i="11"/>
  <c r="EY14" i="11" l="1"/>
  <c r="EY5" i="11"/>
  <c r="EZ11" i="11"/>
  <c r="FB11" i="11" l="1"/>
  <c r="EZ14" i="11"/>
  <c r="EZ5" i="11"/>
  <c r="FA11" i="11"/>
  <c r="FA5" i="11" l="1"/>
  <c r="EW4" i="11"/>
  <c r="EX4" i="11"/>
  <c r="FA14" i="11"/>
  <c r="EY4" i="11"/>
  <c r="EW3" i="11"/>
  <c r="FA4" i="11"/>
  <c r="EZ4" i="11"/>
  <c r="FB5" i="11"/>
  <c r="FC11" i="11"/>
  <c r="FB14" i="11"/>
  <c r="FC5" i="11" l="1"/>
  <c r="FD11" i="11"/>
  <c r="FC14" i="11"/>
  <c r="EY15" i="11"/>
  <c r="EZ15" i="11"/>
  <c r="EW15" i="11"/>
  <c r="EX15" i="11"/>
  <c r="FA15" i="11"/>
  <c r="FD14" i="11" l="1"/>
  <c r="FD5" i="11"/>
  <c r="FE11" i="11"/>
  <c r="FE14" i="11" l="1"/>
  <c r="FE5" i="11"/>
  <c r="FF11" i="11"/>
  <c r="FG11" i="11"/>
  <c r="FG5" i="11" l="1"/>
  <c r="FH11" i="11"/>
  <c r="FG14" i="11"/>
  <c r="FC4" i="11"/>
  <c r="FD4" i="11"/>
  <c r="FF5" i="11"/>
  <c r="FF14" i="11"/>
  <c r="FB3" i="11"/>
  <c r="FE4" i="11"/>
  <c r="FF4" i="11"/>
  <c r="FB4" i="11"/>
  <c r="FH5" i="11" l="1"/>
  <c r="FI11" i="11"/>
  <c r="FH14" i="11"/>
  <c r="FE15" i="11"/>
  <c r="FF15" i="11"/>
  <c r="FB15" i="11"/>
  <c r="FC15" i="11"/>
  <c r="FD15" i="11"/>
  <c r="FI5" i="11" l="1"/>
  <c r="FJ11" i="11"/>
  <c r="FI14" i="11"/>
  <c r="FJ14" i="11" l="1"/>
  <c r="FJ5" i="11"/>
  <c r="FK11" i="11"/>
  <c r="FK14" i="11" l="1"/>
  <c r="FI4" i="11"/>
  <c r="FJ4" i="11"/>
  <c r="FK5" i="11"/>
  <c r="FG4" i="11"/>
  <c r="FH4" i="11"/>
  <c r="FK4" i="11"/>
  <c r="FG3" i="11"/>
  <c r="FK15" i="11" l="1"/>
  <c r="FJ15" i="11"/>
  <c r="FG15" i="11"/>
  <c r="FH15" i="11"/>
  <c r="FI15" i="11"/>
  <c r="D4" i="1" l="1"/>
  <c r="P25" i="7" l="1"/>
  <c r="P46" i="5"/>
  <c r="P26" i="7"/>
  <c r="P24" i="7"/>
  <c r="P29" i="7"/>
  <c r="P27" i="7"/>
  <c r="P49" i="7" s="1"/>
  <c r="Q49" i="7" l="1"/>
  <c r="Q50" i="7" s="1"/>
  <c r="Q51" i="7" s="1"/>
  <c r="P50" i="7"/>
  <c r="Q46" i="5"/>
  <c r="P58" i="5"/>
  <c r="Q29" i="7"/>
  <c r="Q24" i="7"/>
  <c r="Q26" i="7"/>
  <c r="Q28" i="7"/>
  <c r="P52" i="7" l="1"/>
  <c r="P51" i="7"/>
  <c r="P60" i="5"/>
  <c r="AD44" i="5" s="1"/>
  <c r="AD21" i="6" s="1"/>
  <c r="AF108" i="5"/>
  <c r="Q58" i="5"/>
  <c r="Q32" i="7"/>
  <c r="Q34" i="7"/>
  <c r="Q20" i="7"/>
  <c r="G26" i="42"/>
  <c r="L27" i="42" s="1"/>
  <c r="AE44" i="5" l="1"/>
  <c r="AE21" i="6" l="1"/>
  <c r="AF44" i="5"/>
  <c r="AG44" i="5" s="1"/>
  <c r="AH44" i="5" s="1"/>
  <c r="AI44" i="5" s="1"/>
  <c r="AJ44" i="5" s="1"/>
  <c r="AK44" i="5" s="1"/>
  <c r="AG21" i="6" l="1"/>
  <c r="AF21" i="6"/>
  <c r="AH21" i="6" l="1"/>
  <c r="V93" i="5"/>
  <c r="V94" i="5"/>
  <c r="AI21" i="6" l="1"/>
  <c r="AA93" i="5"/>
  <c r="AA94" i="5"/>
  <c r="AJ21" i="6" l="1"/>
  <c r="AK21" i="6" s="1"/>
  <c r="AF93" i="5"/>
  <c r="AF94" i="5"/>
  <c r="P79" i="6" l="1"/>
  <c r="P80" i="6"/>
  <c r="Q80" i="6" l="1"/>
  <c r="Q79" i="6"/>
  <c r="Q11" i="5" l="1"/>
  <c r="R129" i="58" l="1"/>
  <c r="R130" i="58" s="1"/>
  <c r="Q16" i="5"/>
  <c r="Q27" i="5" l="1"/>
  <c r="U11" i="5"/>
  <c r="V11" i="5" l="1"/>
  <c r="AA11" i="5" l="1"/>
  <c r="AC80" i="6" l="1"/>
  <c r="AC11" i="5" l="1"/>
  <c r="AD80" i="6"/>
  <c r="AD11" i="5" l="1"/>
  <c r="AE80" i="6"/>
  <c r="AG80" i="6" s="1"/>
  <c r="AG11" i="5" l="1"/>
  <c r="AH80" i="6"/>
  <c r="AE11" i="5"/>
  <c r="AF80" i="6"/>
  <c r="Q60" i="5"/>
  <c r="P81" i="6"/>
  <c r="P84" i="6" s="1"/>
  <c r="AI80" i="6" l="1"/>
  <c r="AH11" i="5"/>
  <c r="AF11" i="5"/>
  <c r="Q81" i="6"/>
  <c r="Q84" i="6" s="1"/>
  <c r="P82" i="6"/>
  <c r="P130" i="58" s="1"/>
  <c r="Q69" i="5"/>
  <c r="Q71" i="5" s="1"/>
  <c r="AI11" i="5" l="1"/>
  <c r="AJ80" i="6"/>
  <c r="D19" i="64"/>
  <c r="Q82" i="6"/>
  <c r="AJ11" i="5" l="1"/>
  <c r="AK80" i="6"/>
  <c r="V129" i="58"/>
  <c r="R76" i="6"/>
  <c r="R190" i="59" s="1"/>
  <c r="V76" i="6"/>
  <c r="AK11" i="5" l="1"/>
  <c r="Q130" i="58"/>
  <c r="U18" i="5" l="1"/>
  <c r="V18" i="5" l="1"/>
  <c r="AA18" i="5" l="1"/>
  <c r="AC81" i="6" l="1"/>
  <c r="AC84" i="6" l="1"/>
  <c r="AC18" i="5"/>
  <c r="AC196" i="59"/>
  <c r="AD81" i="6"/>
  <c r="AD84" i="6" l="1"/>
  <c r="AD18" i="5"/>
  <c r="AD196" i="59"/>
  <c r="AE81" i="6"/>
  <c r="AG81" i="6" s="1"/>
  <c r="AG18" i="5" l="1"/>
  <c r="AH81" i="6"/>
  <c r="AG196" i="59"/>
  <c r="AG84" i="6"/>
  <c r="AE84" i="6"/>
  <c r="AE18" i="5"/>
  <c r="AE196" i="59"/>
  <c r="AF196" i="59" s="1"/>
  <c r="AF81" i="6"/>
  <c r="AF84" i="6" s="1"/>
  <c r="P99" i="3"/>
  <c r="P100" i="3" s="1"/>
  <c r="AH18" i="5" l="1"/>
  <c r="AI81" i="6"/>
  <c r="AH196" i="59"/>
  <c r="AH84" i="6"/>
  <c r="AF18" i="5"/>
  <c r="P95" i="58"/>
  <c r="Q99" i="3"/>
  <c r="Q100" i="3" s="1"/>
  <c r="AJ81" i="6" l="1"/>
  <c r="AI18" i="5"/>
  <c r="AI196" i="59"/>
  <c r="AI84" i="6"/>
  <c r="P97" i="58"/>
  <c r="Q95" i="58"/>
  <c r="AK81" i="6" l="1"/>
  <c r="AJ18" i="5"/>
  <c r="AJ196" i="59"/>
  <c r="AK196" i="59" s="1"/>
  <c r="AJ84" i="6"/>
  <c r="P98" i="58"/>
  <c r="P99" i="58"/>
  <c r="D11" i="64"/>
  <c r="Q97" i="58"/>
  <c r="AK18" i="5" l="1"/>
  <c r="AK84" i="6"/>
  <c r="D12" i="64"/>
  <c r="Q99" i="58"/>
  <c r="L142" i="42" s="1"/>
  <c r="L140" i="42" s="1"/>
  <c r="Q98" i="58"/>
  <c r="P78" i="5"/>
  <c r="P91" i="6"/>
  <c r="P121" i="5" l="1"/>
  <c r="P120" i="5"/>
  <c r="R35" i="6" l="1"/>
  <c r="S35" i="6" l="1"/>
  <c r="T35" i="6" l="1"/>
  <c r="U35" i="6" l="1"/>
  <c r="W35" i="6" s="1"/>
  <c r="V35" i="6" l="1"/>
  <c r="X35" i="6"/>
  <c r="Y35" i="6" s="1"/>
  <c r="Z35" i="6" s="1"/>
  <c r="AA35" i="6" l="1"/>
  <c r="AB35" i="6" l="1"/>
  <c r="AC35" i="6" l="1"/>
  <c r="AD35" i="6" l="1"/>
  <c r="AE35" i="6" l="1"/>
  <c r="AG35" i="6" s="1"/>
  <c r="AH35" i="6" l="1"/>
  <c r="AI35" i="6" s="1"/>
  <c r="AJ35" i="6" s="1"/>
  <c r="AF35" i="6"/>
  <c r="AK35" i="6" l="1"/>
  <c r="R52" i="6"/>
  <c r="P53" i="6"/>
  <c r="S52" i="6" l="1"/>
  <c r="T52" i="6" l="1"/>
  <c r="U52" i="6" l="1"/>
  <c r="W52" i="6" l="1"/>
  <c r="V52" i="6"/>
  <c r="X52" i="6" l="1"/>
  <c r="Y52" i="6" l="1"/>
  <c r="Z52" i="6" l="1"/>
  <c r="AB52" i="6" s="1"/>
  <c r="AA52" i="6"/>
  <c r="AC52" i="6" l="1"/>
  <c r="AD52" i="6" l="1"/>
  <c r="AE52" i="6" l="1"/>
  <c r="AG52" i="6" s="1"/>
  <c r="AH52" i="6" l="1"/>
  <c r="AF52" i="6"/>
  <c r="Q78" i="5"/>
  <c r="U81" i="5"/>
  <c r="Q119" i="5"/>
  <c r="Q91" i="6"/>
  <c r="AI52" i="6" l="1"/>
  <c r="Q120" i="5"/>
  <c r="Q122" i="5"/>
  <c r="AJ52" i="6" l="1"/>
  <c r="AK52" i="6" s="1"/>
  <c r="P34" i="6"/>
  <c r="P36" i="6" s="1"/>
  <c r="P115" i="5" l="1"/>
  <c r="P116" i="5" s="1"/>
  <c r="Q34" i="6"/>
  <c r="Q36" i="6" s="1"/>
  <c r="P90" i="6"/>
  <c r="P37" i="6"/>
  <c r="P92" i="6" l="1"/>
  <c r="Q37" i="6"/>
  <c r="Q115" i="5"/>
  <c r="Q116" i="5" s="1"/>
  <c r="P124" i="5" l="1"/>
  <c r="P93" i="6"/>
  <c r="P138" i="42" l="1"/>
  <c r="P136" i="42" s="1"/>
  <c r="P125" i="5"/>
  <c r="Q63" i="6"/>
  <c r="Q72" i="6" s="1"/>
  <c r="P72" i="6"/>
  <c r="Q90" i="6"/>
  <c r="Q92" i="6" l="1"/>
  <c r="Q93" i="6" s="1"/>
  <c r="P75" i="6"/>
  <c r="Q75" i="6"/>
  <c r="Q124" i="5" l="1"/>
  <c r="Q125" i="5" s="1"/>
  <c r="Q126" i="5" s="1"/>
  <c r="Q138" i="42"/>
  <c r="Q136" i="42" s="1"/>
  <c r="P77" i="6"/>
  <c r="Q77" i="6"/>
  <c r="Q85" i="6" l="1"/>
  <c r="Q87" i="6"/>
  <c r="P85" i="6"/>
  <c r="P16" i="42"/>
  <c r="P21" i="63"/>
  <c r="P22" i="63" l="1"/>
  <c r="P17" i="63"/>
  <c r="P17" i="42" s="1"/>
  <c r="Q21" i="63" l="1"/>
  <c r="R81" i="63" l="1"/>
  <c r="R82" i="63"/>
  <c r="Q85" i="3" l="1"/>
  <c r="Q83" i="58" l="1"/>
  <c r="Q71" i="58"/>
  <c r="Q74" i="3"/>
  <c r="Q70" i="3"/>
  <c r="Q81" i="3"/>
  <c r="Q79" i="58" l="1"/>
  <c r="Q67" i="58" l="1"/>
  <c r="V138" i="59" l="1"/>
  <c r="S143" i="59" l="1"/>
  <c r="R21" i="59"/>
  <c r="R145" i="59"/>
  <c r="R92" i="5" s="1"/>
  <c r="V90" i="5"/>
  <c r="R10" i="59" l="1"/>
  <c r="R11" i="59" s="1"/>
  <c r="R28" i="59"/>
  <c r="T143" i="59"/>
  <c r="S145" i="59"/>
  <c r="S92" i="5" s="1"/>
  <c r="R12" i="59" l="1"/>
  <c r="U143" i="59"/>
  <c r="U137" i="59"/>
  <c r="U21" i="59" s="1"/>
  <c r="T145" i="59"/>
  <c r="T92" i="5" s="1"/>
  <c r="U145" i="59" l="1"/>
  <c r="V137" i="59"/>
  <c r="W142" i="59" l="1"/>
  <c r="W137" i="59" s="1"/>
  <c r="V21" i="59"/>
  <c r="U92" i="5"/>
  <c r="V145" i="59"/>
  <c r="V92" i="5" s="1"/>
  <c r="R42" i="59" l="1"/>
  <c r="W85" i="59"/>
  <c r="W86" i="59" s="1"/>
  <c r="W91" i="5"/>
  <c r="X142" i="59"/>
  <c r="W21" i="59"/>
  <c r="V146" i="59"/>
  <c r="W145" i="59"/>
  <c r="X85" i="59" l="1"/>
  <c r="S42" i="59"/>
  <c r="X91" i="5"/>
  <c r="W195" i="59"/>
  <c r="W58" i="6"/>
  <c r="W92" i="5"/>
  <c r="X58" i="6" l="1"/>
  <c r="X195" i="59"/>
  <c r="S39" i="7" l="1"/>
  <c r="S44" i="7" l="1"/>
  <c r="V31" i="7"/>
  <c r="U23" i="7"/>
  <c r="U34" i="7"/>
  <c r="U35" i="7"/>
  <c r="U28" i="6" s="1"/>
  <c r="U39" i="7" s="1"/>
  <c r="U15" i="7"/>
  <c r="S49" i="7"/>
  <c r="V32" i="7" l="1"/>
  <c r="V28" i="6"/>
  <c r="V39" i="7" s="1"/>
  <c r="U41" i="5"/>
  <c r="U24" i="7"/>
  <c r="V23" i="7"/>
  <c r="U25" i="7"/>
  <c r="U27" i="7"/>
  <c r="U49" i="7" s="1"/>
  <c r="V49" i="7" s="1"/>
  <c r="U26" i="7"/>
  <c r="V34" i="7"/>
  <c r="U16" i="7"/>
  <c r="U17" i="7"/>
  <c r="U18" i="7"/>
  <c r="V15" i="7"/>
  <c r="U19" i="7"/>
  <c r="U44" i="7" s="1"/>
  <c r="V44" i="7" s="1"/>
  <c r="U33" i="5"/>
  <c r="V16" i="7" l="1"/>
  <c r="V33" i="5"/>
  <c r="V18" i="7"/>
  <c r="V20" i="7"/>
  <c r="V28" i="7"/>
  <c r="V24" i="7"/>
  <c r="V26" i="7"/>
  <c r="V41" i="5"/>
  <c r="W34" i="7" l="1"/>
  <c r="W23" i="7"/>
  <c r="W15" i="7"/>
  <c r="W35" i="7"/>
  <c r="W28" i="6" s="1"/>
  <c r="W39" i="7" s="1"/>
  <c r="X34" i="7" l="1"/>
  <c r="X35" i="7"/>
  <c r="X28" i="6" s="1"/>
  <c r="X39" i="7" s="1"/>
  <c r="X15" i="7"/>
  <c r="X23" i="7"/>
  <c r="W19" i="7"/>
  <c r="W44" i="7" s="1"/>
  <c r="W18" i="7"/>
  <c r="W16" i="7"/>
  <c r="W33" i="5"/>
  <c r="W17" i="7"/>
  <c r="W26" i="7"/>
  <c r="W24" i="7"/>
  <c r="W25" i="7"/>
  <c r="W41" i="5"/>
  <c r="W27" i="7"/>
  <c r="W49" i="7" s="1"/>
  <c r="X27" i="7" l="1"/>
  <c r="X49" i="7" s="1"/>
  <c r="X26" i="7"/>
  <c r="X25" i="7"/>
  <c r="X24" i="7"/>
  <c r="X41" i="5"/>
  <c r="Y23" i="7"/>
  <c r="Y35" i="7"/>
  <c r="Y28" i="6" s="1"/>
  <c r="Y39" i="7" s="1"/>
  <c r="Y34" i="7"/>
  <c r="Y15" i="7"/>
  <c r="X33" i="5"/>
  <c r="X18" i="7"/>
  <c r="X17" i="7"/>
  <c r="X19" i="7"/>
  <c r="X44" i="7" s="1"/>
  <c r="X16" i="7"/>
  <c r="Y33" i="5" l="1"/>
  <c r="Y19" i="7"/>
  <c r="Y44" i="7" s="1"/>
  <c r="Y18" i="7"/>
  <c r="Y16" i="7"/>
  <c r="Y17" i="7"/>
  <c r="Z15" i="7"/>
  <c r="Z23" i="7"/>
  <c r="AA31" i="7"/>
  <c r="Z35" i="7"/>
  <c r="Z28" i="6" s="1"/>
  <c r="Z39" i="7" s="1"/>
  <c r="Z34" i="7"/>
  <c r="Y26" i="7"/>
  <c r="Y27" i="7"/>
  <c r="Y49" i="7" s="1"/>
  <c r="Y25" i="7"/>
  <c r="Y41" i="5"/>
  <c r="Y24" i="7"/>
  <c r="AA32" i="7" l="1"/>
  <c r="AA28" i="6"/>
  <c r="AA39" i="7" s="1"/>
  <c r="AA23" i="7"/>
  <c r="Z26" i="7"/>
  <c r="Z27" i="7"/>
  <c r="Z49" i="7" s="1"/>
  <c r="AA49" i="7" s="1"/>
  <c r="Z41" i="5"/>
  <c r="Z24" i="7"/>
  <c r="Z25" i="7"/>
  <c r="AA34" i="7"/>
  <c r="AA15" i="7"/>
  <c r="Z16" i="7"/>
  <c r="Z19" i="7"/>
  <c r="Z44" i="7" s="1"/>
  <c r="AA44" i="7" s="1"/>
  <c r="Z17" i="7"/>
  <c r="Z33" i="5"/>
  <c r="Z18" i="7"/>
  <c r="AA18" i="7" l="1"/>
  <c r="AA33" i="5"/>
  <c r="AA16" i="7"/>
  <c r="AA20" i="7"/>
  <c r="AB20" i="7" s="1"/>
  <c r="AB15" i="7" s="1"/>
  <c r="AC34" i="7"/>
  <c r="AC35" i="7"/>
  <c r="AC28" i="6" s="1"/>
  <c r="AC39" i="7" s="1"/>
  <c r="AB35" i="7"/>
  <c r="AB28" i="6" s="1"/>
  <c r="AB39" i="7" s="1"/>
  <c r="AB34" i="7"/>
  <c r="AA28" i="7"/>
  <c r="AA24" i="7"/>
  <c r="AA26" i="7"/>
  <c r="AA41" i="5"/>
  <c r="AC20" i="7" l="1"/>
  <c r="AB28" i="7"/>
  <c r="AB23" i="7" s="1"/>
  <c r="AB19" i="7"/>
  <c r="AB44" i="7" s="1"/>
  <c r="AB33" i="5"/>
  <c r="AB17" i="7"/>
  <c r="AB18" i="7"/>
  <c r="AB16" i="7"/>
  <c r="AB41" i="5" l="1"/>
  <c r="AB24" i="7"/>
  <c r="AB25" i="7"/>
  <c r="AB27" i="7"/>
  <c r="AB49" i="7" s="1"/>
  <c r="AB26" i="7"/>
  <c r="AD20" i="7"/>
  <c r="AD15" i="7" s="1"/>
  <c r="AC28" i="7"/>
  <c r="AC23" i="7" s="1"/>
  <c r="AC15" i="7"/>
  <c r="AD35" i="7"/>
  <c r="AD28" i="6" s="1"/>
  <c r="AD39" i="7" s="1"/>
  <c r="AD34" i="7"/>
  <c r="Z108" i="58" l="1"/>
  <c r="AC26" i="7"/>
  <c r="AC41" i="5"/>
  <c r="AC25" i="7"/>
  <c r="AC24" i="7"/>
  <c r="AC27" i="7"/>
  <c r="AC49" i="7" s="1"/>
  <c r="AE20" i="7"/>
  <c r="AE28" i="7" s="1"/>
  <c r="AE23" i="7" s="1"/>
  <c r="AD28" i="7"/>
  <c r="AD23" i="7" s="1"/>
  <c r="AD26" i="7" s="1"/>
  <c r="AC33" i="5"/>
  <c r="AC17" i="7"/>
  <c r="AC18" i="7"/>
  <c r="AC19" i="7"/>
  <c r="AC44" i="7" s="1"/>
  <c r="AC16" i="7"/>
  <c r="AD33" i="5"/>
  <c r="AD18" i="7"/>
  <c r="AD16" i="7"/>
  <c r="AD17" i="7"/>
  <c r="AD19" i="7"/>
  <c r="AD44" i="7" s="1"/>
  <c r="AE35" i="7"/>
  <c r="AE28" i="6" s="1"/>
  <c r="AE39" i="7" s="1"/>
  <c r="AF31" i="7"/>
  <c r="AE34" i="7"/>
  <c r="AF32" i="7" l="1"/>
  <c r="AK34" i="7"/>
  <c r="AK32" i="7"/>
  <c r="AB108" i="58"/>
  <c r="AC108" i="58" s="1"/>
  <c r="AD108" i="58" s="1"/>
  <c r="AE108" i="58" s="1"/>
  <c r="AG108" i="58" s="1"/>
  <c r="AH108" i="58" s="1"/>
  <c r="AI108" i="58" s="1"/>
  <c r="AJ108" i="58" s="1"/>
  <c r="AE15" i="7"/>
  <c r="AE17" i="7" s="1"/>
  <c r="AD24" i="7"/>
  <c r="AD27" i="7"/>
  <c r="AD49" i="7" s="1"/>
  <c r="AD41" i="5"/>
  <c r="AD25" i="7"/>
  <c r="AF23" i="7"/>
  <c r="AE26" i="7"/>
  <c r="AE24" i="7"/>
  <c r="AE41" i="5"/>
  <c r="AE27" i="7"/>
  <c r="AE49" i="7" s="1"/>
  <c r="AE25" i="7"/>
  <c r="AF28" i="6"/>
  <c r="AF39" i="7" s="1"/>
  <c r="AF34" i="7"/>
  <c r="AF49" i="7" l="1"/>
  <c r="AF15" i="7"/>
  <c r="AF18" i="7" s="1"/>
  <c r="AE18" i="7"/>
  <c r="AE16" i="7"/>
  <c r="AE19" i="7"/>
  <c r="AE44" i="7" s="1"/>
  <c r="AF44" i="7" s="1"/>
  <c r="AE33" i="5"/>
  <c r="AF41" i="5"/>
  <c r="AF26" i="7"/>
  <c r="AF24" i="7"/>
  <c r="AF28" i="7"/>
  <c r="AF16" i="7" l="1"/>
  <c r="AF33" i="5"/>
  <c r="AF20" i="7"/>
  <c r="AG20" i="7" s="1"/>
  <c r="AH20" i="7" l="1"/>
  <c r="AG28" i="7"/>
  <c r="AG23" i="7" s="1"/>
  <c r="AG41" i="5" s="1"/>
  <c r="AG15" i="7"/>
  <c r="AG33" i="5" s="1"/>
  <c r="V190" i="59"/>
  <c r="AG17" i="7" l="1"/>
  <c r="AG19" i="7"/>
  <c r="AG44" i="7" s="1"/>
  <c r="AG16" i="7"/>
  <c r="AG18" i="7"/>
  <c r="AG24" i="7"/>
  <c r="AG25" i="7"/>
  <c r="AG26" i="7"/>
  <c r="AG27" i="7"/>
  <c r="AG49" i="7" s="1"/>
  <c r="AI20" i="7"/>
  <c r="AH28" i="7"/>
  <c r="AH23" i="7" s="1"/>
  <c r="AH41" i="5" s="1"/>
  <c r="AH15" i="7"/>
  <c r="AH33" i="5" s="1"/>
  <c r="Z90" i="5"/>
  <c r="X90" i="5"/>
  <c r="Y90" i="5"/>
  <c r="AA138" i="59"/>
  <c r="AA73" i="59" s="1"/>
  <c r="X137" i="59"/>
  <c r="X21" i="59" s="1"/>
  <c r="AH26" i="7" l="1"/>
  <c r="AH27" i="7"/>
  <c r="AH49" i="7" s="1"/>
  <c r="AH24" i="7"/>
  <c r="AH25" i="7"/>
  <c r="AI28" i="7"/>
  <c r="AI23" i="7" s="1"/>
  <c r="AI41" i="5" s="1"/>
  <c r="AJ20" i="7"/>
  <c r="AI15" i="7"/>
  <c r="AI33" i="5" s="1"/>
  <c r="AH18" i="7"/>
  <c r="AH19" i="7"/>
  <c r="AH44" i="7" s="1"/>
  <c r="AH17" i="7"/>
  <c r="AH16" i="7"/>
  <c r="X145" i="59"/>
  <c r="X92" i="5" s="1"/>
  <c r="Y142" i="59"/>
  <c r="T42" i="59" s="1"/>
  <c r="AA90" i="5"/>
  <c r="Y85" i="59" l="1"/>
  <c r="Y86" i="59" s="1"/>
  <c r="AI24" i="7"/>
  <c r="AI25" i="7"/>
  <c r="AI27" i="7"/>
  <c r="AI49" i="7" s="1"/>
  <c r="AI26" i="7"/>
  <c r="AI16" i="7"/>
  <c r="AI17" i="7"/>
  <c r="AI18" i="7"/>
  <c r="AI19" i="7"/>
  <c r="AI44" i="7" s="1"/>
  <c r="AJ28" i="7"/>
  <c r="AJ23" i="7" s="1"/>
  <c r="AJ41" i="5" s="1"/>
  <c r="AJ15" i="7"/>
  <c r="AJ33" i="5" s="1"/>
  <c r="Y137" i="59"/>
  <c r="Y145" i="59" s="1"/>
  <c r="Y91" i="5"/>
  <c r="AA56" i="6"/>
  <c r="AK15" i="7" l="1"/>
  <c r="AK33" i="5" s="1"/>
  <c r="AJ19" i="7"/>
  <c r="AJ44" i="7" s="1"/>
  <c r="AK44" i="7" s="1"/>
  <c r="AJ16" i="7"/>
  <c r="AJ17" i="7"/>
  <c r="AJ18" i="7"/>
  <c r="AJ24" i="7"/>
  <c r="AJ25" i="7"/>
  <c r="AJ26" i="7"/>
  <c r="AJ27" i="7"/>
  <c r="AJ49" i="7" s="1"/>
  <c r="AK49" i="7" s="1"/>
  <c r="AK23" i="7"/>
  <c r="AK41" i="5" s="1"/>
  <c r="Z142" i="59"/>
  <c r="Y21" i="59"/>
  <c r="Y58" i="6"/>
  <c r="Y195" i="59"/>
  <c r="Y92" i="5"/>
  <c r="Z85" i="59" l="1"/>
  <c r="U42" i="59"/>
  <c r="U30" i="59" s="1"/>
  <c r="AK24" i="7"/>
  <c r="AK26" i="7"/>
  <c r="AK28" i="7"/>
  <c r="AK18" i="7"/>
  <c r="AK16" i="7"/>
  <c r="AK20" i="7"/>
  <c r="AA142" i="59"/>
  <c r="AA85" i="59" s="1"/>
  <c r="Z91" i="5"/>
  <c r="Z137" i="59"/>
  <c r="V30" i="59" l="1"/>
  <c r="U32" i="59"/>
  <c r="U32" i="5"/>
  <c r="U31" i="59"/>
  <c r="Z86" i="59"/>
  <c r="Z195" i="59"/>
  <c r="AA195" i="59" s="1"/>
  <c r="Z58" i="6"/>
  <c r="Z21" i="59"/>
  <c r="AA137" i="59"/>
  <c r="Z145" i="59"/>
  <c r="AA91" i="5"/>
  <c r="V31" i="59" l="1"/>
  <c r="V32" i="5"/>
  <c r="AA58" i="6"/>
  <c r="AA145" i="59"/>
  <c r="Z92" i="5"/>
  <c r="AA21" i="59"/>
  <c r="AB142" i="59"/>
  <c r="AB85" i="59" l="1"/>
  <c r="W42" i="59"/>
  <c r="W30" i="59" s="1"/>
  <c r="AA92" i="5"/>
  <c r="AA146" i="59"/>
  <c r="AC142" i="59"/>
  <c r="X42" i="59" s="1"/>
  <c r="X30" i="59" s="1"/>
  <c r="AB91" i="5"/>
  <c r="W32" i="59" l="1"/>
  <c r="W32" i="5"/>
  <c r="AC85" i="59"/>
  <c r="AB86" i="59"/>
  <c r="AB58" i="6"/>
  <c r="AB195" i="59"/>
  <c r="AC91" i="5"/>
  <c r="AD142" i="59"/>
  <c r="X32" i="59"/>
  <c r="X32" i="5"/>
  <c r="AD85" i="59" l="1"/>
  <c r="Y42" i="59"/>
  <c r="Y30" i="59" s="1"/>
  <c r="Y31" i="59" s="1"/>
  <c r="AE142" i="59"/>
  <c r="AD91" i="5"/>
  <c r="AC86" i="59"/>
  <c r="AC58" i="6"/>
  <c r="AC195" i="59"/>
  <c r="AE85" i="59" l="1"/>
  <c r="Y32" i="5"/>
  <c r="Y32" i="59"/>
  <c r="Z42" i="59"/>
  <c r="Z30" i="59" s="1"/>
  <c r="Z31" i="59" s="1"/>
  <c r="AE91" i="5"/>
  <c r="AF142" i="59"/>
  <c r="AF85" i="59" s="1"/>
  <c r="AD86" i="59"/>
  <c r="AD58" i="6"/>
  <c r="AD195" i="59"/>
  <c r="Z32" i="5" l="1"/>
  <c r="AA30" i="59"/>
  <c r="AA32" i="5" s="1"/>
  <c r="Z32" i="59"/>
  <c r="AF91" i="5"/>
  <c r="AE86" i="59"/>
  <c r="AE58" i="6"/>
  <c r="AE195" i="59"/>
  <c r="AA31" i="59" l="1"/>
  <c r="AF195" i="59"/>
  <c r="AF86" i="59"/>
  <c r="AF58" i="6"/>
  <c r="AA16" i="42" l="1"/>
  <c r="AF16" i="42" l="1"/>
  <c r="R14" i="42" l="1"/>
  <c r="R10" i="42"/>
  <c r="S12" i="42" s="1"/>
  <c r="R117" i="42" l="1"/>
  <c r="R118" i="42" s="1"/>
  <c r="R12" i="42"/>
  <c r="R11" i="42"/>
  <c r="R141" i="42" s="1"/>
  <c r="R126" i="42"/>
  <c r="R127" i="42" s="1"/>
  <c r="R123" i="42" s="1"/>
  <c r="R132" i="42"/>
  <c r="R133" i="42" s="1"/>
  <c r="R129" i="42" s="1"/>
  <c r="R26" i="42"/>
  <c r="S28" i="42" s="1"/>
  <c r="R68" i="42"/>
  <c r="R21" i="42"/>
  <c r="R22" i="42" s="1"/>
  <c r="R81" i="42"/>
  <c r="R114" i="42"/>
  <c r="R109" i="42"/>
  <c r="R10" i="58"/>
  <c r="R10" i="3"/>
  <c r="S12" i="3" s="1"/>
  <c r="R10" i="7"/>
  <c r="S12" i="7" s="1"/>
  <c r="R63" i="5"/>
  <c r="R74" i="5" s="1"/>
  <c r="W74" i="5" s="1"/>
  <c r="AB74" i="5" s="1"/>
  <c r="R13" i="42"/>
  <c r="S12" i="58" l="1"/>
  <c r="R32" i="3"/>
  <c r="R30" i="58" s="1"/>
  <c r="AG74" i="5"/>
  <c r="AB77" i="5"/>
  <c r="AB76" i="5"/>
  <c r="R137" i="42"/>
  <c r="R28" i="42"/>
  <c r="R27" i="42"/>
  <c r="R50" i="7"/>
  <c r="R45" i="7"/>
  <c r="R36" i="7"/>
  <c r="R40" i="7"/>
  <c r="R76" i="5"/>
  <c r="R77" i="5"/>
  <c r="W76" i="5"/>
  <c r="W77" i="5"/>
  <c r="R11" i="7"/>
  <c r="R29" i="7"/>
  <c r="R12" i="7"/>
  <c r="R21" i="7"/>
  <c r="R18" i="3"/>
  <c r="S20" i="3" s="1"/>
  <c r="R11" i="3"/>
  <c r="R12" i="3"/>
  <c r="R18" i="58"/>
  <c r="R114" i="58"/>
  <c r="R113" i="58"/>
  <c r="R41" i="58"/>
  <c r="R116" i="58"/>
  <c r="R115" i="58"/>
  <c r="R26" i="58"/>
  <c r="R35" i="58"/>
  <c r="R36" i="58"/>
  <c r="R11" i="58"/>
  <c r="R12" i="58"/>
  <c r="S20" i="58" l="1"/>
  <c r="AG77" i="5"/>
  <c r="AG76" i="5"/>
  <c r="R47" i="7"/>
  <c r="R46" i="7"/>
  <c r="R51" i="7"/>
  <c r="R52" i="7"/>
  <c r="R41" i="7"/>
  <c r="R42" i="7"/>
  <c r="R21" i="3"/>
  <c r="R19" i="3"/>
  <c r="R20" i="3"/>
  <c r="R49" i="3"/>
  <c r="R27" i="58"/>
  <c r="R21" i="58"/>
  <c r="R20" i="58"/>
  <c r="R19" i="58"/>
  <c r="R47" i="58"/>
  <c r="S51" i="3" l="1"/>
  <c r="S49" i="58"/>
  <c r="R96" i="58"/>
  <c r="R117" i="58"/>
  <c r="R52" i="3"/>
  <c r="R97" i="3"/>
  <c r="R50" i="3"/>
  <c r="R51" i="3"/>
  <c r="R48" i="58"/>
  <c r="R49" i="58"/>
  <c r="R50" i="58"/>
  <c r="R59" i="58"/>
  <c r="R42" i="3"/>
  <c r="R43" i="3"/>
  <c r="R41" i="3"/>
  <c r="R26" i="3"/>
  <c r="R24" i="3"/>
  <c r="R25" i="3"/>
  <c r="R37" i="3"/>
  <c r="R35" i="3"/>
  <c r="R38" i="3"/>
  <c r="R36" i="3"/>
  <c r="R64" i="58" l="1"/>
  <c r="R62" i="58"/>
  <c r="V26" i="5"/>
  <c r="R27" i="3"/>
  <c r="W26" i="5" l="1"/>
  <c r="V31" i="6"/>
  <c r="X26" i="5" l="1"/>
  <c r="R72" i="6"/>
  <c r="Y26" i="5" l="1"/>
  <c r="Z26" i="5" l="1"/>
  <c r="AA26" i="5" l="1"/>
  <c r="AB26" i="5" l="1"/>
  <c r="AA31" i="6"/>
  <c r="AC26" i="5" l="1"/>
  <c r="AD26" i="5" l="1"/>
  <c r="AE26" i="5" l="1"/>
  <c r="AF26" i="5" l="1"/>
  <c r="AG26" i="5" s="1"/>
  <c r="AH26" i="5" s="1"/>
  <c r="AI26" i="5" s="1"/>
  <c r="AJ26" i="5" s="1"/>
  <c r="AK26" i="5" s="1"/>
  <c r="AF31" i="6" l="1"/>
  <c r="W56" i="6" l="1"/>
  <c r="X56" i="6"/>
  <c r="U56" i="6" l="1"/>
  <c r="Y56" i="6"/>
  <c r="Z56" i="6"/>
  <c r="R107" i="63" l="1"/>
  <c r="R108" i="63"/>
  <c r="R37" i="5" l="1"/>
  <c r="R46" i="5" l="1"/>
  <c r="V81" i="5"/>
  <c r="R58" i="3"/>
  <c r="R62" i="3"/>
  <c r="R47" i="63" l="1"/>
  <c r="R49" i="63"/>
  <c r="R50" i="63"/>
  <c r="R48" i="63"/>
  <c r="R66" i="58" l="1"/>
  <c r="S68" i="58" s="1"/>
  <c r="R70" i="58"/>
  <c r="S72" i="58" s="1"/>
  <c r="R75" i="58"/>
  <c r="R92" i="58" s="1"/>
  <c r="R119" i="5"/>
  <c r="R91" i="6"/>
  <c r="R51" i="6"/>
  <c r="R53" i="6" s="1"/>
  <c r="R121" i="5" l="1"/>
  <c r="R120" i="5"/>
  <c r="R122" i="5"/>
  <c r="R68" i="58"/>
  <c r="R67" i="58"/>
  <c r="R192" i="59"/>
  <c r="R65" i="3"/>
  <c r="R67" i="3"/>
  <c r="R82" i="58"/>
  <c r="R78" i="58"/>
  <c r="R72" i="58"/>
  <c r="R71" i="58"/>
  <c r="R80" i="58" l="1"/>
  <c r="R79" i="58"/>
  <c r="R69" i="3"/>
  <c r="R73" i="3"/>
  <c r="R78" i="3"/>
  <c r="R94" i="3" s="1"/>
  <c r="R83" i="58"/>
  <c r="R84" i="58"/>
  <c r="R10" i="6" l="1"/>
  <c r="R80" i="3"/>
  <c r="R84" i="3"/>
  <c r="R75" i="3"/>
  <c r="R74" i="3"/>
  <c r="R71" i="3"/>
  <c r="R70" i="3"/>
  <c r="R12" i="6" l="1"/>
  <c r="R57" i="5"/>
  <c r="R60" i="59" s="1"/>
  <c r="R81" i="3"/>
  <c r="R82" i="3"/>
  <c r="R85" i="3"/>
  <c r="R86" i="3"/>
  <c r="R58" i="5" l="1"/>
  <c r="R16" i="5" l="1"/>
  <c r="R27" i="5" l="1"/>
  <c r="R60" i="5" s="1"/>
  <c r="R34" i="6"/>
  <c r="R32" i="63"/>
  <c r="R36" i="6" l="1"/>
  <c r="R75" i="6" s="1"/>
  <c r="R77" i="6" s="1"/>
  <c r="R85" i="6" s="1"/>
  <c r="R115" i="5" l="1"/>
  <c r="R191" i="59"/>
  <c r="R37" i="6"/>
  <c r="R90" i="6"/>
  <c r="R36" i="63"/>
  <c r="R35" i="63"/>
  <c r="R38" i="63"/>
  <c r="R37" i="63"/>
  <c r="R116" i="5"/>
  <c r="P117" i="5"/>
  <c r="S190" i="59"/>
  <c r="R87" i="6"/>
  <c r="R92" i="6" l="1"/>
  <c r="R93" i="6" l="1"/>
  <c r="R124" i="5"/>
  <c r="R138" i="42" l="1"/>
  <c r="R136" i="42" s="1"/>
  <c r="P127" i="5"/>
  <c r="R125" i="5"/>
  <c r="R87" i="63"/>
  <c r="R52" i="63" l="1"/>
  <c r="R56" i="63" s="1"/>
  <c r="T112" i="63"/>
  <c r="T41" i="94" s="1"/>
  <c r="S112" i="63"/>
  <c r="S41" i="94" s="1"/>
  <c r="R89" i="63"/>
  <c r="V87" i="63"/>
  <c r="V88" i="63" s="1"/>
  <c r="U112" i="63"/>
  <c r="U41" i="94" s="1"/>
  <c r="R139" i="59"/>
  <c r="R140" i="59" s="1"/>
  <c r="R53" i="63"/>
  <c r="R55" i="63"/>
  <c r="W87" i="63"/>
  <c r="R112" i="63"/>
  <c r="R41" i="94" s="1"/>
  <c r="S89" i="63"/>
  <c r="R90" i="63"/>
  <c r="R18" i="94" l="1"/>
  <c r="R67" i="94" s="1"/>
  <c r="S67" i="94" s="1"/>
  <c r="R54" i="63"/>
  <c r="R57" i="63"/>
  <c r="R20" i="94"/>
  <c r="R19" i="94"/>
  <c r="X112" i="63"/>
  <c r="X41" i="94" s="1"/>
  <c r="Y112" i="63"/>
  <c r="Y41" i="94" s="1"/>
  <c r="W89" i="63"/>
  <c r="Z112" i="63"/>
  <c r="Z41" i="94" s="1"/>
  <c r="X89" i="63"/>
  <c r="AA87" i="63"/>
  <c r="AB87" i="63"/>
  <c r="W112" i="63"/>
  <c r="W41" i="94" s="1"/>
  <c r="V112" i="63"/>
  <c r="V41" i="94" s="1"/>
  <c r="R58" i="94" l="1"/>
  <c r="R59" i="94" s="1"/>
  <c r="AA112" i="63"/>
  <c r="AA41" i="94" s="1"/>
  <c r="AE112" i="63"/>
  <c r="AE41" i="94" s="1"/>
  <c r="AA88" i="63"/>
  <c r="AD112" i="63"/>
  <c r="AD41" i="94" s="1"/>
  <c r="AC112" i="63"/>
  <c r="AC41" i="94" s="1"/>
  <c r="AB112" i="63"/>
  <c r="AB41" i="94" s="1"/>
  <c r="AF87" i="63"/>
  <c r="AC89" i="63"/>
  <c r="AB89" i="63"/>
  <c r="AG87" i="63"/>
  <c r="R53" i="58"/>
  <c r="R113" i="63"/>
  <c r="T67" i="94" l="1"/>
  <c r="R110" i="63"/>
  <c r="R101" i="63" s="1"/>
  <c r="R102" i="63" s="1"/>
  <c r="R42" i="94"/>
  <c r="R39" i="94" s="1"/>
  <c r="AF88" i="63"/>
  <c r="AI112" i="63"/>
  <c r="AI41" i="94" s="1"/>
  <c r="AG112" i="63"/>
  <c r="AG41" i="94" s="1"/>
  <c r="AJ112" i="63"/>
  <c r="AJ41" i="94" s="1"/>
  <c r="AF112" i="63"/>
  <c r="AF41" i="94" s="1"/>
  <c r="AH112" i="63"/>
  <c r="AH41" i="94" s="1"/>
  <c r="AK87" i="63"/>
  <c r="AK88" i="63" s="1"/>
  <c r="AG89" i="63"/>
  <c r="AH89" i="63"/>
  <c r="R99" i="3"/>
  <c r="R100" i="3" s="1"/>
  <c r="R69" i="59"/>
  <c r="R94" i="63"/>
  <c r="R95" i="63"/>
  <c r="R64" i="5" l="1"/>
  <c r="R80" i="5" s="1"/>
  <c r="U67" i="94"/>
  <c r="V67" i="94" s="1"/>
  <c r="R104" i="63"/>
  <c r="R103" i="63"/>
  <c r="R31" i="63"/>
  <c r="R127" i="63"/>
  <c r="R95" i="58"/>
  <c r="R97" i="58" s="1"/>
  <c r="AK112" i="63"/>
  <c r="AK41" i="94" s="1"/>
  <c r="R89" i="5"/>
  <c r="R86" i="5" s="1"/>
  <c r="R67" i="63"/>
  <c r="R69" i="63"/>
  <c r="R68" i="63"/>
  <c r="R70" i="63"/>
  <c r="S29" i="94" l="1"/>
  <c r="W67" i="94"/>
  <c r="R99" i="58"/>
  <c r="M142" i="42" s="1"/>
  <c r="M140" i="42" s="1"/>
  <c r="R98" i="58"/>
  <c r="R94" i="5"/>
  <c r="R93" i="5"/>
  <c r="W93" i="5"/>
  <c r="W94" i="5"/>
  <c r="R25" i="63"/>
  <c r="R20" i="63" s="1"/>
  <c r="R62" i="63"/>
  <c r="R63" i="63"/>
  <c r="R64" i="63"/>
  <c r="R60" i="63"/>
  <c r="R61" i="63"/>
  <c r="R98" i="63"/>
  <c r="X67" i="94" l="1"/>
  <c r="R28" i="63"/>
  <c r="R18" i="63" s="1"/>
  <c r="R27" i="63"/>
  <c r="Y67" i="94" l="1"/>
  <c r="R18" i="42"/>
  <c r="R22" i="63"/>
  <c r="R21" i="63"/>
  <c r="R23" i="63"/>
  <c r="R16" i="63" s="1"/>
  <c r="Z67" i="94" l="1"/>
  <c r="R16" i="42"/>
  <c r="R17" i="63"/>
  <c r="R17" i="42" s="1"/>
  <c r="AB67" i="94" l="1"/>
  <c r="AA67" i="94"/>
  <c r="AC67" i="94" l="1"/>
  <c r="AD67" i="94" l="1"/>
  <c r="AE67" i="94" l="1"/>
  <c r="AF67" i="94" s="1"/>
  <c r="AG67" i="94" l="1"/>
  <c r="AH67" i="94" l="1"/>
  <c r="AI67" i="94" l="1"/>
  <c r="AJ67" i="94" l="1"/>
  <c r="AK67" i="94" l="1"/>
  <c r="T110" i="59" l="1"/>
  <c r="R100" i="59"/>
  <c r="R73" i="59" s="1"/>
  <c r="R76" i="59" s="1"/>
  <c r="R193" i="59" s="1"/>
  <c r="R103" i="59"/>
  <c r="R74" i="59" l="1"/>
  <c r="W74" i="59"/>
  <c r="S103" i="59"/>
  <c r="S110" i="59"/>
  <c r="R52" i="58"/>
  <c r="V100" i="59"/>
  <c r="R57" i="59"/>
  <c r="U99" i="59"/>
  <c r="S57" i="59" l="1"/>
  <c r="R198" i="59"/>
  <c r="U103" i="59"/>
  <c r="U110" i="59"/>
  <c r="V110" i="59" s="1"/>
  <c r="V99" i="59"/>
  <c r="U15" i="59"/>
  <c r="T57" i="59" l="1"/>
  <c r="U57" i="59" s="1"/>
  <c r="V57" i="59" s="1"/>
  <c r="W57" i="59" s="1"/>
  <c r="X57" i="59" s="1"/>
  <c r="Y57" i="59" s="1"/>
  <c r="Z57" i="59" s="1"/>
  <c r="AA57" i="59" s="1"/>
  <c r="AB57" i="59" s="1"/>
  <c r="AC57" i="59" s="1"/>
  <c r="AD57" i="59" s="1"/>
  <c r="AE57" i="59" s="1"/>
  <c r="AF57" i="59" s="1"/>
  <c r="AG57" i="59" s="1"/>
  <c r="AH57" i="59" s="1"/>
  <c r="AI57" i="59" s="1"/>
  <c r="AJ57" i="59" s="1"/>
  <c r="AK57" i="59" s="1"/>
  <c r="R77" i="59"/>
  <c r="V103" i="59"/>
  <c r="R56" i="59"/>
  <c r="W99" i="59"/>
  <c r="V15" i="59"/>
  <c r="V104" i="59" l="1"/>
  <c r="W103" i="59"/>
  <c r="W110" i="59"/>
  <c r="W15" i="59"/>
  <c r="X99" i="59"/>
  <c r="X110" i="59" s="1"/>
  <c r="X15" i="59" l="1"/>
  <c r="Y99" i="59"/>
  <c r="X103" i="59"/>
  <c r="Y103" i="59" l="1"/>
  <c r="Y110" i="59"/>
  <c r="Y15" i="59"/>
  <c r="Z99" i="59"/>
  <c r="Z110" i="59" s="1"/>
  <c r="AA99" i="59" l="1"/>
  <c r="Z15" i="59"/>
  <c r="AA110" i="59"/>
  <c r="Z103" i="59"/>
  <c r="AA103" i="59" l="1"/>
  <c r="AB99" i="59"/>
  <c r="AA15" i="59"/>
  <c r="AA104" i="59" l="1"/>
  <c r="AB103" i="59"/>
  <c r="AB110" i="59"/>
  <c r="AB15" i="59"/>
  <c r="AC99" i="59"/>
  <c r="AC110" i="59" s="1"/>
  <c r="AC15" i="59" l="1"/>
  <c r="AD99" i="59"/>
  <c r="AC103" i="59"/>
  <c r="AD103" i="59" l="1"/>
  <c r="AD110" i="59"/>
  <c r="AD15" i="59"/>
  <c r="AE99" i="59"/>
  <c r="AE110" i="59" s="1"/>
  <c r="AF110" i="59" l="1"/>
  <c r="AE15" i="59"/>
  <c r="AF99" i="59"/>
  <c r="AE103" i="59"/>
  <c r="AG99" i="59" l="1"/>
  <c r="AG110" i="59" s="1"/>
  <c r="AF15" i="59"/>
  <c r="AF103" i="59"/>
  <c r="AF104" i="59" l="1"/>
  <c r="AG103" i="59"/>
  <c r="AH99" i="59"/>
  <c r="AG15" i="59"/>
  <c r="AH103" i="59" l="1"/>
  <c r="AH110" i="59"/>
  <c r="AH15" i="59"/>
  <c r="AI99" i="59"/>
  <c r="AI110" i="59" s="1"/>
  <c r="AI103" i="59" l="1"/>
  <c r="AI15" i="59"/>
  <c r="AJ99" i="59"/>
  <c r="AJ103" i="59" l="1"/>
  <c r="AJ110" i="59"/>
  <c r="AK110" i="59" s="1"/>
  <c r="AJ15" i="59"/>
  <c r="AK99" i="59"/>
  <c r="AK15" i="59" s="1"/>
  <c r="AK103" i="59" l="1"/>
  <c r="AK104" i="59" l="1"/>
  <c r="R70" i="59" l="1"/>
  <c r="R59" i="59"/>
  <c r="R51" i="59"/>
  <c r="R54" i="59"/>
  <c r="R53" i="59"/>
  <c r="S30" i="94" l="1"/>
  <c r="S35" i="94"/>
  <c r="S108" i="63"/>
  <c r="S34" i="94" l="1"/>
  <c r="S107" i="63"/>
  <c r="S84" i="63" l="1"/>
  <c r="S83" i="63" s="1"/>
  <c r="S81" i="63" l="1"/>
  <c r="S82" i="63"/>
  <c r="S111" i="63"/>
  <c r="S40" i="94" l="1"/>
  <c r="S37" i="63"/>
  <c r="S36" i="63"/>
  <c r="S35" i="63"/>
  <c r="S38" i="63"/>
  <c r="S13" i="63" l="1"/>
  <c r="S13" i="42" s="1"/>
  <c r="S14" i="63"/>
  <c r="S14" i="42" s="1"/>
  <c r="S11" i="63"/>
  <c r="S12" i="63"/>
  <c r="S10" i="94"/>
  <c r="S31" i="94" l="1"/>
  <c r="T12" i="94"/>
  <c r="S132" i="42"/>
  <c r="S133" i="42" s="1"/>
  <c r="S126" i="42"/>
  <c r="S127" i="42" s="1"/>
  <c r="S12" i="94"/>
  <c r="S11" i="94"/>
  <c r="S141" i="42" l="1"/>
  <c r="S137" i="42"/>
  <c r="S45" i="7"/>
  <c r="S40" i="7"/>
  <c r="S41" i="7" s="1"/>
  <c r="S50" i="7"/>
  <c r="S24" i="3" l="1"/>
  <c r="S130" i="42"/>
  <c r="S131" i="42" s="1"/>
  <c r="S129" i="42" s="1"/>
  <c r="S42" i="7"/>
  <c r="S106" i="58"/>
  <c r="S19" i="6" s="1"/>
  <c r="S51" i="7"/>
  <c r="S52" i="7"/>
  <c r="S46" i="7"/>
  <c r="S47" i="7"/>
  <c r="S110" i="58" l="1"/>
  <c r="S108" i="58"/>
  <c r="S96" i="58"/>
  <c r="S97" i="58" s="1"/>
  <c r="S111" i="58"/>
  <c r="S109" i="58"/>
  <c r="U109" i="58" s="1"/>
  <c r="U111" i="58" s="1"/>
  <c r="S117" i="58"/>
  <c r="S124" i="42"/>
  <c r="S125" i="42" s="1"/>
  <c r="S123" i="42" s="1"/>
  <c r="S35" i="3"/>
  <c r="S90" i="63"/>
  <c r="S41" i="3"/>
  <c r="S99" i="58" l="1"/>
  <c r="N142" i="42" s="1"/>
  <c r="N140" i="42" s="1"/>
  <c r="S98" i="58"/>
  <c r="S16" i="3"/>
  <c r="S15" i="3"/>
  <c r="S72" i="6" l="1"/>
  <c r="W81" i="5" l="1"/>
  <c r="U25" i="58" l="1"/>
  <c r="U84" i="63"/>
  <c r="U80" i="63" s="1"/>
  <c r="V84" i="63" l="1"/>
  <c r="U81" i="63"/>
  <c r="U82" i="63"/>
  <c r="V80" i="63"/>
  <c r="U111" i="63"/>
  <c r="U40" i="94" l="1"/>
  <c r="V111" i="63"/>
  <c r="V81" i="63"/>
  <c r="V83" i="63"/>
  <c r="V40" i="94" l="1"/>
  <c r="W25" i="58" l="1"/>
  <c r="W84" i="63"/>
  <c r="W80" i="63" s="1"/>
  <c r="W82" i="63" l="1"/>
  <c r="W81" i="63"/>
  <c r="W111" i="63"/>
  <c r="W40" i="94" l="1"/>
  <c r="X84" i="63" l="1"/>
  <c r="X80" i="63" s="1"/>
  <c r="X81" i="63" l="1"/>
  <c r="X82" i="63"/>
  <c r="X111" i="63"/>
  <c r="X40" i="94" l="1"/>
  <c r="Y25" i="58" l="1"/>
  <c r="Y84" i="63"/>
  <c r="Y80" i="63" s="1"/>
  <c r="Y81" i="63" l="1"/>
  <c r="Y82" i="63"/>
  <c r="Y111" i="63"/>
  <c r="Y40" i="94" l="1"/>
  <c r="Z25" i="58" l="1"/>
  <c r="Z84" i="63"/>
  <c r="Z80" i="63" s="1"/>
  <c r="AA84" i="63" l="1"/>
  <c r="Z82" i="63"/>
  <c r="Z81" i="63"/>
  <c r="Z111" i="63"/>
  <c r="AA80" i="63"/>
  <c r="AA83" i="63" l="1"/>
  <c r="AA81" i="63"/>
  <c r="Z40" i="94"/>
  <c r="AA111" i="63"/>
  <c r="AA40" i="94" l="1"/>
  <c r="AB25" i="58" l="1"/>
  <c r="AB84" i="63"/>
  <c r="AB80" i="63" s="1"/>
  <c r="AB82" i="63" l="1"/>
  <c r="AB81" i="63"/>
  <c r="AB111" i="63"/>
  <c r="AG84" i="63"/>
  <c r="AG80" i="63" s="1"/>
  <c r="AB40" i="94" l="1"/>
  <c r="AG81" i="63"/>
  <c r="AC25" i="58" l="1"/>
  <c r="AC84" i="63"/>
  <c r="AC80" i="63" s="1"/>
  <c r="AH25" i="58" l="1"/>
  <c r="AH84" i="63"/>
  <c r="AH80" i="63" s="1"/>
  <c r="AC81" i="63"/>
  <c r="AC82" i="63"/>
  <c r="AC111" i="63"/>
  <c r="AC40" i="94" l="1"/>
  <c r="AH82" i="63"/>
  <c r="AH81" i="63"/>
  <c r="AD25" i="58" l="1"/>
  <c r="AD84" i="63"/>
  <c r="AD80" i="63" s="1"/>
  <c r="AD81" i="63" l="1"/>
  <c r="AD82" i="63"/>
  <c r="AD111" i="63"/>
  <c r="AI25" i="58"/>
  <c r="AI84" i="63"/>
  <c r="AI80" i="63" s="1"/>
  <c r="AI81" i="63" l="1"/>
  <c r="AI82" i="63"/>
  <c r="AD40" i="94"/>
  <c r="AE25" i="58" l="1"/>
  <c r="AE84" i="63"/>
  <c r="AE80" i="63" s="1"/>
  <c r="AG25" i="58"/>
  <c r="AJ25" i="58" l="1"/>
  <c r="AJ84" i="63"/>
  <c r="AJ80" i="63" s="1"/>
  <c r="AF84" i="63"/>
  <c r="AE82" i="63"/>
  <c r="AE81" i="63"/>
  <c r="AG82" i="63"/>
  <c r="AE111" i="63"/>
  <c r="AF80" i="63"/>
  <c r="AF81" i="63" l="1"/>
  <c r="AF83" i="63"/>
  <c r="AH111" i="63"/>
  <c r="AJ111" i="63"/>
  <c r="AI111" i="63"/>
  <c r="AG111" i="63"/>
  <c r="AJ81" i="63"/>
  <c r="AJ82" i="63"/>
  <c r="AK80" i="63"/>
  <c r="AE40" i="94"/>
  <c r="AF111" i="63"/>
  <c r="AK84" i="63"/>
  <c r="AF40" i="94" l="1"/>
  <c r="AG40" i="94"/>
  <c r="AK111" i="63"/>
  <c r="AI40" i="94"/>
  <c r="AJ40" i="94"/>
  <c r="AK83" i="63"/>
  <c r="AK81" i="63"/>
  <c r="AH40" i="94"/>
  <c r="AK40" i="94" l="1"/>
  <c r="S51" i="6" l="1"/>
  <c r="S53" i="6" s="1"/>
  <c r="S119" i="5"/>
  <c r="S31" i="63"/>
  <c r="S121" i="5" l="1"/>
  <c r="S120" i="5"/>
  <c r="S122" i="5"/>
  <c r="S41" i="63"/>
  <c r="S43" i="63"/>
  <c r="S50" i="63"/>
  <c r="S48" i="63"/>
  <c r="S49" i="63"/>
  <c r="S14" i="94"/>
  <c r="T16" i="94" s="1"/>
  <c r="S192" i="59"/>
  <c r="S16" i="94" l="1"/>
  <c r="S15" i="94"/>
  <c r="S64" i="63"/>
  <c r="S63" i="63"/>
  <c r="S60" i="63"/>
  <c r="S62" i="63"/>
  <c r="S25" i="63"/>
  <c r="S66" i="63"/>
  <c r="T68" i="63" l="1"/>
  <c r="T70" i="63"/>
  <c r="S73" i="63"/>
  <c r="S68" i="63"/>
  <c r="S67" i="63"/>
  <c r="S70" i="63"/>
  <c r="S69" i="63"/>
  <c r="S71" i="63"/>
  <c r="S28" i="63"/>
  <c r="S18" i="63" s="1"/>
  <c r="S18" i="42" s="1"/>
  <c r="S27" i="63"/>
  <c r="S26" i="63"/>
  <c r="S74" i="63" l="1"/>
  <c r="T77" i="63"/>
  <c r="T75" i="63"/>
  <c r="S75" i="63"/>
  <c r="S78" i="63"/>
  <c r="S77" i="63"/>
  <c r="S76" i="63"/>
  <c r="U73" i="63" l="1"/>
  <c r="V73" i="63" s="1"/>
  <c r="U74" i="63" l="1"/>
  <c r="U77" i="63"/>
  <c r="W73" i="63"/>
  <c r="W74" i="63" s="1"/>
  <c r="U76" i="63"/>
  <c r="V76" i="63"/>
  <c r="V74" i="63"/>
  <c r="X73" i="63" l="1"/>
  <c r="X74" i="63" s="1"/>
  <c r="W76" i="63"/>
  <c r="W77" i="63"/>
  <c r="Y73" i="63" l="1"/>
  <c r="Y74" i="63" s="1"/>
  <c r="X76" i="63"/>
  <c r="X77" i="63"/>
  <c r="Z73" i="63" l="1"/>
  <c r="AA73" i="63" s="1"/>
  <c r="AA74" i="63" s="1"/>
  <c r="Y77" i="63"/>
  <c r="Y76" i="63"/>
  <c r="Z77" i="63" l="1"/>
  <c r="Z74" i="63"/>
  <c r="AA76" i="63"/>
  <c r="AB73" i="63"/>
  <c r="AB76" i="63" s="1"/>
  <c r="Z76" i="63"/>
  <c r="AB74" i="63"/>
  <c r="AB77" i="63" l="1"/>
  <c r="AC73" i="63"/>
  <c r="AC74" i="63" s="1"/>
  <c r="AD73" i="63" l="1"/>
  <c r="AD74" i="63" s="1"/>
  <c r="AC76" i="63"/>
  <c r="AC77" i="63"/>
  <c r="AE73" i="63" l="1"/>
  <c r="AF73" i="63" s="1"/>
  <c r="AF74" i="63" s="1"/>
  <c r="AD77" i="63"/>
  <c r="AD76" i="63"/>
  <c r="AE77" i="63" l="1"/>
  <c r="AE74" i="63"/>
  <c r="AF76" i="63"/>
  <c r="AG73" i="63"/>
  <c r="AH73" i="63" s="1"/>
  <c r="AE76" i="63"/>
  <c r="AG74" i="63"/>
  <c r="AG77" i="63" l="1"/>
  <c r="AG76" i="63"/>
  <c r="AH74" i="63"/>
  <c r="AH76" i="63"/>
  <c r="AH77" i="63"/>
  <c r="AI73" i="63"/>
  <c r="AI74" i="63" l="1"/>
  <c r="AI76" i="63"/>
  <c r="AI77" i="63"/>
  <c r="AJ73" i="63"/>
  <c r="AK73" i="63" s="1"/>
  <c r="AK74" i="63" l="1"/>
  <c r="AK76" i="63"/>
  <c r="AJ74" i="63"/>
  <c r="AJ76" i="63"/>
  <c r="AJ77" i="63"/>
  <c r="S25" i="94"/>
  <c r="S26" i="94"/>
  <c r="S24" i="94"/>
  <c r="S36" i="94"/>
  <c r="S58" i="3"/>
  <c r="S93" i="63"/>
  <c r="S52" i="63" s="1"/>
  <c r="S18" i="94" l="1"/>
  <c r="S68" i="94" s="1"/>
  <c r="S89" i="5"/>
  <c r="S98" i="63"/>
  <c r="U98" i="63" s="1"/>
  <c r="S69" i="59"/>
  <c r="S139" i="59"/>
  <c r="S140" i="59" s="1"/>
  <c r="S56" i="63"/>
  <c r="S53" i="63"/>
  <c r="S54" i="63"/>
  <c r="S57" i="63"/>
  <c r="S55" i="63"/>
  <c r="S94" i="63"/>
  <c r="S95" i="63"/>
  <c r="S113" i="63"/>
  <c r="T68" i="94" l="1"/>
  <c r="U68" i="94" s="1"/>
  <c r="S58" i="94"/>
  <c r="S59" i="94" s="1"/>
  <c r="S20" i="94"/>
  <c r="S19" i="94"/>
  <c r="S42" i="94"/>
  <c r="S39" i="94" s="1"/>
  <c r="S110" i="63"/>
  <c r="S101" i="63" s="1"/>
  <c r="S64" i="5" s="1"/>
  <c r="S80" i="5" s="1"/>
  <c r="W98" i="63"/>
  <c r="X98" i="63" l="1"/>
  <c r="S103" i="63"/>
  <c r="S104" i="63"/>
  <c r="S102" i="63"/>
  <c r="W68" i="94"/>
  <c r="T50" i="63"/>
  <c r="T49" i="63"/>
  <c r="T48" i="63"/>
  <c r="V68" i="94"/>
  <c r="T31" i="63" l="1"/>
  <c r="T64" i="63" s="1"/>
  <c r="T91" i="6"/>
  <c r="T119" i="5"/>
  <c r="T51" i="6"/>
  <c r="T53" i="6" s="1"/>
  <c r="Y98" i="63"/>
  <c r="X68" i="94"/>
  <c r="S67" i="3" l="1"/>
  <c r="S78" i="3" s="1"/>
  <c r="S94" i="3" s="1"/>
  <c r="S37" i="5"/>
  <c r="Z98" i="63"/>
  <c r="T192" i="59"/>
  <c r="Y68" i="94"/>
  <c r="T121" i="5"/>
  <c r="T120" i="5"/>
  <c r="U33" i="94"/>
  <c r="V33" i="94" s="1"/>
  <c r="U106" i="63"/>
  <c r="U29" i="94"/>
  <c r="V29" i="3" l="1"/>
  <c r="V34" i="94"/>
  <c r="U107" i="63"/>
  <c r="U108" i="63"/>
  <c r="S46" i="5"/>
  <c r="S69" i="3"/>
  <c r="S73" i="3"/>
  <c r="S92" i="58"/>
  <c r="S78" i="58"/>
  <c r="S82" i="58"/>
  <c r="AB98" i="63"/>
  <c r="U34" i="94"/>
  <c r="U29" i="3"/>
  <c r="U35" i="94"/>
  <c r="Z68" i="94"/>
  <c r="AA68" i="94" s="1"/>
  <c r="AC98" i="63" l="1"/>
  <c r="S71" i="3"/>
  <c r="S70" i="3"/>
  <c r="S80" i="58"/>
  <c r="S79" i="58"/>
  <c r="S84" i="3"/>
  <c r="S80" i="3"/>
  <c r="S10" i="6"/>
  <c r="AB68" i="94"/>
  <c r="S84" i="58"/>
  <c r="S83" i="58"/>
  <c r="S74" i="3"/>
  <c r="S75" i="3"/>
  <c r="U30" i="94" l="1"/>
  <c r="AD98" i="63"/>
  <c r="S85" i="3"/>
  <c r="S86" i="3"/>
  <c r="AC68" i="94"/>
  <c r="S57" i="5"/>
  <c r="S81" i="3"/>
  <c r="S82" i="3"/>
  <c r="S12" i="6"/>
  <c r="S34" i="6" s="1"/>
  <c r="S36" i="6" s="1"/>
  <c r="S60" i="59" l="1"/>
  <c r="S58" i="5"/>
  <c r="S90" i="6"/>
  <c r="S75" i="6"/>
  <c r="S77" i="6" s="1"/>
  <c r="S191" i="59"/>
  <c r="S37" i="6"/>
  <c r="S115" i="5"/>
  <c r="AD68" i="94"/>
  <c r="AE98" i="63"/>
  <c r="S92" i="6" l="1"/>
  <c r="S87" i="6"/>
  <c r="S85" i="6"/>
  <c r="AE68" i="94"/>
  <c r="S116" i="5"/>
  <c r="AG98" i="63"/>
  <c r="S93" i="6" l="1"/>
  <c r="S124" i="5"/>
  <c r="T190" i="59"/>
  <c r="AG68" i="94"/>
  <c r="AH98" i="63"/>
  <c r="AF68" i="94"/>
  <c r="S138" i="42" l="1"/>
  <c r="S136" i="42" s="1"/>
  <c r="AI98" i="63"/>
  <c r="S16" i="5"/>
  <c r="AH68" i="94"/>
  <c r="S125" i="5"/>
  <c r="AI68" i="94" l="1"/>
  <c r="AJ98" i="63"/>
  <c r="AJ68" i="94" l="1"/>
  <c r="AK68" i="94" l="1"/>
  <c r="AK30" i="59" l="1"/>
  <c r="AJ32" i="5"/>
  <c r="AK32" i="5" l="1"/>
  <c r="S27" i="5" l="1"/>
  <c r="S60" i="5" s="1"/>
  <c r="S44" i="94"/>
  <c r="S56" i="94" s="1"/>
  <c r="S32" i="63"/>
  <c r="S115" i="63"/>
  <c r="S46" i="94" l="1"/>
  <c r="S20" i="63"/>
  <c r="S127" i="63"/>
  <c r="S117" i="63"/>
  <c r="S22" i="63" l="1"/>
  <c r="S21" i="63"/>
  <c r="S23" i="63"/>
  <c r="S16" i="63" s="1"/>
  <c r="T14" i="42" l="1"/>
  <c r="T10" i="42"/>
  <c r="T32" i="63"/>
  <c r="S17" i="63"/>
  <c r="S17" i="42" s="1"/>
  <c r="S16" i="42"/>
  <c r="T114" i="42" l="1"/>
  <c r="T117" i="42"/>
  <c r="T118" i="42" s="1"/>
  <c r="T109" i="42"/>
  <c r="T81" i="42"/>
  <c r="T68" i="42"/>
  <c r="T26" i="42"/>
  <c r="T10" i="7"/>
  <c r="T63" i="5"/>
  <c r="T74" i="5" s="1"/>
  <c r="T10" i="58"/>
  <c r="T10" i="3"/>
  <c r="T37" i="3" s="1"/>
  <c r="T11" i="42"/>
  <c r="T132" i="42"/>
  <c r="T133" i="42" s="1"/>
  <c r="T12" i="42"/>
  <c r="T126" i="42"/>
  <c r="T127" i="42" s="1"/>
  <c r="T13" i="42"/>
  <c r="T18" i="58" l="1"/>
  <c r="T117" i="58"/>
  <c r="T41" i="58"/>
  <c r="T113" i="58"/>
  <c r="T116" i="58"/>
  <c r="T115" i="58"/>
  <c r="T12" i="58"/>
  <c r="T114" i="58"/>
  <c r="T26" i="58"/>
  <c r="T11" i="58"/>
  <c r="T35" i="58"/>
  <c r="U35" i="58" s="1"/>
  <c r="T36" i="58"/>
  <c r="T77" i="5"/>
  <c r="T76" i="5"/>
  <c r="Y74" i="5"/>
  <c r="T11" i="7"/>
  <c r="T12" i="7"/>
  <c r="T21" i="7"/>
  <c r="T40" i="7"/>
  <c r="T45" i="7"/>
  <c r="T29" i="7"/>
  <c r="T50" i="7"/>
  <c r="T36" i="7"/>
  <c r="T28" i="42"/>
  <c r="T27" i="42"/>
  <c r="T12" i="3"/>
  <c r="T38" i="3"/>
  <c r="T26" i="3"/>
  <c r="T43" i="3"/>
  <c r="T18" i="3"/>
  <c r="T11" i="3"/>
  <c r="T32" i="3"/>
  <c r="T30" i="58" s="1"/>
  <c r="T122" i="5"/>
  <c r="T141" i="42"/>
  <c r="T137" i="42"/>
  <c r="T51" i="7" l="1"/>
  <c r="T52" i="7"/>
  <c r="AD74" i="5"/>
  <c r="Y76" i="5"/>
  <c r="Y77" i="5"/>
  <c r="T47" i="7"/>
  <c r="T46" i="7"/>
  <c r="T21" i="3"/>
  <c r="T49" i="3"/>
  <c r="T27" i="3"/>
  <c r="T20" i="3"/>
  <c r="T19" i="3"/>
  <c r="T41" i="7"/>
  <c r="T42" i="7"/>
  <c r="T27" i="58"/>
  <c r="T47" i="58"/>
  <c r="T19" i="58"/>
  <c r="T20" i="58"/>
  <c r="T21" i="58"/>
  <c r="U21" i="58" s="1"/>
  <c r="T130" i="42"/>
  <c r="T131" i="42" s="1"/>
  <c r="T129" i="42" s="1"/>
  <c r="T52" i="3" l="1"/>
  <c r="T97" i="3"/>
  <c r="T99" i="3" s="1"/>
  <c r="T51" i="3"/>
  <c r="T50" i="3"/>
  <c r="AI74" i="5"/>
  <c r="AD76" i="5"/>
  <c r="AD77" i="5"/>
  <c r="T50" i="58"/>
  <c r="T48" i="58"/>
  <c r="T49" i="58"/>
  <c r="T59" i="58"/>
  <c r="T124" i="42"/>
  <c r="T125" i="42" s="1"/>
  <c r="T123" i="42" s="1"/>
  <c r="T90" i="63"/>
  <c r="T64" i="58" l="1"/>
  <c r="T62" i="58"/>
  <c r="T100" i="3"/>
  <c r="T95" i="58"/>
  <c r="T97" i="58" s="1"/>
  <c r="AI76" i="5"/>
  <c r="AI77" i="5"/>
  <c r="T15" i="3"/>
  <c r="T16" i="3"/>
  <c r="T99" i="58" l="1"/>
  <c r="T98" i="58"/>
  <c r="T66" i="58"/>
  <c r="T70" i="58"/>
  <c r="T75" i="58"/>
  <c r="T37" i="5"/>
  <c r="T82" i="58" l="1"/>
  <c r="T92" i="58"/>
  <c r="T78" i="58"/>
  <c r="T72" i="58"/>
  <c r="T71" i="58"/>
  <c r="T67" i="58"/>
  <c r="T68" i="58"/>
  <c r="X81" i="5"/>
  <c r="T80" i="58" l="1"/>
  <c r="T79" i="58"/>
  <c r="T84" i="58"/>
  <c r="T83" i="58"/>
  <c r="T113" i="5"/>
  <c r="V90" i="59" l="1"/>
  <c r="R31" i="59"/>
  <c r="S85" i="59"/>
  <c r="X86" i="59" s="1"/>
  <c r="S91" i="59"/>
  <c r="S86" i="59" l="1"/>
  <c r="W31" i="59"/>
  <c r="S195" i="59"/>
  <c r="R32" i="59"/>
  <c r="R47" i="59" l="1"/>
  <c r="R48" i="59"/>
  <c r="V195" i="59"/>
  <c r="V207" i="59"/>
  <c r="S32" i="59"/>
  <c r="T209" i="59"/>
  <c r="S20" i="59"/>
  <c r="S209" i="59"/>
  <c r="T205" i="59"/>
  <c r="V85" i="59" l="1"/>
  <c r="V86" i="59" s="1"/>
  <c r="T41" i="59"/>
  <c r="U209" i="59"/>
  <c r="T20" i="59"/>
  <c r="S10" i="59"/>
  <c r="S28" i="59"/>
  <c r="V58" i="6"/>
  <c r="U205" i="59"/>
  <c r="U20" i="59" s="1"/>
  <c r="S31" i="59"/>
  <c r="S47" i="59"/>
  <c r="V206" i="59"/>
  <c r="S77" i="59"/>
  <c r="X31" i="59"/>
  <c r="V209" i="59" l="1"/>
  <c r="AA86" i="59"/>
  <c r="S51" i="59"/>
  <c r="S53" i="59"/>
  <c r="T28" i="59"/>
  <c r="T10" i="59"/>
  <c r="S59" i="59"/>
  <c r="S70" i="59"/>
  <c r="S11" i="59"/>
  <c r="S12" i="59"/>
  <c r="S54" i="59"/>
  <c r="V73" i="59"/>
  <c r="V56" i="6" s="1"/>
  <c r="S48" i="59"/>
  <c r="S198" i="59"/>
  <c r="V205" i="59"/>
  <c r="V20" i="59" s="1"/>
  <c r="T54" i="59" l="1"/>
  <c r="T12" i="59"/>
  <c r="T70" i="59"/>
  <c r="T11" i="59"/>
  <c r="T53" i="59"/>
  <c r="T55" i="59" s="1"/>
  <c r="T51" i="59"/>
  <c r="V74" i="59"/>
  <c r="AA74" i="59"/>
  <c r="S56" i="59"/>
  <c r="W205" i="59"/>
  <c r="W209" i="59"/>
  <c r="U16" i="6" l="1"/>
  <c r="U67" i="59"/>
  <c r="U76" i="59"/>
  <c r="U193" i="59" s="1"/>
  <c r="V82" i="59"/>
  <c r="X209" i="59"/>
  <c r="X205" i="59"/>
  <c r="W20" i="59"/>
  <c r="V59" i="6" l="1"/>
  <c r="Y80" i="59"/>
  <c r="Y79" i="59" s="1"/>
  <c r="W80" i="59"/>
  <c r="W79" i="59" s="1"/>
  <c r="Z80" i="59"/>
  <c r="Z79" i="59" s="1"/>
  <c r="X80" i="59"/>
  <c r="X79" i="59" s="1"/>
  <c r="U59" i="6"/>
  <c r="U77" i="59"/>
  <c r="T72" i="6"/>
  <c r="Y205" i="59"/>
  <c r="X20" i="59"/>
  <c r="Y209" i="59"/>
  <c r="Z209" i="59" l="1"/>
  <c r="Z205" i="59"/>
  <c r="Y20" i="59"/>
  <c r="W16" i="6" l="1"/>
  <c r="W67" i="59"/>
  <c r="W76" i="59"/>
  <c r="W193" i="59" s="1"/>
  <c r="AA209" i="59"/>
  <c r="AA205" i="59"/>
  <c r="Z20" i="59"/>
  <c r="W59" i="6" l="1"/>
  <c r="W77" i="59"/>
  <c r="X67" i="59"/>
  <c r="X76" i="59"/>
  <c r="X193" i="59" s="1"/>
  <c r="X59" i="6"/>
  <c r="X16" i="6"/>
  <c r="AB205" i="59"/>
  <c r="AB209" i="59"/>
  <c r="AA20" i="59"/>
  <c r="Y67" i="59" l="1"/>
  <c r="Y76" i="59"/>
  <c r="Y193" i="59" s="1"/>
  <c r="X77" i="59"/>
  <c r="Y59" i="6"/>
  <c r="Y16" i="6"/>
  <c r="AA79" i="59"/>
  <c r="AC209" i="59"/>
  <c r="AC205" i="59"/>
  <c r="AB20" i="59"/>
  <c r="AA76" i="59" l="1"/>
  <c r="AA16" i="6"/>
  <c r="Z16" i="6"/>
  <c r="Z67" i="59"/>
  <c r="Z76" i="59"/>
  <c r="Z193" i="59" s="1"/>
  <c r="AA193" i="59" s="1"/>
  <c r="AC20" i="59"/>
  <c r="AD205" i="59"/>
  <c r="AD209" i="59"/>
  <c r="AA67" i="59" l="1"/>
  <c r="Z77" i="59"/>
  <c r="Z59" i="6"/>
  <c r="AA82" i="59"/>
  <c r="AD20" i="59"/>
  <c r="AE205" i="59"/>
  <c r="AE209" i="59"/>
  <c r="AC80" i="59" l="1"/>
  <c r="AC79" i="59" s="1"/>
  <c r="AD80" i="59"/>
  <c r="AD79" i="59" s="1"/>
  <c r="AB80" i="59"/>
  <c r="AB79" i="59" s="1"/>
  <c r="AB67" i="59" s="1"/>
  <c r="AE80" i="59"/>
  <c r="AE79" i="59" s="1"/>
  <c r="AA59" i="6"/>
  <c r="AF209" i="59"/>
  <c r="AE20" i="59"/>
  <c r="AF205" i="59"/>
  <c r="AB16" i="6" l="1"/>
  <c r="AC67" i="59"/>
  <c r="AB59" i="6"/>
  <c r="AC59" i="6"/>
  <c r="AC16" i="6"/>
  <c r="AG205" i="59"/>
  <c r="AG209" i="59"/>
  <c r="AF20" i="59"/>
  <c r="AD16" i="6" l="1"/>
  <c r="AD67" i="59"/>
  <c r="AH209" i="59"/>
  <c r="AG20" i="59"/>
  <c r="AH205" i="59"/>
  <c r="AD59" i="6" l="1"/>
  <c r="AE16" i="6"/>
  <c r="AE67" i="59"/>
  <c r="AF79" i="59"/>
  <c r="AI209" i="59"/>
  <c r="AI205" i="59"/>
  <c r="AH20" i="59"/>
  <c r="AE59" i="6" l="1"/>
  <c r="AF82" i="59"/>
  <c r="AF16" i="6"/>
  <c r="AF67" i="59"/>
  <c r="AJ205" i="59"/>
  <c r="AJ209" i="59"/>
  <c r="AI20" i="59"/>
  <c r="AI80" i="59" l="1"/>
  <c r="AI79" i="59" s="1"/>
  <c r="AH80" i="59"/>
  <c r="AH79" i="59" s="1"/>
  <c r="AJ80" i="59"/>
  <c r="AJ79" i="59" s="1"/>
  <c r="AG80" i="59"/>
  <c r="AG79" i="59" s="1"/>
  <c r="AG16" i="6" s="1"/>
  <c r="AF59" i="6"/>
  <c r="AK209" i="59"/>
  <c r="AJ20" i="59"/>
  <c r="AK205" i="59"/>
  <c r="AK20" i="59" s="1"/>
  <c r="AG67" i="59" l="1"/>
  <c r="AH59" i="6"/>
  <c r="AH67" i="59"/>
  <c r="AG59" i="6"/>
  <c r="AH16" i="6"/>
  <c r="AI16" i="6" l="1"/>
  <c r="AI67" i="59"/>
  <c r="AI59" i="6"/>
  <c r="AJ16" i="6" l="1"/>
  <c r="AJ67" i="59"/>
  <c r="AK67" i="59" s="1"/>
  <c r="AK79" i="59"/>
  <c r="AK16" i="6" l="1"/>
  <c r="AJ59" i="6"/>
  <c r="AK82" i="59"/>
  <c r="AK59" i="6" l="1"/>
  <c r="V79" i="59" l="1"/>
  <c r="V16" i="6" s="1"/>
  <c r="U26" i="59"/>
  <c r="T193" i="59"/>
  <c r="V193" i="59" s="1"/>
  <c r="V76" i="59" l="1"/>
  <c r="V77" i="59" s="1"/>
  <c r="V67" i="59"/>
  <c r="V26" i="59" l="1"/>
  <c r="W26" i="59" s="1"/>
  <c r="AA77" i="59"/>
  <c r="T62" i="3"/>
  <c r="X26" i="59" l="1"/>
  <c r="T67" i="3"/>
  <c r="T78" i="3" s="1"/>
  <c r="T46" i="5"/>
  <c r="T84" i="3" l="1"/>
  <c r="T94" i="3"/>
  <c r="T80" i="3"/>
  <c r="Y26" i="59"/>
  <c r="T73" i="3"/>
  <c r="T69" i="3"/>
  <c r="T65" i="3"/>
  <c r="T81" i="3" l="1"/>
  <c r="T82" i="3"/>
  <c r="T86" i="3"/>
  <c r="T85" i="3"/>
  <c r="Z26" i="59"/>
  <c r="T70" i="3"/>
  <c r="T71" i="3"/>
  <c r="T10" i="6"/>
  <c r="T74" i="3"/>
  <c r="T75" i="3"/>
  <c r="AA26" i="59" l="1"/>
  <c r="T57" i="5"/>
  <c r="T60" i="59" s="1"/>
  <c r="T59" i="59" s="1"/>
  <c r="T12" i="6"/>
  <c r="T34" i="6" s="1"/>
  <c r="T36" i="6" s="1"/>
  <c r="T75" i="6" s="1"/>
  <c r="T77" i="6" s="1"/>
  <c r="T85" i="6" s="1"/>
  <c r="AB26" i="59" l="1"/>
  <c r="T115" i="5"/>
  <c r="T37" i="6"/>
  <c r="T191" i="59"/>
  <c r="T198" i="59" s="1"/>
  <c r="T56" i="59" s="1"/>
  <c r="T90" i="6"/>
  <c r="T58" i="5"/>
  <c r="AC26" i="59" l="1"/>
  <c r="T92" i="6"/>
  <c r="T116" i="5"/>
  <c r="AD26" i="59" l="1"/>
  <c r="U76" i="6"/>
  <c r="U190" i="59" s="1"/>
  <c r="T124" i="5"/>
  <c r="T93" i="6"/>
  <c r="AE26" i="59" l="1"/>
  <c r="T125" i="5"/>
  <c r="T16" i="5"/>
  <c r="U129" i="58"/>
  <c r="U128" i="58" s="1"/>
  <c r="T87" i="6"/>
  <c r="T138" i="42"/>
  <c r="T136" i="42" s="1"/>
  <c r="AF26" i="59" l="1"/>
  <c r="U58" i="58"/>
  <c r="V128" i="58"/>
  <c r="T27" i="5"/>
  <c r="T60" i="5" s="1"/>
  <c r="AG26" i="59" l="1"/>
  <c r="V130" i="58"/>
  <c r="V58" i="58"/>
  <c r="U61" i="3"/>
  <c r="AH26" i="59" l="1"/>
  <c r="V61" i="3"/>
  <c r="AI26" i="59" l="1"/>
  <c r="AJ26" i="59" l="1"/>
  <c r="AK26" i="59" l="1"/>
  <c r="T25" i="63" l="1"/>
  <c r="T27" i="63" s="1"/>
  <c r="T52" i="63"/>
  <c r="T18" i="94" s="1"/>
  <c r="U59" i="63"/>
  <c r="U62" i="63" s="1"/>
  <c r="U60" i="63" l="1"/>
  <c r="U66" i="63"/>
  <c r="U70" i="63" s="1"/>
  <c r="T69" i="59"/>
  <c r="U63" i="63"/>
  <c r="U113" i="63"/>
  <c r="U42" i="94" s="1"/>
  <c r="U39" i="94" s="1"/>
  <c r="U23" i="94" s="1"/>
  <c r="U24" i="94" s="1"/>
  <c r="V59" i="63"/>
  <c r="U93" i="63"/>
  <c r="U56" i="3" s="1"/>
  <c r="W59" i="63"/>
  <c r="W66" i="63" s="1"/>
  <c r="T113" i="63"/>
  <c r="T69" i="94"/>
  <c r="T58" i="94" s="1"/>
  <c r="T59" i="94" s="1"/>
  <c r="T20" i="94"/>
  <c r="U52" i="63"/>
  <c r="W52" i="63" s="1"/>
  <c r="T139" i="59"/>
  <c r="T140" i="59" s="1"/>
  <c r="T26" i="63"/>
  <c r="T19" i="94"/>
  <c r="T89" i="5"/>
  <c r="T28" i="63"/>
  <c r="T18" i="63" s="1"/>
  <c r="T18" i="42" s="1"/>
  <c r="U53" i="58"/>
  <c r="U95" i="63"/>
  <c r="T57" i="63"/>
  <c r="T56" i="63"/>
  <c r="T55" i="63"/>
  <c r="T53" i="63"/>
  <c r="T54" i="63"/>
  <c r="W62" i="63" l="1"/>
  <c r="X59" i="63"/>
  <c r="X93" i="63" s="1"/>
  <c r="U69" i="59"/>
  <c r="U69" i="63"/>
  <c r="W63" i="63"/>
  <c r="V66" i="63"/>
  <c r="V67" i="63" s="1"/>
  <c r="U69" i="94"/>
  <c r="V69" i="94" s="1"/>
  <c r="U110" i="63"/>
  <c r="U101" i="63" s="1"/>
  <c r="U102" i="63" s="1"/>
  <c r="W93" i="63"/>
  <c r="W46" i="63" s="1"/>
  <c r="W71" i="63" s="1"/>
  <c r="W60" i="63"/>
  <c r="U67" i="63"/>
  <c r="U68" i="63"/>
  <c r="U14" i="6"/>
  <c r="U98" i="3" s="1"/>
  <c r="U25" i="94"/>
  <c r="U36" i="94"/>
  <c r="V93" i="63"/>
  <c r="U94" i="63"/>
  <c r="V113" i="63"/>
  <c r="T110" i="63"/>
  <c r="T101" i="63" s="1"/>
  <c r="T42" i="94"/>
  <c r="T39" i="94" s="1"/>
  <c r="V60" i="63"/>
  <c r="V62" i="63"/>
  <c r="U55" i="63"/>
  <c r="U89" i="5"/>
  <c r="U54" i="63"/>
  <c r="U46" i="63"/>
  <c r="U53" i="63"/>
  <c r="V52" i="63"/>
  <c r="U139" i="59"/>
  <c r="U140" i="59" s="1"/>
  <c r="U18" i="94"/>
  <c r="U19" i="94" s="1"/>
  <c r="W68" i="63"/>
  <c r="W67" i="63"/>
  <c r="W70" i="63"/>
  <c r="W69" i="63"/>
  <c r="X52" i="63"/>
  <c r="W53" i="63"/>
  <c r="W89" i="5"/>
  <c r="W55" i="63"/>
  <c r="W18" i="94"/>
  <c r="W139" i="59"/>
  <c r="W140" i="59" s="1"/>
  <c r="W54" i="63"/>
  <c r="V69" i="63" l="1"/>
  <c r="X66" i="63"/>
  <c r="X70" i="63" s="1"/>
  <c r="X60" i="63"/>
  <c r="X62" i="63"/>
  <c r="Y59" i="63"/>
  <c r="Y93" i="63" s="1"/>
  <c r="Y113" i="63" s="1"/>
  <c r="X63" i="63"/>
  <c r="W69" i="94"/>
  <c r="T104" i="63"/>
  <c r="T102" i="63"/>
  <c r="T103" i="63"/>
  <c r="U103" i="63"/>
  <c r="U20" i="94"/>
  <c r="V69" i="59"/>
  <c r="V56" i="3"/>
  <c r="V94" i="63"/>
  <c r="V53" i="58"/>
  <c r="W113" i="63"/>
  <c r="V110" i="63"/>
  <c r="V42" i="94"/>
  <c r="V39" i="94" s="1"/>
  <c r="W56" i="3"/>
  <c r="W69" i="59"/>
  <c r="W95" i="63"/>
  <c r="W94" i="63"/>
  <c r="W53" i="58"/>
  <c r="U115" i="63"/>
  <c r="T64" i="5"/>
  <c r="T80" i="5" s="1"/>
  <c r="U80" i="5" s="1"/>
  <c r="W80" i="5" s="1"/>
  <c r="X80" i="5" s="1"/>
  <c r="Y80" i="5" s="1"/>
  <c r="Z80" i="5" s="1"/>
  <c r="AB80" i="5" s="1"/>
  <c r="AC80" i="5" s="1"/>
  <c r="AD80" i="5" s="1"/>
  <c r="AE80" i="5" s="1"/>
  <c r="AG80" i="5" s="1"/>
  <c r="AH80" i="5" s="1"/>
  <c r="AI80" i="5" s="1"/>
  <c r="AJ80" i="5" s="1"/>
  <c r="V139" i="59"/>
  <c r="V53" i="63"/>
  <c r="V55" i="63"/>
  <c r="V89" i="5"/>
  <c r="V18" i="94"/>
  <c r="V19" i="94" s="1"/>
  <c r="W57" i="63"/>
  <c r="U70" i="94"/>
  <c r="U49" i="63"/>
  <c r="U20" i="5"/>
  <c r="U78" i="63"/>
  <c r="U14" i="94"/>
  <c r="U57" i="63"/>
  <c r="U48" i="63"/>
  <c r="U50" i="63"/>
  <c r="U40" i="6"/>
  <c r="V46" i="63"/>
  <c r="U34" i="63"/>
  <c r="U47" i="63"/>
  <c r="U71" i="63"/>
  <c r="X69" i="94"/>
  <c r="W20" i="94"/>
  <c r="W71" i="94"/>
  <c r="W19" i="94"/>
  <c r="W14" i="94"/>
  <c r="W49" i="63"/>
  <c r="W47" i="63"/>
  <c r="W40" i="6"/>
  <c r="W78" i="63"/>
  <c r="W48" i="63"/>
  <c r="W34" i="63"/>
  <c r="W50" i="63"/>
  <c r="Y52" i="63"/>
  <c r="X54" i="63"/>
  <c r="X53" i="63"/>
  <c r="X55" i="63"/>
  <c r="X139" i="59"/>
  <c r="X140" i="59" s="1"/>
  <c r="X18" i="94"/>
  <c r="X56" i="3"/>
  <c r="X69" i="59"/>
  <c r="X53" i="58"/>
  <c r="X95" i="63"/>
  <c r="X94" i="63"/>
  <c r="X113" i="63"/>
  <c r="X46" i="63" l="1"/>
  <c r="X57" i="63" s="1"/>
  <c r="X89" i="5"/>
  <c r="X68" i="63"/>
  <c r="X67" i="63"/>
  <c r="X69" i="63"/>
  <c r="Z59" i="63"/>
  <c r="Z60" i="63" s="1"/>
  <c r="Y63" i="63"/>
  <c r="Y62" i="63"/>
  <c r="Y66" i="63"/>
  <c r="Y70" i="63" s="1"/>
  <c r="Y60" i="63"/>
  <c r="T20" i="63"/>
  <c r="T127" i="63"/>
  <c r="T117" i="63"/>
  <c r="V115" i="63"/>
  <c r="V21" i="5" s="1"/>
  <c r="V44" i="94" s="1"/>
  <c r="U21" i="5"/>
  <c r="U22" i="5" s="1"/>
  <c r="U32" i="63" s="1"/>
  <c r="W110" i="63"/>
  <c r="W42" i="94"/>
  <c r="W39" i="94" s="1"/>
  <c r="U36" i="63"/>
  <c r="U37" i="63"/>
  <c r="U35" i="63"/>
  <c r="U38" i="63"/>
  <c r="V34" i="63"/>
  <c r="U16" i="94"/>
  <c r="U15" i="94"/>
  <c r="V71" i="63"/>
  <c r="V47" i="63"/>
  <c r="V49" i="63"/>
  <c r="V78" i="63"/>
  <c r="V14" i="94"/>
  <c r="V15" i="94" s="1"/>
  <c r="V57" i="63"/>
  <c r="V40" i="6"/>
  <c r="U31" i="63"/>
  <c r="V20" i="5"/>
  <c r="U51" i="6"/>
  <c r="U53" i="6" s="1"/>
  <c r="U119" i="5"/>
  <c r="U91" i="6"/>
  <c r="V70" i="94"/>
  <c r="U58" i="94"/>
  <c r="U59" i="94" s="1"/>
  <c r="X110" i="63"/>
  <c r="X42" i="94"/>
  <c r="X39" i="94" s="1"/>
  <c r="X71" i="94"/>
  <c r="Y71" i="94" s="1"/>
  <c r="Z71" i="94" s="1"/>
  <c r="AB71" i="94" s="1"/>
  <c r="W36" i="63"/>
  <c r="W35" i="63"/>
  <c r="W38" i="63"/>
  <c r="W37" i="63"/>
  <c r="W91" i="6"/>
  <c r="W119" i="5"/>
  <c r="W51" i="6"/>
  <c r="W53" i="6" s="1"/>
  <c r="Y69" i="59"/>
  <c r="Y56" i="3"/>
  <c r="Y53" i="58"/>
  <c r="Y94" i="63"/>
  <c r="Y95" i="63"/>
  <c r="Y69" i="94"/>
  <c r="X72" i="94"/>
  <c r="X19" i="94"/>
  <c r="X20" i="94"/>
  <c r="X50" i="63"/>
  <c r="X34" i="63"/>
  <c r="X40" i="6"/>
  <c r="X78" i="63"/>
  <c r="X49" i="63"/>
  <c r="X47" i="63"/>
  <c r="X48" i="63"/>
  <c r="W16" i="94"/>
  <c r="W15" i="94"/>
  <c r="X71" i="63"/>
  <c r="Y110" i="63"/>
  <c r="Y42" i="94"/>
  <c r="Y39" i="94" s="1"/>
  <c r="Y139" i="59"/>
  <c r="Y140" i="59" s="1"/>
  <c r="Y18" i="94"/>
  <c r="Y54" i="63"/>
  <c r="Z52" i="63"/>
  <c r="AA52" i="63" s="1"/>
  <c r="Y53" i="63"/>
  <c r="Y55" i="63"/>
  <c r="X14" i="94" l="1"/>
  <c r="Z63" i="63"/>
  <c r="AA59" i="63"/>
  <c r="AA62" i="63" s="1"/>
  <c r="Z62" i="63"/>
  <c r="Z66" i="63"/>
  <c r="Z69" i="63" s="1"/>
  <c r="Z93" i="63"/>
  <c r="Z53" i="58" s="1"/>
  <c r="AB59" i="63"/>
  <c r="AB66" i="63" s="1"/>
  <c r="Y46" i="63"/>
  <c r="Y57" i="63" s="1"/>
  <c r="Y89" i="5"/>
  <c r="Y67" i="63"/>
  <c r="Y68" i="63"/>
  <c r="Y69" i="63"/>
  <c r="T21" i="63"/>
  <c r="T22" i="63"/>
  <c r="T23" i="63"/>
  <c r="T16" i="63" s="1"/>
  <c r="U44" i="94"/>
  <c r="U120" i="5"/>
  <c r="U121" i="5"/>
  <c r="V51" i="6"/>
  <c r="V91" i="6"/>
  <c r="V119" i="5"/>
  <c r="U192" i="59"/>
  <c r="V53" i="6"/>
  <c r="W70" i="94"/>
  <c r="V58" i="94"/>
  <c r="W20" i="5"/>
  <c r="V31" i="63"/>
  <c r="V22" i="5"/>
  <c r="V32" i="63" s="1"/>
  <c r="U64" i="63"/>
  <c r="U25" i="63"/>
  <c r="V37" i="63"/>
  <c r="V35" i="63"/>
  <c r="AA55" i="63"/>
  <c r="AA139" i="59"/>
  <c r="AA53" i="63"/>
  <c r="AA18" i="94"/>
  <c r="AA19" i="94" s="1"/>
  <c r="AC71" i="94"/>
  <c r="AD71" i="94" s="1"/>
  <c r="AE71" i="94" s="1"/>
  <c r="AG71" i="94" s="1"/>
  <c r="X37" i="63"/>
  <c r="X35" i="63"/>
  <c r="X38" i="63"/>
  <c r="X36" i="63"/>
  <c r="W120" i="5"/>
  <c r="W121" i="5"/>
  <c r="Z69" i="94"/>
  <c r="AA69" i="94" s="1"/>
  <c r="Y73" i="94"/>
  <c r="Y20" i="94"/>
  <c r="Y19" i="94"/>
  <c r="Z54" i="63"/>
  <c r="Z53" i="63"/>
  <c r="AB52" i="63"/>
  <c r="Z89" i="5"/>
  <c r="Z139" i="59"/>
  <c r="Z140" i="59" s="1"/>
  <c r="Z18" i="94"/>
  <c r="Z55" i="63"/>
  <c r="X16" i="94"/>
  <c r="X15" i="94"/>
  <c r="X51" i="6"/>
  <c r="X53" i="6" s="1"/>
  <c r="X91" i="6"/>
  <c r="X119" i="5"/>
  <c r="W192" i="59"/>
  <c r="Y72" i="94"/>
  <c r="Z72" i="94" s="1"/>
  <c r="AB72" i="94" s="1"/>
  <c r="AA71" i="94"/>
  <c r="Z70" i="63" l="1"/>
  <c r="AA66" i="63"/>
  <c r="AA89" i="5" s="1"/>
  <c r="Z56" i="3"/>
  <c r="AA93" i="63"/>
  <c r="AA69" i="59" s="1"/>
  <c r="Z67" i="63"/>
  <c r="Z68" i="63"/>
  <c r="Z46" i="63"/>
  <c r="Z71" i="63" s="1"/>
  <c r="Z113" i="63"/>
  <c r="Z110" i="63" s="1"/>
  <c r="Z95" i="63"/>
  <c r="AB63" i="63"/>
  <c r="Z69" i="59"/>
  <c r="AC59" i="63"/>
  <c r="AC66" i="63" s="1"/>
  <c r="Z94" i="63"/>
  <c r="Y47" i="63"/>
  <c r="AB62" i="63"/>
  <c r="AB93" i="63"/>
  <c r="AB69" i="59" s="1"/>
  <c r="Y14" i="94"/>
  <c r="Y15" i="94" s="1"/>
  <c r="Y71" i="63"/>
  <c r="AB60" i="63"/>
  <c r="AA60" i="63"/>
  <c r="Y48" i="63"/>
  <c r="Y40" i="6"/>
  <c r="Y119" i="5" s="1"/>
  <c r="Y50" i="63"/>
  <c r="Y49" i="63"/>
  <c r="Y78" i="63"/>
  <c r="Y34" i="63"/>
  <c r="Y35" i="63" s="1"/>
  <c r="AA72" i="94"/>
  <c r="T16" i="42"/>
  <c r="V16" i="63"/>
  <c r="V16" i="42" s="1"/>
  <c r="T17" i="63"/>
  <c r="T17" i="42" s="1"/>
  <c r="AF71" i="94"/>
  <c r="U28" i="63"/>
  <c r="U20" i="63"/>
  <c r="U27" i="63"/>
  <c r="V25" i="63"/>
  <c r="U26" i="63"/>
  <c r="X70" i="94"/>
  <c r="W58" i="94"/>
  <c r="W28" i="94" s="1"/>
  <c r="V120" i="5"/>
  <c r="V192" i="59"/>
  <c r="V59" i="94"/>
  <c r="V28" i="94"/>
  <c r="V64" i="63"/>
  <c r="V97" i="63"/>
  <c r="X20" i="5"/>
  <c r="W31" i="63"/>
  <c r="X192" i="59"/>
  <c r="AB69" i="63"/>
  <c r="AB67" i="63"/>
  <c r="AB68" i="63"/>
  <c r="AB70" i="63"/>
  <c r="Z20" i="94"/>
  <c r="Z74" i="94"/>
  <c r="AA74" i="94" s="1"/>
  <c r="AB74" i="94" s="1"/>
  <c r="Z19" i="94"/>
  <c r="AB69" i="94"/>
  <c r="AC52" i="63"/>
  <c r="AB18" i="94"/>
  <c r="AB55" i="63"/>
  <c r="AB89" i="5"/>
  <c r="AB139" i="59"/>
  <c r="AB138" i="59" s="1"/>
  <c r="AB54" i="63"/>
  <c r="AB53" i="63"/>
  <c r="AA67" i="63"/>
  <c r="AA69" i="63"/>
  <c r="AC72" i="94"/>
  <c r="AD72" i="94" s="1"/>
  <c r="AE72" i="94" s="1"/>
  <c r="AG72" i="94" s="1"/>
  <c r="X121" i="5"/>
  <c r="X120" i="5"/>
  <c r="Z73" i="94"/>
  <c r="AB73" i="94" s="1"/>
  <c r="AH71" i="94"/>
  <c r="AI71" i="94" s="1"/>
  <c r="AJ71" i="94" s="1"/>
  <c r="AA56" i="3" l="1"/>
  <c r="AA53" i="58"/>
  <c r="AA94" i="63"/>
  <c r="Z47" i="63"/>
  <c r="Z50" i="63"/>
  <c r="Z48" i="63"/>
  <c r="Z14" i="94"/>
  <c r="Z16" i="94" s="1"/>
  <c r="Z57" i="63"/>
  <c r="AA46" i="63"/>
  <c r="AA71" i="63" s="1"/>
  <c r="Z34" i="63"/>
  <c r="Z38" i="63" s="1"/>
  <c r="Z49" i="63"/>
  <c r="AA113" i="63"/>
  <c r="AA110" i="63" s="1"/>
  <c r="Z42" i="94"/>
  <c r="Z39" i="94" s="1"/>
  <c r="Y37" i="63"/>
  <c r="Y51" i="6"/>
  <c r="Y53" i="6" s="1"/>
  <c r="Z78" i="63"/>
  <c r="Z40" i="6"/>
  <c r="Z91" i="6" s="1"/>
  <c r="Y38" i="63"/>
  <c r="AB113" i="63"/>
  <c r="AB42" i="94" s="1"/>
  <c r="AB39" i="94" s="1"/>
  <c r="AD59" i="63"/>
  <c r="AD66" i="63" s="1"/>
  <c r="AC60" i="63"/>
  <c r="AB95" i="63"/>
  <c r="AB53" i="58"/>
  <c r="Y16" i="94"/>
  <c r="AB56" i="3"/>
  <c r="AC62" i="63"/>
  <c r="AC93" i="63"/>
  <c r="AC113" i="63" s="1"/>
  <c r="AC42" i="94" s="1"/>
  <c r="AC39" i="94" s="1"/>
  <c r="AC63" i="63"/>
  <c r="AB46" i="63"/>
  <c r="AB71" i="63" s="1"/>
  <c r="AB94" i="63"/>
  <c r="Y91" i="6"/>
  <c r="Y36" i="63"/>
  <c r="AK71" i="94"/>
  <c r="AF72" i="94"/>
  <c r="V28" i="63"/>
  <c r="V20" i="63"/>
  <c r="V21" i="63" s="1"/>
  <c r="V26" i="63"/>
  <c r="AA73" i="94"/>
  <c r="Y20" i="5"/>
  <c r="X31" i="63"/>
  <c r="V106" i="63"/>
  <c r="V29" i="94"/>
  <c r="V23" i="94"/>
  <c r="U23" i="63"/>
  <c r="U21" i="63"/>
  <c r="U22" i="63"/>
  <c r="W25" i="63"/>
  <c r="W64" i="63"/>
  <c r="W59" i="94"/>
  <c r="Y70" i="94"/>
  <c r="X58" i="94"/>
  <c r="Y121" i="5"/>
  <c r="Y120" i="5"/>
  <c r="AH72" i="94"/>
  <c r="AI72" i="94" s="1"/>
  <c r="AJ72" i="94" s="1"/>
  <c r="AB75" i="94"/>
  <c r="AB20" i="94"/>
  <c r="AB19" i="94"/>
  <c r="AC139" i="59"/>
  <c r="AC138" i="59" s="1"/>
  <c r="AD52" i="63"/>
  <c r="AC18" i="94"/>
  <c r="AC76" i="94" s="1"/>
  <c r="AC55" i="63"/>
  <c r="AC53" i="63"/>
  <c r="AC89" i="5"/>
  <c r="AC54" i="63"/>
  <c r="AC69" i="94"/>
  <c r="AC67" i="63"/>
  <c r="AC68" i="63"/>
  <c r="AC70" i="63"/>
  <c r="AC69" i="63"/>
  <c r="AB137" i="59"/>
  <c r="AB73" i="59"/>
  <c r="AB90" i="5"/>
  <c r="AC73" i="94"/>
  <c r="AD73" i="94" s="1"/>
  <c r="AE73" i="94" s="1"/>
  <c r="AG73" i="94" s="1"/>
  <c r="AC74" i="94"/>
  <c r="AD74" i="94" s="1"/>
  <c r="AE74" i="94" s="1"/>
  <c r="AG74" i="94" s="1"/>
  <c r="AB110" i="63" l="1"/>
  <c r="AA42" i="94"/>
  <c r="AA39" i="94" s="1"/>
  <c r="AD62" i="63"/>
  <c r="AE59" i="63"/>
  <c r="AE62" i="63" s="1"/>
  <c r="AD60" i="63"/>
  <c r="Z15" i="94"/>
  <c r="AD93" i="63"/>
  <c r="AD56" i="3" s="1"/>
  <c r="AA57" i="63"/>
  <c r="Y192" i="59"/>
  <c r="AA40" i="6"/>
  <c r="AA119" i="5" s="1"/>
  <c r="AA47" i="63"/>
  <c r="AA78" i="63"/>
  <c r="AA49" i="63"/>
  <c r="AA14" i="94"/>
  <c r="AA15" i="94" s="1"/>
  <c r="AA34" i="63"/>
  <c r="AA35" i="63" s="1"/>
  <c r="Z51" i="6"/>
  <c r="Z53" i="6" s="1"/>
  <c r="AA53" i="6" s="1"/>
  <c r="AA192" i="59" s="1"/>
  <c r="Z37" i="63"/>
  <c r="Z35" i="63"/>
  <c r="Z36" i="63"/>
  <c r="Z119" i="5"/>
  <c r="Z120" i="5" s="1"/>
  <c r="AD63" i="63"/>
  <c r="AB50" i="63"/>
  <c r="AB40" i="6"/>
  <c r="AB119" i="5" s="1"/>
  <c r="AC46" i="63"/>
  <c r="AC40" i="6" s="1"/>
  <c r="AC69" i="59"/>
  <c r="AC53" i="58"/>
  <c r="AB47" i="63"/>
  <c r="AB49" i="63"/>
  <c r="AC94" i="63"/>
  <c r="AC56" i="3"/>
  <c r="AB48" i="63"/>
  <c r="AB78" i="63"/>
  <c r="AB34" i="63"/>
  <c r="AB36" i="63" s="1"/>
  <c r="AC95" i="63"/>
  <c r="AB57" i="63"/>
  <c r="AB14" i="94"/>
  <c r="AB16" i="94" s="1"/>
  <c r="AC110" i="63"/>
  <c r="AF74" i="94"/>
  <c r="X28" i="94"/>
  <c r="X59" i="94"/>
  <c r="W27" i="63"/>
  <c r="W26" i="63"/>
  <c r="W28" i="63"/>
  <c r="V107" i="63"/>
  <c r="V101" i="63"/>
  <c r="V102" i="63" s="1"/>
  <c r="W33" i="94"/>
  <c r="W29" i="94"/>
  <c r="W23" i="94"/>
  <c r="W106" i="63"/>
  <c r="W30" i="94"/>
  <c r="Z70" i="94"/>
  <c r="AA70" i="94" s="1"/>
  <c r="AA58" i="94" s="1"/>
  <c r="Y58" i="94"/>
  <c r="X25" i="63"/>
  <c r="X64" i="63"/>
  <c r="Y31" i="63"/>
  <c r="Z20" i="5"/>
  <c r="V24" i="94"/>
  <c r="V14" i="6"/>
  <c r="V37" i="94"/>
  <c r="V36" i="94"/>
  <c r="U10" i="63"/>
  <c r="V23" i="63"/>
  <c r="AF73" i="94"/>
  <c r="AC20" i="94"/>
  <c r="AC19" i="94"/>
  <c r="AC75" i="94"/>
  <c r="AD75" i="94" s="1"/>
  <c r="AE75" i="94" s="1"/>
  <c r="AG75" i="94" s="1"/>
  <c r="AD55" i="63"/>
  <c r="AD18" i="94"/>
  <c r="AD53" i="63"/>
  <c r="AD54" i="63"/>
  <c r="AE52" i="63"/>
  <c r="AF52" i="63" s="1"/>
  <c r="AD139" i="59"/>
  <c r="AD138" i="59" s="1"/>
  <c r="AD89" i="5"/>
  <c r="AD67" i="63"/>
  <c r="AD70" i="63"/>
  <c r="AD68" i="63"/>
  <c r="AD69" i="63"/>
  <c r="AB76" i="59"/>
  <c r="AB56" i="6"/>
  <c r="AB74" i="59"/>
  <c r="AC90" i="5"/>
  <c r="AC73" i="59"/>
  <c r="AH73" i="94"/>
  <c r="AI73" i="94" s="1"/>
  <c r="AJ73" i="94" s="1"/>
  <c r="AH74" i="94"/>
  <c r="AI74" i="94" s="1"/>
  <c r="AJ74" i="94" s="1"/>
  <c r="AB21" i="59"/>
  <c r="AB145" i="59"/>
  <c r="AC137" i="59"/>
  <c r="AC145" i="59" s="1"/>
  <c r="AD69" i="94"/>
  <c r="AK72" i="94"/>
  <c r="AA37" i="63" l="1"/>
  <c r="AG59" i="63"/>
  <c r="AE60" i="63"/>
  <c r="AE63" i="63"/>
  <c r="AE66" i="63"/>
  <c r="AE69" i="63" s="1"/>
  <c r="AE93" i="63"/>
  <c r="AE113" i="63" s="1"/>
  <c r="AE110" i="63" s="1"/>
  <c r="AA91" i="6"/>
  <c r="AF59" i="63"/>
  <c r="AF60" i="63" s="1"/>
  <c r="AA51" i="6"/>
  <c r="AD95" i="63"/>
  <c r="AD53" i="58"/>
  <c r="AD46" i="63"/>
  <c r="AD57" i="63" s="1"/>
  <c r="AD69" i="59"/>
  <c r="AD113" i="63"/>
  <c r="AD42" i="94" s="1"/>
  <c r="AD39" i="94" s="1"/>
  <c r="AD94" i="63"/>
  <c r="AB51" i="6"/>
  <c r="AB53" i="6" s="1"/>
  <c r="Z192" i="59"/>
  <c r="Z121" i="5"/>
  <c r="AC57" i="63"/>
  <c r="AB91" i="6"/>
  <c r="AC71" i="63"/>
  <c r="AB15" i="94"/>
  <c r="AC49" i="63"/>
  <c r="AC50" i="63"/>
  <c r="AC48" i="63"/>
  <c r="AC78" i="63"/>
  <c r="AC34" i="63"/>
  <c r="AC37" i="63" s="1"/>
  <c r="AC47" i="63"/>
  <c r="AC14" i="94"/>
  <c r="AC16" i="94" s="1"/>
  <c r="AB37" i="63"/>
  <c r="AB38" i="63"/>
  <c r="AB35" i="63"/>
  <c r="AA59" i="94"/>
  <c r="AA28" i="94"/>
  <c r="U12" i="63"/>
  <c r="U41" i="63"/>
  <c r="U11" i="63"/>
  <c r="U18" i="63"/>
  <c r="U18" i="42" s="1"/>
  <c r="U13" i="63"/>
  <c r="P42" i="63"/>
  <c r="U10" i="94"/>
  <c r="U14" i="63"/>
  <c r="U14" i="42" s="1"/>
  <c r="V10" i="63"/>
  <c r="U10" i="42"/>
  <c r="W107" i="63"/>
  <c r="W108" i="63"/>
  <c r="W101" i="63"/>
  <c r="X27" i="63"/>
  <c r="X26" i="63"/>
  <c r="X28" i="63"/>
  <c r="W14" i="6"/>
  <c r="W25" i="94"/>
  <c r="W24" i="94"/>
  <c r="W36" i="94"/>
  <c r="V98" i="3"/>
  <c r="Y28" i="94"/>
  <c r="Y59" i="94"/>
  <c r="W34" i="94"/>
  <c r="W29" i="3"/>
  <c r="W35" i="94"/>
  <c r="Y25" i="63"/>
  <c r="Y64" i="63"/>
  <c r="AK73" i="94"/>
  <c r="AA20" i="5"/>
  <c r="Z31" i="63"/>
  <c r="AB70" i="94"/>
  <c r="Z58" i="94"/>
  <c r="X33" i="94"/>
  <c r="X106" i="63"/>
  <c r="X23" i="94"/>
  <c r="X30" i="94"/>
  <c r="X29" i="94"/>
  <c r="AC92" i="5"/>
  <c r="AA120" i="5"/>
  <c r="AD76" i="94"/>
  <c r="AE76" i="94" s="1"/>
  <c r="AG76" i="94" s="1"/>
  <c r="AC119" i="5"/>
  <c r="AC91" i="6"/>
  <c r="AC51" i="6"/>
  <c r="AC53" i="6" s="1"/>
  <c r="AF53" i="63"/>
  <c r="AF55" i="63"/>
  <c r="AF18" i="94"/>
  <c r="AF19" i="94" s="1"/>
  <c r="AF139" i="59"/>
  <c r="AE69" i="94"/>
  <c r="AF69" i="94" s="1"/>
  <c r="AK74" i="94"/>
  <c r="AB193" i="59"/>
  <c r="AB77" i="59"/>
  <c r="AH75" i="94"/>
  <c r="AI75" i="94" s="1"/>
  <c r="AJ75" i="94" s="1"/>
  <c r="AC21" i="59"/>
  <c r="AD137" i="59"/>
  <c r="AB121" i="5"/>
  <c r="AB120" i="5"/>
  <c r="AE67" i="63"/>
  <c r="AC76" i="59"/>
  <c r="AC56" i="6"/>
  <c r="AC74" i="59"/>
  <c r="AD73" i="59"/>
  <c r="AD90" i="5"/>
  <c r="AD77" i="94"/>
  <c r="AD20" i="94"/>
  <c r="AD19" i="94"/>
  <c r="AF75" i="94"/>
  <c r="AB92" i="5"/>
  <c r="AG93" i="63"/>
  <c r="AH59" i="63"/>
  <c r="AG66" i="63"/>
  <c r="AG60" i="63"/>
  <c r="AG63" i="63"/>
  <c r="AG62" i="63"/>
  <c r="AE54" i="63"/>
  <c r="AE18" i="94"/>
  <c r="AE139" i="59"/>
  <c r="AE138" i="59" s="1"/>
  <c r="AE55" i="63"/>
  <c r="AE53" i="63"/>
  <c r="AG52" i="63"/>
  <c r="AE89" i="5" l="1"/>
  <c r="AE70" i="63"/>
  <c r="AF66" i="63"/>
  <c r="AF69" i="63" s="1"/>
  <c r="AE94" i="63"/>
  <c r="AE68" i="63"/>
  <c r="AE69" i="59"/>
  <c r="AE56" i="3"/>
  <c r="AE53" i="58"/>
  <c r="AE46" i="63"/>
  <c r="AE14" i="94" s="1"/>
  <c r="AE95" i="63"/>
  <c r="AF93" i="63"/>
  <c r="AG113" i="63" s="1"/>
  <c r="AD78" i="63"/>
  <c r="AD34" i="63"/>
  <c r="AD38" i="63" s="1"/>
  <c r="AF62" i="63"/>
  <c r="AD50" i="63"/>
  <c r="AD14" i="94"/>
  <c r="AD15" i="94" s="1"/>
  <c r="AD49" i="63"/>
  <c r="AD48" i="63"/>
  <c r="AD40" i="6"/>
  <c r="AD71" i="63"/>
  <c r="AC15" i="94"/>
  <c r="AD47" i="63"/>
  <c r="AD110" i="63"/>
  <c r="AB192" i="59"/>
  <c r="AC38" i="63"/>
  <c r="AC36" i="63"/>
  <c r="AF113" i="63"/>
  <c r="AF110" i="63" s="1"/>
  <c r="AC35" i="63"/>
  <c r="AE42" i="94"/>
  <c r="AE39" i="94" s="1"/>
  <c r="AK75" i="94"/>
  <c r="Z25" i="63"/>
  <c r="Z64" i="63"/>
  <c r="Q42" i="63"/>
  <c r="V13" i="63"/>
  <c r="V10" i="42"/>
  <c r="V11" i="63"/>
  <c r="V10" i="94"/>
  <c r="V41" i="63"/>
  <c r="X25" i="94"/>
  <c r="X14" i="6"/>
  <c r="X24" i="94"/>
  <c r="X36" i="94"/>
  <c r="AA31" i="63"/>
  <c r="AB20" i="5"/>
  <c r="U11" i="42"/>
  <c r="U12" i="42"/>
  <c r="K41" i="42"/>
  <c r="U63" i="5"/>
  <c r="U10" i="3"/>
  <c r="U132" i="42"/>
  <c r="U10" i="58"/>
  <c r="U10" i="7"/>
  <c r="U126" i="42"/>
  <c r="U104" i="63"/>
  <c r="X107" i="63"/>
  <c r="X108" i="63"/>
  <c r="X101" i="63"/>
  <c r="W102" i="63"/>
  <c r="W115" i="63"/>
  <c r="W103" i="63"/>
  <c r="U26" i="94"/>
  <c r="U31" i="94"/>
  <c r="U11" i="94"/>
  <c r="U12" i="94"/>
  <c r="X35" i="94"/>
  <c r="X29" i="3"/>
  <c r="X34" i="94"/>
  <c r="Y106" i="63"/>
  <c r="Y23" i="94"/>
  <c r="Y33" i="94"/>
  <c r="Y29" i="94"/>
  <c r="Y30" i="94"/>
  <c r="AA23" i="94"/>
  <c r="AA29" i="94"/>
  <c r="AA106" i="63"/>
  <c r="AC70" i="94"/>
  <c r="AB58" i="94"/>
  <c r="Z59" i="94"/>
  <c r="Z28" i="94"/>
  <c r="Y28" i="63"/>
  <c r="Y27" i="63"/>
  <c r="Y26" i="63"/>
  <c r="W98" i="3"/>
  <c r="U13" i="42"/>
  <c r="U43" i="63"/>
  <c r="AG70" i="63"/>
  <c r="AG69" i="63"/>
  <c r="AG67" i="63"/>
  <c r="AG68" i="63"/>
  <c r="AE77" i="94"/>
  <c r="AG77" i="94" s="1"/>
  <c r="AC193" i="59"/>
  <c r="AC77" i="59"/>
  <c r="AC121" i="5"/>
  <c r="AC120" i="5"/>
  <c r="AE73" i="59"/>
  <c r="AE90" i="5"/>
  <c r="AF138" i="59"/>
  <c r="AH76" i="94"/>
  <c r="AI76" i="94" s="1"/>
  <c r="AJ76" i="94" s="1"/>
  <c r="AG55" i="63"/>
  <c r="AG46" i="63"/>
  <c r="AG71" i="63" s="1"/>
  <c r="AG18" i="94"/>
  <c r="AH52" i="63"/>
  <c r="AG89" i="5"/>
  <c r="AG53" i="63"/>
  <c r="AG139" i="59"/>
  <c r="AG138" i="59" s="1"/>
  <c r="AG54" i="63"/>
  <c r="AE19" i="94"/>
  <c r="AE20" i="94"/>
  <c r="AE78" i="94"/>
  <c r="AH63" i="63"/>
  <c r="AH60" i="63"/>
  <c r="AH93" i="63"/>
  <c r="AI59" i="63"/>
  <c r="AH62" i="63"/>
  <c r="AH66" i="63"/>
  <c r="AF76" i="94"/>
  <c r="AD76" i="59"/>
  <c r="AD56" i="6"/>
  <c r="AD74" i="59"/>
  <c r="AD21" i="59"/>
  <c r="AE137" i="59"/>
  <c r="AE145" i="59" s="1"/>
  <c r="AC192" i="59"/>
  <c r="AF67" i="63"/>
  <c r="AG69" i="94"/>
  <c r="AG53" i="58"/>
  <c r="AG69" i="59"/>
  <c r="AG95" i="63"/>
  <c r="AG56" i="3"/>
  <c r="AG94" i="63"/>
  <c r="AD145" i="59"/>
  <c r="AF89" i="5" l="1"/>
  <c r="AE57" i="63"/>
  <c r="AD16" i="94"/>
  <c r="AE48" i="63"/>
  <c r="AE78" i="63"/>
  <c r="AE49" i="63"/>
  <c r="AE50" i="63"/>
  <c r="AF94" i="63"/>
  <c r="AF69" i="59"/>
  <c r="AF53" i="58"/>
  <c r="AF46" i="63"/>
  <c r="AF71" i="63" s="1"/>
  <c r="AE34" i="63"/>
  <c r="AF34" i="63" s="1"/>
  <c r="AE40" i="6"/>
  <c r="AE119" i="5" s="1"/>
  <c r="AH113" i="63"/>
  <c r="AH110" i="63" s="1"/>
  <c r="AF56" i="3"/>
  <c r="AE47" i="63"/>
  <c r="AE71" i="63"/>
  <c r="AD37" i="63"/>
  <c r="AD35" i="63"/>
  <c r="AD36" i="63"/>
  <c r="AD51" i="6"/>
  <c r="AD53" i="6" s="1"/>
  <c r="AD192" i="59" s="1"/>
  <c r="AD119" i="5"/>
  <c r="AD121" i="5" s="1"/>
  <c r="AD91" i="6"/>
  <c r="AF42" i="94"/>
  <c r="AF39" i="94" s="1"/>
  <c r="W20" i="63"/>
  <c r="W21" i="5"/>
  <c r="X115" i="63"/>
  <c r="AD70" i="94"/>
  <c r="AC58" i="94"/>
  <c r="Y34" i="94"/>
  <c r="Y29" i="3"/>
  <c r="Y35" i="94"/>
  <c r="U29" i="7"/>
  <c r="U11" i="7"/>
  <c r="U36" i="7"/>
  <c r="U12" i="7"/>
  <c r="U40" i="7"/>
  <c r="U45" i="7"/>
  <c r="U21" i="7"/>
  <c r="U50" i="7"/>
  <c r="K42" i="42"/>
  <c r="L42" i="42" s="1"/>
  <c r="L41" i="42"/>
  <c r="V11" i="42"/>
  <c r="E5" i="64"/>
  <c r="E6" i="64" s="1"/>
  <c r="V10" i="7"/>
  <c r="V104" i="63"/>
  <c r="V10" i="3"/>
  <c r="V63" i="5"/>
  <c r="V122" i="5" s="1"/>
  <c r="V10" i="58"/>
  <c r="U127" i="42"/>
  <c r="V126" i="42"/>
  <c r="V127" i="42" s="1"/>
  <c r="AA107" i="63"/>
  <c r="AA101" i="63"/>
  <c r="Y24" i="94"/>
  <c r="Y25" i="94"/>
  <c r="Y36" i="94"/>
  <c r="Y14" i="6"/>
  <c r="X102" i="63"/>
  <c r="X103" i="63"/>
  <c r="U103" i="58"/>
  <c r="U102" i="58"/>
  <c r="U38" i="58"/>
  <c r="U12" i="58"/>
  <c r="U18" i="58"/>
  <c r="U11" i="58"/>
  <c r="U105" i="58"/>
  <c r="U32" i="58"/>
  <c r="U26" i="58"/>
  <c r="U104" i="58"/>
  <c r="X98" i="3"/>
  <c r="V13" i="42"/>
  <c r="V43" i="63"/>
  <c r="U13" i="5"/>
  <c r="U122" i="5"/>
  <c r="Z106" i="63"/>
  <c r="Z30" i="94"/>
  <c r="Z23" i="94"/>
  <c r="Z29" i="94"/>
  <c r="Z33" i="94"/>
  <c r="Y101" i="63"/>
  <c r="Y108" i="63"/>
  <c r="Y107" i="63"/>
  <c r="U137" i="42"/>
  <c r="U141" i="42"/>
  <c r="AA14" i="6"/>
  <c r="AA24" i="94"/>
  <c r="V132" i="42"/>
  <c r="V133" i="42" s="1"/>
  <c r="U133" i="42"/>
  <c r="AB31" i="63"/>
  <c r="AC20" i="5"/>
  <c r="AB59" i="94"/>
  <c r="AB28" i="94"/>
  <c r="U12" i="3"/>
  <c r="U11" i="3"/>
  <c r="AA64" i="63"/>
  <c r="AA97" i="63"/>
  <c r="V11" i="94"/>
  <c r="V31" i="94"/>
  <c r="V26" i="94"/>
  <c r="Z28" i="63"/>
  <c r="Z26" i="63"/>
  <c r="Z27" i="63"/>
  <c r="AA25" i="63"/>
  <c r="AH77" i="94"/>
  <c r="AI77" i="94" s="1"/>
  <c r="AJ77" i="94" s="1"/>
  <c r="AH68" i="63"/>
  <c r="AH67" i="63"/>
  <c r="AH69" i="63"/>
  <c r="AH70" i="63"/>
  <c r="AG78" i="94"/>
  <c r="AF78" i="94"/>
  <c r="AK76" i="94"/>
  <c r="AF90" i="5"/>
  <c r="AF73" i="59"/>
  <c r="AE92" i="5"/>
  <c r="AG49" i="63"/>
  <c r="AG14" i="94"/>
  <c r="AG34" i="63"/>
  <c r="AG47" i="63"/>
  <c r="AG48" i="63"/>
  <c r="AG40" i="6"/>
  <c r="AG50" i="63"/>
  <c r="AG78" i="63"/>
  <c r="AE16" i="94"/>
  <c r="AE15" i="94"/>
  <c r="AG110" i="63"/>
  <c r="AG42" i="94"/>
  <c r="AG39" i="94" s="1"/>
  <c r="AI93" i="63"/>
  <c r="AJ59" i="63"/>
  <c r="AI66" i="63"/>
  <c r="AI62" i="63"/>
  <c r="AI60" i="63"/>
  <c r="AI63" i="63"/>
  <c r="AH55" i="63"/>
  <c r="AH53" i="63"/>
  <c r="AI52" i="63"/>
  <c r="AH18" i="94"/>
  <c r="AH54" i="63"/>
  <c r="AH46" i="63"/>
  <c r="AH139" i="59"/>
  <c r="AH138" i="59" s="1"/>
  <c r="AH89" i="5"/>
  <c r="AD92" i="5"/>
  <c r="AF145" i="59"/>
  <c r="AD77" i="59"/>
  <c r="AD193" i="59"/>
  <c r="AH95" i="63"/>
  <c r="AH53" i="58"/>
  <c r="AH94" i="63"/>
  <c r="AH69" i="59"/>
  <c r="AH56" i="3"/>
  <c r="AG20" i="94"/>
  <c r="AG19" i="94"/>
  <c r="AG79" i="94"/>
  <c r="AE56" i="6"/>
  <c r="AE76" i="59"/>
  <c r="AE74" i="59"/>
  <c r="AH69" i="94"/>
  <c r="AE21" i="59"/>
  <c r="AF137" i="59"/>
  <c r="AG90" i="5"/>
  <c r="AG73" i="59"/>
  <c r="AG57" i="63"/>
  <c r="AF77" i="94"/>
  <c r="AH42" i="94" l="1"/>
  <c r="AH39" i="94" s="1"/>
  <c r="AF78" i="63"/>
  <c r="AF49" i="63"/>
  <c r="AE38" i="63"/>
  <c r="AE35" i="63"/>
  <c r="AF57" i="63"/>
  <c r="AF14" i="94"/>
  <c r="AF15" i="94" s="1"/>
  <c r="AE51" i="6"/>
  <c r="AE53" i="6" s="1"/>
  <c r="AE36" i="63"/>
  <c r="AE37" i="63"/>
  <c r="AF40" i="6"/>
  <c r="AF91" i="6" s="1"/>
  <c r="AF47" i="63"/>
  <c r="AE91" i="6"/>
  <c r="AF35" i="63"/>
  <c r="AD120" i="5"/>
  <c r="AF37" i="63"/>
  <c r="K43" i="42"/>
  <c r="L43" i="42" s="1"/>
  <c r="AD20" i="5"/>
  <c r="AC31" i="63"/>
  <c r="U40" i="3"/>
  <c r="U43" i="58"/>
  <c r="V38" i="58"/>
  <c r="U40" i="58"/>
  <c r="U39" i="58"/>
  <c r="V11" i="7"/>
  <c r="V21" i="7"/>
  <c r="V50" i="7"/>
  <c r="V51" i="7" s="1"/>
  <c r="V36" i="7"/>
  <c r="V40" i="7"/>
  <c r="V41" i="7" s="1"/>
  <c r="V29" i="7"/>
  <c r="V45" i="7"/>
  <c r="V46" i="7" s="1"/>
  <c r="AC59" i="94"/>
  <c r="AC28" i="94"/>
  <c r="AA98" i="3"/>
  <c r="AB25" i="63"/>
  <c r="AB64" i="63"/>
  <c r="Z36" i="94"/>
  <c r="Z25" i="94"/>
  <c r="Z14" i="6"/>
  <c r="Z24" i="94"/>
  <c r="U14" i="58"/>
  <c r="U19" i="58"/>
  <c r="U27" i="58"/>
  <c r="U20" i="58"/>
  <c r="V102" i="58"/>
  <c r="U106" i="58"/>
  <c r="U113" i="58"/>
  <c r="V26" i="58"/>
  <c r="V11" i="58"/>
  <c r="U51" i="7"/>
  <c r="U52" i="7"/>
  <c r="AE70" i="94"/>
  <c r="AF70" i="94" s="1"/>
  <c r="AF58" i="94" s="1"/>
  <c r="AD58" i="94"/>
  <c r="U130" i="42"/>
  <c r="U131" i="42" s="1"/>
  <c r="U34" i="58"/>
  <c r="U34" i="3"/>
  <c r="U33" i="58"/>
  <c r="V32" i="58"/>
  <c r="U36" i="58"/>
  <c r="U23" i="3"/>
  <c r="V103" i="58"/>
  <c r="U114" i="58"/>
  <c r="Y115" i="63"/>
  <c r="X21" i="5"/>
  <c r="X20" i="63"/>
  <c r="U25" i="6"/>
  <c r="V13" i="5"/>
  <c r="Z101" i="63"/>
  <c r="Z107" i="63"/>
  <c r="Z108" i="63"/>
  <c r="V105" i="58"/>
  <c r="U116" i="58"/>
  <c r="AA100" i="63"/>
  <c r="AA102" i="63"/>
  <c r="V11" i="3"/>
  <c r="V141" i="42"/>
  <c r="V137" i="42"/>
  <c r="U46" i="7"/>
  <c r="U47" i="7"/>
  <c r="W22" i="5"/>
  <c r="W32" i="63" s="1"/>
  <c r="W44" i="94"/>
  <c r="Z35" i="94"/>
  <c r="Z29" i="3"/>
  <c r="Z34" i="94"/>
  <c r="AA33" i="94"/>
  <c r="U115" i="58"/>
  <c r="V104" i="58"/>
  <c r="Y98" i="3"/>
  <c r="AA28" i="63"/>
  <c r="AA26" i="63"/>
  <c r="AB33" i="94"/>
  <c r="AB29" i="94"/>
  <c r="AB106" i="63"/>
  <c r="AB23" i="94"/>
  <c r="AB30" i="94"/>
  <c r="Y102" i="63"/>
  <c r="Y103" i="63"/>
  <c r="U42" i="7"/>
  <c r="U41" i="7"/>
  <c r="W22" i="63"/>
  <c r="W23" i="63"/>
  <c r="W10" i="63" s="1"/>
  <c r="W21" i="63"/>
  <c r="AH79" i="94"/>
  <c r="AI79" i="94" s="1"/>
  <c r="AJ79" i="94" s="1"/>
  <c r="AF92" i="5"/>
  <c r="AF146" i="59"/>
  <c r="AH20" i="94"/>
  <c r="AH80" i="94"/>
  <c r="AH19" i="94"/>
  <c r="AG35" i="63"/>
  <c r="AG37" i="63"/>
  <c r="AG36" i="63"/>
  <c r="AG38" i="63"/>
  <c r="AG119" i="5"/>
  <c r="AG51" i="6"/>
  <c r="AG53" i="6" s="1"/>
  <c r="AG91" i="6"/>
  <c r="AI69" i="94"/>
  <c r="AH57" i="63"/>
  <c r="AJ93" i="63"/>
  <c r="AJ113" i="63" s="1"/>
  <c r="AK59" i="63"/>
  <c r="AJ62" i="63"/>
  <c r="AJ63" i="63"/>
  <c r="AJ66" i="63"/>
  <c r="AJ60" i="63"/>
  <c r="AG16" i="94"/>
  <c r="AG15" i="94"/>
  <c r="AH71" i="63"/>
  <c r="AF21" i="59"/>
  <c r="AG142" i="59"/>
  <c r="AJ52" i="63"/>
  <c r="AK52" i="63" s="1"/>
  <c r="AI46" i="63"/>
  <c r="AI57" i="63" s="1"/>
  <c r="AI54" i="63"/>
  <c r="AI89" i="5"/>
  <c r="AI18" i="94"/>
  <c r="AI53" i="63"/>
  <c r="AI139" i="59"/>
  <c r="AI138" i="59" s="1"/>
  <c r="AI55" i="63"/>
  <c r="AG76" i="59"/>
  <c r="AG56" i="6"/>
  <c r="AG74" i="59"/>
  <c r="AH73" i="59"/>
  <c r="AH90" i="5"/>
  <c r="AH78" i="94"/>
  <c r="AI78" i="94" s="1"/>
  <c r="AJ78" i="94" s="1"/>
  <c r="AK77" i="94"/>
  <c r="AH50" i="63"/>
  <c r="AH40" i="6"/>
  <c r="AH47" i="63"/>
  <c r="AH78" i="63"/>
  <c r="AH14" i="94"/>
  <c r="AH49" i="63"/>
  <c r="AH34" i="63"/>
  <c r="AH48" i="63"/>
  <c r="AI94" i="63"/>
  <c r="AI56" i="3"/>
  <c r="AI95" i="63"/>
  <c r="AI69" i="59"/>
  <c r="AI53" i="58"/>
  <c r="AI113" i="63"/>
  <c r="AI69" i="63"/>
  <c r="AI68" i="63"/>
  <c r="AI70" i="63"/>
  <c r="AI67" i="63"/>
  <c r="AE121" i="5"/>
  <c r="AE120" i="5"/>
  <c r="AE193" i="59"/>
  <c r="AF193" i="59" s="1"/>
  <c r="AE77" i="59"/>
  <c r="AF76" i="59"/>
  <c r="AF77" i="59" s="1"/>
  <c r="AF56" i="6"/>
  <c r="AF74" i="59"/>
  <c r="AE192" i="59" l="1"/>
  <c r="AF51" i="6"/>
  <c r="AF53" i="6" s="1"/>
  <c r="AF192" i="59" s="1"/>
  <c r="AF119" i="5"/>
  <c r="AK93" i="63"/>
  <c r="AK53" i="58" s="1"/>
  <c r="AK79" i="94"/>
  <c r="AI71" i="63"/>
  <c r="AF28" i="94"/>
  <c r="AF106" i="63" s="1"/>
  <c r="AF59" i="94"/>
  <c r="AA36" i="94"/>
  <c r="AA37" i="94"/>
  <c r="AA29" i="3"/>
  <c r="AA34" i="94"/>
  <c r="X44" i="94"/>
  <c r="X22" i="5"/>
  <c r="X32" i="63" s="1"/>
  <c r="AB24" i="94"/>
  <c r="AB25" i="94"/>
  <c r="AB36" i="94"/>
  <c r="AB14" i="6"/>
  <c r="Z102" i="63"/>
  <c r="Z103" i="63"/>
  <c r="Z115" i="63"/>
  <c r="Y21" i="5"/>
  <c r="Y20" i="63"/>
  <c r="V106" i="58"/>
  <c r="V109" i="58" s="1"/>
  <c r="X109" i="58" s="1"/>
  <c r="V113" i="58"/>
  <c r="Z98" i="3"/>
  <c r="V41" i="58"/>
  <c r="V43" i="58"/>
  <c r="V44" i="58" s="1"/>
  <c r="V39" i="58"/>
  <c r="W18" i="63"/>
  <c r="W18" i="42" s="1"/>
  <c r="W41" i="63"/>
  <c r="W10" i="94"/>
  <c r="W13" i="63"/>
  <c r="R42" i="63"/>
  <c r="W11" i="63"/>
  <c r="W12" i="63"/>
  <c r="W14" i="63"/>
  <c r="W14" i="42" s="1"/>
  <c r="W10" i="42"/>
  <c r="AB101" i="63"/>
  <c r="AB107" i="63"/>
  <c r="AB108" i="63"/>
  <c r="V74" i="5"/>
  <c r="AD28" i="94"/>
  <c r="AD59" i="94"/>
  <c r="AC30" i="94"/>
  <c r="AC33" i="94"/>
  <c r="AC23" i="94"/>
  <c r="AC29" i="94"/>
  <c r="AC106" i="63"/>
  <c r="U44" i="58"/>
  <c r="U45" i="58"/>
  <c r="U47" i="58"/>
  <c r="V36" i="58"/>
  <c r="V130" i="42"/>
  <c r="V35" i="58"/>
  <c r="V33" i="58"/>
  <c r="U96" i="58"/>
  <c r="U54" i="5"/>
  <c r="U19" i="6"/>
  <c r="V114" i="58"/>
  <c r="U35" i="3"/>
  <c r="U36" i="3"/>
  <c r="U124" i="42"/>
  <c r="U125" i="42" s="1"/>
  <c r="U37" i="3"/>
  <c r="U38" i="3"/>
  <c r="V34" i="3"/>
  <c r="AG70" i="94"/>
  <c r="AE58" i="94"/>
  <c r="U90" i="63"/>
  <c r="U15" i="58"/>
  <c r="U16" i="58"/>
  <c r="U64" i="5"/>
  <c r="U65" i="5"/>
  <c r="U14" i="3"/>
  <c r="V14" i="58"/>
  <c r="V40" i="3"/>
  <c r="U43" i="3"/>
  <c r="U41" i="3"/>
  <c r="U42" i="3"/>
  <c r="U45" i="3"/>
  <c r="AB35" i="94"/>
  <c r="AB34" i="94"/>
  <c r="AB29" i="3"/>
  <c r="V115" i="58"/>
  <c r="V116" i="58"/>
  <c r="U78" i="5"/>
  <c r="V25" i="6"/>
  <c r="V78" i="5" s="1"/>
  <c r="U25" i="3"/>
  <c r="U24" i="3"/>
  <c r="U31" i="3"/>
  <c r="V23" i="3"/>
  <c r="U66" i="5"/>
  <c r="U26" i="3"/>
  <c r="AC64" i="63"/>
  <c r="AC25" i="63"/>
  <c r="X21" i="63"/>
  <c r="X22" i="63"/>
  <c r="X23" i="63"/>
  <c r="X10" i="63" s="1"/>
  <c r="V131" i="42"/>
  <c r="V129" i="42" s="1"/>
  <c r="U129" i="42"/>
  <c r="AB28" i="63"/>
  <c r="AB26" i="63"/>
  <c r="AB27" i="63"/>
  <c r="AE20" i="5"/>
  <c r="AD31" i="63"/>
  <c r="AH91" i="6"/>
  <c r="AH119" i="5"/>
  <c r="AH51" i="6"/>
  <c r="AH53" i="6" s="1"/>
  <c r="AH76" i="59"/>
  <c r="AH56" i="6"/>
  <c r="AH74" i="59"/>
  <c r="AI81" i="94"/>
  <c r="AI19" i="94"/>
  <c r="AI20" i="94"/>
  <c r="AG91" i="5"/>
  <c r="AG85" i="59"/>
  <c r="AH142" i="59"/>
  <c r="AB42" i="59"/>
  <c r="AB30" i="59" s="1"/>
  <c r="AJ67" i="63"/>
  <c r="AJ68" i="63"/>
  <c r="AJ70" i="63"/>
  <c r="AJ69" i="63"/>
  <c r="AG192" i="59"/>
  <c r="AH35" i="63"/>
  <c r="AH38" i="63"/>
  <c r="AH36" i="63"/>
  <c r="AH37" i="63"/>
  <c r="AK18" i="94"/>
  <c r="AK19" i="94" s="1"/>
  <c r="AK139" i="59"/>
  <c r="AK53" i="63"/>
  <c r="AK55" i="63"/>
  <c r="AG193" i="59"/>
  <c r="AG77" i="59"/>
  <c r="AG120" i="5"/>
  <c r="AG121" i="5"/>
  <c r="AI110" i="63"/>
  <c r="AI42" i="94"/>
  <c r="AI39" i="94" s="1"/>
  <c r="AK113" i="63"/>
  <c r="AH15" i="94"/>
  <c r="AH16" i="94"/>
  <c r="AK62" i="63"/>
  <c r="AK60" i="63"/>
  <c r="AJ110" i="63"/>
  <c r="AJ42" i="94"/>
  <c r="AJ39" i="94" s="1"/>
  <c r="AK78" i="94"/>
  <c r="AI90" i="5"/>
  <c r="AI73" i="59"/>
  <c r="AI40" i="6"/>
  <c r="AI78" i="63"/>
  <c r="AI34" i="63"/>
  <c r="AI49" i="63"/>
  <c r="AI48" i="63"/>
  <c r="AI50" i="63"/>
  <c r="AI14" i="94"/>
  <c r="AI47" i="63"/>
  <c r="AJ94" i="63"/>
  <c r="AJ69" i="59"/>
  <c r="AJ53" i="58"/>
  <c r="AJ56" i="3"/>
  <c r="AJ95" i="63"/>
  <c r="AK66" i="63"/>
  <c r="AJ54" i="63"/>
  <c r="AJ139" i="59"/>
  <c r="AJ138" i="59" s="1"/>
  <c r="AK138" i="59" s="1"/>
  <c r="AJ55" i="63"/>
  <c r="AJ18" i="94"/>
  <c r="AJ46" i="63"/>
  <c r="AJ89" i="5"/>
  <c r="AJ53" i="63"/>
  <c r="AG137" i="59"/>
  <c r="AJ69" i="94"/>
  <c r="AI80" i="94"/>
  <c r="AJ80" i="94" s="1"/>
  <c r="V110" i="58" l="1"/>
  <c r="AK69" i="59"/>
  <c r="AK94" i="63"/>
  <c r="AF120" i="5"/>
  <c r="AK56" i="3"/>
  <c r="AF29" i="94"/>
  <c r="AF23" i="94"/>
  <c r="AF14" i="6" s="1"/>
  <c r="V111" i="58"/>
  <c r="V76" i="5"/>
  <c r="V77" i="5"/>
  <c r="Y21" i="63"/>
  <c r="Y22" i="63"/>
  <c r="Y23" i="63"/>
  <c r="Y10" i="63" s="1"/>
  <c r="T42" i="63" s="1"/>
  <c r="Y109" i="58"/>
  <c r="X111" i="58"/>
  <c r="AC108" i="63"/>
  <c r="AC107" i="63"/>
  <c r="AC101" i="63"/>
  <c r="X10" i="42"/>
  <c r="X18" i="63"/>
  <c r="X18" i="42" s="1"/>
  <c r="X11" i="63"/>
  <c r="X13" i="63"/>
  <c r="X41" i="63"/>
  <c r="S42" i="63"/>
  <c r="X10" i="94"/>
  <c r="X14" i="63"/>
  <c r="X14" i="42" s="1"/>
  <c r="X12" i="63"/>
  <c r="U29" i="58"/>
  <c r="U32" i="3"/>
  <c r="U30" i="58" s="1"/>
  <c r="U46" i="3"/>
  <c r="U47" i="3"/>
  <c r="U16" i="3"/>
  <c r="V14" i="3"/>
  <c r="U15" i="3"/>
  <c r="U18" i="3"/>
  <c r="Z21" i="5"/>
  <c r="AA115" i="63"/>
  <c r="Z20" i="63"/>
  <c r="U43" i="5"/>
  <c r="V43" i="5" s="1"/>
  <c r="U35" i="5"/>
  <c r="Y22" i="5"/>
  <c r="Y32" i="63" s="1"/>
  <c r="Y44" i="94"/>
  <c r="AD25" i="63"/>
  <c r="AD64" i="63"/>
  <c r="AE59" i="94"/>
  <c r="AE28" i="94"/>
  <c r="V125" i="42"/>
  <c r="V123" i="42" s="1"/>
  <c r="U123" i="42"/>
  <c r="U71" i="6"/>
  <c r="V54" i="5"/>
  <c r="AC36" i="94"/>
  <c r="AC25" i="94"/>
  <c r="AC24" i="94"/>
  <c r="AC14" i="6"/>
  <c r="AF20" i="5"/>
  <c r="AE31" i="63"/>
  <c r="U34" i="5"/>
  <c r="U42" i="5"/>
  <c r="AH70" i="94"/>
  <c r="AG58" i="94"/>
  <c r="U48" i="58"/>
  <c r="U50" i="58"/>
  <c r="U49" i="58"/>
  <c r="AC29" i="3"/>
  <c r="AC35" i="94"/>
  <c r="AC34" i="94"/>
  <c r="AB102" i="63"/>
  <c r="AB103" i="63"/>
  <c r="W13" i="42"/>
  <c r="W43" i="63"/>
  <c r="V41" i="3"/>
  <c r="V43" i="3"/>
  <c r="V45" i="3"/>
  <c r="V46" i="3" s="1"/>
  <c r="V26" i="3"/>
  <c r="V31" i="3"/>
  <c r="V66" i="5"/>
  <c r="V24" i="3"/>
  <c r="V18" i="58"/>
  <c r="V65" i="5"/>
  <c r="V64" i="5"/>
  <c r="V90" i="63"/>
  <c r="V15" i="58"/>
  <c r="AC27" i="63"/>
  <c r="AC26" i="63"/>
  <c r="AC28" i="63"/>
  <c r="U14" i="5"/>
  <c r="U30" i="5"/>
  <c r="V124" i="42"/>
  <c r="V38" i="3"/>
  <c r="V37" i="3"/>
  <c r="V35" i="3"/>
  <c r="AD30" i="94"/>
  <c r="AD33" i="94"/>
  <c r="AD106" i="63"/>
  <c r="AD23" i="94"/>
  <c r="AD29" i="94"/>
  <c r="W132" i="42"/>
  <c r="W133" i="42" s="1"/>
  <c r="M41" i="42"/>
  <c r="W10" i="7"/>
  <c r="W10" i="3"/>
  <c r="W11" i="42"/>
  <c r="W10" i="58"/>
  <c r="W63" i="5"/>
  <c r="W12" i="42"/>
  <c r="W126" i="42"/>
  <c r="W127" i="42" s="1"/>
  <c r="W104" i="63"/>
  <c r="W26" i="94"/>
  <c r="W12" i="94"/>
  <c r="W31" i="94"/>
  <c r="W11" i="94"/>
  <c r="V108" i="58"/>
  <c r="V117" i="58"/>
  <c r="V19" i="6"/>
  <c r="V96" i="58"/>
  <c r="AB98" i="3"/>
  <c r="AK73" i="59"/>
  <c r="AK90" i="5"/>
  <c r="AK67" i="63"/>
  <c r="AK69" i="63"/>
  <c r="AH85" i="59"/>
  <c r="AI142" i="59"/>
  <c r="AD42" i="59" s="1"/>
  <c r="AD30" i="59" s="1"/>
  <c r="AH91" i="5"/>
  <c r="AG21" i="59"/>
  <c r="AH137" i="59"/>
  <c r="AH145" i="59" s="1"/>
  <c r="AG145" i="59"/>
  <c r="AK80" i="94"/>
  <c r="AJ19" i="94"/>
  <c r="AJ20" i="94"/>
  <c r="AJ82" i="94"/>
  <c r="AK82" i="94" s="1"/>
  <c r="AI38" i="63"/>
  <c r="AI35" i="63"/>
  <c r="AI36" i="63"/>
  <c r="AI37" i="63"/>
  <c r="AI76" i="59"/>
  <c r="AI56" i="6"/>
  <c r="AI74" i="59"/>
  <c r="AH192" i="59"/>
  <c r="AJ14" i="94"/>
  <c r="AJ50" i="63"/>
  <c r="AJ49" i="63"/>
  <c r="AJ34" i="63"/>
  <c r="AJ48" i="63"/>
  <c r="AJ78" i="63"/>
  <c r="AJ40" i="6"/>
  <c r="AJ47" i="63"/>
  <c r="AK69" i="94"/>
  <c r="AJ71" i="63"/>
  <c r="AG195" i="59"/>
  <c r="AG58" i="6"/>
  <c r="AG86" i="59"/>
  <c r="AJ81" i="94"/>
  <c r="AI16" i="94"/>
  <c r="AI15" i="94"/>
  <c r="AK110" i="63"/>
  <c r="AK42" i="94"/>
  <c r="AK39" i="94" s="1"/>
  <c r="AH77" i="59"/>
  <c r="AH193" i="59"/>
  <c r="AH121" i="5"/>
  <c r="AH120" i="5"/>
  <c r="AF107" i="63"/>
  <c r="AF101" i="63"/>
  <c r="AJ73" i="59"/>
  <c r="AJ90" i="5"/>
  <c r="AJ57" i="63"/>
  <c r="AC42" i="59"/>
  <c r="AC30" i="59" s="1"/>
  <c r="AI119" i="5"/>
  <c r="AI51" i="6"/>
  <c r="AI53" i="6" s="1"/>
  <c r="AI91" i="6"/>
  <c r="AK46" i="63"/>
  <c r="AK89" i="5"/>
  <c r="AB32" i="5"/>
  <c r="AB31" i="59"/>
  <c r="AB32" i="59"/>
  <c r="AF24" i="94" l="1"/>
  <c r="W12" i="3"/>
  <c r="W11" i="3"/>
  <c r="AD101" i="63"/>
  <c r="AD107" i="63"/>
  <c r="AD108" i="63"/>
  <c r="V47" i="58"/>
  <c r="V19" i="58"/>
  <c r="V27" i="58"/>
  <c r="V42" i="5"/>
  <c r="AE23" i="94"/>
  <c r="AE29" i="94"/>
  <c r="AE106" i="63"/>
  <c r="AE33" i="94"/>
  <c r="AE30" i="94"/>
  <c r="U21" i="3"/>
  <c r="U49" i="3"/>
  <c r="U27" i="3"/>
  <c r="U20" i="3"/>
  <c r="U19" i="3"/>
  <c r="AC102" i="63"/>
  <c r="AC103" i="63"/>
  <c r="AD24" i="94"/>
  <c r="AD14" i="6"/>
  <c r="AD36" i="94"/>
  <c r="AD25" i="94"/>
  <c r="X12" i="42"/>
  <c r="X10" i="58"/>
  <c r="X104" i="63"/>
  <c r="X132" i="42"/>
  <c r="X133" i="42" s="1"/>
  <c r="X63" i="5"/>
  <c r="X126" i="42"/>
  <c r="X127" i="42" s="1"/>
  <c r="X10" i="7"/>
  <c r="X11" i="42"/>
  <c r="X10" i="3"/>
  <c r="N41" i="42"/>
  <c r="N42" i="42" s="1"/>
  <c r="N43" i="42" s="1"/>
  <c r="W21" i="7"/>
  <c r="W12" i="7"/>
  <c r="W36" i="7"/>
  <c r="W29" i="7"/>
  <c r="W45" i="7"/>
  <c r="W50" i="7"/>
  <c r="W40" i="7"/>
  <c r="W11" i="7"/>
  <c r="AD34" i="94"/>
  <c r="AD29" i="3"/>
  <c r="AD35" i="94"/>
  <c r="U29" i="6"/>
  <c r="U23" i="5"/>
  <c r="V34" i="5"/>
  <c r="U68" i="5"/>
  <c r="U45" i="5" s="1"/>
  <c r="U104" i="5"/>
  <c r="U60" i="6"/>
  <c r="V35" i="5"/>
  <c r="U103" i="5"/>
  <c r="AC98" i="3"/>
  <c r="AA20" i="63"/>
  <c r="AA21" i="63" s="1"/>
  <c r="AB115" i="63"/>
  <c r="AA21" i="5"/>
  <c r="Z109" i="58"/>
  <c r="Y111" i="58"/>
  <c r="W137" i="42"/>
  <c r="W141" i="42"/>
  <c r="AI70" i="94"/>
  <c r="AH58" i="94"/>
  <c r="Y18" i="63"/>
  <c r="Y18" i="42" s="1"/>
  <c r="Y41" i="63"/>
  <c r="Y11" i="63"/>
  <c r="Y14" i="63"/>
  <c r="Y14" i="42" s="1"/>
  <c r="Y10" i="42"/>
  <c r="Y12" i="63"/>
  <c r="Y13" i="63"/>
  <c r="Y10" i="94"/>
  <c r="U87" i="5"/>
  <c r="U27" i="6"/>
  <c r="V27" i="6" s="1"/>
  <c r="U37" i="5"/>
  <c r="V30" i="5"/>
  <c r="AE25" i="63"/>
  <c r="AE64" i="63"/>
  <c r="V15" i="3"/>
  <c r="V18" i="3"/>
  <c r="X43" i="63"/>
  <c r="X13" i="42"/>
  <c r="W26" i="58"/>
  <c r="W103" i="58"/>
  <c r="W32" i="58"/>
  <c r="W104" i="58"/>
  <c r="W115" i="58" s="1"/>
  <c r="W38" i="58"/>
  <c r="W18" i="58"/>
  <c r="W102" i="58"/>
  <c r="W11" i="58"/>
  <c r="W12" i="58"/>
  <c r="W105" i="58"/>
  <c r="W116" i="58" s="1"/>
  <c r="X11" i="94"/>
  <c r="X12" i="94"/>
  <c r="X31" i="94"/>
  <c r="X26" i="94"/>
  <c r="Z22" i="5"/>
  <c r="Z32" i="63" s="1"/>
  <c r="Z44" i="94"/>
  <c r="W122" i="5"/>
  <c r="W13" i="5"/>
  <c r="V14" i="5"/>
  <c r="U26" i="6"/>
  <c r="V32" i="3"/>
  <c r="V30" i="58" s="1"/>
  <c r="V29" i="58"/>
  <c r="AG59" i="94"/>
  <c r="AG28" i="94"/>
  <c r="AF31" i="63"/>
  <c r="AG20" i="5"/>
  <c r="V71" i="6"/>
  <c r="AD28" i="63"/>
  <c r="AD26" i="63"/>
  <c r="AD27" i="63"/>
  <c r="Z23" i="63"/>
  <c r="Z21" i="63"/>
  <c r="Z22" i="63"/>
  <c r="AJ76" i="59"/>
  <c r="AJ56" i="6"/>
  <c r="AJ74" i="59"/>
  <c r="AJ35" i="63"/>
  <c r="AJ36" i="63"/>
  <c r="AJ37" i="63"/>
  <c r="AJ38" i="63"/>
  <c r="AK34" i="63"/>
  <c r="AI192" i="59"/>
  <c r="AD32" i="5"/>
  <c r="AD32" i="59"/>
  <c r="AD31" i="59"/>
  <c r="AI77" i="59"/>
  <c r="AI193" i="59"/>
  <c r="AH92" i="5"/>
  <c r="AK56" i="6"/>
  <c r="AK76" i="59"/>
  <c r="AK77" i="59" s="1"/>
  <c r="AK74" i="59"/>
  <c r="AK40" i="6"/>
  <c r="AK78" i="63"/>
  <c r="AK14" i="94"/>
  <c r="AK15" i="94" s="1"/>
  <c r="AK47" i="63"/>
  <c r="AK49" i="63"/>
  <c r="AK57" i="63"/>
  <c r="AI121" i="5"/>
  <c r="AI120" i="5"/>
  <c r="AK81" i="94"/>
  <c r="AJ91" i="6"/>
  <c r="AJ119" i="5"/>
  <c r="AJ51" i="6"/>
  <c r="AJ53" i="6" s="1"/>
  <c r="AF102" i="63"/>
  <c r="AJ15" i="94"/>
  <c r="AJ16" i="94"/>
  <c r="AC32" i="5"/>
  <c r="AC31" i="59"/>
  <c r="AC32" i="59"/>
  <c r="AF98" i="3"/>
  <c r="AG92" i="5"/>
  <c r="AJ142" i="59"/>
  <c r="AI85" i="59"/>
  <c r="AI91" i="5"/>
  <c r="AK71" i="63"/>
  <c r="AH21" i="59"/>
  <c r="AI137" i="59"/>
  <c r="AI145" i="59" s="1"/>
  <c r="AH195" i="59"/>
  <c r="AH86" i="59"/>
  <c r="AH58" i="6"/>
  <c r="W23" i="3" l="1"/>
  <c r="W114" i="58"/>
  <c r="X137" i="42"/>
  <c r="X141" i="42"/>
  <c r="W14" i="58"/>
  <c r="W19" i="58"/>
  <c r="W20" i="58"/>
  <c r="W27" i="58"/>
  <c r="AG29" i="94"/>
  <c r="AG23" i="94"/>
  <c r="AG33" i="94"/>
  <c r="AG106" i="63"/>
  <c r="AG30" i="94"/>
  <c r="V26" i="6"/>
  <c r="Y81" i="5"/>
  <c r="W40" i="3"/>
  <c r="W40" i="58"/>
  <c r="W43" i="58"/>
  <c r="W47" i="58" s="1"/>
  <c r="W39" i="58"/>
  <c r="AE26" i="63"/>
  <c r="AF25" i="63"/>
  <c r="AE28" i="63"/>
  <c r="AE27" i="63"/>
  <c r="Y10" i="7"/>
  <c r="Y10" i="58"/>
  <c r="Y126" i="42"/>
  <c r="Y127" i="42" s="1"/>
  <c r="Y104" i="63"/>
  <c r="Y10" i="3"/>
  <c r="Y63" i="5"/>
  <c r="Y12" i="42"/>
  <c r="Y11" i="42"/>
  <c r="Y132" i="42"/>
  <c r="Y133" i="42" s="1"/>
  <c r="AJ70" i="94"/>
  <c r="AJ58" i="94" s="1"/>
  <c r="AI58" i="94"/>
  <c r="AC115" i="63"/>
  <c r="AB21" i="5"/>
  <c r="AB20" i="63"/>
  <c r="V104" i="5"/>
  <c r="V103" i="5"/>
  <c r="V102" i="5"/>
  <c r="U30" i="6"/>
  <c r="V23" i="5"/>
  <c r="W41" i="7"/>
  <c r="W42" i="7"/>
  <c r="AE108" i="63"/>
  <c r="AE101" i="63"/>
  <c r="AE107" i="63"/>
  <c r="AH20" i="5"/>
  <c r="AG31" i="63"/>
  <c r="W106" i="58"/>
  <c r="W113" i="58"/>
  <c r="V37" i="5"/>
  <c r="AB109" i="58"/>
  <c r="Z111" i="58"/>
  <c r="U32" i="6"/>
  <c r="V45" i="5"/>
  <c r="X103" i="58"/>
  <c r="X26" i="58"/>
  <c r="X38" i="58"/>
  <c r="X12" i="58"/>
  <c r="X18" i="58"/>
  <c r="X32" i="58"/>
  <c r="X102" i="58"/>
  <c r="X11" i="58"/>
  <c r="X105" i="58"/>
  <c r="X116" i="58" s="1"/>
  <c r="X104" i="58"/>
  <c r="X115" i="58" s="1"/>
  <c r="V98" i="5"/>
  <c r="V96" i="5"/>
  <c r="V68" i="5"/>
  <c r="U72" i="6"/>
  <c r="V60" i="6"/>
  <c r="U97" i="5"/>
  <c r="V29" i="6"/>
  <c r="V97" i="5" s="1"/>
  <c r="W51" i="7"/>
  <c r="W52" i="7"/>
  <c r="O41" i="42"/>
  <c r="O42" i="42" s="1"/>
  <c r="O43" i="42" s="1"/>
  <c r="X122" i="5"/>
  <c r="X13" i="5"/>
  <c r="V48" i="58"/>
  <c r="E9" i="64"/>
  <c r="V50" i="58"/>
  <c r="Y43" i="63"/>
  <c r="Y13" i="42"/>
  <c r="AH28" i="94"/>
  <c r="AH59" i="94"/>
  <c r="AE29" i="3"/>
  <c r="AE35" i="94"/>
  <c r="AF33" i="94"/>
  <c r="AE34" i="94"/>
  <c r="V80" i="5"/>
  <c r="W36" i="58"/>
  <c r="W34" i="3"/>
  <c r="W34" i="58"/>
  <c r="W130" i="42"/>
  <c r="W131" i="42" s="1"/>
  <c r="W129" i="42" s="1"/>
  <c r="W33" i="58"/>
  <c r="W47" i="7"/>
  <c r="W46" i="7"/>
  <c r="AD98" i="3"/>
  <c r="U51" i="3"/>
  <c r="U50" i="3"/>
  <c r="U52" i="3"/>
  <c r="U97" i="3"/>
  <c r="U99" i="3" s="1"/>
  <c r="AE36" i="94"/>
  <c r="AE14" i="6"/>
  <c r="AE25" i="94"/>
  <c r="AE24" i="94"/>
  <c r="AA23" i="63"/>
  <c r="Z10" i="63"/>
  <c r="AF97" i="63"/>
  <c r="AF64" i="63"/>
  <c r="AA44" i="94"/>
  <c r="AA22" i="5"/>
  <c r="AA32" i="63" s="1"/>
  <c r="X40" i="7"/>
  <c r="X36" i="7"/>
  <c r="X21" i="7"/>
  <c r="X11" i="7"/>
  <c r="X45" i="7"/>
  <c r="X29" i="7"/>
  <c r="X12" i="7"/>
  <c r="X50" i="7"/>
  <c r="AD102" i="63"/>
  <c r="AD103" i="63"/>
  <c r="W25" i="6"/>
  <c r="W78" i="5" s="1"/>
  <c r="V49" i="3"/>
  <c r="V27" i="3"/>
  <c r="V21" i="3"/>
  <c r="V19" i="3"/>
  <c r="V87" i="5"/>
  <c r="Y11" i="94"/>
  <c r="Y12" i="94"/>
  <c r="Y31" i="94"/>
  <c r="Y26" i="94"/>
  <c r="X11" i="3"/>
  <c r="X12" i="3"/>
  <c r="V99" i="5"/>
  <c r="AI92" i="5"/>
  <c r="AJ192" i="59"/>
  <c r="AJ77" i="59"/>
  <c r="AJ193" i="59"/>
  <c r="AK193" i="59" s="1"/>
  <c r="AJ120" i="5"/>
  <c r="AJ121" i="5"/>
  <c r="AK51" i="6"/>
  <c r="AK53" i="6" s="1"/>
  <c r="AK119" i="5"/>
  <c r="AK91" i="6"/>
  <c r="AI195" i="59"/>
  <c r="AI86" i="59"/>
  <c r="AI58" i="6"/>
  <c r="AI42" i="59"/>
  <c r="AI30" i="59" s="1"/>
  <c r="AJ91" i="5"/>
  <c r="AJ85" i="59"/>
  <c r="AK142" i="59"/>
  <c r="AE42" i="59"/>
  <c r="AE30" i="59" s="1"/>
  <c r="AG42" i="59"/>
  <c r="AG30" i="59" s="1"/>
  <c r="AJ137" i="59"/>
  <c r="AI21" i="59"/>
  <c r="AH42" i="59"/>
  <c r="AH30" i="59" s="1"/>
  <c r="AK35" i="63"/>
  <c r="AK37" i="63"/>
  <c r="AK70" i="94" l="1"/>
  <c r="AK58" i="94" s="1"/>
  <c r="AK59" i="94" s="1"/>
  <c r="X106" i="58"/>
  <c r="X113" i="58"/>
  <c r="AG25" i="63"/>
  <c r="AG64" i="63"/>
  <c r="AB23" i="63"/>
  <c r="AB10" i="63" s="1"/>
  <c r="AB22" i="63"/>
  <c r="AB21" i="63"/>
  <c r="AE98" i="3"/>
  <c r="X25" i="6"/>
  <c r="X78" i="5" s="1"/>
  <c r="X130" i="42"/>
  <c r="X131" i="42" s="1"/>
  <c r="X129" i="42" s="1"/>
  <c r="X36" i="58"/>
  <c r="X34" i="3"/>
  <c r="X34" i="58"/>
  <c r="X33" i="58"/>
  <c r="X23" i="3"/>
  <c r="X114" i="58"/>
  <c r="AI20" i="5"/>
  <c r="AH31" i="63"/>
  <c r="U84" i="5"/>
  <c r="V30" i="6"/>
  <c r="V84" i="5" s="1"/>
  <c r="AB22" i="5"/>
  <c r="AB32" i="63" s="1"/>
  <c r="AB44" i="94"/>
  <c r="Y141" i="42"/>
  <c r="Y137" i="42"/>
  <c r="Y102" i="58"/>
  <c r="Y26" i="58"/>
  <c r="Y103" i="58"/>
  <c r="Y11" i="58"/>
  <c r="Y32" i="58"/>
  <c r="Y38" i="58"/>
  <c r="Y18" i="58"/>
  <c r="Y105" i="58"/>
  <c r="Y116" i="58" s="1"/>
  <c r="Y104" i="58"/>
  <c r="Y115" i="58" s="1"/>
  <c r="Y12" i="58"/>
  <c r="Z81" i="5"/>
  <c r="W48" i="58"/>
  <c r="W50" i="58"/>
  <c r="W49" i="58"/>
  <c r="X52" i="7"/>
  <c r="X51" i="7"/>
  <c r="V112" i="5"/>
  <c r="AC20" i="63"/>
  <c r="AC21" i="5"/>
  <c r="AD115" i="63"/>
  <c r="Y29" i="7"/>
  <c r="Y40" i="7"/>
  <c r="Y12" i="7"/>
  <c r="Y11" i="7"/>
  <c r="Y45" i="7"/>
  <c r="Y21" i="7"/>
  <c r="Y36" i="7"/>
  <c r="Y50" i="7"/>
  <c r="W45" i="58"/>
  <c r="W44" i="58"/>
  <c r="AE102" i="63"/>
  <c r="AE103" i="63"/>
  <c r="X42" i="7"/>
  <c r="X41" i="7"/>
  <c r="Z13" i="63"/>
  <c r="Z41" i="63"/>
  <c r="Z10" i="42"/>
  <c r="Z12" i="63"/>
  <c r="Z11" i="63"/>
  <c r="Z14" i="63"/>
  <c r="Z14" i="42" s="1"/>
  <c r="Z10" i="94"/>
  <c r="Z18" i="63"/>
  <c r="Z18" i="42" s="1"/>
  <c r="U42" i="63"/>
  <c r="AA10" i="63"/>
  <c r="AH29" i="94"/>
  <c r="AH106" i="63"/>
  <c r="AH30" i="94"/>
  <c r="AH23" i="94"/>
  <c r="AH33" i="94"/>
  <c r="X27" i="58"/>
  <c r="X20" i="58"/>
  <c r="X19" i="58"/>
  <c r="AI59" i="94"/>
  <c r="AI28" i="94"/>
  <c r="Y122" i="5"/>
  <c r="Y13" i="5"/>
  <c r="AG107" i="63"/>
  <c r="AG101" i="63"/>
  <c r="AG108" i="63"/>
  <c r="W36" i="3"/>
  <c r="W124" i="42"/>
  <c r="W125" i="42" s="1"/>
  <c r="W123" i="42" s="1"/>
  <c r="W35" i="3"/>
  <c r="W38" i="3"/>
  <c r="W37" i="3"/>
  <c r="U100" i="3"/>
  <c r="U95" i="58"/>
  <c r="U97" i="58" s="1"/>
  <c r="V72" i="6"/>
  <c r="U113" i="5"/>
  <c r="V32" i="6"/>
  <c r="V113" i="5" s="1"/>
  <c r="Y11" i="3"/>
  <c r="Y12" i="3"/>
  <c r="W43" i="3"/>
  <c r="W42" i="3"/>
  <c r="W45" i="3"/>
  <c r="W41" i="3"/>
  <c r="AG29" i="3"/>
  <c r="AG34" i="94"/>
  <c r="AG35" i="94"/>
  <c r="W66" i="5"/>
  <c r="W24" i="3"/>
  <c r="W26" i="3"/>
  <c r="W25" i="3"/>
  <c r="W31" i="3"/>
  <c r="AC109" i="58"/>
  <c r="AB111" i="58"/>
  <c r="W16" i="58"/>
  <c r="W90" i="63"/>
  <c r="W65" i="5"/>
  <c r="W15" i="58"/>
  <c r="W14" i="3"/>
  <c r="W64" i="5"/>
  <c r="V50" i="3"/>
  <c r="V97" i="3"/>
  <c r="V99" i="3" s="1"/>
  <c r="E8" i="64"/>
  <c r="V52" i="3"/>
  <c r="V53" i="3" s="1"/>
  <c r="X46" i="7"/>
  <c r="X47" i="7"/>
  <c r="AF36" i="94"/>
  <c r="AF37" i="94"/>
  <c r="AF34" i="94"/>
  <c r="AF29" i="3"/>
  <c r="X40" i="58"/>
  <c r="X39" i="58"/>
  <c r="X40" i="3"/>
  <c r="X43" i="58"/>
  <c r="W54" i="5"/>
  <c r="W19" i="6"/>
  <c r="W96" i="58"/>
  <c r="V83" i="5"/>
  <c r="AJ59" i="94"/>
  <c r="AJ28" i="94"/>
  <c r="AF28" i="63"/>
  <c r="AF26" i="63"/>
  <c r="AG24" i="94"/>
  <c r="AG36" i="94"/>
  <c r="AG25" i="94"/>
  <c r="AG14" i="6"/>
  <c r="X14" i="58"/>
  <c r="AI32" i="5"/>
  <c r="AI32" i="59"/>
  <c r="AJ32" i="59"/>
  <c r="AI31" i="59"/>
  <c r="AK192" i="59"/>
  <c r="AK137" i="59"/>
  <c r="AK21" i="59" s="1"/>
  <c r="AJ21" i="59"/>
  <c r="AG32" i="5"/>
  <c r="AG31" i="59"/>
  <c r="AG32" i="59"/>
  <c r="AE32" i="5"/>
  <c r="AF30" i="59"/>
  <c r="AE31" i="59"/>
  <c r="AJ31" i="59"/>
  <c r="AE32" i="59"/>
  <c r="AK91" i="5"/>
  <c r="AK85" i="59"/>
  <c r="AH32" i="5"/>
  <c r="AH31" i="59"/>
  <c r="AH32" i="59"/>
  <c r="AJ145" i="59"/>
  <c r="AJ195" i="59"/>
  <c r="AK195" i="59" s="1"/>
  <c r="AJ86" i="59"/>
  <c r="AJ58" i="6"/>
  <c r="AK120" i="5"/>
  <c r="AK28" i="94" l="1"/>
  <c r="W18" i="3"/>
  <c r="W16" i="3"/>
  <c r="W15" i="3"/>
  <c r="AH24" i="94"/>
  <c r="AH14" i="6"/>
  <c r="AH36" i="94"/>
  <c r="AH25" i="94"/>
  <c r="AH64" i="63"/>
  <c r="AH25" i="63"/>
  <c r="W71" i="6"/>
  <c r="X54" i="5"/>
  <c r="V100" i="3"/>
  <c r="V95" i="58"/>
  <c r="W42" i="5"/>
  <c r="W34" i="5"/>
  <c r="W32" i="3"/>
  <c r="W30" i="58" s="1"/>
  <c r="W29" i="58"/>
  <c r="AH101" i="63"/>
  <c r="AH108" i="63"/>
  <c r="AH107" i="63"/>
  <c r="Y51" i="7"/>
  <c r="Y52" i="7"/>
  <c r="Y41" i="7"/>
  <c r="Y42" i="7"/>
  <c r="AJ20" i="5"/>
  <c r="AI31" i="63"/>
  <c r="X19" i="6"/>
  <c r="X96" i="58"/>
  <c r="W43" i="5"/>
  <c r="W35" i="5"/>
  <c r="AA10" i="42"/>
  <c r="AA10" i="94"/>
  <c r="AA11" i="63"/>
  <c r="AA41" i="63"/>
  <c r="V42" i="63"/>
  <c r="AA13" i="63"/>
  <c r="AC21" i="63"/>
  <c r="AC22" i="63"/>
  <c r="Y36" i="58"/>
  <c r="Y33" i="58"/>
  <c r="Y130" i="42"/>
  <c r="Y131" i="42" s="1"/>
  <c r="Y129" i="42" s="1"/>
  <c r="Y34" i="3"/>
  <c r="Y34" i="58"/>
  <c r="AG28" i="63"/>
  <c r="AG26" i="63"/>
  <c r="AG27" i="63"/>
  <c r="AJ33" i="94"/>
  <c r="AJ29" i="94"/>
  <c r="AJ23" i="94"/>
  <c r="AJ30" i="94"/>
  <c r="AJ106" i="63"/>
  <c r="AC23" i="63"/>
  <c r="AC10" i="63" s="1"/>
  <c r="AI23" i="94"/>
  <c r="AI106" i="63"/>
  <c r="AI30" i="94"/>
  <c r="AI33" i="94"/>
  <c r="AI29" i="94"/>
  <c r="X44" i="58"/>
  <c r="X47" i="58"/>
  <c r="X45" i="58"/>
  <c r="AG102" i="63"/>
  <c r="AG103" i="63"/>
  <c r="Z26" i="94"/>
  <c r="Z12" i="94"/>
  <c r="Z11" i="94"/>
  <c r="Z31" i="94"/>
  <c r="Z13" i="42"/>
  <c r="Z43" i="63"/>
  <c r="Y114" i="58"/>
  <c r="Y23" i="3"/>
  <c r="AG98" i="3"/>
  <c r="AD109" i="58"/>
  <c r="AC111" i="58"/>
  <c r="Z126" i="42"/>
  <c r="Z10" i="58"/>
  <c r="Z132" i="42"/>
  <c r="Z11" i="42"/>
  <c r="Z63" i="5"/>
  <c r="Z10" i="3"/>
  <c r="Z12" i="42"/>
  <c r="Z104" i="63"/>
  <c r="P41" i="42"/>
  <c r="Z10" i="7"/>
  <c r="X43" i="3"/>
  <c r="X45" i="3"/>
  <c r="X41" i="3"/>
  <c r="X42" i="3"/>
  <c r="AD21" i="5"/>
  <c r="AD20" i="63"/>
  <c r="AD23" i="63" s="1"/>
  <c r="AD10" i="63" s="1"/>
  <c r="AE115" i="63"/>
  <c r="Y14" i="58"/>
  <c r="Y20" i="58"/>
  <c r="Y19" i="58"/>
  <c r="Y27" i="58"/>
  <c r="X26" i="3"/>
  <c r="X66" i="5"/>
  <c r="X25" i="3"/>
  <c r="X31" i="3"/>
  <c r="X24" i="3"/>
  <c r="W42" i="63"/>
  <c r="AB12" i="63"/>
  <c r="AB14" i="63"/>
  <c r="AB14" i="42" s="1"/>
  <c r="AB13" i="63"/>
  <c r="AB10" i="94"/>
  <c r="AB11" i="63"/>
  <c r="AB10" i="42"/>
  <c r="AB41" i="63"/>
  <c r="AB18" i="63"/>
  <c r="AB18" i="42" s="1"/>
  <c r="X35" i="3"/>
  <c r="X36" i="3"/>
  <c r="X38" i="3"/>
  <c r="X37" i="3"/>
  <c r="X124" i="42"/>
  <c r="X125" i="42" s="1"/>
  <c r="X123" i="42" s="1"/>
  <c r="X90" i="63"/>
  <c r="X14" i="3"/>
  <c r="X16" i="58"/>
  <c r="X15" i="58"/>
  <c r="X65" i="5"/>
  <c r="X64" i="5"/>
  <c r="W14" i="5"/>
  <c r="W30" i="5"/>
  <c r="W47" i="3"/>
  <c r="W46" i="3"/>
  <c r="U99" i="58"/>
  <c r="P142" i="42" s="1"/>
  <c r="P140" i="42" s="1"/>
  <c r="U98" i="58"/>
  <c r="AH35" i="94"/>
  <c r="AH34" i="94"/>
  <c r="AH29" i="3"/>
  <c r="Y46" i="7"/>
  <c r="Y47" i="7"/>
  <c r="AC44" i="94"/>
  <c r="AC22" i="5"/>
  <c r="AC32" i="63" s="1"/>
  <c r="Y43" i="58"/>
  <c r="Y40" i="3"/>
  <c r="Y40" i="58"/>
  <c r="Y39" i="58"/>
  <c r="Y113" i="58"/>
  <c r="Y106" i="58"/>
  <c r="Y25" i="6"/>
  <c r="AK86" i="59"/>
  <c r="AK58" i="6"/>
  <c r="AJ92" i="5"/>
  <c r="AK145" i="59"/>
  <c r="AF32" i="5"/>
  <c r="AK31" i="59"/>
  <c r="AF31" i="59"/>
  <c r="AK29" i="94" l="1"/>
  <c r="AK106" i="63"/>
  <c r="AK23" i="94"/>
  <c r="AD13" i="63"/>
  <c r="AD10" i="94"/>
  <c r="AD11" i="63"/>
  <c r="AD41" i="63"/>
  <c r="AD18" i="63"/>
  <c r="AD18" i="42" s="1"/>
  <c r="AD12" i="63"/>
  <c r="AD10" i="42"/>
  <c r="AD14" i="63"/>
  <c r="AD14" i="42" s="1"/>
  <c r="X14" i="5"/>
  <c r="X26" i="6" s="1"/>
  <c r="AB81" i="5" s="1"/>
  <c r="X30" i="5"/>
  <c r="Y16" i="58"/>
  <c r="Y15" i="58"/>
  <c r="Y65" i="5"/>
  <c r="Y14" i="3"/>
  <c r="Y90" i="63"/>
  <c r="Y64" i="5"/>
  <c r="W26" i="6"/>
  <c r="X29" i="58"/>
  <c r="X32" i="3"/>
  <c r="X30" i="58" s="1"/>
  <c r="Z103" i="58"/>
  <c r="Z104" i="58"/>
  <c r="Z11" i="58"/>
  <c r="Z18" i="58"/>
  <c r="Z14" i="58" s="1"/>
  <c r="Z105" i="58"/>
  <c r="Z26" i="58"/>
  <c r="Z38" i="58"/>
  <c r="Z12" i="58"/>
  <c r="Z32" i="58"/>
  <c r="Z102" i="58"/>
  <c r="AJ107" i="63"/>
  <c r="AJ108" i="63"/>
  <c r="AJ101" i="63"/>
  <c r="AH102" i="63"/>
  <c r="AH103" i="63"/>
  <c r="Z12" i="3"/>
  <c r="Z11" i="3"/>
  <c r="Y66" i="5"/>
  <c r="Y24" i="3"/>
  <c r="Y31" i="3"/>
  <c r="Y26" i="3"/>
  <c r="Y25" i="3"/>
  <c r="X48" i="58"/>
  <c r="X50" i="58"/>
  <c r="X49" i="58"/>
  <c r="AI36" i="94"/>
  <c r="AI25" i="94"/>
  <c r="AI24" i="94"/>
  <c r="AI14" i="6"/>
  <c r="X35" i="5"/>
  <c r="X43" i="5"/>
  <c r="Z13" i="5"/>
  <c r="Z122" i="5"/>
  <c r="AC10" i="42"/>
  <c r="X42" i="63"/>
  <c r="AC12" i="63"/>
  <c r="AC13" i="63"/>
  <c r="Y42" i="63"/>
  <c r="AC11" i="63"/>
  <c r="AC41" i="63"/>
  <c r="AC10" i="94"/>
  <c r="AC14" i="63"/>
  <c r="AC14" i="42" s="1"/>
  <c r="AC18" i="63"/>
  <c r="AC18" i="42" s="1"/>
  <c r="AJ36" i="94"/>
  <c r="AJ24" i="94"/>
  <c r="AJ25" i="94"/>
  <c r="AJ14" i="6"/>
  <c r="W49" i="3"/>
  <c r="W21" i="3"/>
  <c r="W27" i="3"/>
  <c r="W19" i="3"/>
  <c r="W20" i="3"/>
  <c r="AA43" i="63"/>
  <c r="AA13" i="42"/>
  <c r="AH27" i="63"/>
  <c r="AH26" i="63"/>
  <c r="AH28" i="63"/>
  <c r="Z45" i="7"/>
  <c r="Z36" i="7"/>
  <c r="Z29" i="7"/>
  <c r="Z12" i="7"/>
  <c r="Z11" i="7"/>
  <c r="Z21" i="7"/>
  <c r="Z50" i="7"/>
  <c r="Z40" i="7"/>
  <c r="Z141" i="42"/>
  <c r="Z137" i="42"/>
  <c r="AD111" i="58"/>
  <c r="AE109" i="58"/>
  <c r="W68" i="5"/>
  <c r="W45" i="5" s="1"/>
  <c r="W29" i="6"/>
  <c r="W97" i="5" s="1"/>
  <c r="W23" i="5"/>
  <c r="AB26" i="94"/>
  <c r="AB31" i="94"/>
  <c r="AB12" i="94"/>
  <c r="AB11" i="94"/>
  <c r="W104" i="5"/>
  <c r="W60" i="6"/>
  <c r="W103" i="5"/>
  <c r="AB43" i="63"/>
  <c r="AB13" i="42"/>
  <c r="Y43" i="3"/>
  <c r="Y42" i="3"/>
  <c r="Y45" i="3"/>
  <c r="Y41" i="3"/>
  <c r="AB10" i="3"/>
  <c r="AB104" i="63"/>
  <c r="AB126" i="42"/>
  <c r="AB127" i="42" s="1"/>
  <c r="AB11" i="42"/>
  <c r="AB10" i="58"/>
  <c r="AB10" i="7"/>
  <c r="AB63" i="5"/>
  <c r="AB132" i="42"/>
  <c r="AB133" i="42" s="1"/>
  <c r="AB12" i="42"/>
  <c r="X47" i="3"/>
  <c r="X46" i="3"/>
  <c r="P42" i="42"/>
  <c r="Q42" i="42" s="1"/>
  <c r="R41" i="42"/>
  <c r="R42" i="42" s="1"/>
  <c r="R43" i="42" s="1"/>
  <c r="AK33" i="94"/>
  <c r="AI29" i="3"/>
  <c r="AI35" i="94"/>
  <c r="AI34" i="94"/>
  <c r="AJ29" i="3"/>
  <c r="AJ35" i="94"/>
  <c r="AJ34" i="94"/>
  <c r="Y35" i="3"/>
  <c r="Y38" i="3"/>
  <c r="Y124" i="42"/>
  <c r="Y125" i="42" s="1"/>
  <c r="Y123" i="42" s="1"/>
  <c r="Y37" i="3"/>
  <c r="Y36" i="3"/>
  <c r="AA11" i="94"/>
  <c r="AA31" i="94"/>
  <c r="AA26" i="94"/>
  <c r="AI64" i="63"/>
  <c r="AI25" i="63"/>
  <c r="Y54" i="5"/>
  <c r="X71" i="6"/>
  <c r="AH98" i="3"/>
  <c r="Y96" i="58"/>
  <c r="Y19" i="6"/>
  <c r="AD21" i="63"/>
  <c r="AD22" i="63"/>
  <c r="AI107" i="63"/>
  <c r="AI101" i="63"/>
  <c r="AI108" i="63"/>
  <c r="X42" i="5"/>
  <c r="X34" i="5"/>
  <c r="AD44" i="94"/>
  <c r="AD22" i="5"/>
  <c r="AD32" i="63" s="1"/>
  <c r="Z127" i="42"/>
  <c r="AA126" i="42"/>
  <c r="AA127" i="42" s="1"/>
  <c r="Y78" i="5"/>
  <c r="Y44" i="58"/>
  <c r="Y45" i="58"/>
  <c r="Y47" i="58"/>
  <c r="W27" i="6"/>
  <c r="W37" i="5"/>
  <c r="W87" i="5"/>
  <c r="X16" i="3"/>
  <c r="X15" i="3"/>
  <c r="X18" i="3"/>
  <c r="AF115" i="63"/>
  <c r="AE20" i="63"/>
  <c r="AE21" i="5"/>
  <c r="AA132" i="42"/>
  <c r="AA133" i="42" s="1"/>
  <c r="Z133" i="42"/>
  <c r="AA10" i="58"/>
  <c r="AA63" i="5"/>
  <c r="AA122" i="5" s="1"/>
  <c r="AA104" i="63"/>
  <c r="F5" i="64"/>
  <c r="AA11" i="42"/>
  <c r="AA10" i="3"/>
  <c r="AA10" i="7"/>
  <c r="Q41" i="42"/>
  <c r="AK20" i="5"/>
  <c r="AK31" i="63" s="1"/>
  <c r="AK97" i="63" s="1"/>
  <c r="AJ31" i="63"/>
  <c r="E11" i="64"/>
  <c r="V97" i="58"/>
  <c r="AK146" i="59"/>
  <c r="AK92" i="5"/>
  <c r="AK14" i="6" l="1"/>
  <c r="AK24" i="94"/>
  <c r="AK101" i="63"/>
  <c r="AK102" i="63" s="1"/>
  <c r="AK107" i="63"/>
  <c r="AK64" i="63"/>
  <c r="AK29" i="3"/>
  <c r="AK34" i="94"/>
  <c r="AK36" i="94"/>
  <c r="AK37" i="94"/>
  <c r="Y46" i="3"/>
  <c r="Y47" i="3"/>
  <c r="Z46" i="7"/>
  <c r="Z47" i="7"/>
  <c r="AC13" i="42"/>
  <c r="AC43" i="63"/>
  <c r="AJ102" i="63"/>
  <c r="AJ103" i="63"/>
  <c r="AA36" i="7"/>
  <c r="AA45" i="7"/>
  <c r="AA46" i="7" s="1"/>
  <c r="AA29" i="7"/>
  <c r="AA21" i="7"/>
  <c r="AA50" i="7"/>
  <c r="AA51" i="7" s="1"/>
  <c r="AA11" i="7"/>
  <c r="AA40" i="7"/>
  <c r="AA41" i="7" s="1"/>
  <c r="AE23" i="63"/>
  <c r="AE22" i="63"/>
  <c r="AE21" i="63"/>
  <c r="AI28" i="63"/>
  <c r="AI27" i="63"/>
  <c r="AI26" i="63"/>
  <c r="AB137" i="42"/>
  <c r="AB141" i="42"/>
  <c r="W72" i="6"/>
  <c r="AG109" i="58"/>
  <c r="AE111" i="58"/>
  <c r="W50" i="3"/>
  <c r="W52" i="3"/>
  <c r="W97" i="3"/>
  <c r="W99" i="3" s="1"/>
  <c r="W51" i="3"/>
  <c r="AA13" i="5"/>
  <c r="Z25" i="6"/>
  <c r="AA38" i="58"/>
  <c r="Z40" i="58"/>
  <c r="Z39" i="58"/>
  <c r="Z40" i="3"/>
  <c r="Z43" i="58"/>
  <c r="Z64" i="5" s="1"/>
  <c r="AA104" i="58"/>
  <c r="Z115" i="58"/>
  <c r="Y30" i="5"/>
  <c r="Y14" i="5"/>
  <c r="Y26" i="6" s="1"/>
  <c r="M51" i="64"/>
  <c r="F6" i="64"/>
  <c r="Z52" i="7"/>
  <c r="Z51" i="7"/>
  <c r="V99" i="58"/>
  <c r="Q142" i="42" s="1"/>
  <c r="Q140" i="42" s="1"/>
  <c r="E12" i="64"/>
  <c r="V98" i="58"/>
  <c r="AA11" i="3"/>
  <c r="AF21" i="5"/>
  <c r="AF20" i="63"/>
  <c r="AG115" i="63"/>
  <c r="AI102" i="63"/>
  <c r="AI103" i="63"/>
  <c r="AJ98" i="3"/>
  <c r="AC12" i="94"/>
  <c r="AC31" i="94"/>
  <c r="AC11" i="94"/>
  <c r="AC26" i="94"/>
  <c r="X60" i="6"/>
  <c r="X104" i="5"/>
  <c r="X103" i="5"/>
  <c r="Y32" i="3"/>
  <c r="Y30" i="58" s="1"/>
  <c r="Y29" i="58"/>
  <c r="Z23" i="3"/>
  <c r="AA103" i="58"/>
  <c r="Z114" i="58"/>
  <c r="X37" i="5"/>
  <c r="X87" i="5"/>
  <c r="X27" i="6"/>
  <c r="Y71" i="6"/>
  <c r="AB105" i="58"/>
  <c r="AB116" i="58" s="1"/>
  <c r="AB104" i="58"/>
  <c r="AB115" i="58" s="1"/>
  <c r="AB26" i="58"/>
  <c r="AB12" i="58"/>
  <c r="AB38" i="58"/>
  <c r="AB32" i="58"/>
  <c r="AB102" i="58"/>
  <c r="AB103" i="58"/>
  <c r="AB18" i="58"/>
  <c r="AB11" i="58"/>
  <c r="AA11" i="58"/>
  <c r="AA26" i="58"/>
  <c r="X21" i="3"/>
  <c r="X27" i="3"/>
  <c r="X19" i="3"/>
  <c r="X20" i="3"/>
  <c r="X49" i="3"/>
  <c r="W30" i="6"/>
  <c r="W84" i="5" s="1"/>
  <c r="AC10" i="7"/>
  <c r="S41" i="42"/>
  <c r="S42" i="42" s="1"/>
  <c r="S43" i="42" s="1"/>
  <c r="AC132" i="42"/>
  <c r="AC133" i="42" s="1"/>
  <c r="AC10" i="58"/>
  <c r="AC12" i="42"/>
  <c r="AC63" i="5"/>
  <c r="AC104" i="63"/>
  <c r="AC11" i="42"/>
  <c r="AC10" i="3"/>
  <c r="T41" i="42"/>
  <c r="T42" i="42" s="1"/>
  <c r="T43" i="42" s="1"/>
  <c r="AC126" i="42"/>
  <c r="AC127" i="42" s="1"/>
  <c r="AI98" i="3"/>
  <c r="Z16" i="58"/>
  <c r="Z15" i="58"/>
  <c r="Z65" i="5"/>
  <c r="Z90" i="63"/>
  <c r="Z14" i="3"/>
  <c r="AA14" i="58"/>
  <c r="Z116" i="58"/>
  <c r="AA105" i="58"/>
  <c r="AE44" i="94"/>
  <c r="AE22" i="5"/>
  <c r="AE32" i="63" s="1"/>
  <c r="W32" i="6"/>
  <c r="W113" i="5" s="1"/>
  <c r="AJ25" i="63"/>
  <c r="AJ64" i="63"/>
  <c r="Y50" i="58"/>
  <c r="Y48" i="58"/>
  <c r="Y49" i="58"/>
  <c r="AB122" i="5"/>
  <c r="AB13" i="5"/>
  <c r="AB11" i="3"/>
  <c r="AB12" i="3"/>
  <c r="Y43" i="5"/>
  <c r="Y35" i="5"/>
  <c r="Z113" i="58"/>
  <c r="AA102" i="58"/>
  <c r="Z106" i="58"/>
  <c r="Z19" i="58"/>
  <c r="Z20" i="58"/>
  <c r="Z27" i="58"/>
  <c r="Y15" i="3"/>
  <c r="Y16" i="3"/>
  <c r="Y18" i="3"/>
  <c r="AD11" i="94"/>
  <c r="AD12" i="94"/>
  <c r="AD31" i="94"/>
  <c r="AD26" i="94"/>
  <c r="AA137" i="42"/>
  <c r="AA141" i="42"/>
  <c r="X23" i="5"/>
  <c r="X68" i="5"/>
  <c r="X45" i="5" s="1"/>
  <c r="X29" i="6"/>
  <c r="X97" i="5" s="1"/>
  <c r="P43" i="42"/>
  <c r="Q43" i="42" s="1"/>
  <c r="AB36" i="7"/>
  <c r="AB40" i="7"/>
  <c r="AB45" i="7"/>
  <c r="AB21" i="7"/>
  <c r="AB29" i="7"/>
  <c r="AB12" i="7"/>
  <c r="AB11" i="7"/>
  <c r="AB50" i="7"/>
  <c r="Z42" i="7"/>
  <c r="Z41" i="7"/>
  <c r="Z33" i="58"/>
  <c r="Z130" i="42"/>
  <c r="Z131" i="42" s="1"/>
  <c r="Z34" i="58"/>
  <c r="Z36" i="58"/>
  <c r="Z34" i="3"/>
  <c r="AA32" i="58"/>
  <c r="AA81" i="5"/>
  <c r="Y42" i="5"/>
  <c r="Y34" i="5"/>
  <c r="AD126" i="42"/>
  <c r="AD127" i="42" s="1"/>
  <c r="AD10" i="3"/>
  <c r="AD63" i="5"/>
  <c r="AD104" i="63"/>
  <c r="AD10" i="7"/>
  <c r="AD132" i="42"/>
  <c r="AD133" i="42" s="1"/>
  <c r="AD10" i="58"/>
  <c r="AD11" i="42"/>
  <c r="AD12" i="42"/>
  <c r="AD43" i="63"/>
  <c r="AD13" i="42"/>
  <c r="AK98" i="3" l="1"/>
  <c r="AC81" i="5"/>
  <c r="AB52" i="7"/>
  <c r="AB51" i="7"/>
  <c r="AH109" i="58"/>
  <c r="AG111" i="58"/>
  <c r="AD26" i="58"/>
  <c r="AD105" i="58"/>
  <c r="AD116" i="58" s="1"/>
  <c r="AD104" i="58"/>
  <c r="AD115" i="58" s="1"/>
  <c r="AD103" i="58"/>
  <c r="AD38" i="58"/>
  <c r="AD18" i="58"/>
  <c r="AD12" i="58"/>
  <c r="AD32" i="58"/>
  <c r="AD102" i="58"/>
  <c r="AD11" i="58"/>
  <c r="Z35" i="3"/>
  <c r="Z36" i="3"/>
  <c r="Z37" i="3"/>
  <c r="Z124" i="42"/>
  <c r="Z125" i="42" s="1"/>
  <c r="AA34" i="3"/>
  <c r="Z38" i="3"/>
  <c r="Y20" i="3"/>
  <c r="Y49" i="3"/>
  <c r="Y21" i="3"/>
  <c r="Y27" i="3"/>
  <c r="Y19" i="3"/>
  <c r="Z96" i="58"/>
  <c r="Z19" i="6"/>
  <c r="Z16" i="3"/>
  <c r="Z18" i="3"/>
  <c r="Z15" i="3"/>
  <c r="AA14" i="3"/>
  <c r="AC122" i="5"/>
  <c r="AC13" i="5"/>
  <c r="AB27" i="58"/>
  <c r="AB19" i="58"/>
  <c r="AB20" i="58"/>
  <c r="Z24" i="3"/>
  <c r="Z66" i="5"/>
  <c r="Z31" i="3"/>
  <c r="Z25" i="3"/>
  <c r="Z26" i="3"/>
  <c r="AA23" i="3"/>
  <c r="Y37" i="5"/>
  <c r="Y87" i="5"/>
  <c r="Y27" i="6"/>
  <c r="W95" i="58"/>
  <c r="W97" i="58" s="1"/>
  <c r="W100" i="3"/>
  <c r="X30" i="6"/>
  <c r="AA90" i="63"/>
  <c r="AA18" i="58"/>
  <c r="AA65" i="5"/>
  <c r="AA15" i="58"/>
  <c r="AA114" i="58"/>
  <c r="Y68" i="5"/>
  <c r="Y45" i="5" s="1"/>
  <c r="Y23" i="5"/>
  <c r="Y29" i="6"/>
  <c r="Y97" i="5" s="1"/>
  <c r="AA113" i="58"/>
  <c r="AA106" i="58"/>
  <c r="AA110" i="58" s="1"/>
  <c r="AJ27" i="63"/>
  <c r="AJ28" i="63"/>
  <c r="AK25" i="63"/>
  <c r="AJ26" i="63"/>
  <c r="AB114" i="58"/>
  <c r="AB23" i="3"/>
  <c r="AA41" i="58"/>
  <c r="AA39" i="58"/>
  <c r="AD137" i="42"/>
  <c r="AD141" i="42"/>
  <c r="AB41" i="7"/>
  <c r="AB42" i="7"/>
  <c r="AC21" i="7"/>
  <c r="AC11" i="7"/>
  <c r="AC36" i="7"/>
  <c r="AC29" i="7"/>
  <c r="AC50" i="7"/>
  <c r="AC40" i="7"/>
  <c r="AC45" i="7"/>
  <c r="AC12" i="7"/>
  <c r="AD50" i="7"/>
  <c r="AD11" i="7"/>
  <c r="AD40" i="7"/>
  <c r="AD12" i="7"/>
  <c r="AD29" i="7"/>
  <c r="AD45" i="7"/>
  <c r="AD36" i="7"/>
  <c r="AD21" i="7"/>
  <c r="AC18" i="58"/>
  <c r="AC26" i="58"/>
  <c r="AC12" i="58"/>
  <c r="AC11" i="58"/>
  <c r="AC38" i="58"/>
  <c r="AC32" i="58"/>
  <c r="AB106" i="58"/>
  <c r="AB113" i="58"/>
  <c r="AB14" i="58"/>
  <c r="AA115" i="58"/>
  <c r="Z78" i="5"/>
  <c r="AA25" i="6"/>
  <c r="AA78" i="5" s="1"/>
  <c r="AD11" i="3"/>
  <c r="AD12" i="3"/>
  <c r="AF22" i="5"/>
  <c r="AF32" i="63" s="1"/>
  <c r="AF44" i="94"/>
  <c r="AA131" i="42"/>
  <c r="AA129" i="42" s="1"/>
  <c r="Z129" i="42"/>
  <c r="Y60" i="6"/>
  <c r="Y103" i="5"/>
  <c r="Y104" i="5"/>
  <c r="AA116" i="58"/>
  <c r="Z34" i="5"/>
  <c r="Z42" i="5"/>
  <c r="AC12" i="3"/>
  <c r="AC11" i="3"/>
  <c r="X50" i="3"/>
  <c r="X52" i="3"/>
  <c r="X97" i="3"/>
  <c r="X99" i="3" s="1"/>
  <c r="X51" i="3"/>
  <c r="AB34" i="58"/>
  <c r="AB36" i="58"/>
  <c r="AB33" i="58"/>
  <c r="AB34" i="3"/>
  <c r="AB130" i="42"/>
  <c r="AB131" i="42" s="1"/>
  <c r="AB129" i="42" s="1"/>
  <c r="AG20" i="63"/>
  <c r="AH115" i="63"/>
  <c r="AG21" i="5"/>
  <c r="Z47" i="58"/>
  <c r="Z45" i="58"/>
  <c r="Z44" i="58"/>
  <c r="AF23" i="63"/>
  <c r="AE10" i="63"/>
  <c r="AA43" i="58"/>
  <c r="AA44" i="58" s="1"/>
  <c r="AA35" i="58"/>
  <c r="AA36" i="58"/>
  <c r="AA33" i="58"/>
  <c r="AA130" i="42"/>
  <c r="Z14" i="5"/>
  <c r="Z26" i="6" s="1"/>
  <c r="AD81" i="5" s="1"/>
  <c r="Z30" i="5"/>
  <c r="X72" i="6"/>
  <c r="AD122" i="5"/>
  <c r="AD13" i="5"/>
  <c r="AB46" i="7"/>
  <c r="AB47" i="7"/>
  <c r="X32" i="6"/>
  <c r="X113" i="5" s="1"/>
  <c r="AC141" i="42"/>
  <c r="AC137" i="42"/>
  <c r="AB40" i="3"/>
  <c r="AB43" i="58"/>
  <c r="AB47" i="58" s="1"/>
  <c r="AB39" i="58"/>
  <c r="AB40" i="58"/>
  <c r="Z54" i="5"/>
  <c r="AF21" i="63"/>
  <c r="X13" i="64"/>
  <c r="AA13" i="64"/>
  <c r="Z42" i="3"/>
  <c r="Z41" i="3"/>
  <c r="Z43" i="3"/>
  <c r="Z45" i="3"/>
  <c r="AA40" i="3"/>
  <c r="AB25" i="6"/>
  <c r="AB78" i="5" s="1"/>
  <c r="AA74" i="5"/>
  <c r="AA77" i="5" l="1"/>
  <c r="AA76" i="5"/>
  <c r="Y72" i="6"/>
  <c r="AB26" i="3"/>
  <c r="AB24" i="3"/>
  <c r="AB66" i="5"/>
  <c r="AB31" i="3"/>
  <c r="AB25" i="3"/>
  <c r="AA117" i="58"/>
  <c r="AC117" i="58" s="1"/>
  <c r="W98" i="58"/>
  <c r="W99" i="58"/>
  <c r="R142" i="42" s="1"/>
  <c r="R140" i="42" s="1"/>
  <c r="Z123" i="42"/>
  <c r="AA125" i="42"/>
  <c r="AA123" i="42" s="1"/>
  <c r="AD113" i="58"/>
  <c r="AD106" i="58"/>
  <c r="AD23" i="3"/>
  <c r="AD114" i="58"/>
  <c r="AA14" i="5"/>
  <c r="Z68" i="5"/>
  <c r="Z45" i="5" s="1"/>
  <c r="AA34" i="5"/>
  <c r="Z23" i="5"/>
  <c r="Z29" i="6"/>
  <c r="AC14" i="58"/>
  <c r="AC19" i="58"/>
  <c r="AC27" i="58"/>
  <c r="AC20" i="58"/>
  <c r="AD41" i="7"/>
  <c r="AD42" i="7"/>
  <c r="AC52" i="7"/>
  <c r="AC51" i="7"/>
  <c r="AK26" i="63"/>
  <c r="AK28" i="63"/>
  <c r="Z27" i="3"/>
  <c r="Z21" i="3"/>
  <c r="Z19" i="3"/>
  <c r="Z20" i="3"/>
  <c r="Z49" i="3"/>
  <c r="AD36" i="58"/>
  <c r="AD34" i="3"/>
  <c r="AD130" i="42"/>
  <c r="AD33" i="58"/>
  <c r="AD34" i="58"/>
  <c r="AA43" i="3"/>
  <c r="AA41" i="3"/>
  <c r="AA45" i="3"/>
  <c r="AA46" i="3" s="1"/>
  <c r="AB44" i="58"/>
  <c r="AB45" i="58"/>
  <c r="AE10" i="94"/>
  <c r="AE11" i="63"/>
  <c r="AE14" i="63"/>
  <c r="AE14" i="42" s="1"/>
  <c r="AE41" i="63"/>
  <c r="Z42" i="63"/>
  <c r="AE10" i="42"/>
  <c r="AE18" i="63"/>
  <c r="AE18" i="42" s="1"/>
  <c r="AE13" i="63"/>
  <c r="AF10" i="63"/>
  <c r="AE12" i="63"/>
  <c r="AC40" i="58"/>
  <c r="AC43" i="58"/>
  <c r="AC39" i="58"/>
  <c r="X84" i="5"/>
  <c r="Z29" i="58"/>
  <c r="Z32" i="3"/>
  <c r="Z30" i="58" s="1"/>
  <c r="Y97" i="3"/>
  <c r="Y99" i="3" s="1"/>
  <c r="Y52" i="3"/>
  <c r="Y51" i="3"/>
  <c r="Y50" i="3"/>
  <c r="AA26" i="6"/>
  <c r="AE81" i="5" s="1"/>
  <c r="AA54" i="5"/>
  <c r="AB54" i="5" s="1"/>
  <c r="Z71" i="6"/>
  <c r="AG21" i="63"/>
  <c r="AG22" i="63"/>
  <c r="AB96" i="58"/>
  <c r="AB19" i="6"/>
  <c r="AC46" i="7"/>
  <c r="AC47" i="7"/>
  <c r="AA19" i="6"/>
  <c r="AA96" i="58"/>
  <c r="AA19" i="58"/>
  <c r="AA27" i="58"/>
  <c r="AA21" i="58"/>
  <c r="AA47" i="58"/>
  <c r="AA24" i="3"/>
  <c r="AA26" i="3"/>
  <c r="AA31" i="3"/>
  <c r="AA66" i="5"/>
  <c r="AB49" i="58"/>
  <c r="AB48" i="58"/>
  <c r="AB50" i="58"/>
  <c r="AA18" i="3"/>
  <c r="AA15" i="3"/>
  <c r="AA35" i="3"/>
  <c r="AA38" i="3"/>
  <c r="AA124" i="42"/>
  <c r="AA37" i="3"/>
  <c r="AI109" i="58"/>
  <c r="AH111" i="58"/>
  <c r="Z27" i="6"/>
  <c r="AA27" i="6" s="1"/>
  <c r="AA30" i="5"/>
  <c r="Z87" i="5"/>
  <c r="Z49" i="58"/>
  <c r="Z50" i="58"/>
  <c r="Z48" i="58"/>
  <c r="X100" i="3"/>
  <c r="X95" i="58"/>
  <c r="X97" i="58" s="1"/>
  <c r="AA42" i="5"/>
  <c r="AC36" i="58"/>
  <c r="AC33" i="58"/>
  <c r="AC34" i="58"/>
  <c r="AC130" i="42"/>
  <c r="AC131" i="42" s="1"/>
  <c r="AC129" i="42" s="1"/>
  <c r="AC42" i="7"/>
  <c r="AC41" i="7"/>
  <c r="AA109" i="58"/>
  <c r="Z46" i="3"/>
  <c r="Z47" i="3"/>
  <c r="AB42" i="3"/>
  <c r="AB43" i="3"/>
  <c r="AB45" i="3"/>
  <c r="AB41" i="3"/>
  <c r="AG44" i="94"/>
  <c r="AG22" i="5"/>
  <c r="AG32" i="63" s="1"/>
  <c r="AB36" i="3"/>
  <c r="AB37" i="3"/>
  <c r="AB35" i="3"/>
  <c r="AB124" i="42"/>
  <c r="AB125" i="42" s="1"/>
  <c r="AB123" i="42" s="1"/>
  <c r="AB38" i="3"/>
  <c r="AA111" i="58"/>
  <c r="AB90" i="63"/>
  <c r="AB15" i="58"/>
  <c r="AB16" i="58"/>
  <c r="AB14" i="3"/>
  <c r="AB65" i="5"/>
  <c r="AB64" i="5"/>
  <c r="AD52" i="7"/>
  <c r="AD51" i="7"/>
  <c r="Y32" i="6"/>
  <c r="Y113" i="5" s="1"/>
  <c r="AA64" i="5"/>
  <c r="Z43" i="5"/>
  <c r="AA43" i="5" s="1"/>
  <c r="Z35" i="5"/>
  <c r="AD25" i="6"/>
  <c r="AD78" i="5" s="1"/>
  <c r="AC25" i="6"/>
  <c r="AC78" i="5" s="1"/>
  <c r="AD14" i="58"/>
  <c r="AD27" i="58"/>
  <c r="AD20" i="58"/>
  <c r="AD19" i="58"/>
  <c r="AG23" i="63"/>
  <c r="AG10" i="63" s="1"/>
  <c r="AI115" i="63"/>
  <c r="AH21" i="5"/>
  <c r="AH20" i="63"/>
  <c r="AD46" i="7"/>
  <c r="AD47" i="7"/>
  <c r="AA108" i="58"/>
  <c r="Y30" i="6"/>
  <c r="Y84" i="5" s="1"/>
  <c r="AD39" i="58"/>
  <c r="AD43" i="58"/>
  <c r="AD40" i="3"/>
  <c r="AD40" i="58"/>
  <c r="Z37" i="5" l="1"/>
  <c r="AA71" i="6"/>
  <c r="AD96" i="58"/>
  <c r="AD19" i="6"/>
  <c r="AI21" i="5"/>
  <c r="AI20" i="63"/>
  <c r="AJ115" i="63"/>
  <c r="X98" i="58"/>
  <c r="X99" i="58"/>
  <c r="S142" i="42" s="1"/>
  <c r="S140" i="42" s="1"/>
  <c r="AF10" i="42"/>
  <c r="AA42" i="63"/>
  <c r="AF41" i="63"/>
  <c r="AF13" i="63"/>
  <c r="AF11" i="63"/>
  <c r="AF10" i="94"/>
  <c r="AC15" i="58"/>
  <c r="AC90" i="63"/>
  <c r="AC16" i="58"/>
  <c r="AC65" i="5"/>
  <c r="AC64" i="5"/>
  <c r="AA80" i="5"/>
  <c r="AD124" i="42"/>
  <c r="AD35" i="3"/>
  <c r="AD37" i="3"/>
  <c r="AD38" i="3"/>
  <c r="Z32" i="6"/>
  <c r="AA45" i="5"/>
  <c r="AD47" i="58"/>
  <c r="AD45" i="58"/>
  <c r="AD44" i="58"/>
  <c r="AH44" i="94"/>
  <c r="AH22" i="5"/>
  <c r="AH32" i="63" s="1"/>
  <c r="AD16" i="58"/>
  <c r="AD90" i="63"/>
  <c r="AD15" i="58"/>
  <c r="AD65" i="5"/>
  <c r="AD14" i="3"/>
  <c r="AD64" i="5"/>
  <c r="AA99" i="5"/>
  <c r="AB71" i="6"/>
  <c r="Y95" i="58"/>
  <c r="Y97" i="58" s="1"/>
  <c r="Y100" i="3"/>
  <c r="AC44" i="58"/>
  <c r="AC45" i="58"/>
  <c r="AC47" i="58"/>
  <c r="AE117" i="58"/>
  <c r="AG117" i="58" s="1"/>
  <c r="AI117" i="58" s="1"/>
  <c r="AC104" i="58"/>
  <c r="AC102" i="58"/>
  <c r="AC105" i="58"/>
  <c r="AC103" i="58"/>
  <c r="AB42" i="63"/>
  <c r="AG11" i="63"/>
  <c r="AG13" i="63"/>
  <c r="AG18" i="63"/>
  <c r="AG18" i="42" s="1"/>
  <c r="AG14" i="63"/>
  <c r="AG14" i="42" s="1"/>
  <c r="AG10" i="42"/>
  <c r="AG41" i="63"/>
  <c r="AG10" i="94"/>
  <c r="AG12" i="63"/>
  <c r="AJ109" i="58"/>
  <c r="AJ111" i="58" s="1"/>
  <c r="AI111" i="58"/>
  <c r="AE43" i="63"/>
  <c r="AE13" i="42"/>
  <c r="Z50" i="3"/>
  <c r="Z97" i="3"/>
  <c r="Z99" i="3" s="1"/>
  <c r="Z52" i="3"/>
  <c r="Z51" i="3"/>
  <c r="AA29" i="6"/>
  <c r="AA97" i="5" s="1"/>
  <c r="Z97" i="5"/>
  <c r="AB29" i="58"/>
  <c r="AB32" i="3"/>
  <c r="AB30" i="58" s="1"/>
  <c r="AA23" i="5"/>
  <c r="Z30" i="6"/>
  <c r="AB35" i="5"/>
  <c r="AB43" i="5"/>
  <c r="AD45" i="3"/>
  <c r="AD41" i="3"/>
  <c r="AD43" i="3"/>
  <c r="AH23" i="63"/>
  <c r="AH10" i="63" s="1"/>
  <c r="AC42" i="63" s="1"/>
  <c r="AH22" i="63"/>
  <c r="AH21" i="63"/>
  <c r="AB15" i="3"/>
  <c r="AB18" i="3"/>
  <c r="AB16" i="3"/>
  <c r="AB14" i="5"/>
  <c r="AB30" i="5"/>
  <c r="AB47" i="3"/>
  <c r="AB46" i="3"/>
  <c r="AA87" i="5"/>
  <c r="AA19" i="3"/>
  <c r="AA27" i="3"/>
  <c r="AA49" i="3"/>
  <c r="AA21" i="3"/>
  <c r="AE11" i="94"/>
  <c r="AE12" i="94"/>
  <c r="AE31" i="94"/>
  <c r="AE26" i="94"/>
  <c r="Z103" i="5"/>
  <c r="AA35" i="5"/>
  <c r="Z60" i="6"/>
  <c r="Z104" i="5"/>
  <c r="AB42" i="5"/>
  <c r="AB34" i="5"/>
  <c r="AA29" i="58"/>
  <c r="AA32" i="3"/>
  <c r="AA30" i="58" s="1"/>
  <c r="F9" i="64"/>
  <c r="M39" i="64" s="1"/>
  <c r="AA14" i="64" s="1"/>
  <c r="AA48" i="58"/>
  <c r="AA50" i="58"/>
  <c r="AE132" i="42"/>
  <c r="AE63" i="5"/>
  <c r="AE10" i="7"/>
  <c r="AE11" i="42"/>
  <c r="AE126" i="42"/>
  <c r="AE10" i="58"/>
  <c r="AE10" i="3"/>
  <c r="AE12" i="42"/>
  <c r="AE104" i="63"/>
  <c r="AD131" i="42"/>
  <c r="AD129" i="42" s="1"/>
  <c r="AA96" i="5"/>
  <c r="AA68" i="5"/>
  <c r="AA98" i="5"/>
  <c r="AD66" i="5"/>
  <c r="AD24" i="3"/>
  <c r="AD31" i="3"/>
  <c r="AD26" i="3"/>
  <c r="AA37" i="5" l="1"/>
  <c r="X14" i="64"/>
  <c r="Z95" i="58"/>
  <c r="Z97" i="58" s="1"/>
  <c r="Z100" i="3"/>
  <c r="AI22" i="63"/>
  <c r="AI21" i="63"/>
  <c r="AG11" i="42"/>
  <c r="AG10" i="58"/>
  <c r="AG63" i="5"/>
  <c r="AG10" i="3"/>
  <c r="AG126" i="42"/>
  <c r="AG127" i="42" s="1"/>
  <c r="AG104" i="63"/>
  <c r="AG132" i="42"/>
  <c r="AG133" i="42" s="1"/>
  <c r="AG10" i="7"/>
  <c r="AG12" i="42"/>
  <c r="AD29" i="58"/>
  <c r="AD32" i="3"/>
  <c r="AD30" i="58" s="1"/>
  <c r="AD46" i="3"/>
  <c r="AD34" i="5"/>
  <c r="AD42" i="5"/>
  <c r="Z113" i="5"/>
  <c r="AA32" i="6"/>
  <c r="AA113" i="5" s="1"/>
  <c r="AC34" i="5"/>
  <c r="AC42" i="5"/>
  <c r="AE127" i="42"/>
  <c r="AF126" i="42"/>
  <c r="AF127" i="42" s="1"/>
  <c r="AC113" i="58"/>
  <c r="AC106" i="58"/>
  <c r="AF11" i="94"/>
  <c r="AF31" i="94"/>
  <c r="AF26" i="94"/>
  <c r="AE137" i="42"/>
  <c r="AE141" i="42"/>
  <c r="AB68" i="5"/>
  <c r="AB45" i="5" s="1"/>
  <c r="AB23" i="5"/>
  <c r="AB30" i="6" s="1"/>
  <c r="AB84" i="5" s="1"/>
  <c r="AI23" i="63"/>
  <c r="AI10" i="63" s="1"/>
  <c r="AA52" i="3"/>
  <c r="AA53" i="3" s="1"/>
  <c r="F8" i="64"/>
  <c r="AA97" i="3"/>
  <c r="AA99" i="3" s="1"/>
  <c r="AA50" i="3"/>
  <c r="AH13" i="63"/>
  <c r="AH41" i="63"/>
  <c r="AH10" i="42"/>
  <c r="AH11" i="63"/>
  <c r="AH18" i="63"/>
  <c r="AH18" i="42" s="1"/>
  <c r="AH10" i="94"/>
  <c r="AH14" i="63"/>
  <c r="AH14" i="42" s="1"/>
  <c r="AH12" i="63"/>
  <c r="AB103" i="5"/>
  <c r="AB60" i="6"/>
  <c r="AB104" i="5"/>
  <c r="AG13" i="42"/>
  <c r="AG43" i="63"/>
  <c r="AC115" i="58"/>
  <c r="AC34" i="3"/>
  <c r="Y98" i="58"/>
  <c r="Y99" i="58"/>
  <c r="T142" i="42" s="1"/>
  <c r="T140" i="42" s="1"/>
  <c r="AI44" i="94"/>
  <c r="AI22" i="5"/>
  <c r="AI32" i="63" s="1"/>
  <c r="AB27" i="6"/>
  <c r="AB37" i="5"/>
  <c r="AB87" i="5"/>
  <c r="AG26" i="94"/>
  <c r="AG12" i="94"/>
  <c r="AG11" i="94"/>
  <c r="AG31" i="94"/>
  <c r="AB29" i="6"/>
  <c r="AB97" i="5" s="1"/>
  <c r="AB26" i="6"/>
  <c r="AF43" i="63"/>
  <c r="AF13" i="42"/>
  <c r="AE12" i="3"/>
  <c r="AE11" i="3"/>
  <c r="AE133" i="42"/>
  <c r="AF132" i="42"/>
  <c r="AF133" i="42" s="1"/>
  <c r="AA60" i="6"/>
  <c r="Z72" i="6"/>
  <c r="AC114" i="58"/>
  <c r="AC23" i="3"/>
  <c r="AD15" i="3"/>
  <c r="AD18" i="3"/>
  <c r="AA112" i="5"/>
  <c r="AC14" i="5"/>
  <c r="AC30" i="5"/>
  <c r="AE104" i="58"/>
  <c r="AE115" i="58" s="1"/>
  <c r="AE103" i="58"/>
  <c r="AF103" i="58" s="1"/>
  <c r="AE11" i="58"/>
  <c r="AE38" i="58"/>
  <c r="AE18" i="58"/>
  <c r="AE14" i="58" s="1"/>
  <c r="AE12" i="58"/>
  <c r="AE32" i="58"/>
  <c r="AE102" i="58"/>
  <c r="AF102" i="58" s="1"/>
  <c r="AE105" i="58"/>
  <c r="AE116" i="58" s="1"/>
  <c r="AE26" i="58"/>
  <c r="AA102" i="5"/>
  <c r="AA104" i="5"/>
  <c r="AA103" i="5"/>
  <c r="AA83" i="5"/>
  <c r="AC116" i="58"/>
  <c r="AC40" i="3"/>
  <c r="AF10" i="7"/>
  <c r="AF11" i="42"/>
  <c r="AF63" i="5"/>
  <c r="AF122" i="5" s="1"/>
  <c r="AF10" i="3"/>
  <c r="G5" i="64"/>
  <c r="G6" i="64" s="1"/>
  <c r="AF104" i="63"/>
  <c r="AF10" i="58"/>
  <c r="AJ20" i="63"/>
  <c r="AJ23" i="63" s="1"/>
  <c r="AK115" i="63"/>
  <c r="AJ21" i="5"/>
  <c r="AD35" i="5"/>
  <c r="AD43" i="5"/>
  <c r="AE36" i="7"/>
  <c r="AE40" i="7"/>
  <c r="AE50" i="7"/>
  <c r="AE12" i="7"/>
  <c r="AE45" i="7"/>
  <c r="AE29" i="7"/>
  <c r="AE21" i="7"/>
  <c r="AE11" i="7"/>
  <c r="AE13" i="5"/>
  <c r="AE122" i="5"/>
  <c r="AB27" i="3"/>
  <c r="AB49" i="3"/>
  <c r="AB19" i="3"/>
  <c r="AB20" i="3"/>
  <c r="AB21" i="3"/>
  <c r="Z84" i="5"/>
  <c r="AA30" i="6"/>
  <c r="AD49" i="58"/>
  <c r="AC48" i="58"/>
  <c r="AC49" i="58"/>
  <c r="AC50" i="58"/>
  <c r="AD30" i="5"/>
  <c r="AD14" i="5"/>
  <c r="AD48" i="58"/>
  <c r="AD50" i="58"/>
  <c r="AC14" i="3"/>
  <c r="AF105" i="58" l="1"/>
  <c r="AF116" i="58" s="1"/>
  <c r="AF104" i="58"/>
  <c r="AF115" i="58" s="1"/>
  <c r="AK23" i="63"/>
  <c r="AJ10" i="63"/>
  <c r="AK10" i="63" s="1"/>
  <c r="AF114" i="58"/>
  <c r="AC68" i="5"/>
  <c r="AC45" i="5" s="1"/>
  <c r="AC29" i="6"/>
  <c r="AC97" i="5" s="1"/>
  <c r="AC23" i="5"/>
  <c r="AC30" i="6" s="1"/>
  <c r="AC84" i="5" s="1"/>
  <c r="AC36" i="3"/>
  <c r="AC35" i="3"/>
  <c r="AC38" i="3"/>
  <c r="AC37" i="3"/>
  <c r="AC124" i="42"/>
  <c r="AD36" i="3"/>
  <c r="AG122" i="5"/>
  <c r="AG13" i="5"/>
  <c r="AE42" i="7"/>
  <c r="AE41" i="7"/>
  <c r="AK21" i="5"/>
  <c r="AK20" i="63"/>
  <c r="AK21" i="63" s="1"/>
  <c r="AF11" i="3"/>
  <c r="AB72" i="6"/>
  <c r="AC19" i="6"/>
  <c r="AC96" i="58"/>
  <c r="AC54" i="5"/>
  <c r="AG36" i="7"/>
  <c r="AG40" i="7"/>
  <c r="AG50" i="7"/>
  <c r="AG12" i="7"/>
  <c r="AG29" i="7"/>
  <c r="AG21" i="7"/>
  <c r="AG45" i="7"/>
  <c r="AG11" i="7"/>
  <c r="AG11" i="58"/>
  <c r="AG12" i="58"/>
  <c r="AG104" i="58"/>
  <c r="AG115" i="58" s="1"/>
  <c r="AG38" i="58"/>
  <c r="AG32" i="58"/>
  <c r="AG105" i="58"/>
  <c r="AG116" i="58" s="1"/>
  <c r="AG26" i="58"/>
  <c r="AG102" i="58"/>
  <c r="AG18" i="58"/>
  <c r="AG103" i="58"/>
  <c r="AE46" i="7"/>
  <c r="AE47" i="7"/>
  <c r="AF11" i="7"/>
  <c r="AF21" i="7"/>
  <c r="AF29" i="7"/>
  <c r="AF40" i="7"/>
  <c r="AF41" i="7" s="1"/>
  <c r="AF50" i="7"/>
  <c r="AF51" i="7" s="1"/>
  <c r="AF45" i="7"/>
  <c r="AF46" i="7" s="1"/>
  <c r="AC26" i="6"/>
  <c r="AD26" i="6"/>
  <c r="AA72" i="6"/>
  <c r="AF81" i="5"/>
  <c r="AG11" i="3"/>
  <c r="AG12" i="3"/>
  <c r="AF13" i="5"/>
  <c r="AE25" i="6"/>
  <c r="AF113" i="58"/>
  <c r="AJ22" i="63"/>
  <c r="AJ21" i="63"/>
  <c r="AE106" i="58"/>
  <c r="AE113" i="58"/>
  <c r="AE23" i="3"/>
  <c r="AE114" i="58"/>
  <c r="AD49" i="3"/>
  <c r="AD27" i="3"/>
  <c r="AD21" i="3"/>
  <c r="AD19" i="3"/>
  <c r="AC31" i="3"/>
  <c r="AC24" i="3"/>
  <c r="AC26" i="3"/>
  <c r="AC25" i="3"/>
  <c r="AC66" i="5"/>
  <c r="AD25" i="3"/>
  <c r="AB32" i="6"/>
  <c r="AB113" i="5" s="1"/>
  <c r="AG137" i="42"/>
  <c r="AG141" i="42"/>
  <c r="AG140" i="42" s="1"/>
  <c r="AA84" i="5"/>
  <c r="AD104" i="5"/>
  <c r="AE65" i="5"/>
  <c r="AF14" i="58"/>
  <c r="AE14" i="3"/>
  <c r="AE15" i="58"/>
  <c r="AE16" i="58"/>
  <c r="AE90" i="63"/>
  <c r="AC87" i="5"/>
  <c r="AC27" i="6"/>
  <c r="AE19" i="58"/>
  <c r="AE20" i="58"/>
  <c r="AE27" i="58"/>
  <c r="AH13" i="42"/>
  <c r="AH43" i="63"/>
  <c r="AE52" i="7"/>
  <c r="AE51" i="7"/>
  <c r="AJ22" i="5"/>
  <c r="AJ32" i="63" s="1"/>
  <c r="AJ44" i="94"/>
  <c r="AC41" i="3"/>
  <c r="AC43" i="3"/>
  <c r="AC42" i="3"/>
  <c r="AC45" i="3"/>
  <c r="AD42" i="3"/>
  <c r="AE40" i="58"/>
  <c r="AE40" i="3"/>
  <c r="AF40" i="3" s="1"/>
  <c r="AE43" i="58"/>
  <c r="AE64" i="5" s="1"/>
  <c r="AF38" i="58"/>
  <c r="AE39" i="58"/>
  <c r="AH11" i="94"/>
  <c r="AH12" i="94"/>
  <c r="AH31" i="94"/>
  <c r="AH26" i="94"/>
  <c r="AI13" i="63"/>
  <c r="AD42" i="63"/>
  <c r="AI10" i="94"/>
  <c r="AI10" i="42"/>
  <c r="AI11" i="63"/>
  <c r="AI14" i="63"/>
  <c r="AI14" i="42" s="1"/>
  <c r="AI18" i="63"/>
  <c r="AI18" i="42" s="1"/>
  <c r="AI41" i="63"/>
  <c r="AI12" i="63"/>
  <c r="AC18" i="3"/>
  <c r="AD20" i="3" s="1"/>
  <c r="AC15" i="3"/>
  <c r="AC16" i="3"/>
  <c r="AD27" i="6"/>
  <c r="AD87" i="5"/>
  <c r="AD37" i="5"/>
  <c r="AB52" i="3"/>
  <c r="AB97" i="3"/>
  <c r="AB99" i="3" s="1"/>
  <c r="AB51" i="3"/>
  <c r="AB50" i="3"/>
  <c r="AF26" i="58"/>
  <c r="AF11" i="58"/>
  <c r="AF137" i="42"/>
  <c r="AF141" i="42"/>
  <c r="AE34" i="3"/>
  <c r="AF34" i="3" s="1"/>
  <c r="AE130" i="42"/>
  <c r="AE131" i="42" s="1"/>
  <c r="AE34" i="58"/>
  <c r="AF32" i="58"/>
  <c r="AE36" i="58"/>
  <c r="AE33" i="58"/>
  <c r="AD16" i="3"/>
  <c r="AH126" i="42"/>
  <c r="AH127" i="42" s="1"/>
  <c r="AH11" i="42"/>
  <c r="AH10" i="3"/>
  <c r="AH12" i="42"/>
  <c r="AH104" i="63"/>
  <c r="AH10" i="58"/>
  <c r="AH63" i="5"/>
  <c r="AH132" i="42"/>
  <c r="AH133" i="42" s="1"/>
  <c r="AH10" i="7"/>
  <c r="AA95" i="58"/>
  <c r="AA100" i="3"/>
  <c r="AD23" i="5"/>
  <c r="AD68" i="5"/>
  <c r="AD45" i="5" s="1"/>
  <c r="AD29" i="6"/>
  <c r="AD97" i="5" s="1"/>
  <c r="Z98" i="58"/>
  <c r="Z99" i="58"/>
  <c r="U142" i="42" s="1"/>
  <c r="U140" i="42" s="1"/>
  <c r="AE42" i="63" l="1"/>
  <c r="AF106" i="58"/>
  <c r="AF110" i="58" s="1"/>
  <c r="AF117" i="58"/>
  <c r="AH117" i="58" s="1"/>
  <c r="AJ117" i="58" s="1"/>
  <c r="AF35" i="3"/>
  <c r="AF124" i="42"/>
  <c r="AF38" i="3"/>
  <c r="AF37" i="3"/>
  <c r="AF41" i="58"/>
  <c r="AF43" i="58"/>
  <c r="AF44" i="58" s="1"/>
  <c r="AF39" i="58"/>
  <c r="AF90" i="63"/>
  <c r="AF18" i="58"/>
  <c r="AF65" i="5"/>
  <c r="AF15" i="58"/>
  <c r="AI31" i="94"/>
  <c r="AI26" i="94"/>
  <c r="AI11" i="94"/>
  <c r="AI12" i="94"/>
  <c r="AE45" i="58"/>
  <c r="AE44" i="58"/>
  <c r="AE42" i="5"/>
  <c r="AE34" i="5"/>
  <c r="AE96" i="58"/>
  <c r="AE19" i="6"/>
  <c r="AG52" i="7"/>
  <c r="AG51" i="7"/>
  <c r="AK44" i="94"/>
  <c r="AK22" i="5"/>
  <c r="AK32" i="63" s="1"/>
  <c r="F11" i="64"/>
  <c r="AA97" i="58"/>
  <c r="AK10" i="94"/>
  <c r="AK13" i="63"/>
  <c r="AK10" i="42"/>
  <c r="AF42" i="63"/>
  <c r="AK41" i="63"/>
  <c r="AK11" i="63"/>
  <c r="AE15" i="3"/>
  <c r="AF14" i="3"/>
  <c r="AE18" i="3"/>
  <c r="AE16" i="3"/>
  <c r="AE66" i="5"/>
  <c r="AE24" i="3"/>
  <c r="AE25" i="3"/>
  <c r="AE26" i="3"/>
  <c r="AE31" i="3"/>
  <c r="AG81" i="5"/>
  <c r="AH45" i="7"/>
  <c r="AH11" i="7"/>
  <c r="AH12" i="7"/>
  <c r="AH21" i="7"/>
  <c r="AH29" i="7"/>
  <c r="AH36" i="7"/>
  <c r="AH50" i="7"/>
  <c r="AH40" i="7"/>
  <c r="AF130" i="42"/>
  <c r="AF35" i="58"/>
  <c r="AF36" i="58"/>
  <c r="AF33" i="58"/>
  <c r="AI12" i="42"/>
  <c r="AI132" i="42"/>
  <c r="AI133" i="42" s="1"/>
  <c r="AI63" i="5"/>
  <c r="AI10" i="3"/>
  <c r="AI10" i="58"/>
  <c r="AI104" i="63"/>
  <c r="AI11" i="42"/>
  <c r="AI126" i="42"/>
  <c r="AI127" i="42" s="1"/>
  <c r="AI10" i="7"/>
  <c r="AC47" i="3"/>
  <c r="AC46" i="3"/>
  <c r="AD47" i="3"/>
  <c r="AG113" i="58"/>
  <c r="AG106" i="58"/>
  <c r="AD32" i="6"/>
  <c r="AD113" i="5" s="1"/>
  <c r="AH141" i="42"/>
  <c r="AH140" i="42" s="1"/>
  <c r="AH137" i="42"/>
  <c r="AH13" i="5"/>
  <c r="AH122" i="5"/>
  <c r="AF131" i="42"/>
  <c r="AF129" i="42" s="1"/>
  <c r="AE129" i="42"/>
  <c r="AC21" i="3"/>
  <c r="AC27" i="3"/>
  <c r="AC19" i="3"/>
  <c r="AC20" i="3"/>
  <c r="AC49" i="3"/>
  <c r="AD51" i="3" s="1"/>
  <c r="AE41" i="3"/>
  <c r="AE42" i="3"/>
  <c r="AE43" i="3"/>
  <c r="AE45" i="3"/>
  <c r="AE47" i="58"/>
  <c r="AF74" i="5"/>
  <c r="AG25" i="6"/>
  <c r="AG78" i="5" s="1"/>
  <c r="AG41" i="7"/>
  <c r="AG42" i="7"/>
  <c r="AC71" i="6"/>
  <c r="AD54" i="5"/>
  <c r="AF43" i="3"/>
  <c r="AF41" i="3"/>
  <c r="AC32" i="6"/>
  <c r="AC113" i="5" s="1"/>
  <c r="AH12" i="58"/>
  <c r="AH11" i="58"/>
  <c r="AH38" i="58"/>
  <c r="AH18" i="58"/>
  <c r="AH14" i="58" s="1"/>
  <c r="AH26" i="58"/>
  <c r="AH32" i="58"/>
  <c r="AI13" i="42"/>
  <c r="AI43" i="63"/>
  <c r="AD52" i="3"/>
  <c r="AD50" i="3"/>
  <c r="AD97" i="3"/>
  <c r="AD99" i="3" s="1"/>
  <c r="AG114" i="58"/>
  <c r="AG23" i="3"/>
  <c r="AG130" i="42"/>
  <c r="AG131" i="42" s="1"/>
  <c r="AG129" i="42" s="1"/>
  <c r="AG33" i="58"/>
  <c r="AG36" i="58"/>
  <c r="AG34" i="58"/>
  <c r="AG34" i="3"/>
  <c r="AG46" i="7"/>
  <c r="AG47" i="7"/>
  <c r="AD30" i="6"/>
  <c r="AD84" i="5" s="1"/>
  <c r="AJ10" i="94"/>
  <c r="AJ11" i="63"/>
  <c r="AJ13" i="63"/>
  <c r="AJ18" i="63"/>
  <c r="AJ18" i="42" s="1"/>
  <c r="AJ12" i="63"/>
  <c r="AJ41" i="63"/>
  <c r="AJ10" i="42"/>
  <c r="AJ14" i="63"/>
  <c r="AJ14" i="42" s="1"/>
  <c r="AH12" i="3"/>
  <c r="AH11" i="3"/>
  <c r="AB95" i="58"/>
  <c r="AB97" i="58" s="1"/>
  <c r="AB100" i="3"/>
  <c r="AE30" i="5"/>
  <c r="AE14" i="5"/>
  <c r="AC35" i="5"/>
  <c r="AC43" i="5"/>
  <c r="AE78" i="5"/>
  <c r="AF25" i="6"/>
  <c r="AF78" i="5" s="1"/>
  <c r="AE124" i="42"/>
  <c r="AE125" i="42" s="1"/>
  <c r="AE38" i="3"/>
  <c r="AE35" i="3"/>
  <c r="AE37" i="3"/>
  <c r="AE36" i="3"/>
  <c r="AF23" i="3"/>
  <c r="AF45" i="3" s="1"/>
  <c r="AF46" i="3" s="1"/>
  <c r="AC32" i="3"/>
  <c r="AC30" i="58" s="1"/>
  <c r="AC29" i="58"/>
  <c r="AH81" i="5"/>
  <c r="AG14" i="58"/>
  <c r="AG19" i="58"/>
  <c r="AG20" i="58"/>
  <c r="AG27" i="58"/>
  <c r="AG39" i="58"/>
  <c r="AG40" i="3"/>
  <c r="AG43" i="58"/>
  <c r="AG47" i="58" s="1"/>
  <c r="AG40" i="58"/>
  <c r="AC125" i="42"/>
  <c r="AC123" i="42" s="1"/>
  <c r="AD125" i="42"/>
  <c r="AD123" i="42" s="1"/>
  <c r="AH104" i="58" l="1"/>
  <c r="AH115" i="58" s="1"/>
  <c r="AH102" i="58"/>
  <c r="AH113" i="58" s="1"/>
  <c r="AF96" i="58"/>
  <c r="AF19" i="6"/>
  <c r="AH105" i="58"/>
  <c r="AH116" i="58" s="1"/>
  <c r="AF109" i="58"/>
  <c r="AF111" i="58"/>
  <c r="AF108" i="58"/>
  <c r="AH103" i="58"/>
  <c r="AH34" i="3"/>
  <c r="AH37" i="3" s="1"/>
  <c r="AF64" i="5"/>
  <c r="AH16" i="58"/>
  <c r="AH90" i="63"/>
  <c r="AH15" i="58"/>
  <c r="AH65" i="5"/>
  <c r="AE54" i="5"/>
  <c r="AD71" i="6"/>
  <c r="AF76" i="5"/>
  <c r="AF77" i="5"/>
  <c r="AG19" i="6"/>
  <c r="AG96" i="58"/>
  <c r="AK11" i="94"/>
  <c r="AK31" i="94"/>
  <c r="AK26" i="94"/>
  <c r="AE23" i="5"/>
  <c r="AE29" i="6"/>
  <c r="AE68" i="5"/>
  <c r="AE45" i="5" s="1"/>
  <c r="AF34" i="5"/>
  <c r="AF14" i="5"/>
  <c r="AE26" i="6"/>
  <c r="AH34" i="58"/>
  <c r="AH36" i="58"/>
  <c r="AH130" i="42"/>
  <c r="AH131" i="42" s="1"/>
  <c r="AH129" i="42" s="1"/>
  <c r="AH33" i="58"/>
  <c r="AE49" i="58"/>
  <c r="AE48" i="58"/>
  <c r="AE50" i="58"/>
  <c r="AI137" i="42"/>
  <c r="AI141" i="42"/>
  <c r="AI140" i="42" s="1"/>
  <c r="AH42" i="7"/>
  <c r="AH41" i="7"/>
  <c r="AE29" i="58"/>
  <c r="AE32" i="3"/>
  <c r="AE30" i="58" s="1"/>
  <c r="AF42" i="5"/>
  <c r="AG50" i="58"/>
  <c r="AG49" i="58"/>
  <c r="AG48" i="58"/>
  <c r="AF125" i="42"/>
  <c r="AF123" i="42" s="1"/>
  <c r="AE123" i="42"/>
  <c r="AE27" i="6"/>
  <c r="AF27" i="6" s="1"/>
  <c r="AF30" i="5"/>
  <c r="AE87" i="5"/>
  <c r="AD95" i="58"/>
  <c r="AD97" i="58" s="1"/>
  <c r="AD100" i="3"/>
  <c r="AE46" i="3"/>
  <c r="AE47" i="3"/>
  <c r="AH52" i="7"/>
  <c r="AH51" i="7"/>
  <c r="AH46" i="7"/>
  <c r="AH47" i="7"/>
  <c r="AG41" i="3"/>
  <c r="AG45" i="3"/>
  <c r="AG42" i="3"/>
  <c r="AG43" i="3"/>
  <c r="AG15" i="58"/>
  <c r="AG16" i="58"/>
  <c r="AG65" i="5"/>
  <c r="AG14" i="3"/>
  <c r="AG90" i="63"/>
  <c r="AJ13" i="42"/>
  <c r="AJ43" i="63"/>
  <c r="AH20" i="58"/>
  <c r="AH27" i="58"/>
  <c r="AH19" i="58"/>
  <c r="AI102" i="58"/>
  <c r="AI32" i="58"/>
  <c r="AI12" i="58"/>
  <c r="AI38" i="58"/>
  <c r="AI105" i="58"/>
  <c r="AI18" i="58"/>
  <c r="AI104" i="58"/>
  <c r="AI115" i="58" s="1"/>
  <c r="AI26" i="58"/>
  <c r="AI103" i="58"/>
  <c r="AI11" i="58"/>
  <c r="AA99" i="58"/>
  <c r="V142" i="42" s="1"/>
  <c r="V140" i="42" s="1"/>
  <c r="AA98" i="58"/>
  <c r="F12" i="64"/>
  <c r="AC104" i="5"/>
  <c r="AC60" i="6"/>
  <c r="AC103" i="5"/>
  <c r="AD60" i="6"/>
  <c r="AC37" i="5"/>
  <c r="AD103" i="5"/>
  <c r="AC50" i="3"/>
  <c r="AC52" i="3"/>
  <c r="AC97" i="3"/>
  <c r="AC99" i="3" s="1"/>
  <c r="AC51" i="3"/>
  <c r="AB99" i="58"/>
  <c r="W142" i="42" s="1"/>
  <c r="W140" i="42" s="1"/>
  <c r="AB98" i="58"/>
  <c r="AI12" i="3"/>
  <c r="AI11" i="3"/>
  <c r="AE49" i="3"/>
  <c r="AE19" i="3"/>
  <c r="AE21" i="3"/>
  <c r="AE20" i="3"/>
  <c r="AE27" i="3"/>
  <c r="AK10" i="58"/>
  <c r="AK63" i="5"/>
  <c r="AK122" i="5" s="1"/>
  <c r="AK10" i="7"/>
  <c r="AK10" i="3"/>
  <c r="AK11" i="42"/>
  <c r="AK104" i="63"/>
  <c r="AG64" i="5"/>
  <c r="AG45" i="58"/>
  <c r="AG44" i="58"/>
  <c r="AF24" i="3"/>
  <c r="AF66" i="5"/>
  <c r="AF31" i="3"/>
  <c r="AF26" i="3"/>
  <c r="AJ132" i="42"/>
  <c r="AJ11" i="42"/>
  <c r="AJ12" i="42"/>
  <c r="AJ104" i="63"/>
  <c r="AJ10" i="7"/>
  <c r="AJ126" i="42"/>
  <c r="AJ10" i="58"/>
  <c r="AJ63" i="5"/>
  <c r="AJ10" i="3"/>
  <c r="AJ26" i="94"/>
  <c r="AJ31" i="94"/>
  <c r="AJ12" i="94"/>
  <c r="AJ11" i="94"/>
  <c r="AG37" i="3"/>
  <c r="AG38" i="3"/>
  <c r="AG36" i="3"/>
  <c r="AG35" i="3"/>
  <c r="AG124" i="42"/>
  <c r="AG125" i="42" s="1"/>
  <c r="AG123" i="42" s="1"/>
  <c r="AG25" i="3"/>
  <c r="AG66" i="5"/>
  <c r="AG24" i="3"/>
  <c r="AG31" i="3"/>
  <c r="AG26" i="3"/>
  <c r="AH43" i="58"/>
  <c r="AH40" i="58"/>
  <c r="AH39" i="58"/>
  <c r="AH25" i="6"/>
  <c r="AH78" i="5" s="1"/>
  <c r="AI40" i="7"/>
  <c r="AI21" i="7"/>
  <c r="AI36" i="7"/>
  <c r="AI29" i="7"/>
  <c r="AI45" i="7"/>
  <c r="AI12" i="7"/>
  <c r="AI11" i="7"/>
  <c r="AI50" i="7"/>
  <c r="AI122" i="5"/>
  <c r="AI13" i="5"/>
  <c r="AE43" i="5"/>
  <c r="AF43" i="5" s="1"/>
  <c r="AE35" i="5"/>
  <c r="AE37" i="5" s="1"/>
  <c r="AF15" i="3"/>
  <c r="AF18" i="3"/>
  <c r="AK13" i="42"/>
  <c r="AK43" i="63"/>
  <c r="AF21" i="58"/>
  <c r="AF27" i="58"/>
  <c r="AF47" i="58"/>
  <c r="AF19" i="58"/>
  <c r="AH14" i="3" l="1"/>
  <c r="AH15" i="3" s="1"/>
  <c r="AH106" i="58"/>
  <c r="AH19" i="6" s="1"/>
  <c r="AH40" i="3"/>
  <c r="AH41" i="3" s="1"/>
  <c r="AH124" i="42"/>
  <c r="AH125" i="42" s="1"/>
  <c r="AH123" i="42" s="1"/>
  <c r="AH35" i="3"/>
  <c r="AH38" i="3"/>
  <c r="AH36" i="3"/>
  <c r="AH23" i="3"/>
  <c r="AH114" i="58"/>
  <c r="AF37" i="5"/>
  <c r="AI25" i="6"/>
  <c r="AI78" i="5" s="1"/>
  <c r="AH44" i="58"/>
  <c r="AH45" i="58"/>
  <c r="AJ105" i="58"/>
  <c r="AJ116" i="58" s="1"/>
  <c r="AJ32" i="58"/>
  <c r="AJ12" i="58"/>
  <c r="AJ38" i="58"/>
  <c r="AJ11" i="58"/>
  <c r="AJ104" i="58"/>
  <c r="AJ103" i="58"/>
  <c r="AK103" i="58" s="1"/>
  <c r="AK114" i="58" s="1"/>
  <c r="AJ102" i="58"/>
  <c r="AJ26" i="58"/>
  <c r="AJ18" i="58"/>
  <c r="AJ133" i="42"/>
  <c r="AK132" i="42"/>
  <c r="AK133" i="42" s="1"/>
  <c r="AK141" i="42"/>
  <c r="AK140" i="42" s="1"/>
  <c r="AK137" i="42"/>
  <c r="AC95" i="58"/>
  <c r="AC97" i="58" s="1"/>
  <c r="AC100" i="3"/>
  <c r="AD72" i="6"/>
  <c r="N26" i="64"/>
  <c r="AI39" i="58"/>
  <c r="AI43" i="58"/>
  <c r="AI40" i="3"/>
  <c r="AI40" i="58"/>
  <c r="AG47" i="3"/>
  <c r="AG46" i="3"/>
  <c r="AE97" i="5"/>
  <c r="AF29" i="6"/>
  <c r="AF97" i="5" s="1"/>
  <c r="AF27" i="3"/>
  <c r="AF19" i="3"/>
  <c r="AF21" i="3"/>
  <c r="AF49" i="3"/>
  <c r="AI52" i="7"/>
  <c r="AI51" i="7"/>
  <c r="AJ127" i="42"/>
  <c r="AK126" i="42"/>
  <c r="AK127" i="42" s="1"/>
  <c r="AG30" i="5"/>
  <c r="AG14" i="5"/>
  <c r="AG26" i="6" s="1"/>
  <c r="AK11" i="3"/>
  <c r="AI23" i="3"/>
  <c r="AI114" i="58"/>
  <c r="AG42" i="5"/>
  <c r="AG34" i="5"/>
  <c r="AF87" i="5"/>
  <c r="AF99" i="5"/>
  <c r="AF23" i="5"/>
  <c r="AE30" i="6"/>
  <c r="AJ141" i="42"/>
  <c r="AJ140" i="42" s="1"/>
  <c r="AJ137" i="42"/>
  <c r="AI42" i="7"/>
  <c r="AI41" i="7"/>
  <c r="AG32" i="3"/>
  <c r="AG30" i="58" s="1"/>
  <c r="AG29" i="58"/>
  <c r="AJ45" i="7"/>
  <c r="AJ11" i="7"/>
  <c r="AJ12" i="7"/>
  <c r="AJ21" i="7"/>
  <c r="AJ40" i="7"/>
  <c r="AJ29" i="7"/>
  <c r="AJ36" i="7"/>
  <c r="AJ50" i="7"/>
  <c r="AF29" i="58"/>
  <c r="AF32" i="3"/>
  <c r="AF30" i="58" s="1"/>
  <c r="AK21" i="7"/>
  <c r="AK45" i="7"/>
  <c r="AK46" i="7" s="1"/>
  <c r="AK11" i="7"/>
  <c r="AK40" i="7"/>
  <c r="AK41" i="7" s="1"/>
  <c r="AK50" i="7"/>
  <c r="AK51" i="7" s="1"/>
  <c r="AK29" i="7"/>
  <c r="AC72" i="6"/>
  <c r="AI36" i="58"/>
  <c r="AI33" i="58"/>
  <c r="AI130" i="42"/>
  <c r="AI131" i="42" s="1"/>
  <c r="AI129" i="42" s="1"/>
  <c r="AI34" i="3"/>
  <c r="AI34" i="58"/>
  <c r="AH64" i="5"/>
  <c r="AJ13" i="5"/>
  <c r="AJ25" i="6" s="1"/>
  <c r="AJ122" i="5"/>
  <c r="AI116" i="58"/>
  <c r="AG16" i="3"/>
  <c r="AG15" i="3"/>
  <c r="AG18" i="3"/>
  <c r="AD98" i="58"/>
  <c r="AD99" i="58"/>
  <c r="Y142" i="42" s="1"/>
  <c r="Y140" i="42" s="1"/>
  <c r="AF35" i="5"/>
  <c r="AE104" i="5"/>
  <c r="AE103" i="5"/>
  <c r="AE60" i="6"/>
  <c r="AE52" i="3"/>
  <c r="AE50" i="3"/>
  <c r="AE97" i="3"/>
  <c r="AE99" i="3" s="1"/>
  <c r="AE51" i="3"/>
  <c r="AI106" i="58"/>
  <c r="AI113" i="58"/>
  <c r="AF26" i="6"/>
  <c r="AJ81" i="5" s="1"/>
  <c r="AI81" i="5"/>
  <c r="AF98" i="5"/>
  <c r="AF68" i="5"/>
  <c r="AF96" i="5"/>
  <c r="AH42" i="5"/>
  <c r="AH34" i="5"/>
  <c r="AF50" i="58"/>
  <c r="AF48" i="58"/>
  <c r="G9" i="64"/>
  <c r="AI47" i="7"/>
  <c r="AI46" i="7"/>
  <c r="AG43" i="5"/>
  <c r="AG35" i="5"/>
  <c r="AJ11" i="3"/>
  <c r="AJ12" i="3"/>
  <c r="AK26" i="58"/>
  <c r="AK11" i="58"/>
  <c r="AI19" i="58"/>
  <c r="AI14" i="58"/>
  <c r="AI27" i="58"/>
  <c r="AI20" i="58"/>
  <c r="AH47" i="58"/>
  <c r="AF80" i="5"/>
  <c r="AE32" i="6"/>
  <c r="AF45" i="5"/>
  <c r="AF54" i="5"/>
  <c r="AG54" i="5" s="1"/>
  <c r="AE71" i="6"/>
  <c r="AH16" i="3" l="1"/>
  <c r="AH18" i="3"/>
  <c r="AH21" i="3" s="1"/>
  <c r="AH96" i="58"/>
  <c r="AH43" i="3"/>
  <c r="AH42" i="3"/>
  <c r="AH26" i="3"/>
  <c r="AH66" i="5"/>
  <c r="AH31" i="3"/>
  <c r="AH25" i="3"/>
  <c r="AH45" i="3"/>
  <c r="AH24" i="3"/>
  <c r="AK105" i="58"/>
  <c r="AK116" i="58" s="1"/>
  <c r="AK25" i="6"/>
  <c r="AK78" i="5" s="1"/>
  <c r="AJ78" i="5"/>
  <c r="AK102" i="58"/>
  <c r="AJ113" i="58"/>
  <c r="AJ106" i="58"/>
  <c r="AI38" i="3"/>
  <c r="AI124" i="42"/>
  <c r="AI125" i="42" s="1"/>
  <c r="AI123" i="42" s="1"/>
  <c r="AI35" i="3"/>
  <c r="AI36" i="3"/>
  <c r="AI37" i="3"/>
  <c r="AI26" i="3"/>
  <c r="AI66" i="5"/>
  <c r="AI31" i="3"/>
  <c r="AI24" i="3"/>
  <c r="AI25" i="3"/>
  <c r="AK32" i="58"/>
  <c r="AJ33" i="58"/>
  <c r="AJ36" i="58"/>
  <c r="AJ34" i="58"/>
  <c r="AJ130" i="42"/>
  <c r="AJ131" i="42" s="1"/>
  <c r="AJ34" i="3"/>
  <c r="AF71" i="6"/>
  <c r="AK81" i="5"/>
  <c r="AE95" i="58"/>
  <c r="AE97" i="58" s="1"/>
  <c r="AE100" i="3"/>
  <c r="AG21" i="3"/>
  <c r="AG19" i="3"/>
  <c r="AG27" i="3"/>
  <c r="AG20" i="3"/>
  <c r="AG49" i="3"/>
  <c r="AK13" i="5"/>
  <c r="AJ41" i="7"/>
  <c r="AJ42" i="7"/>
  <c r="AI42" i="3"/>
  <c r="AI43" i="3"/>
  <c r="AI41" i="3"/>
  <c r="AI45" i="3"/>
  <c r="AJ114" i="58"/>
  <c r="AJ23" i="3"/>
  <c r="AG27" i="6"/>
  <c r="AG71" i="6"/>
  <c r="AH54" i="5"/>
  <c r="AF103" i="5"/>
  <c r="AF104" i="5"/>
  <c r="AF102" i="5"/>
  <c r="AH30" i="5"/>
  <c r="AH14" i="5"/>
  <c r="AF83" i="5"/>
  <c r="AG87" i="5"/>
  <c r="AI45" i="58"/>
  <c r="AI44" i="58"/>
  <c r="AI47" i="58"/>
  <c r="AJ115" i="58"/>
  <c r="AK104" i="58"/>
  <c r="AI19" i="6"/>
  <c r="AI96" i="58"/>
  <c r="AI15" i="58"/>
  <c r="AI16" i="58"/>
  <c r="AI65" i="5"/>
  <c r="AI90" i="63"/>
  <c r="AI14" i="3"/>
  <c r="AI64" i="5"/>
  <c r="AG23" i="5"/>
  <c r="AG68" i="5"/>
  <c r="AG45" i="5" s="1"/>
  <c r="AJ14" i="58"/>
  <c r="AJ19" i="58"/>
  <c r="AJ20" i="58"/>
  <c r="AJ27" i="58"/>
  <c r="AE72" i="6"/>
  <c r="AF60" i="6"/>
  <c r="AJ46" i="7"/>
  <c r="AJ47" i="7"/>
  <c r="AE84" i="5"/>
  <c r="AF30" i="6"/>
  <c r="AF84" i="5" s="1"/>
  <c r="AF112" i="5"/>
  <c r="AH50" i="58"/>
  <c r="AH48" i="58"/>
  <c r="AH49" i="58"/>
  <c r="AF32" i="6"/>
  <c r="AF113" i="5" s="1"/>
  <c r="AE113" i="5"/>
  <c r="AG37" i="5"/>
  <c r="AG104" i="5"/>
  <c r="AG103" i="5"/>
  <c r="AG60" i="6"/>
  <c r="AH29" i="6"/>
  <c r="AH97" i="5" s="1"/>
  <c r="AH23" i="5"/>
  <c r="AH68" i="5"/>
  <c r="AH45" i="5" s="1"/>
  <c r="AG29" i="6"/>
  <c r="AG97" i="5" s="1"/>
  <c r="AJ51" i="7"/>
  <c r="AJ52" i="7"/>
  <c r="AF97" i="3"/>
  <c r="AF99" i="3" s="1"/>
  <c r="AF52" i="3"/>
  <c r="AF53" i="3" s="1"/>
  <c r="AF50" i="3"/>
  <c r="G8" i="64"/>
  <c r="AC99" i="58"/>
  <c r="X142" i="42" s="1"/>
  <c r="X140" i="42" s="1"/>
  <c r="AC98" i="58"/>
  <c r="AJ43" i="58"/>
  <c r="AJ47" i="58" s="1"/>
  <c r="AJ39" i="58"/>
  <c r="AK38" i="58"/>
  <c r="AJ40" i="58"/>
  <c r="AJ40" i="3"/>
  <c r="AH19" i="3" l="1"/>
  <c r="AH27" i="3"/>
  <c r="AH20" i="3"/>
  <c r="AH32" i="3"/>
  <c r="AH30" i="58" s="1"/>
  <c r="AH29" i="58"/>
  <c r="AH49" i="3"/>
  <c r="AH51" i="3" s="1"/>
  <c r="AH47" i="3"/>
  <c r="AH46" i="3"/>
  <c r="AH35" i="5"/>
  <c r="AH43" i="5"/>
  <c r="AJ50" i="58"/>
  <c r="AJ48" i="58"/>
  <c r="AJ49" i="58"/>
  <c r="AI15" i="3"/>
  <c r="AI18" i="3"/>
  <c r="AI16" i="3"/>
  <c r="AH26" i="6"/>
  <c r="AH30" i="6"/>
  <c r="AH84" i="5" s="1"/>
  <c r="AH87" i="5"/>
  <c r="AH27" i="6"/>
  <c r="AI46" i="3"/>
  <c r="AI47" i="3"/>
  <c r="AK74" i="5"/>
  <c r="AJ124" i="42"/>
  <c r="AJ125" i="42" s="1"/>
  <c r="AJ37" i="3"/>
  <c r="AJ36" i="3"/>
  <c r="AJ38" i="3"/>
  <c r="AJ35" i="3"/>
  <c r="AK130" i="42"/>
  <c r="AK35" i="58"/>
  <c r="AK36" i="58"/>
  <c r="AK33" i="58"/>
  <c r="AI14" i="5"/>
  <c r="AI30" i="5"/>
  <c r="AI54" i="5"/>
  <c r="AH71" i="6"/>
  <c r="AI43" i="5"/>
  <c r="AI35" i="5"/>
  <c r="AJ64" i="5"/>
  <c r="AJ45" i="58"/>
  <c r="AJ44" i="58"/>
  <c r="AK40" i="3"/>
  <c r="AJ43" i="3"/>
  <c r="AJ42" i="3"/>
  <c r="AJ41" i="3"/>
  <c r="AJ45" i="3"/>
  <c r="AH32" i="6"/>
  <c r="AH113" i="5" s="1"/>
  <c r="AI42" i="5"/>
  <c r="AI34" i="5"/>
  <c r="AK115" i="58"/>
  <c r="AK34" i="3"/>
  <c r="AJ96" i="58"/>
  <c r="AJ19" i="6"/>
  <c r="AK23" i="3"/>
  <c r="AJ26" i="3"/>
  <c r="AJ25" i="3"/>
  <c r="AJ66" i="5"/>
  <c r="AJ31" i="3"/>
  <c r="AJ24" i="3"/>
  <c r="AF100" i="3"/>
  <c r="AF95" i="58"/>
  <c r="AG32" i="6"/>
  <c r="AG113" i="5" s="1"/>
  <c r="AF72" i="6"/>
  <c r="AG97" i="3"/>
  <c r="AG99" i="3" s="1"/>
  <c r="AG50" i="3"/>
  <c r="AG51" i="3"/>
  <c r="AG52" i="3"/>
  <c r="AE98" i="58"/>
  <c r="AE99" i="58"/>
  <c r="Z142" i="42" s="1"/>
  <c r="Z140" i="42" s="1"/>
  <c r="AK131" i="42"/>
  <c r="AK129" i="42" s="1"/>
  <c r="AJ129" i="42"/>
  <c r="AK39" i="58"/>
  <c r="AK43" i="58"/>
  <c r="AK44" i="58" s="1"/>
  <c r="AK41" i="58"/>
  <c r="AG72" i="6"/>
  <c r="AJ90" i="63"/>
  <c r="AJ16" i="58"/>
  <c r="AJ14" i="3"/>
  <c r="AJ15" i="58"/>
  <c r="AJ65" i="5"/>
  <c r="AK14" i="58"/>
  <c r="AI49" i="58"/>
  <c r="AI48" i="58"/>
  <c r="AI50" i="58"/>
  <c r="AG30" i="6"/>
  <c r="AG84" i="5" s="1"/>
  <c r="AI32" i="3"/>
  <c r="AI30" i="58" s="1"/>
  <c r="AI29" i="58"/>
  <c r="AK113" i="58"/>
  <c r="AK106" i="58"/>
  <c r="AH97" i="3" l="1"/>
  <c r="AH99" i="3" s="1"/>
  <c r="AH52" i="3"/>
  <c r="AH50" i="3"/>
  <c r="AH103" i="5"/>
  <c r="AH37" i="5"/>
  <c r="AH104" i="5"/>
  <c r="AH60" i="6"/>
  <c r="AK66" i="5"/>
  <c r="AK31" i="3"/>
  <c r="AK24" i="3"/>
  <c r="AK26" i="3"/>
  <c r="AK108" i="58"/>
  <c r="AK19" i="6"/>
  <c r="AK96" i="58"/>
  <c r="AK109" i="58"/>
  <c r="AK111" i="58"/>
  <c r="AK117" i="58"/>
  <c r="AK41" i="3"/>
  <c r="AK43" i="3"/>
  <c r="AK45" i="3"/>
  <c r="AK46" i="3" s="1"/>
  <c r="AF97" i="58"/>
  <c r="G11" i="64"/>
  <c r="AK65" i="5"/>
  <c r="AK90" i="63"/>
  <c r="AK18" i="58"/>
  <c r="AK15" i="58"/>
  <c r="AK64" i="5"/>
  <c r="AJ32" i="3"/>
  <c r="AJ30" i="58" s="1"/>
  <c r="AJ29" i="58"/>
  <c r="AK110" i="58"/>
  <c r="AJ54" i="5"/>
  <c r="AI71" i="6"/>
  <c r="AK125" i="42"/>
  <c r="AK123" i="42" s="1"/>
  <c r="AJ123" i="42"/>
  <c r="AI21" i="3"/>
  <c r="AI27" i="3"/>
  <c r="AI19" i="3"/>
  <c r="AI20" i="3"/>
  <c r="AI49" i="3"/>
  <c r="AJ16" i="3"/>
  <c r="AJ15" i="3"/>
  <c r="AJ18" i="3"/>
  <c r="AI104" i="5"/>
  <c r="AI60" i="6"/>
  <c r="AI103" i="5"/>
  <c r="AJ42" i="5"/>
  <c r="AJ34" i="5"/>
  <c r="AJ43" i="5"/>
  <c r="AK43" i="5" s="1"/>
  <c r="AJ35" i="5"/>
  <c r="AI29" i="6"/>
  <c r="AI23" i="5"/>
  <c r="AI68" i="5"/>
  <c r="AI45" i="5" s="1"/>
  <c r="AJ46" i="3"/>
  <c r="AJ47" i="3"/>
  <c r="AI27" i="6"/>
  <c r="AI37" i="5"/>
  <c r="AI87" i="5"/>
  <c r="AK76" i="5"/>
  <c r="AK77" i="5"/>
  <c r="AK35" i="3"/>
  <c r="AK38" i="3"/>
  <c r="AK37" i="3"/>
  <c r="AK124" i="42"/>
  <c r="AG95" i="58"/>
  <c r="AG97" i="58" s="1"/>
  <c r="AG100" i="3"/>
  <c r="AJ30" i="5"/>
  <c r="AJ14" i="5"/>
  <c r="AJ26" i="6" s="1"/>
  <c r="AI26" i="6"/>
  <c r="AK14" i="3"/>
  <c r="AH72" i="6" l="1"/>
  <c r="AH100" i="3"/>
  <c r="AH95" i="58"/>
  <c r="AH97" i="58" s="1"/>
  <c r="AI72" i="6"/>
  <c r="AK26" i="6"/>
  <c r="AI30" i="6"/>
  <c r="AJ68" i="5"/>
  <c r="AJ45" i="5" s="1"/>
  <c r="AJ23" i="5"/>
  <c r="AJ30" i="6" s="1"/>
  <c r="AJ84" i="5" s="1"/>
  <c r="AK34" i="5"/>
  <c r="AJ29" i="6"/>
  <c r="AJ97" i="5" s="1"/>
  <c r="AI50" i="3"/>
  <c r="AI97" i="3"/>
  <c r="AI99" i="3" s="1"/>
  <c r="AI51" i="3"/>
  <c r="AI52" i="3"/>
  <c r="AK29" i="58"/>
  <c r="AK32" i="3"/>
  <c r="AK30" i="58" s="1"/>
  <c r="AK42" i="5"/>
  <c r="AJ19" i="3"/>
  <c r="AJ20" i="3"/>
  <c r="AJ27" i="3"/>
  <c r="AJ49" i="3"/>
  <c r="AJ21" i="3"/>
  <c r="AF99" i="58"/>
  <c r="AA142" i="42" s="1"/>
  <c r="AA140" i="42" s="1"/>
  <c r="AF98" i="58"/>
  <c r="G12" i="64"/>
  <c r="AK14" i="5"/>
  <c r="AG99" i="58"/>
  <c r="AB142" i="42" s="1"/>
  <c r="AB140" i="42" s="1"/>
  <c r="AG98" i="58"/>
  <c r="AI97" i="5"/>
  <c r="AJ71" i="6"/>
  <c r="AK54" i="5"/>
  <c r="AK15" i="3"/>
  <c r="AK18" i="3"/>
  <c r="AI32" i="6"/>
  <c r="AK30" i="5"/>
  <c r="AJ87" i="5"/>
  <c r="AJ27" i="6"/>
  <c r="AK27" i="6" s="1"/>
  <c r="AJ37" i="5"/>
  <c r="AJ103" i="5"/>
  <c r="AJ104" i="5"/>
  <c r="AJ60" i="6"/>
  <c r="AK60" i="6" s="1"/>
  <c r="AK35" i="5"/>
  <c r="AK47" i="58"/>
  <c r="AK21" i="58"/>
  <c r="AK19" i="58"/>
  <c r="AK27" i="58"/>
  <c r="AH98" i="58" l="1"/>
  <c r="AH99" i="58"/>
  <c r="AC142" i="42" s="1"/>
  <c r="AC140" i="42" s="1"/>
  <c r="AJ32" i="6"/>
  <c r="AJ113" i="5" s="1"/>
  <c r="AK45" i="5"/>
  <c r="AK71" i="6"/>
  <c r="AI84" i="5"/>
  <c r="AK30" i="6"/>
  <c r="AK84" i="5" s="1"/>
  <c r="AJ72" i="6"/>
  <c r="AI100" i="3"/>
  <c r="AI95" i="58"/>
  <c r="AI97" i="58" s="1"/>
  <c r="AJ52" i="3"/>
  <c r="AJ51" i="3"/>
  <c r="AJ97" i="3"/>
  <c r="AJ99" i="3" s="1"/>
  <c r="AJ50" i="3"/>
  <c r="AK96" i="5"/>
  <c r="AK98" i="5"/>
  <c r="AK68" i="5"/>
  <c r="AK80" i="5"/>
  <c r="AK87" i="5"/>
  <c r="AK49" i="3"/>
  <c r="AK19" i="3"/>
  <c r="AK21" i="3"/>
  <c r="AK27" i="3"/>
  <c r="AK37" i="5"/>
  <c r="AK99" i="5"/>
  <c r="AK48" i="58"/>
  <c r="AK50" i="58"/>
  <c r="AK103" i="5"/>
  <c r="AK104" i="5"/>
  <c r="AK102" i="5"/>
  <c r="AI113" i="5"/>
  <c r="AK29" i="6"/>
  <c r="AK97" i="5" s="1"/>
  <c r="AK23" i="5"/>
  <c r="AK32" i="6" l="1"/>
  <c r="AK113" i="5" s="1"/>
  <c r="AK72" i="6"/>
  <c r="AK52" i="3"/>
  <c r="AK53" i="3" s="1"/>
  <c r="AK50" i="3"/>
  <c r="AK97" i="3"/>
  <c r="AK99" i="3" s="1"/>
  <c r="AI99" i="58"/>
  <c r="AD142" i="42" s="1"/>
  <c r="AD140" i="42" s="1"/>
  <c r="AI98" i="58"/>
  <c r="AK83" i="5"/>
  <c r="AJ100" i="3"/>
  <c r="AJ95" i="58"/>
  <c r="AJ97" i="58" s="1"/>
  <c r="AK112" i="5"/>
  <c r="AJ99" i="58" l="1"/>
  <c r="AE142" i="42" s="1"/>
  <c r="AE140" i="42" s="1"/>
  <c r="AJ98" i="58"/>
  <c r="AK95" i="58"/>
  <c r="AK97" i="58" s="1"/>
  <c r="AK100" i="3"/>
  <c r="AK98" i="58" l="1"/>
  <c r="AK99" i="58"/>
  <c r="AF142" i="42" s="1"/>
  <c r="AF140" i="42" s="1"/>
  <c r="V114" i="59" l="1"/>
  <c r="U113" i="59"/>
  <c r="U117" i="59" s="1"/>
  <c r="V117" i="59" l="1"/>
  <c r="U66" i="59"/>
  <c r="V113" i="59"/>
  <c r="U16" i="59"/>
  <c r="V66" i="59" l="1"/>
  <c r="U52" i="58"/>
  <c r="U54" i="58" s="1"/>
  <c r="U55" i="3"/>
  <c r="U57" i="3" s="1"/>
  <c r="U65" i="59"/>
  <c r="V65" i="59" s="1"/>
  <c r="U28" i="59"/>
  <c r="U10" i="59"/>
  <c r="W113" i="59"/>
  <c r="V16" i="59"/>
  <c r="U58" i="3" l="1"/>
  <c r="U62" i="3"/>
  <c r="U55" i="58"/>
  <c r="U59" i="58"/>
  <c r="V55" i="3"/>
  <c r="V57" i="3" s="1"/>
  <c r="V52" i="58"/>
  <c r="V54" i="58" s="1"/>
  <c r="W117" i="59"/>
  <c r="W66" i="59" s="1"/>
  <c r="V28" i="59"/>
  <c r="V10" i="59"/>
  <c r="U53" i="59"/>
  <c r="U46" i="59"/>
  <c r="U11" i="59"/>
  <c r="U54" i="59"/>
  <c r="U12" i="59"/>
  <c r="U70" i="59"/>
  <c r="U51" i="59"/>
  <c r="W16" i="59"/>
  <c r="X113" i="59"/>
  <c r="V55" i="58" l="1"/>
  <c r="V59" i="58"/>
  <c r="U61" i="58"/>
  <c r="U64" i="58"/>
  <c r="V58" i="3"/>
  <c r="V62" i="3"/>
  <c r="W55" i="3"/>
  <c r="W57" i="3" s="1"/>
  <c r="W58" i="3" s="1"/>
  <c r="W52" i="58"/>
  <c r="W54" i="58" s="1"/>
  <c r="W55" i="58" s="1"/>
  <c r="W65" i="59"/>
  <c r="X117" i="59"/>
  <c r="X66" i="59" s="1"/>
  <c r="U47" i="59"/>
  <c r="U39" i="5"/>
  <c r="U48" i="59"/>
  <c r="Y113" i="59"/>
  <c r="X16" i="59"/>
  <c r="V53" i="59"/>
  <c r="V54" i="59"/>
  <c r="V11" i="59"/>
  <c r="V46" i="59"/>
  <c r="V70" i="59"/>
  <c r="V51" i="59"/>
  <c r="W28" i="59"/>
  <c r="W10" i="59"/>
  <c r="X55" i="3" l="1"/>
  <c r="X57" i="3" s="1"/>
  <c r="X58" i="3" s="1"/>
  <c r="X52" i="58"/>
  <c r="X54" i="58" s="1"/>
  <c r="X55" i="58" s="1"/>
  <c r="X65" i="59"/>
  <c r="U75" i="58"/>
  <c r="U66" i="58"/>
  <c r="U70" i="58"/>
  <c r="V61" i="58"/>
  <c r="V62" i="58" s="1"/>
  <c r="U64" i="3"/>
  <c r="V64" i="58"/>
  <c r="Y117" i="59"/>
  <c r="Y66" i="59" s="1"/>
  <c r="AA66" i="59" s="1"/>
  <c r="V39" i="5"/>
  <c r="V47" i="59"/>
  <c r="Y16" i="59"/>
  <c r="Z113" i="59"/>
  <c r="Z117" i="59" s="1"/>
  <c r="Z66" i="59" s="1"/>
  <c r="X28" i="59"/>
  <c r="X10" i="59"/>
  <c r="W12" i="59"/>
  <c r="W11" i="59"/>
  <c r="W46" i="59"/>
  <c r="W53" i="59"/>
  <c r="W54" i="59"/>
  <c r="W70" i="59"/>
  <c r="W51" i="59"/>
  <c r="U70" i="5"/>
  <c r="U46" i="5"/>
  <c r="AA55" i="3" l="1"/>
  <c r="AA57" i="3" s="1"/>
  <c r="AA58" i="3" s="1"/>
  <c r="AA52" i="58"/>
  <c r="AA54" i="58" s="1"/>
  <c r="AA55" i="58" s="1"/>
  <c r="Z52" i="58"/>
  <c r="Z54" i="58" s="1"/>
  <c r="Z55" i="58" s="1"/>
  <c r="Z55" i="3"/>
  <c r="Z57" i="3" s="1"/>
  <c r="Z58" i="3" s="1"/>
  <c r="Z65" i="59"/>
  <c r="U78" i="58"/>
  <c r="U82" i="58"/>
  <c r="U92" i="58"/>
  <c r="V70" i="58"/>
  <c r="V71" i="58" s="1"/>
  <c r="V75" i="58"/>
  <c r="V66" i="58"/>
  <c r="V67" i="58" s="1"/>
  <c r="Y52" i="58"/>
  <c r="Y54" i="58" s="1"/>
  <c r="Y55" i="58" s="1"/>
  <c r="Y55" i="3"/>
  <c r="Y57" i="3" s="1"/>
  <c r="Y58" i="3" s="1"/>
  <c r="Y65" i="59"/>
  <c r="V64" i="3"/>
  <c r="U65" i="3"/>
  <c r="U67" i="3"/>
  <c r="U72" i="58"/>
  <c r="U71" i="58"/>
  <c r="U68" i="58"/>
  <c r="U67" i="58"/>
  <c r="AA117" i="59"/>
  <c r="Z16" i="59"/>
  <c r="Z10" i="59" s="1"/>
  <c r="AA113" i="59"/>
  <c r="X54" i="59"/>
  <c r="X46" i="59"/>
  <c r="X12" i="59"/>
  <c r="X53" i="59"/>
  <c r="X11" i="59"/>
  <c r="X70" i="59"/>
  <c r="X51" i="59"/>
  <c r="V46" i="5"/>
  <c r="Z28" i="59"/>
  <c r="V70" i="5"/>
  <c r="W48" i="59"/>
  <c r="W47" i="59"/>
  <c r="W39" i="5"/>
  <c r="Y28" i="59"/>
  <c r="Y10" i="59"/>
  <c r="AA65" i="59" l="1"/>
  <c r="U69" i="3"/>
  <c r="U78" i="3"/>
  <c r="U73" i="3"/>
  <c r="V82" i="58"/>
  <c r="V83" i="58" s="1"/>
  <c r="E16" i="64"/>
  <c r="E17" i="64" s="1"/>
  <c r="V78" i="58"/>
  <c r="V79" i="58" s="1"/>
  <c r="V92" i="58"/>
  <c r="U80" i="58"/>
  <c r="U79" i="58"/>
  <c r="V65" i="3"/>
  <c r="V67" i="3"/>
  <c r="U83" i="58"/>
  <c r="U84" i="58"/>
  <c r="AB113" i="59"/>
  <c r="AB16" i="59" s="1"/>
  <c r="AB117" i="59"/>
  <c r="AB66" i="59" s="1"/>
  <c r="AC113" i="59"/>
  <c r="AA16" i="59"/>
  <c r="Y12" i="59"/>
  <c r="Y46" i="59"/>
  <c r="Y54" i="59"/>
  <c r="Y53" i="59"/>
  <c r="Y11" i="59"/>
  <c r="Y70" i="59"/>
  <c r="Y51" i="59"/>
  <c r="V105" i="5"/>
  <c r="V106" i="5"/>
  <c r="X48" i="59"/>
  <c r="X39" i="5"/>
  <c r="X47" i="59"/>
  <c r="Z12" i="59"/>
  <c r="Z53" i="59"/>
  <c r="Z46" i="59"/>
  <c r="Z54" i="59"/>
  <c r="Z11" i="59"/>
  <c r="Z70" i="59"/>
  <c r="Z51" i="59"/>
  <c r="W70" i="5"/>
  <c r="W46" i="5"/>
  <c r="U75" i="3" l="1"/>
  <c r="U74" i="3"/>
  <c r="V78" i="3"/>
  <c r="V69" i="3"/>
  <c r="V70" i="3" s="1"/>
  <c r="V73" i="3"/>
  <c r="V74" i="3" s="1"/>
  <c r="AB65" i="59"/>
  <c r="AB55" i="3"/>
  <c r="AB57" i="3" s="1"/>
  <c r="AB58" i="3" s="1"/>
  <c r="AB52" i="58"/>
  <c r="AB54" i="58" s="1"/>
  <c r="AB55" i="58" s="1"/>
  <c r="U84" i="3"/>
  <c r="U80" i="3"/>
  <c r="U56" i="5"/>
  <c r="U10" i="6"/>
  <c r="U12" i="6" s="1"/>
  <c r="U34" i="6" s="1"/>
  <c r="U36" i="6" s="1"/>
  <c r="U70" i="3"/>
  <c r="U71" i="3"/>
  <c r="AC117" i="59"/>
  <c r="AC66" i="59" s="1"/>
  <c r="AA28" i="59"/>
  <c r="AA10" i="59"/>
  <c r="AB28" i="59"/>
  <c r="AB10" i="59"/>
  <c r="AC16" i="59"/>
  <c r="AD113" i="59"/>
  <c r="X70" i="5"/>
  <c r="X46" i="5"/>
  <c r="Z48" i="59"/>
  <c r="Z39" i="5"/>
  <c r="Z47" i="59"/>
  <c r="Y48" i="59"/>
  <c r="Y39" i="5"/>
  <c r="Y47" i="59"/>
  <c r="AC52" i="58" l="1"/>
  <c r="AC54" i="58" s="1"/>
  <c r="AC55" i="58" s="1"/>
  <c r="AC55" i="3"/>
  <c r="AC57" i="3" s="1"/>
  <c r="AC58" i="3" s="1"/>
  <c r="AC65" i="59"/>
  <c r="U85" i="3"/>
  <c r="U86" i="3"/>
  <c r="V84" i="3"/>
  <c r="V85" i="3" s="1"/>
  <c r="V10" i="6"/>
  <c r="V12" i="6" s="1"/>
  <c r="V34" i="6" s="1"/>
  <c r="E14" i="64"/>
  <c r="E15" i="64" s="1"/>
  <c r="V80" i="3"/>
  <c r="V81" i="3" s="1"/>
  <c r="V56" i="5"/>
  <c r="U57" i="5"/>
  <c r="U82" i="3"/>
  <c r="U81" i="3"/>
  <c r="V36" i="6"/>
  <c r="U75" i="6"/>
  <c r="U77" i="6" s="1"/>
  <c r="U115" i="5"/>
  <c r="U116" i="5" s="1"/>
  <c r="U191" i="59"/>
  <c r="U198" i="59" s="1"/>
  <c r="U200" i="59" s="1"/>
  <c r="U37" i="6"/>
  <c r="U90" i="6"/>
  <c r="U92" i="6" s="1"/>
  <c r="AD117" i="59"/>
  <c r="AD66" i="59" s="1"/>
  <c r="AB54" i="59"/>
  <c r="AB53" i="59"/>
  <c r="AB70" i="59"/>
  <c r="AB46" i="59"/>
  <c r="AB51" i="59"/>
  <c r="AB11" i="59"/>
  <c r="AB12" i="59"/>
  <c r="AA53" i="59"/>
  <c r="AA54" i="59"/>
  <c r="AA46" i="59"/>
  <c r="AA70" i="59"/>
  <c r="AA51" i="59"/>
  <c r="AA11" i="59"/>
  <c r="AC28" i="59"/>
  <c r="AC10" i="59"/>
  <c r="AE113" i="59"/>
  <c r="AE117" i="59" s="1"/>
  <c r="AE66" i="59" s="1"/>
  <c r="AD16" i="59"/>
  <c r="Y70" i="5"/>
  <c r="Y46" i="5"/>
  <c r="Z70" i="5"/>
  <c r="Z46" i="5"/>
  <c r="U10" i="5" l="1"/>
  <c r="U85" i="6"/>
  <c r="V57" i="5"/>
  <c r="AE65" i="59"/>
  <c r="AE55" i="3"/>
  <c r="AE57" i="3" s="1"/>
  <c r="AE58" i="3" s="1"/>
  <c r="AE52" i="58"/>
  <c r="AE54" i="58" s="1"/>
  <c r="AE55" i="58" s="1"/>
  <c r="AD52" i="58"/>
  <c r="AD54" i="58" s="1"/>
  <c r="AD55" i="58" s="1"/>
  <c r="AD65" i="59"/>
  <c r="AD55" i="3"/>
  <c r="AD57" i="3" s="1"/>
  <c r="AD58" i="3" s="1"/>
  <c r="AF66" i="59"/>
  <c r="V37" i="6"/>
  <c r="V115" i="5"/>
  <c r="V90" i="6"/>
  <c r="V92" i="6" s="1"/>
  <c r="V191" i="59"/>
  <c r="V198" i="59" s="1"/>
  <c r="V75" i="6"/>
  <c r="V77" i="6" s="1"/>
  <c r="U60" i="59"/>
  <c r="U59" i="59" s="1"/>
  <c r="U58" i="5"/>
  <c r="U93" i="6"/>
  <c r="U138" i="42" s="1"/>
  <c r="U136" i="42" s="1"/>
  <c r="U124" i="5"/>
  <c r="U56" i="59"/>
  <c r="V56" i="59" s="1"/>
  <c r="U169" i="59"/>
  <c r="U201" i="59"/>
  <c r="AF117" i="59"/>
  <c r="AB39" i="5"/>
  <c r="AB47" i="59"/>
  <c r="AB48" i="59"/>
  <c r="AF113" i="59"/>
  <c r="AE16" i="59"/>
  <c r="AD10" i="59"/>
  <c r="AD28" i="59"/>
  <c r="AC70" i="59"/>
  <c r="AC54" i="59"/>
  <c r="AC12" i="59"/>
  <c r="AC53" i="59"/>
  <c r="AC46" i="59"/>
  <c r="AC51" i="59"/>
  <c r="AC11" i="59"/>
  <c r="AA39" i="5"/>
  <c r="AA47" i="59"/>
  <c r="AA46" i="5"/>
  <c r="AF65" i="59" l="1"/>
  <c r="AF52" i="58"/>
  <c r="AF54" i="58" s="1"/>
  <c r="AF55" i="58" s="1"/>
  <c r="AF55" i="3"/>
  <c r="AF57" i="3" s="1"/>
  <c r="AF58" i="3" s="1"/>
  <c r="V60" i="59"/>
  <c r="V59" i="59" s="1"/>
  <c r="V58" i="5"/>
  <c r="W76" i="6"/>
  <c r="W190" i="59" s="1"/>
  <c r="V85" i="6"/>
  <c r="U125" i="5"/>
  <c r="V93" i="6"/>
  <c r="V138" i="42" s="1"/>
  <c r="V136" i="42" s="1"/>
  <c r="V124" i="5"/>
  <c r="U127" i="5" s="1"/>
  <c r="V10" i="5"/>
  <c r="U79" i="6"/>
  <c r="U82" i="6" s="1"/>
  <c r="U87" i="6" s="1"/>
  <c r="U69" i="5"/>
  <c r="U71" i="5" s="1"/>
  <c r="U16" i="5"/>
  <c r="U27" i="5" s="1"/>
  <c r="U60" i="5" s="1"/>
  <c r="U117" i="5"/>
  <c r="V116" i="5"/>
  <c r="R117" i="5"/>
  <c r="S117" i="5"/>
  <c r="T117" i="5"/>
  <c r="AB70" i="5"/>
  <c r="AB46" i="5"/>
  <c r="AC39" i="5"/>
  <c r="AC48" i="59"/>
  <c r="AC47" i="59"/>
  <c r="AD12" i="59"/>
  <c r="AD54" i="59"/>
  <c r="AD53" i="59"/>
  <c r="AD70" i="59"/>
  <c r="AD46" i="59"/>
  <c r="AD51" i="59"/>
  <c r="AD11" i="59"/>
  <c r="AE28" i="59"/>
  <c r="AE10" i="59"/>
  <c r="AA70" i="5"/>
  <c r="AG113" i="59"/>
  <c r="AF16" i="59"/>
  <c r="AA106" i="5"/>
  <c r="AA105" i="5"/>
  <c r="V79" i="6" l="1"/>
  <c r="V82" i="6" s="1"/>
  <c r="V16" i="5"/>
  <c r="V27" i="5" s="1"/>
  <c r="V60" i="5" s="1"/>
  <c r="V69" i="5"/>
  <c r="V71" i="5" s="1"/>
  <c r="E19" i="64" s="1"/>
  <c r="W129" i="58"/>
  <c r="W128" i="58" s="1"/>
  <c r="R127" i="5"/>
  <c r="T127" i="5"/>
  <c r="S127" i="5"/>
  <c r="V125" i="5"/>
  <c r="V126" i="5" s="1"/>
  <c r="AG117" i="59"/>
  <c r="AG66" i="59" s="1"/>
  <c r="AD48" i="59"/>
  <c r="AD39" i="5"/>
  <c r="AD47" i="59"/>
  <c r="AC70" i="5"/>
  <c r="AC46" i="5"/>
  <c r="AE70" i="59"/>
  <c r="AE53" i="59"/>
  <c r="AE54" i="59"/>
  <c r="AE12" i="59"/>
  <c r="AE46" i="59"/>
  <c r="AE51" i="59"/>
  <c r="AE11" i="59"/>
  <c r="AF28" i="59"/>
  <c r="AF10" i="59"/>
  <c r="AG16" i="59"/>
  <c r="AH113" i="59"/>
  <c r="AG55" i="3" l="1"/>
  <c r="AG57" i="3" s="1"/>
  <c r="AG58" i="3" s="1"/>
  <c r="AG52" i="58"/>
  <c r="AG54" i="58" s="1"/>
  <c r="AG55" i="58" s="1"/>
  <c r="AG65" i="59"/>
  <c r="W58" i="58"/>
  <c r="L37" i="64"/>
  <c r="S37" i="64"/>
  <c r="P49" i="64"/>
  <c r="R49" i="64"/>
  <c r="N37" i="64"/>
  <c r="L49" i="64"/>
  <c r="Q24" i="64"/>
  <c r="O37" i="64"/>
  <c r="Q49" i="64"/>
  <c r="O36" i="64"/>
  <c r="N49" i="64"/>
  <c r="M37" i="64"/>
  <c r="N24" i="64"/>
  <c r="P37" i="64"/>
  <c r="Q37" i="64"/>
  <c r="N36" i="64"/>
  <c r="P24" i="64"/>
  <c r="Q23" i="64"/>
  <c r="M49" i="64"/>
  <c r="M36" i="64"/>
  <c r="R37" i="64"/>
  <c r="S49" i="64"/>
  <c r="O24" i="64"/>
  <c r="M23" i="64"/>
  <c r="P36" i="64"/>
  <c r="S36" i="64"/>
  <c r="R36" i="64"/>
  <c r="Q36" i="64"/>
  <c r="O23" i="64"/>
  <c r="R24" i="64"/>
  <c r="M24" i="64"/>
  <c r="S23" i="64"/>
  <c r="R23" i="64"/>
  <c r="P23" i="64"/>
  <c r="N23" i="64"/>
  <c r="O49" i="64"/>
  <c r="S24" i="64"/>
  <c r="L23" i="64"/>
  <c r="L36" i="64"/>
  <c r="L24" i="64"/>
  <c r="AA129" i="58"/>
  <c r="AA76" i="6"/>
  <c r="AA190" i="59" s="1"/>
  <c r="V87" i="6"/>
  <c r="AH117" i="59"/>
  <c r="AH66" i="59" s="1"/>
  <c r="AE48" i="59"/>
  <c r="AE39" i="5"/>
  <c r="AE47" i="59"/>
  <c r="AI113" i="59"/>
  <c r="AI117" i="59" s="1"/>
  <c r="AI66" i="59" s="1"/>
  <c r="AH16" i="59"/>
  <c r="AG10" i="59"/>
  <c r="AG28" i="59"/>
  <c r="AF54" i="59"/>
  <c r="AF11" i="59"/>
  <c r="AF70" i="59"/>
  <c r="AF46" i="59"/>
  <c r="AF51" i="59"/>
  <c r="AD70" i="5"/>
  <c r="AD46" i="5"/>
  <c r="AI52" i="58" l="1"/>
  <c r="AI54" i="58" s="1"/>
  <c r="AI55" i="58" s="1"/>
  <c r="AI65" i="59"/>
  <c r="AI55" i="3"/>
  <c r="AI57" i="3" s="1"/>
  <c r="AI58" i="3" s="1"/>
  <c r="W61" i="3"/>
  <c r="W59" i="58"/>
  <c r="AH65" i="59"/>
  <c r="AH52" i="58"/>
  <c r="AH54" i="58" s="1"/>
  <c r="AH55" i="58" s="1"/>
  <c r="AH55" i="3"/>
  <c r="AH57" i="3" s="1"/>
  <c r="AH58" i="3" s="1"/>
  <c r="AF39" i="5"/>
  <c r="AF47" i="59"/>
  <c r="AG11" i="59"/>
  <c r="AG12" i="59"/>
  <c r="AG53" i="59"/>
  <c r="AG54" i="59"/>
  <c r="AG46" i="59"/>
  <c r="AG70" i="59"/>
  <c r="AG51" i="59"/>
  <c r="AH28" i="59"/>
  <c r="AH10" i="59"/>
  <c r="AE70" i="5"/>
  <c r="AE46" i="5"/>
  <c r="AJ113" i="59"/>
  <c r="AJ117" i="59" s="1"/>
  <c r="AI16" i="59"/>
  <c r="W61" i="58" l="1"/>
  <c r="W64" i="58" s="1"/>
  <c r="AK117" i="59"/>
  <c r="AJ66" i="59"/>
  <c r="W62" i="3"/>
  <c r="AI28" i="59"/>
  <c r="AI10" i="59"/>
  <c r="AK113" i="59"/>
  <c r="AK16" i="59" s="1"/>
  <c r="AJ16" i="59"/>
  <c r="AH46" i="59"/>
  <c r="AH11" i="59"/>
  <c r="AH70" i="59"/>
  <c r="AH53" i="59"/>
  <c r="AH12" i="59"/>
  <c r="AH54" i="59"/>
  <c r="AH51" i="59"/>
  <c r="AG47" i="59"/>
  <c r="AG39" i="5"/>
  <c r="AG48" i="59"/>
  <c r="AF46" i="5"/>
  <c r="AF70" i="5"/>
  <c r="W66" i="58" l="1"/>
  <c r="W70" i="58"/>
  <c r="W75" i="58"/>
  <c r="AJ65" i="59"/>
  <c r="AK65" i="59" s="1"/>
  <c r="AJ52" i="58"/>
  <c r="AJ54" i="58" s="1"/>
  <c r="AJ55" i="58" s="1"/>
  <c r="AJ55" i="3"/>
  <c r="AJ57" i="3" s="1"/>
  <c r="AJ58" i="3" s="1"/>
  <c r="AK66" i="59"/>
  <c r="W64" i="3"/>
  <c r="W67" i="3" s="1"/>
  <c r="AF106" i="5"/>
  <c r="AF105" i="5"/>
  <c r="AH47" i="59"/>
  <c r="AH39" i="5"/>
  <c r="AH48" i="59"/>
  <c r="AJ10" i="59"/>
  <c r="AJ28" i="59"/>
  <c r="AG70" i="5"/>
  <c r="AG46" i="5"/>
  <c r="AI53" i="59"/>
  <c r="AI12" i="59"/>
  <c r="AI54" i="59"/>
  <c r="AI11" i="59"/>
  <c r="AI70" i="59"/>
  <c r="AI46" i="59"/>
  <c r="AI51" i="59"/>
  <c r="AK10" i="59"/>
  <c r="AK28" i="59"/>
  <c r="W69" i="3" l="1"/>
  <c r="W73" i="3"/>
  <c r="W78" i="3"/>
  <c r="W65" i="3"/>
  <c r="W92" i="58"/>
  <c r="W76" i="58"/>
  <c r="W78" i="58"/>
  <c r="W82" i="58"/>
  <c r="AK55" i="3"/>
  <c r="AK57" i="3" s="1"/>
  <c r="AK58" i="3" s="1"/>
  <c r="AK52" i="58"/>
  <c r="AK54" i="58" s="1"/>
  <c r="AK55" i="58" s="1"/>
  <c r="W72" i="58"/>
  <c r="W71" i="58"/>
  <c r="W68" i="58"/>
  <c r="W67" i="58"/>
  <c r="AI47" i="59"/>
  <c r="AI48" i="59"/>
  <c r="AI39" i="5"/>
  <c r="AH70" i="5"/>
  <c r="AH46" i="5"/>
  <c r="AK46" i="59"/>
  <c r="AK11" i="59"/>
  <c r="AK54" i="59"/>
  <c r="AK70" i="59"/>
  <c r="AK51" i="59"/>
  <c r="AJ12" i="59"/>
  <c r="AJ11" i="59"/>
  <c r="AJ54" i="59"/>
  <c r="AJ46" i="59"/>
  <c r="AJ53" i="59"/>
  <c r="AJ70" i="59"/>
  <c r="AJ51" i="59"/>
  <c r="W84" i="58" l="1"/>
  <c r="W83" i="58"/>
  <c r="W80" i="58"/>
  <c r="W79" i="58"/>
  <c r="W75" i="3"/>
  <c r="W74" i="3"/>
  <c r="W10" i="6"/>
  <c r="W12" i="6" s="1"/>
  <c r="W34" i="6" s="1"/>
  <c r="W36" i="6" s="1"/>
  <c r="W84" i="3"/>
  <c r="W80" i="3"/>
  <c r="W56" i="5"/>
  <c r="W70" i="3"/>
  <c r="W71" i="3"/>
  <c r="AK39" i="5"/>
  <c r="AK47" i="59"/>
  <c r="AJ48" i="59"/>
  <c r="AJ39" i="5"/>
  <c r="AJ47" i="59"/>
  <c r="AI70" i="5"/>
  <c r="AI46" i="5"/>
  <c r="W82" i="3" l="1"/>
  <c r="W81" i="3"/>
  <c r="W37" i="6"/>
  <c r="W115" i="5"/>
  <c r="W75" i="6"/>
  <c r="W77" i="6" s="1"/>
  <c r="W191" i="59"/>
  <c r="W198" i="59" s="1"/>
  <c r="W200" i="59" s="1"/>
  <c r="W90" i="6"/>
  <c r="W92" i="6" s="1"/>
  <c r="W57" i="5"/>
  <c r="W86" i="3"/>
  <c r="W85" i="3"/>
  <c r="AJ70" i="5"/>
  <c r="AJ46" i="5"/>
  <c r="AK70" i="5"/>
  <c r="W60" i="59" l="1"/>
  <c r="W59" i="59" s="1"/>
  <c r="W58" i="5"/>
  <c r="W116" i="5"/>
  <c r="W93" i="6"/>
  <c r="W138" i="42" s="1"/>
  <c r="W136" i="42" s="1"/>
  <c r="W124" i="5"/>
  <c r="W10" i="5"/>
  <c r="X76" i="6"/>
  <c r="X190" i="59" s="1"/>
  <c r="W85" i="6"/>
  <c r="W176" i="59"/>
  <c r="W201" i="59"/>
  <c r="W56" i="59"/>
  <c r="AK46" i="5"/>
  <c r="W69" i="5" l="1"/>
  <c r="W71" i="5" s="1"/>
  <c r="X129" i="58"/>
  <c r="X128" i="58" s="1"/>
  <c r="W16" i="5"/>
  <c r="W27" i="5" s="1"/>
  <c r="W60" i="5" s="1"/>
  <c r="W79" i="6"/>
  <c r="W82" i="6" s="1"/>
  <c r="W87" i="6" s="1"/>
  <c r="W125" i="5"/>
  <c r="AK106" i="5"/>
  <c r="AK105" i="5"/>
  <c r="X58" i="58" l="1"/>
  <c r="X59" i="58" l="1"/>
  <c r="X61" i="3"/>
  <c r="X62" i="3" l="1"/>
  <c r="X61" i="58"/>
  <c r="X64" i="58"/>
  <c r="X75" i="58" l="1"/>
  <c r="X70" i="58"/>
  <c r="X66" i="58"/>
  <c r="X64" i="3"/>
  <c r="X67" i="3" l="1"/>
  <c r="X65" i="3"/>
  <c r="X68" i="58"/>
  <c r="X67" i="58"/>
  <c r="X71" i="58"/>
  <c r="X72" i="58"/>
  <c r="X78" i="58"/>
  <c r="X76" i="58"/>
  <c r="X82" i="58"/>
  <c r="X92" i="58"/>
  <c r="X84" i="58" l="1"/>
  <c r="X83" i="58"/>
  <c r="X80" i="58"/>
  <c r="X79" i="58"/>
  <c r="X78" i="3"/>
  <c r="X69" i="3"/>
  <c r="X73" i="3"/>
  <c r="X70" i="3" l="1"/>
  <c r="X71" i="3"/>
  <c r="X10" i="6"/>
  <c r="X12" i="6" s="1"/>
  <c r="X34" i="6" s="1"/>
  <c r="X36" i="6" s="1"/>
  <c r="X80" i="3"/>
  <c r="X84" i="3"/>
  <c r="X56" i="5"/>
  <c r="X74" i="3"/>
  <c r="X75" i="3"/>
  <c r="X57" i="5" l="1"/>
  <c r="X86" i="3"/>
  <c r="X85" i="3"/>
  <c r="X82" i="3"/>
  <c r="X81" i="3"/>
  <c r="X37" i="6"/>
  <c r="X90" i="6"/>
  <c r="X92" i="6" s="1"/>
  <c r="X191" i="59"/>
  <c r="X198" i="59" s="1"/>
  <c r="X200" i="59" s="1"/>
  <c r="X115" i="5"/>
  <c r="X75" i="6"/>
  <c r="X77" i="6" s="1"/>
  <c r="X201" i="59" l="1"/>
  <c r="X56" i="59"/>
  <c r="X176" i="59"/>
  <c r="X85" i="6"/>
  <c r="X10" i="5"/>
  <c r="Y76" i="6"/>
  <c r="Y190" i="59" s="1"/>
  <c r="X116" i="5"/>
  <c r="X93" i="6"/>
  <c r="X138" i="42" s="1"/>
  <c r="X136" i="42" s="1"/>
  <c r="X124" i="5"/>
  <c r="X60" i="59"/>
  <c r="X59" i="59" s="1"/>
  <c r="X58" i="5"/>
  <c r="X79" i="6" l="1"/>
  <c r="X82" i="6" s="1"/>
  <c r="X87" i="6" s="1"/>
  <c r="Y129" i="58"/>
  <c r="Y128" i="58" s="1"/>
  <c r="X69" i="5"/>
  <c r="X71" i="5" s="1"/>
  <c r="X16" i="5"/>
  <c r="X27" i="5" s="1"/>
  <c r="X60" i="5" s="1"/>
  <c r="X125" i="5"/>
  <c r="Y58" i="58" l="1"/>
  <c r="Y61" i="3" l="1"/>
  <c r="Y59" i="58"/>
  <c r="Y61" i="58" l="1"/>
  <c r="Y64" i="58" s="1"/>
  <c r="Y62" i="3"/>
  <c r="Y70" i="58" l="1"/>
  <c r="Y75" i="58"/>
  <c r="Y66" i="58"/>
  <c r="Y64" i="3"/>
  <c r="Y67" i="3" l="1"/>
  <c r="Y65" i="3"/>
  <c r="Y92" i="58"/>
  <c r="Y76" i="58"/>
  <c r="Y78" i="58"/>
  <c r="Y82" i="58"/>
  <c r="Y67" i="58"/>
  <c r="Y68" i="58"/>
  <c r="Y71" i="58"/>
  <c r="Y72" i="58"/>
  <c r="Y79" i="58" l="1"/>
  <c r="Y80" i="58"/>
  <c r="Y83" i="58"/>
  <c r="Y84" i="58"/>
  <c r="Y73" i="3"/>
  <c r="Y69" i="3"/>
  <c r="Y78" i="3"/>
  <c r="Y71" i="3" l="1"/>
  <c r="Y70" i="3"/>
  <c r="Y74" i="3"/>
  <c r="Y75" i="3"/>
  <c r="Y10" i="6"/>
  <c r="Y12" i="6" s="1"/>
  <c r="Y34" i="6" s="1"/>
  <c r="Y36" i="6" s="1"/>
  <c r="Y84" i="3"/>
  <c r="Y80" i="3"/>
  <c r="Y56" i="5"/>
  <c r="Y86" i="3" l="1"/>
  <c r="Y85" i="3"/>
  <c r="Y75" i="6"/>
  <c r="Y77" i="6" s="1"/>
  <c r="Y191" i="59"/>
  <c r="Y198" i="59" s="1"/>
  <c r="Y200" i="59" s="1"/>
  <c r="Y90" i="6"/>
  <c r="Y92" i="6" s="1"/>
  <c r="Y37" i="6"/>
  <c r="Y115" i="5"/>
  <c r="Y57" i="5"/>
  <c r="Y82" i="3"/>
  <c r="Y81" i="3"/>
  <c r="Y124" i="5" l="1"/>
  <c r="Y93" i="6"/>
  <c r="Y138" i="42" s="1"/>
  <c r="Y136" i="42" s="1"/>
  <c r="Y201" i="59"/>
  <c r="Y176" i="59"/>
  <c r="Y56" i="59"/>
  <c r="Y10" i="5"/>
  <c r="Y85" i="6"/>
  <c r="Z76" i="6"/>
  <c r="Z190" i="59" s="1"/>
  <c r="Y60" i="59"/>
  <c r="Y59" i="59" s="1"/>
  <c r="Y58" i="5"/>
  <c r="Y116" i="5"/>
  <c r="Y16" i="5" l="1"/>
  <c r="Y27" i="5" s="1"/>
  <c r="Y60" i="5" s="1"/>
  <c r="Y69" i="5"/>
  <c r="Y71" i="5" s="1"/>
  <c r="Z129" i="58"/>
  <c r="Z128" i="58" s="1"/>
  <c r="Y79" i="6"/>
  <c r="Y82" i="6" s="1"/>
  <c r="Y87" i="6" s="1"/>
  <c r="Y125" i="5"/>
  <c r="Z58" i="58" l="1"/>
  <c r="AA128" i="58"/>
  <c r="AA130" i="58" l="1"/>
  <c r="AA58" i="58"/>
  <c r="AA59" i="58" s="1"/>
  <c r="Z59" i="58"/>
  <c r="Z61" i="3"/>
  <c r="Z62" i="3" l="1"/>
  <c r="AA61" i="3"/>
  <c r="AA62" i="3" s="1"/>
  <c r="Z61" i="58"/>
  <c r="Z64" i="58" s="1"/>
  <c r="Z64" i="3" l="1"/>
  <c r="AA61" i="58"/>
  <c r="Z70" i="58"/>
  <c r="Z66" i="58"/>
  <c r="Z75" i="58"/>
  <c r="Z68" i="58" l="1"/>
  <c r="Z67" i="58"/>
  <c r="Z76" i="58"/>
  <c r="Z82" i="58"/>
  <c r="Z78" i="58"/>
  <c r="Z92" i="58"/>
  <c r="Z72" i="58"/>
  <c r="Z71" i="58"/>
  <c r="AA64" i="58"/>
  <c r="AA62" i="58"/>
  <c r="Z67" i="3"/>
  <c r="Z65" i="3"/>
  <c r="AA64" i="3"/>
  <c r="Z80" i="58" l="1"/>
  <c r="Z79" i="58"/>
  <c r="Z73" i="3"/>
  <c r="Z69" i="3"/>
  <c r="Z78" i="3"/>
  <c r="Z84" i="58"/>
  <c r="Z83" i="58"/>
  <c r="AA66" i="58"/>
  <c r="AA67" i="58" s="1"/>
  <c r="AA75" i="58"/>
  <c r="AA70" i="58"/>
  <c r="AA71" i="58" s="1"/>
  <c r="AA65" i="3"/>
  <c r="AA67" i="3"/>
  <c r="Z84" i="3" l="1"/>
  <c r="Z10" i="6"/>
  <c r="Z12" i="6" s="1"/>
  <c r="Z34" i="6" s="1"/>
  <c r="Z36" i="6" s="1"/>
  <c r="Z80" i="3"/>
  <c r="Z56" i="5"/>
  <c r="AA78" i="3"/>
  <c r="AA69" i="3"/>
  <c r="AA70" i="3" s="1"/>
  <c r="AA73" i="3"/>
  <c r="AA74" i="3" s="1"/>
  <c r="Z70" i="3"/>
  <c r="Z71" i="3"/>
  <c r="AA76" i="58"/>
  <c r="F16" i="64"/>
  <c r="AA82" i="58"/>
  <c r="AA83" i="58" s="1"/>
  <c r="AA92" i="58"/>
  <c r="AA78" i="58"/>
  <c r="AA79" i="58" s="1"/>
  <c r="Z75" i="3"/>
  <c r="Z74" i="3"/>
  <c r="AA56" i="5" l="1"/>
  <c r="Z57" i="5"/>
  <c r="AA10" i="6"/>
  <c r="AA12" i="6" s="1"/>
  <c r="AA34" i="6" s="1"/>
  <c r="AA80" i="3"/>
  <c r="AA81" i="3" s="1"/>
  <c r="AA84" i="3"/>
  <c r="AA85" i="3" s="1"/>
  <c r="F14" i="64"/>
  <c r="Z191" i="59"/>
  <c r="Z198" i="59" s="1"/>
  <c r="Z200" i="59" s="1"/>
  <c r="Z37" i="6"/>
  <c r="Z115" i="5"/>
  <c r="Z75" i="6"/>
  <c r="Z77" i="6" s="1"/>
  <c r="Z90" i="6"/>
  <c r="Z92" i="6" s="1"/>
  <c r="AA36" i="6"/>
  <c r="Q62" i="64"/>
  <c r="N62" i="64"/>
  <c r="S62" i="64"/>
  <c r="R10" i="64"/>
  <c r="L62" i="64"/>
  <c r="P10" i="64"/>
  <c r="P62" i="64"/>
  <c r="R62" i="64"/>
  <c r="F17" i="64"/>
  <c r="O10" i="64"/>
  <c r="P13" i="64"/>
  <c r="Q10" i="64"/>
  <c r="M10" i="64"/>
  <c r="M62" i="64"/>
  <c r="L10" i="64"/>
  <c r="O62" i="64"/>
  <c r="N10" i="64"/>
  <c r="S10" i="64"/>
  <c r="Z81" i="3"/>
  <c r="Z82" i="3"/>
  <c r="Z85" i="3"/>
  <c r="Z86" i="3"/>
  <c r="O9" i="64" l="1"/>
  <c r="P9" i="64"/>
  <c r="R61" i="64"/>
  <c r="Q61" i="64"/>
  <c r="N61" i="64"/>
  <c r="M9" i="64"/>
  <c r="O61" i="64"/>
  <c r="N9" i="64"/>
  <c r="F15" i="64"/>
  <c r="L9" i="64"/>
  <c r="R9" i="64"/>
  <c r="L61" i="64"/>
  <c r="S9" i="64"/>
  <c r="P61" i="64"/>
  <c r="M61" i="64"/>
  <c r="S61" i="64"/>
  <c r="Q9" i="64"/>
  <c r="Z10" i="5"/>
  <c r="Z85" i="6"/>
  <c r="Z60" i="59"/>
  <c r="Z59" i="59" s="1"/>
  <c r="Z58" i="5"/>
  <c r="AA115" i="5"/>
  <c r="AA37" i="6"/>
  <c r="AA75" i="6"/>
  <c r="AA77" i="6" s="1"/>
  <c r="AA90" i="6"/>
  <c r="AA92" i="6" s="1"/>
  <c r="AA191" i="59"/>
  <c r="AA198" i="59" s="1"/>
  <c r="Z124" i="5"/>
  <c r="Z93" i="6"/>
  <c r="Z138" i="42" s="1"/>
  <c r="Z136" i="42" s="1"/>
  <c r="Z116" i="5"/>
  <c r="Z117" i="5"/>
  <c r="Z176" i="59"/>
  <c r="Z56" i="59"/>
  <c r="AA56" i="59" s="1"/>
  <c r="Z201" i="59"/>
  <c r="AA57" i="5"/>
  <c r="AA116" i="5" l="1"/>
  <c r="W117" i="5"/>
  <c r="X117" i="5"/>
  <c r="Y117" i="5"/>
  <c r="Z16" i="5"/>
  <c r="Z27" i="5" s="1"/>
  <c r="Z60" i="5" s="1"/>
  <c r="Z69" i="5"/>
  <c r="Z71" i="5" s="1"/>
  <c r="AA10" i="5"/>
  <c r="Z79" i="6"/>
  <c r="Z82" i="6" s="1"/>
  <c r="Z87" i="6" s="1"/>
  <c r="AB76" i="6"/>
  <c r="AB190" i="59" s="1"/>
  <c r="AA85" i="6"/>
  <c r="AA60" i="59"/>
  <c r="AA59" i="59" s="1"/>
  <c r="AA58" i="5"/>
  <c r="Z125" i="5"/>
  <c r="AA124" i="5"/>
  <c r="AA93" i="6"/>
  <c r="AA138" i="42" s="1"/>
  <c r="AA136" i="42" s="1"/>
  <c r="AA125" i="5" l="1"/>
  <c r="AA126" i="5" s="1"/>
  <c r="W127" i="5"/>
  <c r="X127" i="5"/>
  <c r="Y127" i="5"/>
  <c r="Z127" i="5"/>
  <c r="AA79" i="6"/>
  <c r="AA82" i="6" s="1"/>
  <c r="AA69" i="5"/>
  <c r="AA71" i="5" s="1"/>
  <c r="F19" i="64" s="1"/>
  <c r="AA16" i="5"/>
  <c r="AA27" i="5" s="1"/>
  <c r="AA60" i="5" s="1"/>
  <c r="AB129" i="58"/>
  <c r="AB128" i="58" s="1"/>
  <c r="AF76" i="6" l="1"/>
  <c r="AF190" i="59" s="1"/>
  <c r="AF129" i="58"/>
  <c r="AA87" i="6"/>
  <c r="AB58" i="58"/>
  <c r="AB61" i="3" l="1"/>
  <c r="AB59" i="58"/>
  <c r="AB61" i="58" l="1"/>
  <c r="AB64" i="58"/>
  <c r="AB62" i="3"/>
  <c r="AB66" i="58" l="1"/>
  <c r="AB75" i="58"/>
  <c r="AB70" i="58"/>
  <c r="AB64" i="3"/>
  <c r="AB67" i="3" l="1"/>
  <c r="AB65" i="3"/>
  <c r="AB72" i="58"/>
  <c r="AB71" i="58"/>
  <c r="AB82" i="58"/>
  <c r="AB92" i="58"/>
  <c r="AB78" i="58"/>
  <c r="AB76" i="58"/>
  <c r="AB68" i="58"/>
  <c r="AB67" i="58"/>
  <c r="AB79" i="58" l="1"/>
  <c r="AB80" i="58"/>
  <c r="AB83" i="58"/>
  <c r="AB84" i="58"/>
  <c r="AB78" i="3"/>
  <c r="AB69" i="3"/>
  <c r="AB73" i="3"/>
  <c r="AB71" i="3" l="1"/>
  <c r="AB70" i="3"/>
  <c r="AB80" i="3"/>
  <c r="AB10" i="6"/>
  <c r="AB12" i="6" s="1"/>
  <c r="AB34" i="6" s="1"/>
  <c r="AB36" i="6" s="1"/>
  <c r="AB84" i="3"/>
  <c r="AB56" i="5"/>
  <c r="AB75" i="3"/>
  <c r="AB74" i="3"/>
  <c r="AB57" i="5" l="1"/>
  <c r="AB85" i="3"/>
  <c r="AB86" i="3"/>
  <c r="AB115" i="5"/>
  <c r="AB75" i="6"/>
  <c r="AB77" i="6" s="1"/>
  <c r="AB90" i="6"/>
  <c r="AB92" i="6" s="1"/>
  <c r="AB37" i="6"/>
  <c r="AB191" i="59"/>
  <c r="AB198" i="59" s="1"/>
  <c r="AB200" i="59" s="1"/>
  <c r="AB82" i="3"/>
  <c r="AB81" i="3"/>
  <c r="AC76" i="6" l="1"/>
  <c r="AC190" i="59" s="1"/>
  <c r="AB10" i="5"/>
  <c r="AB85" i="6"/>
  <c r="AB116" i="5"/>
  <c r="AB183" i="59"/>
  <c r="AB201" i="59"/>
  <c r="AB56" i="59"/>
  <c r="AB124" i="5"/>
  <c r="AB93" i="6"/>
  <c r="AB138" i="42" s="1"/>
  <c r="AB136" i="42" s="1"/>
  <c r="AB60" i="59"/>
  <c r="AB59" i="59" s="1"/>
  <c r="AB58" i="5"/>
  <c r="AB69" i="5" l="1"/>
  <c r="AB71" i="5" s="1"/>
  <c r="AC129" i="58"/>
  <c r="AC128" i="58" s="1"/>
  <c r="AB16" i="5"/>
  <c r="AB27" i="5" s="1"/>
  <c r="AB60" i="5" s="1"/>
  <c r="AB79" i="6"/>
  <c r="AB82" i="6" s="1"/>
  <c r="AB87" i="6" s="1"/>
  <c r="AB125" i="5"/>
  <c r="AC58" i="58" l="1"/>
  <c r="AC61" i="3" l="1"/>
  <c r="AC59" i="58"/>
  <c r="AC61" i="58" s="1"/>
  <c r="AC64" i="58" l="1"/>
  <c r="AC64" i="3"/>
  <c r="AC62" i="3"/>
  <c r="AC67" i="3" l="1"/>
  <c r="AC69" i="3" s="1"/>
  <c r="AC78" i="3"/>
  <c r="AC65" i="3"/>
  <c r="AC70" i="58"/>
  <c r="AC66" i="58"/>
  <c r="AC75" i="58"/>
  <c r="AC73" i="3" l="1"/>
  <c r="AC74" i="3" s="1"/>
  <c r="AC76" i="58"/>
  <c r="AC78" i="58"/>
  <c r="AC92" i="58"/>
  <c r="AC82" i="58"/>
  <c r="AC71" i="58"/>
  <c r="AC72" i="58"/>
  <c r="AC71" i="3"/>
  <c r="AC70" i="3"/>
  <c r="AC67" i="58"/>
  <c r="AC68" i="58"/>
  <c r="AC84" i="3"/>
  <c r="AC80" i="3"/>
  <c r="AC10" i="6"/>
  <c r="AC12" i="6" s="1"/>
  <c r="AC34" i="6" s="1"/>
  <c r="AC36" i="6" s="1"/>
  <c r="AC56" i="5"/>
  <c r="AC75" i="3" l="1"/>
  <c r="AC83" i="58"/>
  <c r="AC84" i="58"/>
  <c r="AC57" i="5"/>
  <c r="AC80" i="58"/>
  <c r="AC79" i="58"/>
  <c r="AC115" i="5"/>
  <c r="AC90" i="6"/>
  <c r="AC92" i="6" s="1"/>
  <c r="AC191" i="59"/>
  <c r="AC198" i="59" s="1"/>
  <c r="AC200" i="59" s="1"/>
  <c r="AC75" i="6"/>
  <c r="AC77" i="6" s="1"/>
  <c r="AC37" i="6"/>
  <c r="AC82" i="3"/>
  <c r="AC81" i="3"/>
  <c r="AC86" i="3"/>
  <c r="AC85" i="3"/>
  <c r="AD76" i="6" l="1"/>
  <c r="AD190" i="59" s="1"/>
  <c r="AC10" i="5"/>
  <c r="AC85" i="6"/>
  <c r="AC183" i="59"/>
  <c r="AC201" i="59"/>
  <c r="AC56" i="59"/>
  <c r="AC124" i="5"/>
  <c r="AC93" i="6"/>
  <c r="AC138" i="42" s="1"/>
  <c r="AC136" i="42" s="1"/>
  <c r="AC60" i="59"/>
  <c r="AC59" i="59" s="1"/>
  <c r="AC58" i="5"/>
  <c r="AC116" i="5"/>
  <c r="AD129" i="58" l="1"/>
  <c r="AD128" i="58" s="1"/>
  <c r="AC79" i="6"/>
  <c r="AC82" i="6" s="1"/>
  <c r="AC87" i="6" s="1"/>
  <c r="AC69" i="5"/>
  <c r="AC71" i="5" s="1"/>
  <c r="AC16" i="5"/>
  <c r="AC27" i="5" s="1"/>
  <c r="AC60" i="5" s="1"/>
  <c r="AC125" i="5"/>
  <c r="AD58" i="58" l="1"/>
  <c r="AD61" i="3" l="1"/>
  <c r="AD59" i="58"/>
  <c r="AD61" i="58" s="1"/>
  <c r="AD64" i="58" l="1"/>
  <c r="AD64" i="3"/>
  <c r="AD62" i="3"/>
  <c r="AD67" i="3" l="1"/>
  <c r="AD73" i="3" s="1"/>
  <c r="AD69" i="3"/>
  <c r="AD65" i="3"/>
  <c r="AD75" i="58"/>
  <c r="AD70" i="58"/>
  <c r="AD66" i="58"/>
  <c r="AD78" i="3" l="1"/>
  <c r="AD78" i="58"/>
  <c r="AD92" i="58"/>
  <c r="AD76" i="58"/>
  <c r="AD82" i="58"/>
  <c r="AD67" i="58"/>
  <c r="AD68" i="58"/>
  <c r="AD84" i="3"/>
  <c r="AD10" i="6"/>
  <c r="AD12" i="6" s="1"/>
  <c r="AD34" i="6" s="1"/>
  <c r="AD36" i="6" s="1"/>
  <c r="AD80" i="3"/>
  <c r="AD56" i="5"/>
  <c r="AD74" i="3"/>
  <c r="AD75" i="3"/>
  <c r="AD72" i="58"/>
  <c r="AD71" i="58"/>
  <c r="AD71" i="3"/>
  <c r="AD70" i="3"/>
  <c r="AD83" i="58" l="1"/>
  <c r="AD84" i="58"/>
  <c r="AD115" i="5"/>
  <c r="AD191" i="59"/>
  <c r="AD198" i="59" s="1"/>
  <c r="AD200" i="59" s="1"/>
  <c r="AD37" i="6"/>
  <c r="AD75" i="6"/>
  <c r="AD77" i="6" s="1"/>
  <c r="AD90" i="6"/>
  <c r="AD92" i="6" s="1"/>
  <c r="AD57" i="5"/>
  <c r="AD81" i="3"/>
  <c r="AD82" i="3"/>
  <c r="AD85" i="3"/>
  <c r="AD86" i="3"/>
  <c r="AD79" i="58"/>
  <c r="AD80" i="58"/>
  <c r="AD85" i="6" l="1"/>
  <c r="AD10" i="5"/>
  <c r="AE76" i="6"/>
  <c r="AE190" i="59" s="1"/>
  <c r="AD183" i="59"/>
  <c r="AD201" i="59"/>
  <c r="AD56" i="59"/>
  <c r="AD116" i="5"/>
  <c r="AD60" i="59"/>
  <c r="AD59" i="59" s="1"/>
  <c r="AD58" i="5"/>
  <c r="AD124" i="5"/>
  <c r="AD93" i="6"/>
  <c r="AD138" i="42" s="1"/>
  <c r="AD136" i="42" s="1"/>
  <c r="AD125" i="5" l="1"/>
  <c r="AE129" i="58"/>
  <c r="AE128" i="58" s="1"/>
  <c r="AD79" i="6"/>
  <c r="AD82" i="6" s="1"/>
  <c r="AD87" i="6" s="1"/>
  <c r="AD69" i="5"/>
  <c r="AD71" i="5" s="1"/>
  <c r="AD16" i="5"/>
  <c r="AD27" i="5" s="1"/>
  <c r="AD60" i="5" s="1"/>
  <c r="AE58" i="58" l="1"/>
  <c r="AF128" i="58"/>
  <c r="AF58" i="58" l="1"/>
  <c r="AF59" i="58" s="1"/>
  <c r="AF130" i="58"/>
  <c r="AE59" i="58"/>
  <c r="AE61" i="3"/>
  <c r="AE61" i="58" l="1"/>
  <c r="AE64" i="58" s="1"/>
  <c r="AE62" i="3"/>
  <c r="AF61" i="3"/>
  <c r="AF62" i="3" s="1"/>
  <c r="AE75" i="58" l="1"/>
  <c r="AE66" i="58"/>
  <c r="AE70" i="58"/>
  <c r="AE64" i="3"/>
  <c r="AE67" i="3" s="1"/>
  <c r="AF61" i="58"/>
  <c r="AE78" i="3" l="1"/>
  <c r="AE69" i="3"/>
  <c r="AE73" i="3"/>
  <c r="AF62" i="58"/>
  <c r="AF64" i="58"/>
  <c r="AE71" i="58"/>
  <c r="AE72" i="58"/>
  <c r="AE65" i="3"/>
  <c r="AF64" i="3"/>
  <c r="AE67" i="58"/>
  <c r="AE68" i="58"/>
  <c r="AE82" i="58"/>
  <c r="AE92" i="58"/>
  <c r="AE76" i="58"/>
  <c r="AE78" i="58"/>
  <c r="AF70" i="58" l="1"/>
  <c r="AF71" i="58" s="1"/>
  <c r="AF75" i="58"/>
  <c r="AF66" i="58"/>
  <c r="AF67" i="58" s="1"/>
  <c r="AE79" i="58"/>
  <c r="AE80" i="58"/>
  <c r="AF65" i="3"/>
  <c r="AF67" i="3"/>
  <c r="AE74" i="3"/>
  <c r="AE75" i="3"/>
  <c r="AE71" i="3"/>
  <c r="AE70" i="3"/>
  <c r="AE84" i="58"/>
  <c r="AE83" i="58"/>
  <c r="AE10" i="6"/>
  <c r="AE12" i="6" s="1"/>
  <c r="AE34" i="6" s="1"/>
  <c r="AE36" i="6" s="1"/>
  <c r="AE80" i="3"/>
  <c r="AE84" i="3"/>
  <c r="AE56" i="5"/>
  <c r="AE86" i="3" l="1"/>
  <c r="AE85" i="3"/>
  <c r="AF56" i="5"/>
  <c r="AE57" i="5"/>
  <c r="AE81" i="3"/>
  <c r="AE82" i="3"/>
  <c r="AE75" i="6"/>
  <c r="AE77" i="6" s="1"/>
  <c r="AE191" i="59"/>
  <c r="AE198" i="59" s="1"/>
  <c r="AE200" i="59" s="1"/>
  <c r="AE37" i="6"/>
  <c r="AE90" i="6"/>
  <c r="AE92" i="6" s="1"/>
  <c r="AE115" i="5"/>
  <c r="AE116" i="5" s="1"/>
  <c r="AF78" i="58"/>
  <c r="AF79" i="58" s="1"/>
  <c r="G16" i="64"/>
  <c r="AF82" i="58"/>
  <c r="AF83" i="58" s="1"/>
  <c r="AF92" i="58"/>
  <c r="AF76" i="58"/>
  <c r="AF69" i="3"/>
  <c r="AF70" i="3" s="1"/>
  <c r="AF78" i="3"/>
  <c r="AF73" i="3"/>
  <c r="AF74" i="3" s="1"/>
  <c r="G17" i="64" l="1"/>
  <c r="N13" i="64"/>
  <c r="M13" i="64" s="1"/>
  <c r="Q64" i="64"/>
  <c r="AE60" i="59"/>
  <c r="AE59" i="59" s="1"/>
  <c r="AE58" i="5"/>
  <c r="AE85" i="6"/>
  <c r="AE10" i="5"/>
  <c r="AF84" i="3"/>
  <c r="AF85" i="3" s="1"/>
  <c r="AF10" i="6"/>
  <c r="AF12" i="6" s="1"/>
  <c r="AF34" i="6" s="1"/>
  <c r="AF36" i="6" s="1"/>
  <c r="AF80" i="3"/>
  <c r="AF81" i="3" s="1"/>
  <c r="G14" i="64"/>
  <c r="G15" i="64" s="1"/>
  <c r="AE93" i="6"/>
  <c r="AE138" i="42" s="1"/>
  <c r="AE136" i="42" s="1"/>
  <c r="AE124" i="5"/>
  <c r="AF57" i="5"/>
  <c r="AE56" i="59"/>
  <c r="AF56" i="59" s="1"/>
  <c r="AE183" i="59"/>
  <c r="AE201" i="59"/>
  <c r="AF191" i="59" l="1"/>
  <c r="AF198" i="59" s="1"/>
  <c r="AF115" i="5"/>
  <c r="AF90" i="6"/>
  <c r="AF92" i="6" s="1"/>
  <c r="AF75" i="6"/>
  <c r="AF77" i="6" s="1"/>
  <c r="AF37" i="6"/>
  <c r="AF60" i="59"/>
  <c r="AF59" i="59" s="1"/>
  <c r="AF58" i="5"/>
  <c r="AA15" i="64"/>
  <c r="AA17" i="64" s="1"/>
  <c r="X15" i="64"/>
  <c r="X17" i="64" s="1"/>
  <c r="AE125" i="5"/>
  <c r="AF10" i="5"/>
  <c r="AE79" i="6"/>
  <c r="AE82" i="6" s="1"/>
  <c r="AE87" i="6" s="1"/>
  <c r="AE16" i="5"/>
  <c r="AE27" i="5" s="1"/>
  <c r="AE60" i="5" s="1"/>
  <c r="AE69" i="5"/>
  <c r="AE71" i="5" s="1"/>
  <c r="AF69" i="5" l="1"/>
  <c r="AF71" i="5" s="1"/>
  <c r="G19" i="64" s="1"/>
  <c r="AF79" i="6"/>
  <c r="AF82" i="6" s="1"/>
  <c r="AG129" i="58"/>
  <c r="AG128" i="58" s="1"/>
  <c r="AF16" i="5"/>
  <c r="AF27" i="5" s="1"/>
  <c r="AF60" i="5" s="1"/>
  <c r="AG76" i="6"/>
  <c r="AG190" i="59" s="1"/>
  <c r="AF85" i="6"/>
  <c r="AF93" i="6"/>
  <c r="AF138" i="42" s="1"/>
  <c r="AF136" i="42" s="1"/>
  <c r="AF124" i="5"/>
  <c r="AE117" i="5"/>
  <c r="AF116" i="5"/>
  <c r="AB117" i="5"/>
  <c r="AC117" i="5"/>
  <c r="AD117" i="5"/>
  <c r="AF125" i="5" l="1"/>
  <c r="AF126" i="5" s="1"/>
  <c r="AB127" i="5"/>
  <c r="AC127" i="5"/>
  <c r="AD127" i="5"/>
  <c r="AE127" i="5"/>
  <c r="AG58" i="58"/>
  <c r="AK76" i="6"/>
  <c r="AK190" i="59" s="1"/>
  <c r="AK129" i="58"/>
  <c r="AF87" i="6"/>
  <c r="AG61" i="3" l="1"/>
  <c r="AG59" i="58"/>
  <c r="AG61" i="58" s="1"/>
  <c r="AG64" i="58" l="1"/>
  <c r="AG64" i="3"/>
  <c r="AG62" i="3"/>
  <c r="AG67" i="3" l="1"/>
  <c r="AG69" i="3" s="1"/>
  <c r="AG65" i="3"/>
  <c r="AG70" i="58"/>
  <c r="AG66" i="58"/>
  <c r="AG75" i="58"/>
  <c r="AG73" i="3" l="1"/>
  <c r="AG78" i="3"/>
  <c r="AG80" i="3" s="1"/>
  <c r="AG72" i="58"/>
  <c r="AG71" i="58"/>
  <c r="AG75" i="3"/>
  <c r="AG74" i="3"/>
  <c r="AG84" i="3"/>
  <c r="AG10" i="6"/>
  <c r="AG12" i="6" s="1"/>
  <c r="AG34" i="6" s="1"/>
  <c r="AG36" i="6" s="1"/>
  <c r="AG56" i="5"/>
  <c r="AG70" i="3"/>
  <c r="AG71" i="3"/>
  <c r="AG82" i="58"/>
  <c r="AG76" i="58"/>
  <c r="AG78" i="58"/>
  <c r="AG92" i="58"/>
  <c r="AG67" i="58"/>
  <c r="AG68" i="58"/>
  <c r="AG86" i="3" l="1"/>
  <c r="AG85" i="3"/>
  <c r="AG84" i="58"/>
  <c r="AG83" i="58"/>
  <c r="AG82" i="3"/>
  <c r="AG81" i="3"/>
  <c r="AG57" i="5"/>
  <c r="AG79" i="58"/>
  <c r="AG80" i="58"/>
  <c r="AG90" i="6"/>
  <c r="AG92" i="6" s="1"/>
  <c r="AG75" i="6"/>
  <c r="AG77" i="6" s="1"/>
  <c r="AG37" i="6"/>
  <c r="AG115" i="5"/>
  <c r="AG191" i="59"/>
  <c r="AG198" i="59" s="1"/>
  <c r="AG200" i="59" s="1"/>
  <c r="AG10" i="5" l="1"/>
  <c r="AH76" i="6"/>
  <c r="AH190" i="59" s="1"/>
  <c r="AG85" i="6"/>
  <c r="AG56" i="59"/>
  <c r="AG183" i="59"/>
  <c r="AG201" i="59"/>
  <c r="AG93" i="6"/>
  <c r="AG138" i="42" s="1"/>
  <c r="AG136" i="42" s="1"/>
  <c r="AG124" i="5"/>
  <c r="AG116" i="5"/>
  <c r="AG60" i="59"/>
  <c r="AG59" i="59" s="1"/>
  <c r="AG58" i="5"/>
  <c r="AG125" i="5" l="1"/>
  <c r="AG16" i="5"/>
  <c r="AG27" i="5" s="1"/>
  <c r="AG60" i="5" s="1"/>
  <c r="AG79" i="6"/>
  <c r="AG82" i="6" s="1"/>
  <c r="AG87" i="6" s="1"/>
  <c r="AG69" i="5"/>
  <c r="AG71" i="5" s="1"/>
  <c r="AH129" i="58"/>
  <c r="AH128" i="58" s="1"/>
  <c r="AH58" i="58" l="1"/>
  <c r="AH61" i="3" l="1"/>
  <c r="AH59" i="58"/>
  <c r="AH61" i="58" s="1"/>
  <c r="AH62" i="3" l="1"/>
  <c r="AH64" i="58"/>
  <c r="AH64" i="3"/>
  <c r="AH67" i="3" l="1"/>
  <c r="AH65" i="3"/>
  <c r="AH66" i="58"/>
  <c r="AH75" i="58"/>
  <c r="AH70" i="58"/>
  <c r="AH78" i="3"/>
  <c r="AH69" i="3"/>
  <c r="AH73" i="3"/>
  <c r="AH75" i="3" l="1"/>
  <c r="AH74" i="3"/>
  <c r="AH71" i="3"/>
  <c r="AH70" i="3"/>
  <c r="AH84" i="3"/>
  <c r="AH80" i="3"/>
  <c r="AH10" i="6"/>
  <c r="AH12" i="6" s="1"/>
  <c r="AH34" i="6" s="1"/>
  <c r="AH36" i="6" s="1"/>
  <c r="AH56" i="5"/>
  <c r="AH71" i="58"/>
  <c r="AH72" i="58"/>
  <c r="AH82" i="58"/>
  <c r="AH78" i="58"/>
  <c r="AH92" i="58"/>
  <c r="AH76" i="58"/>
  <c r="AH68" i="58"/>
  <c r="AH67" i="58"/>
  <c r="AH79" i="58" l="1"/>
  <c r="AH80" i="58"/>
  <c r="AH81" i="3"/>
  <c r="AH82" i="3"/>
  <c r="AH84" i="58"/>
  <c r="AH83" i="58"/>
  <c r="AH85" i="3"/>
  <c r="AH86" i="3"/>
  <c r="AH57" i="5"/>
  <c r="AH191" i="59"/>
  <c r="AH198" i="59" s="1"/>
  <c r="AH200" i="59" s="1"/>
  <c r="AH37" i="6"/>
  <c r="AH90" i="6"/>
  <c r="AH92" i="6" s="1"/>
  <c r="AH75" i="6"/>
  <c r="AH77" i="6" s="1"/>
  <c r="AH115" i="5"/>
  <c r="AH116" i="5" l="1"/>
  <c r="AH60" i="59"/>
  <c r="AH59" i="59" s="1"/>
  <c r="AH58" i="5"/>
  <c r="AI76" i="6"/>
  <c r="AI190" i="59" s="1"/>
  <c r="AH10" i="5"/>
  <c r="AH85" i="6"/>
  <c r="AH201" i="59"/>
  <c r="AH183" i="59"/>
  <c r="AH56" i="59"/>
  <c r="AH93" i="6"/>
  <c r="AH138" i="42" s="1"/>
  <c r="AH136" i="42" s="1"/>
  <c r="AH124" i="5"/>
  <c r="AH125" i="5" l="1"/>
  <c r="AH16" i="5"/>
  <c r="AH27" i="5" s="1"/>
  <c r="AH60" i="5" s="1"/>
  <c r="AH79" i="6"/>
  <c r="AH82" i="6" s="1"/>
  <c r="AH87" i="6" s="1"/>
  <c r="AI129" i="58"/>
  <c r="AI128" i="58" s="1"/>
  <c r="AH69" i="5"/>
  <c r="AH71" i="5" s="1"/>
  <c r="AI58" i="58" l="1"/>
  <c r="AI61" i="3" l="1"/>
  <c r="AI59" i="58"/>
  <c r="AI61" i="58" l="1"/>
  <c r="AI64" i="58" s="1"/>
  <c r="AI62" i="3"/>
  <c r="AI75" i="58" l="1"/>
  <c r="AI70" i="58"/>
  <c r="AI66" i="58"/>
  <c r="AI64" i="3"/>
  <c r="AI67" i="3" l="1"/>
  <c r="AI65" i="3"/>
  <c r="AI68" i="58"/>
  <c r="AI67" i="58"/>
  <c r="AI71" i="58"/>
  <c r="AI72" i="58"/>
  <c r="AI82" i="58"/>
  <c r="AI92" i="58"/>
  <c r="AI76" i="58"/>
  <c r="AI78" i="58"/>
  <c r="AI79" i="58" l="1"/>
  <c r="AI80" i="58"/>
  <c r="AI83" i="58"/>
  <c r="AI84" i="58"/>
  <c r="AI73" i="3"/>
  <c r="AI69" i="3"/>
  <c r="AI78" i="3"/>
  <c r="AI71" i="3" l="1"/>
  <c r="AI70" i="3"/>
  <c r="AI74" i="3"/>
  <c r="AI75" i="3"/>
  <c r="AI84" i="3"/>
  <c r="AI80" i="3"/>
  <c r="AI10" i="6"/>
  <c r="AI12" i="6" s="1"/>
  <c r="AI34" i="6" s="1"/>
  <c r="AI36" i="6" s="1"/>
  <c r="AI56" i="5"/>
  <c r="AI57" i="5" l="1"/>
  <c r="AI82" i="3"/>
  <c r="AI81" i="3"/>
  <c r="AI86" i="3"/>
  <c r="AI85" i="3"/>
  <c r="AI115" i="5"/>
  <c r="AI75" i="6"/>
  <c r="AI77" i="6" s="1"/>
  <c r="AI191" i="59"/>
  <c r="AI198" i="59" s="1"/>
  <c r="AI200" i="59" s="1"/>
  <c r="AI37" i="6"/>
  <c r="AI90" i="6"/>
  <c r="AI92" i="6" s="1"/>
  <c r="AI124" i="5" l="1"/>
  <c r="AI93" i="6"/>
  <c r="AI138" i="42" s="1"/>
  <c r="AI136" i="42" s="1"/>
  <c r="AI56" i="59"/>
  <c r="AI183" i="59"/>
  <c r="AI201" i="59"/>
  <c r="AJ76" i="6"/>
  <c r="AJ190" i="59" s="1"/>
  <c r="AI10" i="5"/>
  <c r="AI85" i="6"/>
  <c r="AI116" i="5"/>
  <c r="AI60" i="59"/>
  <c r="AI59" i="59" s="1"/>
  <c r="AI58" i="5"/>
  <c r="AI69" i="5" l="1"/>
  <c r="AI71" i="5" s="1"/>
  <c r="AI79" i="6"/>
  <c r="AI82" i="6" s="1"/>
  <c r="AI87" i="6" s="1"/>
  <c r="AJ129" i="58"/>
  <c r="AJ128" i="58" s="1"/>
  <c r="AI16" i="5"/>
  <c r="AI27" i="5" s="1"/>
  <c r="AI60" i="5" s="1"/>
  <c r="AI125" i="5"/>
  <c r="AJ58" i="58" l="1"/>
  <c r="AK128" i="58"/>
  <c r="AK130" i="58" l="1"/>
  <c r="AK58" i="58"/>
  <c r="AK59" i="58" s="1"/>
  <c r="AJ61" i="3"/>
  <c r="AJ59" i="58"/>
  <c r="AJ61" i="58" s="1"/>
  <c r="AJ62" i="3" l="1"/>
  <c r="AK61" i="3"/>
  <c r="AK62" i="3" s="1"/>
  <c r="AJ64" i="58"/>
  <c r="AJ64" i="3"/>
  <c r="AK61" i="58"/>
  <c r="AK62" i="58" s="1"/>
  <c r="AJ67" i="3" l="1"/>
  <c r="AJ65" i="3"/>
  <c r="AK64" i="3"/>
  <c r="AK65" i="3" s="1"/>
  <c r="AJ66" i="58"/>
  <c r="AJ75" i="58"/>
  <c r="AJ70" i="58"/>
  <c r="AK67" i="3"/>
  <c r="AK64" i="58"/>
  <c r="AJ78" i="3" l="1"/>
  <c r="AJ73" i="3"/>
  <c r="AJ69" i="3"/>
  <c r="AJ67" i="58"/>
  <c r="AJ68" i="58"/>
  <c r="AJ78" i="58"/>
  <c r="AJ76" i="58"/>
  <c r="AJ92" i="58"/>
  <c r="AJ82" i="58"/>
  <c r="AJ71" i="58"/>
  <c r="AJ72" i="58"/>
  <c r="AK75" i="58"/>
  <c r="AK70" i="58"/>
  <c r="AK71" i="58" s="1"/>
  <c r="AK66" i="58"/>
  <c r="AK67" i="58" s="1"/>
  <c r="AK78" i="3"/>
  <c r="AK73" i="3"/>
  <c r="AK74" i="3" s="1"/>
  <c r="AK69" i="3"/>
  <c r="AK70" i="3" s="1"/>
  <c r="AK84" i="3" l="1"/>
  <c r="AK85" i="3" s="1"/>
  <c r="AK80" i="3"/>
  <c r="AK81" i="3" s="1"/>
  <c r="AK10" i="6"/>
  <c r="AK12" i="6" s="1"/>
  <c r="AK34" i="6" s="1"/>
  <c r="AK36" i="6" s="1"/>
  <c r="AJ84" i="58"/>
  <c r="AJ83" i="58"/>
  <c r="AJ70" i="3"/>
  <c r="AJ71" i="3"/>
  <c r="AJ75" i="3"/>
  <c r="AJ74" i="3"/>
  <c r="AK92" i="58"/>
  <c r="AK82" i="58"/>
  <c r="AK83" i="58" s="1"/>
  <c r="AK76" i="58"/>
  <c r="AK78" i="58"/>
  <c r="AK79" i="58" s="1"/>
  <c r="AJ80" i="58"/>
  <c r="AJ79" i="58"/>
  <c r="AJ10" i="6"/>
  <c r="AJ12" i="6" s="1"/>
  <c r="AJ34" i="6" s="1"/>
  <c r="AJ36" i="6" s="1"/>
  <c r="AJ80" i="3"/>
  <c r="AJ84" i="3"/>
  <c r="AJ56" i="5"/>
  <c r="AJ115" i="5" l="1"/>
  <c r="AJ90" i="6"/>
  <c r="AJ92" i="6" s="1"/>
  <c r="AJ37" i="6"/>
  <c r="AJ75" i="6"/>
  <c r="AJ77" i="6" s="1"/>
  <c r="AJ191" i="59"/>
  <c r="AJ198" i="59" s="1"/>
  <c r="AJ200" i="59" s="1"/>
  <c r="AK191" i="59"/>
  <c r="AK198" i="59" s="1"/>
  <c r="AK37" i="6"/>
  <c r="AK115" i="5"/>
  <c r="AK75" i="6"/>
  <c r="AK77" i="6" s="1"/>
  <c r="AK85" i="6" s="1"/>
  <c r="AK90" i="6"/>
  <c r="AK92" i="6" s="1"/>
  <c r="AJ57" i="5"/>
  <c r="AK56" i="5"/>
  <c r="AK57" i="5" s="1"/>
  <c r="AJ85" i="3"/>
  <c r="AJ86" i="3"/>
  <c r="AJ81" i="3"/>
  <c r="AJ82" i="3"/>
  <c r="AK60" i="59" l="1"/>
  <c r="AK59" i="59" s="1"/>
  <c r="AK58" i="5"/>
  <c r="AJ85" i="6"/>
  <c r="AJ10" i="5"/>
  <c r="AJ60" i="59"/>
  <c r="AJ59" i="59" s="1"/>
  <c r="AJ58" i="5"/>
  <c r="AK116" i="5"/>
  <c r="AG117" i="5"/>
  <c r="AH117" i="5"/>
  <c r="AI117" i="5"/>
  <c r="AJ124" i="5"/>
  <c r="AJ93" i="6"/>
  <c r="AJ138" i="42" s="1"/>
  <c r="AJ136" i="42" s="1"/>
  <c r="AJ183" i="59"/>
  <c r="AJ56" i="59"/>
  <c r="AK56" i="59" s="1"/>
  <c r="AJ201" i="59"/>
  <c r="AK93" i="6"/>
  <c r="AK138" i="42" s="1"/>
  <c r="AK136" i="42" s="1"/>
  <c r="AK124" i="5"/>
  <c r="AJ116" i="5"/>
  <c r="AJ117" i="5"/>
  <c r="AJ79" i="6" l="1"/>
  <c r="AJ82" i="6" s="1"/>
  <c r="AJ87" i="6" s="1"/>
  <c r="AJ16" i="5"/>
  <c r="AJ27" i="5" s="1"/>
  <c r="AJ60" i="5" s="1"/>
  <c r="AK10" i="5"/>
  <c r="AJ69" i="5"/>
  <c r="AJ71" i="5" s="1"/>
  <c r="AK125" i="5"/>
  <c r="AK126" i="5" s="1"/>
  <c r="AG127" i="5"/>
  <c r="AH127" i="5"/>
  <c r="AI127" i="5"/>
  <c r="AJ125" i="5"/>
  <c r="AJ127" i="5"/>
  <c r="AK69" i="5" l="1"/>
  <c r="AK71" i="5" s="1"/>
  <c r="AK79" i="6"/>
  <c r="AK82" i="6" s="1"/>
  <c r="AK87" i="6" s="1"/>
  <c r="AK16" i="5"/>
  <c r="AK27" i="5" s="1"/>
  <c r="AK60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Zhang, Selina [GIR]</author>
  </authors>
  <commentList>
    <comment ref="A1" authorId="0" shapeId="0" xr:uid="{4A2E5B50-6322-4BFC-9C81-41FF95830912}">
      <text>
        <r>
          <rPr>
            <b/>
            <sz val="9"/>
            <color indexed="81"/>
            <rFont val="Tahoma"/>
            <charset val="1"/>
          </rPr>
          <t>&lt;?xml version="1.0" encoding="utf-8"?&gt;&lt;Schema xmlns:xsd="http://www.w3.org/2001/XMLSchema" xmlns:xsi="http://www.w3.org/2001/XMLSchema-instance" Version="2" Timestamp="1763141335"&gt;&lt;FQL&gt;&lt;Q&gt;AVT^FE_ESTIMATE(UFCF,MEAN,CALA_ROLL,2027,45768,,,'')&lt;/Q&gt;&lt;R&gt;0&lt;/R&gt;&lt;C&gt;0&lt;/C&gt;&lt;/FQL&gt;&lt;FQL&gt;&lt;Q&gt;AVT^FE_ESTIMATE(UFCF,MEAN,CALA_ROLL,2024,45768,,,'')&lt;/Q&gt;&lt;R&gt;0&lt;/R&gt;&lt;C&gt;0&lt;/C&gt;&lt;/FQL&gt;&lt;FQL&gt;&lt;Q&gt;AVT^FE_ESTIMATE(UFCF,MEAN,LTM4,,45768,,,'')&lt;/Q&gt;&lt;R&gt;0&lt;/R&gt;&lt;C&gt;0&lt;/C&gt;&lt;/FQL&gt;&lt;FQL&gt;&lt;Q&gt;ARW^FE_ESTIMATE(UFCF,MEAN,CALA_ROLL,2025,45768,,,'')&lt;/Q&gt;&lt;R&gt;0&lt;/R&gt;&lt;C&gt;0&lt;/C&gt;&lt;/FQL&gt;&lt;FQL&gt;&lt;Q&gt;ARW^FE_ESTIMATE(UFCF,MEAN,NTM4,,45768,,,'')&lt;/Q&gt;&lt;R&gt;0&lt;/R&gt;&lt;C&gt;0&lt;/C&gt;&lt;/FQL&gt;&lt;FQL&gt;&lt;Q&gt;SNX^FE_ESTIMATE(UFCF,MEAN,CALA_ROLL,2026,45768,,,'')&lt;/Q&gt;&lt;R&gt;0&lt;/R&gt;&lt;C&gt;0&lt;/C&gt;&lt;/FQL&gt;&lt;FQL&gt;&lt;Q&gt;SNX^FE_ESTIMATE(UFCF,MEAN,CALA_ROLL,2023,45768,,,'')&lt;/Q&gt;&lt;R&gt;0&lt;/R&gt;&lt;C&gt;0&lt;/C&gt;&lt;/FQL&gt;&lt;FQL&gt;&lt;Q&gt;CDW^FE_ESTIMATE(UFCF,MEAN,CALA_ROLL,2027,45768,,,'')&lt;/Q&gt;&lt;R&gt;0&lt;/R&gt;&lt;C&gt;0&lt;/C&gt;&lt;/FQL&gt;&lt;FQL&gt;&lt;Q&gt;CDW^FE_ESTIMATE(UFCF,MEAN,CALA_ROLL,2024,45768,,,'')&lt;/Q&gt;&lt;R&gt;0&lt;/R&gt;&lt;C&gt;0&lt;/C&gt;&lt;/FQL&gt;&lt;FQL&gt;&lt;Q&gt;CDW^FE_ESTIMATE(UFCF,MEAN,LTM4,,45768,,,'')&lt;/Q&gt;&lt;R&gt;0&lt;/R&gt;&lt;C&gt;0&lt;/C&gt;&lt;/FQL&gt;&lt;FQL&gt;&lt;Q&gt;INGM^FE_ESTIMATE(UFCF,MEAN,CALA_ROLL,2025,45768,,,'')&lt;/Q&gt;&lt;R&gt;0&lt;/R&gt;&lt;C&gt;0&lt;/C&gt;&lt;/FQL&gt;&lt;FQL&gt;&lt;Q&gt;INGM^FE_ESTIMATE(UFCF,MEAN,NTM4,,45768,,,'')&lt;/Q&gt;&lt;R&gt;0&lt;/R&gt;&lt;C&gt;0&lt;/C&gt;&lt;/FQL&gt;&lt;FQL&gt;&lt;Q&gt;DOCN^FE_ESTIMATE(UFCF,MEAN,CALA_ROLL,2026,45768,,,'')&lt;/Q&gt;&lt;R&gt;0&lt;/R&gt;&lt;C&gt;0&lt;/C&gt;&lt;/FQL&gt;&lt;FQL&gt;&lt;Q&gt;DOCN^FE_ESTIMATE(UFCF,MEAN,CALA_ROLL,2023,45768,,,'')&lt;/Q&gt;&lt;R&gt;0&lt;/R&gt;&lt;C&gt;0&lt;/C&gt;&lt;/FQL&gt;&lt;FQL&gt;&lt;Q&gt;GOOG^FE_ESTIMATE(UFCF,MEAN,CALA_ROLL,2027,45768,,,'')&lt;/Q&gt;&lt;R&gt;0&lt;/R&gt;&lt;C&gt;0&lt;/C&gt;&lt;/FQL&gt;&lt;FQL&gt;&lt;Q&gt;GOOG^FE_ESTIMATE(UFCF,MEAN,CALA_ROLL,2024,45768,,,'')&lt;/Q&gt;&lt;R&gt;0&lt;/R&gt;&lt;C&gt;0&lt;/C&gt;&lt;/FQL&gt;&lt;FQL&gt;&lt;Q&gt;AVT^FE_ESTIMATE(UFCF,MEAN,CALA_ROLL,2026,45768,,,'')&lt;/Q&gt;&lt;R&gt;0&lt;/R&gt;&lt;C&gt;0&lt;/C&gt;&lt;/FQL&gt;&lt;FQL&gt;&lt;Q&gt;AVT^FE_ESTIMATE(UFCF,MEAN,CALA_ROLL,2023,45768,,,'')&lt;/Q&gt;&lt;R&gt;0&lt;/R&gt;&lt;C&gt;0&lt;/C&gt;&lt;/FQL&gt;&lt;FQL&gt;&lt;Q&gt;ARW^FE_ESTIMATE(UFCF,MEAN,CALA_ROLL,2027,45768,,,'')&lt;/Q&gt;&lt;R&gt;0&lt;/R&gt;&lt;C&gt;0&lt;/C&gt;&lt;/FQL&gt;&lt;FQL&gt;&lt;Q&gt;ARW^FE_ESTIMATE(UFCF,MEAN,CALA_ROLL,2024,45768,,,'')&lt;/Q&gt;&lt;R&gt;0&lt;/R&gt;&lt;C&gt;0&lt;/C&gt;&lt;/FQL&gt;&lt;FQL&gt;&lt;Q&gt;ARW^FE_ESTIMATE(UFCF,MEAN,LTM4,,45768,,,'')&lt;/Q&gt;&lt;R&gt;0&lt;/R&gt;&lt;C&gt;0&lt;/C&gt;&lt;/FQL&gt;&lt;FQL&gt;&lt;Q&gt;SNX^FE_ESTIMATE(UFCF,MEAN,CALA_ROLL,2025,45768,,,'')&lt;/Q&gt;&lt;R&gt;0&lt;/R&gt;&lt;C&gt;0&lt;/C&gt;&lt;/FQL&gt;&lt;FQL&gt;&lt;Q&gt;SNX^FE_ESTIMATE(UFCF,MEAN,NTM4,,45768,,,'')&lt;/Q&gt;&lt;R&gt;0&lt;/R&gt;&lt;C&gt;0&lt;/C&gt;&lt;/FQL&gt;&lt;FQL&gt;&lt;Q&gt;CDW^FE_ESTIMATE(UFCF,MEAN,CALA_ROLL,2026,45768,,,'')&lt;/Q&gt;&lt;R&gt;0&lt;/R&gt;&lt;C&gt;0&lt;/C&gt;&lt;/FQL&gt;&lt;FQL&gt;&lt;Q&gt;CDW^FE_ESTIMATE(UFCF,MEAN,CALA_ROLL,2023,45768,,,'')&lt;/Q&gt;&lt;R&gt;0&lt;/R&gt;&lt;C&gt;0&lt;/C&gt;&lt;/FQL&gt;&lt;FQL&gt;&lt;Q&gt;INGM^FE_ESTIMATE(UFCF,MEAN,CALA_ROLL,2027,45768,,,'')&lt;/Q&gt;&lt;R&gt;0&lt;/R&gt;&lt;C&gt;0&lt;/C&gt;&lt;/FQL&gt;&lt;FQL&gt;&lt;Q&gt;INGM^FE_ESTIMATE(UFCF,MEAN,CALA_ROLL,2024,45768,,,'')&lt;/Q&gt;&lt;R&gt;0&lt;/R&gt;&lt;C&gt;0&lt;/C&gt;&lt;/FQL&gt;&lt;FQL&gt;&lt;Q&gt;INGM^FE_ESTIMATE(UFCF,MEAN,LTM4,,45768,,,'')&lt;/Q&gt;&lt;R&gt;0&lt;/R&gt;&lt;C&gt;0&lt;/C&gt;&lt;/FQL&gt;&lt;FQL&gt;&lt;Q&gt;AVT^FE_ESTIMATE(UFCF,MEAN,CALA_ROLL,2025,45768,,,'')&lt;/Q&gt;&lt;R&gt;0&lt;/R&gt;&lt;C&gt;0&lt;/C&gt;&lt;/FQL&gt;&lt;FQL&gt;&lt;Q&gt;SNX^FE_ESTIMATE(UFCF,MEAN,LTM4,,45768,,,'')&lt;/Q&gt;&lt;R&gt;0&lt;/R&gt;&lt;C&gt;0&lt;/C&gt;&lt;/FQL&gt;&lt;FQL&gt;&lt;Q&gt;DOCN^FE_ESTIMATE(UFCF,MEAN,CALA_ROLL,2025,45768,,,'')&lt;/Q&gt;&lt;R&gt;0&lt;/R&gt;&lt;C&gt;0&lt;/C&gt;&lt;/FQL&gt;&lt;FQL&gt;&lt;Q&gt;GOOG^FE_ESTIMATE(UFCF,MEAN,CALA_ROLL,2023,45768,,,'')&lt;/Q&gt;&lt;R&gt;0&lt;/R&gt;&lt;C&gt;0&lt;/C&gt;&lt;/FQL&gt;&lt;FQL&gt;&lt;Q&gt;AMZN^FE_ESTIMATE(UFCF,MEAN,CALA_ROLL,2024,45768,,,'')&lt;/Q&gt;&lt;R&gt;0&lt;/R&gt;&lt;C&gt;0&lt;/C&gt;&lt;/FQL&gt;&lt;FQL&gt;&lt;Q&gt;ORCL^FE_ESTIMATE(UFCF,MEAN,CALA_ROLL,2025,45768,,,'')&lt;/Q&gt;&lt;R&gt;0&lt;/R&gt;&lt;C&gt;0&lt;/C&gt;&lt;/FQL&gt;&lt;FQL&gt;&lt;Q&gt;IBM^FE_ESTIMATE(UFCF,MEAN,CALA_ROLL,2026,45768,,,'')&lt;/Q&gt;&lt;R&gt;0&lt;/R&gt;&lt;C&gt;0&lt;/C&gt;&lt;/FQL&gt;&lt;FQL&gt;&lt;Q&gt;EQIX^FE_ESTIMATE(UFCF,MEAN,CALA_ROLL,2027,45768,,,'')&lt;/Q&gt;&lt;R&gt;1&lt;/R&gt;&lt;C&gt;1&lt;/C&gt;&lt;D xsi:type="xsd:double"&gt;1939.7&lt;/D&gt;&lt;/FQL&gt;&lt;FQL&gt;&lt;Q&gt;EQIX^FE_ESTIMATE(UFCF,MEAN,LTM4,,45768,,,'')&lt;/Q&gt;&lt;R&gt;0&lt;/R&gt;&lt;C&gt;0&lt;/C&gt;&lt;/FQL&gt;&lt;FQL&gt;&lt;Q&gt;DLR^FE_ESTIMATE(UFCF,MEAN,NTM4,,45768,,,'')&lt;/Q&gt;&lt;R&gt;1&lt;/R&gt;&lt;C&gt;1&lt;/C&gt;&lt;D xsi:type="xsd:double"&gt;-767.2&lt;/D&gt;&lt;/FQL&gt;&lt;FQL&gt;&lt;Q&gt;NVDA^FE_ESTIMATE(UFCF,MEAN,CALA_ROLL,2023,45768,,,'')&lt;/Q&gt;&lt;R&gt;0&lt;/R&gt;&lt;C&gt;0&lt;/C&gt;&lt;/FQL&gt;&lt;FQL&gt;&lt;Q&gt;MSFT^FE_ESTIMATE(UFCF,MEAN,CALA_ROLL,2024,45768,,,'')&lt;/Q&gt;&lt;R&gt;0&lt;/R&gt;&lt;C&gt;0&lt;/C&gt;&lt;/FQL&gt;&lt;FQL&gt;&lt;Q&gt;AVT^FE_ESTIMATE(FCF,MEAN,CAL4,2025,45768,,,'')&lt;/Q&gt;&lt;R&gt;0&lt;/R&gt;&lt;C&gt;0&lt;/C&gt;&lt;/FQL&gt;&lt;FQL&gt;&lt;Q&gt;ARW^FE_ESTIMATE(FCF,MEAN,CAL4,2026,45768,,,'')&lt;/Q&gt;&lt;R&gt;0&lt;/R&gt;&lt;C&gt;0&lt;/C&gt;&lt;/FQL&gt;&lt;FQL&gt;&lt;Q&gt;SNX^FE_ESTIMATE(FCF,MEAN,CAL4,2027,45768,,,'')&lt;/Q&gt;&lt;R&gt;0&lt;/R&gt;&lt;C&gt;0&lt;/C&gt;&lt;/FQL&gt;&lt;FQL&gt;&lt;Q&gt;SNX^FE_ESTIMATE(FCF,MEAN,LTM4,,45768,,,'')&lt;/Q&gt;&lt;R&gt;1&lt;/R&gt;&lt;C&gt;1&lt;/C&gt;&lt;D xsi:type="xsd:double"&gt;-90.531&lt;/D&gt;&lt;/FQL&gt;&lt;FQL&gt;&lt;Q&gt;CDW^FE_ESTIMATE(FCF,MEAN,NTM4,,45768,,,'')&lt;/Q&gt;&lt;R&gt;0&lt;/R&gt;&lt;C&gt;0&lt;/C&gt;&lt;/FQL&gt;&lt;FQL&gt;&lt;Q&gt;INGM^FE_ESTIMATE(FCF,MEAN,CAL4,2023,45768,,,'')&lt;/Q&gt;&lt;R&gt;0&lt;/R&gt;&lt;C&gt;0&lt;/C&gt;&lt;/FQL&gt;&lt;FQL&gt;&lt;Q&gt;DOCN^FE_ESTIMATE(FCF,MEAN,CAL4,2024,45768,,,'')&lt;/Q&gt;&lt;R&gt;1&lt;/R&gt;&lt;C&gt;1&lt;/C&gt;&lt;D xsi:type="xsd:double"&gt;134.283&lt;/D&gt;&lt;/FQL&gt;&lt;FQL&gt;&lt;Q&gt;GOOG^FE_ESTIMATE(FCF,MEAN,CAL4,2025,45768,,,'')&lt;/Q&gt;&lt;R&gt;1&lt;/R&gt;&lt;C&gt;1&lt;/C&gt;&lt;D xsi:type="xsd:double"&gt;74011.04&lt;/D&gt;&lt;/FQL&gt;&lt;FQL&gt;&lt;Q&gt;AMZN^FE_ESTIMATE(FCF,MEAN,CAL4,2026,45768,,,'')&lt;/Q&gt;&lt;R&gt;1&lt;/R&gt;&lt;C&gt;1&lt;/C&gt;&lt;D xsi:type="xsd:double"&gt;56435.3&lt;/D&gt;&lt;/FQL&gt;&lt;FQL&gt;&lt;Q&gt;ORCL^FE_ESTIMATE(FCF,MEAN,CALA_ROLL,2027,45768,,,'')&lt;/Q&gt;&lt;R&gt;1&lt;/R&gt;&lt;C&gt;1&lt;/C&gt;&lt;D xsi:type="xsd:double"&gt;21013.885&lt;/D&gt;&lt;/FQL&gt;&lt;FQL&gt;&lt;Q&gt;ORCL^FE_ESTIMATE(FCF,MEAN,LTM4,,45768,,,'')&lt;/Q&gt;&lt;R&gt;1&lt;/R&gt;&lt;C&gt;1&lt;/C&gt;&lt;D xsi:type="xsd:double"&gt;5869.091&lt;/D&gt;&lt;/FQL&gt;&lt;FQL&gt;&lt;Q&gt;IBM^FE_ESTIMATE(FCF,MEAN,NTM4,,45768,,,'')&lt;/Q&gt;&lt;R&gt;1&lt;/R&gt;&lt;C&gt;1&lt;/C&gt;&lt;D xsi:type="xsd:double"&gt;13474.25&lt;/D&gt;&lt;/FQL&gt;&lt;FQL&gt;&lt;Q&gt;EQIX^FE_ESTIMATE(FCF,MEAN,CAL4,2023,45768,,,'')&lt;/Q&gt;&lt;R&gt;1&lt;/R&gt;&lt;C&gt;1&lt;/C&gt;&lt;D xsi:type="xsd:double"&gt;1506.067&lt;/D&gt;&lt;/FQL&gt;&lt;FQL&gt;&lt;Q&gt;DLR^FE_ESTIMATE(FCF,MEAN,CALA_ROLL,2024,45768,,,'')&lt;/Q&gt;&lt;R&gt;1&lt;/R&gt;&lt;C&gt;1&lt;/C&gt;&lt;D xsi:type="xsd:double"&gt;772.316&lt;/D&gt;&lt;/FQL&gt;&lt;FQL&gt;&lt;Q&gt;NVDA^FE_ESTIMATE(FCF,MEAN,CAL4,2025,45768,,,'')&lt;/Q&gt;&lt;R&gt;1&lt;/R&gt;&lt;C&gt;1&lt;/C&gt;&lt;D xsi:type="xsd:double"&gt;97336.16&lt;/D&gt;&lt;/FQL&gt;&lt;FQL&gt;&lt;Q&gt;MSFT^FE_ESTIMATE(FCF,MEAN,CALA_ROLL,2026,45768,,,'')&lt;/Q&gt;&lt;R&gt;1&lt;/R&gt;&lt;C&gt;1&lt;/C&gt;&lt;D xsi:type="xsd:double"&gt;86291.08&lt;/D&gt;&lt;/FQL&gt;&lt;FQL&gt;&lt;Q&gt;AVT^FE_ESTIMATE(EPS_GAAP,MEAN,CAL4,2027,45768,,,'')&lt;/Q&gt;&lt;R&gt;0&lt;/R&gt;&lt;C&gt;0&lt;/C&gt;&lt;/FQL&gt;&lt;FQL&gt;&lt;Q&gt;AVT^FE_ESTIMATE(EPS_GAAP,MEAN,LTM4,,45768,,,'')&lt;/Q&gt;&lt;R&gt;1&lt;/R&gt;&lt;C&gt;1&lt;/C&gt;&lt;D xsi:type="xsd:double"&gt;3.53&lt;/D&gt;&lt;/FQL&gt;&lt;FQL&gt;&lt;Q&gt;ARW^FE_ESTIMATE(EPS_GAAP,MEAN,NTM4,,45768,,,'')&lt;/Q&gt;&lt;R&gt;1&lt;/R&gt;&lt;C&gt;1&lt;/C&gt;&lt;D xsi:type="xsd:double"&gt;8.47&lt;/D&gt;&lt;/FQL&gt;&lt;FQL&gt;&lt;Q&gt;SNX^FE_ESTIMATE(EPS_GAAP,MEAN,CAL4,2023,45768,,,'')&lt;/Q&gt;&lt;R&gt;1&lt;/R&gt;&lt;C&gt;1&lt;/C&gt;&lt;D xsi:type="xsd:double"&gt;6.71&lt;/D&gt;&lt;/FQL&gt;&lt;FQL&gt;&lt;Q&gt;CDW^FE_ESTIMATE(EPS_GAAP,MEAN,CAL4,2024,45768,,,'')&lt;/Q&gt;&lt;R&gt;1&lt;/R&gt;&lt;C&gt;1&lt;/C&gt;&lt;D xsi:type="xsd:double"&gt;7.97&lt;/D&gt;&lt;/FQL&gt;&lt;FQL&gt;&lt;Q&gt;INGM^FE_ESTIMATE(EPS_GAAP,MEAN,CAL4,2025,45768,,,'')&lt;/Q&gt;&lt;R&gt;1&lt;/R&gt;&lt;C&gt;1&lt;/C&gt;&lt;D xsi:type="xsd:double"&gt;2.3541336&lt;/D&gt;&lt;/FQL&gt;&lt;FQL&gt;&lt;Q&gt;DOCN^FE_ESTIMATE(EPS_GAAP,MEAN,CALA_ROLL,2027,45768,,,'')&lt;/Q&gt;&lt;R&gt;1&lt;/R&gt;&lt;C&gt;1&lt;/C&gt;&lt;D xsi:type="xsd:double"&gt;1.506618&lt;/D&gt;&lt;/FQL&gt;&lt;FQL&gt;&lt;Q&gt;DOCN^FE_ESTIMATE(EPS_GAAP,MEAN,CAL4,2023,45768,,,'')&lt;/Q&gt;&lt;R&gt;1&lt;/R&gt;&lt;C&gt;1&lt;/C&gt;&lt;D xsi:type="xsd:double"&gt;0.013333334&lt;/D&gt;&lt;/FQL&gt;&lt;FQL&gt;&lt;Q&gt;AVT^FE_ESTIMATE(UFCF,MEAN,NTM4,,45768,,,'')&lt;/Q&gt;&lt;R&gt;0&lt;/R&gt;&lt;C&gt;0&lt;/C&gt;&lt;/FQL&gt;&lt;FQL&gt;&lt;Q&gt;CDW^FE_ESTIMATE(UFCF,MEAN,CALA_ROLL,2025,45768,,,'')&lt;/Q&gt;&lt;R&gt;0&lt;/R&gt;&lt;C&gt;0&lt;/C&gt;&lt;/FQL&gt;&lt;FQL&gt;&lt;Q&gt;DOCN^FE_ESTIMATE(UFCF,MEAN,CALA_ROLL,2024,45768,,,'')&lt;/Q&gt;&lt;R&gt;0&lt;/R&gt;&lt;C&gt;0&lt;/C&gt;&lt;/FQL&gt;&lt;FQL&gt;&lt;Q&gt;GOOG^FE_ESTIMATE(UFCF,MEAN,NTM4,,45768,,,'')&lt;/Q&gt;&lt;R&gt;0&lt;/R&gt;&lt;C&gt;0&lt;/C&gt;&lt;/FQL&gt;&lt;FQL&gt;&lt;Q&gt;AMZN^FE_ESTIMATE(UFCF,MEAN,CALA_ROLL,2023,45768,,,'')&lt;/Q&gt;&lt;R&gt;0&lt;/R&gt;&lt;C&gt;0&lt;/C&gt;&lt;/FQL&gt;&lt;FQL&gt;&lt;Q&gt;ORCL^FE_ESTIMATE(UFCF,MEAN,CALA_ROLL,2024,45768,,,'')&lt;/Q&gt;&lt;R&gt;0&lt;/R&gt;&lt;C&gt;0&lt;/C&gt;&lt;/FQL&gt;&lt;FQL&gt;&lt;Q&gt;IBM^FE_ESTIMATE(UFCF,MEAN,CALA_ROLL,2025,45768,,,'')&lt;/Q&gt;&lt;R&gt;0&lt;/R&gt;&lt;C&gt;0&lt;/C&gt;&lt;/FQL&gt;&lt;FQL&gt;&lt;Q&gt;EQIX^FE_ESTIMATE(UFCF,MEAN,CALA_ROLL,2026,45768,,,'')&lt;/Q&gt;&lt;R&gt;1&lt;/R&gt;&lt;C&gt;1&lt;/C&gt;&lt;D xsi:type="xsd:double"&gt;1550.1&lt;/D&gt;&lt;/FQL&gt;&lt;FQL&gt;&lt;Q&gt;DLR^FE_ESTIMATE(UFCF,MEAN,CALA_ROLL,2027,45768,,,'')&lt;/Q&gt;&lt;R&gt;1&lt;/R&gt;&lt;C&gt;1&lt;/C&gt;&lt;D xsi:type="xsd:double"&gt;31.7&lt;/D&gt;&lt;/FQL&gt;&lt;FQL&gt;&lt;Q&gt;DLR^FE_ESTIMATE(UFCF,MEAN,LTM4,,45768,,,'')&lt;/Q&gt;&lt;R&gt;0&lt;/R&gt;&lt;C&gt;0&lt;/C&gt;&lt;/FQL&gt;&lt;FQL&gt;&lt;Q&gt;NVDA^FE_ESTIMATE(UFCF,MEAN,NTM4,,45768,,,'')&lt;/Q&gt;&lt;R&gt;0&lt;/R&gt;&lt;C&gt;0&lt;/C&gt;&lt;/FQL&gt;&lt;FQL&gt;&lt;Q&gt;MSFT^FE_ESTIMATE(UFCF,MEAN,CALA_ROLL,2023,45768,,,'')&lt;/Q&gt;&lt;R&gt;0&lt;/R&gt;&lt;C&gt;0&lt;/C&gt;&lt;/FQL&gt;&lt;FQL&gt;&lt;Q&gt;AVT^FE_ESTIMATE(FCF,MEAN,CAL4,2024,45768,,,'')&lt;/Q&gt;&lt;R&gt;0&lt;/R&gt;&lt;C&gt;0&lt;/C&gt;&lt;/FQL&gt;&lt;FQL&gt;&lt;Q&gt;ARW^FE_ESTIMATE(FCF,MEAN,CAL4,2025,45768,,,'')&lt;/Q&gt;&lt;R&gt;0&lt;/R&gt;&lt;C&gt;0&lt;/C&gt;&lt;/FQL&gt;&lt;FQL&gt;&lt;Q&gt;SNX^FE_ESTIMATE(FCF,MEAN,CAL4,2026,45768,,,'')&lt;/Q&gt;&lt;R&gt;1&lt;/R&gt;&lt;C&gt;1&lt;/C&gt;&lt;D xsi:type="xsd:double"&gt;1054.8&lt;/D&gt;&lt;/FQL&gt;&lt;FQL&gt;&lt;Q&gt;CDW^FE_ESTIMATE(FCF,MEAN,CAL4,2027,45768,,,'')&lt;/Q&gt;&lt;R&gt;0&lt;/R&gt;&lt;C&gt;0&lt;/C&gt;&lt;/FQL&gt;&lt;FQL&gt;&lt;Q&gt;CDW^FE_ESTIMATE(FCF,MEAN,LTM4,,45768,,,'')&lt;/Q&gt;&lt;R&gt;0&lt;/R&gt;&lt;C&gt;0&lt;/C&gt;&lt;/FQL&gt;&lt;FQL&gt;&lt;Q&gt;INGM^FE_ESTIMATE(FCF,MEAN,NTM4,,45768,,,'')&lt;/Q&gt;&lt;R&gt;1&lt;/R&gt;&lt;C&gt;1&lt;/C&gt;&lt;D xsi:type="xsd:double"&gt;331.5&lt;/D&gt;&lt;/FQL&gt;&lt;FQL&gt;&lt;Q&gt;DOCN^FE_ESTIMATE(FCF,MEAN,CAL4,2023,45768,,,'')&lt;/Q&gt;&lt;R&gt;1&lt;/R&gt;&lt;C&gt;1&lt;/C&gt;&lt;D xsi:type="xsd:double"&gt;155.752&lt;/D&gt;&lt;/FQL&gt;&lt;FQL&gt;&lt;Q&gt;GOOG^FE_ESTIMATE(FCF,MEAN,CAL4,2024,45768,,,'')&lt;/Q&gt;&lt;R&gt;1&lt;/R&gt;&lt;C&gt;1&lt;/C&gt;&lt;D xsi:type="xsd:double"&gt;73062&lt;/D&gt;&lt;/FQL&gt;&lt;FQL&gt;&lt;Q&gt;AMZN^FE_ESTIMATE(FCF,MEAN,CAL4,2025,45768,,,'')&lt;/Q&gt;&lt;R&gt;1&lt;/R&gt;&lt;C&gt;1&lt;/C&gt;&lt;D xsi:type="xsd:double"&gt;44501.56&lt;/D&gt;&lt;/FQL&gt;&lt;FQL&gt;&lt;Q&gt;ORCL^FE_ESTIMATE(FCF,MEAN,CAL4,2026,45768,,,'')&lt;/Q&gt;&lt;R&gt;1&lt;/R&gt;&lt;C&gt;1&lt;/C&gt;&lt;D xsi:type="xsd:double"&gt;11210.53&lt;/D&gt;&lt;/FQL&gt;&lt;FQL&gt;&lt;Q&gt;IBM^FE_ESTIMATE(FCF,MEAN,CALA_ROLL,2027,45768,,,'')&lt;/Q&gt;&lt;R&gt;1&lt;/R&gt;&lt;C&gt;1&lt;/C&gt;&lt;D xsi:type="xsd:double"&gt;15550.75&lt;/D&gt;&lt;/FQL&gt;&lt;FQL&gt;&lt;Q&gt;IBM^FE_ESTIMATE(FCF,MEAN,LTM4,,45768,,,'')&lt;/Q&gt;&lt;R&gt;1&lt;/R&gt;&lt;C&gt;1&lt;/C&gt;&lt;D xsi:type="xsd:double"&gt;12749&lt;/D&gt;&lt;/FQL&gt;&lt;FQL&gt;&lt;Q&gt;EQIX^FE_ESTIMATE(FCF,MEAN,NTM4,,45768,,,'')&lt;/Q&gt;&lt;R&gt;1&lt;/R&gt;&lt;C&gt;1&lt;/C&gt;&lt;D xsi:type="xsd:double"&gt;545.22064&lt;/D&gt;&lt;/FQL&gt;&lt;FQL&gt;&lt;Q&gt;DLR^FE_ESTIMATE(FCF,MEAN,CALA_ROLL,2023,45768,,,'')&lt;/Q&gt;&lt;R&gt;1&lt;/R&gt;&lt;C&gt;1&lt;/C&gt;&lt;D xsi:type="xsd:double"&gt;-1867.194&lt;/D&gt;&lt;/FQL&gt;&lt;FQL&gt;&lt;Q&gt;NVDA^FE_ESTIMATE(FCF,MEAN,CAL4,2024,45768,,,'')&lt;/Q&gt;&lt;R&gt;1&lt;/R&gt;&lt;C&gt;1&lt;/C&gt;&lt;D xsi:type="xsd:double"&gt;62019.04&lt;/D&gt;&lt;/FQL&gt;&lt;FQL&gt;&lt;Q&gt;MSFT^FE_ESTIMATE(FCF,MEAN,CAL4,2025,45768,,,'')&lt;/Q&gt;&lt;R&gt;1&lt;/R&gt;&lt;C&gt;1&lt;/C&gt;&lt;D xsi:type="xsd:double"&gt;79667.38&lt;/D&gt;&lt;/FQL&gt;&lt;FQL&gt;&lt;Q&gt;AVT^FE_ESTIMATE(EPS_GAAP,MEAN,CAL4,2026,45768,,,'')&lt;/Q&gt;&lt;R&gt;0&lt;/R&gt;&lt;C&gt;0&lt;/C&gt;&lt;/FQL&gt;&lt;FQL&gt;&lt;Q&gt;ARW^FE_ESTIMATE(EPS_GAAP,MEAN,CALA_ROLL,2027,45768,,,'')&lt;/Q&gt;&lt;R&gt;0&lt;/R&gt;&lt;C&gt;0&lt;/C&gt;&lt;/FQL&gt;&lt;FQL&gt;&lt;Q&gt;ARW^FE_ESTIMATE(EPS_GAAP,MEAN,LTM4,,45768,,,'')&lt;/Q&gt;&lt;R&gt;1&lt;/R&gt;&lt;C&gt;1&lt;/C&gt;&lt;D xsi:type="xsd:double"&gt;7.28&lt;/D&gt;&lt;/FQL&gt;&lt;FQL&gt;&lt;Q&gt;SNX^FE_ESTIMATE(EPS_GAAP,MEAN,NTM4,,45768,,,'')&lt;/Q&gt;&lt;R&gt;1&lt;/R&gt;&lt;C&gt;1&lt;/C&gt;&lt;D xsi:type="xsd:double"&gt;8.93605&lt;/D&gt;&lt;/FQL&gt;&lt;FQL&gt;&lt;Q&gt;CDW^FE_ESTIMATE(EPS_GAAP,MEAN,CAL4,2023,45768,,,'')&lt;/Q&gt;&lt;R&gt;1&lt;/R&gt;&lt;C&gt;1&lt;/C&gt;&lt;D xsi:type="xsd:double"&gt;8.1&lt;/D&gt;&lt;/FQL&gt;&lt;FQL&gt;&lt;Q&gt;INGM^FE_ESTIMATE(EPS_GAAP,MEAN,CAL4,2024,45768,,,'')&lt;/Q&gt;&lt;R&gt;0&lt;/R&gt;&lt;C&gt;0&lt;/C&gt;&lt;/FQL&gt;&lt;FQL&gt;&lt;Q&gt;DOCN^FE_ESTIMATE(EPS_GAAP,MEAN,NTM4,,45768,,,'')&lt;/Q&gt;&lt;R&gt;1&lt;/R&gt;&lt;C&gt;1&lt;/C&gt;&lt;D xsi:type="xsd:double"&gt;0.86657476&lt;/D&gt;&lt;/FQL&gt;&lt;FQL&gt;&lt;Q&gt;AMZN^FE_ESTIMATE(EPS_GAAP,MEAN,CALA_ROLL,2027,45768,,,'')&lt;/Q&gt;&lt;R&gt;1&lt;/R&gt;&lt;C&gt;1&lt;/C&gt;&lt;D xsi:type="xsd:double"&gt;9.318919&lt;/D&gt;&lt;/FQL&gt;&lt;FQL&gt;&lt;Q&gt;ORCL^FE_ESTIMATE(EPS_GAAP,MEAN,CAL4,2025,45768,,,'')&lt;/Q&gt;&lt;R&gt;1&lt;/R&gt;&lt;C&gt;1&lt;/C&gt;&lt;D xsi:type="xsd:double"&gt;4.409199&lt;/D&gt;&lt;/FQL&gt;&lt;FQL&gt;&lt;Q&gt;ORCL^FE_ESTIMATE(EPS_GAAP,MEAN,NTM4,,45768,,,'')&lt;/Q&gt;&lt;R&gt;1&lt;/R&gt;&lt;C&gt;1&lt;/C&gt;&lt;D xsi:type="xsd:double"&gt;4.5917344&lt;/D&gt;&lt;/FQL&gt;&lt;FQL&gt;&lt;Q&gt;IBM^FE_ESTIMATE(EPS_GAAP,MEAN,CALA_ROLL,2026,45768,,,'')&lt;/Q&gt;&lt;R&gt;1&lt;/R&gt;&lt;C&gt;1&lt;/C&gt;&lt;D xsi:type="xsd:double"&gt;9.77&lt;/D&gt;&lt;/FQL&gt;&lt;FQL&gt;&lt;Q&gt;IBM^FE_ESTIMATE(EPS_GAAP,MEAN,CAL4,2023,45768,,,'')&lt;/Q&gt;&lt;R&gt;1&lt;/R&gt;&lt;C&gt;1&lt;/C&gt;&lt;D xsi:type="xsd:double"&gt;8.14&lt;/D&gt;&lt;/FQL&gt;&lt;FQL&gt;&lt;Q&gt;EQIX^FE_ESTIMATE(EPS_GAAP,MEAN,CALA_ROLL,2027,45768,,,'')&lt;/Q&gt;&lt;R&gt;1&lt;/R&gt;&lt;C&gt;1&lt;/C&gt;&lt;D xsi:type="xsd:double"&gt;16.402773&lt;/D&gt;&lt;/FQL&gt;&lt;FQL&gt;&lt;Q&gt;EQIX^FE_ESTIMATE(EPS_GAAP,MEAN,CAL4,2024,45768,,,'')&lt;/Q&gt;&lt;R&gt;1&lt;/R&gt;&lt;C&gt;1&lt;/C&gt;&lt;D xsi:type="xsd:double"&gt;8.55&lt;/D&gt;&lt;/FQL&gt;&lt;FQL&gt;&lt;Q&gt;EQIX^FE_ESTIMATE(EPS_GAAP,MEAN,LTM4,,45768,,,'')&lt;/Q&gt;&lt;R&gt;1&lt;/R&gt;&lt;C&gt;1&lt;/C&gt;&lt;D xsi:type="xsd:double"&gt;8.55&lt;/D&gt;&lt;/FQL&gt;&lt;FQL&gt;&lt;Q&gt;DLR^FE_ESTIMATE(EPS_GAAP,MEAN,CAL4,2025,45768,,,'')&lt;/Q&gt;&lt;R&gt;1&lt;/R&gt;&lt;C&gt;1&lt;/C&gt;&lt;D xsi:type="xsd:double"&gt;1.3446112&lt;/D&gt;&lt;/FQL&gt;&lt;FQL&gt;&lt;Q&gt;DLR^FE_ESTIMATE(EPS_GAAP,MEAN,NTM4,,45768,,,'')&lt;/Q&gt;&lt;R&gt;1&lt;/R&gt;&lt;C&gt;1&lt;/C&gt;&lt;D xsi:type="xsd:double"&gt;1.3446112&lt;/D&gt;&lt;/FQL&gt;&lt;FQL&gt;&lt;Q&gt;NVDA^FE_ESTIMATE(EPS_GAAP,MEAN,CAL4,2026,45768,,,'')&lt;/Q&gt;&lt;R&gt;1&lt;/R&gt;&lt;C&gt;1&lt;/C&gt;&lt;D xsi:type="xsd:double"&gt;5.500566&lt;/D&gt;&lt;/FQL&gt;&lt;FQL&gt;&lt;Q&gt;NVDA^FE_ESTIMATE(EPS_GAAP,MEAN,CAL4,2023,45768,,,'')&lt;/Q&gt;&lt;R&gt;1&lt;/R&gt;&lt;C&gt;1&lt;/C&gt;&lt;D xsi:type="xsd:double"&gt;1.194&lt;/D&gt;&lt;/FQL&gt;&lt;FQL&gt;&lt;Q&gt;MSFT^FE_ESTIMATE(EPS_GAAP,MEAN,CALA_ROLL,2027,45768,,,'')&lt;/Q&gt;&lt;R&gt;1&lt;/R&gt;&lt;C&gt;1&lt;/C&gt;&lt;D xsi:type="xsd:double"&gt;18.852585&lt;/D&gt;&lt;/FQL&gt;&lt;FQL&gt;&lt;Q&gt;MSFT^FE_ESTIMATE(EPS_GAAP,MEAN,CAL4,2024,45768,,,'')&lt;/Q&gt;&lt;R&gt;1&lt;/R&gt;&lt;C&gt;1&lt;/C&gt;&lt;D xsi:type="xsd:double"&gt;12.42&lt;/D&gt;&lt;/FQL&gt;&lt;FQL&gt;&lt;Q&gt;MSFT^FE_ESTIMATE(EPS_GAAP,MEAN,LTM4,,45768,,,'')&lt;/Q&gt;&lt;R&gt;1&lt;/R&gt;&lt;C&gt;1&lt;/C&gt;&lt;D xsi:type="xsd:double"&gt;12.42&lt;/D&gt;&lt;/FQL&gt;&lt;FQL&gt;&lt;Q&gt;DOCN^FE_ESTIMATE(EBITDA,MEAN,CAL4,2025,45768,,,'')&lt;/Q&gt;&lt;R&gt;1&lt;/R&gt;&lt;C&gt;1&lt;/C&gt;&lt;D xsi:type="xsd:double"&gt;347.00195&lt;/D&gt;&lt;/FQL&gt;&lt;FQL&gt;&lt;Q&gt;DOCN^FE_ESTIMATE(EBITDA,MEAN,NTM4,,45768,,,'')&lt;/Q&gt;&lt;R&gt;1&lt;/R&gt;&lt;C&gt;1&lt;/C&gt;&lt;D xsi:type="xsd:double"&gt;347.00195&lt;/D&gt;&lt;/FQL&gt;&lt;FQL&gt;&lt;Q&gt;GOOG^FE_ESTIMATE(EBITDA,MEAN,CAL4,2026,45768,,,'')&lt;/Q&gt;&lt;R&gt;1&lt;/R&gt;&lt;C&gt;1&lt;/C&gt;&lt;D xsi:type="xsd:double"&gt;193525.34&lt;/D&gt;&lt;/FQL&gt;&lt;FQL&gt;&lt;Q&gt;GOOG^FE_ESTIMATE(EBITDA,MEAN,CAL4,2023,45768,,,'')&lt;/Q&gt;&lt;R&gt;1&lt;/R&gt;&lt;C&gt;1&lt;/C&gt;&lt;D xsi:type="xsd:double"&gt;122063.59&lt;/D&gt;&lt;/FQL&gt;&lt;FQL&gt;&lt;Q&gt;AMZN^FE_ESTIMATE(EBITDA,MEAN,CALA_ROLL,2027,45768,,,'')&lt;/Q&gt;&lt;R&gt;1&lt;/R&gt;&lt;C&gt;1&lt;/C&gt;&lt;D xsi:type="xsd:double"&gt;233091.52&lt;/D&gt;&lt;/FQL&gt;&lt;FQL&gt;&lt;Q&gt;AMZN^FE_ESTIMATE(EBITDA,MEAN,CAL4,2024,45768,,,'')&lt;/Q&gt;&lt;R&gt;1&lt;/R&gt;&lt;C&gt;1&lt;/C&gt;&lt;D xsi:type="xsd:double"&gt;143499.7&lt;/D&gt;&lt;/FQL&gt;&lt;FQL&gt;&lt;Q&gt;AMZN^FE_ESTIMATE(EBITDA,MEAN,LTM4,,45768,,,'')&lt;/Q&gt;&lt;R&gt;1&lt;/R&gt;&lt;C&gt;1&lt;/C&gt;&lt;D xsi:type="xsd:double"&gt;143499.7&lt;/D&gt;&lt;/FQL&gt;&lt;FQL&gt;&lt;Q&gt;ARW^FE_ESTIMATE(UFCF,MEAN,CALA_ROLL,2026,45768,,,'')&lt;/Q&gt;&lt;R&gt;0&lt;/R&gt;&lt;C&gt;0&lt;/C&gt;&lt;/FQL&gt;&lt;FQL&gt;&lt;Q&gt;CDW^FE_ESTIMATE(UFCF,MEAN,NTM4,,45768,,,'')&lt;/Q&gt;&lt;R&gt;0&lt;/R&gt;&lt;C&gt;0&lt;/C&gt;&lt;/FQL&gt;&lt;FQL&gt;&lt;Q&gt;DOCN^FE_ESTIMATE(UFCF,MEAN,NTM4,,45768,,,'')&lt;/Q&gt;&lt;R&gt;0&lt;/R&gt;&lt;C&gt;0&lt;/C&gt;&lt;/FQL&gt;&lt;FQL&gt;&lt;Q&gt;GOOG^FE_ESTIMATE(UFCF,MEAN,LTM4,,45768,,,'')&lt;/Q&gt;&lt;R&gt;0&lt;/R&gt;&lt;C&gt;0&lt;/C&gt;&lt;/FQL&gt;&lt;FQL&gt;&lt;Q&gt;AMZN^FE_ESTIMATE(UFCF,MEAN,NTM4,,45768,,,'')&lt;/Q&gt;&lt;R&gt;0&lt;/R&gt;&lt;C&gt;0&lt;/C&gt;&lt;/FQL&gt;&lt;FQL&gt;&lt;Q&gt;ORCL^FE_ESTIMATE(UFCF,MEAN,CALA_ROLL,2023,45768,,,'')&lt;/Q&gt;&lt;R&gt;1&lt;/R&gt;&lt;C&gt;1&lt;/C&gt;&lt;D xsi:type="xsd:double"&gt;13482.341&lt;/D&gt;&lt;/FQL&gt;&lt;FQL&gt;&lt;Q&gt;IBM^FE_ESTIMATE(UFCF,MEAN,CALA_ROLL,2024,45768,,,'')&lt;/Q&gt;&lt;R&gt;0&lt;/R&gt;&lt;C&gt;0&lt;/C&gt;&lt;/FQL&gt;&lt;FQL&gt;&lt;Q&gt;EQIX^FE_ESTIMATE(UFCF,MEAN,CALA_ROLL,2025,45768,,,'')&lt;/Q&gt;&lt;R&gt;1&lt;/R&gt;&lt;C&gt;1&lt;/C&gt;&lt;D xsi:type="xsd:double"&gt;1379.2&lt;/D&gt;&lt;/FQL&gt;&lt;FQL&gt;&lt;Q&gt;DLR^FE_ESTIMATE(UFCF,MEAN,CALA_ROLL,2026,45768,,,'')&lt;/Q&gt;&lt;R&gt;1&lt;/R&gt;&lt;C&gt;1&lt;/C&gt;&lt;D xsi:type="xsd:double"&gt;-548.2&lt;/D&gt;&lt;/FQL&gt;&lt;FQL&gt;&lt;Q&gt;NVDA^FE_ESTIMATE(UFCF,MEAN,CALA_ROLL,2027,45768,,,'')&lt;/Q&gt;&lt;R&gt;0&lt;/R&gt;&lt;C&gt;0&lt;/C&gt;&lt;/FQL&gt;&lt;FQL&gt;&lt;Q&gt;NVDA^FE_ESTIMATE(UFCF,MEAN,LTM4,,45768,,,'')&lt;/Q&gt;&lt;R&gt;0&lt;/R&gt;&lt;C&gt;0&lt;/C&gt;&lt;/FQL&gt;&lt;FQL&gt;&lt;Q&gt;MSFT^FE_ESTIMATE(UFCF,MEAN,NTM4,,45768,,,'')&lt;/Q&gt;&lt;R&gt;0&lt;/R&gt;&lt;C&gt;0&lt;/C&gt;&lt;/FQL&gt;&lt;FQL&gt;&lt;Q&gt;AVT^FE_ESTIMATE(FCF,MEAN,CAL4,2023,45768,,,'')&lt;/Q&gt;&lt;R&gt;0&lt;/R&gt;&lt;C&gt;0&lt;/C&gt;&lt;/FQL&gt;&lt;FQL&gt;&lt;Q&gt;ARW^FE_ESTIMATE(FCF,MEAN,CAL4,2024,45768,,,'')&lt;/Q&gt;&lt;R&gt;0&lt;/R&gt;&lt;C&gt;0&lt;/C&gt;&lt;/FQL&gt;&lt;FQL&gt;&lt;Q&gt;SNX^FE_ESTIMATE(FCF,MEAN,CAL4,2025,45768,,,'')&lt;/Q&gt;&lt;R&gt;1&lt;/R&gt;&lt;C&gt;1&lt;/C&gt;&lt;D xsi:type="xsd:double"&gt;1097.378&lt;/D&gt;&lt;/FQL&gt;&lt;FQL&gt;&lt;Q&gt;CDW^FE_ESTIMATE(FCF,MEAN,CAL4,2026,45768,,,'')&lt;/Q&gt;&lt;R&gt;0&lt;/R&gt;&lt;C&gt;0&lt;/C&gt;&lt;/FQL&gt;&lt;FQL&gt;&lt;Q&gt;INGM^FE_ESTIMATE(FCF,MEAN,CAL4,2027,45768,,,'')&lt;/Q&gt;&lt;R&gt;0&lt;/R&gt;&lt;C&gt;0&lt;/C&gt;&lt;/FQL&gt;&lt;FQL&gt;&lt;Q&gt;INGM^FE_ESTIMATE(FCF,MEAN,LTM4,,45768,,,'')&lt;/Q&gt;&lt;R&gt;0&lt;/R&gt;&lt;C&gt;0&lt;/C&gt;&lt;/FQL&gt;&lt;FQL&gt;&lt;Q&gt;DOCN^FE_ESTIMATE(FCF,MEAN,NTM4,,45768,,,'')&lt;/Q&gt;&lt;R&gt;1&lt;/R&gt;&lt;C&gt;1&lt;/C&gt;&lt;D xsi:type="xsd:double"&gt;146.19283&lt;/D&gt;&lt;/FQL&gt;&lt;FQL&gt;&lt;Q&gt;GOOG^FE_ESTIMATE(FCF,MEAN,CAL4,2023,45768,,,'')&lt;/Q&gt;&lt;R&gt;1&lt;/R&gt;&lt;C&gt;1&lt;/C&gt;&lt;D xsi:type="xsd:double"&gt;69970.21&lt;/D&gt;&lt;/FQL&gt;&lt;FQL&gt;&lt;Q&gt;AMZN^FE_ESTIMATE(FCF,MEAN,CAL4,2024,45768,,,'')&lt;/Q&gt;&lt;R&gt;1&lt;/R&gt;&lt;C&gt;1&lt;/C&gt;&lt;D xsi:type="xsd:double"&gt;37569.48&lt;/D&gt;&lt;/FQL&gt;&lt;FQL&gt;&lt;Q&gt;ORCL^FE_ESTIMATE(FCF,MEAN,CAL4,2025,45768,,,'')&lt;/Q&gt;&lt;R&gt;1&lt;/R&gt;&lt;C&gt;1&lt;/C&gt;&lt;D xsi:type="xsd:double"&gt;6081.7944&lt;/D&gt;&lt;/FQL&gt;&lt;FQL&gt;&lt;Q&gt;IBM^FE_ESTIMATE(FCF,MEAN,CAL4,2026,45768,,,'')&lt;/Q&gt;&lt;R&gt;1&lt;/R&gt;&lt;C&gt;1&lt;/C&gt;&lt;D xsi:type="xsd:double"&gt;13915&lt;/D&gt;&lt;/FQL&gt;&lt;FQL&gt;&lt;Q&gt;EQIX^FE_ESTIMATE(FCF,MEAN,CALA_ROLL,2027,45768,,,'')&lt;/Q&gt;&lt;R&gt;1&lt;/R&gt;&lt;C&gt;1&lt;/C&gt;&lt;D xsi:type="xsd:double"&gt;1458.7&lt;/D&gt;&lt;/FQL&gt;&lt;FQL&gt;&lt;Q&gt;EQIX^FE_ESTIMATE(FCF,MEAN,LTM4,,45768,,,'')&lt;/Q&gt;&lt;R&gt;1&lt;/R&gt;&lt;C&gt;1&lt;/C&gt;&lt;D xsi:type="xsd:double"&gt;151.449&lt;/D&gt;&lt;/FQL&gt;&lt;FQL&gt;&lt;Q&gt;DLR^FE_ESTIMATE(FCF,MEAN,NTM4,,45768,,,'')&lt;/Q&gt;&lt;R&gt;1&lt;/R&gt;&lt;C&gt;1&lt;/C&gt;&lt;D xsi:type="xsd:double"&gt;-1374.447&lt;/D&gt;&lt;/FQL&gt;&lt;FQL&gt;&lt;Q&gt;NVDA^FE_ESTIMATE(FCF,MEAN,CAL4,2023,45768,,,'')&lt;/Q&gt;&lt;R&gt;1&lt;/R&gt;&lt;C&gt;1&lt;/C&gt;&lt;D xsi:type="xsd:double"&gt;26297.904&lt;/D&gt;&lt;/FQL&gt;&lt;FQL&gt;&lt;Q&gt;MSFT^FE_ESTIMATE(FCF,MEAN,CAL4,2024,45768,,,'')&lt;/Q&gt;&lt;R&gt;1&lt;/R&gt;&lt;C&gt;1&lt;/C&gt;&lt;D xsi:type="xsd:double"&gt;68357.12&lt;/D&gt;&lt;/FQL&gt;&lt;FQL&gt;&lt;Q&gt;AVT^FE_ESTIMATE(EPS_GAAP,MEAN,CAL4,2025,45768,,,'')&lt;/Q&gt;&lt;R&gt;1&lt;/R&gt;&lt;C&gt;1&lt;/C&gt;&lt;D xsi:type="xsd:double"&gt;3.5533333&lt;/D&gt;&lt;/FQL&gt;&lt;FQL&gt;&lt;Q&gt;ARW^FE_ESTIMATE(EPS_GAAP,MEAN,CAL4,2026,45768,,,'')&lt;/Q&gt;&lt;R&gt;1&lt;/R&gt;&lt;C&gt;1&lt;/C&gt;&lt;D xsi:type="xsd:double"&gt;11.85&lt;/D&gt;&lt;/FQL&gt;&lt;FQL&gt;&lt;Q&gt;SNX^FE_ESTIMATE(EPS_GAAP,MEAN,CAL4,2027,45768,,,'')&lt;/Q&gt;&lt;R&gt;1&lt;/R&gt;&lt;C&gt;1&lt;/C&gt;&lt;D xsi:type="xsd:double"&gt;11.222478&lt;/D&gt;&lt;/FQL&gt;&lt;FQL&gt;&lt;Q&gt;SNX^FE_ESTIMATE(EPS_GAAP,MEAN,LTM4,,45768,,,'')&lt;/Q&gt;&lt;R&gt;1&lt;/R&gt;&lt;C&gt;1&lt;/C&gt;&lt;D xsi:type="xsd:double"&gt;8.01&lt;/D&gt;&lt;/FQL&gt;&lt;FQL&gt;&lt;Q&gt;CDW^FE_ESTIMATE(EPS_GAAP,MEAN,NTM4,,45768,,,'')&lt;/Q&gt;&lt;R&gt;1&lt;/R&gt;&lt;C&gt;1&lt;/C&gt;&lt;D xsi:type="xsd:double"&gt;8.29758&lt;/D&gt;&lt;/FQL&gt;&lt;FQL&gt;&lt;Q&gt;INGM^FE_ESTIMATE(EPS_GAAP,MEAN,CAL4,2023,45768,,,'')&lt;/Q&gt;&lt;R&gt;0&lt;/R&gt;&lt;C&gt;0&lt;/C&gt;&lt;/FQL&gt;&lt;FQL&gt;&lt;Q&gt;DOCN^FE_ESTIMATE(EPS_GAAP,MEAN,CAL4,2026,45768,,,'')&lt;/Q&gt;&lt;R&gt;1&lt;/R&gt;&lt;C&gt;1&lt;/C&gt;&lt;D xsi:type="xsd:double"&gt;1.229724&lt;/D&gt;&lt;/FQL&gt;&lt;FQL&gt;&lt;Q&gt;DOCN^FE_ESTIMATE(EPS_GAAP,MEAN,LTM4,,45768,,,'')&lt;/Q&gt;&lt;R&gt;1&lt;/R&gt;&lt;C&gt;1&lt;/C&gt;&lt;D xsi:type="xsd:double"&gt;0.87&lt;/D&gt;&lt;/FQL&gt;&lt;FQL&gt;&lt;Q&gt;GOOG^FE_ESTIMATE(EPS_GAAP,MEAN,CAL4,2024,45768,,,'')&lt;/Q&gt;&lt;R&gt;1&lt;/R&gt;&lt;C&gt;1&lt;/C&gt;&lt;D xsi:type="xsd:double"&gt;8.05&lt;/D&gt;&lt;/FQL&gt;&lt;FQL&gt;&lt;Q&gt;AMZN^FE_ESTIMATE(EPS_GAAP,MEAN,CAL4,2026,45768,,,'')&lt;/Q&gt;&lt;R&gt;1&lt;/R&gt;&lt;C&gt;1&lt;/C&gt;&lt;D xsi:type="xsd:double"&gt;7.3100553&lt;/D&gt;&lt;/FQL&gt;&lt;FQL&gt;&lt;Q&gt;AMZN^FE_ESTIMATE(EPS_GAAP,MEAN,NTM4,,45768,,,'')&lt;/Q&gt;&lt;R&gt;1&lt;/R&gt;&lt;C&gt;1&lt;/C&gt;&lt;D xsi:type="xsd:double"&gt;6.1896443&lt;/D&gt;&lt;/FQL&gt;&lt;FQL&gt;&lt;Q&gt;ARW^FE_ESTIMATE(UFCF,MEAN,CALA_ROLL,2023,45768,,,'')&lt;/Q&gt;&lt;R&gt;0&lt;/R&gt;&lt;C&gt;0&lt;/C&gt;&lt;/FQL&gt;&lt;FQL&gt;&lt;Q&gt;INGM^FE_ESTIMATE(UFCF,MEAN,CALA_ROLL,2026,45768,,,'')&lt;/Q&gt;&lt;R&gt;0&lt;/R&gt;&lt;C&gt;0&lt;/C&gt;&lt;/FQL&gt;&lt;FQL&gt;&lt;Q&gt;DOCN^FE_ESTIMATE(UFCF,MEAN,LTM4,,45768,,,'')&lt;/Q&gt;&lt;R&gt;0&lt;/R&gt;&lt;C&gt;0&lt;/C&gt;&lt;/FQL&gt;&lt;FQL&gt;&lt;Q&gt;AMZN^FE_ESTIMATE(UFCF,MEAN,CALA_ROLL,2027,45768,,,'')&lt;/Q&gt;&lt;R&gt;0&lt;/R&gt;&lt;C&gt;0&lt;/C&gt;&lt;/FQL&gt;&lt;FQL&gt;&lt;Q&gt;AMZN^FE_ESTIMATE(UFCF,MEAN,LTM4,,45768,,,'')&lt;/Q&gt;&lt;R&gt;0&lt;/R&gt;&lt;C&gt;0&lt;/C&gt;&lt;/FQL&gt;&lt;FQL&gt;&lt;Q&gt;ORCL^FE_ESTIMATE(UFCF,MEAN,NTM4,,45768,,,'')&lt;/Q&gt;&lt;R&gt;0&lt;/R&gt;&lt;C&gt;0&lt;/C&gt;&lt;/FQL&gt;&lt;FQL&gt;&lt;Q&gt;IBM^FE_ESTIMATE(UFCF,MEAN,CALA_ROLL,2023,45768,,,'')&lt;/Q&gt;&lt;R&gt;0&lt;/R&gt;&lt;C&gt;0&lt;/C&gt;&lt;/FQL&gt;&lt;FQL&gt;&lt;Q&gt;EQIX^FE_ESTIMATE(UFCF,MEAN,CALA_ROLL,2024,45768,,,'')&lt;/Q&gt;&lt;R&gt;0&lt;/R&gt;&lt;C&gt;0&lt;/C&gt;&lt;/FQL&gt;&lt;FQL&gt;&lt;Q&gt;DLR^FE_ESTIMATE(UFCF,MEAN,CALA_ROLL,2025,45768,,,'')&lt;/Q&gt;&lt;R&gt;1&lt;/R&gt;&lt;C&gt;1&lt;/C&gt;&lt;D xsi:type="xsd:double"&gt;-767.2&lt;/D&gt;&lt;/FQL&gt;&lt;FQL&gt;&lt;Q&gt;NVDA^FE_ESTIMATE(UFCF,MEAN,CALA_ROLL,2026,45768,,,'')&lt;/Q&gt;&lt;R&gt;0&lt;/R&gt;&lt;C&gt;0&lt;/C&gt;&lt;/FQL&gt;&lt;FQL&gt;&lt;Q&gt;MSFT^FE_ESTIMATE(UFCF,MEAN,CALA_ROLL,2027,45768,,,'')&lt;/Q&gt;&lt;R&gt;0&lt;/R&gt;&lt;C&gt;0&lt;/C&gt;&lt;/FQL&gt;&lt;FQL&gt;&lt;Q&gt;MSFT^FE_ESTIMATE(UFCF,MEAN,LTM4,,45768,,,'')&lt;/Q&gt;&lt;R&gt;0&lt;/R&gt;&lt;C&gt;0&lt;/C&gt;&lt;/FQL&gt;&lt;FQL&gt;&lt;Q&gt;AVT^FE_ESTIMATE(FCF,MEAN,NTM4,,45768,,,'')&lt;/Q&gt;&lt;R&gt;0&lt;/R&gt;&lt;C&gt;0&lt;/C&gt;&lt;/FQL&gt;&lt;FQL&gt;&lt;Q&gt;ARW^FE_ESTIMATE(FCF,MEAN,CAL4,2023,45768,,,'')&lt;/Q&gt;&lt;R&gt;0&lt;/R&gt;&lt;C&gt;0&lt;/C&gt;&lt;/FQL&gt;&lt;FQL&gt;&lt;Q&gt;SNX^FE_ESTIMATE(FCF,MEAN,CAL4,2024,45768,,,'')&lt;/Q&gt;&lt;R&gt;1&lt;/R&gt;&lt;C&gt;1&lt;/C&gt;&lt;D xsi:type="xsd:double"&gt;1042.612&lt;/D&gt;&lt;/FQL&gt;&lt;FQL&gt;&lt;Q&gt;CDW^FE_ESTIMATE(FCF,MEAN,CAL4,2025,45768,,,'')&lt;/Q&gt;&lt;R&gt;0&lt;/R&gt;&lt;C&gt;0&lt;/C&gt;&lt;/FQL&gt;&lt;FQL&gt;&lt;Q&gt;INGM^FE_ESTIMATE(FCF,MEAN,CAL4,2026,45768,,,'')&lt;/Q&gt;&lt;R&gt;1&lt;/R&gt;&lt;C&gt;1&lt;/C&gt;&lt;D xsi:type="xsd:double"&gt;607&lt;/D&gt;&lt;/FQL&gt;&lt;FQL&gt;&lt;Q&gt;DOCN^FE_ESTIMATE(FCF,MEAN,CALA_ROLL,2027,45768,,,'')&lt;/Q&gt;&lt;R&gt;1&lt;/R&gt;&lt;C&gt;1&lt;/C&gt;&lt;D xsi:type="xsd:double"&gt;208.223&lt;/D&gt;&lt;/FQL&gt;&lt;FQL&gt;&lt;Q&gt;DOCN^FE_ESTIMATE(FCF,MEAN,LTM4,,45768,,,'')&lt;/Q&gt;&lt;R&gt;1&lt;/R&gt;&lt;C&gt;1&lt;/C&gt;&lt;D xsi:type="xsd:double"&gt;134.283&lt;/D&gt;&lt;/FQL&gt;&lt;FQL&gt;&lt;Q&gt;GOOG^FE_ESTIMATE(FCF,MEAN,NTM4,,45768,,,'')&lt;/Q&gt;&lt;R&gt;1&lt;/R&gt;&lt;C&gt;1&lt;/C&gt;&lt;D xsi:type="xsd:double"&gt;74011.04&lt;/D&gt;&lt;/FQL&gt;&lt;FQL&gt;&lt;Q&gt;AMZN^FE_ESTIMATE(FCF,MEAN,CAL4,2023,45768,,,'')&lt;/Q&gt;&lt;R&gt;1&lt;/R&gt;&lt;C&gt;1&lt;/C&gt;&lt;D xsi:type="xsd:double"&gt;38765.21&lt;/D&gt;&lt;/FQL&gt;&lt;FQL&gt;&lt;Q&gt;ORCL^FE_ESTIMATE(FCF,MEAN,CAL4,2024,45768,,,'')&lt;/Q&gt;&lt;R&gt;1&lt;/R&gt;&lt;C&gt;1&lt;/C&gt;&lt;D xsi:type="xsd:double"&gt;9550.706&lt;/D&gt;&lt;/FQL&gt;&lt;FQL&gt;&lt;Q&gt;IBM^FE_ESTIMATE(FCF,MEAN,CAL4,2025,45768,,,'')&lt;/Q&gt;&lt;R&gt;1&lt;/R&gt;&lt;C&gt;1&lt;/C&gt;&lt;D xsi:type="xsd:double"&gt;13474.25&lt;/D&gt;&lt;/FQL&gt;&lt;FQL&gt;&lt;Q&gt;EQIX^FE_ESTIMATE(FCF,MEAN,CAL4,2026,45768,,,'')&lt;/Q&gt;&lt;R&gt;1&lt;/R&gt;&lt;C&gt;1&lt;/C&gt;&lt;D xsi:type="xsd:double"&gt;897.908&lt;/D&gt;&lt;/FQL&gt;&lt;FQL&gt;&lt;Q&gt;DLR^FE_ESTIMATE(FCF,MEAN,CALA_ROLL,2027,45768,,,'')&lt;/Q&gt;&lt;R&gt;1&lt;/R&gt;&lt;C&gt;1&lt;/C&gt;&lt;D xsi:type="xsd:double"&gt;523.58&lt;/D&gt;&lt;/FQL&gt;&lt;FQL&gt;&lt;Q&gt;DLR^FE_ESTIMATE(FCF,MEAN,LTM4,,45768,,,'')&lt;/Q&gt;&lt;R&gt;0&lt;/R&gt;&lt;C&gt;0&lt;/C&gt;&lt;/FQL&gt;&lt;FQL&gt;&lt;Q&gt;NVDA^FE_ESTIMATE(FCF,MEAN,NTM4,,45768,,,'')&lt;/Q&gt;&lt;R&gt;1&lt;/R&gt;&lt;C&gt;1&lt;/C&gt;&lt;D xsi:type="xsd:double"&gt;97336.16&lt;/D&gt;&lt;/FQL&gt;&lt;FQL&gt;&lt;Q&gt;MSFT^FE_ESTIMATE(FCF,MEAN,CAL4,2023,45768,,,'')&lt;/Q&gt;&lt;R&gt;1&lt;/R&gt;&lt;C&gt;1&lt;/C&gt;&lt;D xsi:type="xsd:double"&gt;64571.887&lt;/D&gt;&lt;/FQL&gt;&lt;FQL&gt;&lt;Q&gt;AVT^FE_ESTIMATE(EPS_GAAP,MEAN,CAL4,2024,45768,,,'')&lt;/Q&gt;&lt;R&gt;1&lt;/R&gt;&lt;C&gt;1&lt;/C&gt;&lt;D xsi:type="xsd:double"&gt;3.53&lt;/D&gt;&lt;/FQL&gt;&lt;FQL&gt;&lt;Q&gt;ARW^FE_ESTIMATE(EPS_GAAP,MEAN,CAL4,2025,45768,,,'')&lt;/Q&gt;&lt;R&gt;1&lt;/R&gt;&lt;C&gt;1&lt;/C&gt;&lt;D xsi:type="xsd:double"&gt;8.47&lt;/D&gt;&lt;/FQL&gt;&lt;FQL&gt;&lt;Q&gt;SNX^FE_ESTIMATE(EPS_GAAP,MEAN,CAL4,2026,45768,,,'')&lt;/Q&gt;&lt;R&gt;1&lt;/R&gt;&lt;C&gt;1&lt;/C&gt;&lt;D xsi:type="xsd:double"&gt;9.970744&lt;/D&gt;&lt;/FQL&gt;&lt;FQL&gt;&lt;Q&gt;CDW^FE_ESTIMATE(EPS_GAAP,MEAN,CALA_ROLL,2027,45768,,,'')&lt;/Q&gt;&lt;R&gt;1&lt;/R&gt;&lt;C&gt;1&lt;/C&gt;&lt;D xsi:type="xsd:double"&gt;10.054112&lt;/D&gt;&lt;/FQL&gt;&lt;FQL&gt;&lt;Q&gt;CDW^FE_ESTIMATE(EPS_GAAP,MEAN,LTM4,,45768,,,'')&lt;/Q&gt;&lt;R&gt;1&lt;/R&gt;&lt;C&gt;1&lt;/C&gt;&lt;D xsi:type="xsd:double"&gt;7.97&lt;/D&gt;&lt;/FQL&gt;&lt;FQL&gt;&lt;Q&gt;DOCN^FE_ESTIMATE(EPS_GAAP,MEAN,CAL4,2025,45768,,,'')&lt;/Q&gt;&lt;R&gt;1&lt;/R&gt;&lt;C&gt;1&lt;/C&gt;&lt;D xsi:type="xsd:double"&gt;0.86657476&lt;/D&gt;&lt;/FQL&gt;&lt;FQL&gt;&lt;Q&gt;GOOG^FE_ESTIMATE(EPS_GAAP,MEAN,CAL4,2023,45768,,,'')&lt;/Q&gt;&lt;R&gt;1&lt;/R&gt;&lt;C&gt;1&lt;/C&gt;&lt;D xsi:type="xsd:double"&gt;5.8&lt;/D&gt;&lt;/FQL&gt;&lt;FQL&gt;&lt;Q&gt;AMZN^FE_ESTIMATE(EPS_GAAP,MEAN,LTM4,,45768,,,'')&lt;/Q&gt;&lt;R&gt;1&lt;/R&gt;&lt;C&gt;1&lt;/C&gt;&lt;D xsi:type="xsd:double"&gt;5.53&lt;/D&gt;&lt;/FQL&gt;&lt;FQL&gt;&lt;Q&gt;ORCL^FE_ESTIMATE(EPS_GAAP,MEAN,CAL4,2024,45768,,,'')&lt;/Q&gt;&lt;R&gt;1&lt;/R&gt;&lt;C&gt;1&lt;/C&gt;&lt;D xsi:type="xsd:double"&gt;4.09&lt;/D&gt;&lt;/FQL&gt;&lt;FQL&gt;&lt;Q&gt;ORCL^FE_ESTIMATE(EPS_GAAP,MEAN,LTM4,,45768,,,'')&lt;/Q&gt;&lt;R&gt;1&lt;/R&gt;&lt;C&gt;1&lt;/C&gt;&lt;D xsi:type="xsd:double"&gt;4.26&lt;/D&gt;&lt;/FQL&gt;&lt;FQL&gt;&lt;Q&gt;SNX^FE_ESTIMATE(UFCF,MEAN,CALA_ROLL,2027,45768,,,'')&lt;/Q&gt;&lt;R&gt;0&lt;/R&gt;&lt;C&gt;0&lt;/C&gt;&lt;/FQL&gt;&lt;FQL&gt;&lt;Q&gt;AMZN^FE_ESTIMATE(UFCF,MEAN,CALA_ROLL,2026,45768,,,'')&lt;/Q&gt;&lt;R&gt;0&lt;/R&gt;&lt;C&gt;0&lt;/C&gt;&lt;/FQL&gt;&lt;FQL&gt;&lt;Q&gt;IBM^FE_ESTIMATE(UFCF,MEAN,NTM4,,45768,,,'')&lt;/Q&gt;&lt;R&gt;0&lt;/R&gt;&lt;C&gt;0&lt;/C&gt;&lt;/FQL&gt;&lt;FQL&gt;&lt;Q&gt;NVDA^FE_ESTIMATE(UFCF,MEAN,CALA_ROLL,2025,45768,,,'')&lt;/Q&gt;&lt;R&gt;0&lt;/R&gt;&lt;C&gt;0&lt;/C&gt;&lt;/FQL&gt;&lt;FQL&gt;&lt;Q&gt;AVT^FE_ESTIMATE(FCF,MEAN,LTM4,,45768,,,'')&lt;/Q&gt;&lt;R&gt;0&lt;/R&gt;&lt;C&gt;0&lt;/C&gt;&lt;/FQL&gt;&lt;FQL&gt;&lt;Q&gt;CDW^FE_ESTIMATE(FCF,MEAN,CAL4,2024,45768,,,'')&lt;/Q&gt;&lt;R&gt;0&lt;/R&gt;&lt;C&gt;0&lt;/C&gt;&lt;/FQL&gt;&lt;FQL&gt;&lt;Q&gt;GOOG^FE_ESTIMATE(FCF,MEAN,CALA_ROLL,2027,45768,,,'')&lt;/Q&gt;&lt;R&gt;1&lt;/R&gt;&lt;C&gt;1&lt;/C&gt;&lt;D xsi:type="xsd:double"&gt;117298.79&lt;/D&gt;&lt;/FQL&gt;&lt;FQL&gt;&lt;Q&gt;ORCL^FE_ESTIMATE(FCF,MEAN,CAL4,2023,45768,,,'')&lt;/Q&gt;&lt;R&gt;1&lt;/R&gt;&lt;C&gt;1&lt;/C&gt;&lt;D xsi:type="xsd:double"&gt;10035.492&lt;/D&gt;&lt;/FQL&gt;&lt;FQL&gt;&lt;Q&gt;DLR^FE_ESTIMATE(FCF,MEAN,CALA_ROLL,2026,45768,,,'')&lt;/Q&gt;&lt;R&gt;1&lt;/R&gt;&lt;C&gt;1&lt;/C&gt;&lt;D xsi:type="xsd:double"&gt;-100.95167&lt;/D&gt;&lt;/FQL&gt;&lt;FQL&gt;&lt;Q&gt;MSFT^FE_ESTIMATE(FCF,MEAN,NTM4,,45768,,,'')&lt;/Q&gt;&lt;R&gt;1&lt;/R&gt;&lt;C&gt;1&lt;/C&gt;&lt;D xsi:type="xsd:double"&gt;79667.38&lt;/D&gt;&lt;/FQL&gt;&lt;FQL&gt;&lt;Q&gt;SNX^FE_ESTIMATE(EPS_GAAP,MEAN,CAL4,2025,45768,,,'')&lt;/Q&gt;&lt;R&gt;1&lt;/R&gt;&lt;C&gt;1&lt;/C&gt;&lt;D xsi:type="xsd:double"&gt;8.590072&lt;/D&gt;&lt;/FQL&gt;&lt;FQL&gt;&lt;Q&gt;INGM^FE_ESTIMATE(EPS_GAAP,MEAN,NTM4,,45768,,,'')&lt;/Q&gt;&lt;R&gt;1&lt;/R&gt;&lt;C&gt;1&lt;/C&gt;&lt;D xsi:type="xsd:double"&gt;2.3541336&lt;/D&gt;&lt;/FQL&gt;&lt;FQL&gt;&lt;Q&gt;GOOG^FE_ESTIMATE(EPS_GAAP,MEAN,CAL4,2025,45768,,,'')&lt;/Q&gt;&lt;R&gt;1&lt;/R&gt;&lt;C&gt;1&lt;/C&gt;&lt;D xsi:type="xsd:double"&gt;8.776225&lt;/D&gt;&lt;/FQL&gt;&lt;FQL&gt;&lt;Q&gt;AMZN^FE_ESTIMATE(EPS_GAAP,MEAN,CAL4,2023,45768,,,'')&lt;/Q&gt;&lt;R&gt;1&lt;/R&gt;&lt;C&gt;1&lt;/C&gt;&lt;D xsi:type="xsd:double"&gt;2.9&lt;/D&gt;&lt;/FQL&gt;&lt;FQL&gt;&lt;Q&gt;IBM^FE_ESTIMATE(EPS_GAAP,MEAN,CAL4,2024,45768,,,'')&lt;/Q&gt;&lt;R&gt;1&lt;/R&gt;&lt;C&gt;1&lt;/C&gt;&lt;D xsi:type="xsd:double"&gt;6.42&lt;/D&gt;&lt;/FQL&gt;&lt;FQL&gt;&lt;Q&gt;EQIX^FE_ESTIMATE(EPS_GAAP,MEAN,CAL4,2026,45768,,,'')&lt;/Q&gt;&lt;R&gt;1&lt;/R&gt;&lt;C&gt;1&lt;/C&gt;&lt;D xsi:type="xsd:double"&gt;15.477858&lt;/D&gt;&lt;/FQL&gt;&lt;FQL&gt;&lt;Q&gt;EQIX^FE_ESTIMATE(EPS_GAAP,MEAN,NTM4,,45768,,,'')&lt;/Q&gt;&lt;R&gt;1&lt;/R&gt;&lt;C&gt;1&lt;/C&gt;&lt;D xsi:type="xsd:double"&gt;13.220971&lt;/D&gt;&lt;/FQL&gt;&lt;FQL&gt;&lt;Q&gt;DLR^FE_ESTIMATE(EPS_GAAP,MEAN,CAL4,2024,45768,,,'')&lt;/Q&gt;&lt;R&gt;1&lt;/R&gt;&lt;C&gt;1&lt;/C&gt;&lt;D xsi:type="xsd:double"&gt;1.649787&lt;/D&gt;&lt;/FQL&gt;&lt;FQL&gt;&lt;Q&gt;NVDA^FE_ESTIMATE(EPS_GAAP,MEAN,CALA_ROLL,2027,45768,,,'')&lt;/Q&gt;&lt;R&gt;1&lt;/R&gt;&lt;C&gt;1&lt;/C&gt;&lt;D xsi:type="xsd:double"&gt;6.434529&lt;/D&gt;&lt;/FQL&gt;&lt;FQL&gt;&lt;Q&gt;NVDA^FE_ESTIMATE(EPS_GAAP,MEAN,NTM4,,45768,,,'')&lt;/Q&gt;&lt;R&gt;1&lt;/R&gt;&lt;C&gt;1&lt;/C&gt;&lt;D xsi:type="xsd:double"&gt;4.254923&lt;/D&gt;&lt;/FQL&gt;&lt;FQL&gt;&lt;Q&gt;MSFT^FE_ESTIMATE(EPS_GAAP,MEAN,CAL4,2025,45768,,,'')&lt;/Q&gt;&lt;R&gt;1&lt;/R&gt;&lt;C&gt;1&lt;/C&gt;&lt;D xsi:type="xsd:double"&gt;13.722855&lt;/D&gt;&lt;/FQL&gt;&lt;FQL&gt;&lt;Q&gt;DOCN^FE_ESTIMATE(EBITDA,MEAN,CALA_ROLL,2027,45768,,,'')&lt;/Q&gt;&lt;R&gt;1&lt;/R&gt;&lt;C&gt;1&lt;/C&gt;&lt;D xsi:type="xsd:double"&gt;483.40805&lt;/D&gt;&lt;/FQL&gt;&lt;FQL&gt;&lt;Q&gt;DOCN^FE_ESTIMATE(EBITDA,MEAN,CAL4,2023,45768,,,'')&lt;/Q&gt;&lt;R&gt;1&lt;/R&gt;&lt;C&gt;1&lt;/C&gt;&lt;D xsi:type="xsd:double"&gt;277.703&lt;/D&gt;&lt;/FQL&gt;&lt;FQL&gt;&lt;Q&gt;GOOG^FE_ESTIMATE(EBITDA,MEAN,CAL4,2025,45768,,,'')&lt;/Q&gt;&lt;R&gt;1&lt;/R&gt;&lt;C&gt;1&lt;/C&gt;&lt;D xsi:type="xsd:double"&gt;170426.6&lt;/D&gt;&lt;/FQL&gt;&lt;FQL&gt;&lt;Q&gt;SNX^FE_ESTIMATE(UFCF,MEAN,CALA_ROLL,2024,45768,,,'')&lt;/Q&gt;&lt;R&gt;0&lt;/R&gt;&lt;C&gt;0&lt;/C&gt;&lt;/FQL&gt;&lt;FQL&gt;&lt;Q&gt;AMZN^FE_ESTIMATE(UFCF,MEAN,CALA_ROLL,2025,45768,,,'')&lt;/Q&gt;&lt;R&gt;0&lt;/R&gt;&lt;C&gt;0&lt;/C&gt;&lt;/FQL&gt;&lt;FQL&gt;&lt;Q&gt;IBM^FE_ESTIMATE(UFCF,MEAN,LTM4,,45768,,,'')&lt;/Q&gt;&lt;R&gt;0&lt;/R&gt;&lt;C&gt;0&lt;/C&gt;&lt;/FQL&gt;&lt;FQL&gt;&lt;Q&gt;NVDA^FE_ESTIMATE(UFCF,MEAN,CALA_ROLL,2024,45768,,,'')&lt;/Q&gt;&lt;R&gt;0&lt;/R&gt;&lt;C&gt;0&lt;/C&gt;&lt;/FQL&gt;&lt;FQL&gt;&lt;Q&gt;ARW^FE_ESTIMATE(FCF,MEAN,CAL4,2027,45768,,,'')&lt;/Q&gt;&lt;R&gt;0&lt;/R&gt;&lt;C&gt;0&lt;/C&gt;&lt;/FQL&gt;&lt;FQL&gt;&lt;Q&gt;CDW^FE_ESTIMATE(FCF,MEAN,CAL4,2023,45768,,,'')&lt;/Q&gt;&lt;R&gt;0&lt;/R&gt;&lt;C&gt;0&lt;/C&gt;&lt;/FQL&gt;&lt;FQL&gt;&lt;Q&gt;GOOG^FE_ESTIMATE(FCF,MEAN,CAL4,2026,45768,,,'')&lt;/Q&gt;&lt;R&gt;1&lt;/R&gt;&lt;C&gt;1&lt;/C&gt;&lt;D xsi:type="xsd:double"&gt;86649.164&lt;/D&gt;&lt;/FQL&gt;&lt;FQL&gt;&lt;Q&gt;ORCL^FE_ESTIMATE(FCF,MEAN,NTM4,,45768,,,'')&lt;/Q&gt;&lt;R&gt;1&lt;/R&gt;&lt;C&gt;1&lt;/C&gt;&lt;D xsi:type="xsd:double"&gt;7588.5444&lt;/D&gt;&lt;/FQL&gt;&lt;FQL&gt;&lt;Q&gt;DLR^FE_ESTIMATE(FCF,MEAN,CAL4,2025,45768,,,'')&lt;/Q&gt;&lt;R&gt;1&lt;/R&gt;&lt;C&gt;1&lt;/C&gt;&lt;D xsi:type="xsd:double"&gt;-1374.447&lt;/D&gt;&lt;/FQL&gt;&lt;FQL&gt;&lt;Q&gt;MSFT^FE_ESTIMATE(FCF,MEAN,LTM4,,45768,,,'')&lt;/Q&gt;&lt;R&gt;1&lt;/R&gt;&lt;C&gt;1&lt;/C&gt;&lt;D xsi:type="xsd:double"&gt;68357.12&lt;/D&gt;&lt;/FQL&gt;&lt;FQL&gt;&lt;Q&gt;SNX^FE_ESTIMATE(EPS_GAAP,MEAN,CAL4,2024,45768,,,'')&lt;/Q&gt;&lt;R&gt;1&lt;/R&gt;&lt;C&gt;1&lt;/C&gt;&lt;D xsi:type="xsd:double"&gt;7.96&lt;/D&gt;&lt;/FQL&gt;&lt;FQL&gt;&lt;Q&gt;INGM^FE_ESTIMATE(EPS_GAAP,MEAN,LTM4,,45768,,,'')&lt;/Q&gt;&lt;R&gt;0&lt;/R&gt;&lt;C&gt;0&lt;/C&gt;&lt;/FQL&gt;&lt;FQL&gt;&lt;Q&gt;GOOG^FE_ESTIMATE(EPS_GAAP,MEAN,NTM4,,45768,,,'')&lt;/Q&gt;&lt;R&gt;1&lt;/R&gt;&lt;C&gt;1&lt;/C&gt;&lt;D xsi:type="xsd:double"&gt;8.776225&lt;/D&gt;&lt;/FQL&gt;&lt;FQL&gt;&lt;Q&gt;ORCL^FE_ESTIMATE(EPS_GAAP,MEAN,CALA_ROLL,2027,45768,,,'')&lt;/Q&gt;&lt;R&gt;0&lt;/R&gt;&lt;C&gt;0&lt;/C&gt;&lt;/FQL&gt;&lt;FQL&gt;&lt;Q&gt;ORCL^FE_ESTIMATE(EBITDA,MEAN,NTM4,,45768,,,'')&lt;/Q&gt;&lt;R&gt;1&lt;/R&gt;&lt;C&gt;1&lt;/C&gt;&lt;D xsi:type="xsd:double"&gt;32945.83&lt;/D&gt;&lt;/FQL&gt;&lt;FQL&gt;&lt;Q&gt;IBM^FE_ESTIMATE(EBITDA,MEAN,CAL4,2025,45768,,,'')&lt;/Q&gt;&lt;R&gt;1&lt;/R&gt;&lt;C&gt;1&lt;/C&gt;&lt;D xsi:type="xsd:double"&gt;17031.37&lt;/D&gt;&lt;/FQL&gt;&lt;FQL&gt;&lt;Q&gt;EQIX^FE_ESTIMATE(EBITDA,MEAN,CAL4,2025,45768,,,'')&lt;/Q&gt;&lt;R&gt;1&lt;/R&gt;&lt;C&gt;1&lt;/C&gt;&lt;D xsi:type="xsd:double"&gt;4442.692&lt;/D&gt;&lt;/FQL&gt;&lt;FQL&gt;&lt;Q&gt;DLR^FE_ESTIMATE(EBITDA,MEAN,CAL4,2025,45768,,,'')&lt;/Q&gt;&lt;R&gt;1&lt;/R&gt;&lt;C&gt;1&lt;/C&gt;&lt;D xsi:type="xsd:double"&gt;3139.0596&lt;/D&gt;&lt;/FQL&gt;&lt;FQL&gt;&lt;Q&gt;DLR^FE_ESTIMATE(EBITDA,MEAN,LTM4,,45768,,,'')&lt;/Q&gt;&lt;R&gt;1&lt;/R&gt;&lt;C&gt;1&lt;/C&gt;&lt;D xsi:type="xsd:double"&gt;2947.002&lt;/D&gt;&lt;/FQL&gt;&lt;FQL&gt;&lt;Q&gt;NVDA^FE_ESTIMATE(EBITDA,MEAN,LTM4,,45768,,,'')&lt;/Q&gt;&lt;R&gt;1&lt;/R&gt;&lt;C&gt;1&lt;/C&gt;&lt;D xsi:type="xsd:double"&gt;87955.49&lt;/D&gt;&lt;/FQL&gt;&lt;FQL&gt;&lt;Q&gt;MSFT^FE_ESTIMATE(EBITDA,MEAN,LTM4,,45768,,,'')&lt;/Q&gt;&lt;R&gt;1&lt;/R&gt;&lt;C&gt;1&lt;/C&gt;&lt;D xsi:type="xsd:double"&gt;145930.94&lt;/D&gt;&lt;/FQL&gt;&lt;FQL&gt;&lt;Q&gt;AVT^FE_ESTIMATE(EBITDA,MEAN,CAL4,2024,45768,,,'')&lt;/Q&gt;&lt;R&gt;1&lt;/R&gt;&lt;C&gt;1&lt;/C&gt;&lt;D xsi:type="xsd:double"&gt;813.0833&lt;/D&gt;&lt;/FQL&gt;&lt;FQL&gt;&lt;Q&gt;ARW^FE_ESTIMATE(EBITDA,MEAN,CAL4,2024,45768,,,'')&lt;/Q&gt;&lt;R&gt;1&lt;/R&gt;&lt;C&gt;1&lt;/C&gt;&lt;D xsi:type="xsd:double"&gt;1151.0667&lt;/D&gt;&lt;/FQL&gt;&lt;FQL&gt;&lt;Q&gt;SNX^FE_ESTIMATE(EBITDA,MEAN,CAL4,2024,45768,,,'')&lt;/Q&gt;&lt;R&gt;1&lt;/R&gt;&lt;C&gt;1&lt;/C&gt;&lt;D xsi:type="xsd:double"&gt;1739.1866&lt;/D&gt;&lt;/FQL&gt;&lt;FQL&gt;&lt;Q&gt;CDW^FE_ESTIMATE(EBITDA,MEAN,CALA_ROLL,2027,45768,,,'')&lt;/Q&gt;&lt;R&gt;1&lt;/R&gt;&lt;C&gt;1&lt;/C&gt;&lt;D xsi:type="xsd:double"&gt;2317.5366&lt;/D&gt;&lt;/FQL&gt;&lt;FQL&gt;&lt;Q&gt;INGM^FE_ESTIMATE(EBITDA,MEAN,CALA_ROLL,2027,45768,,,'')&lt;/Q&gt;&lt;R&gt;1&lt;/R&gt;&lt;C&gt;1&lt;/C&gt;&lt;D xsi:type="xsd:double"&gt;1523.6659&lt;/D&gt;&lt;/FQL&gt;&lt;FQL&gt;&lt;Q&gt;AVT^FE_ESTIMATE(EBIT,MEAN,CAL4,2027,45768,,,'')&lt;/Q&gt;&lt;R&gt;1&lt;/R&gt;&lt;C&gt;1&lt;/C&gt;&lt;D xsi:type="xsd:double"&gt;948&lt;/D&gt;&lt;/FQL&gt;&lt;FQL&gt;&lt;Q&gt;AVT^FE_ESTIMATE(EBIT,MEAN,CAL4,2023,45768,,,'')&lt;/Q&gt;&lt;R&gt;1&lt;/R&gt;&lt;C&gt;1&lt;/C&gt;&lt;D xsi:type="xsd:double"&gt;1131.8362&lt;/D&gt;&lt;/FQL&gt;&lt;FQL&gt;&lt;Q&gt;ARW^FE_ESTIMATE(EBIT,MEAN,CAL4,2023,45768,,,'')&lt;/Q&gt;&lt;R&gt;1&lt;/R&gt;&lt;C&gt;1&lt;/C&gt;&lt;D xsi:type="xsd:double"&gt;1584.7036&lt;/D&gt;&lt;/FQL&gt;&lt;FQL&gt;&lt;Q&gt;SNX^FE_ESTIMATE(EBIT,MEAN,CAL4,2023,45768,,,'')&lt;/Q&gt;&lt;R&gt;1&lt;/R&gt;&lt;C&gt;1&lt;/C&gt;&lt;D xsi:type="xsd:double"&gt;1636.843&lt;/D&gt;&lt;/FQL&gt;&lt;FQL&gt;&lt;Q&gt;CDW^FE_ESTIMATE(EBIT,MEAN,CAL4,2026,45768,,,'')&lt;/Q&gt;&lt;R&gt;1&lt;/R&gt;&lt;C&gt;1&lt;/C&gt;&lt;D xsi:type="xsd:double"&gt;2085.087&lt;/D&gt;&lt;/FQL&gt;&lt;FQL&gt;&lt;Q&gt;INGM^FE_ESTIMATE(EBIT,MEAN,CAL4,2026,45768,,,'')&lt;/Q&gt;&lt;R&gt;1&lt;/R&gt;&lt;C&gt;1&lt;/C&gt;&lt;D xsi:type="xsd:double"&gt;1235.1&lt;/D&gt;&lt;/FQL&gt;&lt;FQL&gt;&lt;Q&gt;DOCN^FE_ESTIMATE(EBIT,MEAN,CAL4,2026,45768,,,'')&lt;/Q&gt;&lt;R&gt;1&lt;/R&gt;&lt;C&gt;1&lt;/C&gt;&lt;D xsi:type="xsd:double"&gt;287.38416&lt;/D&gt;&lt;/FQL&gt;&lt;FQL&gt;&lt;Q&gt;INGM^FE_ESTIMATE(UFCF,MEAN,CALA_ROLL,2023,45768,,,'')&lt;/Q&gt;&lt;R&gt;0&lt;/R&gt;&lt;C&gt;0&lt;/C&gt;&lt;/FQL&gt;&lt;FQL&gt;&lt;Q&gt;ORCL^FE_ESTIMATE(UFCF,MEAN,CALA_ROLL,2027,45768,,,'')&lt;/Q&gt;&lt;R&gt;0&lt;/R&gt;&lt;C&gt;0&lt;/C&gt;&lt;/FQL&gt;&lt;FQL&gt;&lt;Q&gt;EQIX^FE_ESTIMATE(UFCF,MEAN,CALA_ROLL,2023,45768,,,'')&lt;/Q&gt;&lt;R&gt;0&lt;/R&gt;&lt;C&gt;0&lt;/C&gt;&lt;/FQL&gt;&lt;FQL&gt;&lt;Q&gt;MSFT^FE_ESTIMATE(UFCF,MEAN,CALA_ROLL,2026,45768,,,'')&lt;/Q&gt;&lt;R&gt;0&lt;/R&gt;&lt;C&gt;0&lt;/C&gt;&lt;/FQL&gt;&lt;FQL&gt;&lt;Q&gt;ARW^FE_ESTIMATE(FCF,MEAN,NTM4,,45768,,,'')&lt;/Q&gt;&lt;R&gt;0&lt;/R&gt;&lt;C&gt;0&lt;/C&gt;&lt;/FQL&gt;&lt;FQL&gt;&lt;Q&gt;INGM^FE_ESTIMATE(FCF,MEAN,CAL4,2025,45768,,,'')&lt;/Q&gt;&lt;R&gt;1&lt;/R&gt;&lt;C&gt;1&lt;/C&gt;&lt;D xsi:type="xsd:double"&gt;331.5&lt;/D&gt;&lt;/FQL&gt;&lt;FQL&gt;&lt;Q&gt;GOOG^FE_ESTIMATE(FCF,MEAN,LTM4,,45768,,,'')&lt;/Q&gt;&lt;R&gt;1&lt;/R&gt;&lt;C&gt;1&lt;/C&gt;&lt;D xsi:type="xsd:double"&gt;73062&lt;/D&gt;&lt;/FQL&gt;&lt;FQL&gt;&lt;Q&gt;IBM^FE_ESTIMATE(FCF,MEAN,CAL4,2024,45768,,,'')&lt;/Q&gt;&lt;R&gt;1&lt;/R&gt;&lt;C&gt;1&lt;/C&gt;&lt;D xsi:type="xsd:double"&gt;12749&lt;/D&gt;&lt;/FQL&gt;&lt;FQL&gt;&lt;Q&gt;NVDA^FE_ESTIMATE(FCF,MEAN,CALA_ROLL,2027,45768,,,'')&lt;/Q&gt;&lt;R&gt;1&lt;/R&gt;&lt;C&gt;1&lt;/C&gt;&lt;D xsi:type="xsd:double"&gt;147631.06&lt;/D&gt;&lt;/FQL&gt;&lt;FQL&gt;&lt;Q&gt;AVT^FE_ESTIMATE(EPS_GAAP,MEAN,CAL4,2023,45768,,,'')&lt;/Q&gt;&lt;R&gt;1&lt;/R&gt;&lt;C&gt;1&lt;/C&gt;&lt;D xsi:type="xsd:double"&gt;7.24&lt;/D&gt;&lt;/FQL&gt;&lt;FQL&gt;&lt;Q&gt;CDW^FE_ESTIMATE(EPS_GAAP,MEAN,CAL4,2026,45768,,,'')&lt;/Q&gt;&lt;R&gt;1&lt;/R&gt;&lt;C&gt;1&lt;/C&gt;&lt;D xsi:type="xsd:double"&gt;9.096194&lt;/D&gt;&lt;/FQL&gt;&lt;FQL&gt;&lt;Q&gt;DOCN^FE_ESTIMATE(EPS_GAAP,MEAN,CAL4,2024,45768,,,'')&lt;/Q&gt;&lt;R&gt;1&lt;/R&gt;&lt;C&gt;1&lt;/C&gt;&lt;D xsi:type="xsd:double"&gt;0.87&lt;/D&gt;&lt;/FQL&gt;&lt;FQL&gt;&lt;Q&gt;IBM^FE_ESTIMATE(EPS_GAAP,MEAN,CALA_ROLL,2027,45768,,,'')&lt;/Q&gt;&lt;R&gt;1&lt;/R&gt;&lt;C&gt;1&lt;/C&gt;&lt;D xsi:type="xsd:double"&gt;10.72&lt;/D&gt;&lt;/FQL&gt;&lt;FQL&gt;&lt;Q&gt;IBM^FE_ESTIMATE(EPS_GAAP,MEAN,NTM4,,45768,,,'')&lt;/Q&gt;&lt;R&gt;1&lt;/R&gt;&lt;C&gt;1&lt;/C&gt;&lt;D xsi:type="xsd:double"&gt;9.347035&lt;/D&gt;&lt;/FQL&gt;&lt;FQL&gt;&lt;Q&gt;EQIX^FE_ESTIMATE(EPS_GAAP,MEAN,CAL4,2025,45768,,,'')&lt;/Q&gt;&lt;R&gt;1&lt;/R&gt;&lt;C&gt;1&lt;/C&gt;&lt;D xsi:type="xsd:double"&gt;13.220971&lt;/D&gt;&lt;/FQL&gt;&lt;FQL&gt;&lt;Q&gt;DLR^FE_ESTIMATE(EPS_GAAP,MEAN,CALA_ROLL,2027,45768,,,'')&lt;/Q&gt;&lt;R&gt;1&lt;/R&gt;&lt;C&gt;1&lt;/C&gt;&lt;D xsi:type="xsd:double"&gt;1.9592832&lt;/D&gt;&lt;/FQL&gt;&lt;FQL&gt;&lt;Q&gt;DLR^FE_ESTIMATE(EPS_GAAP,MEAN,CAL4,2023,45768,,,'')&lt;/Q&gt;&lt;R&gt;1&lt;/R&gt;&lt;C&gt;1&lt;/C&gt;&lt;D xsi:type="xsd:double"&gt;2.97&lt;/D&gt;&lt;/FQL&gt;&lt;FQL&gt;&lt;Q&gt;NVDA^FE_ESTIMATE(EPS_GAAP,MEAN,CAL4,2025,45768,,,'')&lt;/Q&gt;&lt;R&gt;1&lt;/R&gt;&lt;C&gt;1&lt;/C&gt;&lt;D xsi:type="xsd:double"&gt;4.254923&lt;/D&gt;&lt;/FQL&gt;&lt;FQL&gt;&lt;Q&gt;NVDA^FE_ESTIMATE(EPS_GAAP,MEAN,LTM4,,45768,,,'')&lt;/Q&gt;&lt;R&gt;1&lt;/R&gt;&lt;C&gt;1&lt;/C&gt;&lt;D xsi:type="xsd:double"&gt;2.938&lt;/D&gt;&lt;/FQL&gt;&lt;FQL&gt;&lt;Q&gt;MSFT^FE_ESTIMATE(EPS_GAAP,MEAN,CAL4,2023,45768,,,'')&lt;/Q&gt;&lt;R&gt;1&lt;/R&gt;&lt;C&gt;1&lt;/C&gt;&lt;D xsi:type="xsd:double"&gt;11.060136&lt;/D&gt;&lt;/FQL&gt;&lt;FQL&gt;&lt;Q&gt;DOCN^FE_ESTIMATE(EBITDA,MEAN,CAL4,2026,45768,,,'')&lt;/Q&gt;&lt;R&gt;1&lt;/R&gt;&lt;C&gt;1&lt;/C&gt;&lt;D xsi:type="xsd:double"&gt;401.96646&lt;/D&gt;&lt;/FQL&gt;&lt;FQL&gt;&lt;Q&gt;DOCN^FE_ESTIMATE(EBITDA,MEAN,LTM4,,45768,,,'')&lt;/Q&gt;&lt;R&gt;1&lt;/R&gt;&lt;C&gt;1&lt;/C&gt;&lt;D xsi:type="xsd:double"&gt;328.5&lt;/D&gt;&lt;/FQL&gt;&lt;FQL&gt;&lt;Q&gt;GOOG^FE_ESTIMATE(EBITDA,MEAN,CAL4,2024,45768,,,'')&lt;/Q&gt;&lt;R&gt;1&lt;/R&gt;&lt;C&gt;1&lt;/C&gt;&lt;D xsi:type="xsd:double"&gt;150905.94&lt;/D&gt;&lt;/FQL&gt;&lt;FQL&gt;&lt;Q&gt;AMZN^FE_ESTIMATE(EBITDA,MEAN,CAL4,2026,45768,,,'')&lt;/Q&gt;&lt;R&gt;1&lt;/R&gt;&lt;C&gt;1&lt;/C&gt;&lt;D xsi:type="xsd:double"&gt;190523.3&lt;/D&gt;&lt;/FQL&gt;&lt;FQL&gt;&lt;Q&gt;AMZN^FE_ESTIMATE(EBITDA,MEAN,NTM4,,45768,,,'')&lt;/Q&gt;&lt;R&gt;1&lt;/R&gt;&lt;C&gt;1&lt;/C&gt;&lt;D xsi:type="xsd:double"&gt;165379.06&lt;/D&gt;&lt;/FQL&gt;&lt;FQL&gt;&lt;Q&gt;ORCL^FE_ESTIMATE(EBITDA,MEAN,CAL4,2025,45768,,,'')&lt;/Q&gt;&lt;R&gt;1&lt;/R&gt;&lt;C&gt;1&lt;/C&gt;&lt;D xsi:type="xsd:double"&gt;32108.611&lt;/D&gt;&lt;/FQL&gt;&lt;FQL&gt;&lt;Q&gt;ORCL^FE_ESTIMATE(EBITDA,MEAN,LTM4,,45768,,,'')&lt;/Q&gt;&lt;R&gt;1&lt;/R&gt;&lt;C&gt;1&lt;/C&gt;&lt;D xsi:type="xsd:double"&gt;29877.475&lt;/D&gt;&lt;/FQL&gt;&lt;FQL&gt;&lt;Q&gt;IBM^FE_ESTIMATE(EBITDA,MEAN,LTM4,,45768,,,'')&lt;/Q&gt;&lt;R&gt;1&lt;/R&gt;&lt;C&gt;1&lt;/C&gt;&lt;D xsi:type="xsd:double"&gt;15966&lt;/D&gt;&lt;/FQL&gt;&lt;FQL&gt;&lt;Q&gt;EQIX^FE_ESTIMATE(EBITDA,MEAN,LTM4,,45768,,,'')&lt;/Q&gt;&lt;R&gt;1&lt;/R&gt;&lt;C&gt;1&lt;/C&gt;&lt;D xsi:type="xsd:double"&gt;4097&lt;/D&gt;&lt;/FQL&gt;&lt;FQL&gt;&lt;Q&gt;DLR^FE_ESTIMATE(EBITDA,MEAN,CAL4,2024,45768,,,'')&lt;/Q&gt;&lt;R&gt;1&lt;/R&gt;&lt;C&gt;1&lt;/C&gt;&lt;D xsi:type="xsd:double"&gt;2947.002&lt;/D&gt;&lt;/FQL&gt;&lt;FQL&gt;&lt;Q&gt;NVDA^FE_ESTIMATE(EBITDA,MEAN,CAL4,2024,45768,,,'')&lt;/Q&gt;&lt;R&gt;1&lt;/R&gt;&lt;C&gt;1&lt;/C&gt;&lt;D xsi:type="xsd:double"&gt;87955.49&lt;/D&gt;&lt;/FQL&gt;&lt;FQL&gt;&lt;Q&gt;MSFT^FE_ESTIMATE(EBITDA,MEAN,CAL4,2024,45768,,,'')&lt;/Q&gt;&lt;R&gt;1&lt;/R&gt;&lt;C&gt;1&lt;/C&gt;&lt;D xsi:type="xsd:double"&gt;145930.94&lt;/D&gt;&lt;/FQL&gt;&lt;FQL&gt;&lt;Q&gt;AVT^FE_ESTIMATE(EBITDA,MEAN,CAL4,2027,45768,,,'')&lt;/Q&gt;&lt;R&gt;1&lt;/R&gt;&lt;C&gt;1&lt;/C&gt;&lt;D xsi:type="xsd:double"&gt;1047&lt;/D&gt;&lt;/FQL&gt;&lt;FQL&gt;&lt;Q&gt;ARW^FE_ESTIMATE(EBITDA,MEAN,CALA_ROLL,2027,45768,,,'')&lt;/Q&gt;&lt;R&gt;1&lt;/R&gt;&lt;C&gt;1&lt;/C&gt;&lt;D xsi:type="xsd:double"&gt;1631&lt;/D&gt;&lt;/FQL&gt;&lt;FQL&gt;&lt;Q&gt;SNX^FE_ESTIMATE(EBITDA,MEAN,CAL4,2027,45768,,,'')&lt;/Q&gt;&lt;R&gt;1&lt;/R&gt;&lt;C&gt;1&lt;/C&gt;&lt;D xsi:type="xsd:double"&gt;1957.8336&lt;/D&gt;&lt;/FQL&gt;&lt;FQL&gt;&lt;Q&gt;SNX^FE_ESTIMATE(EBITDA,MEAN,CAL4,2023,45768,,,'')&lt;/Q&gt;&lt;R&gt;1&lt;/R&gt;&lt;C&gt;1&lt;/C&gt;&lt;D xsi:type="xsd:double"&gt;1753.0847&lt;/D&gt;&lt;/FQL&gt;&lt;FQL&gt;&lt;Q&gt;CDW^FE_ESTIMATE(EBITDA,MEAN,CAL4,2023,45768,,,'')&lt;/Q&gt;&lt;R&gt;1&lt;/R&gt;&lt;C&gt;1&lt;/C&gt;&lt;D xsi:type="xsd:double"&gt;2175.6484&lt;/D&gt;&lt;/FQL&gt;&lt;FQL&gt;&lt;Q&gt;DOCN^FE_ESTIMATE(UFCF,MEAN,CALA_ROLL,2027,45768,,,'')&lt;/Q&gt;&lt;R&gt;0&lt;/R&gt;&lt;C&gt;0&lt;/C&gt;&lt;/FQL&gt;&lt;FQL&gt;&lt;Q&gt;ORCL^FE_ESTIMATE(UFCF,MEAN,CALA_ROLL,2026,45768,,,'')&lt;/Q&gt;&lt;R&gt;0&lt;/R&gt;&lt;C&gt;0&lt;/C&gt;&lt;/FQL&gt;&lt;FQL&gt;&lt;Q&gt;EQIX^FE_ESTIMATE(UFCF,MEAN,NTM4,,45768,,,'')&lt;/Q&gt;&lt;R&gt;1&lt;/R&gt;&lt;C&gt;1&lt;/C&gt;&lt;D xsi:type="xsd:double"&gt;1379.2&lt;/D&gt;&lt;/FQL&gt;&lt;FQL&gt;&lt;Q&gt;MSFT^FE_ESTIMATE(UFCF,MEAN,CALA_ROLL,2025,45768,,,'')&lt;/Q&gt;&lt;R&gt;0&lt;/R&gt;&lt;C&gt;0&lt;/C&gt;&lt;/FQL&gt;&lt;FQL&gt;&lt;Q&gt;ARW^FE_ESTIMATE(FCF,MEAN,LTM4,,45768,,,'')&lt;/Q&gt;&lt;R&gt;0&lt;/R&gt;&lt;C&gt;0&lt;/C&gt;&lt;/FQL&gt;&lt;FQL&gt;&lt;Q&gt;INGM^FE_ESTIMATE(FCF,MEAN,CAL4,2024,45768,,,'')&lt;/Q&gt;&lt;R&gt;0&lt;/R&gt;&lt;C&gt;0&lt;/C&gt;&lt;/FQL&gt;&lt;FQL&gt;&lt;Q&gt;AMZN^FE_ESTIMATE(FCF,MEAN,CALA_ROLL,2027,45768,,,'')&lt;/Q&gt;&lt;R&gt;1&lt;/R&gt;&lt;C&gt;1&lt;/C&gt;&lt;D xsi:type="xsd:double"&gt;107814.164&lt;/D&gt;&lt;/FQL&gt;&lt;FQL&gt;&lt;Q&gt;IBM^FE_ESTIMATE(FCF,MEAN,CAL4,2023,45768,,,'')&lt;/Q&gt;&lt;R&gt;1&lt;/R&gt;&lt;C&gt;1&lt;/C&gt;&lt;D xsi:type="xsd:double"&gt;11210&lt;/D&gt;&lt;/FQL&gt;&lt;FQL&gt;&lt;Q&gt;NVDA^FE_ESTIMATE(FCF,MEAN,CAL4,2026,45768,,,'')&lt;/Q&gt;&lt;R&gt;1&lt;/R&gt;&lt;C&gt;1&lt;/C&gt;&lt;D xsi:type="xsd:double"&gt;129759.445&lt;/D&gt;&lt;/FQL&gt;&lt;FQL&gt;&lt;Q&gt;AVT^FE_ESTIMATE(EPS_GAAP,MEAN,NTM4,,45768,,,'')&lt;/Q&gt;&lt;R&gt;1&lt;/R&gt;&lt;C&gt;1&lt;/C&gt;&lt;D xsi:type="xsd:double"&gt;3.5533333&lt;/D&gt;&lt;/FQL&gt;&lt;FQL&gt;&lt;Q&gt;CDW^FE_ESTIMATE(EPS_GAAP,MEAN,CAL4,2025,45768,,,'')&lt;/Q&gt;&lt;R&gt;1&lt;/R&gt;&lt;C&gt;1&lt;/C&gt;&lt;D xsi:type="xsd:double"&gt;8.29758&lt;/D&gt;&lt;/FQL&gt;&lt;FQL&gt;&lt;Q&gt;GOOG^FE_ESTIMATE(EPS_GAAP,MEAN,LTM4,,45768,,,'')&lt;/Q&gt;&lt;R&gt;1&lt;/R&gt;&lt;C&gt;1&lt;/C&gt;&lt;D xsi:type="xsd:double"&gt;8.05&lt;/D&gt;&lt;/FQL&gt;&lt;FQL&gt;&lt;Q&gt;ORCL^FE_ESTIMATE(EPS_GAAP,MEAN,CAL4,2026,45768,,,'')&lt;/Q&gt;&lt;R&gt;1&lt;/R&gt;&lt;C&gt;1&lt;/C&gt;&lt;D xsi:type="xsd:double"&gt;5.5178604&lt;/D&gt;&lt;/FQL&gt;&lt;FQL&gt;&lt;Q&gt;ORCL^FE_ESTIMATE(EBITDA,MEAN,CAL4,2024,45768,,,'')&lt;/Q&gt;&lt;R&gt;1&lt;/R&gt;&lt;C&gt;1&lt;/C&gt;&lt;D xsi:type="xsd:double"&gt;29480.475&lt;/D&gt;&lt;/FQL&gt;&lt;FQL&gt;&lt;Q&gt;IBM^FE_ESTIMATE(EBITDA,MEAN,CAL4,2024,45768,,,'')&lt;/Q&gt;&lt;R&gt;1&lt;/R&gt;&lt;C&gt;1&lt;/C&gt;&lt;D xsi:type="xsd:double"&gt;15966&lt;/D&gt;&lt;/FQL&gt;&lt;FQL&gt;&lt;Q&gt;EQIX^FE_ESTIMATE(EBITDA,MEAN,CAL4,2024,45768,,,'')&lt;/Q&gt;&lt;R&gt;1&lt;/R&gt;&lt;C&gt;1&lt;/C&gt;&lt;D xsi:type="xsd:double"&gt;4097&lt;/D&gt;&lt;/FQL&gt;&lt;FQL&gt;&lt;Q&gt;DLR^FE_ESTIMATE(EBITDA,MEAN,C</t>
        </r>
      </text>
    </comment>
    <comment ref="A2" authorId="0" shapeId="0" xr:uid="{8D8C6432-2BF4-4F18-A861-04C37EAAF561}">
      <text>
        <r>
          <rPr>
            <b/>
            <sz val="9"/>
            <color indexed="81"/>
            <rFont val="Tahoma"/>
            <charset val="1"/>
          </rPr>
          <t>ALA_ROLL,2027,45768,,,'')&lt;/Q&gt;&lt;R&gt;1&lt;/R&gt;&lt;C&gt;1&lt;/C&gt;&lt;D xsi:type="xsd:double"&gt;3997.4087&lt;/D&gt;&lt;/FQL&gt;&lt;FQL&gt;&lt;Q&gt;NVDA^FE_ESTIMATE(EBITDA,MEAN,CALA_ROLL,2027,45768,,,'')&lt;/Q&gt;&lt;R&gt;1&lt;/R&gt;&lt;C&gt;1&lt;/C&gt;&lt;D xsi:type="xsd:double"&gt;181943.33&lt;/D&gt;&lt;/FQL&gt;&lt;FQL&gt;&lt;Q&gt;MSFT^FE_ESTIMATE(EBITDA,MEAN,CALA_ROLL,2027,45768,,,'')&lt;/Q&gt;&lt;R&gt;1&lt;/R&gt;&lt;C&gt;1&lt;/C&gt;&lt;D xsi:type="xsd:double"&gt;216661.86&lt;/D&gt;&lt;/FQL&gt;&lt;FQL&gt;&lt;Q&gt;MSFT^FE_ESTIMATE(EBITDA,MEAN,CAL4,2023,45768,,,'')&lt;/Q&gt;&lt;R&gt;1&lt;/R&gt;&lt;C&gt;1&lt;/C&gt;&lt;D xsi:type="xsd:double"&gt;119708.5&lt;/D&gt;&lt;/FQL&gt;&lt;FQL&gt;&lt;Q&gt;AVT^FE_ESTIMATE(EBITDA,MEAN,CAL4,2023,45768,,,'')&lt;/Q&gt;&lt;R&gt;1&lt;/R&gt;&lt;C&gt;1&lt;/C&gt;&lt;D xsi:type="xsd:double"&gt;1230.6333&lt;/D&gt;&lt;/FQL&gt;&lt;FQL&gt;&lt;Q&gt;ARW^FE_ESTIMATE(EBITDA,MEAN,CAL4,2023,45768,,,'')&lt;/Q&gt;&lt;R&gt;1&lt;/R&gt;&lt;C&gt;1&lt;/C&gt;&lt;D xsi:type="xsd:double"&gt;1749.7667&lt;/D&gt;&lt;/FQL&gt;&lt;FQL&gt;&lt;Q&gt;SNX^FE_ESTIMATE(EBITDA,MEAN,CAL4,2026,45768,,,'')&lt;/Q&gt;&lt;R&gt;1&lt;/R&gt;&lt;C&gt;1&lt;/C&gt;&lt;D xsi:type="xsd:double"&gt;1824.969&lt;/D&gt;&lt;/FQL&gt;&lt;FQL&gt;&lt;Q&gt;CDW^FE_ESTIMATE(EBITDA,MEAN,CAL4,2026,45768,,,'')&lt;/Q&gt;&lt;R&gt;1&lt;/R&gt;&lt;C&gt;1&lt;/C&gt;&lt;D xsi:type="xsd:double"&gt;2373.5034&lt;/D&gt;&lt;/FQL&gt;&lt;FQL&gt;&lt;Q&gt;INGM^FE_ESTIMATE(EBITDA,MEAN,CAL4,2026,45768,,,'')&lt;/Q&gt;&lt;R&gt;1&lt;/R&gt;&lt;C&gt;1&lt;/C&gt;&lt;D xsi:type="xsd:double"&gt;1429.35&lt;/D&gt;&lt;/FQL&gt;&lt;FQL&gt;&lt;Q&gt;INGM^FE_ESTIMATE(EBITDA,MEAN,NTM4,,45768,,,'')&lt;/Q&gt;&lt;R&gt;1&lt;/R&gt;&lt;C&gt;1&lt;/C&gt;&lt;D xsi:type="xsd:double"&gt;1297.6563&lt;/D&gt;&lt;/FQL&gt;&lt;FQL&gt;&lt;Q&gt;AVT^FE_ESTIMATE(EBIT,MEAN,NTM4,,45768,,,'')&lt;/Q&gt;&lt;R&gt;1&lt;/R&gt;&lt;C&gt;1&lt;/C&gt;&lt;D xsi:type="xsd:double"&gt;726.545&lt;/D&gt;&lt;/FQL&gt;&lt;FQL&gt;&lt;Q&gt;ARW^FE_ESTIMATE(EBIT,MEAN,NTM4,,45768,,,'')&lt;/Q&gt;&lt;R&gt;1&lt;/R&gt;&lt;C&gt;1&lt;/C&gt;&lt;D xsi:type="xsd:double"&gt;948.91473&lt;/D&gt;&lt;/FQL&gt;&lt;FQL&gt;&lt;Q&gt;SNX^FE_ESTIMATE(EBIT,MEAN,CAL4,2025,45768,,,'')&lt;/Q&gt;&lt;R&gt;1&lt;/R&gt;&lt;C&gt;1&lt;/C&gt;&lt;D xsi:type="xsd:double"&gt;1632.6938&lt;/D&gt;&lt;/FQL&gt;&lt;FQL&gt;&lt;Q&gt;CDW^FE_ESTIMATE(EBIT,MEAN,CAL4,2025,45768,,,'')&lt;/Q&gt;&lt;R&gt;1&lt;/R&gt;&lt;C&gt;1&lt;/C&gt;&lt;D xsi:type="xsd:double"&gt;1964.7653&lt;/D&gt;&lt;/FQL&gt;&lt;FQL&gt;&lt;Q&gt;INGM^FE_ESTIMATE(EBIT,MEAN,CAL4,2025,45768,,,'')&lt;/Q&gt;&lt;R&gt;1&lt;/R&gt;&lt;C&gt;1&lt;/C&gt;&lt;D xsi:type="xsd:double"&gt;1071.0847&lt;/D&gt;&lt;/FQL&gt;&lt;FQL&gt;&lt;Q&gt;INGM^FE_ESTIMATE(EBIT,MEAN,LTM4,,45768,,,'')&lt;/Q&gt;&lt;R&gt;0&lt;/R&gt;&lt;C&gt;0&lt;/C&gt;&lt;/FQL&gt;&lt;FQL&gt;&lt;Q&gt;GOOG^FE_ESTIMATE(UFCF,MEAN,CALA_ROLL,2026,45768,,,'')&lt;/Q&gt;&lt;R&gt;0&lt;/R&gt;&lt;C&gt;0&lt;/C&gt;&lt;/FQL&gt;&lt;FQL&gt;&lt;Q&gt;AVT^FE_ESTIMATE(FCF,MEAN,CAL4,2027,45768,,,'')&lt;/Q&gt;&lt;R&gt;0&lt;/R&gt;&lt;C&gt;0&lt;/C&gt;&lt;/FQL&gt;&lt;FQL&gt;&lt;Q&gt;AMZN^FE_ESTIMATE(FCF,MEAN,NTM4,,45768,,,'')&lt;/Q&gt;&lt;R&gt;1&lt;/R&gt;&lt;C&gt;1&lt;/C&gt;&lt;D xsi:type="xsd:double"&gt;44501.56&lt;/D&gt;&lt;/FQL&gt;&lt;FQL&gt;&lt;Q&gt;ARW^FE_ESTIMATE(EPS_GAAP,MEAN,CAL4,2024,45768,,,'')&lt;/Q&gt;&lt;R&gt;1&lt;/R&gt;&lt;C&gt;1&lt;/C&gt;&lt;D xsi:type="xsd:double"&gt;7.28&lt;/D&gt;&lt;/FQL&gt;&lt;FQL&gt;&lt;Q&gt;AMZN^FE_ESTIMATE(EPS_GAAP,MEAN,CAL4,2025,45768,,,'')&lt;/Q&gt;&lt;R&gt;1&lt;/R&gt;&lt;C&gt;1&lt;/C&gt;&lt;D xsi:type="xsd:double"&gt;6.1896443&lt;/D&gt;&lt;/FQL&gt;&lt;FQL&gt;&lt;Q&gt;IBM^FE_ESTIMATE(EPS_GAAP,MEAN,LTM4,,45768,,,'')&lt;/Q&gt;&lt;R&gt;1&lt;/R&gt;&lt;C&gt;1&lt;/C&gt;&lt;D xsi:type="xsd:double"&gt;6.42&lt;/D&gt;&lt;/FQL&gt;&lt;FQL&gt;&lt;Q&gt;DLR^FE_ESTIMATE(EPS_GAAP,MEAN,LTM4,,45768,,,'')&lt;/Q&gt;&lt;R&gt;1&lt;/R&gt;&lt;C&gt;1&lt;/C&gt;&lt;D xsi:type="xsd:double"&gt;1.649787&lt;/D&gt;&lt;/FQL&gt;&lt;FQL&gt;&lt;Q&gt;MSFT^FE_ESTIMATE(EPS_GAAP,MEAN,NTM4,,45768,,,'')&lt;/Q&gt;&lt;R&gt;1&lt;/R&gt;&lt;C&gt;1&lt;/C&gt;&lt;D xsi:type="xsd:double"&gt;13.722855&lt;/D&gt;&lt;/FQL&gt;&lt;FQL&gt;&lt;Q&gt;GOOG^FE_ESTIMATE(EBITDA,MEAN,NTM4,,45768,,,'')&lt;/Q&gt;&lt;R&gt;1&lt;/R&gt;&lt;C&gt;1&lt;/C&gt;&lt;D xsi:type="xsd:double"&gt;170426.6&lt;/D&gt;&lt;/FQL&gt;&lt;FQL&gt;&lt;Q&gt;ORCL^FE_ESTIMATE(EBITDA,MEAN,CALA_ROLL,2027,45768,,,'')&lt;/Q&gt;&lt;R&gt;1&lt;/R&gt;&lt;C&gt;1&lt;/C&gt;&lt;D xsi:type="xsd:double"&gt;48005.266&lt;/D&gt;&lt;/FQL&gt;&lt;FQL&gt;&lt;Q&gt;IBM^FE_ESTIMATE(EBITDA,MEAN,CALA_ROLL,2027,45768,,,'')&lt;/Q&gt;&lt;R&gt;1&lt;/R&gt;&lt;C&gt;1&lt;/C&gt;&lt;D xsi:type="xsd:double"&gt;18356.889&lt;/D&gt;&lt;/FQL&gt;&lt;FQL&gt;&lt;Q&gt;EQIX^FE_ESTIMATE(EBITDA,MEAN,CALA_ROLL,2027,45768,,,'')&lt;/Q&gt;&lt;R&gt;1&lt;/R&gt;&lt;C&gt;1&lt;/C&gt;&lt;D xsi:type="xsd:double"&gt;5371.0283&lt;/D&gt;&lt;/FQL&gt;&lt;FQL&gt;&lt;Q&gt;MSFT^FE_ESTIMATE(EBITDA,MEAN,CAL4,2026,45768,,,'')&lt;/Q&gt;&lt;R&gt;1&lt;/R&gt;&lt;C&gt;1&lt;/C&gt;&lt;D xsi:type="xsd:double"&gt;187518.63&lt;/D&gt;&lt;/FQL&gt;&lt;FQL&gt;&lt;Q&gt;AVT^FE_ESTIMATE(EBITDA,MEAN,CAL4,2026,45768,,,'')&lt;/Q&gt;&lt;R&gt;1&lt;/R&gt;&lt;C&gt;1&lt;/C&gt;&lt;D xsi:type="xsd:double"&gt;1010.3&lt;/D&gt;&lt;/FQL&gt;&lt;FQL&gt;&lt;Q&gt;ARW^FE_ESTIMATE(EBITDA,MEAN,CAL4,2026,45768,,,'')&lt;/Q&gt;&lt;R&gt;1&lt;/R&gt;&lt;C&gt;1&lt;/C&gt;&lt;D xsi:type="xsd:double"&gt;1451.9&lt;/D&gt;&lt;/FQL&gt;&lt;FQL&gt;&lt;Q&gt;INGM^FE_ESTIMATE(EBITDA,MEAN,LTM4,,45768,,,'')&lt;/Q&gt;&lt;R&gt;0&lt;/R&gt;&lt;C&gt;0&lt;/C&gt;&lt;/FQL&gt;&lt;FQL&gt;&lt;Q&gt;ARW^FE_ESTIMATE(EBIT,MEAN,CAL4,2024,45768,,,'')&lt;/Q&gt;&lt;R&gt;1&lt;/R&gt;&lt;C&gt;1&lt;/C&gt;&lt;D xsi:type="xsd:double"&gt;1001.7478&lt;/D&gt;&lt;/FQL&gt;&lt;FQL&gt;&lt;Q&gt;SNX^FE_ESTIMATE(EBIT,MEAN,CAL4,2026,45768,,,'')&lt;/Q&gt;&lt;R&gt;1&lt;/R&gt;&lt;C&gt;1&lt;/C&gt;&lt;D xsi:type="xsd:double"&gt;1701.1986&lt;/D&gt;&lt;/FQL&gt;&lt;FQL&gt;&lt;Q&gt;CDW^FE_ESTIMATE(EBIT,MEAN,NTM4,,45768,,,'')&lt;/Q&gt;&lt;R&gt;1&lt;/R&gt;&lt;C&gt;1&lt;/C&gt;&lt;D xsi:type="xsd:double"&gt;1964.7653&lt;/D&gt;&lt;/FQL&gt;&lt;FQL&gt;&lt;Q&gt;DOCN^FE_ESTIMATE(EBIT,MEAN,CAL4,2025,45768,,,'')&lt;/Q&gt;&lt;R&gt;1&lt;/R&gt;&lt;C&gt;1&lt;/C&gt;&lt;D xsi:type="xsd:double"&gt;233.16283&lt;/D&gt;&lt;/FQL&gt;&lt;FQL&gt;&lt;Q&gt;GOOG^FE_ESTIMATE(EBIT,MEAN,CAL4,2023,45768,,,'')&lt;/Q&gt;&lt;R&gt;1&lt;/R&gt;&lt;C&gt;1&lt;/C&gt;&lt;D xsi:type="xsd:double"&gt;84280.03&lt;/D&gt;&lt;/FQL&gt;&lt;FQL&gt;&lt;Q&gt;AMZN^FE_ESTIMATE(EBIT,MEAN,LTM4,,45768,,,'')&lt;/Q&gt;&lt;R&gt;1&lt;/R&gt;&lt;C&gt;1&lt;/C&gt;&lt;D xsi:type="xsd:double"&gt;68593&lt;/D&gt;&lt;/FQL&gt;&lt;FQL&gt;&lt;Q&gt;IBM^FE_ESTIMATE(EBIT,MEAN,CAL4,2026,45768,,,'')&lt;/Q&gt;&lt;R&gt;1&lt;/R&gt;&lt;C&gt;1&lt;/C&gt;&lt;D xsi:type="xsd:double"&gt;12953.552&lt;/D&gt;&lt;/FQL&gt;&lt;FQL&gt;&lt;Q&gt;EQIX^FE_ESTIMATE(EBIT,MEAN,CAL4,2024,45768,,,'')&lt;/Q&gt;&lt;R&gt;1&lt;/R&gt;&lt;C&gt;1&lt;/C&gt;&lt;D xsi:type="xsd:double"&gt;1682.2444&lt;/D&gt;&lt;/FQL&gt;&lt;FQL&gt;&lt;Q&gt;DLR^FE_ESTIMATE(EBIT,MEAN,NTM4,,45768,,,'')&lt;/Q&gt;&lt;R&gt;1&lt;/R&gt;&lt;C&gt;1&lt;/C&gt;&lt;D xsi:type="xsd:double"&gt;937.85345&lt;/D&gt;&lt;/FQL&gt;&lt;FQL&gt;&lt;Q&gt;MSFT^FE_ESTIMATE(EBIT,MEAN,CALA_ROLL,2027,45768,,,'')&lt;/Q&gt;&lt;R&gt;1&lt;/R&gt;&lt;C&gt;1&lt;/C&gt;&lt;D xsi:type="xsd:double"&gt;172412.28&lt;/D&gt;&lt;/FQL&gt;&lt;FQL&gt;&lt;Q&gt;AVT^FE_ESTIMATE(SALES,MEAN,CAL4,2025,45768,,,'')&lt;/Q&gt;&lt;R&gt;1&lt;/R&gt;&lt;C&gt;1&lt;/C&gt;&lt;D xsi:type="xsd:double"&gt;22259.436&lt;/D&gt;&lt;/FQL&gt;&lt;FQL&gt;&lt;Q&gt;ARW^FE_ESTIMATE(SALES,MEAN,CAL4,2026,45768,,,'')&lt;/Q&gt;&lt;R&gt;1&lt;/R&gt;&lt;C&gt;1&lt;/C&gt;&lt;D xsi:type="xsd:double"&gt;29683.566&lt;/D&gt;&lt;/FQL&gt;&lt;FQL&gt;&lt;Q&gt;SNX^FE_ESTIMATE(SALES,MEAN,CALA_ROLL,2027,45768,,,'')&lt;/Q&gt;&lt;R&gt;0&lt;/R&gt;&lt;C&gt;0&lt;/C&gt;&lt;/FQL&gt;&lt;FQL&gt;&lt;Q&gt;SNX^FREF_MARKET_VALUE_COMPANY(45768,,,,,0,,"LEGACY")&lt;/Q&gt;&lt;R&gt;1&lt;/R&gt;&lt;C&gt;1&lt;/C&gt;&lt;D xsi:type="xsd:double"&gt;8648.1015625&lt;/D&gt;&lt;/FQL&gt;&lt;FQL&gt;&lt;Q&gt;CDW^FF_ENTRPR_VAL_DAILY(45768,,,,,"DIL")&lt;/Q&gt;&lt;R&gt;1&lt;/R&gt;&lt;C&gt;1&lt;/C&gt;&lt;D xsi:type="xsd:double"&gt;25727.984&lt;/D&gt;&lt;/FQL&gt;&lt;FQL&gt;&lt;Q&gt;INGM^FG_PRICE(45768)&lt;/Q&gt;&lt;R&gt;1&lt;/R&gt;&lt;C&gt;1&lt;/C&gt;&lt;D xsi:type="xsd:double"&gt;15.88&lt;/D&gt;&lt;/FQL&gt;&lt;FQL&gt;&lt;Q&gt;DOCN^FE_ESTIMATE(SALES,MEAN,CAL4,2026,45768,,,'')&lt;/Q&gt;&lt;R&gt;1&lt;/R&gt;&lt;C&gt;1&lt;/C&gt;&lt;D xsi:type="xsd:double"&gt;1005.61584&lt;/D&gt;&lt;/FQL&gt;&lt;FQL&gt;&lt;Q&gt;DOCN^FE_ESTIMATE(SALES,MEAN,CAL4,2023,45768,,,'')&lt;/Q&gt;&lt;R&gt;1&lt;/R&gt;&lt;C&gt;1&lt;/C&gt;&lt;D xsi:type="xsd:double"&gt;692.884&lt;/D&gt;&lt;/FQL&gt;&lt;FQL&gt;&lt;Q&gt;DOCN^FG_PRICE(45768)&lt;/Q&gt;&lt;R&gt;1&lt;/R&gt;&lt;C&gt;1&lt;/C&gt;&lt;D xsi:type="xsd:double"&gt;25.91&lt;/D&gt;&lt;/FQL&gt;&lt;FQL&gt;&lt;Q&gt;GOOG^FE_ESTIMATE(SALES,MEAN,CALA_ROLL,2027,45768,,,'')&lt;/Q&gt;&lt;R&gt;1&lt;/R&gt;&lt;C&gt;1&lt;/C&gt;&lt;D xsi:type="xsd:double"&gt;474068.22&lt;/D&gt;&lt;/FQL&gt;&lt;FQL&gt;&lt;Q&gt;GOOG^FE_ESTIMATE(SALES,MEAN,CAL4,2024,45768,,,'')&lt;/Q&gt;&lt;R&gt;1&lt;/R&gt;&lt;C&gt;1&lt;/C&gt;&lt;D xsi:type="xsd:double"&gt;350018&lt;/D&gt;&lt;/FQL&gt;&lt;FQL&gt;&lt;Q&gt;GOOG^FE_ESTIMATE(SALES,MEAN,LTM4,,45768,,,'')&lt;/Q&gt;&lt;R&gt;1&lt;/R&gt;&lt;C&gt;1&lt;/C&gt;&lt;D xsi:type="xsd:double"&gt;350018&lt;/D&gt;&lt;/FQL&gt;&lt;FQL&gt;&lt;Q&gt;GOOG^FREF_MARKET_VALUE_COMPANY(45768,,,,,0,,"LEGACY")&lt;/Q&gt;&lt;R&gt;1&lt;/R&gt;&lt;C&gt;1&lt;/C&gt;&lt;D xsi:type="xsd:double"&gt;1685139.5625&lt;/D&gt;&lt;/FQL&gt;&lt;FQL&gt;&lt;Q&gt;AMZN^FE_ESTIMATE(SALES,MEAN,CAL4,2025,45768,,,'')&lt;/Q&gt;&lt;R&gt;1&lt;/R&gt;&lt;C&gt;1&lt;/C&gt;&lt;D xsi:type="xsd:double"&gt;693712.06&lt;/D&gt;&lt;/FQL&gt;&lt;FQL&gt;&lt;Q&gt;AMZN^FE_ESTIMATE(SALES,MEAN,NTM4,,45768,,,'')&lt;/Q&gt;&lt;R&gt;1&lt;/R&gt;&lt;C&gt;1&lt;/C&gt;&lt;D xsi:type="xsd:double"&gt;693712.06&lt;/D&gt;&lt;/FQL&gt;&lt;FQL&gt;&lt;Q&gt;AMZN^FF_ENTRPR_VAL_DAILY(45768,,,,,"DIL")&lt;/Q&gt;&lt;R&gt;1&lt;/R&gt;&lt;C&gt;1&lt;/C&gt;&lt;D xsi:type="xsd:double"&gt;1836940.72&lt;/D&gt;&lt;/FQL&gt;&lt;FQL&gt;&lt;Q&gt;ORCL^FE_ESTIMATE(SALES,MEAN,CAL4,2026,45768,,,'')&lt;/Q&gt;&lt;R&gt;1&lt;/R&gt;&lt;C&gt;1&lt;/C&gt;&lt;D xsi:type="xsd:double"&gt;70087.484&lt;/D&gt;&lt;/FQL&gt;&lt;FQL&gt;&lt;Q&gt;ORCL^FE_ESTIMATE(SALES,MEAN,CAL4,2023,45768,,,'')&lt;/Q&gt;&lt;R&gt;1&lt;/R&gt;&lt;C&gt;1&lt;/C&gt;&lt;D xsi:type="xsd:double"&gt;51629&lt;/D&gt;&lt;/FQL&gt;&lt;FQL&gt;&lt;Q&gt;ORCL^FG_PRICE(45768)&lt;/Q&gt;&lt;R&gt;1&lt;/R&gt;&lt;C&gt;1&lt;/C&gt;&lt;D xsi:type="xsd:double"&gt;122.82&lt;/D&gt;&lt;/FQL&gt;&lt;FQL&gt;&lt;Q&gt;GOOG^FE_ESTIMATE(UFCF,MEAN,CALA_ROLL,2025,45768,,,'')&lt;/Q&gt;&lt;R&gt;0&lt;/R&gt;&lt;C&gt;0&lt;/C&gt;&lt;/FQL&gt;&lt;FQL&gt;&lt;Q&gt;AVT^FE_ESTIMATE(FCF,MEAN,CAL4,2026,45768,,,'')&lt;/Q&gt;&lt;R&gt;0&lt;/R&gt;&lt;C&gt;0&lt;/C&gt;&lt;/FQL&gt;&lt;FQL&gt;&lt;Q&gt;AMZN^FE_ESTIMATE(FCF,MEAN,LTM4,,45768,,,'')&lt;/Q&gt;&lt;R&gt;1&lt;/R&gt;&lt;C&gt;1&lt;/C&gt;&lt;D xsi:type="xsd:double"&gt;37569.48&lt;/D&gt;&lt;/FQL&gt;&lt;FQL&gt;&lt;Q&gt;ARW^FE_ESTIMATE(EPS_GAAP,MEAN,CAL4,2023,45768,,,'')&lt;/Q&gt;&lt;R&gt;1&lt;/R&gt;&lt;C&gt;1&lt;/C&gt;&lt;D xsi:type="xsd:double"&gt;15.79&lt;/D&gt;&lt;/FQL&gt;&lt;FQL&gt;&lt;Q&gt;AMZN^FE_ESTIMATE(EPS_GAAP,MEAN,CAL4,2024,45768,,,'')&lt;/Q&gt;&lt;R&gt;1&lt;/R&gt;&lt;C&gt;1&lt;/C&gt;&lt;D xsi:type="xsd:double"&gt;5.53&lt;/D&gt;&lt;/FQL&gt;&lt;FQL&gt;&lt;Q&gt;EQIX^FE_ESTIMATE(EBITDA,MEAN,CAL4,2026,45768,,,'')&lt;/Q&gt;&lt;R&gt;1&lt;/R&gt;&lt;C&gt;1&lt;/C&gt;&lt;D xsi:type="xsd:double"&gt;4922.059&lt;/D&gt;&lt;/FQL&gt;&lt;FQL&gt;&lt;Q&gt;DLR^FE_ESTIMATE(EBITDA,MEAN,CAL4,2026,45768,,,'')&lt;/Q&gt;&lt;R&gt;1&lt;/R&gt;&lt;C&gt;1&lt;/C&gt;&lt;D xsi:type="xsd:double"&gt;3418.6929&lt;/D&gt;&lt;/FQL&gt;&lt;FQL&gt;&lt;Q&gt;NVDA^FE_ESTIMATE(EBITDA,MEAN,CAL4,2026,45768,,,'')&lt;/Q&gt;&lt;R&gt;1&lt;/R&gt;&lt;C&gt;1&lt;/C&gt;&lt;D xsi:type="xsd:double"&gt;173844.36&lt;/D&gt;&lt;/FQL&gt;&lt;FQL&gt;&lt;Q&gt;ARW^FE_ESTIMATE(EBITDA,MEAN,CAL4,2025,45768,,,'')&lt;/Q&gt;&lt;R&gt;1&lt;/R&gt;&lt;C&gt;1&lt;/C&gt;&lt;D xsi:type="xsd:double"&gt;1101.1499&lt;/D&gt;&lt;/FQL&gt;&lt;FQL&gt;&lt;Q&gt;SNX^FE_ESTIMATE(EBITDA,MEAN,CAL4,2025,45768,,,'')&lt;/Q&gt;&lt;R&gt;1&lt;/R&gt;&lt;C&gt;1&lt;/C&gt;&lt;D xsi:type="xsd:double"&gt;1744.052&lt;/D&gt;&lt;/FQL&gt;&lt;FQL&gt;&lt;Q&gt;CDW^FE_ESTIMATE(EBITDA,MEAN,CAL4,2025,45768,,,'')&lt;/Q&gt;&lt;R&gt;1&lt;/R&gt;&lt;C&gt;1&lt;/C&gt;&lt;D xsi:type="xsd:double"&gt;2133.597&lt;/D&gt;&lt;/FQL&gt;&lt;FQL&gt;&lt;Q&gt;INGM^FE_ESTIMATE(EBITDA,MEAN,CAL4,2025,45768,,,'')&lt;/Q&gt;&lt;R&gt;1&lt;/R&gt;&lt;C&gt;1&lt;/C&gt;&lt;D xsi:type="xsd:double"&gt;1297.6563&lt;/D&gt;&lt;/FQL&gt;&lt;FQL&gt;&lt;Q&gt;CDW^FE_ESTIMATE(EBIT,MEAN,CALA_ROLL,2027,45768,,,'')&lt;/Q&gt;&lt;R&gt;1&lt;/R&gt;&lt;C&gt;1&lt;/C&gt;&lt;D xsi:type="xsd:double"&gt;2184.776&lt;/D&gt;&lt;/FQL&gt;&lt;FQL&gt;&lt;Q&gt;CDW^FE_ESTIMATE(EBIT,MEAN,LTM4,,45768,,,'')&lt;/Q&gt;&lt;R&gt;1&lt;/R&gt;&lt;C&gt;1&lt;/C&gt;&lt;D xsi:type="xsd:double"&gt;1952.63&lt;/D&gt;&lt;/FQL&gt;&lt;FQL&gt;&lt;Q&gt;INGM^FE_ESTIMATE(EBIT,MEAN,CAL4,2023,45768,,,'')&lt;/Q&gt;&lt;R&gt;0&lt;/R&gt;&lt;C&gt;0&lt;/C&gt;&lt;/FQL&gt;&lt;FQL&gt;&lt;Q&gt;DOCN^FE_ESTIMATE(EBIT,MEAN,CAL4,2024,45768,,,'')&lt;/Q&gt;&lt;R&gt;1&lt;/R&gt;&lt;C&gt;1&lt;/C&gt;&lt;D xsi:type="xsd:double"&gt;183.9113&lt;/D&gt;&lt;/FQL&gt;&lt;FQL&gt;&lt;Q&gt;GOOG^FE_ESTIMATE(EBIT,MEAN,CALA_ROLL,2027,45768,,,'')&lt;/Q&gt;&lt;R&gt;1&lt;/R&gt;&lt;C&gt;1&lt;/C&gt;&lt;D xsi:type="xsd:double"&gt;159309.39&lt;/D&gt;&lt;/FQL&gt;&lt;FQL&gt;&lt;Q&gt;GOOG^FE_ESTIMATE(EBIT,MEAN,NTM4,,45768,,,'')&lt;/Q&gt;&lt;R&gt;1&lt;/R&gt;&lt;C&gt;1&lt;/C&gt;&lt;D xsi:type="xsd:double"&gt;125423.96&lt;/D&gt;&lt;/FQL&gt;&lt;FQL&gt;&lt;Q&gt;AMZN^FE_ESTIMATE(EBIT,MEAN,CAL4,2025,45768,,,'')&lt;/Q&gt;&lt;R&gt;1&lt;/R&gt;&lt;C&gt;1&lt;/C&gt;&lt;D xsi:type="xsd:double"&gt;79543.57&lt;/D&gt;&lt;/FQL&gt;&lt;FQL&gt;&lt;Q&gt;ORCL^FE_ESTIMATE(EBIT,MEAN,CALA_ROLL,2027,45768,,,'')&lt;/Q&gt;&lt;R&gt;1&lt;/R&gt;&lt;C&gt;1&lt;/C&gt;&lt;D xsi:type="xsd:double"&gt;39527.996&lt;/D&gt;&lt;/FQL&gt;&lt;FQL&gt;&lt;Q&gt;ORCL^FE_ESTIMATE(EBIT,MEAN,CAL4,2023,45768,,,'')&lt;/Q&gt;&lt;R&gt;1&lt;/R&gt;&lt;C&gt;1&lt;/C&gt;&lt;D xsi:type="xsd:double"&gt;21846.732&lt;/D&gt;&lt;/FQL&gt;&lt;FQL&gt;&lt;Q&gt;IBM^FE_ESTIMATE(EBIT,MEAN,CAL4,2025,45768,,,'')&lt;/Q&gt;&lt;R&gt;1&lt;/R&gt;&lt;C&gt;1&lt;/C&gt;&lt;D xsi:type="xsd:double"&gt;12221.485&lt;/D&gt;&lt;/FQL&gt;&lt;FQL&gt;&lt;Q&gt;IBM^FE_ESTIMATE(EBIT,MEAN,LTM4,,45768,,,'')&lt;/Q&gt;&lt;R&gt;1&lt;/R&gt;&lt;C&gt;1&lt;/C&gt;&lt;D xsi:type="xsd:double"&gt;11312.172&lt;/D&gt;&lt;/FQL&gt;&lt;FQL&gt;&lt;Q&gt;EQIX^FE_ESTIMATE(EBIT,MEAN,CAL4,2023,45768,,,'')&lt;/Q&gt;&lt;R&gt;1&lt;/R&gt;&lt;C&gt;1&lt;/C&gt;&lt;D xsi:type="xsd:double"&gt;1442.8859&lt;/D&gt;&lt;/FQL&gt;&lt;FQL&gt;&lt;Q&gt;DLR^FE_ESTIMATE(EBIT,MEAN,CAL4,2026,45768,,,'')&lt;/Q&gt;&lt;R&gt;1&lt;/R&gt;&lt;C&gt;1&lt;/C&gt;&lt;D xsi:type="xsd:double"&gt;1026.7224&lt;/D&gt;&lt;/FQL&gt;&lt;FQL&gt;&lt;Q&gt;DLR^FE_ESTIMATE(EBIT,MEAN,LTM4,,45768,,,'')&lt;/Q&gt;&lt;R&gt;1&lt;/R&gt;&lt;C&gt;1&lt;/C&gt;&lt;D xsi:type="xsd:double"&gt;484.7739&lt;/D&gt;&lt;/FQL&gt;&lt;FQL&gt;&lt;Q&gt;NVDA^FE_ESTIMATE(EBIT,MEAN,CAL4,2024,45768,,,'')&lt;/Q&gt;&lt;R&gt;1&lt;/R&gt;&lt;C&gt;1&lt;/C&gt;&lt;D xsi:type="xsd:double"&gt;86539.64&lt;/D&gt;&lt;/FQL&gt;&lt;FQL&gt;&lt;Q&gt;MSFT^FE_ESTIMATE(EBIT,MEAN,CAL4,2026,45768,,,'')&lt;/Q&gt;&lt;R&gt;1&lt;/R&gt;&lt;C&gt;1&lt;/C&gt;&lt;D xsi:type="xsd:double"&gt;150666.55&lt;/D&gt;&lt;/FQL&gt;&lt;FQL&gt;&lt;Q&gt;MSFT^FE_ESTIMATE(EBIT,MEAN,NTM4,,45768,,,'')&lt;/Q&gt;&lt;R&gt;1&lt;/R&gt;&lt;C&gt;1&lt;/C&gt;&lt;D xsi:type="xsd:double"&gt;130990.54&lt;/D&gt;&lt;/FQL&gt;&lt;FQL&gt;&lt;Q&gt;AVT^FE_ESTIMATE(SALES,MEAN,CAL4,2024,45768,,,'')&lt;/Q&gt;&lt;R&gt;1&lt;/R&gt;&lt;C&gt;1&lt;/C&gt;&lt;D xsi:type="xsd:double"&gt;22484.129&lt;/D&gt;&lt;/FQL&gt;&lt;FQL&gt;&lt;Q&gt;AVT^FG_PRICE(45768)&lt;/Q&gt;&lt;R&gt;1&lt;/R&gt;&lt;C&gt;1&lt;/C&gt;&lt;D xsi:type="xsd:double"&gt;46.94&lt;/D&gt;&lt;/FQL&gt;&lt;FQL&gt;&lt;Q&gt;ARW^FE_ESTIMATE(SALES,MEAN,CAL4,2025,45768,,,'')&lt;/Q&gt;&lt;R&gt;1&lt;/R&gt;&lt;C&gt;1&lt;/C&gt;&lt;D xsi:type="xsd:double"&gt;27614.453&lt;/D&gt;&lt;/FQL&gt;&lt;FQL&gt;&lt;Q&gt;ARW^FE_ESTIMATE(SALES,MEAN,LTM4,,45768,,,'')&lt;/Q&gt;&lt;R&gt;1&lt;/R&gt;&lt;C&gt;1&lt;/C&gt;&lt;D xsi:type="xsd:double"&gt;27923.324&lt;/D&gt;&lt;/FQL&gt;&lt;FQL&gt;&lt;Q&gt;SNX^FE_ESTIMATE(SALES,MEAN,CAL4,2026,45768,,,'')&lt;/Q&gt;&lt;R&gt;1&lt;/R&gt;&lt;C&gt;1&lt;/C&gt;&lt;D xsi:type="xsd:double"&gt;62491.555&lt;/D&gt;&lt;/FQL&gt;&lt;FQL&gt;&lt;Q&gt;SNX^FE_ESTIMATE(SALES,MEAN,NTM4,,45768,,,'')&lt;/Q&gt;&lt;R&gt;1&lt;/R&gt;&lt;C&gt;1&lt;/C&gt;&lt;D xsi:type="xsd:double"&gt;60514.668&lt;/D&gt;&lt;/FQL&gt;&lt;FQL&gt;&lt;Q&gt;CDW^FE_ESTIMATE(SALES,MEAN,CALA_ROLL,2027,45768,,,'')&lt;/Q&gt;&lt;R&gt;1&lt;/R&gt;&lt;C&gt;1&lt;/C&gt;&lt;D xsi:type="xsd:double"&gt;23590.383&lt;/D&gt;&lt;/FQL&gt;&lt;FQL&gt;&lt;Q&gt;CDW^FE_ESTIMATE(SALES,MEAN,CAL4,2023,45768,,,'')&lt;/Q&gt;&lt;R&gt;1&lt;/R&gt;&lt;C&gt;1&lt;/C&gt;&lt;D xsi:type="xsd:double"&gt;21376&lt;/D&gt;&lt;/FQL&gt;&lt;FQL&gt;&lt;Q&gt;CDW^FREF_MARKET_VALUE_COMPANY(45768,,,,,0,,"LEGACY")&lt;/Q&gt;&lt;R&gt;1&lt;/R&gt;&lt;C&gt;1&lt;/C&gt;&lt;D xsi:type="xsd:double"&gt;19556.814453125&lt;/D&gt;&lt;/FQL&gt;&lt;FQL&gt;&lt;Q&gt;INGM^FE_ESTIMATE(SALES,MEAN,CAL4,2024,45768,,,'')&lt;/Q&gt;&lt;R&gt;0&lt;/R&gt;&lt;C&gt;0&lt;/C&gt;&lt;/FQL&gt;&lt;FQL&gt;&lt;Q&gt;INGM^FF_ENTRPR_VAL_DAILY(45768,,,,,"DIL")&lt;/Q&gt;&lt;R&gt;1&lt;/R&gt;&lt;C&gt;1&lt;/C&gt;&lt;D xsi:type="xsd:double"&gt;6455.41493415&lt;/D&gt;&lt;/FQL&gt;&lt;FQL&gt;&lt;Q&gt;DOCN^FE_ESTIMATE(SALES,MEAN,CAL4,2025,45768,,,'')&lt;/Q&gt;&lt;R&gt;1&lt;/R&gt;&lt;C&gt;1&lt;/C&gt;&lt;D xsi:type="xsd:double"&gt;883.69904&lt;/D&gt;&lt;/FQL&gt;&lt;FQL&gt;&lt;Q&gt;GOOG^FE_ESTIMATE(SALES,MEAN,CAL4,2026,45768,,,'')&lt;/Q&gt;&lt;R&gt;1&lt;/R&gt;&lt;C&gt;1&lt;/C&gt;&lt;D xsi:type="xsd:double"&gt;426032.7&lt;/D&gt;&lt;/FQL&gt;&lt;FQL&gt;&lt;Q&gt;GOOG^FG_PRICE(45768)&lt;/Q&gt;&lt;R&gt;1&lt;/R&gt;&lt;C&gt;1&lt;/C&gt;&lt;D xsi:type="xsd:double"&gt;149.86&lt;/D&gt;&lt;/FQL&gt;&lt;FQL&gt;&lt;Q&gt;AMZN^FE_ESTIMATE(SALES,MEAN,LTM4,,45768,,,'')&lt;/Q&gt;&lt;R&gt;1&lt;/R&gt;&lt;C&gt;1&lt;/C&gt;&lt;D xsi:type="xsd:double"&gt;637959&lt;/D&gt;&lt;/FQL&gt;&lt;FQL&gt;&lt;Q&gt;AMZN^FREF_MARKET_VALUE_COMPANY(45768,,,,,0,,"LEGACY")&lt;/Q&gt;&lt;R&gt;1&lt;/R&gt;&lt;C&gt;1&lt;/C&gt;&lt;D xsi:type="xsd:double"&gt;1775660.875&lt;/D&gt;&lt;/FQL&gt;&lt;FQL&gt;&lt;Q&gt;ORCL^FE_ESTIMATE(SALES,MEAN,NTM4,,45768,,,'')&lt;/Q&gt;&lt;R&gt;1&lt;/R&gt;&lt;C&gt;1&lt;/C&gt;&lt;D xsi:type="xsd:double"&gt;62688.887&lt;/D&gt;&lt;/FQL&gt;&lt;FQL&gt;&lt;Q&gt;IBM^FE_ESTIMATE(SALES,MEAN,CAL4,2026,45768,,,'')&lt;/Q&gt;&lt;R&gt;1&lt;/R&gt;&lt;C&gt;1&lt;/C&gt;&lt;D xsi:type="xsd:double"&gt;67398.89&lt;/D&gt;&lt;/FQL&gt;&lt;FQL&gt;&lt;Q&gt;IBM^FG_PRICE(45768)&lt;/Q&gt;&lt;R&gt;1&lt;/R&gt;&lt;C&gt;1&lt;/C&gt;&lt;D xsi:type="xsd:double"&gt;236.22&lt;/D&gt;&lt;/FQL&gt;&lt;FQL&gt;&lt;Q&gt;EQIX^FE_ESTIMATE(SALES,MEAN,CAL4,2024,45768,,,'')&lt;/Q&gt;&lt;R&gt;1&lt;/R&gt;&lt;C&gt;1&lt;/C&gt;&lt;D xsi:type="xsd:double"&gt;8748&lt;/D&gt;&lt;/FQL&gt;&lt;FQL&gt;&lt;Q&gt;EQIX^FREF_MARKET_VALUE_COMPANY(45768,,,,,0,,"LEGACY")&lt;/Q&gt;&lt;R&gt;1&lt;/R&gt;&lt;C&gt;1&lt;/C&gt;&lt;D xsi:type="xsd:double"&gt;75633.078125&lt;/D&gt;&lt;/FQL&gt;&lt;FQL&gt;&lt;Q&gt;DLR^FE_ESTIMATE(SALES,MEAN,CAL4,2025,45768,,,'')&lt;/Q&gt;&lt;R&gt;1&lt;/R&gt;&lt;C&gt;1&lt;/C&gt;&lt;D xsi:type="xsd:double"&gt;5889.648&lt;/D&gt;&lt;/FQL&gt;&lt;FQL&gt;&lt;Q&gt;DLR^FF_ENTRPR_VAL_DAILY(45768,,,,,"DIL")&lt;/Q&gt;&lt;R&gt;1&lt;/R&gt;&lt;C&gt;1&lt;/C&gt;&lt;D xsi:type="xsd:double"&gt;66836.86798&lt;/D&gt;&lt;/FQL&gt;&lt;FQL&gt;&lt;Q&gt;NVDA^FE_ESTIMATE(SALES,MEAN,CAL4,2026,45768,,,'')&lt;/Q&gt;&lt;R&gt;1&lt;/R&gt;&lt;C&gt;1&lt;/C&gt;&lt;D xsi:type="xsd:double"&gt;242708.02&lt;/D&gt;&lt;/FQL&gt;&lt;FQL&gt;&lt;Q&gt;NVDA^FE_ESTIMATE(SALES,MEAN,CAL4,2023,45768,,,'')&lt;/Q&gt;&lt;R&gt;1&lt;/R&gt;&lt;C&gt;1&lt;/C&gt;&lt;D xsi:type="xsd:double"&gt;60922&lt;/D&gt;&lt;/FQL&gt;&lt;FQL&gt;&lt;Q&gt;MSFT^FE_ESTIMATE(SALES,MEAN,CALA_ROLL,2027,45768,,,'')&lt;/Q&gt;&lt;R&gt;1&lt;/R&gt;&lt;C&gt;1&lt;/C&gt;&lt;D xsi:type="xsd:double"&gt;386805.03&lt;/D&gt;&lt;/FQL&gt;&lt;FQL&gt;&lt;Q&gt;MSFT^FE_ESTIMATE(SALES,MEAN,LTM4,,45768,,,'')&lt;/Q&gt;&lt;R&gt;1&lt;/R&gt;&lt;C&gt;1&lt;/C&gt;&lt;D xsi:type="xsd:double"&gt;261802&lt;/D&gt;&lt;/FQL&gt;&lt;FQL&gt;&lt;Q&gt;GOOG^FE_ESTIMATE(EBITDA,MEAN,CALA_ROLL,2027,45768,,,'')&lt;/Q&gt;&lt;R&gt;1&lt;/R&gt;&lt;C&gt;1&lt;/C&gt;&lt;D xsi:type="xsd:double"&gt;221274.97&lt;/D&gt;&lt;/FQL&gt;&lt;FQL&gt;&lt;Q&gt;AVT^FE_ESTIMATE(EBITDA,MEAN,NTM4,,45768,,,'')&lt;/Q&gt;&lt;R&gt;1&lt;/R&gt;&lt;C&gt;1&lt;/C&gt;&lt;D xsi:type="xsd:double"&gt;823.0271&lt;/D&gt;&lt;/FQL&gt;&lt;FQL&gt;&lt;Q&gt;ARW^FE_ESTIMATE(EBIT,MEAN,CAL4,2026,45768,,,'')&lt;/Q&gt;&lt;R&gt;1&lt;/R&gt;&lt;C&gt;1&lt;/C&gt;&lt;D xsi:type="xsd:double"&gt;1265.4667&lt;/D&gt;&lt;/FQL&gt;&lt;FQL&gt;&lt;Q&gt;DOCN^FE_ESTIMATE(EBIT,MEAN,NTM4,,45768,,,'')&lt;/Q&gt;&lt;R&gt;1&lt;/R&gt;&lt;C&gt;1&lt;/C&gt;&lt;D xsi:type="xsd:double"&gt;233.16283&lt;/D&gt;&lt;/FQL&gt;&lt;FQL&gt;&lt;Q&gt;ORCL^FE_ESTIMATE(EBIT,MEAN,CAL4,2025,45768,,,'')&lt;/Q&gt;&lt;R&gt;1&lt;/R&gt;&lt;C&gt;1&lt;/C&gt;&lt;D xsi:type="xsd:double"&gt;25868.36&lt;/D&gt;&lt;/FQL&gt;&lt;FQL&gt;&lt;Q&gt;ORCL^FE_ESTIMATE(UFCF,MEAN,LTM4,,45768,,,'')&lt;/Q&gt;&lt;R&gt;0&lt;/R&gt;&lt;C&gt;0&lt;/C&gt;&lt;/FQL&gt;&lt;FQL&gt;&lt;Q&gt;SNX^FE_ESTIMATE(FCF,MEAN,CAL4,2023,45768,,,'')&lt;/Q&gt;&lt;R&gt;1&lt;/R&gt;&lt;C&gt;1&lt;/C&gt;&lt;D xsi:type="xsd:double"&gt;1257.366&lt;/D&gt;&lt;/FQL&gt;&lt;FQL&gt;&lt;Q&gt;EQIX^FE_ESTIMATE(FCF,MEAN,CAL4,2025,45768,,,'')&lt;/Q&gt;&lt;R&gt;1&lt;/R&gt;&lt;C&gt;1&lt;/C&gt;&lt;D xsi:type="xsd:double"&gt;545.22064&lt;/D&gt;&lt;/FQL&gt;&lt;FQL&gt;&lt;Q&gt;INGM^FE_ESTIMATE(EPS_GAAP,MEAN,CALA_ROLL,2027,45768,,,'')&lt;/Q&gt;&lt;R&gt;1&lt;/R&gt;&lt;C&gt;1&lt;/C&gt;&lt;D xsi:type="xsd:double"&gt;2.74&lt;/D&gt;&lt;/FQL&gt;&lt;FQL&gt;&lt;Q&gt;EQIX^FE_ESTIMATE(EPS_GAAP,MEAN,CAL4,2023,45768,,,'')&lt;/Q&gt;&lt;R&gt;1&lt;/R&gt;&lt;C&gt;1&lt;/C&gt;&lt;D xsi:type="xsd:double"&gt;10.31&lt;/D&gt;&lt;/FQL&gt;&lt;FQL&gt;&lt;Q&gt;NVDA^FE_ESTIMATE(EPS_GAAP,MEAN,CAL4,2024,45768,,,'')&lt;/Q&gt;&lt;R&gt;1&lt;/R&gt;&lt;C&gt;1&lt;/C&gt;&lt;D xsi:type="xsd:double"&gt;2.938&lt;/D&gt;&lt;/FQL&gt;&lt;FQL&gt;&lt;Q&gt;DOCN^FE_ESTIMATE(EBITDA,MEAN,CAL4,2024,45768,,,'')&lt;/Q&gt;&lt;R&gt;1&lt;/R&gt;&lt;C&gt;1&lt;/C&gt;&lt;D xsi:type="xsd:double"&gt;328.5&lt;/D&gt;&lt;/FQL&gt;&lt;FQL&gt;&lt;Q&gt;GOOG^FE_ESTIMATE(EBITDA,MEAN,LTM4,,45768,,,'')&lt;/Q&gt;&lt;R&gt;1&lt;/R&gt;&lt;C&gt;1&lt;/C&gt;&lt;D xsi:type="xsd:double"&gt;150905.94&lt;/D&gt;&lt;/FQL&gt;&lt;FQL&gt;&lt;Q&gt;ORCL^FE_ESTIMATE(EBITDA,MEAN,CAL4,2026,45768,,,'')&lt;/Q&gt;&lt;R&gt;1&lt;/R&gt;&lt;C&gt;1&lt;/C&gt;&lt;D xsi:type="xsd:double"&gt;37318.008&lt;/D&gt;&lt;/FQL&gt;&lt;FQL&gt;&lt;Q&gt;IBM^FE_ESTIMATE(EBITDA,MEAN,CAL4,2026,45768,,,'')&lt;/Q&gt;&lt;R&gt;1&lt;/R&gt;&lt;C&gt;1&lt;/C&gt;&lt;D xsi:type="xsd:double"&gt;17581.55&lt;/D&gt;&lt;/FQL&gt;&lt;FQL&gt;&lt;Q&gt;NVDA^FE_ESTIMATE(EBITDA,MEAN,CAL4,2025,45768,,,'')&lt;/Q&gt;&lt;R&gt;1&lt;/R&gt;&lt;C&gt;1&lt;/C&gt;&lt;D xsi:type="xsd:double"&gt;132468.86&lt;/D&gt;&lt;/FQL&gt;&lt;FQL&gt;&lt;Q&gt;MSFT^FE_ESTIMATE(EBITDA,MEAN,CAL4,2025,45768,,,'')&lt;/Q&gt;&lt;R&gt;1&lt;/R&gt;&lt;C&gt;1&lt;/C&gt;&lt;D xsi:type="xsd:double"&gt;164920.83&lt;/D&gt;&lt;/FQL&gt;&lt;FQL&gt;&lt;Q&gt;AVT^FE_ESTIMATE(EBITDA,MEAN,CAL4,2025,45768,,,'')&lt;/Q&gt;&lt;R&gt;1&lt;/R&gt;&lt;C&gt;1&lt;/C&gt;&lt;D xsi:type="xsd:double"&gt;823.0271&lt;/D&gt;&lt;/FQL&gt;&lt;FQL&gt;&lt;Q&gt;CDW^FE_ESTIMATE(EBITDA,MEAN,CAL4,2024,45768,,,'')&lt;/Q&gt;&lt;R&gt;1&lt;/R&gt;&lt;C&gt;1&lt;/C&gt;&lt;D xsi:type="xsd:double"&gt;2115.8083&lt;/D&gt;&lt;/FQL&gt;&lt;FQL&gt;&lt;Q&gt;AVT^FE_ESTIMATE(EBIT,MEAN,CAL4,2026,45768,,,'')&lt;/Q&gt;&lt;R&gt;1&lt;/R&gt;&lt;C&gt;1&lt;/C&gt;&lt;D xsi:type="xsd:double"&gt;907.25&lt;/D&gt;&lt;/FQL&gt;&lt;FQL&gt;&lt;Q&gt;AVT^FE_ESTIMATE(EBIT,MEAN,LTM4,,45768,,,'')&lt;/Q&gt;&lt;R&gt;1&lt;/R&gt;&lt;C&gt;1&lt;/C&gt;&lt;D xsi:type="xsd:double"&gt;724.5228&lt;/D&gt;&lt;/FQL&gt;&lt;FQL&gt;&lt;Q&gt;SNX^FE_ESTIMATE(EBIT,MEAN,CAL4,2024,45768,,,'')&lt;/Q&gt;&lt;R&gt;1&lt;/R&gt;&lt;C&gt;1&lt;/C&gt;&lt;D xsi:type="xsd:double"&gt;1621.3727&lt;/D&gt;&lt;/FQL&gt;&lt;FQL&gt;&lt;Q&gt;INGM^FE_ESTIMATE(EBIT,MEAN,CALA_ROLL,2027,45768,,,'')&lt;/Q&gt;&lt;R&gt;1&lt;/R&gt;&lt;C&gt;1&lt;/C&gt;&lt;D xsi:type="xsd:double"&gt;1339.2299&lt;/D&gt;&lt;/FQL&gt;&lt;FQL&gt;&lt;Q&gt;INGM^FE_ESTIMATE(EBIT,MEAN,NTM4,,45768,,,'')&lt;/Q&gt;&lt;R&gt;1&lt;/R&gt;&lt;C&gt;1&lt;/C&gt;&lt;D xsi:type="xsd:double"&gt;1071.0847&lt;/D&gt;&lt;/FQL&gt;&lt;FQL&gt;&lt;Q&gt;GOOG^FE_ESTIMATE(EBIT,MEAN,CAL4,2026,45768,,,'')&lt;/Q&gt;&lt;R&gt;1&lt;/R&gt;&lt;C&gt;1&lt;/C&gt;&lt;D xsi:type="xsd:double"&gt;139411.89&lt;/D&gt;&lt;/FQL&gt;&lt;FQL&gt;&lt;Q&gt;AMZN^FE_ESTIMATE(EBIT,MEAN,CAL4,2024,45768,,,'')&lt;/Q&gt;&lt;R&gt;1&lt;/R&gt;&lt;C&gt;1&lt;/C&gt;&lt;D xsi:type="xsd:double"&gt;68593&lt;/D&gt;&lt;/FQL&gt;&lt;FQL&gt;&lt;Q&gt;ORCL^FE_ESTIMATE(EBIT,MEAN,NTM4,,45768,,,'')&lt;/Q&gt;&lt;R&gt;1&lt;/R&gt;&lt;C&gt;1&lt;/C&gt;&lt;D xsi:type="xsd:double"&gt;26557.885&lt;/D&gt;&lt;/FQL&gt;&lt;FQL&gt;&lt;Q&gt;EQIX^FE_ESTIMATE(EBIT,MEAN,CALA_ROLL,2027,45768,,,'')&lt;/Q&gt;&lt;R&gt;1&lt;/R&gt;&lt;C&gt;1&lt;/C&gt;&lt;D xsi:type="xsd:double"&gt;2515.365&lt;/D&gt;&lt;/FQL&gt;&lt;FQL&gt;&lt;Q&gt;DLR^FE_ESTIMATE(EBIT,MEAN,CAL4,2025,45768,,,'')&lt;/Q&gt;&lt;R&gt;1&lt;/R&gt;&lt;C&gt;1&lt;/C&gt;&lt;D xsi:type="xsd:double"&gt;937.85345&lt;/D&gt;&lt;/FQL&gt;&lt;FQL&gt;&lt;Q&gt;NVDA^FE_ESTIMATE(EBIT,MEAN,CAL4,2023,45768,,,'')&lt;/Q&gt;&lt;R&gt;1&lt;/R&gt;&lt;C&gt;1&lt;/C&gt;&lt;D xsi:type="xsd:double"&gt;37133.996&lt;/D&gt;&lt;/FQL&gt;&lt;FQL&gt;&lt;Q&gt;MSFT^FE_ESTIMATE(EBIT,MEAN,LTM4,,45768,,,'')&lt;/Q&gt;&lt;R&gt;1&lt;/R&gt;&lt;C&gt;1&lt;/C&gt;&lt;D xsi:type="xsd:double"&gt;117698.625&lt;/D&gt;&lt;/FQL&gt;&lt;FQL&gt;&lt;Q&gt;AVT^FF_ENTRPR_VAL_DAILY(45768,,,,,"DIL")&lt;/Q&gt;&lt;R&gt;1&lt;/R&gt;&lt;C&gt;1&lt;/C&gt;&lt;D xsi:type="xsd:double"&gt;6763.22438&lt;/D&gt;&lt;/FQL&gt;&lt;FQL&gt;&lt;Q&gt;ARW^FG_PRICE(45768)&lt;/Q&gt;&lt;R&gt;1&lt;/R&gt;&lt;C&gt;1&lt;/C&gt;&lt;D xsi:type="xsd:double"&gt;102.21&lt;/D&gt;&lt;/FQL&gt;&lt;FQL&gt;&lt;Q&gt;SNX^FE_ESTIMATE(SALES,MEAN,LTM4,,45768,,,'')&lt;/Q&gt;&lt;R&gt;1&lt;/R&gt;&lt;C&gt;1&lt;/C&gt;&lt;D xsi:type="xsd:double"&gt;59008.89&lt;/D&gt;&lt;/FQL&gt;&lt;FQL&gt;&lt;Q&gt;CDW^FE_ESTIMATE(SALES,MEAN,NTM4,,45768,,,'')&lt;/Q&gt;&lt;R&gt;1&lt;/R&gt;&lt;C&gt;1&lt;/C&gt;&lt;D xsi:type="xsd:double"&gt;21460.67&lt;/D&gt;&lt;/FQL&gt;&lt;FQL&gt;&lt;Q&gt;INGM^FE_ESTIMATE(SALES,MEAN,CAL4,2023,45768,,,'')&lt;/Q&gt;&lt;R&gt;0&lt;/R&gt;&lt;C&gt;0&lt;/C&gt;&lt;/FQL&gt;&lt;FQL&gt;&lt;Q&gt;DOCN^FE_ESTIMATE(SALES,MEAN,NTM4,,45768,,,'')&lt;/Q&gt;&lt;R&gt;1&lt;/R&gt;&lt;C&gt;1&lt;/C&gt;&lt;D xsi:type="xsd:double"&gt;883.69904&lt;/D&gt;&lt;/FQL&gt;&lt;FQL&gt;&lt;Q&gt;DOCN^FF_ENTRPR_VAL_DAILY(45768,,,,,"DIL")&lt;/Q&gt;&lt;R&gt;1&lt;/R&gt;&lt;C&gt;1&lt;/C&gt;&lt;D xsi:type="xsd:double"&gt;3640.92294&lt;/D&gt;&lt;/FQL&gt;&lt;FQL&gt;&lt;Q&gt;GOOG^FE_ESTIMATE(SALES,MEAN,CAL4,2023,45768,,,'')&lt;/Q&gt;&lt;R&gt;1&lt;/R&gt;&lt;C&gt;1&lt;/C&gt;&lt;D xsi:type="xsd:double"&gt;307394&lt;/D&gt;&lt;/FQL&gt;&lt;FQL&gt;&lt;Q&gt;AMZN^FE_ESTIMATE(SALES,MEAN,CALA_ROLL,2027,45768,,,'')&lt;/Q&gt;&lt;R&gt;1&lt;/R&gt;&lt;C&gt;1&lt;/C&gt;&lt;D xsi:type="xsd:double"&gt;841741.9&lt;/D&gt;&lt;/FQL&gt;&lt;FQL&gt;&lt;Q&gt;AMZN^FE_ESTIMATE(SALES,MEAN,CAL4,2024,45768,,,'')&lt;/Q&gt;&lt;R&gt;1&lt;/R&gt;&lt;C&gt;1&lt;/C&gt;&lt;D xsi:type="xsd:double"&gt;637959&lt;/D&gt;&lt;/FQL&gt;&lt;FQL&gt;&lt;Q&gt;ORCL^FE_ESTIMATE(SALES,MEAN,CAL4,2025,45768,,,'')&lt;/Q&gt;&lt;R&gt;1&lt;/R&gt;&lt;C&gt;1&lt;/C&gt;&lt;D xsi:type="xsd:double"&gt;60519.277&lt;/D&gt;&lt;/FQL&gt;&lt;FQL&gt;&lt;Q&gt;ORCL^FF_ENTRPR_VAL_DAILY(45768,,,,,"DIL")&lt;/Q&gt;&lt;R&gt;1&lt;/R&gt;&lt;C&gt;1&lt;/C&gt;&lt;D xsi:type="xsd:double"&gt;431968.68&lt;/D&gt;&lt;/FQL&gt;&lt;FQL&gt;&lt;Q&gt;IBM^FE_ESTIMATE(SALES,MEAN,CAL4,2023,45768,,,'')&lt;/Q&gt;&lt;R&gt;1&lt;/R&gt;&lt;C&gt;1&lt;/C&gt;&lt;D xsi:type="xsd:double"&gt;61860&lt;/D&gt;&lt;/FQL&gt;&lt;FQL&gt;&lt;Q&gt;EQIX^FE_ESTIMATE(SALES,MEAN,CALA_ROLL,2027,45768,,,'')&lt;/Q&gt;&lt;R&gt;1&lt;/R&gt;&lt;C&gt;1&lt;/C&gt;&lt;D xsi:type="xsd:double"&gt;10707.005&lt;/D&gt;&lt;/FQL&gt;&lt;FQL&gt;&lt;Q&gt;EQIX^FE_ESTIMATE(SALES,MEAN,LTM4,,45768,,,'')&lt;/Q&gt;&lt;R&gt;1&lt;/R&gt;&lt;C&gt;1&lt;/C&gt;&lt;D xsi:type="xsd:double"&gt;8748&lt;/D&gt;&lt;/FQL&gt;&lt;FQL&gt;&lt;Q&gt;DLR^FE_ESTIMATE(SALES,MEAN,NTM4,,45768,,,'')&lt;/Q&gt;&lt;R&gt;1&lt;/R&gt;&lt;C&gt;1&lt;/C&gt;&lt;D xsi:type="xsd:double"&gt;5889.648&lt;/D&gt;&lt;/FQL&gt;&lt;FQL&gt;&lt;Q&gt;NVDA^FG_PRICE(45768)&lt;/Q&gt;&lt;R&gt;1&lt;/R&gt;&lt;C&gt;1&lt;/C&gt;&lt;D xsi:type="xsd:double"&gt;96.91&lt;/D&gt;&lt;/FQL&gt;&lt;FQL&gt;&lt;Q&gt;MSFT^FE_ESTIMATE(SALES,MEAN,CAL4,2024,45768,,,'')&lt;/Q&gt;&lt;R&gt;1&lt;/R&gt;&lt;C&gt;1&lt;/C&gt;&lt;D xsi:type="xsd:double"&gt;261802&lt;/D&gt;&lt;/FQL&gt;&lt;FQL&gt;&lt;Q&gt;MSFT^FREF_MARKET_VALUE_COMPANY(45768,,,,,0,,"LEGACY")&lt;/Q&gt;&lt;R&gt;1&lt;/R&gt;&lt;C&gt;1&lt;/C&gt;&lt;D xsi:type="xsd:double"&gt;2669691.75&lt;/D&gt;&lt;/FQL&gt;&lt;FQL&gt;&lt;Q&gt;NVDA^FE_ESTIMATE(EBITDA,MEAN,NTM4,,45768,,,'')&lt;/Q&gt;&lt;R&gt;1&lt;/R&gt;&lt;C&gt;1&lt;/C&gt;&lt;D xsi:type="xsd:double"&gt;132468.86&lt;/D&gt;&lt;/FQL&gt;&lt;FQL&gt;&lt;Q&gt;INGM^FE_ESTIMATE(EBITDA,MEAN,CAL4,2023,45768,,,'')&lt;/Q&gt;&lt;R&gt;0&lt;/R&gt;&lt;C&gt;0&lt;/C&gt;&lt;/FQL&gt;&lt;FQL&gt;&lt;Q&gt;CDW^FE_ESTIMATE(EBIT,MEAN,CAL4,2024,45768,,,'')&lt;/Q&gt;&lt;R&gt;1&lt;/R&gt;&lt;C&gt;1&lt;/C&gt;&lt;D xsi:type="xsd:double"&gt;1952.63&lt;/D&gt;&lt;/FQL&gt;&lt;FQL&gt;&lt;Q&gt;AMZN^FE_ESTIMATE(EBIT,MEAN,CALA_ROLL,2027,45768,,,'')&lt;/Q&gt;&lt;R&gt;1&lt;/R&gt;&lt;C&gt;1&lt;/C&gt;&lt;D xsi:type="xsd:double"&gt;119838.5&lt;/D&gt;&lt;/FQL&gt;&lt;FQL&gt;&lt;Q&gt;EQIX^FE_ESTIMATE(EBIT,MEAN,LTM4,,45768,,,'')&lt;/Q&gt;&lt;R&gt;1&lt;/R&gt;&lt;C&gt;1&lt;/C&gt;&lt;D xsi:type="xsd:double"&gt;1682.2444&lt;/D&gt;&lt;/FQL&gt;&lt;FQL&gt;&lt;Q&gt;MSFT^FE_ESTIMATE(EBIT,MEAN,CAL4,2024,45768,,,'')&lt;/Q&gt;&lt;R&gt;1&lt;/R&gt;&lt;C&gt;1&lt;/C&gt;&lt;D xsi:type="xsd:double"&gt;117698.625&lt;/D&gt;&lt;/FQL&gt;&lt;FQL&gt;&lt;Q&gt;ARW^FE_ESTIMATE(SALES,MEAN,CAL4,2023,45768,,,'')&lt;/Q&gt;&lt;R&gt;1&lt;/R&gt;&lt;C&gt;1&lt;/C&gt;&lt;D xsi:type="xsd:double"&gt;33107.12&lt;/D&gt;&lt;/FQL&gt;&lt;FQL&gt;&lt;Q&gt;IBM^FE_ESTIMATE(UFCF,MEAN,CALA_ROLL,2027,45768,,,'')&lt;/Q&gt;&lt;R&gt;0&lt;/R&gt;&lt;C&gt;0&lt;/C&gt;&lt;/FQL&gt;&lt;FQL&gt;&lt;Q&gt;SNX^FE_ESTIMATE(FCF,MEAN,NTM4,,45768,,,'')&lt;/Q&gt;&lt;R&gt;1&lt;/R&gt;&lt;C&gt;1&lt;/C&gt;&lt;D xsi:type="xsd:double"&gt;1935.9&lt;/D&gt;&lt;/FQL&gt;&lt;FQL&gt;&lt;Q&gt;EQIX^FE_ESTIMATE(FCF,MEAN,CAL4,2024,45768,,,'')&lt;/Q&gt;&lt;R&gt;1&lt;/R&gt;&lt;C&gt;1&lt;/C&gt;&lt;D xsi:type="xsd:double"&gt;151.449&lt;/D&gt;&lt;/FQL&gt;&lt;FQL&gt;&lt;Q&gt;INGM^FE_ESTIMATE(EPS_GAAP,MEAN,CAL4,2026,45768,,,'')&lt;/Q&gt;&lt;R&gt;1&lt;/R&gt;&lt;C&gt;1&lt;/C&gt;&lt;D xsi:type="xsd:double"&gt;3.0916667&lt;/D&gt;&lt;/FQL&gt;&lt;FQL&gt;&lt;Q&gt;ORCL^FE_ESTIMATE(EPS_GAAP,MEAN,CAL4,2023,45768,,,'')&lt;/Q&gt;&lt;R&gt;1&lt;/R&gt;&lt;C&gt;1&lt;/C&gt;&lt;D xsi:type="xsd:double"&gt;3.62&lt;/D&gt;&lt;/FQL&gt;&lt;FQL&gt;&lt;Q&gt;AMZN^FE_ESTIMATE(EBITDA,MEAN,CAL4,2025,45768,,,'')&lt;/Q&gt;&lt;R&gt;1&lt;/R&gt;&lt;C&gt;1&lt;/C&gt;&lt;D xsi:type="xsd:double"&gt;165379.06&lt;/D&gt;&lt;/FQL&gt;&lt;FQL&gt;&lt;Q&gt;EQIX^FE_ESTIMATE(EBITDA,MEAN,CAL4,2023,45768,,,'')&lt;/Q&gt;&lt;R&gt;1&lt;/R&gt;&lt;C&gt;1&lt;/C&gt;&lt;D xsi:type="xsd:double"&gt;3701.841&lt;/D&gt;&lt;/FQL&gt;&lt;FQL&gt;&lt;Q&gt;DLR^FE_ESTIMATE(EBITDA,MEAN,CAL4,2023,45768,,,'')&lt;/Q&gt;&lt;R&gt;1&lt;/R&gt;&lt;C&gt;1&lt;/C&gt;&lt;D xsi:type="xsd:double"&gt;2750.256&lt;/D&gt;&lt;/FQL&gt;&lt;FQL&gt;&lt;Q&gt;NVDA^FE_ESTIMATE(EBITDA,MEAN,CAL4,2023,45768,,,'')&lt;/Q&gt;&lt;R&gt;1&lt;/R&gt;&lt;C&gt;1&lt;/C&gt;&lt;D xsi:type="xsd:double"&gt;37642.035&lt;/D&gt;&lt;/FQL&gt;&lt;FQL&gt;&lt;Q&gt;ARW^FE_ESTIMATE(EBITDA,MEAN,NTM4,,45768,,,'')&lt;/Q&gt;&lt;R&gt;1&lt;/R&gt;&lt;C&gt;1&lt;/C&gt;&lt;D xsi:type="xsd:double"&gt;1101.1499&lt;/D&gt;&lt;/FQL&gt;&lt;FQL&gt;&lt;Q&gt;SNX^FE_ESTIMATE(EBITDA,MEAN,NTM4,,45768,,,'')&lt;/Q&gt;&lt;R&gt;1&lt;/R&gt;&lt;C&gt;1&lt;/C&gt;&lt;D xsi:type="xsd:double"&gt;1759.4127&lt;/D&gt;&lt;/FQL&gt;&lt;FQL&gt;&lt;Q&gt;CDW^FE_ESTIMATE(EBITDA,MEAN,NTM4,,45768,,,'')&lt;/Q&gt;&lt;R&gt;1&lt;/R&gt;&lt;C&gt;1&lt;/C&gt;&lt;D xsi:type="xsd:double"&gt;2133.597&lt;/D&gt;&lt;/FQL&gt;&lt;FQL&gt;&lt;Q&gt;INGM^FE_ESTIMATE(EBITDA,MEAN,CAL4,2024,45768,,,'')&lt;/Q&gt;&lt;R&gt;0&lt;/R&gt;&lt;C&gt;0&lt;/C&gt;&lt;/FQL&gt;&lt;FQL&gt;&lt;Q&gt;AVT^FE_ESTIMATE(EBIT,MEAN,CAL4,2025,45768,,,'')&lt;/Q&gt;&lt;R&gt;1&lt;/R&gt;&lt;C&gt;1&lt;/C&gt;&lt;D xsi:type="xsd:double"&gt;726.545&lt;/D&gt;&lt;/FQL&gt;&lt;FQL&gt;&lt;Q&gt;ARW^FE_ESTIMATE(EBIT,MEAN,CALA_ROLL,2027,45768,,,'')&lt;/Q&gt;&lt;R&gt;1&lt;/R&gt;&lt;C&gt;1&lt;/C&gt;&lt;D xsi:type="xsd:double"&gt;1486&lt;/D&gt;&lt;/FQL&gt;&lt;FQL&gt;&lt;Q&gt;ARW^FE_ESTIMATE(EBIT,MEAN,LTM4,,45768,,,'')&lt;/Q&gt;&lt;R&gt;1&lt;/R&gt;&lt;C&gt;1&lt;/C&gt;&lt;D xsi:type="xsd:double"&gt;1001.7478&lt;/D&gt;&lt;/FQL&gt;&lt;FQL&gt;&lt;Q&gt;DOCN^FE_ESTIMATE(EBIT,MEAN,CAL4,2023,45768,,,'')&lt;/Q&gt;&lt;R&gt;1&lt;/R&gt;&lt;C&gt;1&lt;/C&gt;&lt;D xsi:type="xsd:double"&gt;159.31778&lt;/D&gt;&lt;/FQL&gt;&lt;FQL&gt;&lt;Q&gt;GOOG^FE_ESTIMATE(EBIT,MEAN,CAL4,2025,45768,,,'')&lt;/Q&gt;&lt;R&gt;1&lt;/R&gt;&lt;C&gt;1&lt;/C&gt;&lt;D xsi:type="xsd:double"&gt;125423.96&lt;/D&gt;&lt;/FQL&gt;&lt;FQL&gt;&lt;Q&gt;GOOG^FE_ESTIMATE(EBIT,MEAN,LTM4,,45768,,,'')&lt;/Q&gt;&lt;R&gt;1&lt;/R&gt;&lt;C&gt;1&lt;/C&gt;&lt;D xsi:type="xsd:double"&gt;112401.02&lt;/D&gt;&lt;/FQL&gt;&lt;FQL&gt;&lt;Q&gt;AMZN^FE_ESTIMATE(EBIT,MEAN,CAL4,2023,45768,,,'')&lt;/Q&gt;&lt;R&gt;1&lt;/R&gt;&lt;C&gt;1&lt;/C&gt;&lt;D xsi:type="xsd:double"&gt;36852&lt;/D&gt;&lt;/FQL&gt;&lt;FQL&gt;&lt;Q&gt;ORCL^FE_ESTIMATE(EBIT,MEAN,CAL4,2026,45768,,,'')&lt;/Q&gt;&lt;R&gt;1&lt;/R&gt;&lt;C&gt;1&lt;/C&gt;&lt;D xsi:type="xsd:double"&gt;29857.213&lt;/D&gt;&lt;/FQL&gt;&lt;FQL&gt;&lt;Q&gt;ORCL^FE_ESTIMATE(EBIT,MEAN,LTM4,,45768,,,'')&lt;/Q&gt;&lt;R&gt;1&lt;/R&gt;&lt;C&gt;1&lt;/C&gt;&lt;D xsi:type="xsd:double"&gt;24667.912&lt;/D&gt;&lt;/FQL&gt;&lt;FQL&gt;&lt;Q&gt;IBM^FE_ESTIMATE(EBIT,MEAN,CAL4,2024,45768,,,'')&lt;/Q&gt;&lt;R&gt;1&lt;/R&gt;&lt;C&gt;1&lt;/C&gt;&lt;D xsi:type="xsd:double"&gt;11312.172&lt;/D&gt;&lt;/FQL&gt;&lt;FQL&gt;&lt;Q&gt;EQIX^FE_ESTIMATE(EBIT,MEAN,CAL4,2026,45768,,,'')&lt;/Q&gt;&lt;R&gt;1&lt;/R&gt;&lt;C&gt;1&lt;/C&gt;&lt;D xsi:type="xsd:double"&gt;2050.0112&lt;/D&gt;&lt;/FQL&gt;&lt;FQL&gt;&lt;Q&gt;EQIX^FE_ESTIMATE(EBIT,MEAN,NTM4,,45768,,,'')&lt;/Q&gt;&lt;R&gt;1&lt;/R&gt;&lt;C&gt;1&lt;/C&gt;&lt;D xsi:type="xsd:double"&gt;1896.0947&lt;/D&gt;&lt;/FQL&gt;&lt;FQL&gt;&lt;Q&gt;DLR^FE_ESTIMATE(EBIT,MEAN,CAL4,2024,45768,,,'')&lt;/Q&gt;&lt;R&gt;1&lt;/R&gt;&lt;C&gt;1&lt;/C&gt;&lt;D xsi:type="xsd:double"&gt;484.7739&lt;/D&gt;&lt;/FQL&gt;&lt;FQL&gt;&lt;Q&gt;NVDA^FE_ESTIMATE(EBIT,MEAN,CALA_ROLL,2027,45768,,,'')&lt;/Q&gt;&lt;R&gt;1&lt;/R&gt;&lt;C&gt;1&lt;/C&gt;&lt;D xsi:type="xsd:double"&gt;183231.52&lt;/D&gt;&lt;/FQL&gt;&lt;FQL&gt;&lt;Q&gt;NVDA^FE_ESTIMATE(EBIT,MEAN,NTM4,,45768,,,'')&lt;/Q&gt;&lt;R&gt;1&lt;/R&gt;&lt;C&gt;1&lt;/C&gt;&lt;D xsi:type="xsd:double"&gt;128082.22&lt;/D&gt;&lt;/FQL&gt;&lt;FQL&gt;&lt;Q&gt;MSFT^FE_ESTIMATE(EBIT,MEAN,CAL4,2025,45768,,,'')&lt;/Q&gt;&lt;R&gt;1&lt;/R&gt;&lt;C&gt;1&lt;/C&gt;&lt;D xsi:type="xsd:double"&gt;130990.54&lt;/D&gt;&lt;/FQL&gt;&lt;FQL&gt;&lt;Q&gt;AVT^FE_ESTIMATE(SALES,MEAN,CALA_ROLL,2027,45768,,,'')&lt;/Q&gt;&lt;R&gt;0&lt;/R&gt;&lt;C&gt;0&lt;/C&gt;&lt;/FQL&gt;&lt;FQL&gt;&lt;Q&gt;AVT^FE_ESTIMATE(SALES,MEAN,CAL4,2023,45768,,,'')&lt;/Q&gt;&lt;R&gt;1&lt;/R&gt;&lt;C&gt;1&lt;/C&gt;&lt;D xsi:type="xsd:double"&gt;25609.723&lt;/D&gt;&lt;/FQL&gt;&lt;FQL&gt;&lt;Q&gt;AVT^FREF_MARKET_VALUE_COMPANY(45768,,,,,0,,"LEGACY")&lt;/Q&gt;&lt;R&gt;1&lt;/R&gt;&lt;C&gt;1&lt;/C&gt;&lt;D xsi:type="xsd:double"&gt;4060.52392578125&lt;/D&gt;&lt;/FQL&gt;&lt;FQL&gt;&lt;Q&gt;ARW^FE_ESTIMATE(SALES,MEAN,CAL4,2024,45768,,,'')&lt;/Q&gt;&lt;R&gt;1&lt;/R&gt;&lt;C&gt;1&lt;/C&gt;&lt;D xsi:type="xsd:double"&gt;27923.324&lt;/D&gt;&lt;/FQL&gt;&lt;FQL&gt;&lt;Q&gt;ARW^FF_ENTRPR_VAL_DAILY(45768,,,,,"DIL")&lt;/Q&gt;&lt;R&gt;1&lt;/R&gt;&lt;C&gt;1&lt;/C&gt;&lt;D xsi:type="xsd:double"&gt;8771.32937&lt;/D&gt;&lt;/FQL&gt;&lt;FQL&gt;&lt;Q&gt;SNX^FE_ESTIMATE(SALES,MEAN,CAL4,2025,45768,,,'')&lt;/Q&gt;&lt;R&gt;1&lt;/R&gt;&lt;C&gt;1&lt;/C&gt;&lt;D xsi:type="xsd:double"&gt;59970.652&lt;/D&gt;&lt;/FQL&gt;&lt;FQL&gt;&lt;Q&gt;SNX^FG_PRICE(45768)&lt;/Q&gt;&lt;R&gt;1&lt;/R&gt;&lt;C&gt;1&lt;/C&gt;&lt;D xsi:type="xsd:double"&gt;103.05&lt;/D&gt;&lt;/FQL&gt;&lt;FQL&gt;&lt;Q&gt;CDW^FE_ESTIMATE(SALES,MEAN,CAL4,2026,45768,,,'')&lt;/Q&gt;&lt;R&gt;1&lt;/R&gt;&lt;C&gt;1&lt;/C&gt;&lt;D xsi:type="xsd:double"&gt;22579.291&lt;/D&gt;&lt;/FQL&gt;&lt;FQL&gt;&lt;Q&gt;CDW^FE_ESTIMATE(SALES,MEAN,LTM4,,45768,,,'')&lt;/Q&gt;&lt;R&gt;1&lt;/R&gt;&lt;C&gt;1&lt;/C&gt;&lt;D xsi:type="xsd:double"&gt;20998.7&lt;/D&gt;&lt;/FQL&gt;&lt;FQL&gt;&lt;Q&gt;INGM^FE_ESTIMATE(SALES,MEAN,CALA_ROLL,2027,45768,,,'')&lt;/Q&gt;&lt;R&gt;1&lt;/R&gt;&lt;C&gt;1&lt;/C&gt;&lt;D xsi:type="xsd:double"&gt;52895.71&lt;/D&gt;&lt;/FQL&gt;&lt;FQL&gt;&lt;Q&gt;INGM^FE_ESTIMATE(SALES,MEAN,NTM4,,45768,,,'')&lt;/Q&gt;&lt;R&gt;1&lt;/R&gt;&lt;C&gt;1&lt;/C&gt;&lt;D xsi:type="xsd:double"&gt;49405.39&lt;/D&gt;&lt;/FQL&gt;&lt;FQL&gt;&lt;Q&gt;INGM^FREF_MARKET_VALUE_COMPANY(45768,,,,,0,,"LEGACY")&lt;/Q&gt;&lt;R&gt;1&lt;/R&gt;&lt;C&gt;1&lt;/C&gt;&lt;D xsi:type="xsd:double"&gt;3729.0302734375&lt;/D&gt;&lt;/FQL&gt;&lt;FQL&gt;&lt;Q&gt;DLR^FE_ESTIMATE(UFCF,MEAN,CALA_ROLL,2024,45768,,,'')&lt;/Q&gt;&lt;R&gt;0&lt;/R&gt;&lt;C&gt;0&lt;/C&gt;&lt;/FQL&gt;&lt;FQL&gt;&lt;Q&gt;DOCN^FE_ESTIMATE(FCF,MEAN,CAL4,2026,45768,,,'')&lt;/Q&gt;&lt;R&gt;1&lt;/R&gt;&lt;C&gt;1&lt;/C&gt;&lt;D xsi:type="xsd:double"&gt;171.30737&lt;/D&gt;&lt;/FQL&gt;&lt;FQL&gt;&lt;Q&gt;NVDA^FE_ESTIMATE(FCF,MEAN,LTM4,,45768,,,'')&lt;/Q&gt;&lt;R&gt;1&lt;/R&gt;&lt;C&gt;1&lt;/C&gt;&lt;D xsi:type="xsd:double"&gt;62019.04&lt;/D&gt;&lt;/FQL&gt;&lt;FQL&gt;&lt;Q&gt;GOOG^FE_ESTIMATE(EPS_GAAP,MEAN,CALA_ROLL,2027,45768,,,'')&lt;/Q&gt;&lt;R&gt;1&lt;/R&gt;&lt;C&gt;1&lt;/C&gt;&lt;D xsi:type="xsd:double"&gt;11.5611315&lt;/D&gt;&lt;/FQL&gt;&lt;FQL&gt;&lt;Q&gt;IBM^FE_ESTIMATE(EPS_GAAP,MEAN,CAL4,2025,45768,,,'')&lt;/Q&gt;&lt;R&gt;1&lt;/R&gt;&lt;C&gt;1&lt;/C&gt;&lt;D xsi:type="xsd:double"&gt;9.347035&lt;/D&gt;&lt;/FQL&gt;&lt;FQL&gt;&lt;Q&gt;DLR^FE_ESTIMATE(EPS_GAAP,MEAN,CAL4,2026,45768,,,'')&lt;/Q&gt;&lt;R&gt;1&lt;/R&gt;&lt;C&gt;1&lt;/C&gt;&lt;D xsi:type="xsd:double"&gt;1.4928571&lt;/D&gt;&lt;/FQL&gt;&lt;FQL&gt;&lt;Q&gt;MSFT^FE_ESTIMATE(EPS_GAAP,MEAN,CAL4,2026,45768,,,'')&lt;/Q&gt;&lt;R&gt;1&lt;/R&gt;&lt;C&gt;1&lt;/C&gt;&lt;D xsi:type="xsd:double"&gt;15.863868&lt;/D&gt;&lt;/FQL&gt;&lt;FQL&gt;&lt;Q&gt;ORCL^FE_ESTIMATE(EBITDA,MEAN,CAL4,2023,45768,,,'')&lt;/Q&gt;&lt;R&gt;1&lt;/R&gt;&lt;C&gt;1&lt;/C&gt;&lt;D xsi:type="xsd:double"&gt;27439.04&lt;/D&gt;&lt;/FQL&gt;&lt;FQL&gt;&lt;Q&gt;IBM^FE_ESTIMATE(EBITDA,MEAN,CAL4,2023,45768,,,'')&lt;/Q&gt;&lt;R&gt;1&lt;/R&gt;&lt;C&gt;1&lt;/C&gt;&lt;D xsi:type="xsd:double"&gt;14568.502&lt;/D&gt;&lt;/FQL&gt;&lt;FQL&gt;&lt;Q&gt;MSFT^FE_ESTIMATE(EBITDA,MEAN,NTM4,,45768,,,'')&lt;/Q&gt;&lt;R&gt;1&lt;/R&gt;&lt;C&gt;1&lt;/C&gt;&lt;D xsi:type="xsd:double"&gt;164920.83&lt;/D&gt;&lt;/FQL&gt;&lt;FQL&gt;&lt;Q&gt;CDW^FE_ESTIMATE(EBITDA,MEAN,LTM4,,45768,,,'')&lt;/Q&gt;&lt;R&gt;1&lt;/R&gt;&lt;C&gt;1&lt;/C&gt;&lt;D xsi:type="xsd:double"&gt;2115.8083&lt;/D&gt;&lt;/FQL&gt;&lt;FQL&gt;&lt;Q&gt;SNX^FE_ESTIMATE(EBIT,MEAN,NTM4,,45768,,,'')&lt;/Q&gt;&lt;R&gt;1&lt;/R&gt;&lt;C&gt;1&lt;/C&gt;&lt;D xsi:type="xsd:double"&gt;1646.8707&lt;/D&gt;&lt;/FQL&gt;&lt;FQL&gt;&lt;Q&gt;DOCN^FE_ESTIMATE(EBIT,MEAN,CALA_ROLL,2027,45768,,,'')&lt;/Q&gt;&lt;R&gt;1&lt;/R&gt;&lt;C&gt;1&lt;/C&gt;&lt;D xsi:type="xsd:double"&gt;318.5193&lt;/D&gt;&lt;/FQL&gt;&lt;FQL&gt;&lt;Q&gt;IBM^FE_ESTIMATE(EBIT,MEAN,CAL4,2023,45768,,,'')&lt;/Q&gt;&lt;R&gt;1&lt;/R&gt;&lt;C&gt;1&lt;/C&gt;&lt;D xsi:type="xsd:double"&gt;10434.986&lt;/D&gt;&lt;/FQL&gt;&lt;FQL&gt;&lt;Q&gt;NVDA^FE_ESTIMATE(EBIT,MEAN,CAL4,2026,45768,,,'')&lt;/Q&gt;&lt;R&gt;1&lt;/R&gt;&lt;C&gt;1&lt;/C&gt;&lt;D xsi:type="xsd:double"&gt;161858.05&lt;/D&gt;&lt;/FQL&gt;&lt;FQL&gt;&lt;Q&gt;AVT^FE_ESTIMATE(SALES,MEAN,NTM4,,45768,,,'')&lt;/Q&gt;&lt;R&gt;1&lt;/R&gt;&lt;C&gt;1&lt;/C&gt;&lt;D xsi:type="xsd:double"&gt;22259.436&lt;/D&gt;&lt;/FQL&gt;&lt;FQL&gt;&lt;Q&gt;DLR^FE_ESTIMATE(UFCF,MEAN,CALA_ROLL,2023,45768,,,'')&lt;/Q&gt;&lt;R&gt;1&lt;/R&gt;&lt;C&gt;1&lt;/C&gt;&lt;D xsi:type="xsd:double"&gt;-1479.6&lt;/D&gt;&lt;/FQL&gt;&lt;FQL&gt;&lt;Q&gt;DLR^FE_ESTIMATE(EBITDA,MEAN,NTM4,,45768,,,'')&lt;/Q&gt;&lt;R&gt;1&lt;/R&gt;&lt;C&gt;1&lt;/C&gt;&lt;D xsi:type="xsd:double"&gt;3139.0596&lt;/D&gt;&lt;/FQL&gt;&lt;FQL&gt;&lt;Q&gt;CDW^FE_ESTIMATE(EBIT,MEAN,CAL4,2023,45768,,,'')&lt;/Q&gt;&lt;R&gt;1&lt;/R&gt;&lt;C&gt;1&lt;/C&gt;&lt;D xsi:type="xsd:double"&gt;2025.8167&lt;/D&gt;&lt;/FQL&gt;&lt;FQL&gt;&lt;Q&gt;AMZN^FE_ESTIMATE(EBIT,MEAN,NTM4,,45768,,,'')&lt;/Q&gt;&lt;R&gt;1&lt;/R&gt;&lt;C&gt;1&lt;/C&gt;&lt;D xsi:type="xsd:double"&gt;79543.57&lt;/D&gt;&lt;/FQL&gt;&lt;FQL&gt;&lt;Q&gt;DLR^FE_ESTIMATE(EBIT,MEAN,CAL4,2023,45768,,,'')&lt;/Q&gt;&lt;R&gt;1&lt;/R&gt;&lt;C&gt;1&lt;/C&gt;&lt;D xsi:type="xsd:double"&gt;524.37494&lt;/D&gt;&lt;/FQL&gt;&lt;FQL&gt;&lt;Q&gt;ARW^FE_ESTIMATE(SALES,MEAN,CALA_ROLL,2027,45768,,,'')&lt;/Q&gt;&lt;R&gt;1&lt;/R&gt;&lt;C&gt;1&lt;/C&gt;&lt;D xsi:type="xsd:double"&gt;33408&lt;/D&gt;&lt;/FQL&gt;&lt;FQL&gt;&lt;Q&gt;INGM^FE_ESTIMATE(SALES,MEAN,CAL4,2026,45768,,,'')&lt;/Q&gt;&lt;R&gt;1&lt;/R&gt;&lt;C&gt;1&lt;/C&gt;&lt;D xsi:type="xsd:double"&gt;51387.07&lt;/D&gt;&lt;/FQL&gt;&lt;FQL&gt;&lt;Q&gt;DOCN^FE_ESTIMATE(SALES,MEAN,CAL4,2024,45768,,,'')&lt;/Q&gt;&lt;R&gt;1&lt;/R&gt;&lt;C&gt;1&lt;/C&gt;&lt;D xsi:type="xsd:double"&gt;780.615&lt;/D&gt;&lt;/FQL&gt;&lt;FQL&gt;&lt;Q&gt;GOOG^FE_ESTIMATE(SALES,MEAN,CAL4,2025,45768,,,'')&lt;/Q&gt;&lt;R&gt;1&lt;/R&gt;&lt;C&gt;1&lt;/C&gt;&lt;D xsi:type="xsd:double"&gt;385662&lt;/D&gt;&lt;/FQL&gt;&lt;FQL&gt;&lt;Q&gt;AMZN^FE_ESTIMATE(SALES,MEAN,CAL4,2026,45768,,,'')&lt;/Q&gt;&lt;R&gt;1&lt;/R&gt;&lt;C&gt;1&lt;/C&gt;&lt;D xsi:type="xsd:double"&gt;759786.7&lt;/D&gt;&lt;/FQL&gt;&lt;FQL&gt;&lt;Q&gt;ORCL^FE_ESTIMATE(SALES,MEAN,CALA_ROLL,2027,45768,,,'')&lt;/Q&gt;&lt;R&gt;1&lt;/R&gt;&lt;C&gt;1&lt;/C&gt;&lt;D xsi:type="xsd:double"&gt;85168.66&lt;/D&gt;&lt;/FQL&gt;&lt;FQL&gt;&lt;Q&gt;ORCL^FREF_MARKET_VALUE_COMPANY(45768,,,,,0,,"LEGACY")&lt;/Q&gt;&lt;R&gt;1&lt;/R&gt;&lt;C&gt;1&lt;/C&gt;&lt;D xsi:type="xsd:double"&gt;344416&lt;/D&gt;&lt;/FQL&gt;&lt;FQL&gt;&lt;Q&gt;IBM^FE_ESTIMATE(SALES,MEAN,NTM4,,45768,,,'')&lt;/Q&gt;&lt;R&gt;1&lt;/R&gt;&lt;C&gt;1&lt;/C&gt;&lt;D xsi:type="xsd:double"&gt;65129.566&lt;/D&gt;&lt;/FQL&gt;&lt;FQL&gt;&lt;Q&gt;EQIX^FE_ESTIMATE(SALES,MEAN,CAL4,2026,45768,,,'')&lt;/Q&gt;&lt;R&gt;1&lt;/R&gt;&lt;C&gt;1&lt;/C&gt;&lt;D xsi:type="xsd:double"&gt;9902.828&lt;/D&gt;&lt;/FQL&gt;&lt;FQL&gt;&lt;Q&gt;EQIX^FG_PRICE(45768)&lt;/Q&gt;&lt;R&gt;1&lt;/R&gt;&lt;C&gt;1&lt;/C&gt;&lt;D xsi:type="xsd:double"&gt;773.2&lt;/D&gt;&lt;/FQL&gt;&lt;FQL&gt;&lt;Q&gt;DLR^FE_ESTIMATE(SALES,MEAN,CAL4,2024,45768,,,'')&lt;/Q&gt;&lt;R&gt;1&lt;/R&gt;&lt;C&gt;1&lt;/C&gt;&lt;D xsi:type="xsd:double"&gt;5554.968&lt;/D&gt;&lt;/FQL&gt;&lt;FQL&gt;&lt;Q&gt;DLR^FREF_MARKET_VALUE_COMPANY(45768,,,,,0,,"LEGACY")&lt;/Q&gt;&lt;R&gt;1&lt;/R&gt;&lt;C&gt;1&lt;/C&gt;&lt;D xsi:type="xsd:double"&gt;49279.8046875&lt;/D&gt;&lt;/FQL&gt;&lt;FQL&gt;&lt;Q&gt;NVDA^FE_ESTIMATE(SALES,MEAN,NTM4,,45768,,,'')&lt;/Q&gt;&lt;R&gt;1&lt;/R&gt;&lt;C&gt;1&lt;/C&gt;&lt;D xsi:type="xsd:double"&gt;199630.06&lt;/D&gt;&lt;/FQL&gt;&lt;FQL&gt;&lt;Q&gt;MSFT^FE_ESTIMATE(SALES,MEAN,CAL4,2026,45768,,,'')&lt;/Q&gt;&lt;R&gt;1&lt;/R&gt;&lt;C&gt;1&lt;/C&gt;&lt;D xsi:type="xsd:double"&gt;330771.4&lt;/D&gt;&lt;/FQL&gt;&lt;FQL&gt;&lt;Q&gt;MSFT^FG_PRICE(45768)&lt;/Q&gt;&lt;R&gt;1&lt;/R&gt;&lt;C&gt;1&lt;/C&gt;&lt;D xsi:type="xsd:double"&gt;359.12&lt;/D&gt;&lt;/FQL&gt;&lt;FQL&gt;&lt;Q&gt;DOCN^FE_ESTIMATE(FCF,MEAN,CAL4,2025,45768,,,'')&lt;/Q&gt;&lt;R&gt;1&lt;/R&gt;&lt;C&gt;1&lt;/C&gt;&lt;D xsi:type="xsd:double"&gt;146.19283&lt;/D&gt;&lt;/FQL&gt;&lt;FQL&gt;&lt;Q&gt;INGM^FE_ESTIMATE(EBIT,MEAN,CAL4,2024,45768,,,'')&lt;/Q&gt;&lt;R&gt;0&lt;/R&gt;&lt;C&gt;0&lt;/C&gt;&lt;/FQL&gt;&lt;FQL&gt;&lt;Q&gt;ORCL^FE_ESTIMATE(EBIT,MEAN,CAL4,2024,45768,,,'')&lt;/Q&gt;&lt;R&gt;1&lt;/R&gt;&lt;C&gt;1&lt;/C&gt;&lt;D xsi:type="xsd:double"&gt;24264.9&lt;/D&gt;&lt;/FQL&gt;&lt;FQL&gt;&lt;Q&gt;NVDA^FE_ESTIMATE(EBIT,MEAN,CAL4,2025,45768,,,'')&lt;/Q&gt;&lt;R&gt;1&lt;/R&gt;&lt;C&gt;1&lt;/C&gt;&lt;D xsi:type="xsd:double"&gt;128082.22&lt;/D&gt;&lt;/FQL&gt;&lt;FQL&gt;&lt;Q&gt;ARW^FE_ESTIMATE(SALES,MEAN,NTM4,,45768,,,'')&lt;/Q&gt;&lt;R&gt;1&lt;/R&gt;&lt;C&gt;1&lt;/C&gt;&lt;D xsi:type="xsd:double"&gt;27614.453&lt;/D&gt;&lt;/FQL&gt;&lt;FQL&gt;&lt;Q&gt;SNX^FF_ENTRPR_VAL_DAILY(45768,,,,,"DIL")&lt;/Q&gt;&lt;R&gt;1&lt;/R&gt;&lt;C&gt;1&lt;/C&gt;&lt;D xsi:type="xsd:double"&gt;12439.2105&lt;/D&gt;&lt;/FQL&gt;&lt;FQL&gt;&lt;Q&gt;INGM^FE_ESTIMATE(SALES,MEAN,CAL4,2025,45768,,,'')&lt;/Q&gt;&lt;R&gt;1&lt;/R&gt;&lt;C&gt;1&lt;/C&gt;&lt;D xsi:type="xsd:double"&gt;49405.39&lt;/D&gt;&lt;/FQL&gt;&lt;FQL&gt;&lt;Q&gt;MSFT^FE_ESTIMATE(FCF,MEAN,CALA_ROLL,2027,45768,,,'')&lt;/Q&gt;&lt;R&gt;1&lt;/R&gt;&lt;C&gt;1&lt;/C&gt;&lt;D xsi:type="xsd:double"&gt;107211.67&lt;/D&gt;&lt;/FQL&gt;&lt;FQL&gt;&lt;Q&gt;AMZN^FE_ESTIMATE(EBITDA,MEAN,CAL4,2023,45768,,,'')&lt;/Q&gt;&lt;R&gt;1&lt;/R&gt;&lt;C&gt;1&lt;/C&gt;&lt;D xsi:type="xsd:double"&gt;109513.47&lt;/D&gt;&lt;/FQL&gt;&lt;FQL&gt;&lt;Q&gt;AVT^FE_ESTIMATE(EBIT,MEAN,CAL4,2024,45768,,,'')&lt;/Q&gt;&lt;R&gt;1&lt;/R&gt;&lt;C&gt;1&lt;/C&gt;&lt;D xsi:type="xsd:double"&gt;724.5228&lt;/D&gt;&lt;/FQL&gt;&lt;FQL&gt;&lt;Q&gt;IBM^FE_ESTIMATE(EBIT,MEAN,CALA_ROLL,2027,45768,,,'')&lt;/Q&gt;&lt;R&gt;1&lt;/R&gt;&lt;C&gt;1&lt;/C&gt;&lt;D xsi:type="xsd:double"&gt;14022.767&lt;/D&gt;&lt;/FQL&gt;&lt;FQL&gt;&lt;Q&gt;NVDA^FE_ESTIMATE(EBIT,MEAN,LTM4,,45768,,,'')&lt;/Q&gt;&lt;R&gt;1&lt;/R&gt;&lt;C&gt;1&lt;/C&gt;&lt;D xsi:type="xsd:double"&gt;86539.64&lt;/D&gt;&lt;/FQL&gt;&lt;FQL&gt;&lt;Q&gt;CDW^FE_ESTIMATE(SALES,MEAN,CAL4,2025,45768,,,'')&lt;/Q&gt;&lt;R&gt;1&lt;/R&gt;&lt;C&gt;1&lt;/C&gt;&lt;D xsi:type="xsd:double"&gt;21460.67&lt;/D&gt;&lt;/FQL&gt;&lt;FQL&gt;&lt;Q&gt;DOCN^FE_ESTIMATE(SALES,MEAN,LTM4,,45768,,,'')&lt;/Q&gt;&lt;R&gt;1&lt;/R&gt;&lt;C&gt;1&lt;/C&gt;&lt;D xsi:type="xsd:double"&gt;780.615&lt;/D&gt;&lt;/FQL&gt;&lt;FQL&gt;&lt;Q&gt;GOOG^FE_ESTIMATE(SALES,MEAN,NTM4,,45768,,,'')&lt;/Q&gt;&lt;R&gt;1&lt;/R&gt;&lt;C&gt;1&lt;/C&gt;&lt;D xsi:type="xsd:double"&gt;385662&lt;/D&gt;&lt;/FQL&gt;&lt;FQL&gt;&lt;Q&gt;AMZN^FE_ESTIMATE(SALES,MEAN,CAL4,2023,45768,,,'')&lt;/Q&gt;&lt;R&gt;1&lt;/R&gt;&lt;C&gt;1&lt;/C&gt;&lt;D xsi:type="xsd:double"&gt;574785&lt;/D&gt;&lt;/FQL&gt;&lt;FQL&gt;&lt;Q&gt;ORCL^FE_ESTIMATE(SALES,MEAN,CAL4,2024,45768,,,'')&lt;/Q&gt;&lt;R&gt;1&lt;/R&gt;&lt;C&gt;1&lt;/C&gt;&lt;D xsi:type="xsd:double"&gt;54933&lt;/D&gt;&lt;/FQL&gt;&lt;FQL&gt;&lt;Q&gt;IBM^FE_ESTIMATE(SALES,MEAN,CALA_ROLL,2027,45768,,,'')&lt;/Q&gt;&lt;R&gt;1&lt;/R&gt;&lt;C&gt;1&lt;/C&gt;&lt;D xsi:type="xsd:double"&gt;70797&lt;/D&gt;&lt;/FQL&gt;&lt;FQL&gt;&lt;Q&gt;IBM^FE_ESTIMATE(SALES,MEAN,LTM4,,45768,,,'')&lt;/Q&gt;&lt;R&gt;1&lt;/R&gt;&lt;C&gt;1&lt;/C&gt;&lt;D xsi:type="xsd:double"&gt;62753&lt;/D&gt;&lt;/FQL&gt;&lt;FQL&gt;&lt;Q&gt;EQIX^FE_ESTIMATE(SALES,MEAN,CAL4,2025,45768,,,'')&lt;/Q&gt;&lt;R&gt;1&lt;/R&gt;&lt;C&gt;1&lt;/C&gt;&lt;D xsi:type="xsd:double"&gt;9125.028&lt;/D&gt;&lt;/FQL&gt;&lt;FQL&gt;&lt;Q&gt;DLR^FE_ESTIMATE(SALES,MEAN,CAL4,2023,45768,,,'')&lt;/Q&gt;&lt;R&gt;1&lt;/R&gt;&lt;C&gt;1&lt;/C&gt;&lt;D xsi:type="xsd:double"&gt;5477.061&lt;/D&gt;&lt;/FQL&gt;&lt;FQL&gt;&lt;Q&gt;NVDA^FE_ESTIMATE(SALES,MEAN,LTM4,,45768,,,'')&lt;/Q&gt;&lt;R&gt;1&lt;/R&gt;&lt;C&gt;1&lt;/C&gt;&lt;D xsi:type="xsd:double"&gt;130497&lt;/D&gt;&lt;/FQL&gt;&lt;FQL&gt;&lt;Q&gt;MSFT^FE_ESTIMATE(SALES,MEAN,CAL4,2025,45768,,,'')&lt;/Q&gt;&lt;R&gt;1&lt;/R&gt;&lt;C&gt;1&lt;/C&gt;&lt;D xsi:type="xsd:double"&gt;292212.03&lt;/D&gt;&lt;/FQL&gt;&lt;FQL&gt;&lt;Q&gt;GOOG^FE_ESTIMATE(EPS_GAAP,MEAN,CAL4,2026,45768,,,'')&lt;/Q&gt;&lt;R&gt;1&lt;/R&gt;&lt;C&gt;1&lt;/C&gt;&lt;D xsi:type="xsd:double"&gt;10.063921&lt;/D&gt;&lt;/FQL&gt;&lt;FQL&gt;&lt;Q&gt;ARW^FE_ESTIMATE(EBIT,MEAN,CAL4,2025,45768,,,'')&lt;/Q&gt;&lt;R&gt;1&lt;/R&gt;&lt;C&gt;1&lt;/C&gt;&lt;D xsi:type="xsd:double"&gt;948.91473&lt;/D&gt;&lt;/FQL&gt;&lt;FQL&gt;&lt;Q&gt;MSFT^FE_ESTIMATE(EBIT,MEAN,CAL4,2023,45768,,,'')&lt;/Q&gt;&lt;R&gt;1&lt;/R&gt;&lt;C&gt;1&lt;/C&gt;&lt;D xsi:type="xsd:double"&gt;100451.96&lt;/D&gt;&lt;/FQL&gt;&lt;FQL&gt;&lt;Q&gt;INGM^FE_ESTIMATE(SALES,MEAN,LTM4,,45768,,,'')&lt;/Q&gt;&lt;R&gt;0&lt;/R&gt;&lt;C&gt;0&lt;/C&gt;&lt;/FQL&gt;&lt;FQL&gt;&lt;Q&gt;IBM^FE_ESTIMATE(SALES,MEAN,CAL4,2025,45768,,,'')&lt;/Q&gt;&lt;R&gt;1&lt;/R&gt;&lt;C&gt;1&lt;/C&gt;&lt;D xsi:type="xsd:double"&gt;65129.566&lt;/D&gt;&lt;/FQL&gt;&lt;FQL&gt;&lt;Q&gt;DLR^FE_ESTIMATE(SALES,MEAN,CALA_ROLL,2027,45768,,,'')&lt;/Q&gt;&lt;R&gt;1&lt;/R&gt;&lt;C&gt;1&lt;/C&gt;&lt;D xsi:type="xsd:double"&gt;7322.82&lt;/D&gt;&lt;/FQL&gt;&lt;FQL&gt;&lt;Q&gt;NVDA^FF_ENTRPR_VAL_DAILY(45768,,,,,"DIL")&lt;/Q&gt;&lt;R&gt;1&lt;/R&gt;&lt;C&gt;1&lt;/C&gt;&lt;D xsi:type="xsd:double"&gt;2370815.64&lt;/D&gt;&lt;/FQL&gt;&lt;FQL&gt;&lt;Q&gt;IBM^FE_ESTIMATE(EBITDA,MEAN,NTM4,,45768,,,'')&lt;/Q&gt;&lt;R&gt;1&lt;/R&gt;&lt;C&gt;1&lt;/C&gt;&lt;D xsi:type="xsd:double"&gt;17031.37&lt;/D&gt;&lt;/FQL&gt;&lt;FQL&gt;&lt;Q&gt;GOOG^FE_ESTIMATE(EBIT,MEAN,CAL4,2024,45768,,,'')&lt;/Q&gt;&lt;R&gt;1&lt;/R&gt;&lt;C&gt;1&lt;/C&gt;&lt;D xsi:type="xsd:double"&gt;112401.02&lt;/D&gt;&lt;/FQL&gt;&lt;FQL&gt;&lt;Q&gt;AVT^FE_ESTIMATE(SALES,MEA</t>
        </r>
      </text>
    </comment>
    <comment ref="A3" authorId="0" shapeId="0" xr:uid="{A9F14362-B473-4974-8427-AF742B325F4F}">
      <text>
        <r>
          <rPr>
            <b/>
            <sz val="9"/>
            <color indexed="81"/>
            <rFont val="Tahoma"/>
            <charset val="1"/>
          </rPr>
          <t>N,CAL4,2026,45768,,,'')&lt;/Q&gt;&lt;R&gt;1&lt;/R&gt;&lt;C&gt;1&lt;/C&gt;&lt;D xsi:type="xsd:double"&gt;23789.533&lt;/D&gt;&lt;/FQL&gt;&lt;FQL&gt;&lt;Q&gt;DOCN^FREF_MARKET_VALUE_COMPANY(45768,,,,,0,,"LEGACY")&lt;/Q&gt;&lt;R&gt;1&lt;/R&gt;&lt;C&gt;1&lt;/C&gt;&lt;D xsi:type="xsd:double"&gt;2378.9052734375&lt;/D&gt;&lt;/FQL&gt;&lt;FQL&gt;&lt;Q&gt;GOOG^FF_ENTRPR_VAL_DAILY(45768,,,,,"DIL")&lt;/Q&gt;&lt;R&gt;1&lt;/R&gt;&lt;C&gt;1&lt;/C&gt;&lt;D xsi:type="xsd:double"&gt;1763807.11&lt;/D&gt;&lt;/FQL&gt;&lt;FQL&gt;&lt;Q&gt;SNX^FE_ESTIMATE(SALES,MEAN,CAL4,2023,45768,,,'')&lt;/Q&gt;&lt;R&gt;1&lt;/R&gt;&lt;C&gt;1&lt;/C&gt;&lt;D xsi:type="xsd:double"&gt;57555.414&lt;/D&gt;&lt;/FQL&gt;&lt;FQL&gt;&lt;Q&gt;IBM^FREF_MARKET_VALUE_COMPANY(45768,,,,,0,,"LEGACY")&lt;/Q&gt;&lt;R&gt;1&lt;/R&gt;&lt;C&gt;1&lt;/C&gt;&lt;D xsi:type="xsd:double"&gt;219038.390625&lt;/D&gt;&lt;/FQL&gt;&lt;FQL&gt;&lt;Q&gt;DLR^FG_PRICE(45768)&lt;/Q&gt;&lt;R&gt;1&lt;/R&gt;&lt;C&gt;1&lt;/C&gt;&lt;D xsi:type="xsd:double"&gt;146.34&lt;/D&gt;&lt;/FQL&gt;&lt;FQL&gt;&lt;Q&gt;NVDA^FREF_MARKET_VALUE_COMPANY(45768,,,,,0,,"LEGACY")&lt;/Q&gt;&lt;R&gt;1&lt;/R&gt;&lt;C&gt;1&lt;/C&gt;&lt;D xsi:type="xsd:double"&gt;2364604&lt;/D&gt;&lt;/FQL&gt;&lt;FQL&gt;&lt;Q&gt;EQIX^FF_ENTRPR_VAL_DAILY(45768,,,,,"DIL")&lt;/Q&gt;&lt;R&gt;1&lt;/R&gt;&lt;C&gt;1&lt;/C&gt;&lt;D xsi:type="xsd:double"&gt;89174.4364&lt;/D&gt;&lt;/FQL&gt;&lt;FQL&gt;&lt;Q&gt;MSFT^FF_ENTRPR_VAL_DAILY(45768,,,,,"DIL")&lt;/Q&gt;&lt;R&gt;1&lt;/R&gt;&lt;C&gt;1&lt;/C&gt;&lt;D xsi:type="xsd:double"&gt;2713262.16&lt;/D&gt;&lt;/FQL&gt;&lt;FQL&gt;&lt;Q&gt;AVT^FE_ESTIMATE(EBITDA,MEAN,LTM4,,45768,,,'')&lt;/Q&gt;&lt;R&gt;1&lt;/R&gt;&lt;C&gt;1&lt;/C&gt;&lt;D xsi:type="xsd:double"&gt;813.0833&lt;/D&gt;&lt;/FQL&gt;&lt;FQL&gt;&lt;Q&gt;DOCN^FE_ESTIMATE(EBIT,MEAN,LTM4,,45768,,,'')&lt;/Q&gt;&lt;R&gt;1&lt;/R&gt;&lt;C&gt;1&lt;/C&gt;&lt;D xsi:type="xsd:double"&gt;183.9113&lt;/D&gt;&lt;/FQL&gt;&lt;FQL&gt;&lt;Q&gt;ARW^FREF_MARKET_VALUE_COMPANY(45768,,,,,0,,"LEGACY")&lt;/Q&gt;&lt;R&gt;1&lt;/R&gt;&lt;C&gt;1&lt;/C&gt;&lt;D xsi:type="xsd:double"&gt;5301.35205078125&lt;/D&gt;&lt;/FQL&gt;&lt;FQL&gt;&lt;Q&gt;IBM^FF_ENTRPR_VAL_DAILY(45768,,,,,"DIL")&lt;/Q&gt;&lt;R&gt;1&lt;/R&gt;&lt;C&gt;1&lt;/C&gt;&lt;D xsi:type="xsd:double"&gt;265053.22433328&lt;/D&gt;&lt;/FQL&gt;&lt;FQL&gt;&lt;Q&gt;DLR^FE_ESTIMATE(SALES,MEAN,LTM4,,45768,,,'')&lt;/Q&gt;&lt;R&gt;1&lt;/R&gt;&lt;C&gt;1&lt;/C&gt;&lt;D xsi:type="xsd:double"&gt;5554.968&lt;/D&gt;&lt;/FQL&gt;&lt;FQL&gt;&lt;Q&gt;CRWV^FG_PRICE(45768)&lt;/Q&gt;&lt;R&gt;1&lt;/R&gt;&lt;C&gt;1&lt;/C&gt;&lt;D xsi:type="xsd:double"&gt;35.415&lt;/D&gt;&lt;/FQL&gt;&lt;FQL&gt;&lt;Q&gt;SNX^FE_ESTIMATE(EBIT,MEAN,CAL4,2027,45768,,,'')&lt;/Q&gt;&lt;R&gt;1&lt;/R&gt;&lt;C&gt;1&lt;/C&gt;&lt;D xsi:type="xsd:double"&gt;1803.3328&lt;/D&gt;&lt;/FQL&gt;&lt;FQL&gt;&lt;Q&gt;SNX^FE_ESTIMATE(SALES,MEAN,CAL4,2024,45768,,,'')&lt;/Q&gt;&lt;R&gt;1&lt;/R&gt;&lt;C&gt;1&lt;/C&gt;&lt;D xsi:type="xsd:double"&gt;58452.438&lt;/D&gt;&lt;/FQL&gt;&lt;FQL&gt;&lt;Q&gt;AMZN^FG_PRICE(45768)&lt;/Q&gt;&lt;R&gt;1&lt;/R&gt;&lt;C&gt;1&lt;/C&gt;&lt;D xsi:type="xsd:double"&gt;167.32&lt;/D&gt;&lt;/FQL&gt;&lt;FQL&gt;&lt;Q&gt;SNX^FE_ESTIMATE(EBITDA,MEAN,LTM4,,45768,,,'')&lt;/Q&gt;&lt;R&gt;1&lt;/R&gt;&lt;C&gt;1&lt;/C&gt;&lt;D xsi:type="xsd:double"&gt;1713.641&lt;/D&gt;&lt;/FQL&gt;&lt;FQL&gt;&lt;Q&gt;DLR^FE_ESTIMATE(EBIT,MEAN,CALA_ROLL,2027,45768,,,'')&lt;/Q&gt;&lt;R&gt;1&lt;/R&gt;&lt;C&gt;1&lt;/C&gt;&lt;D xsi:type="xsd:double"&gt;1396.0302&lt;/D&gt;&lt;/FQL&gt;&lt;FQL&gt;&lt;Q&gt;CDW^FG_PRICE(45768)&lt;/Q&gt;&lt;R&gt;1&lt;/R&gt;&lt;C&gt;1&lt;/C&gt;&lt;D xsi:type="xsd:double"&gt;148.42&lt;/D&gt;&lt;/FQL&gt;&lt;FQL&gt;&lt;Q&gt;EQIX^FE_ESTIMATE(SALES,MEAN,NTM4,,45768,,,'')&lt;/Q&gt;&lt;R&gt;1&lt;/R&gt;&lt;C&gt;1&lt;/C&gt;&lt;D xsi:type="xsd:double"&gt;9125.028&lt;/D&gt;&lt;/FQL&gt;&lt;FQL&gt;&lt;Q&gt;NVDA^FE_ESTIMATE(SALES,MEAN,CAL4,2024,45768,,,'')&lt;/Q&gt;&lt;R&gt;1&lt;/R&gt;&lt;C&gt;1&lt;/C&gt;&lt;D xsi:type="xsd:double"&gt;130497&lt;/D&gt;&lt;/FQL&gt;&lt;FQL&gt;&lt;Q&gt;NVDA^FE_ESTIMATE(SALES,MEAN,CALA_ROLL,2027,45768,,,'')&lt;/Q&gt;&lt;R&gt;1&lt;/R&gt;&lt;C&gt;1&lt;/C&gt;&lt;D xsi:type="xsd:double"&gt;286397.72&lt;/D&gt;&lt;/FQL&gt;&lt;FQL&gt;&lt;Q&gt;IBM^FE_ESTIMATE(EBIT,MEAN,NTM4,,45768,,,'')&lt;/Q&gt;&lt;R&gt;1&lt;/R&gt;&lt;C&gt;1&lt;/C&gt;&lt;D xsi:type="xsd:double"&gt;12221.485&lt;/D&gt;&lt;/FQL&gt;&lt;FQL&gt;&lt;Q&gt;CDW^FE_ESTIMATE(SALES,MEAN,CAL4,2024,45768,,,'')&lt;/Q&gt;&lt;R&gt;1&lt;/R&gt;&lt;C&gt;1&lt;/C&gt;&lt;D xsi:type="xsd:double"&gt;20998.7&lt;/D&gt;&lt;/FQL&gt;&lt;FQL&gt;&lt;Q&gt;EQIX^FE_ESTIMATE(SALES,MEAN,CAL4,2023,45768,,,'')&lt;/Q&gt;&lt;R&gt;1&lt;/R&gt;&lt;C&gt;1&lt;/C&gt;&lt;D xsi:type="xsd:double"&gt;8188.136&lt;/D&gt;&lt;/FQL&gt;&lt;FQL&gt;&lt;Q&gt;NVDA^FE_ESTIMATE(SALES,MEAN,CAL4,2025,45768,,,'')&lt;/Q&gt;&lt;R&gt;1&lt;/R&gt;&lt;C&gt;1&lt;/C&gt;&lt;D xsi:type="xsd:double"&gt;199630.06&lt;/D&gt;&lt;/FQL&gt;&lt;FQL&gt;&lt;Q&gt;MSFT^FE_ESTIMATE(SALES,MEAN,CAL4,2023,45768,,,'')&lt;/Q&gt;&lt;R&gt;1&lt;/R&gt;&lt;C&gt;1&lt;/C&gt;&lt;D xsi:type="xsd:double"&gt;227583&lt;/D&gt;&lt;/FQL&gt;&lt;FQL&gt;&lt;Q&gt;ARW^FE_ESTIMATE(EBITDA,MEAN,LTM4,,45768,,,'')&lt;/Q&gt;&lt;R&gt;1&lt;/R&gt;&lt;C&gt;1&lt;/C&gt;&lt;D xsi:type="xsd:double"&gt;1151.0667&lt;/D&gt;&lt;/FQL&gt;&lt;FQL&gt;&lt;Q&gt;EQIX^FE_ESTIMATE(EBIT,MEAN,CAL4,2025,45768,,,'')&lt;/Q&gt;&lt;R&gt;1&lt;/R&gt;&lt;C&gt;1&lt;/C&gt;&lt;D xsi:type="xsd:double"&gt;1896.0947&lt;/D&gt;&lt;/FQL&gt;&lt;FQL&gt;&lt;Q&gt;DOCN^FE_ESTIMATE(SALES,MEAN,CALA_ROLL,2027,45768,,,'')&lt;/Q&gt;&lt;R&gt;1&lt;/R&gt;&lt;C&gt;1&lt;/C&gt;&lt;D xsi:type="xsd:double"&gt;1167.2197&lt;/D&gt;&lt;/FQL&gt;&lt;FQL&gt;&lt;Q&gt;ORCL^FE_ESTIMATE(SALES,MEAN,LTM4,,45768,,,'')&lt;/Q&gt;&lt;R&gt;1&lt;/R&gt;&lt;C&gt;1&lt;/C&gt;&lt;D xsi:type="xsd:double"&gt;55783&lt;/D&gt;&lt;/FQL&gt;&lt;FQL&gt;&lt;Q&gt;EQIX^FE_ESTIMATE(EBITDA,MEAN,NTM4,,45768,,,'')&lt;/Q&gt;&lt;R&gt;1&lt;/R&gt;&lt;C&gt;1&lt;/C&gt;&lt;D xsi:type="xsd:double"&gt;4442.692&lt;/D&gt;&lt;/FQL&gt;&lt;FQL&gt;&lt;Q&gt;SNX^FE_ESTIMATE(EBIT,MEAN,LTM4,,45768,,,'')&lt;/Q&gt;&lt;R&gt;1&lt;/R&gt;&lt;C&gt;1&lt;/C&gt;&lt;D xsi:type="xsd:double"&gt;1597.6228&lt;/D&gt;&lt;/FQL&gt;&lt;FQL&gt;&lt;Q&gt;AMZN^FE_ESTIMATE(EBIT,MEAN,CAL4,2026,45768,,,'')&lt;/Q&gt;&lt;R&gt;1&lt;/R&gt;&lt;C&gt;1&lt;/C&gt;&lt;D xsi:type="xsd:double"&gt;94986.36&lt;/D&gt;&lt;/FQL&gt;&lt;FQL&gt;&lt;Q&gt;AVT^FE_ESTIMATE(SALES,MEAN,LTM4,,45768,,,'')&lt;/Q&gt;&lt;R&gt;1&lt;/R&gt;&lt;C&gt;1&lt;/C&gt;&lt;D xsi:type="xsd:double"&gt;22484.129&lt;/D&gt;&lt;/FQL&gt;&lt;FQL&gt;&lt;Q&gt;IBM^FE_ESTIMATE(SALES,MEAN,CAL4,2024,45768,,,'')&lt;/Q&gt;&lt;R&gt;1&lt;/R&gt;&lt;C&gt;1&lt;/C&gt;&lt;D xsi:type="xsd:double"&gt;62753&lt;/D&gt;&lt;/FQL&gt;&lt;FQL&gt;&lt;Q&gt;DLR^FE_ESTIMATE(SALES,MEAN,CAL4,2026,45768,,,'')&lt;/Q&gt;&lt;R&gt;1&lt;/R&gt;&lt;C&gt;1&lt;/C&gt;&lt;D xsi:type="xsd:double"&gt;6420.411&lt;/D&gt;&lt;/FQL&gt;&lt;FQL&gt;&lt;Q&gt;CRWV^FE_ESTIMATE(ARR,MEAN,QUARTERLY_ROLL,2029/3F,45689,,,'')&lt;/Q&gt;&lt;R&gt;0&lt;/R&gt;&lt;C&gt;0&lt;/C&gt;&lt;/FQL&gt;&lt;FQL&gt;&lt;Q&gt;CRWV^FE_ESTIMATE(ARR,MEAN,ANNUAL_ROLL,2028,45689,,,'')&lt;/Q&gt;&lt;R&gt;0&lt;/R&gt;&lt;C&gt;0&lt;/C&gt;&lt;/FQL&gt;&lt;FQL&gt;&lt;Q&gt;CRWV^FE_ESTIMATE(ARR,MEAN,QUARTERLY_ROLL,2028/2F,45689,,,'')&lt;/Q&gt;&lt;R&gt;0&lt;/R&gt;&lt;C&gt;0&lt;/C&gt;&lt;/FQL&gt;&lt;FQL&gt;&lt;Q&gt;CRWV^FE_ESTIMATE(ARR,MEAN,QUARTERLY_ROLL,2027/4F,45689,,,'')&lt;/Q&gt;&lt;R&gt;0&lt;/R&gt;&lt;C&gt;0&lt;/C&gt;&lt;/FQL&gt;&lt;FQL&gt;&lt;Q&gt;CRWV^FE_ESTIMATE(ARR,MEAN,QUARTERLY_ROLL,2027/1F,45689,,,'')&lt;/Q&gt;&lt;R&gt;0&lt;/R&gt;&lt;C&gt;0&lt;/C&gt;&lt;/FQL&gt;&lt;FQL&gt;&lt;Q&gt;CRWV^FE_ESTIMATE(ARR,MEAN,QUARTERLY_ROLL,2026/3F,45689,,,'')&lt;/Q&gt;&lt;R&gt;0&lt;/R&gt;&lt;C&gt;0&lt;/C&gt;&lt;/FQL&gt;&lt;FQL&gt;&lt;Q&gt;CRWV^FE_ESTIMATE(ARR,MEAN,ANNUAL_ROLL,2025,45689,,,'')&lt;/Q&gt;&lt;R&gt;0&lt;/R&gt;&lt;C&gt;0&lt;/C&gt;&lt;/FQL&gt;&lt;FQL&gt;&lt;Q&gt;CRWV^FE_ESTIMATE(ARR,MEAN,QUARTERLY_ROLL,2025/2F,45689,,,'')&lt;/Q&gt;&lt;R&gt;0&lt;/R&gt;&lt;C&gt;0&lt;/C&gt;&lt;/FQL&gt;&lt;FQL&gt;&lt;Q&gt;CRWV^FE_ESTIMATE(ARR,MEAN,QUARTERLY_ROLL,2024/4F,45689,,,'')&lt;/Q&gt;&lt;R&gt;0&lt;/R&gt;&lt;C&gt;0&lt;/C&gt;&lt;/FQL&gt;&lt;FQL&gt;&lt;Q&gt;CRWV^FE_ESTIMATE(ARR,MEAN,ANNUAL_ROLL,2029,45689,,,'')&lt;/Q&gt;&lt;R&gt;0&lt;/R&gt;&lt;C&gt;0&lt;/C&gt;&lt;/FQL&gt;&lt;FQL&gt;&lt;Q&gt;CRWV^FE_ESTIMATE(ARR,MEAN,QUARTERLY_ROLL,2029/4F,45689,,,'')&lt;/Q&gt;&lt;R&gt;0&lt;/R&gt;&lt;C&gt;0&lt;/C&gt;&lt;/FQL&gt;&lt;FQL&gt;&lt;Q&gt;CRWV^FE_ESTIMATE(ARR,MEAN,ANNUAL_ROLL,2027,45689,,,'')&lt;/Q&gt;&lt;R&gt;0&lt;/R&gt;&lt;C&gt;0&lt;/C&gt;&lt;/FQL&gt;&lt;FQL&gt;&lt;Q&gt;CRWV^FE_ESTIMATE(ARR,MEAN,QUARTERLY_ROLL,2026/1F,45689,,,'')&lt;/Q&gt;&lt;R&gt;0&lt;/R&gt;&lt;C&gt;0&lt;/C&gt;&lt;/FQL&gt;&lt;FQL&gt;&lt;Q&gt;CRWV^FE_ESTIMATE(ARR,MEAN,QUARTERLY_ROLL,2024/2F,45689,,,'')&lt;/Q&gt;&lt;R&gt;0&lt;/R&gt;&lt;C&gt;0&lt;/C&gt;&lt;/FQL&gt;&lt;FQL&gt;&lt;Q&gt;CRWV^FE_ESTIMATE(ARR,MEAN,QUARTERLY_ROLL,2023/1F,45689,,,'')&lt;/Q&gt;&lt;R&gt;0&lt;/R&gt;&lt;C&gt;0&lt;/C&gt;&lt;/FQL&gt;&lt;FQL&gt;&lt;Q&gt;CRWV^FE_ESTIMATE(NEW_ORDERS_VALUE,MEAN,QUARTERLY_ROLL,2029/2F,45689,,,'')&lt;/Q&gt;&lt;R&gt;0&lt;/R&gt;&lt;C&gt;0&lt;/C&gt;&lt;/FQL&gt;&lt;FQL&gt;&lt;Q&gt;CRWV^FE_ESTIMATE(NEW_ORDERS_VALUE,MEAN,QUARTERLY_ROLL,2027/2F,45689,,,'')&lt;/Q&gt;&lt;R&gt;0&lt;/R&gt;&lt;C&gt;0&lt;/C&gt;&lt;/FQL&gt;&lt;FQL&gt;&lt;Q&gt;CRWV^FE_ESTIMATE(NEW_ORDERS_VALUE,MEAN,QUARTERLY_ROLL,2025/3F,45689,,,'')&lt;/Q&gt;&lt;R&gt;0&lt;/R&gt;&lt;C&gt;0&lt;/C&gt;&lt;/FQL&gt;&lt;FQL&gt;&lt;Q&gt;CRWV^FE_ESTIMATE(NEW_ORDERS_VALUE,MEAN,QUARTERLY_ROLL,2023/4F,45689,,,'')&lt;/Q&gt;&lt;R&gt;0&lt;/R&gt;&lt;C&gt;0&lt;/C&gt;&lt;/FQL&gt;&lt;FQL&gt;&lt;Q&gt;CRWV^FE_ESTIMATE(DEFREVENUE,MEAN,QUARTERLY_ROLL,2029/2F,45689,,,'')&lt;/Q&gt;&lt;R&gt;0&lt;/R&gt;&lt;C&gt;0&lt;/C&gt;&lt;/FQL&gt;&lt;FQL&gt;&lt;Q&gt;CRWV^FE_ESTIMATE(DEFREVENUE,MEAN,QUARTERLY_ROLL,2027/3F,45689,,,'')&lt;/Q&gt;&lt;R&gt;0&lt;/R&gt;&lt;C&gt;0&lt;/C&gt;&lt;/FQL&gt;&lt;FQL&gt;&lt;Q&gt;CRWV^FE_ESTIMATE(DEFREVENUE,MEAN,QUARTERLY_ROLL,2025/4F,45689,,,'')&lt;/Q&gt;&lt;R&gt;0&lt;/R&gt;&lt;C&gt;0&lt;/C&gt;&lt;/FQL&gt;&lt;FQL&gt;&lt;Q&gt;CRWV^FE_ESTIMATE(DEFREVENUE,MEAN,ANNUAL_ROLL,2023,45689,,,'')&lt;/Q&gt;&lt;R&gt;0&lt;/R&gt;&lt;C&gt;0&lt;/C&gt;&lt;/FQL&gt;&lt;FQL&gt;&lt;Q&gt;CRWV^FE_ESTIMATE(DEFREVENUE,MEAN,QUARTERLY_ROLL,2022/1F,45689,,,'')&lt;/Q&gt;&lt;R&gt;0&lt;/R&gt;&lt;C&gt;0&lt;/C&gt;&lt;/FQL&gt;&lt;FQL&gt;&lt;Q&gt;CRWV^FE_ESTIMATE(DEFREVENUE_LT,MEAN,QUARTERLY_ROLL,2029/3F,45689,,,'')&lt;/Q&gt;&lt;R&gt;0&lt;/R&gt;&lt;C&gt;0&lt;/C&gt;&lt;/FQL&gt;&lt;FQL&gt;&lt;Q&gt;CRWV^FE_ESTIMATE(DEFREVENUE_LT,MEAN,QUARTERLY_ROLL,2027/4F,45689,,,'')&lt;/Q&gt;&lt;R&gt;0&lt;/R&gt;&lt;C&gt;0&lt;/C&gt;&lt;/FQL&gt;&lt;FQL&gt;&lt;Q&gt;CRWV^FE_ESTIMATE(DEFREVENUE_LT,MEAN,QUARTERLY_ROLL,2025/2F,45689,,,'')&lt;/Q&gt;&lt;R&gt;0&lt;/R&gt;&lt;C&gt;0&lt;/C&gt;&lt;/FQL&gt;&lt;FQL&gt;&lt;Q&gt;CRWV^FE_ESTIMATE(DEFREVENUE_LT,MEAN,QUARTERLY_ROLL,2024/3F,45689,,,'')&lt;/Q&gt;&lt;R&gt;0&lt;/R&gt;&lt;C&gt;0&lt;/C&gt;&lt;/FQL&gt;&lt;FQL&gt;&lt;Q&gt;CRWV^FE_ESTIMATE(DEFREVENUE_LT,MEAN,QUARTERLY_ROLL,2023/1F,45689,,,'')&lt;/Q&gt;&lt;R&gt;0&lt;/R&gt;&lt;C&gt;0&lt;/C&gt;&lt;/FQL&gt;&lt;FQL&gt;&lt;Q&gt;CRWV^FE_ESTIMATE(DEFREVENUE_ST,MEAN,QUARTERLY_ROLL,2029/1F,45689,,,'')&lt;/Q&gt;&lt;R&gt;0&lt;/R&gt;&lt;C&gt;0&lt;/C&gt;&lt;/FQL&gt;&lt;FQL&gt;&lt;Q&gt;CRWV^FE_ESTIMATE(DEFREVENUE_ST,MEAN,QUARTERLY_ROLL,2028/2F,45689,,,'')&lt;/Q&gt;&lt;R&gt;0&lt;/R&gt;&lt;C&gt;0&lt;/C&gt;&lt;/FQL&gt;&lt;FQL&gt;&lt;Q&gt;CRWV^FE_ESTIMATE(DEFREVENUE_ST,MEAN,ANNUAL_ROLL,2026,45689,,,'')&lt;/Q&gt;&lt;R&gt;0&lt;/R&gt;&lt;C&gt;0&lt;/C&gt;&lt;/FQL&gt;&lt;FQL&gt;&lt;Q&gt;CRWV^FE_ESTIMATE(DEFREVENUE_ST,MEAN,QUARTERLY_ROLL,2025/3F,45689,,,'')&lt;/Q&gt;&lt;R&gt;0&lt;/R&gt;&lt;C&gt;0&lt;/C&gt;&lt;/FQL&gt;&lt;FQL&gt;&lt;Q&gt;CRWV^FE_ESTIMATE(DEFREVENUE_ST,MEAN,QUARTERLY_ROLL,2024/4F,45689,,,'')&lt;/Q&gt;&lt;R&gt;0&lt;/R&gt;&lt;C&gt;0&lt;/C&gt;&lt;/FQL&gt;&lt;FQL&gt;&lt;Q&gt;CRWV^FE_ESTIMATE(DEFREVENUE_ST,MEAN,QUARTERLY_ROLL,2023/2F,45689,,,'')&lt;/Q&gt;&lt;R&gt;0&lt;/R&gt;&lt;C&gt;0&lt;/C&gt;&lt;/FQL&gt;&lt;FQL&gt;&lt;Q&gt;CRWV^FE_ESTIMATE(DEFREVENUE_ST,MEAN,QUARTERLY_ROLL,2022/4F,45689,,,'')&lt;/Q&gt;&lt;R&gt;0&lt;/R&gt;&lt;C&gt;0&lt;/C&gt;&lt;/FQL&gt;&lt;FQL&gt;&lt;Q&gt;CRWV^FE_ESTIMATE(DEFREVENUE_ST,MEAN,QUARTERLY_ROLL,2022/1F,45689,,,'')&lt;/Q&gt;&lt;R&gt;0&lt;/R&gt;&lt;C&gt;0&lt;/C&gt;&lt;/FQL&gt;&lt;FQL&gt;&lt;Q&gt;CRWV^FE_ESTIMATE(FCF,MEAN,QUARTERLY_ROLL,2029/3F,45689,,,'')&lt;/Q&gt;&lt;R&gt;0&lt;/R&gt;&lt;C&gt;0&lt;/C&gt;&lt;/FQL&gt;&lt;FQL&gt;&lt;Q&gt;CRWV^FE_ESTIMATE(FCF,MEAN,ANNUAL_ROLL,2028,45689,,,'')&lt;/Q&gt;&lt;R&gt;0&lt;/R&gt;&lt;C&gt;0&lt;/C&gt;&lt;/FQL&gt;&lt;FQL&gt;&lt;Q&gt;CRWV^FE_ESTIMATE(FCF,MEAN,QUARTERLY_ROLL,2028/2F,45689,,,'')&lt;/Q&gt;&lt;R&gt;0&lt;/R&gt;&lt;C&gt;0&lt;/C&gt;&lt;/FQL&gt;&lt;FQL&gt;&lt;Q&gt;CRWV^FE_ESTIMATE(FCF,MEAN,QUARTERLY_ROLL,2027/4F,45689,,,'')&lt;/Q&gt;&lt;R&gt;0&lt;/R&gt;&lt;C&gt;0&lt;/C&gt;&lt;/FQL&gt;&lt;FQL&gt;&lt;Q&gt;CRWV^FE_ESTIMATE(FCF,MEAN,QUARTERLY_ROLL,2027/1F,45689,,,'')&lt;/Q&gt;&lt;R&gt;0&lt;/R&gt;&lt;C&gt;0&lt;/C&gt;&lt;/FQL&gt;&lt;FQL&gt;&lt;Q&gt;CRWV^FE_ESTIMATE(FCF,MEAN,QUARTERLY_ROLL,2026/3F,45689,,,'')&lt;/Q&gt;&lt;R&gt;0&lt;/R&gt;&lt;C&gt;0&lt;/C&gt;&lt;/FQL&gt;&lt;FQL&gt;&lt;Q&gt;CRWV^FE_ESTIMATE(FCF,MEAN,ANNUAL_ROLL,2025,45689,,,'')&lt;/Q&gt;&lt;R&gt;0&lt;/R&gt;&lt;C&gt;0&lt;/C&gt;&lt;/FQL&gt;&lt;FQL&gt;&lt;Q&gt;CRWV^FE_ESTIMATE(FCF,MEAN,QUARTERLY_ROLL,2025/2F,45689,,,'')&lt;/Q&gt;&lt;R&gt;0&lt;/R&gt;&lt;C&gt;0&lt;/C&gt;&lt;/FQL&gt;&lt;FQL&gt;&lt;Q&gt;CRWV^FE_ESTIMATE(FCF,MEAN,QUARTERLY_ROLL,2024/4F,45689,,,'')&lt;/Q&gt;&lt;R&gt;0&lt;/R&gt;&lt;C&gt;0&lt;/C&gt;&lt;/FQL&gt;&lt;FQL&gt;&lt;Q&gt;CRWV^FE_ESTIMATE(FCF,MEAN,QUARTERLY_ROLL,2024/1F,45689,,,'')&lt;/Q&gt;&lt;R&gt;0&lt;/R&gt;&lt;C&gt;0&lt;/C&gt;&lt;/FQL&gt;&lt;FQL&gt;&lt;Q&gt;CRWV^FE_ESTIMATE(FCF,MEAN,QUARTERLY_ROLL,2023/3F,45689,,,'')&lt;/Q&gt;&lt;R&gt;0&lt;/R&gt;&lt;C&gt;0&lt;/C&gt;&lt;/FQL&gt;&lt;FQL&gt;&lt;Q&gt;CRWV^FE_ESTIMATE(FCF,MEAN,ANNUAL_ROLL,2022,45689,,,'')&lt;/Q&gt;&lt;R&gt;0&lt;/R&gt;&lt;C&gt;0&lt;/C&gt;&lt;/FQL&gt;&lt;FQL&gt;&lt;Q&gt;CRWV^FE_ESTIMATE(FCF,MEAN,QUARTERLY_ROLL,2022/2F,45689,,,'')&lt;/Q&gt;&lt;R&gt;0&lt;/R&gt;&lt;C&gt;0&lt;/C&gt;&lt;/FQL&gt;&lt;FQL&gt;&lt;Q&gt;CRWV^FE_ESTIMATE(CAPEX,MEAN,QUARTERLY_ROLL,2029/4F,45689,,,'')&lt;/Q&gt;&lt;R&gt;0&lt;/R&gt;&lt;C&gt;0&lt;/C&gt;&lt;/FQL&gt;&lt;FQL&gt;&lt;Q&gt;CRWV^FE_ESTIMATE(CAPEX,MEAN,QUARTERLY_ROLL,2029/1F,45689,,,'')&lt;/Q&gt;&lt;R&gt;0&lt;/R&gt;&lt;C&gt;0&lt;/C&gt;&lt;/FQL&gt;&lt;FQL&gt;&lt;Q&gt;CRWV^FE_ESTIMATE(ARR,MEAN,QUARTERLY_ROLL,2029/2F,45689,,,'')&lt;/Q&gt;&lt;R&gt;0&lt;/R&gt;&lt;C&gt;0&lt;/C&gt;&lt;/FQL&gt;&lt;FQL&gt;&lt;Q&gt;CRWV^FE_ESTIMATE(ARR,MEAN,QUARTERLY_ROLL,2027/3F,45689,,,'')&lt;/Q&gt;&lt;R&gt;0&lt;/R&gt;&lt;C&gt;0&lt;/C&gt;&lt;/FQL&gt;&lt;FQL&gt;&lt;Q&gt;CRWV^FE_ESTIMATE(ARR,MEAN,QUARTERLY_ROLL,2025/4F,45689,,,'')&lt;/Q&gt;&lt;R&gt;0&lt;/R&gt;&lt;C&gt;0&lt;/C&gt;&lt;/FQL&gt;&lt;FQL&gt;&lt;Q&gt;CRWV^FE_ESTIMATE(ARR,MEAN,QUARTERLY_ROLL,2024/1F,45689,,,'')&lt;/Q&gt;&lt;R&gt;0&lt;/R&gt;&lt;C&gt;0&lt;/C&gt;&lt;/FQL&gt;&lt;FQL&gt;&lt;Q&gt;CRWV^FE_ESTIMATE(ARR,MEAN,ANNUAL_ROLL,2022,45689,,,'')&lt;/Q&gt;&lt;R&gt;0&lt;/R&gt;&lt;C&gt;0&lt;/C&gt;&lt;/FQL&gt;&lt;FQL&gt;&lt;Q&gt;CRWV^FE_ESTIMATE(NEW_ORDERS_VALUE,MEAN,QUARTERLY_ROLL,2029/1F,45689,,,'')&lt;/Q&gt;&lt;R&gt;0&lt;/R&gt;&lt;C&gt;0&lt;/C&gt;&lt;/FQL&gt;&lt;FQL&gt;&lt;Q&gt;CRWV^FE_ESTIMATE(NEW_ORDERS_VALUE,MEAN,QUARTERLY_ROLL,2028/1F,45689,,,'')&lt;/Q&gt;&lt;R&gt;0&lt;/R&gt;&lt;C&gt;0&lt;/C&gt;&lt;/FQL&gt;&lt;FQL&gt;&lt;Q&gt;CRWV^FE_ESTIMATE(NEW_ORDERS_VALUE,MEAN,QUARTERLY_ROLL,2027/1F,45689,,,'')&lt;/Q&gt;&lt;R&gt;0&lt;/R&gt;&lt;C&gt;0&lt;/C&gt;&lt;/FQL&gt;&lt;FQL&gt;&lt;Q&gt;CRWV^FE_ESTIMATE(NEW_ORDERS_VALUE,MEAN,QUARTERLY_ROLL,2026/2F,45689,,,'')&lt;/Q&gt;&lt;R&gt;0&lt;/R&gt;&lt;C&gt;0&lt;/C&gt;&lt;/FQL&gt;&lt;FQL&gt;&lt;Q&gt;CRWV^FE_ESTIMATE(NEW_ORDERS_VALUE,MEAN,QUARTERLY_ROLL,2025/2F,45689,,,'')&lt;/Q&gt;&lt;R&gt;0&lt;/R&gt;&lt;C&gt;0&lt;/C&gt;&lt;/FQL&gt;&lt;FQL&gt;&lt;Q&gt;CRWV^FE_ESTIMATE(NEW_ORDERS_VALUE,MEAN,QUARTERLY_ROLL,2024/3F,45689,,,'')&lt;/Q&gt;&lt;R&gt;0&lt;/R&gt;&lt;C&gt;0&lt;/C&gt;&lt;/FQL&gt;&lt;FQL&gt;&lt;Q&gt;CRWV^FE_ESTIMATE(NEW_ORDERS_VALUE,MEAN,QUARTERLY_ROLL,2023/3F,45689,,,'')&lt;/Q&gt;&lt;R&gt;0&lt;/R&gt;&lt;C&gt;0&lt;/C&gt;&lt;/FQL&gt;&lt;FQL&gt;&lt;Q&gt;CRWV^FE_ESTIMATE(NEW_ORDERS_VALUE,MEAN,QUARTERLY_ROLL,2022/4F,45689,,,'')&lt;/Q&gt;&lt;R&gt;0&lt;/R&gt;&lt;C&gt;0&lt;/C&gt;&lt;/FQL&gt;&lt;FQL&gt;&lt;Q&gt;CRWV^FE_ESTIMATE(DEFREVENUE,MEAN,QUARTERLY_ROLL,2029/1F,45689,,,'')&lt;/Q&gt;&lt;R&gt;0&lt;/R&gt;&lt;C&gt;0&lt;/C&gt;&lt;/FQL&gt;&lt;FQL&gt;&lt;Q&gt;CRWV^FE_ESTIMATE(DEFREVENUE,MEAN,QUARTERLY_ROLL,2028/2F,45689,,,'')&lt;/Q&gt;&lt;R&gt;0&lt;/R&gt;&lt;C&gt;0&lt;/C&gt;&lt;/FQL&gt;&lt;FQL&gt;&lt;Q&gt;CRWV^FE_ESTIMATE(DEFREVENUE,MEAN,QUARTERLY_ROLL,2027/2F,45689,,,'')&lt;/Q&gt;&lt;R&gt;0&lt;/R&gt;&lt;C&gt;0&lt;/C&gt;&lt;/FQL&gt;&lt;FQL&gt;&lt;Q&gt;CRWV^FE_ESTIMATE(DEFREVENUE,MEAN,QUARTERLY_ROLL,2026/3F,45689,,,'')&lt;/Q&gt;&lt;R&gt;0&lt;/R&gt;&lt;C&gt;0&lt;/C&gt;&lt;/FQL&gt;&lt;FQL&gt;&lt;Q&gt;CRWV^FE_ESTIMATE(DEFREVENUE,MEAN,QUARTERLY_ROLL,2025/3F,45689,,,'')&lt;/Q&gt;&lt;R&gt;0&lt;/R&gt;&lt;C&gt;0&lt;/C&gt;&lt;/FQL&gt;&lt;FQL&gt;&lt;Q&gt;CRWV^FE_ESTIMATE(DEFREVENUE,MEAN,QUARTERLY_ROLL,2024/4F,45689,,,'')&lt;/Q&gt;&lt;R&gt;0&lt;/R&gt;&lt;C&gt;0&lt;/C&gt;&lt;/FQL&gt;&lt;FQL&gt;&lt;Q&gt;CRWV^FE_ESTIMATE(DEFREVENUE,MEAN,QUARTERLY_ROLL,2023/4F,45689,,,'')&lt;/Q&gt;&lt;R&gt;0&lt;/R&gt;&lt;C&gt;0&lt;/C&gt;&lt;/FQL&gt;&lt;FQL&gt;&lt;Q&gt;CRWV^FE_ESTIMATE(DEFREVENUE,MEAN,ANNUAL_ROLL,2022,45689,,,'')&lt;/Q&gt;&lt;R&gt;0&lt;/R&gt;&lt;C&gt;0&lt;/C&gt;&lt;/FQL&gt;&lt;FQL&gt;&lt;Q&gt;CRWV^FE_ESTIMATE(DEFREVENUE_LT,MEAN,QUARTERLY_ROLL,2029/2F,45689,,,'')&lt;/Q&gt;&lt;R&gt;0&lt;/R&gt;&lt;C&gt;0&lt;/C&gt;&lt;/FQL&gt;&lt;FQL&gt;&lt;Q&gt;CRWV^FE_ESTIMATE(DEFREVENUE_LT,MEAN,QUARTERLY_ROLL,2028/3F,45689,,,'')&lt;/Q&gt;&lt;R&gt;0&lt;/R&gt;&lt;C&gt;0&lt;/C&gt;&lt;/FQL&gt;&lt;FQL&gt;&lt;Q&gt;CRWV^FE_ESTIMATE(DEFREVENUE_LT,MEAN,QUARTERLY_ROLL,2027/3F,45689,,,'')&lt;/Q&gt;&lt;R&gt;0&lt;/R&gt;&lt;C&gt;0&lt;/C&gt;&lt;/FQL&gt;&lt;FQL&gt;&lt;Q&gt;CRWV^FE_ESTIMATE(DEFREVENUE_LT,MEAN,QUARTERLY_ROLL,2026/4F,45689,,,'')&lt;/Q&gt;&lt;R&gt;0&lt;/R&gt;&lt;C&gt;0&lt;/C&gt;&lt;/FQL&gt;&lt;FQL&gt;&lt;Q&gt;CRWV^FE_ESTIMATE(DEFREVENUE_LT,MEAN,ANNUAL_ROLL,2025,45689,,,'')&lt;/Q&gt;&lt;R&gt;0&lt;/R&gt;&lt;C&gt;0&lt;/C&gt;&lt;/FQL&gt;&lt;FQL&gt;&lt;Q&gt;CRWV^FE_ESTIMATE(DEFREVENUE_LT,MEAN,QUARTERLY_ROLL,2025/1F,45689,,,'')&lt;/Q&gt;&lt;R&gt;0&lt;/R&gt;&lt;C&gt;0&lt;/C&gt;&lt;/FQL&gt;&lt;FQL&gt;&lt;Q&gt;CRWV^FE_ESTIMATE(DEFREVENUE_LT,MEAN,QUARTERLY_ROLL,2023/4F,45689,,,'')&lt;/Q&gt;&lt;R&gt;0&lt;/R&gt;&lt;C&gt;0&lt;/C&gt;&lt;/FQL&gt;&lt;FQL&gt;&lt;Q&gt;CRWV^FE_ESTIMATE(DEFREVENUE_LT,MEAN,QUARTERLY_ROLL,2022/2F,45689,,,'')&lt;/Q&gt;&lt;R&gt;0&lt;/R&gt;&lt;C&gt;0&lt;/C&gt;&lt;/FQL&gt;&lt;FQL&gt;&lt;Q&gt;CRWV^FE_ESTIMATE(DEFREVENUE_ST,MEAN,QUARTERLY_ROLL,2029/4F,45689,,,'')&lt;/Q&gt;&lt;R&gt;0&lt;/R&gt;&lt;C&gt;0&lt;/C&gt;&lt;/FQL&gt;&lt;FQL&gt;&lt;Q&gt;CRWV^FE_ESTIMATE(ARR,MEAN,QUARTERLY_ROLL,2029/1F,45689,,,'')&lt;/Q&gt;&lt;R&gt;0&lt;/R&gt;&lt;C&gt;0&lt;/C&gt;&lt;/FQL&gt;&lt;FQL&gt;&lt;Q&gt;CRWV^FE_ESTIMATE(ARR,MEAN,QUARTERLY_ROLL,2027/2F,45689,,,'')&lt;/Q&gt;&lt;R&gt;0&lt;/R&gt;&lt;C&gt;0&lt;/C&gt;&lt;/FQL&gt;&lt;FQL&gt;&lt;Q&gt;CRWV^FE_ESTIMATE(ARR,MEAN,QUARTERLY_ROLL,2025/3F,45689,,,'')&lt;/Q&gt;&lt;R&gt;0&lt;/R&gt;&lt;C&gt;0&lt;/C&gt;&lt;/FQL&gt;&lt;FQL&gt;&lt;Q&gt;CRWV^FE_ESTIMATE(ARR,MEAN,ANNUAL_ROLL,2023,45689,,,'')&lt;/Q&gt;&lt;R&gt;0&lt;/R&gt;&lt;C&gt;0&lt;/C&gt;&lt;/FQL&gt;&lt;FQL&gt;&lt;Q&gt;CRWV^FE_ESTIMATE(ARR,MEAN,QUARTERLY_ROLL,2022/4F,45689,,,'')&lt;/Q&gt;&lt;R&gt;0&lt;/R&gt;&lt;C&gt;0&lt;/C&gt;&lt;/FQL&gt;&lt;FQL&gt;&lt;Q&gt;CRWV^FE_ESTIMATE(NEW_ORDERS_VALUE,MEAN,ANNUAL_ROLL,2028,45689,,,'')&lt;/Q&gt;&lt;R&gt;0&lt;/R&gt;&lt;C&gt;0&lt;/C&gt;&lt;/FQL&gt;&lt;FQL&gt;&lt;Q&gt;CRWV^FE_ESTIMATE(NEW_ORDERS_VALUE,MEAN,ANNUAL_ROLL,2027,45689,,,'')&lt;/Q&gt;&lt;R&gt;0&lt;/R&gt;&lt;C&gt;0&lt;/C&gt;&lt;/FQL&gt;&lt;FQL&gt;&lt;Q&gt;CRWV^FE_ESTIMATE(NEW_ORDERS_VALUE,MEAN,QUARTERLY_ROLL,2026/1F,45689,,,'')&lt;/Q&gt;&lt;R&gt;0&lt;/R&gt;&lt;C&gt;0&lt;/C&gt;&lt;/FQL&gt;&lt;FQL&gt;&lt;Q&gt;CRWV^FE_ESTIMATE(NEW_ORDERS_VALUE,MEAN,QUARTERLY_ROLL,2024/2F,45689,,,'')&lt;/Q&gt;&lt;R&gt;0&lt;/R&gt;&lt;C&gt;0&lt;/C&gt;&lt;/FQL&gt;&lt;FQL&gt;&lt;Q&gt;CRWV^FE_ESTIMATE(NEW_ORDERS_VALUE,MEAN,QUARTERLY_ROLL,2022/3F,45689,,,'')&lt;/Q&gt;&lt;R&gt;0&lt;/R&gt;&lt;C&gt;0&lt;/C&gt;&lt;/FQL&gt;&lt;FQL&gt;&lt;Q&gt;CRWV^FE_ESTIMATE(DEFREVENUE,MEAN,ANNUAL_ROLL,2029,45689,,,'')&lt;/Q&gt;&lt;R&gt;0&lt;/R&gt;&lt;C&gt;0&lt;/C&gt;&lt;/FQL&gt;&lt;FQL&gt;&lt;Q&gt;CRWV^FE_ESTIMATE(DEFREVENUE,MEAN,QUARTERLY_ROLL,2028/1F,45689,,,'')&lt;/Q&gt;&lt;R&gt;0&lt;/R&gt;&lt;C&gt;0&lt;/C&gt;&lt;/FQL&gt;&lt;FQL&gt;&lt;Q&gt;CRWV^FE_ESTIMATE(DEFREVENUE,MEAN,QUARTERLY_ROLL,2026/2F,45689,,,'')&lt;/Q&gt;&lt;R&gt;0&lt;/R&gt;&lt;C&gt;0&lt;/C&gt;&lt;/FQL&gt;&lt;FQL&gt;&lt;Q&gt;CRWV^FE_ESTIMATE(DEFREVENUE,MEAN,QUARTERLY_ROLL,2024/3F,45689,,,'')&lt;/Q&gt;&lt;R&gt;0&lt;/R&gt;&lt;C&gt;0&lt;/C&gt;&lt;/FQL&gt;&lt;FQL&gt;&lt;Q&gt;CRWV^FE_ESTIMATE(DEFREVENUE,MEAN,QUARTERLY_ROLL,2022/4F,45689,,,'')&lt;/Q&gt;&lt;R&gt;0&lt;/R&gt;&lt;C&gt;0&lt;/C&gt;&lt;/FQL&gt;&lt;FQL&gt;&lt;Q&gt;CRWV^FE_ESTIMATE(DEFREVENUE_LT,MEAN,QUARTERLY_ROLL,2028/2F,45689,,,'')&lt;/Q&gt;&lt;R&gt;0&lt;/R&gt;&lt;C&gt;0&lt;/C&gt;&lt;/FQL&gt;&lt;FQL&gt;&lt;Q&gt;CRWV^FE_ESTIMATE(DEFREVENUE_LT,MEAN,QUARTERLY_ROLL,2026/3F,45689,,,'')&lt;/Q&gt;&lt;R&gt;0&lt;/R&gt;&lt;C&gt;0&lt;/C&gt;&lt;/FQL&gt;&lt;FQL&gt;&lt;Q&gt;CRWV^FE_ESTIMATE(DEFREVENUE_LT,MEAN,QUARTERLY_ROLL,2025/4F,45689,,,'')&lt;/Q&gt;&lt;R&gt;0&lt;/R&gt;&lt;C&gt;0&lt;/C&gt;&lt;/FQL&gt;&lt;FQL&gt;&lt;Q&gt;CRWV^FE_ESTIMATE(DEFREVENUE_LT,MEAN,QUARTERLY_ROLL,2024/2F,45689,,,'')&lt;/Q&gt;&lt;R&gt;0&lt;/R&gt;&lt;C&gt;0&lt;/C&gt;&lt;/FQL&gt;&lt;FQL&gt;&lt;Q&gt;CRWV^FE_ESTIMATE(DEFREVENUE_LT,MEAN,ANNUAL_ROLL,2022,45689,,,'')&lt;/Q&gt;&lt;R&gt;0&lt;/R&gt;&lt;C&gt;0&lt;/C&gt;&lt;/FQL&gt;&lt;FQL&gt;&lt;Q&gt;CRWV^FE_ESTIMATE(DEFREVENUE_LT,MEAN,QUARTERLY_ROLL,2022/1F,45689,,,'')&lt;/Q&gt;&lt;R&gt;0&lt;/R&gt;&lt;C&gt;0&lt;/C&gt;&lt;/FQL&gt;&lt;FQL&gt;&lt;Q&gt;CRWV^FE_ESTIMATE(DEFREVENUE_ST,MEAN,QUARTERLY_ROLL,2029/3F,45689,,,'')&lt;/Q&gt;&lt;R&gt;0&lt;/R&gt;&lt;C&gt;0&lt;/C&gt;&lt;/FQL&gt;&lt;FQL&gt;&lt;Q&gt;CRWV^FE_ESTIMATE(DEFREVENUE_ST,MEAN,QUARTERLY_ROLL,2028/1F,45689,,,'')&lt;/Q&gt;&lt;R&gt;0&lt;/R&gt;&lt;C&gt;0&lt;/C&gt;&lt;/FQL&gt;&lt;FQL&gt;&lt;Q&gt;CRWV^FE_ESTIMATE(DEFREVENUE_ST,MEAN,QUARTERLY_ROLL,2026/4F,45689,,,'')&lt;/Q&gt;&lt;R&gt;0&lt;/R&gt;&lt;C&gt;0&lt;/C&gt;&lt;/FQL&gt;&lt;FQL&gt;&lt;Q&gt;CRWV^FE_ESTIMATE(DEFREVENUE_ST,MEAN,ANNUAL_ROLL,2025,45689,,,'')&lt;/Q&gt;&lt;R&gt;0&lt;/R&gt;&lt;C&gt;0&lt;/C&gt;&lt;/FQL&gt;&lt;FQL&gt;&lt;Q&gt;CRWV^FE_ESTIMATE(DEFREVENUE_ST,MEAN,QUARTERLY_ROLL,2024/3F,45689,,,'')&lt;/Q&gt;&lt;R&gt;0&lt;/R&gt;&lt;C&gt;0&lt;/C&gt;&lt;/FQL&gt;&lt;FQL&gt;&lt;Q&gt;CRWV^FE_ESTIMATE(ARR,MEAN,QUARTERLY_ROLL,2028/4F,45689,,,'')&lt;/Q&gt;&lt;R&gt;0&lt;/R&gt;&lt;C&gt;0&lt;/C&gt;&lt;/FQL&gt;&lt;FQL&gt;&lt;Q&gt;CRWV^FE_ESTIMATE(ARR,MEAN,ANNUAL_ROLL,2026,45689,,,'')&lt;/Q&gt;&lt;R&gt;0&lt;/R&gt;&lt;C&gt;0&lt;/C&gt;&lt;/FQL&gt;&lt;FQL&gt;&lt;Q&gt;CRWV^FE_ESTIMATE(ARR,MEAN,QUARTERLY_ROLL,2025/1F,45689,,,'')&lt;/Q&gt;&lt;R&gt;0&lt;/R&gt;&lt;C&gt;0&lt;/C&gt;&lt;/FQL&gt;&lt;FQL&gt;&lt;Q&gt;CRWV^FE_ESTIMATE(ARR,MEAN,QUARTERLY_ROLL,2023/4F,45689,,,'')&lt;/Q&gt;&lt;R&gt;0&lt;/R&gt;&lt;C&gt;0&lt;/C&gt;&lt;/FQL&gt;&lt;FQL&gt;&lt;Q&gt;CRWV^FE_ESTIMATE(ARR,MEAN,QUARTERLY_ROLL,2022/3F,45689,,,'')&lt;/Q&gt;&lt;R&gt;0&lt;/R&gt;&lt;C&gt;0&lt;/C&gt;&lt;/FQL&gt;&lt;FQL&gt;&lt;Q&gt;CRWV^FE_ESTIMATE(NEW_ORDERS_VALUE,MEAN,ANNUAL_ROLL,2029,45689,,,'')&lt;/Q&gt;&lt;R&gt;0&lt;/R&gt;&lt;C&gt;0&lt;/C&gt;&lt;/FQL&gt;&lt;FQL&gt;&lt;Q&gt;CRWV^FE_ESTIMATE(NEW_ORDERS_VALUE,MEAN,QUARTERLY_ROLL,2028/4F,45689,,,'')&lt;/Q&gt;&lt;R&gt;0&lt;/R&gt;&lt;C&gt;0&lt;/C&gt;&lt;/FQL&gt;&lt;FQL&gt;&lt;Q&gt;CRWV^FE_ESTIMATE(NEW_ORDERS_VALUE,MEAN,QUARTERLY_ROLL,2027/4F,45689,,,'')&lt;/Q&gt;&lt;R&gt;0&lt;/R&gt;&lt;C&gt;0&lt;/C&gt;&lt;/FQL&gt;&lt;FQL&gt;&lt;Q&gt;CRWV^FE_ESTIMATE(NEW_ORDERS_VALUE,MEAN,ANNUAL_ROLL,2026,45689,,,'')&lt;/Q&gt;&lt;R&gt;0&lt;/R&gt;&lt;C&gt;0&lt;/C&gt;&lt;/FQL&gt;&lt;FQL&gt;&lt;Q&gt;CRWV^FE_ESTIMATE(NEW_ORDERS_VALUE,MEAN,ANNUAL_ROLL,2025,45689,,,'')&lt;/Q&gt;&lt;R&gt;0&lt;/R&gt;&lt;C&gt;0&lt;/C&gt;&lt;/FQL&gt;&lt;FQL&gt;&lt;Q&gt;CRWV^FE_ESTIMATE(NEW_ORDERS_VALUE,MEAN,QUARTERLY_ROLL,2025/1F,45689,,,'')&lt;/Q&gt;&lt;R&gt;0&lt;/R&gt;&lt;C&gt;0&lt;/C&gt;&lt;/FQL&gt;&lt;FQL&gt;&lt;Q&gt;CRWV^FE_ESTIMATE(NEW_ORDERS_VALUE,MEAN,QUARTERLY_ROLL,2024/1F,45689,,,'')&lt;/Q&gt;&lt;R&gt;0&lt;/R&gt;&lt;C&gt;0&lt;/C&gt;&lt;/FQL&gt;&lt;FQL&gt;&lt;Q&gt;CRWV^FE_ESTIMATE(NEW_ORDERS_VALUE,MEAN,QUARTERLY_ROLL,2023/2F,45689,,,'')&lt;/Q&gt;&lt;R&gt;0&lt;/R&gt;&lt;C&gt;0&lt;/C&gt;&lt;/FQL&gt;&lt;FQL&gt;&lt;Q&gt;CRWV^FE_ESTIMATE(NEW_ORDERS_VALUE,MEAN,QUARTERLY_ROLL,2022/2F,45689,,,'')&lt;/Q&gt;&lt;R&gt;0&lt;/R&gt;&lt;C&gt;0&lt;/C&gt;&lt;/FQL&gt;&lt;FQL&gt;&lt;Q&gt;CRWV^FE_ESTIMATE(DEFREVENUE,MEAN,QUARTERLY_ROLL,2029/4F,45689,,,'')&lt;/Q&gt;&lt;R&gt;0&lt;/R&gt;&lt;C&gt;0&lt;/C&gt;&lt;/FQL&gt;&lt;FQL&gt;&lt;Q&gt;CRWV^FE_ESTIMATE(DEFREVENUE,MEAN,ANNUAL_ROLL,2028,45689,,,'')&lt;/Q&gt;&lt;R&gt;0&lt;/R&gt;&lt;C&gt;0&lt;/C&gt;&lt;/FQL&gt;&lt;FQL&gt;&lt;Q&gt;CRWV^FE_ESTIMATE(DEFREVENUE,MEAN,ANNUAL_ROLL,2027,45689,,,'')&lt;/Q&gt;&lt;R&gt;0&lt;/R&gt;&lt;C&gt;0&lt;/C&gt;&lt;/FQL&gt;&lt;FQL&gt;&lt;Q&gt;CRWV^FE_ESTIMATE(DEFREVENUE,MEAN,QUARTERLY_ROLL,2027/1F,45689,,,'')&lt;/Q&gt;&lt;R&gt;0&lt;/R&gt;&lt;C&gt;0&lt;/C&gt;&lt;/FQL&gt;&lt;FQL&gt;&lt;Q&gt;CRWV^FE_ESTIMATE(DEFREVENUE,MEAN,QUARTERLY_ROLL,2026/1F,45689,,,'')&lt;/Q&gt;&lt;R&gt;0&lt;/R&gt;&lt;C&gt;0&lt;/C&gt;&lt;/FQL&gt;&lt;FQL&gt;&lt;Q&gt;CRWV^FE_ESTIMATE(DEFREVENUE,MEAN,QUARTERLY_ROLL,2025/2F,45689,,,'')&lt;/Q&gt;&lt;R&gt;0&lt;/R&gt;&lt;C&gt;0&lt;/C&gt;&lt;/FQL&gt;&lt;FQL&gt;&lt;Q&gt;CRWV^FE_ESTIMATE(DEFREVENUE,MEAN,QUARTERLY_ROLL,2024/2F,45689,,,'')&lt;/Q&gt;&lt;R&gt;0&lt;/R&gt;&lt;C&gt;0&lt;/C&gt;&lt;/FQL&gt;&lt;FQL&gt;&lt;Q&gt;CRWV^FE_ESTIMATE(DEFREVENUE,MEAN,QUARTERLY_ROLL,2023/3F,45689,,,'')&lt;/Q&gt;&lt;R&gt;0&lt;/R&gt;&lt;C&gt;0&lt;/C&gt;&lt;/FQL&gt;&lt;FQL&gt;&lt;Q&gt;CRWV^FE_ESTIMATE(DEFREVENUE,MEAN,QUARTERLY_ROLL,2022/3F,45689,,,'')&lt;/Q&gt;&lt;R&gt;0&lt;/R&gt;&lt;C&gt;0&lt;/C&gt;&lt;/FQL&gt;&lt;FQL&gt;&lt;Q&gt;CRWV^FE_ESTIMATE(DEFREVENUE_LT,MEAN,ANNUAL_ROLL,2029,45689,,,'')&lt;/Q&gt;&lt;R&gt;0&lt;/R&gt;&lt;C&gt;0&lt;/C&gt;&lt;/FQL&gt;&lt;FQL&gt;&lt;Q&gt;CRWV^FE_ESTIMATE(DEFREVENUE_LT,MEAN,QUARTERLY_ROLL,2029/1F,45689,,,'')&lt;/Q&gt;&lt;R&gt;0&lt;/R&gt;&lt;C&gt;0&lt;/C&gt;&lt;/FQL&gt;&lt;FQL&gt;&lt;Q&gt;CRWV^FE_ESTIMATE(DEFREVENUE_LT,MEAN,QUARTERLY_ROLL,2028/1F,45689,,,'')&lt;/Q&gt;&lt;R&gt;0&lt;/R&gt;&lt;C&gt;0&lt;/C&gt;&lt;/FQL&gt;&lt;FQL&gt;&lt;Q&gt;CRWV^FE_ESTIMATE(DEFREVENUE_LT,MEAN,QUARTERLY_ROLL,2027/2F,45689,,,'')&lt;/Q&gt;&lt;R&gt;0&lt;/R&gt;&lt;C&gt;0&lt;/C&gt;&lt;/FQL&gt;&lt;FQL&gt;&lt;Q&gt;CRWV^FE_ESTIMATE(DEFREVENUE_LT,MEAN,QUARTERLY_ROLL,2026/2F,45689,,,'')&lt;/Q&gt;&lt;R&gt;0&lt;/R&gt;&lt;C&gt;0&lt;/C&gt;&lt;/FQL&gt;&lt;FQL&gt;&lt;Q&gt;CRWV^FE_ESTIMATE(ARR,MEAN,QUARTERLY_ROLL,2028/3F,45689,,,'')&lt;/Q&gt;&lt;R&gt;0&lt;/R&gt;&lt;C&gt;0&lt;/C&gt;&lt;/FQL&gt;&lt;FQL&gt;&lt;Q&gt;CRWV^FE_ESTIMATE(ARR,MEAN,QUARTERLY_ROLL,2026/4F,45689,,,'')&lt;/Q&gt;&lt;R&gt;0&lt;/R&gt;&lt;C&gt;0&lt;/C&gt;&lt;/FQL&gt;&lt;FQL&gt;&lt;Q&gt;CRWV^FE_ESTIMATE(ARR,MEAN,ANNUAL_ROLL,2024,45689,,,'')&lt;/Q&gt;&lt;R&gt;0&lt;/R&gt;&lt;C&gt;0&lt;/C&gt;&lt;/FQL&gt;&lt;FQL&gt;&lt;Q&gt;CRWV^FE_ESTIMATE(ARR,MEAN,QUARTERLY_ROLL,2023/3F,45689,,,'')&lt;/Q&gt;&lt;R&gt;0&lt;/R&gt;&lt;C&gt;0&lt;/C&gt;&lt;/FQL&gt;&lt;FQL&gt;&lt;Q&gt;CRWV^FE_ESTIMATE(ARR,MEAN,QUARTERLY_ROLL,2022/2F,45689,,,'')&lt;/Q&gt;&lt;R&gt;0&lt;/R&gt;&lt;C&gt;0&lt;/C&gt;&lt;/FQL&gt;&lt;FQL&gt;&lt;Q&gt;CRWV^FE_ESTIMATE(NEW_ORDERS_VALUE,MEAN,QUARTERLY_ROLL,2029/4F,45689,,,'')&lt;/Q&gt;&lt;R&gt;0&lt;/R&gt;&lt;C&gt;0&lt;/C&gt;&lt;/FQL&gt;&lt;FQL&gt;&lt;Q&gt;CRWV^FE_ESTIMATE(NEW_ORDERS_VALUE,MEAN,QUARTERLY_ROLL,2028/3F,45689,,,'')&lt;/Q&gt;&lt;R&gt;0&lt;/R&gt;&lt;C&gt;0&lt;/C&gt;&lt;/FQL&gt;&lt;FQL&gt;&lt;Q&gt;CRWV^FE_ESTIMATE(NEW_ORDERS_VALUE,MEAN,QUARTERLY_ROLL,2026/4F,45689,,,'')&lt;/Q&gt;&lt;R&gt;0&lt;/R&gt;&lt;C&gt;0&lt;/C&gt;&lt;/FQL&gt;&lt;FQL&gt;&lt;Q&gt;CRWV^FE_ESTIMATE(NEW_ORDERS_VALUE,MEAN,ANNUAL_ROLL,2024,45689,,,'')&lt;/Q&gt;&lt;R&gt;0&lt;/R&gt;&lt;C&gt;0&lt;/C&gt;&lt;/FQL&gt;&lt;FQL&gt;&lt;Q&gt;CRWV^FE_ESTIMATE(NEW_ORDERS_VALUE,MEAN,QUARTERLY_ROLL,2023/1F,45689,,,'')&lt;/Q&gt;&lt;R&gt;0&lt;/R&gt;&lt;C&gt;0&lt;/C&gt;&lt;/FQL&gt;&lt;FQL&gt;&lt;Q&gt;CRWV^FE_ESTIMATE(DEFREVENUE,MEAN,QUARTERLY_ROLL,2028/4F,45689,,,'')&lt;/Q&gt;&lt;R&gt;0&lt;/R&gt;&lt;C&gt;0&lt;/C&gt;&lt;/FQL&gt;&lt;FQL&gt;&lt;Q&gt;CRWV^FE_ESTIMATE(DEFREVENUE,MEAN,ANNUAL_ROLL,2026,45689,,,'')&lt;/Q&gt;&lt;R&gt;0&lt;/R&gt;&lt;C&gt;0&lt;/C&gt;&lt;/FQL&gt;&lt;FQL&gt;&lt;Q&gt;CRWV^FE_ESTIMATE(DEFREVENUE,MEAN,QUARTERLY_ROLL,2025/1F,45689,,,'')&lt;/Q&gt;&lt;R&gt;0&lt;/R&gt;&lt;C&gt;0&lt;/C&gt;&lt;/FQL&gt;&lt;FQL&gt;&lt;Q&gt;CRWV^FE_ESTIMATE(DEFREVENUE,MEAN,QUARTERLY_ROLL,2023/2F,45689,,,'')&lt;/Q&gt;&lt;R&gt;0&lt;/R&gt;&lt;C&gt;0&lt;/C&gt;&lt;/FQL&gt;&lt;FQL&gt;&lt;Q&gt;CRWV^FE_ESTIMATE(DEFREVENUE_LT,MEAN,ANNUAL_ROLL,2028,45689,,,'')&lt;/Q&gt;&lt;R&gt;0&lt;/R&gt;&lt;C&gt;0&lt;/C&gt;&lt;/FQL&gt;&lt;FQL&gt;&lt;Q&gt;CRWV^FE_ESTIMATE(DEFREVENUE_LT,MEAN,QUARTERLY_ROLL,2027/1F,45689,,,'')&lt;/Q&gt;&lt;R&gt;0&lt;/R&gt;&lt;C&gt;0&lt;/C&gt;&lt;/FQL&gt;&lt;FQL&gt;&lt;Q&gt;CRWV^FE_ESTIMATE(DEFREVENUE_LT,MEAN,QUARTERLY_ROLL,2025/3F,45689,,,'')&lt;/Q&gt;&lt;R&gt;0&lt;/R&gt;&lt;C&gt;0&lt;/C&gt;&lt;/FQL&gt;&lt;FQL&gt;&lt;Q&gt;CRWV^FE_ESTIMATE(DEFREVENUE_LT,MEAN,QUARTERLY_ROLL,2024/1F,45689,,,'')&lt;/Q&gt;&lt;R&gt;0&lt;/R&gt;&lt;C&gt;0&lt;/C&gt;&lt;/FQL&gt;&lt;FQL&gt;&lt;Q&gt;CRWV^FE_ESTIMATE(DEFREVENUE_LT,MEAN,QUARTERLY_ROLL,2023/2F,45689,,,'')&lt;/Q&gt;&lt;R&gt;0&lt;/R&gt;&lt;C&gt;0&lt;/C&gt;&lt;/FQL&gt;&lt;FQL&gt;&lt;Q&gt;CRWV^FE_ESTIMATE(DEFREVENUE_ST,MEAN,QUARTERLY_ROLL,2029/2F,45689,,,'')&lt;/Q&gt;&lt;R&gt;0&lt;/R&gt;&lt;C&gt;0&lt;/C&gt;&lt;/FQL&gt;&lt;FQL&gt;&lt;Q&gt;CRWV^FE_ESTIMATE(DEFREVENUE_ST,MEAN,ANNUAL_ROLL,2027,45689,,,'')&lt;/Q&gt;&lt;R&gt;0&lt;/R&gt;&lt;C&gt;0&lt;/C&gt;&lt;/FQL&gt;&lt;FQL&gt;&lt;Q&gt;CRWV^FE_ESTIMATE(DEFREVENUE_ST,MEAN,QUARTERLY_ROLL,2027/1F,45689,,,'')&lt;/Q&gt;&lt;R&gt;0&lt;/R&gt;&lt;C&gt;0&lt;/C&gt;&lt;/FQL&gt;&lt;FQL&gt;&lt;Q&gt;CRWV^FE_ESTIMATE(DEFREVENUE_ST,MEAN,QUARTERLY_ROLL,2025/4F,45689,,,'')&lt;/Q&gt;&lt;R&gt;0&lt;/R&gt;&lt;C&gt;0&lt;/C&gt;&lt;/FQL&gt;&lt;FQL&gt;&lt;Q&gt;CRWV^FE_ESTIMATE(DEFREVENUE_ST,MEAN,QUARTERLY_ROLL,2024/2F,45689,,,'')&lt;/Q&gt;&lt;R&gt;0&lt;/R&gt;&lt;C&gt;0&lt;/C&gt;&lt;/FQL&gt;&lt;FQL&gt;&lt;Q&gt;CRWV^FE_ESTIMATE(DEFREVENUE_ST,MEAN,QUARTERLY_ROLL,2023/3F,45689,,,'')&lt;/Q&gt;&lt;R&gt;0&lt;/R&gt;&lt;C&gt;0&lt;/C&gt;&lt;/FQL&gt;&lt;FQL&gt;&lt;Q&gt;CRWV^FE_ESTIMATE(DEFREVENUE_ST,MEAN,ANNUAL_ROLL,2022,45689,,,'')&lt;/Q&gt;&lt;R&gt;0&lt;/R&gt;&lt;C&gt;0&lt;/C&gt;&lt;/FQL&gt;&lt;FQL&gt;&lt;Q&gt;CRWV^FE_ESTIMATE(DEFREVENUE_ST,MEAN,QUARTERLY_ROLL,2022/2F,45689,,,'')&lt;/Q&gt;&lt;R&gt;0&lt;/R&gt;&lt;C&gt;0&lt;/C&gt;&lt;/FQL&gt;&lt;FQL&gt;&lt;Q&gt;CRWV^FE_ESTIMATE(FCF,MEAN,QUARTERLY_ROLL,2029/4F,45689,,,'')&lt;/Q&gt;&lt;R&gt;0&lt;/R&gt;&lt;C&gt;0&lt;/C&gt;&lt;/FQL&gt;&lt;FQL&gt;&lt;Q&gt;CRWV^FE_ESTIMATE(FCF,MEAN,QUARTERLY_ROLL,2029/1F,45689,,,'')&lt;/Q&gt;&lt;R&gt;0&lt;/R&gt;&lt;C&gt;0&lt;/C&gt;&lt;/FQL&gt;&lt;FQL&gt;&lt;Q&gt;CRWV^FE_ESTIMATE(ARR,MEAN,QUARTERLY_ROLL,2028/1F,45689,,,'')&lt;/Q&gt;&lt;R&gt;0&lt;/R&gt;&lt;C&gt;0&lt;/C&gt;&lt;/FQL&gt;&lt;FQL&gt;&lt;Q&gt;CRWV^FE_ESTIMATE(ARR,MEAN,QUARTERLY_ROLL,2026/2F,45689,,,'')&lt;/Q&gt;&lt;R&gt;0&lt;/R&gt;&lt;C&gt;0&lt;/C&gt;&lt;/FQL&gt;&lt;FQL&gt;&lt;Q&gt;CRWV^FE_ESTIMATE(ARR,MEAN,QUARTERLY_ROLL,2024/3F,45689,,,'')&lt;/Q&gt;&lt;R&gt;0&lt;/R&gt;&lt;C&gt;0&lt;/C&gt;&lt;/FQL&gt;&lt;FQL&gt;&lt;Q&gt;CRWV^FE_ESTIMATE(ARR,MEAN,QUARTERLY_ROLL,2023/2F,45689,,,'')&lt;/Q&gt;&lt;R&gt;0&lt;/R&gt;&lt;C&gt;0&lt;/C&gt;&lt;/FQL&gt;&lt;FQL&gt;&lt;Q&gt;CRWV^FE_ESTIMATE(ARR,MEAN,QUARTERLY_ROLL,2022/1F,45689,,,'')&lt;/Q&gt;&lt;R&gt;0&lt;/R&gt;&lt;C&gt;0&lt;/C&gt;&lt;/FQL&gt;&lt;FQL&gt;&lt;Q&gt;CRWV^FE_ESTIMATE(NEW_ORDERS_VALUE,MEAN,QUARTERLY_ROLL,2029/3F,45689,,,'')&lt;/Q&gt;&lt;R&gt;0&lt;/R&gt;&lt;C&gt;0&lt;/C&gt;&lt;/FQL&gt;&lt;FQL&gt;&lt;Q&gt;CRWV^FE_ESTIMATE(NEW_ORDERS_VALUE,MEAN,QUARTERLY_ROLL,2028/2F,45689,,,'')&lt;/Q&gt;&lt;R&gt;0&lt;/R&gt;&lt;C&gt;0&lt;/C&gt;&lt;/FQL&gt;&lt;FQL&gt;&lt;Q&gt;CRWV^FE_ESTIMATE(NEW_ORDERS_VALUE,MEAN,QUARTERLY_ROLL,2027/3F,45689,,,'')&lt;/Q&gt;&lt;R&gt;0&lt;/R&gt;&lt;C&gt;0&lt;/C&gt;&lt;/FQL&gt;&lt;FQL&gt;&lt;Q&gt;CRWV^FE_ESTIMATE(NEW_ORDERS_VALUE,MEAN,QUARTERLY_ROLL,2026/3F,45689,,,'')&lt;/Q&gt;&lt;R&gt;0&lt;/R&gt;&lt;C&gt;0&lt;/C&gt;&lt;/FQL&gt;&lt;FQL&gt;&lt;Q&gt;CRWV^FE_ESTIMATE(NEW_ORDERS_VALUE,MEAN,QUARTERLY_ROLL,2025/4F,45689,,,'')&lt;/Q&gt;&lt;R&gt;0&lt;/R&gt;&lt;C&gt;0&lt;/C&gt;&lt;/FQL&gt;&lt;FQL&gt;&lt;Q&gt;CRWV^FE_ESTIMATE(NEW_ORDERS_VALUE,MEAN,QUARTERLY_ROLL,2024/4F,45689,,,'')&lt;/Q&gt;&lt;R&gt;0&lt;/R&gt;&lt;C&gt;0&lt;/C&gt;&lt;/FQL&gt;&lt;FQL&gt;&lt;Q&gt;CRWV^FE_ESTIMATE(NEW_ORDERS_VALUE,MEAN,ANNUAL_ROLL,2023,45689,,,'')&lt;/Q&gt;&lt;R&gt;0&lt;/R&gt;&lt;C&gt;0&lt;/C&gt;&lt;/FQL&gt;&lt;FQL&gt;&lt;Q&gt;CRWV^FE_ESTIMATE(NEW_ORDERS_VALUE,MEAN,ANNUAL_ROLL,2022,45689,,,'')&lt;/Q&gt;&lt;R&gt;0&lt;/R&gt;&lt;C&gt;0&lt;/C&gt;&lt;/FQL&gt;&lt;FQL&gt;&lt;Q&gt;CRWV^FE_ESTIMATE(NEW_ORDERS_VALUE,MEAN,QUARTERLY_ROLL,2022/1F,45689,,,'')&lt;/Q&gt;&lt;R&gt;0&lt;/R&gt;&lt;C&gt;0&lt;/C&gt;&lt;/FQL&gt;&lt;FQL&gt;&lt;Q&gt;CRWV^FE_ESTIMATE(DEFREVENUE,MEAN,QUARTERLY_ROLL,2029/3F,45689,,,'')&lt;/Q&gt;&lt;R&gt;0&lt;/R&gt;&lt;C&gt;0&lt;/C&gt;&lt;/FQL&gt;&lt;FQL&gt;&lt;Q&gt;CRWV^FE_ESTIMATE(DEFREVENUE,MEAN,QUARTERLY_ROLL,2028/3F,45689,,,'')&lt;/Q&gt;&lt;R&gt;0&lt;/R&gt;&lt;C&gt;0&lt;/C&gt;&lt;/FQL&gt;&lt;FQL&gt;&lt;Q&gt;CRWV^FE_ESTIMATE(DEFREVENUE,MEAN,QUARTERLY_ROLL,2027/4F,45689,,,'')&lt;/Q&gt;&lt;R&gt;0&lt;/R&gt;&lt;C&gt;0&lt;/C&gt;&lt;/FQL&gt;&lt;FQL&gt;&lt;Q&gt;CRWV^FE_ESTIMATE(DEFREVENUE,MEAN,QUARTERLY_ROLL,2026/4F,45689,,,'')&lt;/Q&gt;&lt;R&gt;0&lt;/R&gt;&lt;C&gt;0&lt;/C&gt;&lt;/FQL&gt;&lt;FQL&gt;&lt;Q&gt;CRWV^FE_ESTIMATE(DEFREVENUE,MEAN,ANNUAL_ROLL,2025,45689,,,'')&lt;/Q&gt;&lt;R&gt;0&lt;/R&gt;&lt;C&gt;0&lt;/C&gt;&lt;/FQL&gt;&lt;FQL&gt;&lt;Q&gt;CRWV^FE_ESTIMATE(DEFREVENUE,MEAN,ANNUAL_ROLL,2024,45689,,,'')&lt;/Q&gt;&lt;R&gt;0&lt;/R&gt;&lt;C&gt;0&lt;/C&gt;&lt;/FQL&gt;&lt;FQL&gt;&lt;Q&gt;CRWV^FE_ESTIMATE(DEFREVENUE,MEAN,QUARTERLY_ROLL,2024/1F,45689,,,'')&lt;/Q&gt;&lt;R&gt;0&lt;/R&gt;&lt;C&gt;0&lt;/C&gt;&lt;/FQL&gt;&lt;FQL&gt;&lt;Q&gt;CRWV^FE_ESTIMATE(DEFREVENUE,MEAN,QUARTERLY_ROLL,2023/1F,45689,,,'')&lt;/Q&gt;&lt;R&gt;0&lt;/R&gt;&lt;C&gt;0&lt;/C&gt;&lt;/FQL&gt;&lt;FQL&gt;&lt;Q&gt;CRWV^FE_ESTIMATE(DEFREVENUE,MEAN,QUARTERLY_ROLL,2022/2F,45689,,,'')&lt;/Q&gt;&lt;R&gt;0&lt;/R&gt;&lt;C&gt;0&lt;/C&gt;&lt;/FQL&gt;&lt;FQL&gt;&lt;Q&gt;CRWV^FE_ESTIMATE(DEFREVENUE_LT,MEAN,QUARTERLY_ROLL,2029/4F,45689,,,'')&lt;/Q&gt;&lt;R&gt;0&lt;/R&gt;&lt;C&gt;0&lt;/C&gt;&lt;/FQL&gt;&lt;FQL&gt;&lt;Q&gt;CRWV^FE_ESTIMATE(DEFREVENUE_LT,MEAN,QUARTERLY_ROLL,2028/4F,45689,,,'')&lt;/Q&gt;&lt;R&gt;0&lt;/R&gt;&lt;C&gt;0&lt;/C&gt;&lt;/FQL&gt;&lt;FQL&gt;&lt;Q&gt;CRWV^FE_ESTIMATE(DEFREVENUE_LT,MEAN,ANNUAL_ROLL,2027,45689,,,'')&lt;/Q&gt;&lt;R&gt;0&lt;/R&gt;&lt;C&gt;0&lt;/C&gt;&lt;/FQL&gt;&lt;FQL&gt;&lt;Q&gt;CRWV^FE_ESTIMATE(DEFREVENUE_LT,MEAN,ANNUAL_ROLL,2026,45689,,,'')&lt;/Q&gt;&lt;R&gt;0&lt;/R&gt;&lt;C&gt;0&lt;/C&gt;&lt;/FQL&gt;&lt;FQL&gt;&lt;Q&gt;CRWV^FE_ESTIMATE(DEFREVENUE_LT,MEAN,QUARTERLY_ROLL,2026/1F,45689,,,'')&lt;/Q&gt;&lt;R&gt;0&lt;/R&gt;&lt;C&gt;0&lt;/C&gt;&lt;/FQL&gt;&lt;FQL&gt;&lt;Q&gt;CRWV^FE_ESTIMATE(DEFREVENUE_LT,MEAN,QUARTERLY_ROLL,2024/4F,45689,,,'')&lt;/Q&gt;&lt;R&gt;0&lt;/R&gt;&lt;C&gt;0&lt;/C&gt;&lt;/FQL&gt;&lt;FQL&gt;&lt;Q&gt;CRWV^FE_ESTIMATE(DEFREVENUE_LT,MEAN,ANNUAL_ROLL,2023,45689,,,'')&lt;/Q&gt;&lt;R&gt;0&lt;/R&gt;&lt;C&gt;0&lt;/C&gt;&lt;/FQL&gt;&lt;FQL&gt;&lt;Q&gt;CRWV^FE_ESTIMATE(DEFREVENUE_LT,MEAN,QUARTERLY_ROLL,2022/3F,45689,,,'')&lt;/Q&gt;&lt;R&gt;0&lt;/R&gt;&lt;C&gt;0&lt;/C&gt;&lt;/FQL&gt;&lt;FQL&gt;&lt;Q&gt;CRWV^FE_ESTIMATE(DEFREVENUE_ST,MEAN,ANNUAL_ROLL,2029,45689,,,'')&lt;/Q&gt;&lt;R&gt;0&lt;/R&gt;&lt;C&gt;0&lt;/C&gt;&lt;/FQL&gt;&lt;FQL&gt;&lt;Q&gt;CRWV^FE_ESTIMATE(DEFREVENUE_ST,MEAN,QUARTERLY_ROLL,2028/3F,45689,,,'')&lt;/Q&gt;&lt;R&gt;0&lt;/R&gt;&lt;C&gt;0&lt;/C&gt;&lt;/FQL&gt;&lt;FQL&gt;&lt;Q&gt;CRWV^FE_ESTIMATE(DEFREVENUE_ST,MEAN,QUARTERLY_ROLL,2027/4F,45689,,,'')&lt;/Q&gt;&lt;R&gt;0&lt;/R&gt;&lt;C&gt;0&lt;/C&gt;&lt;/FQL&gt;&lt;FQL&gt;&lt;Q&gt;CRWV^FE_ESTIMATE(DEFREVENUE_ST,MEAN,QUARTERLY_ROLL,2026/2F,45689,,,'')&lt;/Q&gt;&lt;R&gt;0&lt;/R&gt;&lt;C&gt;0&lt;/C&gt;&lt;/FQL&gt;&lt;FQL&gt;&lt;Q&gt;CRWV^FE_ESTIMATE(DEFREVENUE_ST,MEAN,ANNUAL_ROLL,2024,45689,,,'')&lt;/Q&gt;&lt;R&gt;0&lt;/R&gt;&lt;C&gt;0&lt;/C&gt;&lt;/FQL&gt;&lt;FQL&gt;&lt;Q&gt;CRWV^FE_ESTIMATE(DEFREVENUE_ST,MEAN,QUARTERLY_ROLL,2024/1F,45689,,,'')&lt;/Q&gt;&lt;R&gt;0&lt;/R&gt;&lt;C&gt;0&lt;/C&gt;&lt;/FQL&gt;&lt;FQL&gt;&lt;Q&gt;CRWV^FE_ESTIMATE(DEFREVENUE_ST,MEAN,ANNUAL_ROLL,2028,45689,,,'')&lt;/Q&gt;&lt;R&gt;0&lt;/R&gt;&lt;C&gt;0&lt;/C&gt;&lt;/FQL&gt;&lt;FQL&gt;&lt;Q&gt;CRWV^FE_ESTIMATE(DEFREVENUE_ST,MEAN,QUARTERLY_ROLL,2023/1F,45689,,,'')&lt;/Q&gt;&lt;R&gt;0&lt;/R&gt;&lt;C&gt;0&lt;/C&gt;&lt;/FQL&gt;&lt;FQL&gt;&lt;Q&gt;CRWV^FE_ESTIMATE(FCF,MEAN,QUARTERLY_ROLL,2029/2F,45689,,,'')&lt;/Q&gt;&lt;R&gt;0&lt;/R&gt;&lt;C&gt;0&lt;/C&gt;&lt;/FQL&gt;&lt;FQL&gt;&lt;Q&gt;CRWV^FE_ESTIMATE(CAPEX,MEAN,QUARTERLY_ROLL,2028/3F,45689,,,'')&lt;/Q&gt;&lt;R&gt;0&lt;/R&gt;&lt;C&gt;0&lt;/C&gt;&lt;/FQL&gt;&lt;FQL&gt;&lt;Q&gt;CRWV^FE_ESTIMATE(CAPEX,MEAN,QUARTERLY_ROLL,2027/1F,45689,,,'')&lt;/Q&gt;&lt;R&gt;0&lt;/R&gt;&lt;C&gt;0&lt;/C&gt;&lt;/FQL&gt;&lt;FQL&gt;&lt;Q&gt;CRWV^FE_ESTIMATE(CAPEX,MEAN,QUARTERLY_ROLL,2025/4F,45689,,,'')&lt;/Q&gt;&lt;R&gt;0&lt;/R&gt;&lt;C&gt;0&lt;/C&gt;&lt;/FQL&gt;&lt;FQL&gt;&lt;Q&gt;CRWV^FE_ESTIMATE(CAPEX,MEAN,ANNUAL_ROLL,2024,45689,,,'')&lt;/Q&gt;&lt;R&gt;0&lt;/R&gt;&lt;C&gt;0&lt;/C&gt;&lt;/FQL&gt;&lt;FQL&gt;&lt;Q&gt;CRWV^FE_ESTIMATE(CAPEX,MEAN,QUARTERLY_ROLL,2023/3F,45689,,,'')&lt;/Q&gt;&lt;R&gt;0&lt;/R&gt;&lt;C&gt;0&lt;/C&gt;&lt;/FQL&gt;&lt;FQL&gt;&lt;Q&gt;CRWV^FE_ESTIMATE(CAPEX,MEAN,QUARTERLY_ROLL,2022/1F,45689,,,'')&lt;/Q&gt;&lt;R&gt;0&lt;/R&gt;&lt;C&gt;0&lt;/C&gt;&lt;/FQL&gt;&lt;FQL&gt;&lt;Q&gt;CRWV^FE_ESTIMATE(CFO,MEAN,QUARTERLY_ROLL,2029/3F,45689,,,'')&lt;/Q&gt;&lt;R&gt;0&lt;/R&gt;&lt;C&gt;0&lt;/C&gt;&lt;/FQL&gt;&lt;FQL&gt;&lt;Q&gt;CRWV^FE_ESTIMATE(CFO,MEAN,QUARTERLY_ROLL,2028/4F,45689,,,'')&lt;/Q&gt;&lt;R&gt;0&lt;/R&gt;&lt;C&gt;0&lt;/C&gt;&lt;/FQL&gt;&lt;FQL&gt;&lt;Q&gt;CRWV^FE_ESTIMATE(CFO,MEAN,QUARTERLY_ROLL,2028/1F,45689,,,'')&lt;/Q&gt;&lt;R&gt;0&lt;/R&gt;&lt;C&gt;0&lt;/C&gt;&lt;/FQL&gt;&lt;FQL&gt;&lt;Q&gt;CRWV^FE_ESTIMATE(CFO,MEAN,QUARTERLY_ROLL,2027/3F,45689,,,'')&lt;/Q&gt;&lt;R&gt;0&lt;/R&gt;&lt;C&gt;0&lt;/C&gt;&lt;/FQL&gt;&lt;FQL&gt;&lt;Q&gt;CRWV^FE_ESTIMATE(CFO,MEAN,ANNUAL_ROLL,2026,45689,,,'')&lt;/Q&gt;&lt;R&gt;0&lt;/R&gt;&lt;C&gt;0&lt;/C&gt;&lt;/FQL&gt;&lt;FQL&gt;&lt;Q&gt;CRWV^FE_ESTIMATE(CFO,MEAN,QUARTERLY_ROLL,2026/2F,45689,,,'')&lt;/Q&gt;&lt;R&gt;0&lt;/R&gt;&lt;C&gt;0&lt;/C&gt;&lt;/FQL&gt;&lt;FQL&gt;&lt;Q&gt;CRWV^FE_ESTIMATE(CFO,MEAN,QUARTERLY_ROLL,2025/4F,45689,,,'')&lt;/Q&gt;&lt;R&gt;0&lt;/R&gt;&lt;C&gt;0&lt;/C&gt;&lt;/FQL&gt;&lt;FQL&gt;&lt;Q&gt;CRWV^FE_ESTIMATE(CFO,MEAN,QUARTERLY_ROLL,2025/1F,45689,,,'')&lt;/Q&gt;&lt;R&gt;0&lt;/R&gt;&lt;C&gt;0&lt;/C&gt;&lt;/FQL&gt;&lt;FQL&gt;&lt;Q&gt;CRWV^FE_ESTIMATE(CFO,MEAN,QUARTERLY_ROLL,2024/3F,45689,,,'')&lt;/Q&gt;&lt;R&gt;0&lt;/R&gt;&lt;C&gt;0&lt;/C&gt;&lt;/FQL&gt;&lt;FQL&gt;&lt;Q&gt;CRWV^FE_ESTIMATE(CFO,MEAN,ANNUAL_ROLL,2023,45689,,,'')&lt;/Q&gt;&lt;R&gt;0&lt;/R&gt;&lt;C&gt;0&lt;/C&gt;&lt;/FQL&gt;&lt;FQL&gt;&lt;Q&gt;CRWV^FE_ESTIMATE(CFO,MEAN,QUARTERLY_ROLL,2023/2F,45689,,,'')&lt;/Q&gt;&lt;R&gt;0&lt;/R&gt;&lt;C&gt;0&lt;/C&gt;&lt;/FQL&gt;&lt;FQL&gt;&lt;Q&gt;CRWV^FE_ESTIMATE(CFO,MEAN,QUARTERLY_ROLL,2022/4F,45689,,,'')&lt;/Q&gt;&lt;R&gt;0&lt;/R&gt;&lt;C&gt;0&lt;/C&gt;&lt;/FQL&gt;&lt;FQL&gt;&lt;Q&gt;CRWV^FE_ESTIMATE(CFO,MEAN,QUARTERLY_ROLL,2022/1F,45689,,,'')&lt;/Q&gt;&lt;R&gt;0&lt;/R&gt;&lt;C&gt;0&lt;/C&gt;&lt;/FQL&gt;&lt;FQL&gt;&lt;Q&gt;CRWV^FE_ESTIMATE(EPS,MEAN,QUARTERLY_ROLL,2029/3F,45689,,,'')&lt;/Q&gt;&lt;R&gt;0&lt;/R&gt;&lt;C&gt;0&lt;/C&gt;&lt;/FQL&gt;&lt;FQL&gt;&lt;Q&gt;CRWV^FE_ESTIMATE(DEFREVENUE_ST,MEAN,QUARTERLY_ROLL,2028/4F,45689,,,'')&lt;/Q&gt;&lt;R&gt;0&lt;/R&gt;&lt;C&gt;0&lt;/C&gt;&lt;/FQL&gt;&lt;FQL&gt;&lt;Q&gt;CRWV^FE_ESTIMATE(DEFREVENUE_ST,MEAN,QUARTERLY_ROLL,2026/3F,45689,,,'')&lt;/Q&gt;&lt;R&gt;0&lt;/R&gt;&lt;C&gt;0&lt;/C&gt;&lt;/FQL&gt;&lt;FQL&gt;&lt;Q&gt;CRWV^FE_ESTIMATE(FCF,MEAN,QUARTERLY_ROLL,2028/1F,45689,,,'')&lt;/Q&gt;&lt;R&gt;0&lt;/R&gt;&lt;C&gt;0&lt;/C&gt;&lt;/FQL&gt;&lt;FQL&gt;&lt;Q&gt;CRWV^FE_ESTIMATE(FCF,MEAN,QUARTERLY_ROLL,2027/2F,45689,,,'')&lt;/Q&gt;&lt;R&gt;0&lt;/R&gt;&lt;C&gt;0&lt;/C&gt;&lt;/FQL&gt;&lt;FQL&gt;&lt;Q&gt;CRWV^FE_ESTIMATE(FCF,MEAN,QUARTERLY_ROLL,2026/2F,45689,,,'')&lt;/Q&gt;&lt;R&gt;0&lt;/R&gt;&lt;C&gt;0&lt;/C&gt;&lt;/FQL&gt;&lt;FQL&gt;&lt;Q&gt;CRWV^FE_ESTIMATE(FCF,MEAN,QUARTERLY_ROLL,2025/3F,45689,,,'')&lt;/Q&gt;&lt;R&gt;0&lt;/R&gt;&lt;C&gt;0&lt;/C&gt;&lt;/FQL&gt;&lt;FQL&gt;&lt;Q&gt;CRWV^FE_ESTIMATE(FCF,MEAN,QUARTERLY_ROLL,2024/3F,45689,,,'')&lt;/Q&gt;&lt;R&gt;0&lt;/R&gt;&lt;C&gt;0&lt;/C&gt;&lt;/FQL&gt;&lt;FQL&gt;&lt;Q&gt;CRWV^FE_ESTIMATE(FCF,MEAN,QUARTERLY_ROLL,2023/4F,45689,,,'')&lt;/Q&gt;&lt;R&gt;0&lt;/R&gt;&lt;C&gt;0&lt;/C&gt;&lt;/FQL&gt;&lt;FQL&gt;&lt;Q&gt;CRWV^FE_ESTIMATE(FCF,MEAN,QUARTERLY_ROLL,2022/4F,45689,,,'')&lt;/Q&gt;&lt;R&gt;0&lt;/R&gt;&lt;C&gt;0&lt;/C&gt;&lt;/FQL&gt;&lt;FQL&gt;&lt;Q&gt;CRWV^FE_ESTIMATE(CAPEX,MEAN,QUARTERLY_ROLL,2029/2F,45689,,,'')&lt;/Q&gt;&lt;R&gt;0&lt;/R&gt;&lt;C&gt;0&lt;/C&gt;&lt;/FQL&gt;&lt;FQL&gt;&lt;Q&gt;CRWV^FE_ESTIMATE(CAPEX,MEAN,QUARTERLY_ROLL,2027/4F,45689,,,'')&lt;/Q&gt;&lt;R&gt;0&lt;/R&gt;&lt;C&gt;0&lt;/C&gt;&lt;/FQL&gt;&lt;FQL&gt;&lt;Q&gt;CRWV^FE_ESTIMATE(CAPEX,MEAN,QUARTERLY_ROLL,2026/2F,45689,,,'')&lt;/Q&gt;&lt;R&gt;0&lt;/R&gt;&lt;C&gt;0&lt;/C&gt;&lt;/FQL&gt;&lt;FQL&gt;&lt;Q&gt;CRWV^FE_ESTIMATE(CAPEX,MEAN,QUARTERLY_ROLL,2025/3F,45689,,,'')&lt;/Q&gt;&lt;R&gt;0&lt;/R&gt;&lt;C&gt;0&lt;/C&gt;&lt;/FQL&gt;&lt;FQL&gt;&lt;Q&gt;CRWV^FE_ESTIMATE(CAPEX,MEAN,QUARTERLY_ROLL,2024/1F,45689,,,'')&lt;/Q&gt;&lt;R&gt;0&lt;/R&gt;&lt;C&gt;0&lt;/C&gt;&lt;/FQL&gt;&lt;FQL&gt;&lt;Q&gt;CRWV^FE_ESTIMATE(CAPEX,MEAN,QUARTERLY_ROLL,2022/4F,45689,,,'')&lt;/Q&gt;&lt;R&gt;0&lt;/R&gt;&lt;C&gt;0&lt;/C&gt;&lt;/FQL&gt;&lt;FQL&gt;&lt;Q&gt;CRWV^FE_ESTIMATE(CFO,MEAN,QUARTERLY_ROLL,2029/2F,45689,,,'')&lt;/Q&gt;&lt;R&gt;0&lt;/R&gt;&lt;C&gt;0&lt;/C&gt;&lt;/FQL&gt;&lt;FQL&gt;&lt;Q&gt;CRWV^FE_ESTIMATE(EPS,MEAN,QUARTERLY_ROLL,2029/2F,45689,,,'')&lt;/Q&gt;&lt;R&gt;0&lt;/R&gt;&lt;C&gt;0&lt;/C&gt;&lt;/FQL&gt;&lt;FQL&gt;&lt;Q&gt;CRWV^FE_ESTIMATE(EPS,MEAN,QUARTERLY_ROLL,2028/1F,45689,,,'')&lt;/Q&gt;&lt;R&gt;0&lt;/R&gt;&lt;C&gt;0&lt;/C&gt;&lt;/FQL&gt;&lt;FQL&gt;&lt;Q&gt;CRWV^FE_ESTIMATE(EPS,MEAN,QUARTERLY_ROLL,2026/2F,45689,,,'')&lt;/Q&gt;&lt;R&gt;0&lt;/R&gt;&lt;C&gt;0&lt;/C&gt;&lt;/FQL&gt;&lt;FQL&gt;&lt;Q&gt;CRWV^FE_ESTIMATE(EPS,MEAN,QUARTERLY_ROLL,2025/1F,45689,,,'')&lt;/Q&gt;&lt;R&gt;0&lt;/R&gt;&lt;C&gt;0&lt;/C&gt;&lt;/FQL&gt;&lt;FQL&gt;&lt;Q&gt;CRWV^FE_ESTIMATE(DEFREVENUE_LT,MEAN,ANNUAL_ROLL,2024,45689,,,'')&lt;/Q&gt;&lt;R&gt;0&lt;/R&gt;&lt;C&gt;0&lt;/C&gt;&lt;/FQL&gt;&lt;FQL&gt;&lt;Q&gt;CRWV^FE_ESTIMATE(DEFREVENUE_ST,MEAN,QUARTERLY_ROLL,2026/1F,45689,,,'')&lt;/Q&gt;&lt;R&gt;0&lt;/R&gt;&lt;C&gt;0&lt;/C&gt;&lt;/FQL&gt;&lt;FQL&gt;&lt;Q&gt;CRWV^FE_ESTIMATE(DEFREVENUE_ST,MEAN,ANNUAL_ROLL,2023,45689,,,'')&lt;/Q&gt;&lt;R&gt;0&lt;/R&gt;&lt;C&gt;0&lt;/C&gt;&lt;/FQL&gt;&lt;FQL&gt;&lt;Q&gt;CRWV^FE_ESTIMATE(CAPEX,MEAN,QUARTERLY_ROLL,2028/2F,45689,,,'')&lt;/Q&gt;&lt;R&gt;0&lt;/R&gt;&lt;C&gt;0&lt;/C&gt;&lt;/FQL&gt;&lt;FQL&gt;&lt;Q&gt;CRWV^FE_ESTIMATE(CAPEX,MEAN,ANNUAL_ROLL,2026,45689,,,'')&lt;/Q&gt;&lt;R&gt;0&lt;/R&gt;&lt;C&gt;0&lt;/C&gt;&lt;/FQL&gt;&lt;FQL&gt;&lt;Q&gt;CRWV^FE_ESTIMATE(CAPEX,MEAN,QUARTERLY_ROLL,2026/1F,45689,,,'')&lt;/Q&gt;&lt;R&gt;0&lt;/R&gt;&lt;C&gt;0&lt;/C&gt;&lt;/FQL&gt;&lt;FQL&gt;&lt;Q&gt;CRWV^FE_ESTIMATE(CAPEX,MEAN,QUARTERLY_ROLL,2024/4F,45689,,,'')&lt;/Q&gt;&lt;R&gt;0&lt;/R&gt;&lt;C&gt;0&lt;/C&gt;&lt;/FQL&gt;&lt;FQL&gt;&lt;Q&gt;CRWV^FE_ESTIMATE(CAPEX,MEAN,QUARTERLY_ROLL,2023/2F,45689,,,'')&lt;/Q&gt;&lt;R&gt;0&lt;/R&gt;&lt;C&gt;0&lt;/C&gt;&lt;/FQL&gt;&lt;FQL&gt;&lt;Q&gt;CRWV^FE_ESTIMATE(CAPEX,MEAN,QUARTERLY_ROLL,2022/3F,45689,,,'')&lt;/Q&gt;&lt;R&gt;0&lt;/R&gt;&lt;C&gt;0&lt;/C&gt;&lt;/FQL&gt;&lt;FQL&gt;&lt;Q&gt;CRWV^FE_ESTIMATE(CFO,MEAN,ANNUAL_ROLL,2029,45689,,,'')&lt;/Q&gt;&lt;R&gt;0&lt;/R&gt;&lt;C&gt;0&lt;/C&gt;&lt;/FQL&gt;&lt;FQL&gt;&lt;Q&gt;CRWV^FE_ESTIMATE(CFO,MEAN,QUARTERLY_ROLL,2028/3F,45689,,,'')&lt;/Q&gt;&lt;R&gt;0&lt;/R&gt;&lt;C&gt;0&lt;/C&gt;&lt;/FQL&gt;&lt;FQL&gt;&lt;Q&gt;CRWV^FE_ESTIMATE(CFO,MEAN,ANNUAL_ROLL,2027,45689,,,'')&lt;/Q&gt;&lt;R&gt;0&lt;/R&gt;&lt;C&gt;0&lt;/C&gt;&lt;/FQL&gt;&lt;FQL&gt;&lt;Q&gt;CRWV^FE_ESTIMATE(CFO,MEAN,QUARTERLY_ROLL,2027/2F,45689,,,'')&lt;/Q&gt;&lt;R&gt;0&lt;/R&gt;&lt;C&gt;0&lt;/C&gt;&lt;/FQL&gt;&lt;FQL&gt;&lt;Q&gt;CRWV^FE_ESTIMATE(CFO,MEAN,QUARTERLY_ROLL,2026/4F,45689,,,'')&lt;/Q&gt;&lt;R&gt;0&lt;/R&gt;&lt;C&gt;0&lt;/C&gt;&lt;/FQL&gt;&lt;FQL&gt;&lt;Q&gt;CRWV^FE_ESTIMATE(CFO,MEAN,QUARTERLY_ROLL,2026/1F,45689,,,'')&lt;/Q&gt;&lt;R&gt;0&lt;/R&gt;&lt;C&gt;0&lt;/C&gt;&lt;/FQL&gt;&lt;FQL&gt;&lt;Q&gt;CRWV^FE_ESTIMATE(CFO,MEAN,QUARTERLY_ROLL,2025/3F,45689,,,'')&lt;/Q&gt;&lt;R&gt;0&lt;/R&gt;&lt;C&gt;0&lt;/C&gt;&lt;/FQL&gt;&lt;FQL&gt;&lt;Q&gt;CRWV^FE_ESTIMATE(CFO,MEAN,ANNUAL_ROLL,2024,45689,,,'')&lt;/Q&gt;&lt;R&gt;0&lt;/R&gt;&lt;C&gt;0&lt;/C&gt;&lt;/FQL&gt;&lt;FQL&gt;&lt;Q&gt;CRWV^FE_ESTIMATE(CFO,MEAN,QUARTERLY_ROLL,2024/2F,45689,,,'')&lt;/Q&gt;&lt;R&gt;0&lt;/R&gt;&lt;C&gt;0&lt;/C&gt;&lt;/FQL&gt;&lt;FQL&gt;&lt;Q&gt;CRWV^FE_ESTIMATE(CFO,MEAN,QUARTERLY_ROLL,2023/4F,45689,,,'')&lt;/Q&gt;&lt;R&gt;0&lt;/R&gt;&lt;C&gt;0&lt;/C&gt;&lt;/FQL&gt;&lt;FQL&gt;&lt;Q&gt;CRWV^FE_ESTIMATE(CFO,MEAN,QUARTERLY_ROLL,2023/1F,45689,,,'')&lt;/Q&gt;&lt;R&gt;0&lt;/R&gt;&lt;C&gt;0&lt;/C&gt;&lt;/FQL&gt;&lt;FQL&gt;&lt;Q&gt;CRWV^FE_ESTIMATE(CFO,MEAN,QUARTERLY_ROLL,2022/3F,45689,,,'')&lt;/Q&gt;&lt;R&gt;0&lt;/R&gt;&lt;C&gt;0&lt;/C&gt;&lt;/FQL&gt;&lt;FQL&gt;&lt;Q&gt;CRWV^FE_ESTIMATE(EPS,MEAN,ANNUAL_ROLL,2029,45689,,,'')&lt;/Q&gt;&lt;R&gt;0&lt;/R&gt;&lt;C&gt;0&lt;/C&gt;&lt;/FQL&gt;&lt;FQL&gt;&lt;Q&gt;CRWV^FE_ESTIMATE(EPS,MEAN,QUARTERLY_ROLL,2028/4F,45689,,,'')&lt;/Q&gt;&lt;R&gt;0&lt;/R&gt;&lt;C&gt;0&lt;/C&gt;&lt;/FQL&gt;&lt;FQL&gt;&lt;Q&gt;CRWV^FE_ESTIMATE(EPS,MEAN,QUARTERLY_ROLL,2027/3F,45689,,,'')&lt;/Q&gt;&lt;R&gt;0&lt;/R&gt;&lt;C&gt;0&lt;/C&gt;&lt;/FQL&gt;&lt;FQL&gt;&lt;Q&gt;CRWV^FE_ESTIMATE(EPS,MEAN,ANNUAL_ROLL,2026,45689,,,'')&lt;/Q&gt;&lt;R&gt;0&lt;/R&gt;&lt;C&gt;0&lt;/C&gt;&lt;/FQL&gt;&lt;FQL&gt;&lt;Q&gt;CRWV^FE_ESTIMATE(EPS,MEAN,QUARTERLY_ROLL,2025/4F,45689,,,'')&lt;/Q&gt;&lt;R&gt;0&lt;/R&gt;&lt;C&gt;0&lt;/C&gt;&lt;/FQL&gt;&lt;FQL&gt;&lt;Q&gt;CRWV^FE_ESTIMATE(EPS,MEAN,QUARTERLY_ROLL,2024/3F,45689,,,'')&lt;/Q&gt;&lt;R&gt;0&lt;/R&gt;&lt;C&gt;0&lt;/C&gt;&lt;/FQL&gt;&lt;FQL&gt;&lt;Q&gt;CRWV^FE_ESTIMATE(DEFREVENUE_ST,MEAN,QUARTERLY_ROLL,2022/3F,45689,,,'')&lt;/Q&gt;&lt;R&gt;0&lt;/R&gt;&lt;C&gt;0&lt;/C&gt;&lt;/FQL&gt;&lt;FQL&gt;&lt;Q&gt;CRWV^FE_ESTIMATE(FCF,MEAN,ANNUAL_ROLL,2029,45689,,,'')&lt;/Q&gt;&lt;R&gt;0&lt;/R&gt;&lt;C&gt;0&lt;/C&gt;&lt;/FQL&gt;&lt;FQL&gt;&lt;Q&gt;CRWV^FE_ESTIMATE(FCF,MEAN,QUARTERLY_ROLL,2028/4F,45689,,,'')&lt;/Q&gt;&lt;R&gt;0&lt;/R&gt;&lt;C&gt;0&lt;/C&gt;&lt;/FQL&gt;&lt;FQL&gt;&lt;Q&gt;CRWV^FE_ESTIMATE(FCF,MEAN,ANNUAL_ROLL,2027,45689,,,'')&lt;/Q&gt;&lt;R&gt;0&lt;/R&gt;&lt;C&gt;0&lt;/C&gt;&lt;/FQL&gt;&lt;FQL&gt;&lt;Q&gt;CRWV^FE_ESTIMATE(FCF,MEAN,ANNUAL_ROLL,2026,45689,,,'')&lt;/Q&gt;&lt;R&gt;0&lt;/R&gt;&lt;C&gt;0&lt;/C&gt;&lt;/FQL&gt;&lt;FQL&gt;&lt;Q&gt;CRWV^FE_ESTIMATE(FCF,MEAN,QUARTERLY_ROLL,2026/1F,45689,,,'')&lt;/Q&gt;&lt;R&gt;0&lt;/R&gt;&lt;C&gt;0&lt;/C&gt;&lt;/FQL&gt;&lt;FQL&gt;&lt;Q&gt;CRWV^FE_ESTIMATE(FCF,MEAN,QUARTERLY_ROLL,2025/1F,45689,,,'')&lt;/Q&gt;&lt;R&gt;0&lt;/R&gt;&lt;C&gt;0&lt;/C&gt;&lt;/FQL&gt;&lt;FQL&gt;&lt;Q&gt;CRWV^FE_ESTIMATE(FCF,MEAN,QUARTERLY_ROLL,2024/2F,45689,,,'')&lt;/Q&gt;&lt;R&gt;0&lt;/R&gt;&lt;C&gt;0&lt;/C&gt;&lt;/FQL&gt;&lt;FQL&gt;&lt;Q&gt;CRWV^FE_ESTIMATE(FCF,MEAN,QUARTERLY_ROLL,2023/2F,45689,,,'')&lt;/Q&gt;&lt;R&gt;0&lt;/R&gt;&lt;C&gt;0&lt;/C&gt;&lt;/FQL&gt;&lt;FQL&gt;&lt;Q&gt;CRWV^FE_ESTIMATE(FCF,MEAN,QUARTERLY_ROLL,2022/3F,45689,,,'')&lt;/Q&gt;&lt;R&gt;0&lt;/R&gt;&lt;C&gt;0&lt;/C&gt;&lt;/FQL&gt;&lt;FQL&gt;&lt;Q&gt;CRWV^FE_ESTIMATE(CAPEX,MEAN,ANNUAL_ROLL,2029,45689,,,'')&lt;/Q&gt;&lt;R&gt;0&lt;/R&gt;&lt;C&gt;0&lt;/C&gt;&lt;/FQL&gt;&lt;FQL&gt;&lt;Q&gt;CRWV^FE_ESTIMATE(CAPEX,MEAN,ANNUAL_ROLL,2028,45689,,,'')&lt;/Q&gt;&lt;R&gt;0&lt;/R&gt;&lt;C&gt;0&lt;/C&gt;&lt;/FQL&gt;&lt;FQL&gt;&lt;Q&gt;CRWV^FE_ESTIMATE(CAPEX,MEAN,QUARTERLY_ROLL,2027/3F,45689,,,'')&lt;/Q&gt;&lt;R&gt;0&lt;/R&gt;&lt;C&gt;0&lt;/C&gt;&lt;/FQL&gt;&lt;FQL&gt;&lt;Q&gt;CRWV^FE_ESTIMATE(CAPEX,MEAN,QUARTERLY_ROLL,2026/4F,45689,,,'')&lt;/Q&gt;&lt;R&gt;0&lt;/R&gt;&lt;C&gt;0&lt;/C&gt;&lt;/FQL&gt;&lt;FQL&gt;&lt;Q&gt;CRWV^FE_ESTIMATE(CAPEX,MEAN,QUARTERLY_ROLL,2025/2F,45689,,,'')&lt;/Q&gt;&lt;R&gt;0&lt;/R&gt;&lt;C&gt;0&lt;/C&gt;&lt;/FQL&gt;&lt;FQL&gt;&lt;Q&gt;CRWV^FE_ESTIMATE(CAPEX,MEAN,ANNUAL_ROLL,2023,45689,,,</t>
        </r>
      </text>
    </comment>
    <comment ref="A4" authorId="0" shapeId="0" xr:uid="{5F39B07E-FF45-4209-891C-DA8173F1BF33}">
      <text>
        <r>
          <rPr>
            <b/>
            <sz val="9"/>
            <color indexed="81"/>
            <rFont val="Tahoma"/>
            <charset val="1"/>
          </rPr>
          <t>'')&lt;/Q&gt;&lt;R&gt;0&lt;/R&gt;&lt;C&gt;0&lt;/C&gt;&lt;/FQL&gt;&lt;FQL&gt;&lt;Q&gt;CRWV^FE_ESTIMATE(CAPEX,MEAN,QUARTERLY_ROLL,2023/1F,45689,,,'')&lt;/Q&gt;&lt;R&gt;0&lt;/R&gt;&lt;C&gt;0&lt;/C&gt;&lt;/FQL&gt;&lt;FQL&gt;&lt;Q&gt;CRWV^FE_ESTIMATE(CFO,MEAN,QUARTERLY_ROLL,2029/1F,45689,,,'')&lt;/Q&gt;&lt;R&gt;0&lt;/R&gt;&lt;C&gt;0&lt;/C&gt;&lt;/FQL&gt;&lt;FQL&gt;&lt;Q&gt;CRWV^FE_ESTIMATE(DEFREVENUE_LT,MEAN,QUARTERLY_ROLL,2023/3F,45689,,,'')&lt;/Q&gt;&lt;R&gt;0&lt;/R&gt;&lt;C&gt;0&lt;/C&gt;&lt;/FQL&gt;&lt;FQL&gt;&lt;Q&gt;CRWV^FE_ESTIMATE(DEFREVENUE_ST,MEAN,QUARTERLY_ROLL,2027/3F,45689,,,'')&lt;/Q&gt;&lt;R&gt;0&lt;/R&gt;&lt;C&gt;0&lt;/C&gt;&lt;/FQL&gt;&lt;FQL&gt;&lt;Q&gt;CRWV^FE_ESTIMATE(DEFREVENUE_ST,MEAN,QUARTERLY_ROLL,2025/2F,45689,,,'')&lt;/Q&gt;&lt;R&gt;0&lt;/R&gt;&lt;C&gt;0&lt;/C&gt;&lt;/FQL&gt;&lt;FQL&gt;&lt;Q&gt;CRWV^FE_ESTIMATE(DEFREVENUE_ST,MEAN,QUARTERLY_ROLL,2023/4F,45689,,,'')&lt;/Q&gt;&lt;R&gt;0&lt;/R&gt;&lt;C&gt;0&lt;/C&gt;&lt;/FQL&gt;&lt;FQL&gt;&lt;Q&gt;CRWV^FE_ESTIMATE(CAPEX,MEAN,QUARTERLY_ROLL,2028/1F,45689,,,'')&lt;/Q&gt;&lt;R&gt;0&lt;/R&gt;&lt;C&gt;0&lt;/C&gt;&lt;/FQL&gt;&lt;FQL&gt;&lt;Q&gt;CRWV^FE_ESTIMATE(CAPEX,MEAN,QUARTERLY_ROLL,2027/2F,45689,,,'')&lt;/Q&gt;&lt;R&gt;0&lt;/R&gt;&lt;C&gt;0&lt;/C&gt;&lt;/FQL&gt;&lt;FQL&gt;&lt;Q&gt;CRWV^FE_ESTIMATE(CAPEX,MEAN,ANNUAL_ROLL,2025,45689,,,'')&lt;/Q&gt;&lt;R&gt;0&lt;/R&gt;&lt;C&gt;0&lt;/C&gt;&lt;/FQL&gt;&lt;FQL&gt;&lt;Q&gt;CRWV^FE_ESTIMATE(CAPEX,MEAN,QUARTERLY_ROLL,2024/3F,45689,,,'')&lt;/Q&gt;&lt;R&gt;0&lt;/R&gt;&lt;C&gt;0&lt;/C&gt;&lt;/FQL&gt;&lt;FQL&gt;&lt;Q&gt;CRWV^FE_ESTIMATE(CAPEX,MEAN,QUARTERLY_ROLL,2023/4F,45689,,,'')&lt;/Q&gt;&lt;R&gt;0&lt;/R&gt;&lt;C&gt;0&lt;/C&gt;&lt;/FQL&gt;&lt;FQL&gt;&lt;Q&gt;CRWV^FE_ESTIMATE(CAPEX,MEAN,QUARTERLY_ROLL,2022/2F,45689,,,'')&lt;/Q&gt;&lt;R&gt;0&lt;/R&gt;&lt;C&gt;0&lt;/C&gt;&lt;/FQL&gt;&lt;FQL&gt;&lt;Q&gt;CRWV^FE_ESTIMATE(CFO,MEAN,QUARTERLY_ROLL,2029/4F,45689,,,'')&lt;/Q&gt;&lt;R&gt;0&lt;/R&gt;&lt;C&gt;0&lt;/C&gt;&lt;/FQL&gt;&lt;FQL&gt;&lt;Q&gt;CRWV^FE_ESTIMATE(CFO,MEAN,QUARTERLY_ROLL,2028/2F,45689,,,'')&lt;/Q&gt;&lt;R&gt;0&lt;/R&gt;&lt;C&gt;0&lt;/C&gt;&lt;/FQL&gt;&lt;FQL&gt;&lt;Q&gt;CRWV^FE_ESTIMATE(CFO,MEAN,QUARTERLY_ROLL,2027/4F,45689,,,'')&lt;/Q&gt;&lt;R&gt;0&lt;/R&gt;&lt;C&gt;0&lt;/C&gt;&lt;/FQL&gt;&lt;FQL&gt;&lt;Q&gt;CRWV^FE_ESTIMATE(CFO,MEAN,QUARTERLY_ROLL,2027/1F,45689,,,'')&lt;/Q&gt;&lt;R&gt;0&lt;/R&gt;&lt;C&gt;0&lt;/C&gt;&lt;/FQL&gt;&lt;FQL&gt;&lt;Q&gt;CRWV^FE_ESTIMATE(CFO,MEAN,QUARTERLY_ROLL,2026/3F,45689,,,'')&lt;/Q&gt;&lt;R&gt;0&lt;/R&gt;&lt;C&gt;0&lt;/C&gt;&lt;/FQL&gt;&lt;FQL&gt;&lt;Q&gt;CRWV^FE_ESTIMATE(CFO,MEAN,ANNUAL_ROLL,2025,45689,,,'')&lt;/Q&gt;&lt;R&gt;0&lt;/R&gt;&lt;C&gt;0&lt;/C&gt;&lt;/FQL&gt;&lt;FQL&gt;&lt;Q&gt;CRWV^FE_ESTIMATE(CFO,MEAN,QUARTERLY_ROLL,2025/2F,45689,,,'')&lt;/Q&gt;&lt;R&gt;0&lt;/R&gt;&lt;C&gt;0&lt;/C&gt;&lt;/FQL&gt;&lt;FQL&gt;&lt;Q&gt;CRWV^FE_ESTIMATE(CFO,MEAN,QUARTERLY_ROLL,2024/4F,45689,,,'')&lt;/Q&gt;&lt;R&gt;0&lt;/R&gt;&lt;C&gt;0&lt;/C&gt;&lt;/FQL&gt;&lt;FQL&gt;&lt;Q&gt;CRWV^FE_ESTIMATE(CFO,MEAN,QUARTERLY_ROLL,2024/1F,45689,,,'')&lt;/Q&gt;&lt;R&gt;0&lt;/R&gt;&lt;C&gt;0&lt;/C&gt;&lt;/FQL&gt;&lt;FQL&gt;&lt;Q&gt;CRWV^FE_ESTIMATE(DEFREVENUE_LT,MEAN,QUARTERLY_ROLL,2022/4F,45689,,,'')&lt;/Q&gt;&lt;R&gt;0&lt;/R&gt;&lt;C&gt;0&lt;/C&gt;&lt;/FQL&gt;&lt;FQL&gt;&lt;Q&gt;CRWV^FE_ESTIMATE(DEFREVENUE_ST,MEAN,QUARTERLY_ROLL,2027/2F,45689,,,'')&lt;/Q&gt;&lt;R&gt;0&lt;/R&gt;&lt;C&gt;0&lt;/C&gt;&lt;/FQL&gt;&lt;FQL&gt;&lt;Q&gt;CRWV^FE_ESTIMATE(DEFREVENUE_ST,MEAN,QUARTERLY_ROLL,2025/1F,45689,,,'')&lt;/Q&gt;&lt;R&gt;0&lt;/R&gt;&lt;C&gt;0&lt;/C&gt;&lt;/FQL&gt;&lt;FQL&gt;&lt;Q&gt;CRWV^FE_ESTIMATE(FCF,MEAN,QUARTERLY_ROLL,2028/3F,45689,,,'')&lt;/Q&gt;&lt;R&gt;0&lt;/R&gt;&lt;C&gt;0&lt;/C&gt;&lt;/FQL&gt;&lt;FQL&gt;&lt;Q&gt;CRWV^FE_ESTIMATE(FCF,MEAN,QUARTERLY_ROLL,2027/3F,45689,,,'')&lt;/Q&gt;&lt;R&gt;0&lt;/R&gt;&lt;C&gt;0&lt;/C&gt;&lt;/FQL&gt;&lt;FQL&gt;&lt;Q&gt;CRWV^FE_ESTIMATE(FCF,MEAN,QUARTERLY_ROLL,2026/4F,45689,,,'')&lt;/Q&gt;&lt;R&gt;0&lt;/R&gt;&lt;C&gt;0&lt;/C&gt;&lt;/FQL&gt;&lt;FQL&gt;&lt;Q&gt;CRWV^FE_ESTIMATE(FCF,MEAN,QUARTERLY_ROLL,2025/4F,45689,,,'')&lt;/Q&gt;&lt;R&gt;0&lt;/R&gt;&lt;C&gt;0&lt;/C&gt;&lt;/FQL&gt;&lt;FQL&gt;&lt;Q&gt;CRWV^FE_ESTIMATE(FCF,MEAN,ANNUAL_ROLL,2024,45689,,,'')&lt;/Q&gt;&lt;R&gt;0&lt;/R&gt;&lt;C&gt;0&lt;/C&gt;&lt;/FQL&gt;&lt;FQL&gt;&lt;Q&gt;CRWV^FE_ESTIMATE(FCF,MEAN,ANNUAL_ROLL,2023,45689,,,'')&lt;/Q&gt;&lt;R&gt;0&lt;/R&gt;&lt;C&gt;0&lt;/C&gt;&lt;/FQL&gt;&lt;FQL&gt;&lt;Q&gt;CRWV^FE_ESTIMATE(FCF,MEAN,QUARTERLY_ROLL,2023/1F,45689,,,'')&lt;/Q&gt;&lt;R&gt;0&lt;/R&gt;&lt;C&gt;0&lt;/C&gt;&lt;/FQL&gt;&lt;FQL&gt;&lt;Q&gt;CRWV^FE_ESTIMATE(FCF,MEAN,QUARTERLY_ROLL,2022/1F,45689,,,'')&lt;/Q&gt;&lt;R&gt;0&lt;/R&gt;&lt;C&gt;0&lt;/C&gt;&lt;/FQL&gt;&lt;FQL&gt;&lt;Q&gt;CRWV^FE_ESTIMATE(CAPEX,MEAN,QUARTERLY_ROLL,2029/3F,45689,,,'')&lt;/Q&gt;&lt;R&gt;0&lt;/R&gt;&lt;C&gt;0&lt;/C&gt;&lt;/FQL&gt;&lt;FQL&gt;&lt;Q&gt;CRWV^FE_ESTIMATE(CAPEX,MEAN,QUARTERLY_ROLL,2028/4F,45689,,,'')&lt;/Q&gt;&lt;R&gt;0&lt;/R&gt;&lt;C&gt;0&lt;/C&gt;&lt;/FQL&gt;&lt;FQL&gt;&lt;Q&gt;CRWV^FE_ESTIMATE(CAPEX,MEAN,ANNUAL_ROLL,2027,45689,,,'')&lt;/Q&gt;&lt;R&gt;0&lt;/R&gt;&lt;C&gt;0&lt;/C&gt;&lt;/FQL&gt;&lt;FQL&gt;&lt;Q&gt;CRWV^FE_ESTIMATE(CAPEX,MEAN,QUARTERLY_ROLL,2026/3F,45689,,,'')&lt;/Q&gt;&lt;R&gt;0&lt;/R&gt;&lt;C&gt;0&lt;/C&gt;&lt;/FQL&gt;&lt;FQL&gt;&lt;Q&gt;CRWV^FE_ESTIMATE(CFO,MEAN,ANNUAL_ROLL,2028,45689,,,'')&lt;/Q&gt;&lt;R&gt;0&lt;/R&gt;&lt;C&gt;0&lt;/C&gt;&lt;/FQL&gt;&lt;FQL&gt;&lt;Q&gt;CRWV^FE_ESTIMATE(EPS,MEAN,QUARTERLY_ROLL,2028/3F,45689,,,'')&lt;/Q&gt;&lt;R&gt;0&lt;/R&gt;&lt;C&gt;0&lt;/C&gt;&lt;/FQL&gt;&lt;FQL&gt;&lt;Q&gt;CRWV^FE_ESTIMATE(EPS,MEAN,QUARTERLY_ROLL,2027/2F,45689,,,'')&lt;/Q&gt;&lt;R&gt;0&lt;/R&gt;&lt;C&gt;0&lt;/C&gt;&lt;/FQL&gt;&lt;FQL&gt;&lt;Q&gt;CRWV^FE_ESTIMATE(EPS,MEAN,QUARTERLY_ROLL,2026/1F,45689,,,'')&lt;/Q&gt;&lt;R&gt;0&lt;/R&gt;&lt;C&gt;0&lt;/C&gt;&lt;/FQL&gt;&lt;FQL&gt;&lt;Q&gt;CRWV^FE_ESTIMATE(EPS,MEAN,ANNUAL_ROLL,2024,45689,,,'')&lt;/Q&gt;&lt;R&gt;0&lt;/R&gt;&lt;C&gt;0&lt;/C&gt;&lt;/FQL&gt;&lt;FQL&gt;&lt;Q&gt;CRWV^FE_ESTIMATE(EPS,MEAN,ANNUAL_ROLL,2023,45689,,,'')&lt;/Q&gt;&lt;R&gt;0&lt;/R&gt;&lt;C&gt;0&lt;/C&gt;&lt;/FQL&gt;&lt;FQL&gt;&lt;Q&gt;CRWV^FE_ESTIMATE(EPS,MEAN,QUARTERLY_ROLL,2022/1F,45689,,,'')&lt;/Q&gt;&lt;R&gt;0&lt;/R&gt;&lt;C&gt;0&lt;/C&gt;&lt;/FQL&gt;&lt;FQL&gt;&lt;Q&gt;CRWV^FE_ESTIMATE(EAG,MEAN,QUARTERLY_ROLL,2029/3F,45689,,,'')&lt;/Q&gt;&lt;R&gt;0&lt;/R&gt;&lt;C&gt;0&lt;/C&gt;&lt;/FQL&gt;&lt;FQL&gt;&lt;Q&gt;CRWV^FE_ESTIMATE(EAG,MEAN,QUARTERLY_ROLL,2027/4F,45689,,,'')&lt;/Q&gt;&lt;R&gt;0&lt;/R&gt;&lt;C&gt;0&lt;/C&gt;&lt;/FQL&gt;&lt;FQL&gt;&lt;Q&gt;CRWV^FE_ESTIMATE(EAG,MEAN,ANNUAL_ROLL,2025,45689,,,'')&lt;/Q&gt;&lt;R&gt;0&lt;/R&gt;&lt;C&gt;0&lt;/C&gt;&lt;/FQL&gt;&lt;FQL&gt;&lt;Q&gt;CRWV^FE_ESTIMATE(EAG,MEAN,QUARTERLY_ROLL,2024/1F,45689,,,'')&lt;/Q&gt;&lt;R&gt;0&lt;/R&gt;&lt;C&gt;0&lt;/C&gt;&lt;/FQL&gt;&lt;FQL&gt;&lt;Q&gt;CRWV^FE_ESTIMATE(EAG,MEAN,QUARTERLY_ROLL,2022/2F,45689,,,'')&lt;/Q&gt;&lt;R&gt;0&lt;/R&gt;&lt;C&gt;0&lt;/C&gt;&lt;/FQL&gt;&lt;FQL&gt;&lt;Q&gt;CRWV^FE_ESTIMATE(EBIT,MEAN,QUARTERLY_ROLL,2029/4F,45689,,,'')&lt;/Q&gt;&lt;R&gt;0&lt;/R&gt;&lt;C&gt;0&lt;/C&gt;&lt;/FQL&gt;&lt;FQL&gt;&lt;Q&gt;CRWV^FE_ESTIMATE(EBIT,MEAN,ANNUAL_ROLL,2027,45689,,,'')&lt;/Q&gt;&lt;R&gt;0&lt;/R&gt;&lt;C&gt;0&lt;/C&gt;&lt;/FQL&gt;&lt;FQL&gt;&lt;Q&gt;CRWV^FE_ESTIMATE(EBIT,MEAN,QUARTERLY_ROLL,2027/1F,45689,,,'')&lt;/Q&gt;&lt;R&gt;0&lt;/R&gt;&lt;C&gt;0&lt;/C&gt;&lt;/FQL&gt;&lt;FQL&gt;&lt;Q&gt;CRWV^FE_ESTIMATE(EBIT,MEAN,QUARTERLY_ROLL,2025/4F,45689,,,'')&lt;/Q&gt;&lt;R&gt;0&lt;/R&gt;&lt;C&gt;0&lt;/C&gt;&lt;/FQL&gt;&lt;FQL&gt;&lt;Q&gt;CRWV^FE_ESTIMATE(EBIT,MEAN,ANNUAL_ROLL,2024,45689,,,'')&lt;/Q&gt;&lt;R&gt;0&lt;/R&gt;&lt;C&gt;0&lt;/C&gt;&lt;/FQL&gt;&lt;FQL&gt;&lt;Q&gt;CRWV^FE_ESTIMATE(EBIT,MEAN,QUARTERLY_ROLL,2023/3F,45689,,,'')&lt;/Q&gt;&lt;R&gt;0&lt;/R&gt;&lt;C&gt;0&lt;/C&gt;&lt;/FQL&gt;&lt;FQL&gt;&lt;Q&gt;CRWV^FE_ESTIMATE(EBIT,MEAN,QUARTERLY_ROLL,2022/1F,45689,,,'')&lt;/Q&gt;&lt;R&gt;0&lt;/R&gt;&lt;C&gt;0&lt;/C&gt;&lt;/FQL&gt;&lt;FQL&gt;&lt;Q&gt;CRWV^FE_ESTIMATE(GROSSINCOME,MEAN,QUARTERLY_ROLL,2029/3F,45689,,,'')&lt;/Q&gt;&lt;R&gt;0&lt;/R&gt;&lt;C&gt;0&lt;/C&gt;&lt;/FQL&gt;&lt;FQL&gt;&lt;Q&gt;CRWV^FE_ESTIMATE(GROSSINCOME,MEAN,QUARTERLY_ROLL,2028/4F,45689,,,'')&lt;/Q&gt;&lt;R&gt;0&lt;/R&gt;&lt;C&gt;0&lt;/C&gt;&lt;/FQL&gt;&lt;FQL&gt;&lt;Q&gt;CRWV^FE_ESTIMATE(GROSSINCOME,MEAN,QUARTERLY_ROLL,2027/2F,45689,,,'')&lt;/Q&gt;&lt;R&gt;0&lt;/R&gt;&lt;C&gt;0&lt;/C&gt;&lt;/FQL&gt;&lt;FQL&gt;&lt;Q&gt;CRWV^FE_ESTIMATE(GROSSINCOME,MEAN,ANNUAL_ROLL,2025,45689,,,'')&lt;/Q&gt;&lt;R&gt;0&lt;/R&gt;&lt;C&gt;0&lt;/C&gt;&lt;/FQL&gt;&lt;FQL&gt;&lt;Q&gt;CRWV^FE_ESTIMATE(GROSSINCOME,MEAN,QUARTERLY_ROLL,2025/1F,45689,,,'')&lt;/Q&gt;&lt;R&gt;0&lt;/R&gt;&lt;C&gt;0&lt;/C&gt;&lt;/FQL&gt;&lt;FQL&gt;&lt;Q&gt;CRWV^FE_ESTIMATE(GROSSINCOME,MEAN,QUARTERLY_ROLL,2023/4F,45689,,,'')&lt;/Q&gt;&lt;R&gt;0&lt;/R&gt;&lt;C&gt;0&lt;/C&gt;&lt;/FQL&gt;&lt;FQL&gt;&lt;Q&gt;CRWV^FE_ESTIMATE(GROSSINCOME,MEAN,QUARTERLY_ROLL,2022/2F,45689,,,'')&lt;/Q&gt;&lt;R&gt;0&lt;/R&gt;&lt;C&gt;0&lt;/C&gt;&lt;/FQL&gt;&lt;FQL&gt;&lt;Q&gt;CRWV^FE_ESTIMATE(SALES,MEAN,QUARTERLY_ROLL,2029/4F,45689,,,'')&lt;/Q&gt;&lt;R&gt;0&lt;/R&gt;&lt;C&gt;0&lt;/C&gt;&lt;/FQL&gt;&lt;FQL&gt;&lt;Q&gt;CRWV^FE_ESTIMATE(SALES,MEAN,ANNUAL_ROLL,2028,45689,,,'')&lt;/Q&gt;&lt;R&gt;0&lt;/R&gt;&lt;C&gt;0&lt;/C&gt;&lt;/FQL&gt;&lt;FQL&gt;&lt;Q&gt;CRWV^FE_ESTIMATE(SALES,MEAN,QUARTERLY_ROLL,2027/3F,45689,,,'')&lt;/Q&gt;&lt;R&gt;0&lt;/R&gt;&lt;C&gt;0&lt;/C&gt;&lt;/FQL&gt;&lt;FQL&gt;&lt;Q&gt;CRWV^FE_ESTIMATE(SALES,MEAN,QUARTERLY_ROLL,2026/1F,45689,,,'')&lt;/Q&gt;&lt;R&gt;0&lt;/R&gt;&lt;C&gt;0&lt;/C&gt;&lt;/FQL&gt;&lt;FQL&gt;&lt;Q&gt;CRWV^FE_ESTIMATE(CFO,MEAN,QUARTERLY_ROLL,2022/2F,45689,,,'')&lt;/Q&gt;&lt;R&gt;0&lt;/R&gt;&lt;C&gt;0&lt;/C&gt;&lt;/FQL&gt;&lt;FQL&gt;&lt;Q&gt;CRWV^FE_ESTIMATE(EPS,MEAN,QUARTERLY_ROLL,2029/4F,45689,,,'')&lt;/Q&gt;&lt;R&gt;0&lt;/R&gt;&lt;C&gt;0&lt;/C&gt;&lt;/FQL&gt;&lt;FQL&gt;&lt;Q&gt;CRWV^FE_ESTIMATE(EPS,MEAN,QUARTERLY_ROLL,2023/4F,45689,,,'')&lt;/Q&gt;&lt;R&gt;0&lt;/R&gt;&lt;C&gt;0&lt;/C&gt;&lt;/FQL&gt;&lt;FQL&gt;&lt;Q&gt;CRWV^FE_ESTIMATE(EPS,MEAN,ANNUAL_ROLL,2022,45689,,,'')&lt;/Q&gt;&lt;R&gt;0&lt;/R&gt;&lt;C&gt;0&lt;/C&gt;&lt;/FQL&gt;&lt;FQL&gt;&lt;Q&gt;CRWV^FE_ESTIMATE(EAG,MEAN,QUARTERLY_ROLL,2029/2F,45689,,,'')&lt;/Q&gt;&lt;R&gt;0&lt;/R&gt;&lt;C&gt;0&lt;/C&gt;&lt;/FQL&gt;&lt;FQL&gt;&lt;Q&gt;CRWV^FE_ESTIMATE(EAG,MEAN,QUARTERLY_ROLL,2028/3F,45689,,,'')&lt;/Q&gt;&lt;R&gt;0&lt;/R&gt;&lt;C&gt;0&lt;/C&gt;&lt;/FQL&gt;&lt;FQL&gt;&lt;Q&gt;CRWV^FE_ESTIMATE(EAG,MEAN,QUARTERLY_ROLL,2027/3F,45689,,,'')&lt;/Q&gt;&lt;R&gt;0&lt;/R&gt;&lt;C&gt;0&lt;/C&gt;&lt;/FQL&gt;&lt;FQL&gt;&lt;Q&gt;CRWV^FE_ESTIMATE(EAG,MEAN,QUARTERLY_ROLL,2026/4F,45689,,,'')&lt;/Q&gt;&lt;R&gt;0&lt;/R&gt;&lt;C&gt;0&lt;/C&gt;&lt;/FQL&gt;&lt;FQL&gt;&lt;Q&gt;CRWV^FE_ESTIMATE(EAG,MEAN,QUARTERLY_ROLL,2025/4F,45689,,,'')&lt;/Q&gt;&lt;R&gt;0&lt;/R&gt;&lt;C&gt;0&lt;/C&gt;&lt;/FQL&gt;&lt;FQL&gt;&lt;Q&gt;CRWV^FE_ESTIMATE(EAG,MEAN,ANNUAL_ROLL,2024,45689,,,'')&lt;/Q&gt;&lt;R&gt;0&lt;/R&gt;&lt;C&gt;0&lt;/C&gt;&lt;/FQL&gt;&lt;FQL&gt;&lt;Q&gt;CRWV^FE_ESTIMATE(EAG,MEAN,ANNUAL_ROLL,2023,45689,,,'')&lt;/Q&gt;&lt;R&gt;0&lt;/R&gt;&lt;C&gt;0&lt;/C&gt;&lt;/FQL&gt;&lt;FQL&gt;&lt;Q&gt;CRWV^FE_ESTIMATE(EAG,MEAN,QUARTERLY_ROLL,2023/1F,45689,,,'')&lt;/Q&gt;&lt;R&gt;0&lt;/R&gt;&lt;C&gt;0&lt;/C&gt;&lt;/FQL&gt;&lt;FQL&gt;&lt;Q&gt;CRWV^FE_ESTIMATE(EAG,MEAN,QUARTERLY_ROLL,2022/1F,45689,,,'')&lt;/Q&gt;&lt;R&gt;0&lt;/R&gt;&lt;C&gt;0&lt;/C&gt;&lt;/FQL&gt;&lt;FQL&gt;&lt;Q&gt;CRWV^FE_ESTIMATE(EBIT,MEAN,QUARTERLY_ROLL,2029/3F,45689,,,'')&lt;/Q&gt;&lt;R&gt;0&lt;/R&gt;&lt;C&gt;0&lt;/C&gt;&lt;/FQL&gt;&lt;FQL&gt;&lt;Q&gt;CRWV^FE_ESTIMATE(EBIT,MEAN,QUARTERLY_ROLL,2028/4F,45689,,,'')&lt;/Q&gt;&lt;R&gt;0&lt;/R&gt;&lt;C&gt;0&lt;/C&gt;&lt;/FQL&gt;&lt;FQL&gt;&lt;Q&gt;CRWV^FE_ESTIMATE(EBIT,MEAN,QUARTERLY_ROLL,2027/4F,45689,,,'')&lt;/Q&gt;&lt;R&gt;0&lt;/R&gt;&lt;C&gt;0&lt;/C&gt;&lt;/FQL&gt;&lt;FQL&gt;&lt;Q&gt;CRWV^FE_ESTIMATE(EBIT,MEAN,QUARTERLY_ROLL,2026/2F,45689,,,'')&lt;/Q&gt;&lt;R&gt;0&lt;/R&gt;&lt;C&gt;0&lt;/C&gt;&lt;/FQL&gt;&lt;FQL&gt;&lt;Q&gt;CRWV^FE_ESTIMATE(EBIT,MEAN,QUARTERLY_ROLL,2025/3F,45689,,,'')&lt;/Q&gt;&lt;R&gt;0&lt;/R&gt;&lt;C&gt;0&lt;/C&gt;&lt;/FQL&gt;&lt;FQL&gt;&lt;Q&gt;CRWV^FE_ESTIMATE(EBIT,MEAN,QUARTERLY_ROLL,2024/1F,45689,,,'')&lt;/Q&gt;&lt;R&gt;0&lt;/R&gt;&lt;C&gt;0&lt;/C&gt;&lt;/FQL&gt;&lt;FQL&gt;&lt;Q&gt;CRWV^FE_ESTIMATE(EBIT,MEAN,QUARTERLY_ROLL,2022/4F,45689,,,'')&lt;/Q&gt;&lt;R&gt;0&lt;/R&gt;&lt;C&gt;0&lt;/C&gt;&lt;/FQL&gt;&lt;FQL&gt;&lt;Q&gt;CRWV^FE_ESTIMATE(GROSSINCOME,MEAN,QUARTERLY_ROLL,2029/2F,45689,,,'')&lt;/Q&gt;&lt;R&gt;0&lt;/R&gt;&lt;C&gt;0&lt;/C&gt;&lt;/FQL&gt;&lt;FQL&gt;&lt;Q&gt;CRWV^FE_ESTIMATE(GROSSINCOME,MEAN,ANNUAL_ROLL,2027,45689,,,'')&lt;/Q&gt;&lt;R&gt;0&lt;/R&gt;&lt;C&gt;0&lt;/C&gt;&lt;/FQL&gt;&lt;FQL&gt;&lt;Q&gt;CRWV^FE_ESTIMATE(GROSSINCOME,MEAN,QUARTERLY_ROLL,2026/3F,45689,,,'')&lt;/Q&gt;&lt;R&gt;0&lt;/R&gt;&lt;C&gt;0&lt;/C&gt;&lt;/FQL&gt;&lt;FQL&gt;&lt;Q&gt;CRWV^FE_ESTIMATE(GROSSINCOME,MEAN,QUARTERLY_ROLL,2025/4F,45689,,,'')&lt;/Q&gt;&lt;R&gt;0&lt;/R&gt;&lt;C&gt;0&lt;/C&gt;&lt;/FQL&gt;&lt;FQL&gt;&lt;Q&gt;CRWV^FE_ESTIMATE(GROSSINCOME,MEAN,QUARTERLY_ROLL,2024/2F,45689,,,'')&lt;/Q&gt;&lt;R&gt;0&lt;/R&gt;&lt;C&gt;0&lt;/C&gt;&lt;/FQL&gt;&lt;FQL&gt;&lt;Q&gt;CRWV^FE_ESTIMATE(GROSSINCOME,MEAN,ANNUAL_ROLL,2022,45689,,,'')&lt;/Q&gt;&lt;R&gt;0&lt;/R&gt;&lt;C&gt;0&lt;/C&gt;&lt;/FQL&gt;&lt;FQL&gt;&lt;Q&gt;CRWV^FE_ESTIMATE(GROSSINCOME,MEAN,QUARTERLY_ROLL,2022/1F,45689,,,'')&lt;/Q&gt;&lt;R&gt;0&lt;/R&gt;&lt;C&gt;0&lt;/C&gt;&lt;/FQL&gt;&lt;FQL&gt;&lt;Q&gt;CRWV^FE_ESTIMATE(SALES,MEAN,QUARTERLY_ROLL,2029/3F,45689,,,'')&lt;/Q&gt;&lt;R&gt;0&lt;/R&gt;&lt;C&gt;0&lt;/C&gt;&lt;/FQL&gt;&lt;FQL&gt;&lt;Q&gt;CRWV^FE_ESTIMATE(SALES,MEAN,QUARTERLY_ROLL,2028/1F,45689,,,'')&lt;/Q&gt;&lt;R&gt;0&lt;/R&gt;&lt;C&gt;0&lt;/C&gt;&lt;/FQL&gt;&lt;FQL&gt;&lt;Q&gt;CRWV^FE_ESTIMATE(SALES,MEAN,QUARTERLY_ROLL,2026/4F,45689,,,'')&lt;/Q&gt;&lt;R&gt;0&lt;/R&gt;&lt;C&gt;0&lt;/C&gt;&lt;/FQL&gt;&lt;FQL&gt;&lt;Q&gt;CRWV^FE_ESTIMATE(SALES,MEAN,ANNUAL_ROLL,2025,45689,,,'')&lt;/Q&gt;&lt;R&gt;0&lt;/R&gt;&lt;C&gt;0&lt;/C&gt;&lt;/FQL&gt;&lt;FQL&gt;&lt;Q&gt;CRWV^FE_ESTIMATE(SALES,MEAN,QUARTERLY_ROLL,2024/3F,45689,,,'')&lt;/Q&gt;&lt;R&gt;0&lt;/R&gt;&lt;C&gt;0&lt;/C&gt;&lt;/FQL&gt;&lt;FQL&gt;&lt;Q&gt;CRWV^FE_ESTIMATE(SALES,MEAN,QUARTERLY_ROLL,2023/1F,45689,,,'')&lt;/Q&gt;&lt;R&gt;0&lt;/R&gt;&lt;C&gt;0&lt;/C&gt;&lt;/FQL&gt;&lt;FQL&gt;&lt;Q&gt;CRWV^FE_ESTIMATE(SALES,MEAN,QUARTERLY_ROLL,2022/2F,45689,,,'')&lt;/Q&gt;&lt;R&gt;0&lt;/R&gt;&lt;C&gt;0&lt;/C&gt;&lt;/FQL&gt;&lt;FQL&gt;&lt;Q&gt;CRWV^FE_ESTIMATE(SALES,MEAN,QUARTERLY_ROLL,2026/3F,45689,,,'')&lt;/Q&gt;&lt;R&gt;0&lt;/R&gt;&lt;C&gt;0&lt;/C&gt;&lt;/FQL&gt;&lt;FQL&gt;&lt;Q&gt;CRWV^FE_ESTIMATE(SALES,MEAN,QUARTERLY_ROLL,2025/1F,45689,,,'')&lt;/Q&gt;&lt;R&gt;0&lt;/R&gt;&lt;C&gt;0&lt;/C&gt;&lt;/FQL&gt;&lt;FQL&gt;&lt;Q&gt;CRWV^FE_ESTIMATE(SALES,MEAN,QUARTERLY_ROLL,2023/4F,45689,,,'')&lt;/Q&gt;&lt;R&gt;0&lt;/R&gt;&lt;C&gt;0&lt;/C&gt;&lt;/FQL&gt;&lt;FQL&gt;&lt;Q&gt;CRWV^FE_ESTIMATE(SALES,MEAN,ANNUAL_ROLL,2022,45689,,,'')&lt;/Q&gt;&lt;R&gt;0&lt;/R&gt;&lt;C&gt;0&lt;/C&gt;&lt;/FQL&gt;&lt;FQL&gt;&lt;Q&gt;CRWV^FE_ESTIMATE(SALES,MEAN,QUARTERLY_ROLL,2027/1F,45689,,,'')&lt;/Q&gt;&lt;R&gt;0&lt;/R&gt;&lt;C&gt;0&lt;/C&gt;&lt;/FQL&gt;&lt;FQL&gt;&lt;Q&gt;CRWV^FE_ESTIMATE(SALES,MEAN,QUARTERLY_ROLL,2024/2F,45689,,,'')&lt;/Q&gt;&lt;R&gt;0&lt;/R&gt;&lt;C&gt;0&lt;/C&gt;&lt;/FQL&gt;&lt;FQL&gt;&lt;Q&gt;CRWV^FE_ESTIMATE(GROSSINCOME,MEAN,QUARTERLY_ROLL,2027/3F,45689,,,'')&lt;/Q&gt;&lt;R&gt;0&lt;/R&gt;&lt;C&gt;0&lt;/C&gt;&lt;/FQL&gt;&lt;FQL&gt;&lt;Q&gt;CRWV^FE_ESTIMATE(GROSSINCOME,MEAN,ANNUAL_ROLL,2023,45689,,,'')&lt;/Q&gt;&lt;R&gt;0&lt;/R&gt;&lt;C&gt;0&lt;/C&gt;&lt;/FQL&gt;&lt;FQL&gt;&lt;Q&gt;CRWV^FE_ESTIMATE(SALES,MEAN,QUARTERLY_ROLL,2028/3F,45689,,,'')&lt;/Q&gt;&lt;R&gt;0&lt;/R&gt;&lt;C&gt;0&lt;/C&gt;&lt;/FQL&gt;&lt;FQL&gt;&lt;Q&gt;CRWV^FE_ESTIMATE(SALES,MEAN,QUARTERLY_ROLL,2026/2F,45689,,,'')&lt;/Q&gt;&lt;R&gt;0&lt;/R&gt;&lt;C&gt;0&lt;/C&gt;&lt;/FQL&gt;&lt;FQL&gt;&lt;Q&gt;CRWV^FE_ESTIMATE(SALES,MEAN,QUARTERLY_ROLL,2022/4F,45689,,,'')&lt;/Q&gt;&lt;R&gt;0&lt;/R&gt;&lt;C&gt;0&lt;/C&gt;&lt;/FQL&gt;&lt;FQL&gt;&lt;Q&gt;CRWV^FE_ESTIMATE(SALES,MEAN,QUARTERLY_ROLL,2023/2F,45689,,,'')&lt;/Q&gt;&lt;R&gt;0&lt;/R&gt;&lt;C&gt;0&lt;/C&gt;&lt;/FQL&gt;&lt;FQL&gt;&lt;Q&gt;CRWV^FE_ESTIMATE(SALES,MEAN,QUARTERLY_ROLL,2025/2F,45689,,,'')&lt;/Q&gt;&lt;R&gt;0&lt;/R&gt;&lt;C&gt;0&lt;/C&gt;&lt;/FQL&gt;&lt;FQL&gt;&lt;Q&gt;CRWV^FE_ESTIMATE(CAPEX,MEAN,QUARTERLY_ROLL,2025/1F,45689,,,'')&lt;/Q&gt;&lt;R&gt;0&lt;/R&gt;&lt;C&gt;0&lt;/C&gt;&lt;/FQL&gt;&lt;FQL&gt;&lt;Q&gt;CRWV^FE_ESTIMATE(EPS,MEAN,QUARTERLY_ROLL,2028/2F,45689,,,'')&lt;/Q&gt;&lt;R&gt;0&lt;/R&gt;&lt;C&gt;0&lt;/C&gt;&lt;/FQL&gt;&lt;FQL&gt;&lt;Q&gt;CRWV^FE_ESTIMATE(EPS,MEAN,QUARTERLY_ROLL,2027/1F,45689,,,'')&lt;/Q&gt;&lt;R&gt;0&lt;/R&gt;&lt;C&gt;0&lt;/C&gt;&lt;/FQL&gt;&lt;FQL&gt;&lt;Q&gt;CRWV^FE_ESTIMATE(EPS,MEAN,ANNUAL_ROLL,2025,45689,,,'')&lt;/Q&gt;&lt;R&gt;0&lt;/R&gt;&lt;C&gt;0&lt;/C&gt;&lt;/FQL&gt;&lt;FQL&gt;&lt;Q&gt;CRWV^FE_ESTIMATE(EPS,MEAN,QUARTERLY_ROLL,2024/4F,45689,,,'')&lt;/Q&gt;&lt;R&gt;0&lt;/R&gt;&lt;C&gt;0&lt;/C&gt;&lt;/FQL&gt;&lt;FQL&gt;&lt;Q&gt;CRWV^FE_ESTIMATE(EPS,MEAN,QUARTERLY_ROLL,2022/4F,45689,,,'')&lt;/Q&gt;&lt;R&gt;0&lt;/R&gt;&lt;C&gt;0&lt;/C&gt;&lt;/FQL&gt;&lt;FQL&gt;&lt;Q&gt;CRWV^FE_ESTIMATE(EAG,MEAN,QUARTERLY_ROLL,2028/2F,45689,,,'')&lt;/Q&gt;&lt;R&gt;0&lt;/R&gt;&lt;C&gt;0&lt;/C&gt;&lt;/FQL&gt;&lt;FQL&gt;&lt;Q&gt;CRWV^FE_ESTIMATE(EAG,MEAN,QUARTERLY_ROLL,2026/3F,45689,,,'')&lt;/Q&gt;&lt;R&gt;0&lt;/R&gt;&lt;C&gt;0&lt;/C&gt;&lt;/FQL&gt;&lt;FQL&gt;&lt;Q&gt;CRWV^FE_ESTIMATE(EAG,MEAN,QUARTERLY_ROLL,2024/4F,45689,,,'')&lt;/Q&gt;&lt;R&gt;0&lt;/R&gt;&lt;C&gt;0&lt;/C&gt;&lt;/FQL&gt;&lt;FQL&gt;&lt;Q&gt;CRWV^FE_ESTIMATE(EAG,MEAN,ANNUAL_ROLL,2022,45689,,,'')&lt;/Q&gt;&lt;R&gt;0&lt;/R&gt;&lt;C&gt;0&lt;/C&gt;&lt;/FQL&gt;&lt;FQL&gt;&lt;Q&gt;CRWV^FE_ESTIMATE(EBIT,MEAN,QUARTERLY_ROLL,2028/3F,45689,,,'')&lt;/Q&gt;&lt;R&gt;0&lt;/R&gt;&lt;C&gt;0&lt;/C&gt;&lt;/FQL&gt;&lt;FQL&gt;&lt;Q&gt;CRWV^FE_ESTIMATE(EBIT,MEAN,ANNUAL_ROLL,2026,45689,,,'')&lt;/Q&gt;&lt;R&gt;0&lt;/R&gt;&lt;C&gt;0&lt;/C&gt;&lt;/FQL&gt;&lt;FQL&gt;&lt;Q&gt;CRWV^FE_ESTIMATE(EBIT,MEAN,QUARTERLY_ROLL,2026/1F,45689,,,'')&lt;/Q&gt;&lt;R&gt;0&lt;/R&gt;&lt;C&gt;0&lt;/C&gt;&lt;/FQL&gt;&lt;FQL&gt;&lt;Q&gt;CRWV^FE_ESTIMATE(EBIT,MEAN,QUARTERLY_ROLL,2024/4F,45689,,,'')&lt;/Q&gt;&lt;R&gt;0&lt;/R&gt;&lt;C&gt;0&lt;/C&gt;&lt;/FQL&gt;&lt;FQL&gt;&lt;Q&gt;CRWV^FE_ESTIMATE(EBIT,MEAN,QUARTERLY_ROLL,2023/2F,45689,,,'')&lt;/Q&gt;&lt;R&gt;0&lt;/R&gt;&lt;C&gt;0&lt;/C&gt;&lt;/FQL&gt;&lt;FQL&gt;&lt;Q&gt;CRWV^FE_ESTIMATE(EBIT,MEAN,QUARTERLY_ROLL,2022/3F,45689,,,'')&lt;/Q&gt;&lt;R&gt;0&lt;/R&gt;&lt;C&gt;0&lt;/C&gt;&lt;/FQL&gt;&lt;FQL&gt;&lt;Q&gt;CRWV^FE_ESTIMATE(GROSSINCOME,MEAN,ANNUAL_ROLL,2029,45689,,,'')&lt;/Q&gt;&lt;R&gt;0&lt;/R&gt;&lt;C&gt;0&lt;/C&gt;&lt;/FQL&gt;&lt;FQL&gt;&lt;Q&gt;CRWV^FE_ESTIMATE(GROSSINCOME,MEAN,QUARTERLY_ROLL,2028/3F,45689,,,'')&lt;/Q&gt;&lt;R&gt;0&lt;/R&gt;&lt;C&gt;0&lt;/C&gt;&lt;/FQL&gt;&lt;FQL&gt;&lt;Q&gt;CRWV^FE_ESTIMATE(GROSSINCOME,MEAN,QUARTERLY_ROLL,2027/1F,45689,,,'')&lt;/Q&gt;&lt;R&gt;0&lt;/R&gt;&lt;C&gt;0&lt;/C&gt;&lt;/FQL&gt;&lt;FQL&gt;&lt;Q&gt;CRWV^FE_ESTIMATE(GROSSINCOME,MEAN,QUARTERLY_ROLL,2026/2F,45689,,,'')&lt;/Q&gt;&lt;R&gt;0&lt;/R&gt;&lt;C&gt;0&lt;/C&gt;&lt;/FQL&gt;&lt;FQL&gt;&lt;Q&gt;CRWV^FE_ESTIMATE(GROSSINCOME,MEAN,ANNUAL_ROLL,2024,45689,,,'')&lt;/Q&gt;&lt;R&gt;0&lt;/R&gt;&lt;C&gt;0&lt;/C&gt;&lt;/FQL&gt;&lt;FQL&gt;&lt;Q&gt;CRWV^FE_ESTIMATE(GROSSINCOME,MEAN,QUARTERLY_ROLL,2023/3F,45689,,,'')&lt;/Q&gt;&lt;R&gt;0&lt;/R&gt;&lt;C&gt;0&lt;/C&gt;&lt;/FQL&gt;&lt;FQL&gt;&lt;Q&gt;CRWV^FE_ESTIMATE(GROSSINCOME,MEAN,QUARTERLY_ROLL,2022/4F,45689,,,'')&lt;/Q&gt;&lt;R&gt;0&lt;/R&gt;&lt;C&gt;0&lt;/C&gt;&lt;/FQL&gt;&lt;FQL&gt;&lt;Q&gt;CRWV^FE_ESTIMATE(SALES,MEAN,QUARTERLY_ROLL,2028/4F,45689,,,'')&lt;/Q&gt;&lt;R&gt;0&lt;/R&gt;&lt;C&gt;0&lt;/C&gt;&lt;/FQL&gt;&lt;FQL&gt;&lt;Q&gt;CRWV^FE_ESTIMATE(SALES,MEAN,QUARTERLY_ROLL,2027/2F,45689,,,'')&lt;/Q&gt;&lt;R&gt;0&lt;/R&gt;&lt;C&gt;0&lt;/C&gt;&lt;/FQL&gt;&lt;FQL&gt;&lt;Q&gt;CRWV^FE_ESTIMATE(SALES,MEAN,QUARTERLY_ROLL,2023/3F,45689,,,'')&lt;/Q&gt;&lt;R&gt;0&lt;/R&gt;&lt;C&gt;0&lt;/C&gt;&lt;/FQL&gt;&lt;FQL&gt;&lt;Q&gt;CRWV^FE_ESTIMATE(GROSSINCOME,MEAN,QUARTERLY_ROLL,2029/4F,45689,,,'')&lt;/Q&gt;&lt;R&gt;0&lt;/R&gt;&lt;C&gt;0&lt;/C&gt;&lt;/FQL&gt;&lt;FQL&gt;&lt;Q&gt;CRWV^FE_ESTIMATE(GROSSINCOME,MEAN,QUARTERLY_ROLL,2024/4F,45689,,,'')&lt;/Q&gt;&lt;R&gt;0&lt;/R&gt;&lt;C&gt;0&lt;/C&gt;&lt;/FQL&gt;&lt;FQL&gt;&lt;Q&gt;CRWV^FE_ESTIMATE(SALES,MEAN,QUARTERLY_ROLL,2027/4F,45689,,,'')&lt;/Q&gt;&lt;R&gt;0&lt;/R&gt;&lt;C&gt;0&lt;/C&gt;&lt;/FQL&gt;&lt;FQL&gt;&lt;Q&gt;CRWV^FE_ESTIMATE(SALES,MEAN,ANNUAL_ROLL,2024,45689,,,'')&lt;/Q&gt;&lt;R&gt;0&lt;/R&gt;&lt;C&gt;0&lt;/C&gt;&lt;/FQL&gt;&lt;FQL&gt;&lt;Q&gt;CRWV^FE_ESTIMATE(CAPEX,MEAN,QUARTERLY_ROLL,2024/2F,45689,,,'')&lt;/Q&gt;&lt;R&gt;0&lt;/R&gt;&lt;C&gt;0&lt;/C&gt;&lt;/FQL&gt;&lt;FQL&gt;&lt;Q&gt;CRWV^FE_ESTIMATE(CFO,MEAN,QUARTERLY_ROLL,2023/3F,45689,,,'')&lt;/Q&gt;&lt;R&gt;0&lt;/R&gt;&lt;C&gt;0&lt;/C&gt;&lt;/FQL&gt;&lt;FQL&gt;&lt;Q&gt;CRWV^FE_ESTIMATE(EPS,MEAN,QUARTERLY_ROLL,2029/1F,45689,,,'')&lt;/Q&gt;&lt;R&gt;0&lt;/R&gt;&lt;C&gt;0&lt;/C&gt;&lt;/FQL&gt;&lt;FQL&gt;&lt;Q&gt;CRWV^FE_ESTIMATE(EPS,MEAN,ANNUAL_ROLL,2027,45689,,,'')&lt;/Q&gt;&lt;R&gt;0&lt;/R&gt;&lt;C&gt;0&lt;/C&gt;&lt;/FQL&gt;&lt;FQL&gt;&lt;Q&gt;CRWV^FE_ESTIMATE(EPS,MEAN,QUARTERLY_ROLL,2026/4F,45689,,,'')&lt;/Q&gt;&lt;R&gt;0&lt;/R&gt;&lt;C&gt;0&lt;/C&gt;&lt;/FQL&gt;&lt;FQL&gt;&lt;Q&gt;CRWV^FE_ESTIMATE(EPS,MEAN,QUARTERLY_ROLL,2025/3F,45689,,,'')&lt;/Q&gt;&lt;R&gt;0&lt;/R&gt;&lt;C&gt;0&lt;/C&gt;&lt;/FQL&gt;&lt;FQL&gt;&lt;Q&gt;CRWV^FE_ESTIMATE(EPS,MEAN,QUARTERLY_ROLL,2024/2F,45689,,,'')&lt;/Q&gt;&lt;R&gt;0&lt;/R&gt;&lt;C&gt;0&lt;/C&gt;&lt;/FQL&gt;&lt;FQL&gt;&lt;Q&gt;CRWV^FE_ESTIMATE(EPS,MEAN,QUARTERLY_ROLL,2023/3F,45689,,,'')&lt;/Q&gt;&lt;R&gt;0&lt;/R&gt;&lt;C&gt;0&lt;/C&gt;&lt;/FQL&gt;&lt;FQL&gt;&lt;Q&gt;CRWV^FE_ESTIMATE(EPS,MEAN,QUARTERLY_ROLL,2022/3F,45689,,,'')&lt;/Q&gt;&lt;R&gt;0&lt;/R&gt;&lt;C&gt;0&lt;/C&gt;&lt;/FQL&gt;&lt;FQL&gt;&lt;Q&gt;CRWV^FE_ESTIMATE(EAG,MEAN,ANNUAL_ROLL,2029,45689,,,'')&lt;/Q&gt;&lt;R&gt;0&lt;/R&gt;&lt;C&gt;0&lt;/C&gt;&lt;/FQL&gt;&lt;FQL&gt;&lt;Q&gt;CRWV^FE_ESTIMATE(EAG,MEAN,QUARTERLY_ROLL,2029/1F,45689,,,'')&lt;/Q&gt;&lt;R&gt;0&lt;/R&gt;&lt;C&gt;0&lt;/C&gt;&lt;/FQL&gt;&lt;FQL&gt;&lt;Q&gt;CRWV^FE_ESTIMATE(EAG,MEAN,QUARTERLY_ROLL,2028/1F,45689,,,'')&lt;/Q&gt;&lt;R&gt;0&lt;/R&gt;&lt;C&gt;0&lt;/C&gt;&lt;/FQL&gt;&lt;FQL&gt;&lt;Q&gt;CRWV^FE_ESTIMATE(EAG,MEAN,QUARTERLY_ROLL,2027/2F,45689,,,'')&lt;/Q&gt;&lt;R&gt;0&lt;/R&gt;&lt;C&gt;0&lt;/C&gt;&lt;/FQL&gt;&lt;FQL&gt;&lt;Q&gt;CRWV^FE_ESTIMATE(EAG,MEAN,QUARTERLY_ROLL,2026/2F,45689,,,'')&lt;/Q&gt;&lt;R&gt;0&lt;/R&gt;&lt;C&gt;0&lt;/C&gt;&lt;/FQL&gt;&lt;FQL&gt;&lt;Q&gt;CRWV^FE_ESTIMATE(EAG,MEAN,QUARTERLY_ROLL,2025/3F,45689,,,'')&lt;/Q&gt;&lt;R&gt;0&lt;/R&gt;&lt;C&gt;0&lt;/C&gt;&lt;/FQL&gt;&lt;FQL&gt;&lt;Q&gt;CRWV^FE_ESTIMATE(EAG,MEAN,QUARTERLY_ROLL,2024/3F,45689,,,'')&lt;/Q&gt;&lt;R&gt;0&lt;/R&gt;&lt;C&gt;0&lt;/C&gt;&lt;/FQL&gt;&lt;FQL&gt;&lt;Q&gt;CRWV^FE_ESTIMATE(EAG,MEAN,QUARTERLY_ROLL,2023/4F,45689,,,'')&lt;/Q&gt;&lt;R&gt;0&lt;/R&gt;&lt;C&gt;0&lt;/C&gt;&lt;/FQL&gt;&lt;FQL&gt;&lt;Q&gt;CRWV^FE_ESTIMATE(EAG,MEAN,QUARTERLY_ROLL,2022/4F,45689,,,'')&lt;/Q&gt;&lt;R&gt;0&lt;/R&gt;&lt;C&gt;0&lt;/C&gt;&lt;/FQL&gt;&lt;FQL&gt;&lt;Q&gt;CRWV^FE_ESTIMATE(EBIT,MEAN,QUARTERLY_ROLL,2029/2F,45689,,,'')&lt;/Q&gt;&lt;R&gt;0&lt;/R&gt;&lt;C&gt;0&lt;/C&gt;&lt;/FQL&gt;&lt;FQL&gt;&lt;Q&gt;CRWV^FE_ESTIMATE(EBIT,MEAN,QUARTERLY_ROLL,2028/2F,45689,,,'')&lt;/Q&gt;&lt;R&gt;0&lt;/R&gt;&lt;C&gt;0&lt;/C&gt;&lt;/FQL&gt;&lt;FQL&gt;&lt;Q&gt;CRWV^FE_ESTIMATE(EBIT,MEAN,QUARTERLY_ROLL,2027/3F,45689,,,'')&lt;/Q&gt;&lt;R&gt;0&lt;/R&gt;&lt;C&gt;0&lt;/C&gt;&lt;/FQL&gt;&lt;FQL&gt;&lt;Q&gt;CRWV^FE_ESTIMATE(EBIT,MEAN,QUARTERLY_ROLL,2026/4F,45689,,,'')&lt;/Q&gt;&lt;R&gt;0&lt;/R&gt;&lt;C&gt;0&lt;/C&gt;&lt;/FQL&gt;&lt;FQL&gt;&lt;Q&gt;CRWV^FE_ESTIMATE(EBIT,MEAN,QUARTERLY_ROLL,2025/2F,45689,,,'')&lt;/Q&gt;&lt;R&gt;0&lt;/R&gt;&lt;C&gt;0&lt;/C&gt;&lt;/FQL&gt;&lt;FQL&gt;&lt;Q&gt;CRWV^FE_ESTIMATE(EBIT,MEAN,ANNUAL_ROLL,2023,45689,,,'')&lt;/Q&gt;&lt;R&gt;0&lt;/R&gt;&lt;C&gt;0&lt;/C&gt;&lt;/FQL&gt;&lt;FQL&gt;&lt;Q&gt;CRWV^FE_ESTIMATE(EBIT,MEAN,QUARTERLY_ROLL,2023/1F,45689,,,'')&lt;/Q&gt;&lt;R&gt;0&lt;/R&gt;&lt;C&gt;0&lt;/C&gt;&lt;/FQL&gt;&lt;FQL&gt;&lt;Q&gt;CRWV^FE_ESTIMATE(GROSSINCOME,MEAN,QUARTERLY_ROLL,2029/1F,45689,,,'')&lt;/Q&gt;&lt;R&gt;0&lt;/R&gt;&lt;C&gt;0&lt;/C&gt;&lt;/FQL&gt;&lt;FQL&gt;&lt;Q&gt;CRWV^FE_ESTIMATE(GROSSINCOME,MEAN,QUARTERLY_ROLL,2027/4F,45689,,,'')&lt;/Q&gt;&lt;R&gt;0&lt;/R&gt;&lt;C&gt;0&lt;/C&gt;&lt;/FQL&gt;&lt;FQL&gt;&lt;Q&gt;CRWV^FE_ESTIMATE(GROSSINCOME,MEAN,ANNUAL_ROLL,2026,45689,,,'')&lt;/Q&gt;&lt;R&gt;0&lt;/R&gt;&lt;C&gt;0&lt;/C&gt;&lt;/FQL&gt;&lt;FQL&gt;&lt;Q&gt;CRWV^FE_ESTIMATE(GROSSINCOME,MEAN,QUARTERLY_ROLL,2025/3F,45689,,,'')&lt;/Q&gt;&lt;R&gt;0&lt;/R&gt;&lt;C&gt;0&lt;/C&gt;&lt;/FQL&gt;&lt;FQL&gt;&lt;Q&gt;CRWV^FE_ESTIMATE(GROSSINCOME,MEAN,QUARTERLY_ROLL,2024/1F,45689,,,'')&lt;/Q&gt;&lt;R&gt;0&lt;/R&gt;&lt;C&gt;0&lt;/C&gt;&lt;/FQL&gt;&lt;FQL&gt;&lt;Q&gt;CRWV^FE_ESTIMATE(GROSSINCOME,MEAN,QUARTERLY_ROLL,2023/2F,45689,,,'')&lt;/Q&gt;&lt;R&gt;0&lt;/R&gt;&lt;C&gt;0&lt;/C&gt;&lt;/FQL&gt;&lt;FQL&gt;&lt;Q&gt;CRWV^FE_ESTIMATE(SALES,MEAN,QUARTERLY_ROLL,2029/2F,45689,,,'')&lt;/Q&gt;&lt;R&gt;0&lt;/R&gt;&lt;C&gt;0&lt;/C&gt;&lt;/FQL&gt;&lt;FQL&gt;&lt;Q&gt;CRWV^FE_ESTIMATE(SALES,MEAN,ANNUAL_ROLL,2027,45689,,,'')&lt;/Q&gt;&lt;R&gt;0&lt;/R&gt;&lt;C&gt;0&lt;/C&gt;&lt;/FQL&gt;&lt;FQL&gt;&lt;Q&gt;CRWV^FE_ESTIMATE(SALES,MEAN,QUARTERLY_ROLL,2025/4F,45689,,,'')&lt;/Q&gt;&lt;R&gt;0&lt;/R&gt;&lt;C&gt;0&lt;/C&gt;&lt;/FQL&gt;&lt;FQL&gt;&lt;Q&gt;CRWV^FE_ESTIMATE(SALES,MEAN,QUARTERLY_ROLL,2022/1F,45689,,,'')&lt;/Q&gt;&lt;R&gt;0&lt;/R&gt;&lt;C&gt;0&lt;/C&gt;&lt;/FQL&gt;&lt;FQL&gt;&lt;Q&gt;CRWV^FE_ESTIMATE(GROSSINCOME,MEAN,QUARTERLY_ROLL,2028/2F,45689,,,'')&lt;/Q&gt;&lt;R&gt;0&lt;/R&gt;&lt;C&gt;0&lt;/C&gt;&lt;/FQL&gt;&lt;FQL&gt;&lt;Q&gt;CRWV^FE_ESTIMATE(GROSSINCOME,MEAN,QUARTERLY_ROLL,2026/1F,45689,,,'')&lt;/Q&gt;&lt;R&gt;0&lt;/R&gt;&lt;C&gt;0&lt;/C&gt;&lt;/FQL&gt;&lt;FQL&gt;&lt;Q&gt;CRWV^FE_ESTIMATE(GROSSINCOME,MEAN,QUARTERLY_ROLL,2022/3F,45689,,,'')&lt;/Q&gt;&lt;R&gt;0&lt;/R&gt;&lt;C&gt;0&lt;/C&gt;&lt;/FQL&gt;&lt;FQL&gt;&lt;Q&gt;CRWV^FE_ESTIMATE(SALES,MEAN,ANNUAL_ROLL,2029,45689,,,'')&lt;/Q&gt;&lt;R&gt;0&lt;/R&gt;&lt;C&gt;0&lt;/C&gt;&lt;/FQL&gt;&lt;FQL&gt;&lt;Q&gt;CRWV^FE_ESTIMATE(SALES,MEAN,QUARTERLY_ROLL,2024/1F,45689,,,'')&lt;/Q&gt;&lt;R&gt;0&lt;/R&gt;&lt;C&gt;0&lt;/C&gt;&lt;/FQL&gt;&lt;FQL&gt;&lt;Q&gt;CRWV^FE_ESTIMATE(SALES,MEAN,QUARTERLY_ROLL,2022/3F,45689,,,'')&lt;/Q&gt;&lt;R&gt;0&lt;/R&gt;&lt;C&gt;0&lt;/C&gt;&lt;/FQL&gt;&lt;FQL&gt;&lt;Q&gt;CRWV^FE_ESTIMATE(EPS,MEAN,QUARTERLY_ROLL,2023/2F,45689,,,'')&lt;/Q&gt;&lt;R&gt;0&lt;/R&gt;&lt;C&gt;0&lt;/C&gt;&lt;/FQL&gt;&lt;FQL&gt;&lt;Q&gt;CRWV^FE_ESTIMATE(EAG,MEAN,ANNUAL_ROLL,2028,45689,,,'')&lt;/Q&gt;&lt;R&gt;0&lt;/R&gt;&lt;C&gt;0&lt;/C&gt;&lt;/FQL&gt;&lt;FQL&gt;&lt;Q&gt;CRWV^FE_ESTIMATE(EAG,MEAN,QUARTERLY_ROLL,2027/1F,45689,,,'')&lt;/Q&gt;&lt;R&gt;0&lt;/R&gt;&lt;C&gt;0&lt;/C&gt;&lt;/FQL&gt;&lt;FQL&gt;&lt;Q&gt;CRWV^FE_ESTIMATE(EAG,MEAN,QUARTERLY_ROLL,2025/2F,45689,,,'')&lt;/Q&gt;&lt;R&gt;0&lt;/R&gt;&lt;C&gt;0&lt;/C&gt;&lt;/FQL&gt;&lt;FQL&gt;&lt;Q&gt;CRWV^FE_ESTIMATE(EAG,MEAN,QUARTERLY_ROLL,2023/3F,45689,,,'')&lt;/Q&gt;&lt;R&gt;0&lt;/R&gt;&lt;C&gt;0&lt;/C&gt;&lt;/FQL&gt;&lt;FQL&gt;&lt;Q&gt;CRWV^FE_ESTIMATE(EBIT,MEAN,QUARTERLY_ROLL,2029/1F,45689,,,'')&lt;/Q&gt;&lt;R&gt;0&lt;/R&gt;&lt;C&gt;0&lt;/C&gt;&lt;/FQL&gt;&lt;FQL&gt;&lt;Q&gt;CRWV^FE_ESTIMATE(EBIT,MEAN,QUARTERLY_ROLL,2027/2F,45689,,,'')&lt;/Q&gt;&lt;R&gt;0&lt;/R&gt;&lt;C&gt;0&lt;/C&gt;&lt;/FQL&gt;&lt;FQL&gt;&lt;Q&gt;CRWV^FE_ESTIMATE(EBIT,MEAN,ANNUAL_ROLL,2025,45689,,,'')&lt;/Q&gt;&lt;R&gt;0&lt;/R&gt;&lt;C&gt;0&lt;/C&gt;&lt;/FQL&gt;&lt;FQL&gt;&lt;Q&gt;CRWV^FE_ESTIMATE(EBIT,MEAN,QUARTERLY_ROLL,2024/3F,45689,,,'')&lt;/Q&gt;&lt;R&gt;0&lt;/R&gt;&lt;C&gt;0&lt;/C&gt;&lt;/FQL&gt;&lt;FQL&gt;&lt;Q&gt;CRWV^FE_ESTIMATE(EBIT,MEAN,QUARTERLY_ROLL,2023/4F,45689,,,'')&lt;/Q&gt;&lt;R&gt;0&lt;/R&gt;&lt;C&gt;0&lt;/C&gt;&lt;/FQL&gt;&lt;FQL&gt;&lt;Q&gt;CRWV^FE_ESTIMATE(EBIT,MEAN,QUARTERLY_ROLL,2022/2F,45689,,,'')&lt;/Q&gt;&lt;R&gt;0&lt;/R&gt;&lt;C&gt;0&lt;/C&gt;&lt;/FQL&gt;&lt;FQL&gt;&lt;Q&gt;CRWV^FE_ESTIMATE(SALES,MEAN,ANNUAL_ROLL,2023,45689,,,'')&lt;/Q&gt;&lt;R&gt;0&lt;/R&gt;&lt;C&gt;0&lt;/C&gt;&lt;/FQL&gt;&lt;FQL&gt;&lt;Q&gt;CRWV^FE_ESTIMATE(CAPEX,MEAN,ANNUAL_ROLL,2022,45689,,,'')&lt;/Q&gt;&lt;R&gt;0&lt;/R&gt;&lt;C&gt;0&lt;/C&gt;&lt;/FQL&gt;&lt;FQL&gt;&lt;Q&gt;CRWV^FE_ESTIMATE(CFO,MEAN,ANNUAL_ROLL,2022,45689,,,'')&lt;/Q&gt;&lt;R&gt;0&lt;/R&gt;&lt;C&gt;0&lt;/C&gt;&lt;/FQL&gt;&lt;FQL&gt;&lt;Q&gt;CRWV^FE_ESTIMATE(EPS,MEAN,ANNUAL_ROLL,2028,45689,,,'')&lt;/Q&gt;&lt;R&gt;0&lt;/R&gt;&lt;C&gt;0&lt;/C&gt;&lt;/FQL&gt;&lt;FQL&gt;&lt;Q&gt;CRWV^FE_ESTIMATE(EPS,MEAN,QUARTERLY_ROLL,2027/4F,45689,,,'')&lt;/Q&gt;&lt;R&gt;0&lt;/R&gt;&lt;C&gt;0&lt;/C&gt;&lt;/FQL&gt;&lt;FQL&gt;&lt;Q&gt;CRWV^FE_ESTIMATE(EPS,MEAN,QUARTERLY_ROLL,2026/3F,45689,,,'')&lt;/Q&gt;&lt;R&gt;0&lt;/R&gt;&lt;C&gt;0&lt;/C&gt;&lt;/FQL&gt;&lt;FQL&gt;&lt;Q&gt;CRWV^FE_ESTIMATE(EPS,MEAN,QUARTERLY_ROLL,2025/2F,45689,,,'')&lt;/Q&gt;&lt;R&gt;0&lt;/R&gt;&lt;C&gt;0&lt;/C&gt;&lt;/FQL&gt;&lt;FQL&gt;&lt;Q&gt;CRWV^FE_ESTIMATE(EPS,MEAN,QUARTERLY_ROLL,2024/1F,45689,,,'')&lt;/Q&gt;&lt;R&gt;0&lt;/R&gt;&lt;C&gt;0&lt;/C&gt;&lt;/FQL&gt;&lt;FQL&gt;&lt;Q&gt;CRWV^FE_ESTIMATE(EPS,MEAN,QUARTERLY_ROLL,2023/1F,45689,,,'')&lt;/Q&gt;&lt;R&gt;0&lt;/R&gt;&lt;C&gt;0&lt;/C&gt;&lt;/FQL&gt;&lt;FQL&gt;&lt;Q&gt;CRWV^FE_ESTIMATE(EPS,MEAN,QUARTERLY_ROLL,2022/2F,45689,,,'')&lt;/Q&gt;&lt;R&gt;0&lt;/R&gt;&lt;C&gt;0&lt;/C&gt;&lt;/FQL&gt;&lt;FQL&gt;&lt;Q&gt;CRWV^FE_ESTIMATE(EAG,MEAN,QUARTERLY_ROLL,2029/4F,45689,,,'')&lt;/Q&gt;&lt;R&gt;0&lt;/R&gt;&lt;C&gt;0&lt;/C&gt;&lt;/FQL&gt;&lt;FQL&gt;&lt;Q&gt;CRWV^FE_ESTIMATE(EAG,MEAN,QUARTERLY_ROLL,2028/4F,45689,,,'')&lt;/Q&gt;&lt;R&gt;0&lt;/R&gt;&lt;C&gt;0&lt;/C&gt;&lt;/FQL&gt;&lt;FQL&gt;&lt;Q&gt;CRWV^FE_ESTIMATE(EAG,MEAN,ANNUAL_ROLL,2027,45689,,,'')&lt;/Q&gt;&lt;R&gt;0&lt;/R&gt;&lt;C&gt;0&lt;/C&gt;&lt;/FQL&gt;&lt;FQL&gt;&lt;Q&gt;CRWV^FE_ESTIMATE(EAG,MEAN,ANNUAL_ROLL,2026,45689,,,'')&lt;/Q&gt;&lt;R&gt;0&lt;/R&gt;&lt;C&gt;0&lt;/C&gt;&lt;/FQL&gt;&lt;FQL&gt;&lt;Q&gt;CRWV^FE_ESTIMATE(EAG,MEAN,QUARTERLY_ROLL,2026/1F,45689,,,'')&lt;/Q&gt;&lt;R&gt;0&lt;/R&gt;&lt;C&gt;0&lt;/C&gt;&lt;/FQL&gt;&lt;FQL&gt;&lt;Q&gt;CRWV^FE_ESTIMATE(EAG,MEAN,QUARTERLY_ROLL,2025/1F,45689,,,'')&lt;/Q&gt;&lt;R&gt;0&lt;/R&gt;&lt;C&gt;0&lt;/C&gt;&lt;/FQL&gt;&lt;FQL&gt;&lt;Q&gt;CRWV^FE_ESTIMATE(EAG,MEAN,QUARTERLY_ROLL,2024/2F,45689,,,'')&lt;/Q&gt;&lt;R&gt;0&lt;/R&gt;&lt;C&gt;0&lt;/C&gt;&lt;/FQL&gt;&lt;FQL&gt;&lt;Q&gt;CRWV^FE_ESTIMATE(EAG,MEAN,QUARTERLY_ROLL,2023/2F,45689,,,'')&lt;/Q&gt;&lt;R&gt;0&lt;/R&gt;&lt;C&gt;0&lt;/C&gt;&lt;/FQL&gt;&lt;FQL&gt;&lt;Q&gt;CRWV^FE_ESTIMATE(EAG,MEAN,QUARTERLY_ROLL,2022/3F,45689,,,'')&lt;/Q&gt;&lt;R&gt;0&lt;/R&gt;&lt;C&gt;0&lt;/C&gt;&lt;/FQL&gt;&lt;FQL&gt;&lt;Q&gt;CRWV^FE_ESTIMATE(EBIT,MEAN,ANNUAL_ROLL,2029,45689,,,'')&lt;/Q&gt;&lt;R&gt;0&lt;/R&gt;&lt;C&gt;0&lt;/C&gt;&lt;/FQL&gt;&lt;FQL&gt;&lt;Q&gt;CRWV^FE_ESTIMATE(EBIT,MEAN,ANNUAL_ROLL,2028,45689,,,'')&lt;/Q&gt;&lt;R&gt;0&lt;/R&gt;&lt;C&gt;0&lt;/C&gt;&lt;/FQL&gt;&lt;FQL&gt;&lt;Q&gt;CRWV^FE_ESTIMATE(EBIT,MEAN,QUARTERLY_ROLL,2028/1F,45689,,,'')&lt;/Q&gt;&lt;R&gt;0&lt;/R&gt;&lt;C&gt;0&lt;/C&gt;&lt;/FQL&gt;&lt;FQL&gt;&lt;Q&gt;CRWV^FE_ESTIMATE(EBIT,MEAN,QUARTERLY_ROLL,2026/3F,45689,,,'')&lt;/Q&gt;&lt;R&gt;0&lt;/R&gt;&lt;C&gt;0&lt;/C&gt;&lt;/FQL&gt;&lt;FQL&gt;&lt;Q&gt;CRWV^FE_ESTIMATE(EBIT,MEAN,QUARTERLY_ROLL,2025/1F,45689,,,'')&lt;/Q&gt;&lt;R&gt;0&lt;/R&gt;&lt;C&gt;0&lt;/C&gt;&lt;/FQL&gt;&lt;FQL&gt;&lt;Q&gt;CRWV^FE_ESTIMATE(EBIT,MEAN,QUARTERLY_ROLL,2024/2F,45689,,,'')&lt;/Q&gt;&lt;R&gt;0&lt;/R&gt;&lt;C&gt;0&lt;/C&gt;&lt;/FQL&gt;&lt;FQL&gt;&lt;Q&gt;CRWV^FE_ESTIMATE(EBIT,MEAN,ANNUAL_ROLL,2022,45689,,,'')&lt;/Q&gt;&lt;R&gt;0&lt;/R&gt;&lt;C&gt;0&lt;/C&gt;&lt;/FQL&gt;&lt;FQL&gt;&lt;Q&gt;CRWV^FE_ESTIMATE(GROSSINCOME,MEAN,ANNUAL_ROLL,2028,45689,,,'')&lt;/Q&gt;&lt;R&gt;0&lt;/R&gt;&lt;C&gt;0&lt;/C&gt;&lt;/FQL&gt;&lt;FQL&gt;&lt;Q&gt;CRWV^FE_ESTIMATE(GROSSINCOME,MEAN,QUARTERLY_ROLL,2028/1F,45689,,,'')&lt;/Q&gt;&lt;R&gt;0&lt;/R&gt;&lt;C&gt;0&lt;/C&gt;&lt;/FQL&gt;&lt;FQL&gt;&lt;Q&gt;CRWV^FE_ESTIMATE(GROSSINCOME,MEAN,QUARTERLY_ROLL,2026/4F,45689,,,'')&lt;/Q&gt;&lt;R&gt;0&lt;/R&gt;&lt;C&gt;0&lt;/C&gt;&lt;/FQL&gt;&lt;FQL&gt;&lt;Q&gt;CRWV^FE_ESTIMATE(GROSSINCOME,MEAN,QUARTERLY_ROLL,2025/2F,45689,,,'')&lt;/Q&gt;&lt;R&gt;0&lt;/R&gt;&lt;C&gt;0&lt;/C&gt;&lt;/FQL&gt;&lt;FQL&gt;&lt;Q&gt;CRWV^FE_ESTIMATE(GROSSINCOME,MEAN,QUARTERLY_ROLL,2024/3F,45689,,,'')&lt;/Q&gt;&lt;R&gt;0&lt;/R&gt;&lt;C&gt;0&lt;/C&gt;&lt;/FQL&gt;&lt;FQL&gt;&lt;Q&gt;CRWV^FE_ESTIMATE(GROSSINCOME,MEAN,QUARTERLY_ROLL,2023/1F,45689,,,'')&lt;/Q&gt;&lt;R&gt;0&lt;/R&gt;&lt;C&gt;0&lt;/C&gt;&lt;/FQL&gt;&lt;FQL&gt;&lt;Q&gt;CRWV^FE_ESTIMATE(SALES,MEAN,QUARTERLY_ROLL,2029/1F,45689,,,'')&lt;/Q&gt;&lt;R&gt;0&lt;/R&gt;&lt;C&gt;0&lt;/C&gt;&lt;/FQL&gt;&lt;FQL&gt;&lt;Q&gt;CRWV^FE_ESTIMATE(SALES,MEAN,QUARTERLY_ROLL,2028/2F,45689,,,'')&lt;/Q&gt;&lt;R&gt;0&lt;/R&gt;&lt;C&gt;0&lt;/C&gt;&lt;/FQL&gt;&lt;FQL&gt;&lt;Q&gt;CRWV^FE_ESTIMATE(SALES,MEAN,ANNUAL_ROLL,2026,45689,,,'')&lt;/Q&gt;&lt;R&gt;0&lt;/R&gt;&lt;C&gt;0&lt;/C&gt;&lt;/FQL&gt;&lt;FQL&gt;&lt;Q&gt;CRWV^FE_ESTIMATE(SALES,MEAN,QUARTERLY_ROLL,2025/3F,45689,,,'')&lt;/Q&gt;&lt;R&gt;0&lt;/R&gt;&lt;C&gt;0&lt;/C&gt;&lt;/FQL&gt;&lt;FQL&gt;&lt;Q&gt;CRWV^FE_ESTIMATE(SALES,MEAN,QUARTERLY_ROLL,2024/4F,45689,,,'')&lt;/Q&gt;&lt;R&gt;0&lt;/R&gt;&lt;C&gt;0&lt;/C&gt;&lt;/FQL&gt;&lt;FQL&gt;&lt;Q&gt;MSFT^FE_ESTIMATE(SALES,MEAN,NTM4,,45768,,,'')&lt;/Q&gt;&lt;R&gt;1&lt;/R&gt;&lt;C&gt;1&lt;/C&gt;&lt;D xsi:type="xsd:double"&gt;292212.03&lt;/D&gt;&lt;/FQL&gt;&lt;FQL&gt;&lt;Q&gt;CRWV^FE_ESTIMATE(TOTAL_RPO,MEAN,ANNUAL_ROLL,2029,45790,,,'')&lt;/Q&gt;&lt;R&gt;1&lt;/R&gt;&lt;C&gt;1&lt;/C&gt;&lt;D xsi:type="xsd:double"&gt;46554.8&lt;/D&gt;&lt;/FQL&gt;&lt;FQL&gt;&lt;Q&gt;CRWV^FE_ESTIMATE(TOTAL_RPO,MEAN,QUARTERLY_ROLL,2029/4F,45790,,,'')&lt;/Q&gt;&lt;R&gt;0&lt;/R&gt;&lt;C&gt;0&lt;/C&gt;&lt;/FQL&gt;&lt;FQL&gt;&lt;Q&gt;CRWV^FE_ESTIMATE(TOTAL_RPO,MEAN,QUARTERLY_ROLL,2029/3F,45790,,,'')&lt;/Q&gt;&lt;R&gt;0&lt;/R&gt;&lt;C&gt;0&lt;/C&gt;&lt;/FQL&gt;&lt;FQL&gt;&lt;Q&gt;CRWV^FE_ESTIMATE(TOTAL_RPO,MEAN,QUARTERLY_ROLL,2029/2F,45790,,,'')&lt;/Q&gt;&lt;R&gt;0&lt;/R&gt;&lt;C&gt;0&lt;/C&gt;&lt;/FQL&gt;&lt;FQL&gt;&lt;Q&gt;CRWV^FE_ESTIMATE(TOTAL_RPO,MEAN,QUARTERLY_ROLL,2029/1F,45790,,,'')&lt;/Q&gt;&lt;R&gt;0&lt;/R&gt;&lt;C&gt;0&lt;/C&gt;&lt;/FQL&gt;&lt;FQL&gt;&lt;Q&gt;CRWV^FE_ESTIMATE(TOTAL_RPO,MEAN,ANNUAL_ROLL,2028,45790,,,'')&lt;/Q&gt;&lt;R&gt;1&lt;/R&gt;&lt;C&gt;1&lt;/C&gt;&lt;D xsi:type="xsd:double"&gt;47055.9&lt;/D&gt;&lt;/FQL&gt;&lt;FQL&gt;&lt;Q&gt;CRWV^FE_ESTIMATE(TOTAL_RPO,MEAN,QUARTERLY_ROLL,2028/4F,45790,,,'')&lt;/Q&gt;&lt;R&gt;0&lt;/R&gt;&lt;C&gt;0&lt;/C&gt;&lt;/FQL&gt;&lt;FQL&gt;&lt;Q&gt;CRWV^FE_ESTIMATE(TOTAL_RPO,MEAN,QUARTERLY_ROLL,2028/3F,45790,,,'')&lt;/Q&gt;&lt;R&gt;0&lt;/R&gt;&lt;C&gt;0&lt;/C&gt;&lt;/FQL&gt;&lt;FQL&gt;&lt;Q&gt;CRWV^FE_ESTIMATE(TOTAL_RPO,MEAN,QUARTERLY_ROLL,2028/2F,45790,,,'')&lt;/Q&gt;&lt;R&gt;0&lt;/R&gt;&lt;C&gt;0&lt;/C&gt;&lt;/FQL&gt;&lt;FQL&gt;&lt;Q&gt;CRWV^FE_ESTIMATE(TOTAL_RPO,MEAN,QUARTERLY_ROLL,2028/1F,45790,,,'')&lt;/Q&gt;&lt;R&gt;0&lt;/R&gt;&lt;C&gt;0&lt;/C&gt;&lt;/FQL&gt;&lt;FQL&gt;&lt;Q&gt;CRWV^FE_ESTIMATE(TOTAL_RPO,MEAN,ANNUAL_ROLL,2027,45790,,,'')&lt;/Q&gt;&lt;R&gt;1&lt;/R&gt;&lt;C&gt;1&lt;/C&gt;&lt;D xsi:type="xsd:double"&gt;45135.8&lt;/D&gt;&lt;/FQL&gt;&lt;FQL&gt;&lt;Q&gt;CRWV^FE_ESTIMATE(TOTAL_RPO,MEAN,QUARTERLY_ROLL,2027/4F,45790,,,'')&lt;/Q&gt;&lt;R&gt;0&lt;/R&gt;&lt;C&gt;0&lt;/C&gt;&lt;/FQL&gt;&lt;FQL&gt;&lt;Q&gt;CRWV^FE_ESTIMATE(TOTAL_RPO,MEAN,QUARTERLY_ROLL,2027/3F,45790,,,'')&lt;/Q&gt;&lt;R&gt;0&lt;/R&gt;&lt;C&gt;0&lt;/C&gt;&lt;/FQL&gt;&lt;FQL&gt;&lt;Q&gt;CRWV^FE_ESTIMATE(TOTAL_RPO,MEAN,QUARTERLY_ROLL,2027/2F,45790,,,'')&lt;/Q&gt;&lt;R&gt;0&lt;/R&gt;&lt;C&gt;0&lt;/C&gt;&lt;/FQL&gt;&lt;FQL&gt;&lt;Q&gt;CRWV^FE_ESTIMATE(TOTAL_RPO,MEAN,QUARTERLY_ROLL,2027/1F,45790,,,'')&lt;/Q&gt;&lt;R&gt;0&lt;/R&gt;&lt;C&gt;0&lt;/C&gt;&lt;/FQL&gt;&lt;FQL&gt;&lt;Q&gt;CRWV^FE_ESTIMATE(TOTAL_RPO,MEAN,ANNUAL_ROLL,2026,45790,,,'')&lt;/Q&gt;&lt;R&gt;1&lt;/R&gt;&lt;C&gt;1&lt;/C&gt;&lt;D xsi:type="xsd:double"&gt;39440.8&lt;/D&gt;&lt;/FQL&gt;&lt;FQL&gt;&lt;Q&gt;CRWV^FE_ESTIMATE(TOTAL_RPO,MEAN,QUARTERLY_ROLL,2026/4F,45790,,,'')&lt;/Q&gt;&lt;R&gt;0&lt;/R&gt;&lt;C&gt;0&lt;/C&gt;&lt;/FQL&gt;&lt;FQL&gt;&lt;Q&gt;CRWV^FE_ESTIMATE(TOTAL_RPO,MEAN,QUARTERLY_ROLL,2026/3F,45790,,,'')&lt;/Q&gt;&lt;R&gt;0&lt;/R&gt;&lt;C&gt;0&lt;/C&gt;&lt;/FQL&gt;&lt;FQL&gt;&lt;Q&gt;CRWV^FE_ESTIMATE(TOTAL_RPO,MEAN,QUARTERLY_ROLL,2026/2F,45790,,,'')&lt;/Q&gt;&lt;R&gt;0&lt;/R&gt;&lt;C&gt;0&lt;/C&gt;&lt;/FQL&gt;&lt;FQL&gt;&lt;Q&gt;CRWV^FE_ESTIMATE(TOTAL_RPO,MEAN,QUARTERLY_ROLL,2026/1F,45790,,,'')&lt;/Q&gt;&lt;R&gt;0&lt;/R&gt;&lt;C&gt;0&lt;/C&gt;&lt;/FQL&gt;&lt;FQL&gt;&lt;Q&gt;CRWV^FE_ESTIMATE(TOTAL_RPO,MEAN,ANNUAL_ROLL,2025,45790,,,'')&lt;/Q&gt;&lt;R&gt;1&lt;/R&gt;&lt;C&gt;1&lt;/C&gt;&lt;D xsi:type="xsd:double"&gt;31373.9&lt;/D&gt;&lt;/FQL&gt;&lt;FQL&gt;&lt;Q&gt;CRWV^FE_ESTIMATE(TOTAL_RPO,MEAN,QUARTERLY_ROLL,2025/4F,45790,,,'')&lt;/Q&gt;&lt;R&gt;1&lt;/R&gt;&lt;C&gt;1&lt;/C&gt;&lt;D xsi:type="xsd:double"&gt;31373.9&lt;/D&gt;&lt;/FQL&gt;&lt;FQL&gt;&lt;Q&gt;CRWV^FE_ESTIMATE(TOTAL_RPO,MEAN,QUARTERLY_ROLL,2025/3F,45790,,,'')&lt;/Q&gt;&lt;R&gt;1&lt;/R&gt;&lt;C&gt;1&lt;/C&gt;&lt;D xsi:type="xsd:double"&gt;29775.2&lt;/D&gt;&lt;/FQL&gt;&lt;FQL&gt;&lt;Q&gt;CRWV^FE_ESTIMATE(TOTAL_RPO,MEAN,QUARTERLY_ROLL,2025/2F,45790,,,'')&lt;/Q&gt;&lt;R&gt;1&lt;/R&gt;&lt;C&gt;1&lt;/C&gt;&lt;D xsi:type="xsd:double"&gt;28199.9&lt;/D&gt;&lt;/FQL&gt;&lt;FQL&gt;&lt;Q&gt;CRWV^FE_ESTIMATE(TOTAL_RPO,MEAN,QUARTERLY_ROLL,2025/1F,45790,,,'')&lt;/Q&gt;&lt;R&gt;1&lt;/R&gt;&lt;C&gt;1&lt;/C&gt;&lt;D xsi:type="xsd:double"&gt;26205.9&lt;/D&gt;&lt;/FQL&gt;&lt;FQL&gt;&lt;Q&gt;CRWV^FE_ESTIMATE(TOTAL_RPO,MEAN,ANNUAL_ROLL,2024,45790,,,'')&lt;/Q&gt;&lt;R&gt;1&lt;/R&gt;&lt;C&gt;1&lt;/C&gt;&lt;D xsi:type="xsd:double"&gt;15100&lt;/D&gt;&lt;/FQL&gt;&lt;FQL&gt;&lt;Q&gt;CRWV^FE_ESTIMATE(TOTAL_RPO,MEAN,QUARTERLY_ROLL,2024/4F,45790,,,'')&lt;/Q&gt;&lt;R&gt;1&lt;/R&gt;&lt;C&gt;1&lt;/C&gt;&lt;D xsi:type="xsd:double"&gt;15100&lt;/D&gt;&lt;/FQL&gt;&lt;FQL&gt;&lt;Q&gt;CRWV^FE_ESTIMATE(TOTAL_RPO,MEAN,QUARTERLY_ROLL,2024/3F,45790,,,'')&lt;/Q&gt;&lt;R&gt;0&lt;/R&gt;&lt;C&gt;0&lt;/C&gt;&lt;/FQL&gt;&lt;FQL&gt;&lt;Q&gt;CRWV^FE_ESTIMATE(TOTAL_RPO,MEAN,QUARTERLY_ROLL,2024/2F,45790,,,'')&lt;/Q&gt;&lt;R&gt;0&lt;/R&gt;&lt;C&gt;0&lt;/C&gt;&lt;/FQL&gt;&lt;FQL&gt;&lt;Q&gt;CRWV^FE_ESTIMATE(TOTAL_RPO,MEAN,QUARTERLY_ROLL,2024/1F,45790,,,'')&lt;/Q&gt;&lt;R&gt;0&lt;/R&gt;&lt;C&gt;0&lt;/C&gt;&lt;/FQL&gt;&lt;FQL&gt;&lt;Q&gt;CRWV^FE_ESTIMATE(TOTAL_RPO,MEAN,ANNUAL_ROLL,2023,45790,,,'')&lt;/Q&gt;&lt;R&gt;0&lt;/R&gt;&lt;C&gt;0&lt;/C&gt;&lt;/FQL&gt;&lt;FQL&gt;&lt;Q&gt;CRWV^FE_ESTIMATE(TOTAL_RPO,MEAN,QUARTERLY_ROLL,2023/4F,45790,,,'')&lt;/Q&gt;&lt;R&gt;0&lt;/R&gt;&lt;C&gt;0&lt;/C&gt;&lt;/FQL&gt;&lt;FQL&gt;&lt;Q&gt;CRWV^FE_ESTIMATE(TOTAL_RPO,MEAN,QUARTERLY_ROLL,2023/3F,45790,,,'')&lt;/Q&gt;&lt;R&gt;0&lt;/R&gt;&lt;C&gt;0&lt;/C&gt;&lt;/FQL&gt;&lt;FQL&gt;&lt;Q&gt;CRWV^FE_ESTIMATE(TOTAL_RPO,MEAN,QUARTERLY_ROLL,2023/2F,45790,,,'')&lt;/Q&gt;&lt;R&gt;0&lt;/R&gt;&lt;C&gt;0&lt;/C&gt;&lt;/FQL&gt;&lt;FQL&gt;&lt;Q&gt;CRWV^FE_ESTIMATE(TOTAL_RPO,MEAN,QUARTERLY_ROLL,2023/1F,45790,,,'')&lt;/Q&gt;&lt;R&gt;0&lt;/R&gt;&lt;C&gt;0&lt;/C&gt;&lt;/FQL&gt;&lt;FQL&gt;&lt;Q&gt;CRWV^FE_ESTIMATE(TOTAL_RPO,MEAN,ANNUAL_ROLL,2022,45790,,,'')&lt;/Q&gt;&lt;R&gt;0&lt;/R&gt;&lt;C&gt;0&lt;/C&gt;&lt;/FQL&gt;&lt;FQL&gt;&lt;Q&gt;CRWV^FE_ESTIMATE(TOTAL_RPO,MEAN,QUARTERLY_ROLL,2022/4F,45790,,,'')&lt;/Q&gt;&lt;R&gt;0&lt;/R&gt;&lt;C&gt;0&lt;/C&gt;&lt;/FQL&gt;&lt;FQL&gt;&lt;Q&gt;CRWV^FE_ESTIMATE(TOTAL_RPO,MEAN,QUARTERLY_ROLL,2022/3F,45790,,,'')&lt;/Q&gt;&lt;R&gt;0&lt;/R&gt;&lt;C&gt;0&lt;/C&gt;&lt;/FQL&gt;&lt;FQL&gt;&lt;Q&gt;CRWV^FE_ESTIMATE(TOTAL_RPO,MEAN,QUARTERLY_ROLL,2022/2F,45790,,,'')&lt;/Q&gt;&lt;R&gt;0&lt;/R&gt;&lt;C&gt;0&lt;/C&gt;&lt;/FQL&gt;&lt;FQL&gt;&lt;Q&gt;CRWV^FE_ESTIMATE(TOTAL_RPO,MEAN,QUARTERLY_ROLL,2022/1F,45790,,,'')&lt;/Q&gt;&lt;R&gt;0&lt;/R&gt;&lt;C&gt;0&lt;/C&gt;&lt;/FQL&gt;&lt;FQL&gt;&lt;Q&gt;CRWV^FE_ESTIMATE(ARR,MEAN,ANNUAL_ROLL,2029,45790,,,'')&lt;/Q&gt;&lt;R&gt;0&lt;/R&gt;&lt;C&gt;0&lt;/C&gt;&lt;/FQL&gt;&lt;FQL&gt;&lt;Q&gt;CRWV^FE_ESTIMATE(ARR,MEAN,QUARTERLY_ROLL,2029/4F,45790,,,'')&lt;/Q&gt;&lt;R&gt;0&lt;/R&gt;&lt;C&gt;0&lt;/C&gt;&lt;/FQL&gt;&lt;FQL&gt;&lt;Q&gt;CRWV^FE_ESTIMATE(ARR,MEAN,QUARTERLY_ROLL,2029/3F,45790,,,'')&lt;/Q&gt;&lt;R&gt;0&lt;/R&gt;&lt;C&gt;0&lt;/C&gt;&lt;/FQL&gt;&lt;FQL&gt;&lt;Q&gt;CRWV^FE_ESTIMATE(ARR,MEAN,QUARTERLY_ROLL,2029/2F,45790,,,'')&lt;/Q&gt;&lt;R&gt;0&lt;/R&gt;&lt;C&gt;0&lt;/C&gt;&lt;/FQL&gt;&lt;FQL&gt;&lt;Q&gt;CRWV^FE_ESTIMATE(ARR,MEAN,QUARTERLY_ROLL,2029/1F,45790,,,'')&lt;/Q&gt;&lt;R&gt;0&lt;/R&gt;&lt;C&gt;0&lt;/C&gt;&lt;/FQL&gt;&lt;FQL&gt;&lt;Q&gt;CRWV^FE_ESTIMATE(ARR,MEAN,ANNUAL_ROLL,2028,45790,,,'')&lt;/Q&gt;&lt;R&gt;0&lt;/R&gt;&lt;C&gt;0&lt;/C&gt;&lt;/FQL&gt;&lt;FQL&gt;&lt;Q&gt;CRWV^FE_ESTIMATE(ARR,MEAN,QUARTERLY_ROLL,2028/4F,45790,,,'')&lt;/Q&gt;&lt;R&gt;0&lt;/R&gt;&lt;C&gt;0&lt;/C&gt;&lt;/FQL&gt;&lt;FQL&gt;&lt;Q&gt;CRWV^FE_ESTIMATE(ARR,MEAN,QUARTERLY_ROLL,2028/3F,45790,,,'')&lt;/Q&gt;&lt;R&gt;0&lt;/R&gt;&lt;C&gt;0&lt;/C&gt;&lt;/FQL&gt;&lt;FQL&gt;&lt;Q&gt;CRWV^FE_ESTIMATE(ARR,MEAN,QUARTERLY_ROLL,2028/2F,45790,,,'')&lt;/Q&gt;&lt;R&gt;0&lt;/R&gt;&lt;C&gt;0&lt;/C&gt;&lt;/FQL&gt;&lt;FQL&gt;&lt;Q&gt;CRWV^FE_ESTIMATE(ARR,MEAN,QUARTERLY_ROLL,2028/1F,45790,,,'')&lt;/Q&gt;&lt;R&gt;0&lt;/R&gt;&lt;C&gt;0&lt;/C&gt;&lt;/FQL&gt;&lt;FQL&gt;&lt;Q&gt;CRWV^FE_ESTIMATE(ARR,MEAN,ANNUAL_ROLL,2027,45790,,,'')&lt;/Q&gt;&lt;R&gt;1&lt;/R&gt;&lt;C&gt;1&lt;/C&gt;&lt;D xsi:type="xsd:double"&gt;16800&lt;/D&gt;&lt;/FQL&gt;&lt;FQL&gt;&lt;Q&gt;CRWV^FE_ESTIMATE(ARR,MEAN,QUARTERLY_ROLL,2027/4F,45790,,,'')&lt;/Q&gt;&lt;R&gt;0&lt;/R&gt;&lt;C&gt;0&lt;/C&gt;&lt;/FQL&gt;&lt;FQL&gt;&lt;Q&gt;CRWV^FE_ESTIMATE(ARR,MEAN,QUARTERLY_ROLL,2027/3F,45790,,,'')&lt;/Q&gt;&lt;R&gt;0&lt;/R&gt;&lt;C&gt;0&lt;/C&gt;&lt;/FQL&gt;&lt;FQL&gt;&lt;Q&gt;CRWV^FE_ESTIMATE(ARR,MEAN,QUARTERLY_ROLL,2027/2F,45790,,,'')&lt;/Q&gt;&lt;R&gt;0&lt;/R&gt;&lt;C&gt;0&lt;/C&gt;&lt;/FQL&gt;&lt;FQL&gt;&lt;Q&gt;CRWV^FE_ESTIMATE(ARR,MEAN,QUARTERLY_ROLL,2027/1F,45790,,,'')&lt;/Q&gt;&lt;R&gt;0&lt;/R&gt;&lt;C&gt;0&lt;/C&gt;&lt;/FQL&gt;&lt;FQL&gt;&lt;Q&gt;CRWV^FE_ESTIMATE(ARR,MEAN,ANNUAL_ROLL,2026,45790,,,'')&lt;/Q&gt;&lt;R&gt;1&lt;/R&gt;&lt;C&gt;1&lt;/C&gt;&lt;D xsi:type="xsd:double"&gt;12400&lt;/D&gt;&lt;/FQL&gt;&lt;FQL&gt;&lt;Q&gt;CRWV^FE_ESTIMATE(ARR,MEAN,QUARTERLY_ROLL,2026/4F,45790,,,'')&lt;/Q&gt;&lt;R&gt;0&lt;/R&gt;&lt;C&gt;0&lt;/C&gt;&lt;/FQL&gt;&lt;FQL&gt;&lt;Q&gt;CRWV^FE_ESTIMATE(ARR,MEAN,QUARTERLY_ROLL,2026/3F,45790,,,'')&lt;/Q&gt;&lt;R&gt;0&lt;/R&gt;&lt;C&gt;0&lt;/C&gt;&lt;/FQL&gt;&lt;FQL&gt;&lt;Q&gt;CRWV^FE_ESTIMATE(ARR,MEAN,QUARTERLY_ROLL,2026/2F,45790,,,'')&lt;/Q&gt;&lt;R&gt;0&lt;/R&gt;&lt;C&gt;0&lt;/C&gt;&lt;/FQL&gt;&lt;FQL&gt;&lt;Q&gt;CRWV^FE_ESTIMATE(ARR,MEAN,QUARTERLY_ROLL,2026/1F,45790,,,'')&lt;/Q&gt;&lt;R&gt;0&lt;/R&gt;&lt;C&gt;0&lt;/C&gt;&lt;/FQL&gt;&lt;FQL&gt;&lt;Q&gt;CRWV^FE_ESTIMATE(ARR,MEAN,ANNUAL_ROLL,2025,45790,,,'')&lt;/Q&gt;&lt;R&gt;1&lt;/R&gt;&lt;C&gt;1&lt;/C&gt;&lt;D xsi:type="xsd:double"&gt;6800&lt;/D&gt;&lt;/FQL&gt;&lt;FQL&gt;&lt;Q&gt;CRWV^FE_ESTIMATE(ARR,MEAN,QUARTERLY_ROLL,2025/4F,45790,,,'')&lt;/Q&gt;&lt;R&gt;0&lt;/R&gt;&lt;C&gt;0&lt;/C&gt;&lt;/FQL&gt;&lt;FQL&gt;&lt;Q&gt;CRWV^FE_ESTIMATE(ARR,MEAN,QUARTERLY_ROLL,2025/3F,45790,,,'')&lt;/Q&gt;&lt;R&gt;0&lt;/R&gt;&lt;C&gt;0&lt;/C&gt;&lt;/FQL&gt;&lt;FQL&gt;&lt;Q&gt;CRWV^FE_ESTIMATE(ARR,MEAN,QUARTERLY_ROLL,2025/2F,45790,,,'')&lt;/Q&gt;&lt;R&gt;0&lt;/R&gt;&lt;C&gt;0&lt;/C&gt;&lt;/FQL&gt;&lt;FQL&gt;&lt;Q&gt;CRWV^FE_ESTIMATE(ARR,MEAN,QUARTERLY_ROLL,2025/1F,45790,,,'')&lt;/Q&gt;&lt;R&gt;0&lt;/R&gt;&lt;C&gt;0&lt;/C&gt;&lt;/FQL&gt;&lt;FQL&gt;&lt;Q&gt;CRWV^FE_ESTIMATE(ARR,MEAN,ANNUAL_ROLL,2024,45790,,,'')&lt;/Q&gt;&lt;R&gt;1&lt;/R&gt;&lt;C&gt;1&lt;/C&gt;&lt;D xsi:type="xsd:double"&gt;3000&lt;/D&gt;&lt;/FQL&gt;&lt;FQL&gt;&lt;Q&gt;CRWV^FE_ESTIMATE(ARR,MEAN,QUARTERLY_ROLL,2024/4F,45790,,,'')&lt;/Q&gt;&lt;R&gt;0&lt;/R&gt;&lt;C&gt;0&lt;/C&gt;&lt;/FQL&gt;&lt;FQL&gt;&lt;Q&gt;CRWV^FE_ESTIMATE(ARR,MEAN,QUARTERLY_ROLL,2024/3F,45790,,,'')&lt;/Q&gt;&lt;R&gt;0&lt;/R&gt;&lt;C&gt;0&lt;/C&gt;&lt;/FQL&gt;&lt;FQL&gt;&lt;Q&gt;CRWV^FE_ESTIMATE(ARR,MEAN,QUARTERLY_ROLL,2024/2F,45790,,,'')&lt;/Q&gt;&lt;R&gt;0&lt;/R&gt;&lt;C&gt;0&lt;/C&gt;&lt;/FQL&gt;&lt;FQL&gt;&lt;Q&gt;CRWV^FE_ESTIMATE(ARR,MEAN,QUARTERLY_ROLL,2024/1F,45790,,,'')&lt;/Q&gt;&lt;R&gt;0&lt;/R&gt;&lt;C&gt;0&lt;/C&gt;&lt;/FQL&gt;&lt;FQL&gt;&lt;Q&gt;CRWV^FE_ESTIMATE(ARR,MEAN,ANNUAL_ROLL,2023,45790,,,'')&lt;/Q&gt;&lt;R&gt;0&lt;/R&gt;&lt;C&gt;0&lt;/C&gt;&lt;/FQL&gt;&lt;FQL&gt;&lt;Q&gt;CRWV^FE_ESTIMATE(ARR,MEAN,QUARTERLY_ROLL,2023/4F,45790,,,'')&lt;/Q&gt;&lt;R&gt;0&lt;/R&gt;&lt;C&gt;0&lt;/C&gt;&lt;/FQL&gt;&lt;FQL&gt;&lt;Q&gt;CRWV^FE_ESTIMATE(ARR,MEAN,QUARTERLY_ROLL,2023/3F,45790,,,'')&lt;/Q&gt;&lt;R&gt;0&lt;/R&gt;&lt;C&gt;0&lt;/C&gt;&lt;/FQL&gt;&lt;FQL&gt;&lt;Q&gt;CRWV^FE_ESTIMATE(ARR,MEAN,QUARTERLY_ROLL,2023/2F,45790,,,'')&lt;/Q&gt;&lt;R&gt;0&lt;/R&gt;&lt;C&gt;0&lt;/C&gt;&lt;/FQL&gt;&lt;FQL&gt;&lt;Q&gt;CRWV^FE_ESTIMATE(ARR,MEAN,QUARTERLY_ROLL,2023/1F,45790,,,'')&lt;/Q&gt;&lt;R&gt;0&lt;/R&gt;&lt;C&gt;0&lt;/C&gt;&lt;/FQL&gt;&lt;FQL&gt;&lt;Q&gt;CRWV^FE_ESTIMATE(ARR,MEAN,ANNUAL_ROLL,2022,45790,,,'')&lt;/Q&gt;&lt;R&gt;0&lt;/R&gt;&lt;C&gt;0&lt;/C&gt;&lt;/FQL&gt;&lt;FQL&gt;&lt;Q&gt;CRWV^FE_ESTIMATE(ARR,MEAN,QUARTERLY_ROLL,2022/4F,45790,,,'')&lt;/Q&gt;&lt;R&gt;0&lt;/R&gt;&lt;C&gt;0&lt;/C&gt;&lt;/FQL&gt;&lt;FQL&gt;&lt;Q&gt;CRWV^FE_ESTIMATE(ARR,MEAN,QUARTERLY_ROLL,2022/3F,45790,,,'')&lt;/Q&gt;&lt;R&gt;0&lt;/R&gt;&lt;C&gt;0&lt;/C&gt;&lt;/FQL&gt;&lt;FQL&gt;&lt;Q&gt;CRWV^FE_ESTIMATE(ARR,MEAN,QUARTERLY_ROLL,2022/2F,45790,,,'')&lt;/Q&gt;&lt;R&gt;0&lt;/R&gt;&lt;C&gt;0&lt;/C&gt;&lt;/FQL&gt;&lt;FQL&gt;&lt;Q&gt;CRWV^FE_ESTIMATE(ARR,MEAN,QUARTERLY_ROLL,2022/1F,45790,,,'')&lt;/Q&gt;&lt;R&gt;0&lt;/R&gt;&lt;C&gt;0&lt;/C&gt;&lt;/FQL&gt;&lt;FQL&gt;&lt;Q&gt;CRWV^FE_ESTIMATE(NEW_ORDERS_VALUE,MEAN,ANNUAL_ROLL,2029,45790,,,'')&lt;/Q&gt;&lt;R&gt;0&lt;/R&gt;&lt;C&gt;0&lt;/C&gt;&lt;/FQL&gt;&lt;FQL&gt;&lt;Q&gt;CRWV^FE_ESTIMATE(NEW_ORDERS_VALUE,MEAN,QUARTERLY_ROLL,2029/4F,45790,,,'')&lt;/Q&gt;&lt;R&gt;0&lt;/R&gt;&lt;C&gt;0&lt;/C&gt;&lt;/FQL&gt;&lt;FQL&gt;&lt;Q&gt;CRWV^FE_ESTIMATE(NEW_ORDERS_VALUE,MEAN,QUARTERLY_ROLL,2029/3F,45790,,,'')&lt;/Q&gt;&lt;R&gt;0&lt;/R&gt;&lt;C&gt;0&lt;/C&gt;&lt;/FQL&gt;&lt;FQL&gt;&lt;Q&gt;CRWV^FE_ESTIMATE(NEW_ORDERS_VALUE,MEAN,QUARTERLY_ROLL,2029/2F,45790,,,'')&lt;/Q&gt;&lt;R&gt;0&lt;/R&gt;&lt;C&gt;0&lt;/C&gt;&lt;/FQL&gt;&lt;FQL&gt;&lt;Q&gt;CRWV^FE_ESTIMATE(NEW_ORDERS_VALUE,MEAN,QUARTERLY_ROLL,2029/1F,45790,,,'')&lt;/Q&gt;&lt;R&gt;0&lt;/R&gt;&lt;C&gt;0&lt;/C&gt;&lt;/FQL&gt;&lt;FQL&gt;&lt;Q&gt;CRWV^FE_ESTIMATE(NEW_ORDERS_VALUE,MEAN,ANNUAL_ROLL,2028,45790,,,'')&lt;/Q&gt;&lt;R&gt;0&lt;/R&gt;&lt;C&gt;0&lt;/C&gt;&lt;/FQL&gt;&lt;FQL&gt;&lt;Q&gt;CRWV^FE_ESTIMATE(NEW_ORDERS_VALUE,MEAN,QUARTERLY_ROLL,2028/4F,45790,,,'')&lt;/Q&gt;&lt;R&gt;0&lt;/R&gt;&lt;C&gt;0&lt;/C&gt;&lt;/FQL&gt;&lt;FQL&gt;&lt;Q&gt;CRWV^FE_ESTIMATE(NEW_ORDERS_VALUE,MEAN,QUARTERLY_ROLL,2028/3F,45790,,,'')&lt;/Q&gt;&lt;R&gt;0&lt;/R&gt;&lt;C&gt;0&lt;/C&gt;&lt;/FQL&gt;&lt;FQL&gt;&lt;Q&gt;CRWV^FE_ESTIMATE(NEW_ORDERS_VALUE,MEAN,QUARTERLY_ROLL,2028/2F,45790,,,'')&lt;/Q&gt;&lt;R&gt;0&lt;/R&gt;&lt;C&gt;0&lt;/C&gt;&lt;/FQL&gt;&lt;FQL&gt;&lt;Q&gt;CRWV^FE_ESTIMATE(NEW_ORDERS_VALUE,MEAN,QUARTERLY_ROLL,2028/1F,45790,,,'')&lt;/Q&gt;&lt;R&gt;0&lt;/R&gt;&lt;C&gt;0&lt;/C&gt;&lt;/FQL&gt;&lt;FQL&gt;&lt;Q&gt;CRWV^FE_ESTIMATE(NEW_ORDERS_VALUE,MEAN,ANNUAL_ROLL,2027,45790,,,'')&lt;/Q&gt;&lt;R&gt;0&lt;/R&gt;&lt;C&gt;0&lt;/C&gt;&lt;/FQL&gt;&lt;FQL&gt;&lt;Q&gt;CRWV^FE_ESTIMATE(NEW_ORDERS_VALUE,MEAN,QUARTERLY_ROLL,2027/4F,45790,,,'')&lt;/Q&gt;&lt;R&gt;1&lt;/R&gt;&lt;C&gt;1&lt;/C&gt;&lt;D xsi:type="xsd:double"&gt;4563&lt;/D&gt;&lt;/FQL&gt;&lt;FQL&gt;&lt;Q&gt;CRWV^FE_ESTIMATE(NEW_ORDERS_VALUE,MEAN,QUARTERLY_ROLL,2027/3F,45790,,,'')&lt;/Q&gt;&lt;R&gt;1&lt;/R&gt;&lt;C&gt;1&lt;/C&gt;&lt;D xsi:type="xsd:double"&gt;4452&lt;/D&gt;&lt;/FQL&gt;&lt;FQL&gt;&lt;Q&gt;CRWV^FE_ESTIMATE(NEW_ORDERS_VALUE,MEAN,QUARTERLY_ROLL,2027/2F,45790,,,'')&lt;/Q&gt;&lt;R&gt;1&lt;/R&gt;&lt;C&gt;1&lt;/C&gt;&lt;D xsi:type="xsd:double"&gt;4260&lt;/D&gt;&lt;/FQL&gt;&lt;FQL&gt;&lt;Q&gt;CRWV^FE_ESTIMATE(NEW_ORDERS_VALUE,MEAN,QUARTERLY_ROLL,2027/1F,45790,,,'')&lt;/Q&gt;&lt;R&gt;1&lt;/R&gt;&lt;C&gt;1&lt;/C&gt;&lt;D xsi:type="xsd:double"&gt;4019&lt;/D&gt;&lt;/FQL&gt;&lt;FQL&gt;&lt;Q&gt;CRWV^FE_ESTIMATE(NEW_ORDERS_VALUE,MEAN,ANNUAL_ROLL,2026,45790,,,'')&lt;/Q&gt;&lt;R&gt;0&lt;/R&gt;&lt;C&gt;0&lt;/C&gt;&lt;/FQL&gt;&lt;FQL&gt;&lt;Q&gt;CRWV^FE_ESTIMATE(NEW_ORDERS_VALUE,MEAN,QUARTERLY_ROLL,2026/4F,45790,,,'')&lt;/Q&gt;&lt;R&gt;1&lt;/R&gt;&lt;C&gt;1&lt;/C&gt;&lt;D xsi:type="xsd:double"&gt;3588&lt;/D&gt;&lt;/FQL&gt;&lt;FQL&gt;&lt;Q&gt;CRWV^FE_ESTIMATE(NEW_ORDERS_VALUE,MEAN,QUARTERLY_ROLL,2026/3F,45790,,,'')&lt;/Q&gt;&lt;R&gt;1&lt;/R&gt;&lt;C&gt;1&lt;/C&gt;&lt;D xsi:type="xsd:double"&gt;3268&lt;/D&gt;&lt;/FQL&gt;&lt;FQL&gt;&lt;Q&gt;CRWV^FE_ESTIMATE(NEW_ORDERS_VALUE,MEAN,QUARTERLY_ROLL,2026/2F,45790,,,'')&lt;/Q&gt;&lt;R&gt;1&lt;/R&gt;&lt;C&gt;1&lt;/C&gt;&lt;D xsi:type="xsd:double"&gt;2961&lt;/D&gt;&lt;/FQL&gt;&lt;FQL&gt;&lt;Q&gt;CRWV^FE_ESTIMATE(NEW_ORDERS_VALUE,MEAN,QUARTERLY_ROLL,2026/1F,45790,,,'')&lt;/Q&gt;&lt;R&gt;1&lt;/R&gt;&lt;C&gt;1&lt;/C&gt;&lt;D xsi:type="xsd:do</t>
        </r>
      </text>
    </comment>
    <comment ref="A5" authorId="0" shapeId="0" xr:uid="{D07DF3C6-D855-4326-A9D4-8F9256A3537B}">
      <text>
        <r>
          <rPr>
            <b/>
            <sz val="9"/>
            <color indexed="81"/>
            <rFont val="Tahoma"/>
            <charset val="1"/>
          </rPr>
          <t>uble"&gt;2906&lt;/D&gt;&lt;/FQL&gt;&lt;FQL&gt;&lt;Q&gt;CRWV^FE_ESTIMATE(NEW_ORDERS_VALUE,MEAN,ANNUAL_ROLL,2025,45790,,,'')&lt;/Q&gt;&lt;R&gt;0&lt;/R&gt;&lt;C&gt;0&lt;/C&gt;&lt;/FQL&gt;&lt;FQL&gt;&lt;Q&gt;CRWV^FE_ESTIMATE(NEW_ORDERS_VALUE,MEAN,QUARTERLY_ROLL,2025/4F,45790,,,'')&lt;/Q&gt;&lt;R&gt;1&lt;/R&gt;&lt;C&gt;1&lt;/C&gt;&lt;D xsi:type="xsd:double"&gt;1851&lt;/D&gt;&lt;/FQL&gt;&lt;FQL&gt;&lt;Q&gt;CRWV^FE_ESTIMATE(NEW_ORDERS_VALUE,MEAN,QUARTERLY_ROLL,2025/3F,45790,,,'')&lt;/Q&gt;&lt;R&gt;1&lt;/R&gt;&lt;C&gt;1&lt;/C&gt;&lt;D xsi:type="xsd:double"&gt;1413&lt;/D&gt;&lt;/FQL&gt;&lt;FQL&gt;&lt;Q&gt;CRWV^FE_ESTIMATE(NEW_ORDERS_VALUE,MEAN,QUARTERLY_ROLL,2025/2F,45790,,,'')&lt;/Q&gt;&lt;R&gt;1&lt;/R&gt;&lt;C&gt;1&lt;/C&gt;&lt;D xsi:type="xsd:double"&gt;1221&lt;/D&gt;&lt;/FQL&gt;&lt;FQL&gt;&lt;Q&gt;CRWV^FE_ESTIMATE(NEW_ORDERS_VALUE,MEAN,QUARTERLY_ROLL,2025/1F,45790,,,'')&lt;/Q&gt;&lt;R&gt;1&lt;/R&gt;&lt;C&gt;1&lt;/C&gt;&lt;D xsi:type="xsd:double"&gt;936&lt;/D&gt;&lt;/FQL&gt;&lt;FQL&gt;&lt;Q&gt;CRWV^FE_ESTIMATE(NEW_ORDERS_VALUE,MEAN,ANNUAL_ROLL,2024,45790,,,'')&lt;/Q&gt;&lt;R&gt;0&lt;/R&gt;&lt;C&gt;0&lt;/C&gt;&lt;/FQL&gt;&lt;FQL&gt;&lt;Q&gt;CRWV^FE_ESTIMATE(NEW_ORDERS_VALUE,MEAN,QUARTERLY_ROLL,2024/4F,45790,,,'')&lt;/Q&gt;&lt;R&gt;1&lt;/R&gt;&lt;C&gt;1&lt;/C&gt;&lt;D xsi:type="xsd:double"&gt;382&lt;/D&gt;&lt;/FQL&gt;&lt;FQL&gt;&lt;Q&gt;CRWV^FE_ESTIMATE(NEW_ORDERS_VALUE,MEAN,QUARTERLY_ROLL,2024/3F,45790,,,'')&lt;/Q&gt;&lt;R&gt;0&lt;/R&gt;&lt;C&gt;0&lt;/C&gt;&lt;/FQL&gt;&lt;FQL&gt;&lt;Q&gt;CRWV^FE_ESTIMATE(NEW_ORDERS_VALUE,MEAN,QUARTERLY_ROLL,2024/2F,45790,,,'')&lt;/Q&gt;&lt;R&gt;0&lt;/R&gt;&lt;C&gt;0&lt;/C&gt;&lt;/FQL&gt;&lt;FQL&gt;&lt;Q&gt;CRWV^FE_ESTIMATE(NEW_ORDERS_VALUE,MEAN,QUARTERLY_ROLL,2024/1F,45790,,,'')&lt;/Q&gt;&lt;R&gt;0&lt;/R&gt;&lt;C&gt;0&lt;/C&gt;&lt;/FQL&gt;&lt;FQL&gt;&lt;Q&gt;CRWV^FE_ESTIMATE(NEW_ORDERS_VALUE,MEAN,ANNUAL_ROLL,2023,45790,,,'')&lt;/Q&gt;&lt;R&gt;0&lt;/R&gt;&lt;C&gt;0&lt;/C&gt;&lt;/FQL&gt;&lt;FQL&gt;&lt;Q&gt;CRWV^FE_ESTIMATE(NEW_ORDERS_VALUE,MEAN,QUARTERLY_ROLL,2023/4F,45790,,,'')&lt;/Q&gt;&lt;R&gt;0&lt;/R&gt;&lt;C&gt;0&lt;/C&gt;&lt;/FQL&gt;&lt;FQL&gt;&lt;Q&gt;CRWV^FE_ESTIMATE(NEW_ORDERS_VALUE,MEAN,QUARTERLY_ROLL,2023/3F,45790,,,'')&lt;/Q&gt;&lt;R&gt;0&lt;/R&gt;&lt;C&gt;0&lt;/C&gt;&lt;/FQL&gt;&lt;FQL&gt;&lt;Q&gt;CRWV^FE_ESTIMATE(NEW_ORDERS_VALUE,MEAN,QUARTERLY_ROLL,2023/2F,45790,,,'')&lt;/Q&gt;&lt;R&gt;0&lt;/R&gt;&lt;C&gt;0&lt;/C&gt;&lt;/FQL&gt;&lt;FQL&gt;&lt;Q&gt;CRWV^FE_ESTIMATE(NEW_ORDERS_VALUE,MEAN,QUARTERLY_ROLL,2023/1F,45790,,,'')&lt;/Q&gt;&lt;R&gt;0&lt;/R&gt;&lt;C&gt;0&lt;/C&gt;&lt;/FQL&gt;&lt;FQL&gt;&lt;Q&gt;CRWV^FE_ESTIMATE(NEW_ORDERS_VALUE,MEAN,ANNUAL_ROLL,2022,45790,,,'')&lt;/Q&gt;&lt;R&gt;0&lt;/R&gt;&lt;C&gt;0&lt;/C&gt;&lt;/FQL&gt;&lt;FQL&gt;&lt;Q&gt;CRWV^FE_ESTIMATE(NEW_ORDERS_VALUE,MEAN,QUARTERLY_ROLL,2022/4F,45790,,,'')&lt;/Q&gt;&lt;R&gt;0&lt;/R&gt;&lt;C&gt;0&lt;/C&gt;&lt;/FQL&gt;&lt;FQL&gt;&lt;Q&gt;CRWV^FE_ESTIMATE(NEW_ORDERS_VALUE,MEAN,QUARTERLY_ROLL,2022/3F,45790,,,'')&lt;/Q&gt;&lt;R&gt;0&lt;/R&gt;&lt;C&gt;0&lt;/C&gt;&lt;/FQL&gt;&lt;FQL&gt;&lt;Q&gt;CRWV^FE_ESTIMATE(NEW_ORDERS_VALUE,MEAN,QUARTERLY_ROLL,2022/2F,45790,,,'')&lt;/Q&gt;&lt;R&gt;0&lt;/R&gt;&lt;C&gt;0&lt;/C&gt;&lt;/FQL&gt;&lt;FQL&gt;&lt;Q&gt;CRWV^FE_ESTIMATE(NEW_ORDERS_VALUE,MEAN,QUARTERLY_ROLL,2022/1F,45790,,,'')&lt;/Q&gt;&lt;R&gt;0&lt;/R&gt;&lt;C&gt;0&lt;/C&gt;&lt;/FQL&gt;&lt;FQL&gt;&lt;Q&gt;CRWV^FE_ESTIMATE(TOTALDEBT,MEAN,ANNUAL_ROLL,2029,45790,,,'')&lt;/Q&gt;&lt;R&gt;1&lt;/R&gt;&lt;C&gt;1&lt;/C&gt;&lt;D xsi:type="xsd:double"&gt;29399.7&lt;/D&gt;&lt;/FQL&gt;&lt;FQL&gt;&lt;Q&gt;CRWV^FE_ESTIMATE(TOTALDEBT,MEAN,QUARTERLY_ROLL,2029/4F,45790,,,'')&lt;/Q&gt;&lt;R&gt;0&lt;/R&gt;&lt;C&gt;0&lt;/C&gt;&lt;/FQL&gt;&lt;FQL&gt;&lt;Q&gt;CRWV^FE_ESTIMATE(TOTALDEBT,MEAN,QUARTERLY_ROLL,2029/3F,45790,,,'')&lt;/Q&gt;&lt;R&gt;0&lt;/R&gt;&lt;C&gt;0&lt;/C&gt;&lt;/FQL&gt;&lt;FQL&gt;&lt;Q&gt;CRWV^FE_ESTIMATE(TOTALDEBT,MEAN,QUARTERLY_ROLL,2029/2F,45790,,,'')&lt;/Q&gt;&lt;R&gt;0&lt;/R&gt;&lt;C&gt;0&lt;/C&gt;&lt;/FQL&gt;&lt;FQL&gt;&lt;Q&gt;CRWV^FE_ESTIMATE(TOTALDEBT,MEAN,QUARTERLY_ROLL,2029/1F,45790,,,'')&lt;/Q&gt;&lt;R&gt;0&lt;/R&gt;&lt;C&gt;0&lt;/C&gt;&lt;/FQL&gt;&lt;FQL&gt;&lt;Q&gt;CRWV^FE_ESTIMATE(TOTALDEBT,MEAN,ANNUAL_ROLL,2028,45790,,,'')&lt;/Q&gt;&lt;R&gt;1&lt;/R&gt;&lt;C&gt;1&lt;/C&gt;&lt;D xsi:type="xsd:double"&gt;29330.2&lt;/D&gt;&lt;/FQL&gt;&lt;FQL&gt;&lt;Q&gt;CRWV^FE_ESTIMATE(TOTALDEBT,MEAN,QUARTERLY_ROLL,2028/4F,45790,,,'')&lt;/Q&gt;&lt;R&gt;0&lt;/R&gt;&lt;C&gt;0&lt;/C&gt;&lt;/FQL&gt;&lt;FQL&gt;&lt;Q&gt;CRWV^FE_ESTIMATE(TOTALDEBT,MEAN,QUARTERLY_ROLL,2028/3F,45790,,,'')&lt;/Q&gt;&lt;R&gt;0&lt;/R&gt;&lt;C&gt;0&lt;/C&gt;&lt;/FQL&gt;&lt;FQL&gt;&lt;Q&gt;CRWV^FE_ESTIMATE(TOTALDEBT,MEAN,QUARTERLY_ROLL,2028/2F,45790,,,'')&lt;/Q&gt;&lt;R&gt;0&lt;/R&gt;&lt;C&gt;0&lt;/C&gt;&lt;/FQL&gt;&lt;FQL&gt;&lt;Q&gt;CRWV^FE_ESTIMATE(TOTALDEBT,MEAN,QUARTERLY_ROLL,2028/1F,45790,,,'')&lt;/Q&gt;&lt;R&gt;0&lt;/R&gt;&lt;C&gt;0&lt;/C&gt;&lt;/FQL&gt;&lt;FQL&gt;&lt;Q&gt;CRWV^FE_ESTIMATE(TOTALDEBT,MEAN,ANNUAL_ROLL,2027,45790,,,'')&lt;/Q&gt;&lt;R&gt;1&lt;/R&gt;&lt;C&gt;1&lt;/C&gt;&lt;D xsi:type="xsd:double"&gt;32753.871&lt;/D&gt;&lt;/FQL&gt;&lt;FQL&gt;&lt;Q&gt;CRWV^FE_ESTIMATE(TOTALDEBT,MEAN,QUARTERLY_ROLL,2027/4F,45790,,,'')&lt;/Q&gt;&lt;R&gt;1&lt;/R&gt;&lt;C&gt;1&lt;/C&gt;&lt;D xsi:type="xsd:double"&gt;32127&lt;/D&gt;&lt;/FQL&gt;&lt;FQL&gt;&lt;Q&gt;CRWV^FE_ESTIMATE(TOTALDEBT,MEAN,QUARTERLY_ROLL,2027/3F,45790,,,'')&lt;/Q&gt;&lt;R&gt;1&lt;/R&gt;&lt;C&gt;1&lt;/C&gt;&lt;D xsi:type="xsd:double"&gt;32873&lt;/D&gt;&lt;/FQL&gt;&lt;FQL&gt;&lt;Q&gt;CRWV^FE_ESTIMATE(TOTALDEBT,MEAN,QUARTERLY_ROLL,2027/2F,45790,,,'')&lt;/Q&gt;&lt;R&gt;1&lt;/R&gt;&lt;C&gt;1&lt;/C&gt;&lt;D xsi:type="xsd:double"&gt;32974&lt;/D&gt;&lt;/FQL&gt;&lt;FQL&gt;&lt;Q&gt;CRWV^FE_ESTIMATE(TOTALDEBT,MEAN,QUARTERLY_ROLL,2027/1F,45790,,,'')&lt;/Q&gt;&lt;R&gt;1&lt;/R&gt;&lt;C&gt;1&lt;/C&gt;&lt;D xsi:type="xsd:double"&gt;32421&lt;/D&gt;&lt;/FQL&gt;&lt;FQL&gt;&lt;Q&gt;CRWV^FE_ESTIMATE(TOTALDEBT,MEAN,ANNUAL_ROLL,2026,45790,,,'')&lt;/Q&gt;&lt;R&gt;1&lt;/R&gt;&lt;C&gt;1&lt;/C&gt;&lt;D xsi:type="xsd:double"&gt;28912.479&lt;/D&gt;&lt;/FQL&gt;&lt;FQL&gt;&lt;Q&gt;CRWV^FE_ESTIMATE(TOTALDEBT,MEAN,QUARTERLY_ROLL,2026/4F,45790,,,'')&lt;/Q&gt;&lt;R&gt;1&lt;/R&gt;&lt;C&gt;1&lt;/C&gt;&lt;D xsi:type="xsd:double"&gt;30389&lt;/D&gt;&lt;/FQL&gt;&lt;FQL&gt;&lt;Q&gt;CRWV^FE_ESTIMATE(TOTALDEBT,MEAN,QUARTERLY_ROLL,2026/3F,45790,,,'')&lt;/Q&gt;&lt;R&gt;1&lt;/R&gt;&lt;C&gt;1&lt;/C&gt;&lt;D xsi:type="xsd:double"&gt;29448&lt;/D&gt;&lt;/FQL&gt;&lt;FQL&gt;&lt;Q&gt;CRWV^FE_ESTIMATE(TOTALDEBT,MEAN,QUARTERLY_ROLL,2026/2F,45790,,,'')&lt;/Q&gt;&lt;R&gt;1&lt;/R&gt;&lt;C&gt;1&lt;/C&gt;&lt;D xsi:type="xsd:double"&gt;27163&lt;/D&gt;&lt;/FQL&gt;&lt;FQL&gt;&lt;Q&gt;CRWV^FE_ESTIMATE(TOTALDEBT,MEAN,QUARTERLY_ROLL,2026/1F,45790,,,'')&lt;/Q&gt;&lt;R&gt;1&lt;/R&gt;&lt;C&gt;1&lt;/C&gt;&lt;D xsi:type="xsd:double"&gt;24580&lt;/D&gt;&lt;/FQL&gt;&lt;FQL&gt;&lt;Q&gt;CRWV^FE_ESTIMATE(TOTALDEBT,MEAN,ANNUAL_ROLL,2025,45790,,,'')&lt;/Q&gt;&lt;R&gt;1&lt;/R&gt;&lt;C&gt;1&lt;/C&gt;&lt;D xsi:type="xsd:double"&gt;20852.191&lt;/D&gt;&lt;/FQL&gt;&lt;FQL&gt;&lt;Q&gt;CRWV^FE_ESTIMATE(TOTALDEBT,MEAN,QUARTERLY_ROLL,2025/4F,45790,,,'')&lt;/Q&gt;&lt;R&gt;1&lt;/R&gt;&lt;C&gt;1&lt;/C&gt;&lt;D xsi:type="xsd:double"&gt;20810.268&lt;/D&gt;&lt;/FQL&gt;&lt;FQL&gt;&lt;Q&gt;CRWV^FE_ESTIMATE(TOTALDEBT,MEAN,QUARTERLY_ROLL,2025/3F,45790,,,'')&lt;/Q&gt;&lt;R&gt;1&lt;/R&gt;&lt;C&gt;1&lt;/C&gt;&lt;D xsi:type="xsd:double"&gt;16989.533&lt;/D&gt;&lt;/FQL&gt;&lt;FQL&gt;&lt;Q&gt;CRWV^FE_ESTIMATE(TOTALDEBT,MEAN,QUARTERLY_ROLL,2025/2F,45790,,,'')&lt;/Q&gt;&lt;R&gt;1&lt;/R&gt;&lt;C&gt;1&lt;/C&gt;&lt;D xsi:type="xsd:double"&gt;12574.134&lt;/D&gt;&lt;/FQL&gt;&lt;FQL&gt;&lt;Q&gt;CRWV^FE_ESTIMATE(TOTALDEBT,MEAN,QUARTERLY_ROLL,2025/1F,45790,,,'')&lt;/Q&gt;&lt;R&gt;1&lt;/R&gt;&lt;C&gt;1&lt;/C&gt;&lt;D xsi:type="xsd:double"&gt;9152.434&lt;/D&gt;&lt;/FQL&gt;&lt;FQL&gt;&lt;Q&gt;CRWV^FE_ESTIMATE(TOTALDEBT,MEAN,ANNUAL_ROLL,2024,45790,,,'')&lt;/Q&gt;&lt;R&gt;1&lt;/R&gt;&lt;C&gt;1&lt;/C&gt;&lt;D xsi:type="xsd:double"&gt;7949.16&lt;/D&gt;&lt;/FQL&gt;&lt;FQL&gt;&lt;Q&gt;CRWV^FE_ESTIMATE(TOTALDEBT,MEAN,QUARTERLY_ROLL,2024/4F,45790,,,'')&lt;/Q&gt;&lt;R&gt;1&lt;/R&gt;&lt;C&gt;1&lt;/C&gt;&lt;D xsi:type="xsd:double"&gt;7956.7666&lt;/D&gt;&lt;/FQL&gt;&lt;FQL&gt;&lt;Q&gt;CRWV^FE_ESTIMATE(TOTALDEBT,MEAN,QUARTERLY_ROLL,2024/3F,45790,,,'')&lt;/Q&gt;&lt;R&gt;0&lt;/R&gt;&lt;C&gt;0&lt;/C&gt;&lt;/FQL&gt;&lt;FQL&gt;&lt;Q&gt;CRWV^FE_ESTIMATE(TOTALDEBT,MEAN,QUARTERLY_ROLL,2024/2F,45790,,,'')&lt;/Q&gt;&lt;R&gt;0&lt;/R&gt;&lt;C&gt;0&lt;/C&gt;&lt;/FQL&gt;&lt;FQL&gt;&lt;Q&gt;CRWV^FE_ESTIMATE(TOTALDEBT,MEAN,QUARTERLY_ROLL,2024/1F,45790,,,'')&lt;/Q&gt;&lt;R&gt;0&lt;/R&gt;&lt;C&gt;0&lt;/C&gt;&lt;/FQL&gt;&lt;FQL&gt;&lt;Q&gt;CRWV^FE_ESTIMATE(TOTALDEBT,MEAN,ANNUAL_ROLL,2023,45790,,,'')&lt;/Q&gt;&lt;R&gt;0&lt;/R&gt;&lt;C&gt;0&lt;/C&gt;&lt;/FQL&gt;&lt;FQL&gt;&lt;Q&gt;CRWV^FE_ESTIMATE(TOTALDEBT,MEAN,QUARTERLY_ROLL,2023/4F,45790,,,'')&lt;/Q&gt;&lt;R&gt;0&lt;/R&gt;&lt;C&gt;0&lt;/C&gt;&lt;/FQL&gt;&lt;FQL&gt;&lt;Q&gt;CRWV^FE_ESTIMATE(TOTALDEBT,MEAN,QUARTERLY_ROLL,2023/3F,45790,,,'')&lt;/Q&gt;&lt;R&gt;0&lt;/R&gt;&lt;C&gt;0&lt;/C&gt;&lt;/FQL&gt;&lt;FQL&gt;&lt;Q&gt;CRWV^FE_ESTIMATE(TOTALDEBT,MEAN,QUARTERLY_ROLL,2023/2F,45790,,,'')&lt;/Q&gt;&lt;R&gt;0&lt;/R&gt;&lt;C&gt;0&lt;/C&gt;&lt;/FQL&gt;&lt;FQL&gt;&lt;Q&gt;CRWV^FE_ESTIMATE(TOTALDEBT,MEAN,QUARTERLY_ROLL,2023/1F,45790,,,'')&lt;/Q&gt;&lt;R&gt;0&lt;/R&gt;&lt;C&gt;0&lt;/C&gt;&lt;/FQL&gt;&lt;FQL&gt;&lt;Q&gt;CRWV^FE_ESTIMATE(TOTALDEBT,MEAN,ANNUAL_ROLL,2022,45790,,,'')&lt;/Q&gt;&lt;R&gt;0&lt;/R&gt;&lt;C&gt;0&lt;/C&gt;&lt;/FQL&gt;&lt;FQL&gt;&lt;Q&gt;CRWV^FE_ESTIMATE(TOTALDEBT,MEAN,QUARTERLY_ROLL,2022/4F,45790,,,'')&lt;/Q&gt;&lt;R&gt;0&lt;/R&gt;&lt;C&gt;0&lt;/C&gt;&lt;/FQL&gt;&lt;FQL&gt;&lt;Q&gt;CRWV^FE_ESTIMATE(TOTALDEBT,MEAN,QUARTERLY_ROLL,2022/3F,45790,,,'')&lt;/Q&gt;&lt;R&gt;0&lt;/R&gt;&lt;C&gt;0&lt;/C&gt;&lt;/FQL&gt;&lt;FQL&gt;&lt;Q&gt;CRWV^FE_ESTIMATE(TOTALDEBT,MEAN,QUARTERLY_ROLL,2022/2F,45790,,,'')&lt;/Q&gt;&lt;R&gt;0&lt;/R&gt;&lt;C&gt;0&lt;/C&gt;&lt;/FQL&gt;&lt;FQL&gt;&lt;Q&gt;CRWV^FE_ESTIMATE(TOTALDEBT,MEAN,QUARTERLY_ROLL,2022/1F,45790,,,'')&lt;/Q&gt;&lt;R&gt;0&lt;/R&gt;&lt;C&gt;0&lt;/C&gt;&lt;/FQL&gt;&lt;FQL&gt;&lt;Q&gt;CRWV^FE_ESTIMATE(DEFREVENUE,MEAN,ANNUAL_ROLL,2029,45790,,,'')&lt;/Q&gt;&lt;R&gt;0&lt;/R&gt;&lt;C&gt;0&lt;/C&gt;&lt;/FQL&gt;&lt;FQL&gt;&lt;Q&gt;CRWV^FE_ESTIMATE(DEFREVENUE,MEAN,QUARTERLY_ROLL,2029/4F,45790,,,'')&lt;/Q&gt;&lt;R&gt;0&lt;/R&gt;&lt;C&gt;0&lt;/C&gt;&lt;/FQL&gt;&lt;FQL&gt;&lt;Q&gt;CRWV^FE_ESTIMATE(DEFREVENUE,MEAN,QUARTERLY_ROLL,2029/3F,45790,,,'')&lt;/Q&gt;&lt;R&gt;0&lt;/R&gt;&lt;C&gt;0&lt;/C&gt;&lt;/FQL&gt;&lt;FQL&gt;&lt;Q&gt;CRWV^FE_ESTIMATE(DEFREVENUE,MEAN,QUARTERLY_ROLL,2029/2F,45790,,,'')&lt;/Q&gt;&lt;R&gt;0&lt;/R&gt;&lt;C&gt;0&lt;/C&gt;&lt;/FQL&gt;&lt;FQL&gt;&lt;Q&gt;CRWV^FE_ESTIMATE(DEFREVENUE,MEAN,QUARTERLY_ROLL,2029/1F,45790,,,'')&lt;/Q&gt;&lt;R&gt;0&lt;/R&gt;&lt;C&gt;0&lt;/C&gt;&lt;/FQL&gt;&lt;FQL&gt;&lt;Q&gt;CRWV^FE_ESTIMATE(DEFREVENUE,MEAN,ANNUAL_ROLL,2028,45790,,,'')&lt;/Q&gt;&lt;R&gt;0&lt;/R&gt;&lt;C&gt;0&lt;/C&gt;&lt;/FQL&gt;&lt;FQL&gt;&lt;Q&gt;CRWV^FE_ESTIMATE(DEFREVENUE,MEAN,QUARTERLY_ROLL,2028/4F,45790,,,'')&lt;/Q&gt;&lt;R&gt;0&lt;/R&gt;&lt;C&gt;0&lt;/C&gt;&lt;/FQL&gt;&lt;FQL&gt;&lt;Q&gt;CRWV^FE_ESTIMATE(DEFREVENUE,MEAN,QUARTERLY_ROLL,2028/3F,45790,,,'')&lt;/Q&gt;&lt;R&gt;0&lt;/R&gt;&lt;C&gt;0&lt;/C&gt;&lt;/FQL&gt;&lt;FQL&gt;&lt;Q&gt;CRWV^FE_ESTIMATE(DEFREVENUE,MEAN,QUARTERLY_ROLL,2028/2F,45790,,,'')&lt;/Q&gt;&lt;R&gt;0&lt;/R&gt;&lt;C&gt;0&lt;/C&gt;&lt;/FQL&gt;&lt;FQL&gt;&lt;Q&gt;CRWV^FE_ESTIMATE(DEFREVENUE,MEAN,QUARTERLY_ROLL,2028/1F,45790,,,'')&lt;/Q&gt;&lt;R&gt;0&lt;/R&gt;&lt;C&gt;0&lt;/C&gt;&lt;/FQL&gt;&lt;FQL&gt;&lt;Q&gt;CRWV^FE_ESTIMATE(DEFREVENUE,MEAN,ANNUAL_ROLL,2027,45790,,,'')&lt;/Q&gt;&lt;R&gt;0&lt;/R&gt;&lt;C&gt;0&lt;/C&gt;&lt;/FQL&gt;&lt;FQL&gt;&lt;Q&gt;CRWV^FE_ESTIMATE(DEFREVENUE,MEAN,QUARTERLY_ROLL,2027/4F,45790,,,'')&lt;/Q&gt;&lt;R&gt;0&lt;/R&gt;&lt;C&gt;0&lt;/C&gt;&lt;/FQL&gt;&lt;FQL&gt;&lt;Q&gt;CRWV^FE_ESTIMATE(DEFREVENUE,MEAN,QUARTERLY_ROLL,2027/3F,45790,,,'')&lt;/Q&gt;&lt;R&gt;0&lt;/R&gt;&lt;C&gt;0&lt;/C&gt;&lt;/FQL&gt;&lt;FQL&gt;&lt;Q&gt;CRWV^FE_ESTIMATE(DEFREVENUE,MEAN,QUARTERLY_ROLL,2027/2F,45790,,,'')&lt;/Q&gt;&lt;R&gt;0&lt;/R&gt;&lt;C&gt;0&lt;/C&gt;&lt;/FQL&gt;&lt;FQL&gt;&lt;Q&gt;CRWV^FE_ESTIMATE(DEFREVENUE,MEAN,QUARTERLY_ROLL,2027/1F,45790,,,'')&lt;/Q&gt;&lt;R&gt;0&lt;/R&gt;&lt;C&gt;0&lt;/C&gt;&lt;/FQL&gt;&lt;FQL&gt;&lt;Q&gt;CRWV^FE_ESTIMATE(DEFREVENUE,MEAN,ANNUAL_ROLL,2026,45790,,,'')&lt;/Q&gt;&lt;R&gt;0&lt;/R&gt;&lt;C&gt;0&lt;/C&gt;&lt;/FQL&gt;&lt;FQL&gt;&lt;Q&gt;CRWV^FE_ESTIMATE(DEFREVENUE,MEAN,QUARTERLY_ROLL,2026/4F,45790,,,'')&lt;/Q&gt;&lt;R&gt;0&lt;/R&gt;&lt;C&gt;0&lt;/C&gt;&lt;/FQL&gt;&lt;FQL&gt;&lt;Q&gt;CRWV^FE_ESTIMATE(DEFREVENUE,MEAN,QUARTERLY_ROLL,2026/3F,45790,,,'')&lt;/Q&gt;&lt;R&gt;0&lt;/R&gt;&lt;C&gt;0&lt;/C&gt;&lt;/FQL&gt;&lt;FQL&gt;&lt;Q&gt;CRWV^FE_ESTIMATE(DEFREVENUE,MEAN,QUARTERLY_ROLL,2026/2F,45790,,,'')&lt;/Q&gt;&lt;R&gt;0&lt;/R&gt;&lt;C&gt;0&lt;/C&gt;&lt;/FQL&gt;&lt;FQL&gt;&lt;Q&gt;CRWV^FE_ESTIMATE(DEFREVENUE,MEAN,QUARTERLY_ROLL,2026/1F,45790,,,'')&lt;/Q&gt;&lt;R&gt;0&lt;/R&gt;&lt;C&gt;0&lt;/C&gt;&lt;/FQL&gt;&lt;FQL&gt;&lt;Q&gt;CRWV^FE_ESTIMATE(DEFREVENUE,MEAN,ANNUAL_ROLL,2025,45790,,,'')&lt;/Q&gt;&lt;R&gt;0&lt;/R&gt;&lt;C&gt;0&lt;/C&gt;&lt;/FQL&gt;&lt;FQL&gt;&lt;Q&gt;CRWV^FE_ESTIMATE(DEFREVENUE,MEAN,QUARTERLY_ROLL,2025/4F,45790,,,'')&lt;/Q&gt;&lt;R&gt;0&lt;/R&gt;&lt;C&gt;0&lt;/C&gt;&lt;/FQL&gt;&lt;FQL&gt;&lt;Q&gt;CRWV^FE_ESTIMATE(DEFREVENUE,MEAN,QUARTERLY_ROLL,2025/3F,45790,,,'')&lt;/Q&gt;&lt;R&gt;0&lt;/R&gt;&lt;C&gt;0&lt;/C&gt;&lt;/FQL&gt;&lt;FQL&gt;&lt;Q&gt;CRWV^FE_ESTIMATE(DEFREVENUE,MEAN,QUARTERLY_ROLL,2025/2F,45790,,,'')&lt;/Q&gt;&lt;R&gt;0&lt;/R&gt;&lt;C&gt;0&lt;/C&gt;&lt;/FQL&gt;&lt;FQL&gt;&lt;Q&gt;CRWV^FE_ESTIMATE(DEFREVENUE,MEAN,QUARTERLY_ROLL,2025/1F,45790,,,'')&lt;/Q&gt;&lt;R&gt;0&lt;/R&gt;&lt;C&gt;0&lt;/C&gt;&lt;/FQL&gt;&lt;FQL&gt;&lt;Q&gt;CRWV^FE_ESTIMATE(DEFREVENUE,MEAN,ANNUAL_ROLL,2024,45790,,,'')&lt;/Q&gt;&lt;R&gt;0&lt;/R&gt;&lt;C&gt;0&lt;/C&gt;&lt;/FQL&gt;&lt;FQL&gt;&lt;Q&gt;CRWV^FE_ESTIMATE(DEFREVENUE,MEAN,QUARTERLY_ROLL,2024/4F,45790,,,'')&lt;/Q&gt;&lt;R&gt;0&lt;/R&gt;&lt;C&gt;0&lt;/C&gt;&lt;/FQL&gt;&lt;FQL&gt;&lt;Q&gt;CRWV^FE_ESTIMATE(DEFREVENUE,MEAN,QUARTERLY_ROLL,2024/3F,45790,,,'')&lt;/Q&gt;&lt;R&gt;0&lt;/R&gt;&lt;C&gt;0&lt;/C&gt;&lt;/FQL&gt;&lt;FQL&gt;&lt;Q&gt;CRWV^FE_ESTIMATE(DEFREVENUE,MEAN,QUARTERLY_ROLL,2024/2F,45790,,,'')&lt;/Q&gt;&lt;R&gt;0&lt;/R&gt;&lt;C&gt;0&lt;/C&gt;&lt;/FQL&gt;&lt;FQL&gt;&lt;Q&gt;CRWV^FE_ESTIMATE(DEFREVENUE,MEAN,QUARTERLY_ROLL,2024/1F,45790,,,'')&lt;/Q&gt;&lt;R&gt;0&lt;/R&gt;&lt;C&gt;0&lt;/C&gt;&lt;/FQL&gt;&lt;FQL&gt;&lt;Q&gt;CRWV^FE_ESTIMATE(DEFREVENUE,MEAN,ANNUAL_ROLL,2023,45790,,,'')&lt;/Q&gt;&lt;R&gt;0&lt;/R&gt;&lt;C&gt;0&lt;/C&gt;&lt;/FQL&gt;&lt;FQL&gt;&lt;Q&gt;CRWV^FE_ESTIMATE(DEFREVENUE,MEAN,QUARTERLY_ROLL,2023/4F,45790,,,'')&lt;/Q&gt;&lt;R&gt;0&lt;/R&gt;&lt;C&gt;0&lt;/C&gt;&lt;/FQL&gt;&lt;FQL&gt;&lt;Q&gt;CRWV^FE_ESTIMATE(DEFREVENUE,MEAN,QUARTERLY_ROLL,2023/3F,45790,,,'')&lt;/Q&gt;&lt;R&gt;0&lt;/R&gt;&lt;C&gt;0&lt;/C&gt;&lt;/FQL&gt;&lt;FQL&gt;&lt;Q&gt;CRWV^FE_ESTIMATE(DEFREVENUE,MEAN,QUARTERLY_ROLL,2023/2F,45790,,,'')&lt;/Q&gt;&lt;R&gt;0&lt;/R&gt;&lt;C&gt;0&lt;/C&gt;&lt;/FQL&gt;&lt;FQL&gt;&lt;Q&gt;CRWV^FE_ESTIMATE(DEFREVENUE,MEAN,QUARTERLY_ROLL,2023/1F,45790,,,'')&lt;/Q&gt;&lt;R&gt;0&lt;/R&gt;&lt;C&gt;0&lt;/C&gt;&lt;/FQL&gt;&lt;FQL&gt;&lt;Q&gt;CRWV^FE_ESTIMATE(DEFREVENUE,MEAN,ANNUAL_ROLL,2022,45790,,,'')&lt;/Q&gt;&lt;R&gt;0&lt;/R&gt;&lt;C&gt;0&lt;/C&gt;&lt;/FQL&gt;&lt;FQL&gt;&lt;Q&gt;CRWV^FE_ESTIMATE(DEFREVENUE,MEAN,QUARTERLY_ROLL,2022/4F,45790,,,'')&lt;/Q&gt;&lt;R&gt;0&lt;/R&gt;&lt;C&gt;0&lt;/C&gt;&lt;/FQL&gt;&lt;FQL&gt;&lt;Q&gt;CRWV^FE_ESTIMATE(DEFREVENUE,MEAN,QUARTERLY_ROLL,2022/3F,45790,,,'')&lt;/Q&gt;&lt;R&gt;0&lt;/R&gt;&lt;C&gt;0&lt;/C&gt;&lt;/FQL&gt;&lt;FQL&gt;&lt;Q&gt;CRWV^FE_ESTIMATE(DEFREVENUE,MEAN,QUARTERLY_ROLL,2022/2F,45790,,,'')&lt;/Q&gt;&lt;R&gt;0&lt;/R&gt;&lt;C&gt;0&lt;/C&gt;&lt;/FQL&gt;&lt;FQL&gt;&lt;Q&gt;CRWV^FE_ESTIMATE(DEFREVENUE,MEAN,QUARTERLY_ROLL,2022/1F,45790,,,'')&lt;/Q&gt;&lt;R&gt;0&lt;/R&gt;&lt;C&gt;0&lt;/C&gt;&lt;/FQL&gt;&lt;FQL&gt;&lt;Q&gt;CRWV^FE_ESTIMATE(DEFREVENUE_LT,MEAN,ANNUAL_ROLL,2029,45790,,,'')&lt;/Q&gt;&lt;R&gt;0&lt;/R&gt;&lt;C&gt;0&lt;/C&gt;&lt;/FQL&gt;&lt;FQL&gt;&lt;Q&gt;CRWV^FE_ESTIMATE(DEFREVENUE_LT,MEAN,QUARTERLY_ROLL,2029/4F,45790,,,'')&lt;/Q&gt;&lt;R&gt;0&lt;/R&gt;&lt;C&gt;0&lt;/C&gt;&lt;/FQL&gt;&lt;FQL&gt;&lt;Q&gt;CRWV^FE_ESTIMATE(DEFREVENUE_LT,MEAN,QUARTERLY_ROLL,2029/3F,45790,,,'')&lt;/Q&gt;&lt;R&gt;0&lt;/R&gt;&lt;C&gt;0&lt;/C&gt;&lt;/FQL&gt;&lt;FQL&gt;&lt;Q&gt;CRWV^FE_ESTIMATE(DEFREVENUE_LT,MEAN,QUARTERLY_ROLL,2029/2F,45790,,,'')&lt;/Q&gt;&lt;R&gt;0&lt;/R&gt;&lt;C&gt;0&lt;/C&gt;&lt;/FQL&gt;&lt;FQL&gt;&lt;Q&gt;CRWV^FE_ESTIMATE(DEFREVENUE_LT,MEAN,QUARTERLY_ROLL,2029/1F,45790,,,'')&lt;/Q&gt;&lt;R&gt;0&lt;/R&gt;&lt;C&gt;0&lt;/C&gt;&lt;/FQL&gt;&lt;FQL&gt;&lt;Q&gt;CRWV^FE_ESTIMATE(DEFREVENUE_LT,MEAN,ANNUAL_ROLL,2028,45790,,,'')&lt;/Q&gt;&lt;R&gt;0&lt;/R&gt;&lt;C&gt;0&lt;/C&gt;&lt;/FQL&gt;&lt;FQL&gt;&lt;Q&gt;CRWV^FE_ESTIMATE(DEFREVENUE_LT,MEAN,QUARTERLY_ROLL,2028/4F,45790,,,'')&lt;/Q&gt;&lt;R&gt;0&lt;/R&gt;&lt;C&gt;0&lt;/C&gt;&lt;/FQL&gt;&lt;FQL&gt;&lt;Q&gt;CRWV^FE_ESTIMATE(DEFREVENUE_LT,MEAN,QUARTERLY_ROLL,2028/3F,45790,,,'')&lt;/Q&gt;&lt;R&gt;0&lt;/R&gt;&lt;C&gt;0&lt;/C&gt;&lt;/FQL&gt;&lt;FQL&gt;&lt;Q&gt;CRWV^FE_ESTIMATE(DEFREVENUE_LT,MEAN,QUARTERLY_ROLL,2028/2F,45790,,,'')&lt;/Q&gt;&lt;R&gt;0&lt;/R&gt;&lt;C&gt;0&lt;/C&gt;&lt;/FQL&gt;&lt;FQL&gt;&lt;Q&gt;CRWV^FE_ESTIMATE(DEFREVENUE_LT,MEAN,QUARTERLY_ROLL,2028/1F,45790,,,'')&lt;/Q&gt;&lt;R&gt;0&lt;/R&gt;&lt;C&gt;0&lt;/C&gt;&lt;/FQL&gt;&lt;FQL&gt;&lt;Q&gt;CRWV^FE_ESTIMATE(DEFREVENUE_LT,MEAN,ANNUAL_ROLL,2027,45790,,,'')&lt;/Q&gt;&lt;R&gt;0&lt;/R&gt;&lt;C&gt;0&lt;/C&gt;&lt;/FQL&gt;&lt;FQL&gt;&lt;Q&gt;CRWV^FE_ESTIMATE(DEFREVENUE_LT,MEAN,QUARTERLY_ROLL,2027/4F,45790,,,'')&lt;/Q&gt;&lt;R&gt;0&lt;/R&gt;&lt;C&gt;0&lt;/C&gt;&lt;/FQL&gt;&lt;FQL&gt;&lt;Q&gt;CRWV^FE_ESTIMATE(DEFREVENUE_LT,MEAN,QUARTERLY_ROLL,2027/3F,45790,,,'')&lt;/Q&gt;&lt;R&gt;0&lt;/R&gt;&lt;C&gt;0&lt;/C&gt;&lt;/FQL&gt;&lt;FQL&gt;&lt;Q&gt;CRWV^FE_ESTIMATE(DEFREVENUE_LT,MEAN,QUARTERLY_ROLL,2027/2F,45790,,,'')&lt;/Q&gt;&lt;R&gt;0&lt;/R&gt;&lt;C&gt;0&lt;/C&gt;&lt;/FQL&gt;&lt;FQL&gt;&lt;Q&gt;CRWV^FE_ESTIMATE(DEFREVENUE_LT,MEAN,QUARTERLY_ROLL,2027/1F,45790,,,'')&lt;/Q&gt;&lt;R&gt;0&lt;/R&gt;&lt;C&gt;0&lt;/C&gt;&lt;/FQL&gt;&lt;FQL&gt;&lt;Q&gt;CRWV^FE_ESTIMATE(DEFREVENUE_LT,MEAN,ANNUAL_ROLL,2026,45790,,,'')&lt;/Q&gt;&lt;R&gt;0&lt;/R&gt;&lt;C&gt;0&lt;/C&gt;&lt;/FQL&gt;&lt;FQL&gt;&lt;Q&gt;CRWV^FE_ESTIMATE(DEFREVENUE_LT,MEAN,QUARTERLY_ROLL,2026/4F,45790,,,'')&lt;/Q&gt;&lt;R&gt;0&lt;/R&gt;&lt;C&gt;0&lt;/C&gt;&lt;/FQL&gt;&lt;FQL&gt;&lt;Q&gt;CRWV^FE_ESTIMATE(DEFREVENUE_LT,MEAN,QUARTERLY_ROLL,2026/3F,45790,,,'')&lt;/Q&gt;&lt;R&gt;0&lt;/R&gt;&lt;C&gt;0&lt;/C&gt;&lt;/FQL&gt;&lt;FQL&gt;&lt;Q&gt;CRWV^FE_ESTIMATE(DEFREVENUE_LT,MEAN,QUARTERLY_ROLL,2026/2F,45790,,,'')&lt;/Q&gt;&lt;R&gt;0&lt;/R&gt;&lt;C&gt;0&lt;/C&gt;&lt;/FQL&gt;&lt;FQL&gt;&lt;Q&gt;CRWV^FE_ESTIMATE(DEFREVENUE_LT,MEAN,QUARTERLY_ROLL,2026/1F,45790,,,'')&lt;/Q&gt;&lt;R&gt;0&lt;/R&gt;&lt;C&gt;0&lt;/C&gt;&lt;/FQL&gt;&lt;FQL&gt;&lt;Q&gt;CRWV^FE_ESTIMATE(DEFREVENUE_LT,MEAN,ANNUAL_ROLL,2025,45790,,,'')&lt;/Q&gt;&lt;R&gt;0&lt;/R&gt;&lt;C&gt;0&lt;/C&gt;&lt;/FQL&gt;&lt;FQL&gt;&lt;Q&gt;CRWV^FE_ESTIMATE(DEFREVENUE_LT,MEAN,QUARTERLY_ROLL,2025/4F,45790,,,'')&lt;/Q&gt;&lt;R&gt;0&lt;/R&gt;&lt;C&gt;0&lt;/C&gt;&lt;/FQL&gt;&lt;FQL&gt;&lt;Q&gt;CRWV^FE_ESTIMATE(DEFREVENUE_LT,MEAN,QUARTERLY_ROLL,2025/3F,45790,,,'')&lt;/Q&gt;&lt;R&gt;0&lt;/R&gt;&lt;C&gt;0&lt;/C&gt;&lt;/FQL&gt;&lt;FQL&gt;&lt;Q&gt;CRWV^FE_ESTIMATE(DEFREVENUE_LT,MEAN,QUARTERLY_ROLL,2025/2F,45790,,,'')&lt;/Q&gt;&lt;R&gt;0&lt;/R&gt;&lt;C&gt;0&lt;/C&gt;&lt;/FQL&gt;&lt;FQL&gt;&lt;Q&gt;CRWV^FE_ESTIMATE(DEFREVENUE_LT,MEAN,QUARTERLY_ROLL,2025/1F,45790,,,'')&lt;/Q&gt;&lt;R&gt;0&lt;/R&gt;&lt;C&gt;0&lt;/C&gt;&lt;/FQL&gt;&lt;FQL&gt;&lt;Q&gt;CRWV^FE_ESTIMATE(DEFREVENUE_LT,MEAN,ANNUAL_ROLL,2024,45790,,,'')&lt;/Q&gt;&lt;R&gt;0&lt;/R&gt;&lt;C&gt;0&lt;/C&gt;&lt;/FQL&gt;&lt;FQL&gt;&lt;Q&gt;CRWV^FE_ESTIMATE(DEFREVENUE_LT,MEAN,QUARTERLY_ROLL,2024/4F,45790,,,'')&lt;/Q&gt;&lt;R&gt;0&lt;/R&gt;&lt;C&gt;0&lt;/C&gt;&lt;/FQL&gt;&lt;FQL&gt;&lt;Q&gt;CRWV^FE_ESTIMATE(DEFREVENUE_LT,MEAN,QUARTERLY_ROLL,2024/3F,45790,,,'')&lt;/Q&gt;&lt;R&gt;0&lt;/R&gt;&lt;C&gt;0&lt;/C&gt;&lt;/FQL&gt;&lt;FQL&gt;&lt;Q&gt;CRWV^FE_ESTIMATE(DEFREVENUE_LT,MEAN,QUARTERLY_ROLL,2024/2F,45790,,,'')&lt;/Q&gt;&lt;R&gt;0&lt;/R&gt;&lt;C&gt;0&lt;/C&gt;&lt;/FQL&gt;&lt;FQL&gt;&lt;Q&gt;CRWV^FE_ESTIMATE(DEFREVENUE_LT,MEAN,QUARTERLY_ROLL,2024/1F,45790,,,'')&lt;/Q&gt;&lt;R&gt;0&lt;/R&gt;&lt;C&gt;0&lt;/C&gt;&lt;/FQL&gt;&lt;FQL&gt;&lt;Q&gt;CRWV^FE_ESTIMATE(DEFREVENUE_LT,MEAN,ANNUAL_ROLL,2023,45790,,,'')&lt;/Q&gt;&lt;R&gt;0&lt;/R&gt;&lt;C&gt;0&lt;/C&gt;&lt;/FQL&gt;&lt;FQL&gt;&lt;Q&gt;CRWV^FE_ESTIMATE(DEFREVENUE_LT,MEAN,QUARTERLY_ROLL,2023/4F,45790,,,'')&lt;/Q&gt;&lt;R&gt;0&lt;/R&gt;&lt;C&gt;0&lt;/C&gt;&lt;/FQL&gt;&lt;FQL&gt;&lt;Q&gt;CRWV^FE_ESTIMATE(DEFREVENUE_LT,MEAN,QUARTERLY_ROLL,2023/3F,45790,,,'')&lt;/Q&gt;&lt;R&gt;0&lt;/R&gt;&lt;C&gt;0&lt;/C&gt;&lt;/FQL&gt;&lt;FQL&gt;&lt;Q&gt;CRWV^FE_ESTIMATE(DEFREVENUE_LT,MEAN,QUARTERLY_ROLL,2023/2F,45790,,,'')&lt;/Q&gt;&lt;R&gt;0&lt;/R&gt;&lt;C&gt;0&lt;/C&gt;&lt;/FQL&gt;&lt;FQL&gt;&lt;Q&gt;CRWV^FE_ESTIMATE(DEFREVENUE_LT,MEAN,QUARTERLY_ROLL,2023/1F,45790,,,'')&lt;/Q&gt;&lt;R&gt;0&lt;/R&gt;&lt;C&gt;0&lt;/C&gt;&lt;/FQL&gt;&lt;FQL&gt;&lt;Q&gt;CRWV^FE_ESTIMATE(DEFREVENUE_LT,MEAN,ANNUAL_ROLL,2022,45790,,,'')&lt;/Q&gt;&lt;R&gt;0&lt;/R&gt;&lt;C&gt;0&lt;/C&gt;&lt;/FQL&gt;&lt;FQL&gt;&lt;Q&gt;CRWV^FE_ESTIMATE(DEFREVENUE_LT,MEAN,QUARTERLY_ROLL,2022/4F,45790,,,'')&lt;/Q&gt;&lt;R&gt;0&lt;/R&gt;&lt;C&gt;0&lt;/C&gt;&lt;/FQL&gt;&lt;FQL&gt;&lt;Q&gt;CRWV^FE_ESTIMATE(DEFREVENUE_LT,MEAN,QUARTERLY_ROLL,2022/3F,45790,,,'')&lt;/Q&gt;&lt;R&gt;0&lt;/R&gt;&lt;C&gt;0&lt;/C&gt;&lt;/FQL&gt;&lt;FQL&gt;&lt;Q&gt;CRWV^FE_ESTIMATE(DEFREVENUE_LT,MEAN,QUARTERLY_ROLL,2022/2F,45790,,,'')&lt;/Q&gt;&lt;R&gt;0&lt;/R&gt;&lt;C&gt;0&lt;/C&gt;&lt;/FQL&gt;&lt;FQL&gt;&lt;Q&gt;CRWV^FE_ESTIMATE(DEFREVENUE_LT,MEAN,QUARTERLY_ROLL,2022/1F,45790,,,'')&lt;/Q&gt;&lt;R&gt;0&lt;/R&gt;&lt;C&gt;0&lt;/C&gt;&lt;/FQL&gt;&lt;FQL&gt;&lt;Q&gt;CRWV^FE_ESTIMATE(DEFREVENUE_ST,MEAN,ANNUAL_ROLL,2029,45790,,,'')&lt;/Q&gt;&lt;R&gt;0&lt;/R&gt;&lt;C&gt;0&lt;/C&gt;&lt;/FQL&gt;&lt;FQL&gt;&lt;Q&gt;CRWV^FE_ESTIMATE(DEFREVENUE_ST,MEAN,QUARTERLY_ROLL,2029/4F,45790,,,'')&lt;/Q&gt;&lt;R&gt;0&lt;/R&gt;&lt;C&gt;0&lt;/C&gt;&lt;/FQL&gt;&lt;FQL&gt;&lt;Q&gt;CRWV^FE_ESTIMATE(DEFREVENUE_ST,MEAN,QUARTERLY_ROLL,2029/3F,45790,,,'')&lt;/Q&gt;&lt;R&gt;0&lt;/R&gt;&lt;C&gt;0&lt;/C&gt;&lt;/FQL&gt;&lt;FQL&gt;&lt;Q&gt;CRWV^FE_ESTIMATE(DEFREVENUE_ST,MEAN,QUARTERLY_ROLL,2029/2F,45790,,,'')&lt;/Q&gt;&lt;R&gt;0&lt;/R&gt;&lt;C&gt;0&lt;/C&gt;&lt;/FQL&gt;&lt;FQL&gt;&lt;Q&gt;CRWV^FE_ESTIMATE(DEFREVENUE_ST,MEAN,QUARTERLY_ROLL,2029/1F,45790,,,'')&lt;/Q&gt;&lt;R&gt;0&lt;/R&gt;&lt;C&gt;0&lt;/C&gt;&lt;/FQL&gt;&lt;FQL&gt;&lt;Q&gt;CRWV^FE_ESTIMATE(DEFREVENUE_ST,MEAN,ANNUAL_ROLL,2028,45790,,,'')&lt;/Q&gt;&lt;R&gt;0&lt;/R&gt;&lt;C&gt;0&lt;/C&gt;&lt;/FQL&gt;&lt;FQL&gt;&lt;Q&gt;CRWV^FE_ESTIMATE(DEFREVENUE_ST,MEAN,QUARTERLY_ROLL,2028/4F,45790,,,'')&lt;/Q&gt;&lt;R&gt;0&lt;/R&gt;&lt;C&gt;0&lt;/C&gt;&lt;/FQL&gt;&lt;FQL&gt;&lt;Q&gt;CRWV^FE_ESTIMATE(DEFREVENUE_ST,MEAN,QUARTERLY_ROLL,2028/3F,45790,,,'')&lt;/Q&gt;&lt;R&gt;0&lt;/R&gt;&lt;C&gt;0&lt;/C&gt;&lt;/FQL&gt;&lt;FQL&gt;&lt;Q&gt;CRWV^FE_ESTIMATE(DEFREVENUE_ST,MEAN,QUARTERLY_ROLL,2028/2F,45790,,,'')&lt;/Q&gt;&lt;R&gt;0&lt;/R&gt;&lt;C&gt;0&lt;/C&gt;&lt;/FQL&gt;&lt;FQL&gt;&lt;Q&gt;CRWV^FE_ESTIMATE(DEFREVENUE_ST,MEAN,QUARTERLY_ROLL,2028/1F,45790,,,'')&lt;/Q&gt;&lt;R&gt;0&lt;/R&gt;&lt;C&gt;0&lt;/C&gt;&lt;/FQL&gt;&lt;FQL&gt;&lt;Q&gt;CRWV^FE_ESTIMATE(DEFREVENUE_ST,MEAN,ANNUAL_ROLL,2027,45790,,,'')&lt;/Q&gt;&lt;R&gt;0&lt;/R&gt;&lt;C&gt;0&lt;/C&gt;&lt;/FQL&gt;&lt;FQL&gt;&lt;Q&gt;CRWV^FE_ESTIMATE(DEFREVENUE_ST,MEAN,QUARTERLY_ROLL,2027/4F,45790,,,'')&lt;/Q&gt;&lt;R&gt;0&lt;/R&gt;&lt;C&gt;0&lt;/C&gt;&lt;/FQL&gt;&lt;FQL&gt;&lt;Q&gt;CRWV^FE_ESTIMATE(DEFREVENUE_ST,MEAN,QUARTERLY_ROLL,2027/3F,45790,,,'')&lt;/Q&gt;&lt;R&gt;0&lt;/R&gt;&lt;C&gt;0&lt;/C&gt;&lt;/FQL&gt;&lt;FQL&gt;&lt;Q&gt;CRWV^FE_ESTIMATE(DEFREVENUE_ST,MEAN,QUARTERLY_ROLL,2027/2F,45790,,,'')&lt;/Q&gt;&lt;R&gt;0&lt;/R&gt;&lt;C&gt;0&lt;/C&gt;&lt;/FQL&gt;&lt;FQL&gt;&lt;Q&gt;CRWV^FE_ESTIMATE(DEFREVENUE_ST,MEAN,QUARTERLY_ROLL,2027/1F,45790,,,'')&lt;/Q&gt;&lt;R&gt;0&lt;/R&gt;&lt;C&gt;0&lt;/C&gt;&lt;/FQL&gt;&lt;FQL&gt;&lt;Q&gt;CRWV^FE_ESTIMATE(DEFREVENUE_ST,MEAN,ANNUAL_ROLL,2026,45790,,,'')&lt;/Q&gt;&lt;R&gt;0&lt;/R&gt;&lt;C&gt;0&lt;/C&gt;&lt;/FQL&gt;&lt;FQL&gt;&lt;Q&gt;CRWV^FE_ESTIMATE(DEFREVENUE_ST,MEAN,QUARTERLY_ROLL,2026/4F,45790,,,'')&lt;/Q&gt;&lt;R&gt;0&lt;/R&gt;&lt;C&gt;0&lt;/C&gt;&lt;/FQL&gt;&lt;FQL&gt;&lt;Q&gt;CRWV^FE_ESTIMATE(DEFREVENUE_ST,MEAN,QUARTERLY_ROLL,2026/3F,45790,,,'')&lt;/Q&gt;&lt;R&gt;0&lt;/R&gt;&lt;C&gt;0&lt;/C&gt;&lt;/FQL&gt;&lt;FQL&gt;&lt;Q&gt;CRWV^FE_ESTIMATE(DEFREVENUE_ST,MEAN,QUARTERLY_ROLL,2026/2F,45790,,,'')&lt;/Q&gt;&lt;R&gt;0&lt;/R&gt;&lt;C&gt;0&lt;/C&gt;&lt;/FQL&gt;&lt;FQL&gt;&lt;Q&gt;CRWV^FE_ESTIMATE(DEFREVENUE_ST,MEAN,QUARTERLY_ROLL,2026/1F,45790,,,'')&lt;/Q&gt;&lt;R&gt;0&lt;/R&gt;&lt;C&gt;0&lt;/C&gt;&lt;/FQL&gt;&lt;FQL&gt;&lt;Q&gt;CRWV^FE_ESTIMATE(DEFREVENUE_ST,MEAN,ANNUAL_ROLL,2025,45790,,,'')&lt;/Q&gt;&lt;R&gt;0&lt;/R&gt;&lt;C&gt;0&lt;/C&gt;&lt;/FQL&gt;&lt;FQL&gt;&lt;Q&gt;CRWV^FE_ESTIMATE(DEFREVENUE_ST,MEAN,QUARTERLY_ROLL,2025/4F,45790,,,'')&lt;/Q&gt;&lt;R&gt;0&lt;/R&gt;&lt;C&gt;0&lt;/C&gt;&lt;/FQL&gt;&lt;FQL&gt;&lt;Q&gt;CRWV^FE_ESTIMATE(DEFREVENUE_ST,MEAN,QUARTERLY_ROLL,2025/3F,45790,,,'')&lt;/Q&gt;&lt;R&gt;0&lt;/R&gt;&lt;C&gt;0&lt;/C&gt;&lt;/FQL&gt;&lt;FQL&gt;&lt;Q&gt;CRWV^FE_ESTIMATE(DEFREVENUE_ST,MEAN,QUARTERLY_ROLL,2025/2F,45790,,,'')&lt;/Q&gt;&lt;R&gt;0&lt;/R&gt;&lt;C&gt;0&lt;/C&gt;&lt;/FQL&gt;&lt;FQL&gt;&lt;Q&gt;CRWV^FE_ESTIMATE(DEFREVENUE_ST,MEAN,QUARTERLY_ROLL,2025/1F,45790,,,'')&lt;/Q&gt;&lt;R&gt;0&lt;/R&gt;&lt;C&gt;0&lt;/C&gt;&lt;/FQL&gt;&lt;FQL&gt;&lt;Q&gt;CRWV^FE_ESTIMATE(DEFREVENUE_ST,MEAN,ANNUAL_ROLL,2024,45790,,,'')&lt;/Q&gt;&lt;R&gt;0&lt;/R&gt;&lt;C&gt;0&lt;/C&gt;&lt;/FQL&gt;&lt;FQL&gt;&lt;Q&gt;CRWV^FE_ESTIMATE(DEFREVENUE_ST,MEAN,QUARTERLY_ROLL,2024/4F,45790,,,'')&lt;/Q&gt;&lt;R&gt;0&lt;/R&gt;&lt;C&gt;0&lt;/C&gt;&lt;/FQL&gt;&lt;FQL&gt;&lt;Q&gt;CRWV^FE_ESTIMATE(DEFREVENUE_ST,MEAN,QUARTERLY_ROLL,2024/3F,45790,,,'')&lt;/Q&gt;&lt;R&gt;0&lt;/R&gt;&lt;C&gt;0&lt;/C&gt;&lt;/FQL&gt;&lt;FQL&gt;&lt;Q&gt;CRWV^FE_ESTIMATE(DEFREVENUE_ST,MEAN,QUARTERLY_ROLL,2024/2F,45790,,,'')&lt;/Q&gt;&lt;R&gt;0&lt;/R&gt;&lt;C&gt;0&lt;/C&gt;&lt;/FQL&gt;&lt;FQL&gt;&lt;Q&gt;CRWV^FE_ESTIMATE(DEFREVENUE_ST,MEAN,QUARTERLY_ROLL,2024/1F,45790,,,'')&lt;/Q&gt;&lt;R&gt;0&lt;/R&gt;&lt;C&gt;0&lt;/C&gt;&lt;/FQL&gt;&lt;FQL&gt;&lt;Q&gt;CRWV^FE_ESTIMATE(DEFREVENUE_ST,MEAN,ANNUAL_ROLL,2023,45790,,,'')&lt;/Q&gt;&lt;R&gt;0&lt;/R&gt;&lt;C&gt;0&lt;/C&gt;&lt;/FQL&gt;&lt;FQL&gt;&lt;Q&gt;CRWV^FE_ESTIMATE(DEFREVENUE_ST,MEAN,QUARTERLY_ROLL,2023/4F,45790,,,'')&lt;/Q&gt;&lt;R&gt;0&lt;/R&gt;&lt;C&gt;0&lt;/C&gt;&lt;/FQL&gt;&lt;FQL&gt;&lt;Q&gt;CRWV^FE_ESTIMATE(DEFREVENUE_ST,MEAN,QUARTERLY_ROLL,2023/3F,45790,,,'')&lt;/Q&gt;&lt;R&gt;0&lt;/R&gt;&lt;C&gt;0&lt;/C&gt;&lt;/FQL&gt;&lt;FQL&gt;&lt;Q&gt;CRWV^FE_ESTIMATE(DEFREVENUE_ST,MEAN,QUARTERLY_ROLL,2023/2F,45790,,,'')&lt;/Q&gt;&lt;R&gt;0&lt;/R&gt;&lt;C&gt;0&lt;/C&gt;&lt;/FQL&gt;&lt;FQL&gt;&lt;Q&gt;CRWV^FE_ESTIMATE(DEFREVENUE_ST,MEAN,QUARTERLY_ROLL,2023/1F,45790,,,'')&lt;/Q&gt;&lt;R&gt;0&lt;/R&gt;&lt;C&gt;0&lt;/C&gt;&lt;/FQL&gt;&lt;FQL&gt;&lt;Q&gt;CRWV^FE_ESTIMATE(DEFREVENUE_ST,MEAN,ANNUAL_ROLL,2022,45790,,,'')&lt;/Q&gt;&lt;R&gt;0&lt;/R&gt;&lt;C&gt;0&lt;/C&gt;&lt;/FQL&gt;&lt;FQL&gt;&lt;Q&gt;CRWV^FE_ESTIMATE(DEFREVENUE_ST,MEAN,QUARTERLY_ROLL,2022/4F,45790,,,'')&lt;/Q&gt;&lt;R&gt;0&lt;/R&gt;&lt;C&gt;0&lt;/C&gt;&lt;/FQL&gt;&lt;FQL&gt;&lt;Q&gt;CRWV^FE_ESTIMATE(DEFREVENUE_ST,MEAN,QUARTERLY_ROLL,2022/3F,45790,,,'')&lt;/Q&gt;&lt;R&gt;0&lt;/R&gt;&lt;C&gt;0&lt;/C&gt;&lt;/FQL&gt;&lt;FQL&gt;&lt;Q&gt;CRWV^FE_ESTIMATE(DEFREVENUE_ST,MEAN,QUARTERLY_ROLL,2022/2F,45790,,,'')&lt;/Q&gt;&lt;R&gt;0&lt;/R&gt;&lt;C&gt;0&lt;/C&gt;&lt;/FQL&gt;&lt;FQL&gt;&lt;Q&gt;CRWV^FE_ESTIMATE(DEFREVENUE_ST,MEAN,QUARTERLY_ROLL,2022/1F,45790,,,'')&lt;/Q&gt;&lt;R&gt;0&lt;/R&gt;&lt;C&gt;0&lt;/C&gt;&lt;/FQL&gt;&lt;FQL&gt;&lt;Q&gt;CRWV^FE_ESTIMATE(FCF,MEAN,ANNUAL_ROLL,2029,45790,,,'')&lt;/Q&gt;&lt;R&gt;1&lt;/R&gt;&lt;C&gt;1&lt;/C&gt;&lt;D xsi:type="xsd:double"&gt;979.5&lt;/D&gt;&lt;/FQL&gt;&lt;FQL&gt;&lt;Q&gt;CRWV^FE_ESTIMATE(FCF,MEAN,QUARTERLY_ROLL,2029/4F,45790,,,'')&lt;/Q&gt;&lt;R&gt;0&lt;/R&gt;&lt;C&gt;0&lt;/C&gt;&lt;/FQL&gt;&lt;FQL&gt;&lt;Q&gt;CRWV^FE_ESTIMATE(FCF,MEAN,QUARTERLY_ROLL,2029/3F,45790,,,'')&lt;/Q&gt;&lt;R&gt;0&lt;/R&gt;&lt;C&gt;0&lt;/C&gt;&lt;/FQL&gt;&lt;FQL&gt;&lt;Q&gt;CRWV^FE_ESTIMATE(FCF,MEAN,QUARTERLY_ROLL,2029/2F,45790,,,'')&lt;/Q&gt;&lt;R&gt;0&lt;/R&gt;&lt;C&gt;0&lt;/C&gt;&lt;/FQL&gt;&lt;FQL&gt;&lt;Q&gt;CRWV^FE_ESTIMATE(FCF,MEAN,QUARTERLY_ROLL,2029/1F,45790,,,'')&lt;/Q&gt;&lt;R&gt;0&lt;/R&gt;&lt;C&gt;0&lt;/C&gt;&lt;/FQL&gt;&lt;FQL&gt;&lt;Q&gt;CRWV^FE_ESTIMATE(FCF,MEAN,ANNUAL_ROLL,2028,45790,,,'')&lt;/Q&gt;&lt;R&gt;1&lt;/R&gt;&lt;C&gt;1&lt;/C&gt;&lt;D xsi:type="xsd:double"&gt;-730.5&lt;/D&gt;&lt;/FQL&gt;&lt;FQL&gt;&lt;Q&gt;CRWV^FE_ESTIMATE(FCF,MEAN,QUARTERLY_ROLL,2028/4F,45790,,,'')&lt;/Q&gt;&lt;R&gt;0&lt;/R&gt;&lt;C&gt;0&lt;/C&gt;&lt;/FQL&gt;&lt;FQL&gt;&lt;Q&gt;CRWV^FE_ESTIMATE(FCF,MEAN,QUARTERLY_ROLL,2028/3F,45790,,,'')&lt;/Q&gt;&lt;R&gt;0&lt;/R&gt;&lt;C&gt;0&lt;/C&gt;&lt;/FQL&gt;&lt;FQL&gt;&lt;Q&gt;CRWV^FE_ESTIMATE(FCF,MEAN,QUARTERLY_ROLL,2028/2F,45790,,,'')&lt;/Q&gt;&lt;R&gt;0&lt;/R&gt;&lt;C&gt;0&lt;/C&gt;&lt;/FQL&gt;&lt;FQL&gt;&lt;Q&gt;CRWV^FE_ESTIMATE(FCF,MEAN,QUARTERLY_ROLL,2028/1F,45790,,,'')&lt;/Q&gt;&lt;R&gt;0&lt;/R&gt;&lt;C&gt;0&lt;/C&gt;&lt;/FQL&gt;&lt;FQL&gt;&lt;Q&gt;CRWV^FE_ESTIMATE(FCF,MEAN,ANNUAL_ROLL,2027,45790,,,'')&lt;/Q&gt;&lt;R&gt;1&lt;/R&gt;&lt;C&gt;1&lt;/C&gt;&lt;D xsi:type="xsd:double"&gt;-2053.0916&lt;/D&gt;&lt;/FQL&gt;&lt;FQL&gt;&lt;Q&gt;CRWV^FE_ESTIMATE(FCF,MEAN,QUARTERLY_ROLL,2027/4F,45790,,,'')&lt;/Q&gt;&lt;R&gt;0&lt;/R&gt;&lt;C&gt;0&lt;/C&gt;&lt;/FQL&gt;&lt;FQL&gt;&lt;Q&gt;CRWV^FE_ESTIMATE(FCF,MEAN,QUARTERLY_ROLL,2027/3F,45790,,,'')&lt;/Q&gt;&lt;R&gt;0&lt;/R&gt;&lt;C&gt;0&lt;/C&gt;&lt;/FQL&gt;&lt;FQL&gt;&lt;Q&gt;CRWV^FE_ESTIMATE(FCF,MEAN,QUARTERLY_ROLL,2027/2F,45790,,,'')&lt;/Q&gt;&lt;R&gt;0&lt;/R&gt;&lt;C&gt;0&lt;/C&gt;&lt;/FQL&gt;&lt;FQL&gt;&lt;Q&gt;CRWV^FE_ESTIMATE(FCF,MEAN,QUARTERLY_ROLL,2027/1F,45790,,,'')&lt;/Q&gt;&lt;R&gt;0&lt;/R&gt;&lt;C&gt;0&lt;/C&gt;&lt;/FQL&gt;&lt;FQL&gt;&lt;Q&gt;CRWV^FE_ESTIMATE(FCF,MEAN,ANNUAL_ROLL,2026,45790,,,'')&lt;/Q&gt;&lt;R&gt;1&lt;/R&gt;&lt;C&gt;1&lt;/C&gt;&lt;D xsi:type="xsd:double"&gt;-7685.9307&lt;/D&gt;&lt;/FQL&gt;&lt;FQL&gt;&lt;Q&gt;CRWV^FE_ESTIMATE(FCF,MEAN,QUARTERLY_ROLL,2026/4F,45790,,,'')&lt;/Q&gt;&lt;R&gt;1&lt;/R&gt;&lt;C&gt;1&lt;/C&gt;&lt;D xsi:type="xsd:double"&gt;-1093.3334&lt;/D&gt;&lt;/FQL&gt;&lt;FQL&gt;&lt;Q&gt;CRWV^FE_ESTIMATE(FCF,MEAN,QUARTERLY_ROLL,2026/3F,45790,,,'')&lt;/Q&gt;&lt;R&gt;1&lt;/R&gt;&lt;C&gt;1&lt;/C&gt;&lt;D xsi:type="xsd:double"&gt;-2040.6666&lt;/D&gt;&lt;/FQL&gt;&lt;FQL&gt;&lt;Q&gt;CRWV^FE_ESTIMATE(FCF,MEAN,QUARTERLY_ROLL,2026/2F,45790,,,'')&lt;/Q&gt;&lt;R&gt;1&lt;/R&gt;&lt;C&gt;1&lt;/C&gt;&lt;D xsi:type="xsd:double"&gt;-2533&lt;/D&gt;&lt;/FQL&gt;&lt;FQL&gt;&lt;Q&gt;CRWV^FE_ESTIMATE(FCF,MEAN,QUARTERLY_ROLL,2026/1F,45790,,,'')&lt;/Q&gt;&lt;R&gt;1&lt;/R&gt;&lt;C&gt;1&lt;/C&gt;&lt;D xsi:type="xsd:double"&gt;-2645.3333&lt;/D&gt;&lt;/FQL&gt;&lt;FQL&gt;&lt;Q&gt;CRWV^FE_ESTIMATE(FCF,MEAN,ANNUAL_ROLL,2025,45790,,,'')&lt;/Q&gt;&lt;R&gt;1&lt;/R&gt;&lt;C&gt;1&lt;/C&gt;&lt;D xsi:type="xsd:double"&gt;-14563.199&lt;/D&gt;&lt;/FQL&gt;&lt;FQL&gt;&lt;Q&gt;CRWV^FE_ESTIMATE(FCF,MEAN,QUARTERLY_ROLL,2025/4F,45790,,,'')&lt;/Q&gt;&lt;R&gt;1&lt;/R&gt;&lt;C&gt;1&lt;/C&gt;&lt;D xsi:type="xsd:double"&gt;-4111.2856&lt;/D&gt;&lt;/FQL&gt;&lt;FQL&gt;&lt;Q&gt;CRWV^FE_ESTIMATE(FCF,MEAN,QUARTERLY_ROLL,2025/3F,45790,,,'')&lt;/Q&gt;&lt;R&gt;1&lt;/R&gt;&lt;C&gt;1&lt;/C&gt;&lt;D xsi:type="xsd:double"&gt;-4772.3286&lt;/D&gt;&lt;/FQL&gt;&lt;FQL&gt;&lt;Q&gt;CRWV^FE_ESTIMATE(FCF,MEAN,QUARTERLY_ROLL,2025/2F,45790,,,'')&lt;/Q&gt;&lt;R&gt;1&lt;/R&gt;&lt;C&gt;1&lt;/C&gt;&lt;D xsi:type="xsd:double"&gt;-3743.243&lt;/D&gt;&lt;/FQL&gt;&lt;FQL&gt;&lt;Q&gt;CRWV^FE_ESTIMATE(FCF,MEAN,QUARTERLY_ROLL,2025/1F,45790,,,'')&lt;/Q&gt;&lt;R&gt;1&lt;/R&gt;&lt;C&gt;1&lt;/C&gt;&lt;D xsi:type="xsd:double"&gt;-1809.5857&lt;/D&gt;&lt;/FQL&gt;&lt;FQL&gt;&lt;Q&gt;CRWV^FE_ESTIMATE(FCF,MEAN,ANNUAL_ROLL,2024,45790,,,'')&lt;/Q&gt;&lt;R&gt;1&lt;/R&gt;&lt;C&gt;1&lt;/C&gt;&lt;D xsi:type="xsd:double"&gt;-5596.9443&lt;/D&gt;&lt;/FQL&gt;&lt;FQL&gt;&lt;Q&gt;CRWV^FE_ESTIMATE(FCF,MEAN,QUARTERLY_ROLL,2024/4F,45790,,,'')&lt;/Q&gt;&lt;R&gt;1&lt;/R&gt;&lt;C&gt;1&lt;/C&gt;&lt;D xsi:type="xsd:double"&gt;-3476&lt;/D&gt;&lt;/FQL&gt;&lt;FQL&gt;&lt;Q&gt;CRWV^FE_ESTIMATE(FCF,MEAN,QUARTERLY_ROLL,2024/3F,45790,,,'')&lt;/Q&gt;&lt;R&gt;0&lt;/R&gt;&lt;C&gt;0&lt;/C&gt;&lt;/FQL&gt;&lt;FQL&gt;&lt;Q&gt;CRWV^FE_ESTIMATE(FCF,MEAN,QUARTERLY_ROLL,2024/2F,45790,,,'')&lt;/Q&gt;&lt;R&gt;0&lt;/R&gt;&lt;C&gt;0&lt;/C&gt;&lt;/FQL&gt;&lt;FQL&gt;&lt;Q&gt;CRWV^FE_ESTIMATE(FCF,MEAN,QUARTERLY_ROLL,2024/1F,45790,,,'')&lt;/Q&gt;&lt;R&gt;0&lt;/R&gt;&lt;C&gt;0&lt;/C&gt;&lt;/FQL&gt;&lt;FQL&gt;&lt;Q&gt;CRWV^FE_ESTIMATE(FCF,MEAN,ANNUAL_ROLL,2023,45790,,,'')&lt;/Q&gt;&lt;R&gt;0&lt;/R&gt;&lt;C&gt;0&lt;/C&gt;&lt;/FQL&gt;&lt;FQL&gt;&lt;Q&gt;CRWV^FE_ESTIMATE(FCF,MEAN,QUARTERLY_ROLL,2023/4F,45790,,,'')&lt;/Q&gt;&lt;R&gt;0&lt;/R&gt;&lt;C&gt;0&lt;/C&gt;&lt;/FQL&gt;&lt;FQL&gt;&lt;Q&gt;CRWV^FE_ESTIMATE(FCF,MEAN,QUARTERLY_ROLL,2023/3F,45790,,,'')&lt;/Q&gt;&lt;R&gt;0&lt;/R&gt;&lt;C&gt;0&lt;/C&gt;&lt;/FQL&gt;&lt;FQL&gt;&lt;Q&gt;CRWV^FE_ESTIMATE(FCF,MEAN,QUARTERLY_ROLL,2023/2F,45790,,,'')&lt;/Q&gt;&lt;R&gt;0&lt;/R&gt;&lt;C&gt;0&lt;/C&gt;&lt;/FQL&gt;&lt;FQL&gt;&lt;Q&gt;CRWV^FE_ESTIMATE(FCF,MEAN,QUARTERLY_ROLL,2023/1F,45790,,,'')&lt;/Q&gt;&lt;R&gt;0&lt;/R&gt;&lt;C&gt;0&lt;/C&gt;&lt;/FQL&gt;&lt;FQL&gt;&lt;Q&gt;CRWV^FE_ESTIMATE(FCF,MEAN,ANNUAL_ROLL,2022,45790,,,'')&lt;/Q&gt;&lt;R&gt;0&lt;/R&gt;&lt;C&gt;0&lt;/C&gt;&lt;/FQL&gt;&lt;FQL&gt;&lt;Q&gt;CRWV^FE_ESTIMATE(FCF,MEAN,QUARTERLY_ROLL,2022/4F,45790,,,'')&lt;/Q&gt;&lt;R&gt;0&lt;/R&gt;&lt;C&gt;0&lt;/C&gt;&lt;/FQL&gt;&lt;FQL&gt;&lt;Q&gt;CRWV^FE_ESTIMATE(FCF,MEAN,QUARTERLY_ROLL,2022/3F,45790,,,'')&lt;/Q&gt;&lt;R&gt;0&lt;/R&gt;&lt;C&gt;0&lt;/C&gt;&lt;/FQL&gt;&lt;FQL&gt;&lt;Q&gt;CRWV^FE_ESTIMATE(FCF,MEAN,QUARTERLY_ROLL,2022/2F,45790,,,'')&lt;/Q&gt;&lt;R&gt;0&lt;/R&gt;&lt;C&gt;0&lt;/C&gt;&lt;/FQL&gt;&lt;FQL&gt;&lt;Q&gt;CRWV^FE_ESTIMATE(FCF,MEAN,QUARTERLY_ROLL,2022/1F,45790,,,'')&lt;/Q&gt;&lt;R&gt;0&lt;/R&gt;&lt;C&gt;0&lt;/C&gt;&lt;/FQL&gt;&lt;FQL&gt;&lt;Q&gt;CRWV^FE_ESTIMATE(CAPEX,MEAN,ANNUAL_ROLL,2029,45790,,,'')&lt;/Q&gt;&lt;R&gt;1&lt;/R&gt;&lt;C&gt;1&lt;/C&gt;&lt;D xsi:type="xsd:double"&gt;14068.4&lt;/D&gt;&lt;/FQL&gt;&lt;FQL&gt;&lt;Q&gt;CRWV^FE_ESTIMATE(CAPEX,MEAN,QUARTERLY_ROLL,2029/4F,45790,,,'')&lt;/Q&gt;&lt;R&gt;0&lt;/R&gt;&lt;C&gt;0&lt;/C&gt;&lt;/FQL&gt;&lt;FQL&gt;&lt;Q&gt;CRWV^FE_ESTIMATE(CAPEX,MEAN,QUARTERLY_ROLL,2029/3F,45790,,,'')&lt;/Q&gt;&lt;R&gt;0&lt;/R&gt;&lt;C&gt;0&lt;/C&gt;&lt;/FQL&gt;&lt;FQL&gt;&lt;Q&gt;CRWV^FE_ESTIMATE(CAPEX,MEAN,QUARTERLY_ROLL,2029/2F,45790,,,'')&lt;/Q&gt;&lt;R&gt;0&lt;/R&gt;&lt;C&gt;0&lt;/C&gt;&lt;/FQL&gt;&lt;FQL&gt;&lt;Q&gt;CRWV^FE_ESTIMATE(CAPEX,MEAN,QUARTERLY_ROLL,2029/1F,45790,,,'')&lt;/Q&gt;&lt;R&gt;0&lt;/R&gt;&lt;C&gt;0&lt;/C&gt;&lt;/FQL&gt;&lt;FQL&gt;&lt;Q&gt;CRWV^FE_ESTIMATE(CAPEX,MEAN,ANNUAL_ROLL,2028,45790,,,'')&lt;/Q&gt;&lt;R&gt;1&lt;/R&gt;&lt;C&gt;1&lt;/C&gt;&lt;D xsi:type="xsd:double"&gt;14261.5&lt;/D&gt;&lt;/FQL&gt;&lt;FQL&gt;&lt;Q&gt;CRWV^FE_ESTIMATE(CAPEX,MEAN,QUARTERLY_ROLL,2028/4F,45790,,,'')&lt;/Q&gt;&lt;R&gt;0&lt;/R&gt;&lt;C&gt;0&lt;/C&gt;&lt;/FQL&gt;&lt;FQL&gt;&lt;Q&gt;CRWV^FE_ESTIMATE(CAPEX,MEAN,QUARTERLY_ROLL,2028/3F,45790,,,'')&lt;/Q&gt;&lt;R&gt;0&lt;/R&gt;&lt;C&gt;0&lt;/C&gt;&lt;/FQL&gt;&lt;FQL&gt;&lt;Q&gt;CRWV^FE_ESTIMATE(CAPEX,MEAN,QUARTERLY_ROLL,2028/2F,45790,,,'')&lt;/Q&gt;&lt;R&gt;0&lt;/R&gt;&lt;C&gt;0&lt;/C&gt;&lt;/FQL&gt;&lt;FQL&gt;&lt;Q&gt;CRWV^FE_ESTIMATE(CAPEX,MEAN,QUARTERLY_ROLL,2028/1F,45790,,,'')&lt;/Q&gt;&lt;R&gt;0&lt;/R&gt;&lt;C&gt;0&lt;/C&gt;&lt;/FQL&gt;&lt;FQL&gt;&lt;Q&gt;CRWV^FE_ESTIMATE(CAPEX,MEAN,ANNUAL_ROLL,2027,45790,,,'')&lt;/Q&gt;&lt;R&gt;1&lt;/R&gt;&lt;C&gt;1&lt;/C&gt;&lt;D xsi:type="xsd:double"&gt;12634.77&lt;/D&gt;&lt;/FQL&gt;&lt;FQL&gt;&lt;Q&gt;CRWV^FE_ESTIMATE(CAPEX,MEAN,QUARTERLY_ROLL,2027/4F,45790,,,'')&lt;/Q&gt;&lt;R&gt;1&lt;/R&gt;&lt;C&gt;1&lt;/C&gt;&lt;D xsi:type="xsd:double"&gt;2642.2654&lt;/D&gt;&lt;/FQL&gt;&lt;FQL&gt;&lt;Q&gt;CRWV^FE_ESTIMATE(CAPEX,MEAN,QUARTERLY_ROLL,2027/3F,45790,,,'')&lt;/Q&gt;&lt;R&gt;1&lt;/R&gt;&lt;C&gt;1&lt;/C&gt;&lt;D xsi:type="xsd:double"&gt;2826.4375&lt;/D&gt;&lt;/FQL&gt;&lt;FQL&gt;&lt;Q&gt;CRWV^FE_ESTIMATE(CAPEX,MEAN,QUARTERLY_ROLL,2027/2F,45790,,,'')&lt;/Q&gt;&lt;R&gt;1&lt;/R&gt;&lt;C&gt;1&lt;/C&gt;&lt;D xsi:type="xsd:double"&gt;3593.939&lt;/D&gt;&lt;/FQL&gt;&lt;FQL&gt;&lt;Q&gt;CRWV^FE_ESTIMATE(CAPEX,MEAN,QUARTERLY_ROLL,2027/1F,45790,,,'')&lt;/Q&gt;&lt;R&gt;1&lt;/R&gt;&lt;C&gt;1&lt;/C&gt;&lt;D xsi:type="xsd:double"&gt;3329.506&lt;/D&gt;&lt;/FQL&gt;&lt;FQL&gt;&lt;Q&gt;CRWV^FE_ESTIMATE(CAPEX,MEAN,ANNUAL_ROLL,2026,45790,,,'')&lt;/Q&gt;&lt;R&gt;1&lt;/R&gt;&lt;C&gt;1&lt;/C&gt;&lt;D xsi:type="xsd:double"&gt;13984.13&lt;/D&gt;&lt;/FQL&gt;&lt;FQL&gt;&lt;Q&gt;CRWV^FE_ESTIMATE(CAPEX,MEAN,QUARTERLY_ROLL,2026/4F,45790,,,'')&lt;/Q&gt;&lt;R&gt;1&lt;/R&gt;&lt;C&gt;1&lt;/C&gt;&lt;D xsi:type="xsd:double"&gt;2653.6992&lt;/D&gt;&lt;/FQL&gt;&lt;FQL&gt;&lt;Q&gt;CRWV^FE_ESTIMATE(CAPEX,MEAN,QUARTERLY_ROLL,2026/3F,45790,,,'')&lt;/Q&gt;&lt;R&gt;1&lt;/R&gt;&lt;C&gt;1&lt;/C&gt;&lt;D xsi:type="xsd:double"&gt;3638.7546&lt;/D&gt;&lt;/FQL&gt;&lt;FQL&gt;&lt;Q&gt;CRWV^FE_ESTIMATE(CAPEX,MEAN,QUARTERLY_ROLL,2026/2F,45790,,,'')&lt;/Q&gt;&lt;R&gt;1&lt;/R&gt;&lt;C&gt;1&lt;/C&gt;&lt;D xsi:type="xsd:double"&gt;3434.1477&lt;/D&gt;&lt;/FQL&gt;&lt;FQL&gt;&lt;Q&gt;CRWV^FE_ESTIMATE(CAPEX,MEAN,QUARTERLY_ROLL,2026/1F,45790,,,'')&lt;/Q&gt;&lt;R&gt;1&lt;/R&gt;&lt;C&gt;1&lt;/C&gt;&lt;D xsi:type="xsd:double"&gt;4220.504&lt;/D&gt;&lt;/FQL&gt;&lt;FQL&gt;&lt;Q&gt;CRWV^FE_ESTIMATE(CAPEX,MEAN,ANNUAL_ROLL,2025,45790,,,'')&lt;/Q&gt;&lt;R&gt;1&lt;/R&gt;&lt;C&gt;1&lt;/C&gt;&lt;D xsi:type="xsd:double"&gt;18354.805&lt;/D&gt;&lt;/FQL&gt;&lt;FQL&gt;&lt;Q&gt;CRWV^FE_ESTIMATE(CAPEX,MEAN,QUARTERLY_ROLL,2025/4F,45790,,,'')&lt;/Q&gt;&lt;R&gt;1&lt;/R&gt;&lt;C&gt;1&lt;/C&gt;&lt;D xsi:type="xsd:double"&gt;5363.463&lt;/D&gt;&lt;/FQL&gt;&lt;FQL&gt;&lt;Q&gt;CRWV^FE_ESTIMATE(CAPEX,MEAN,QUARTERLY_ROLL,2025/3F,45790,,,'')&lt;/Q&gt;&lt;R&gt;1&lt;/R&gt;&lt;C&gt;1&lt;/C&gt;&lt;D xsi:type="xsd:double"&gt;6165.9067&lt;/D&gt;&lt;/FQL&gt;&lt;FQL&gt;&lt;Q&gt;CRWV^FE_ESTIMATE(CAPEX,MEAN,QUARTERLY_ROLL,2025/2F,45790,,,'')&lt;/Q&gt;&lt;R&gt;1&lt;/R&gt;&lt;C&gt;1&lt;/C&gt;&lt;D xsi:type="xsd:double"&gt;3936.4087&lt;/D&gt;&lt;/FQL&gt;&lt;FQL&gt;&lt;Q&gt;CRWV^FE_ESTIMATE(CAPEX,MEAN,QUARTERLY_ROLL,2025/1F,45790,,,'')&lt;/Q&gt;&lt;R&gt;1&lt;/R&gt;&lt;C&gt;1&lt;/C&gt;&lt;D xsi:type="xsd:double"&gt;2882.3726&lt;/D&gt;&lt;/FQL&gt;&lt;FQL&gt;&lt;Q&gt;CRWV^FE_ESTIMATE(CAPEX,MEAN,ANNUAL_ROLL,2024,45790,,,'')&lt;/Q&gt;&lt;R&gt;1&lt;/R&gt;&lt;C&gt;1&lt;/C&gt;&lt;D xsi:type="xsd:double"&gt;8779.171&lt;/D&gt;&lt;/FQL&gt;&lt;FQL&gt;&lt;Q&gt;CRWV^FE_ESTIMATE(CAPEX,MEAN,QUARTERLY_ROLL,2024/4F,45790,,,'')&lt;/Q&gt;&lt;R&gt;1&lt;/R&gt;&lt;C&gt;1&lt;/C&gt;&lt;D xsi:type="xsd:double"&gt;3151.0667&lt;/D&gt;&lt;/FQL&gt;&lt;FQL&gt;&lt;Q&gt;CRWV^FE_ESTIMATE(CAPEX,MEAN,QUARTERLY_ROLL,2024/3F,45790,,,'')&lt;/Q&gt;&lt;R&gt;0&lt;/R&gt;&lt;C&gt;0&lt;/C&gt;&lt;/FQL&gt;&lt;FQL&gt;&lt;Q&gt;CRWV^FE_ESTIMATE(CAPEX,MEAN,QUARTERLY_ROLL,2024/2F,45790,,,'')&lt;/Q&gt;&lt;R&gt;0&lt;/R&gt;&lt;C&gt;0&lt;/C&gt;&lt;/FQL&gt;&lt;FQL&gt;&lt;Q&gt;CRWV^FE_ESTIMATE(CAPEX,MEAN,QUARTERLY_ROLL,2024/1F,45790,,,'')&lt;/Q&gt;&lt;R&gt;0&lt;/R&gt;&lt;C&gt;0&lt;/C&gt;&lt;/FQL&gt;&lt;FQL&gt;&lt;Q&gt;CRWV^FE_ESTIMATE(CAPEX,MEAN,ANNUAL_ROLL,2023,45790,,,'')&lt;/Q&gt;&lt;R&gt;0&lt;/R&gt;&lt;C&gt;0&lt;/C&gt;&lt;/FQL&gt;&lt;FQL&gt;&lt;Q&gt;CRWV^FE_ESTIMATE(CAPEX,MEAN,QUARTERLY_ROLL,2023/4F,45790,,,'')&lt;/Q&gt;&lt;R&gt;0&lt;/R&gt;&lt;C&gt;0&lt;/C&gt;&lt;/FQL&gt;&lt;FQL&gt;&lt;Q&gt;CRWV^FE_ESTIMATE(CAPEX,MEAN,QUARTERLY_ROLL,2023/3F,45790,,,'')&lt;/Q&gt;&lt;R&gt;0&lt;/R&gt;&lt;C&gt;0&lt;/C&gt;&lt;/FQL&gt;&lt;FQL&gt;&lt;Q&gt;CRWV^FE_ESTIMATE(CAPEX,MEAN,QUARTERLY_ROLL,2023/2F,45790,,,'')&lt;/Q&gt;&lt;R&gt;0&lt;/R&gt;&lt;C&gt;0&lt;/C&gt;&lt;/FQL&gt;&lt;FQL&gt;&lt;Q&gt;CRWV^FE_ESTIMATE(CAPEX,MEAN,QUARTERLY_ROLL,2023/1F,45790,,,'')&lt;/Q&gt;&lt;R&gt;0&lt;/R&gt;&lt;C&gt;0&lt;/C&gt;&lt;/FQL&gt;&lt;FQL&gt;&lt;Q&gt;CRWV^FE_ESTIMATE(CAPEX,MEAN,ANNUAL_ROLL,2022,45790,,,'')&lt;/Q&gt;&lt;R&gt;0&lt;/R&gt;&lt;C&gt;0&lt;/C&gt;&lt;/FQL&gt;&lt;FQL&gt;&lt;Q&gt;CRWV^FE_ESTIMATE(CAPEX,MEAN,QUARTERLY_ROLL,2022/4F,45790,,,'')&lt;/Q&gt;&lt;R&gt;0&lt;/R&gt;&lt;C&gt;0&lt;/C&gt;&lt;/FQL&gt;&lt;FQL&gt;&lt;Q&gt;CRWV^FE_ESTIMATE(CAPEX,MEAN,QUARTERLY_ROLL,2022/3F,45790,,,'')&lt;/Q&gt;&lt;R&gt;0&lt;/R&gt;&lt;C&gt;0&lt;/C&gt;&lt;/FQL&gt;&lt;FQL&gt;&lt;Q&gt;CRWV^FE_ESTIMATE(CAPEX,MEAN,QUARTERLY_ROLL,2022/2F,45790,,,'')&lt;/Q&gt;&lt;R&gt;0&lt;/R&gt;&lt;C&gt;0&lt;/C&gt;&lt;/FQL&gt;&lt;FQL&gt;&lt;Q&gt;CRWV^FE_ESTIMATE(CAPEX,MEAN,QUARTERLY_ROLL,2022/1F,45790,,,'')&lt;/Q&gt;&lt;R&gt;0&lt;/R&gt;&lt;C&gt;0&lt;/C&gt;&lt;/FQL&gt;&lt;FQL&gt;&lt;Q&gt;CRWV^FE_ESTIMATE(CFO,MEAN,ANNUAL_ROLL,2029,45790,,,'')&lt;/Q&gt;&lt;R&gt;0&lt;/R&gt;&lt;C&gt;0&lt;/C&gt;&lt;/FQL&gt;&lt;FQL&gt;&lt;Q&gt;CRWV^FE_ESTIMATE(CFO,MEAN,QUARTERLY_ROLL,2029/4F,45790,,,'')&lt;/Q&gt;&lt;R&gt;0&lt;/R&gt;&lt;C&gt;0&lt;/C&gt;&lt;/FQL&gt;&lt;FQL&gt;&lt;Q&gt;CRWV^FE_ESTIMATE(CFO,MEAN,QUARTERLY_ROLL,2029/3F,45790,,,'')&lt;/Q&gt;&lt;R&gt;0&lt;/R&gt;&lt;C&gt;0&lt;/C&gt;&lt;/FQL&gt;&lt;FQL&gt;&lt;Q&gt;CRWV^FE_ESTIMATE(CFO,MEAN,QUARTERLY_ROLL,2029/2F,45790,,,'')&lt;/Q&gt;&lt;R&gt;0&lt;/R&gt;&lt;C&gt;0&lt;/C&gt;&lt;/FQL&gt;&lt;FQL&gt;&lt;Q&gt;CRWV^FE_ESTIMATE(CFO,MEAN,QUARTERLY_ROLL,2029/1F,45790,,,'')&lt;/Q&gt;&lt;R&gt;0&lt;/R&gt;&lt;C&gt;0&lt;/C&gt;&lt;/FQL&gt;&lt;FQL&gt;&lt;Q&gt;CRWV^FE_ESTIMATE(CFO,MEAN,ANNUAL_ROLL,2028,45790,,,'')&lt;/Q&gt;&lt;R&gt;0&lt;/R&gt;&lt;C&gt;0&lt;/C&gt;&lt;/FQL&gt;&lt;FQL&gt;&lt;Q&gt;CRWV^FE_ESTIMATE(CFO,MEAN,QUARTERLY_ROLL,2028/4F,45790,,,'')&lt;/Q&gt;&lt;R&gt;0&lt;/R&gt;&lt;C&gt;0&lt;/C&gt;&lt;/FQL&gt;&lt;FQL&gt;&lt;Q&gt;CRWV^FE_ESTIMATE(CFO,MEAN,QUARTERLY_ROLL,2028/3F,45790,,,'')&lt;/Q&gt;&lt;R&gt;0&lt;/R&gt;&lt;C&gt;0&lt;/C&gt;&lt;/FQL&gt;&lt;FQL&gt;&lt;Q&gt;CRWV^FE_ESTIMATE(CFO,MEAN,QUARTERLY_ROLL,2028/2F,45790,,,'')&lt;/Q&gt;&lt;R&gt;0&lt;/R&gt;&lt;C&gt;0&lt;/C&gt;&lt;/FQL&gt;&lt;FQL&gt;&lt;Q&gt;CRWV^FE_ESTIMATE(CFO,MEAN,QUARTERLY_ROLL,2028/1F,45790,,,'')&lt;/Q&gt;&lt;R&gt;0&lt;/R&gt;&lt;C&gt;0&lt;/C&gt;&lt;/FQL&gt;&lt;FQL&gt;&lt;Q&gt;CRWV^FE_ESTIMATE(CFO,MEAN,ANNUAL_ROLL,2027,45790,,,'')&lt;/Q&gt;&lt;R&gt;1&lt;/R&gt;&lt;C&gt;1&lt;/C&gt;&lt;D xsi:type="xsd:double"&gt;10607.057&lt;/D&gt;&lt;/FQL&gt;&lt;FQL&gt;&lt;Q&gt;CRWV^FE_ESTIMATE(CFO,MEAN,QUARTERLY_ROLL,2027/4F,45790,,,'')&lt;/Q&gt;&lt;R&gt;1&lt;/R&gt;&lt;C&gt;1&lt;/C&gt;&lt;D xsi:type="xsd:double"&gt;3011.507&lt;/D&gt;&lt;/FQL&gt;&lt;FQL&gt;&lt;Q&gt;CRWV^FE_ESTIMATE(CFO,MEAN,QUARTERLY_ROLL,2027/3F,45790,,,'')&lt;/Q&gt;&lt;R&gt;1&lt;/R&gt;&lt;C&gt;1&lt;/C&gt;&lt;D xsi:type="xsd:double"&gt;2135.7385&lt;/D&gt;&lt;/FQL&gt;&lt;FQL&gt;&lt;Q&gt;CRWV^FE_ESTIMATE(CFO,MEAN,QUARTERLY_ROLL,2027/2F,45790,,,'')&lt;/Q&gt;&lt;R&gt;1&lt;/R&gt;&lt;C&gt;1&lt;/C&gt;&lt;D xsi:type="xsd:double"&gt;2998.324&lt;/D&gt;&lt;/FQL&gt;&lt;FQL&gt;&lt;Q&gt;CRWV^FE_ESTIMATE(CFO,MEAN,QUARTERLY_ROLL,2027/1F,45790,,,'')&lt;/Q&gt;&lt;R&gt;1&lt;/R&gt;&lt;C&gt;1&lt;/C&gt;&lt;D xsi:type="xsd:double"&gt;2527.6316&lt;/D&gt;&lt;/FQL&gt;&lt;FQL&gt;&lt;Q&gt;CRWV^FE_ESTIMATE(CFO,MEAN,ANNUAL_ROLL,2026,45790,,,'')&lt;/Q&gt;&lt;R&gt;1&lt;/R&gt;&lt;C&gt;1&lt;/C&gt;&lt;D xsi:type="xsd:double"&gt;5891.131&lt;/D&gt;&lt;/FQL&gt;&lt;FQL&gt;&lt;Q&gt;CRWV^FE_ESTIMATE(CFO,MEAN,QUARTERLY_ROLL,2026/4F,45790,,,'')&lt;/Q&gt;&lt;R&gt;1&lt;/R&gt;&lt;C&gt;1&lt;/C&gt;&lt;D xsi:type="xsd:double"&gt;1590.128&lt;/D&gt;&lt;/FQL&gt;&lt;FQL&gt;&lt;Q&gt;CRWV^FE_ESTIMATE(CFO,MEAN,QUARTERLY_ROLL,2026/3F,45790,,,'')&lt;/Q&gt;&lt;R&gt;1&lt;/R&gt;&lt;C&gt;1&lt;/C&gt;&lt;D xsi:type="xsd:double"&gt;1526.4492&lt;/D&gt;&lt;/FQL&gt;&lt;FQL&gt;&lt;Q&gt;CRWV^FE_ESTIMATE(CFO,MEAN,QUARTERLY_ROLL,2026/2F,45790,,,'')&lt;/Q&gt;&lt;R&gt;1&lt;/R&gt;&lt;C&gt;1&lt;/C&gt;&lt;D xsi:type="xsd:double"&gt;897.1958&lt;/D&gt;&lt;/FQL&gt;&lt;FQL&gt;&lt;Q&gt;CRWV^FE_ESTIMATE(CFO,MEAN,QUARTERLY_ROLL,2026/1F,45790,,,'')&lt;/Q&gt;&lt;R&gt;1&lt;/R&gt;&lt;C&gt;1&lt;/C&gt;&lt;D xsi:type="xsd:double"&gt;1560.2146&lt;/D&gt;&lt;/FQL&gt;&lt;FQL&gt;&lt;Q&gt;CRWV^FE_ESTIMATE(CFO,MEAN,ANNUAL_ROLL,2025,45790,,,'')&lt;/Q&gt;&lt;R&gt;1&lt;/R&gt;&lt;C&gt;1&lt;/C&gt;&lt;D xsi:type="xsd:double"&gt;3303.737&lt;/D&gt;&lt;/FQL&gt;&lt;FQL&gt;&lt;Q&gt;CRWV^FE_ESTIMATE(CFO,MEAN,QUARTERLY_ROLL,2025/4F,45790,,,'')&lt;/Q&gt;&lt;R&gt;1&lt;/R&gt;&lt;C&gt;1&lt;/C&gt;&lt;D xsi:type="xsd:double"&gt;1090.5162&lt;/D&gt;&lt;/FQL&gt;&lt;FQL&gt;&lt;Q&gt;CRWV^FE_ESTIMATE(CFO,MEAN,QUARTERLY_ROLL,2025/3F,45790,,,'')&lt;/Q&gt;&lt;R&gt;1&lt;/R&gt;&lt;C&gt;1&lt;/C&gt;&lt;D xsi:type="xsd:double"&gt;1472.465&lt;/D&gt;&lt;/FQL&gt;&lt;FQL&gt;&lt;Q&gt;CRWV^FE_ESTIMATE(CFO,MEAN,QUARTERLY_ROLL,2025/2F,45790,,,'')&lt;/Q&gt;&lt;R&gt;1&lt;/R&gt;&lt;C&gt;1&lt;/C&gt;&lt;D xsi:type="xsd:double"&gt;-2.295&lt;/D&gt;&lt;/FQL&gt;&lt;FQL&gt;&lt;Q&gt;CRWV^FE_ESTIMATE(CFO,MEAN,QUARTERLY_ROLL,2025/1F,45790,,,'')&lt;/Q&gt;&lt;R&gt;1&lt;/R&gt;&lt;C&gt;1&lt;/C&gt;&lt;D xsi:type="xsd:double"&gt;785.29&lt;/D&gt;&lt;/FQL&gt;&lt;FQL&gt;&lt;Q&gt;CRWV^FE_ESTIMATE(CFO,MEAN,ANNUAL_ROLL,2024,45790,,,'')&lt;/Q&gt;&lt;R&gt;1&lt;/R&gt;&lt;C&gt;1&lt;/C&gt;&lt;D xsi:type="xsd:double"&gt;3147.367&lt;/D&gt;&lt;/FQL&gt;&lt;FQL&gt;&lt;Q&gt;CRWV^FE_ESTIMATE(CFO,MEAN,QUARTERLY_ROLL,2024/4F,45790,,,'')&lt;/Q&gt;&lt;R&gt;1&lt;/R&gt;&lt;C&gt;1&lt;/C&gt;&lt;D xsi:type="xsd:double"&gt;-323.43332&lt;/D&gt;&lt;/FQL&gt;&lt;FQL&gt;&lt;Q&gt;CRWV^FE_ESTIMATE(CFO,MEAN,QUARTERLY_ROLL,2024/3F,45790,,,'')&lt;/Q&gt;&lt;R&gt;0&lt;/R&gt;&lt;C&gt;0&lt;/C&gt;&lt;/FQL&gt;&lt;FQL&gt;&lt;Q&gt;CRWV^FE_ESTIMATE(CFO,MEAN,QUARTERLY_ROLL,2024/2F,45790,,,'')&lt;/Q&gt;&lt;R&gt;0&lt;/R&gt;&lt;C&gt;0&lt;/C&gt;&lt;/FQL&gt;&lt;FQL&gt;&lt;Q&gt;CRWV^FE_ESTIMATE(CFO,MEAN,QUARTERLY_ROLL,2024/1F,45790,,,'')&lt;/Q&gt;&lt;R&gt;0&lt;/R&gt;&lt;C&gt;0&lt;/C&gt;&lt;/FQL&gt;&lt;FQL&gt;&lt;Q&gt;CRWV^FE_ESTIMATE(CFO,MEAN,ANNUAL_ROLL,2023,45790,,,'')&lt;/Q&gt;&lt;R&gt;0&lt;/R&gt;&lt;C&gt;0&lt;/C&gt;&lt;/FQL&gt;&lt;FQL&gt;&lt;Q&gt;CRWV^FE_ESTIMATE(CFO,MEAN,QUARTERLY_ROLL,2023/4F,45790,,,'')&lt;/Q&gt;&lt;R&gt;0&lt;/R&gt;&lt;C&gt;0&lt;/C&gt;&lt;/FQL&gt;&lt;FQL&gt;&lt;Q&gt;CRWV^FE_ESTIMATE(CFO,MEAN,QUARTERLY_ROLL,2023/3F,45790,,,'')&lt;/Q&gt;&lt;R&gt;0&lt;/R&gt;&lt;C&gt;0&lt;/C&gt;&lt;/FQL&gt;&lt;FQL&gt;&lt;Q&gt;CRWV^FE_ESTIMATE(CFO,MEAN,QUARTERLY_ROLL,2023/2F,45790,,,'')&lt;/Q&gt;&lt;R&gt;0&lt;/R&gt;&lt;C&gt;0&lt;/C&gt;&lt;/FQL&gt;&lt;FQL&gt;&lt;Q&gt;CRWV^FE_ESTIMATE(CFO,MEAN,QUARTERLY_ROLL,2023/1F,45790,,,'')&lt;/Q&gt;&lt;R&gt;0&lt;/R&gt;&lt;C&gt;0&lt;/C&gt;&lt;/FQL&gt;&lt;FQL&gt;&lt;Q&gt;CRWV^FE_ESTIMATE(CFO,MEAN,ANNUAL_ROLL,2022,45790,,,'')&lt;/Q&gt;&lt;R&gt;0&lt;/R&gt;&lt;C&gt;0&lt;/C&gt;&lt;/FQL&gt;&lt;FQL&gt;&lt;Q&gt;CRWV^FE_ESTIMATE(CFO,MEAN,QUARTERLY_ROLL,2022/4F,45790,,,'')&lt;/Q&gt;&lt;R&gt;0&lt;/R&gt;&lt;C&gt;0&lt;/C&gt;&lt;/FQL&gt;&lt;FQL&gt;&lt;Q&gt;CRWV^FE_ESTIMATE(CFO,MEAN,QUARTERLY_ROLL,2022/3F,45790,,,'')&lt;/Q&gt;&lt;R&gt;0&lt;/R&gt;&lt;C&gt;0&lt;/C&gt;&lt;/FQL&gt;&lt;FQL&gt;&lt;Q&gt;CRWV^FE_ESTIMATE(CFO,MEAN,QUARTERLY_ROLL,2022/2F,45790,,,'')&lt;/Q&gt;&lt;R&gt;0&lt;/R&gt;&lt;C&gt;0&lt;/C&gt;&lt;/FQL&gt;&lt;FQL&gt;&lt;Q&gt;CRWV^FE_ESTIMATE(CFO,MEAN,QUARTERLY_ROLL,2022/1F,45790,,,'')&lt;/Q&gt;&lt;R&gt;0&lt;/R&gt;&lt;C&gt;0&lt;/C&gt;&lt;/FQL&gt;&lt;FQL&gt;&lt;Q&gt;CRWV^FE_ESTIMATE(EPS,MEAN,ANNUAL_ROLL,2029,45790,,,'')&lt;/Q&gt;&lt;R&gt;1&lt;/R&gt;&lt;C&gt;1&lt;/C&gt;&lt;D xsi:type="xsd:double"&gt;3.96&lt;/D&gt;&lt;/FQL&gt;&lt;FQL&gt;&lt;Q&gt;CRWV^FE_ESTIMATE(EPS,MEAN,QUARTERLY_ROLL,2029/4F,45790,,,'')&lt;/Q&gt;&lt;R&gt;0&lt;/R&gt;&lt;C&gt;0&lt;/C&gt;&lt;/FQL&gt;&lt;FQL&gt;&lt;Q&gt;CRWV^FE_ESTIMATE(EPS,MEAN,QUARTERLY_ROLL,2029/3F,45790,,,'')&lt;/Q&gt;&lt;R&gt;0&lt;/R&gt;&lt;C&gt;0&lt;/C&gt;&lt;/FQL&gt;&lt;FQL&gt;&lt;Q&gt;CRWV^FE_ESTIMATE(EPS,MEAN,QUARTERLY_ROLL,2029/2F,45790,,,'')&lt;/Q&gt;&lt;R&gt;0&lt;/R&gt;&lt;C&gt;0&lt;/C&gt;&lt;/FQL&gt;&lt;FQL&gt;&lt;Q&gt;CRWV^FE_ESTIMATE(EPS,MEAN,QUARTERLY_ROLL,2029/1F,45790,,,'')&lt;/Q&gt;&lt;R&gt;0&lt;/R&gt;&lt;C&gt;0&lt;/C&gt;</t>
        </r>
      </text>
    </comment>
    <comment ref="A6" authorId="0" shapeId="0" xr:uid="{6FBA5259-37B2-4B47-B5FD-28FE701FEEB8}">
      <text>
        <r>
          <rPr>
            <b/>
            <sz val="9"/>
            <color indexed="81"/>
            <rFont val="Tahoma"/>
            <charset val="1"/>
          </rPr>
          <t>&lt;/FQL&gt;&lt;FQL&gt;&lt;Q&gt;CRWV^FE_ESTIMATE(EPS,MEAN,ANNUAL_ROLL,2028,45790,,,'')&lt;/Q&gt;&lt;R&gt;1&lt;/R&gt;&lt;C&gt;1&lt;/C&gt;&lt;D xsi:type="xsd:double"&gt;2.81&lt;/D&gt;&lt;/FQL&gt;&lt;FQL&gt;&lt;Q&gt;CRWV^FE_ESTIMATE(EPS,MEAN,QUARTERLY_ROLL,2028/4F,45790,,,'')&lt;/Q&gt;&lt;R&gt;0&lt;/R&gt;&lt;C&gt;0&lt;/C&gt;&lt;/FQL&gt;&lt;FQL&gt;&lt;Q&gt;CRWV^FE_ESTIMATE(EPS,MEAN,QUARTERLY_ROLL,2028/3F,45790,,,'')&lt;/Q&gt;&lt;R&gt;0&lt;/R&gt;&lt;C&gt;0&lt;/C&gt;&lt;/FQL&gt;&lt;FQL&gt;&lt;Q&gt;CRWV^FE_ESTIMATE(EPS,MEAN,QUARTERLY_ROLL,2028/2F,45790,,,'')&lt;/Q&gt;&lt;R&gt;0&lt;/R&gt;&lt;C&gt;0&lt;/C&gt;&lt;/FQL&gt;&lt;FQL&gt;&lt;Q&gt;CRWV^FE_ESTIMATE(EPS,MEAN,QUARTERLY_ROLL,2028/1F,45790,,,'')&lt;/Q&gt;&lt;R&gt;0&lt;/R&gt;&lt;C&gt;0&lt;/C&gt;&lt;/FQL&gt;&lt;FQL&gt;&lt;Q&gt;CRWV^FE_ESTIMATE(EPS,MEAN,ANNUAL_ROLL,2027,45790,,,'')&lt;/Q&gt;&lt;R&gt;1&lt;/R&gt;&lt;C&gt;1&lt;/C&gt;&lt;D xsi:type="xsd:double"&gt;2.4001043&lt;/D&gt;&lt;/FQL&gt;&lt;FQL&gt;&lt;Q&gt;CRWV^FE_ESTIMATE(EPS,MEAN,QUARTERLY_ROLL,2027/4F,45790,,,'')&lt;/Q&gt;&lt;R&gt;1&lt;/R&gt;&lt;C&gt;1&lt;/C&gt;&lt;D xsi:type="xsd:double"&gt;0.80221766&lt;/D&gt;&lt;/FQL&gt;&lt;FQL&gt;&lt;Q&gt;CRWV^FE_ESTIMATE(EPS,MEAN,QUARTERLY_ROLL,2027/3F,45790,,,'')&lt;/Q&gt;&lt;R&gt;1&lt;/R&gt;&lt;C&gt;1&lt;/C&gt;&lt;D xsi:type="xsd:double"&gt;0.68073887&lt;/D&gt;&lt;/FQL&gt;&lt;FQL&gt;&lt;Q&gt;CRWV^FE_ESTIMATE(EPS,MEAN,QUARTERLY_ROLL,2027/2F,45790,,,'')&lt;/Q&gt;&lt;R&gt;1&lt;/R&gt;&lt;C&gt;1&lt;/C&gt;&lt;D xsi:type="xsd:double"&gt;0.5428391&lt;/D&gt;&lt;/FQL&gt;&lt;FQL&gt;&lt;Q&gt;CRWV^FE_ESTIMATE(EPS,MEAN,QUARTERLY_ROLL,2027/1F,45790,,,'')&lt;/Q&gt;&lt;R&gt;1&lt;/R&gt;&lt;C&gt;1&lt;/C&gt;&lt;D xsi:type="xsd:double"&gt;0.40177566&lt;/D&gt;&lt;/FQL&gt;&lt;FQL&gt;&lt;Q&gt;CRWV^FE_ESTIMATE(EPS,MEAN,ANNUAL_ROLL,2026,45790,,,'')&lt;/Q&gt;&lt;R&gt;1&lt;/R&gt;&lt;C&gt;1&lt;/C&gt;&lt;D xsi:type="xsd:double"&gt;0.12921192&lt;/D&gt;&lt;/FQL&gt;&lt;FQL&gt;&lt;Q&gt;CRWV^FE_ESTIMATE(EPS,MEAN,QUARTERLY_ROLL,2026/4F,45790,,,'')&lt;/Q&gt;&lt;R&gt;1&lt;/R&gt;&lt;C&gt;1&lt;/C&gt;&lt;D xsi:type="xsd:double"&gt;0.19658852&lt;/D&gt;&lt;/FQL&gt;&lt;FQL&gt;&lt;Q&gt;CRWV^FE_ESTIMATE(EPS,MEAN,QUARTERLY_ROLL,2026/3F,45790,,,'')&lt;/Q&gt;&lt;R&gt;1&lt;/R&gt;&lt;C&gt;1&lt;/C&gt;&lt;D xsi:type="xsd:double"&gt;0.091315724&lt;/D&gt;&lt;/FQL&gt;&lt;FQL&gt;&lt;Q&gt;CRWV^FE_ESTIMATE(EPS,MEAN,QUARTERLY_ROLL,2026/2F,45790,,,'')&lt;/Q&gt;&lt;R&gt;1&lt;/R&gt;&lt;C&gt;1&lt;/C&gt;&lt;D xsi:type="xsd:double"&gt;0.020624222&lt;/D&gt;&lt;/FQL&gt;&lt;FQL&gt;&lt;Q&gt;CRWV^FE_ESTIMATE(EPS,MEAN,QUARTERLY_ROLL,2026/1F,45790,,,'')&lt;/Q&gt;&lt;R&gt;1&lt;/R&gt;&lt;C&gt;1&lt;/C&gt;&lt;D xsi:type="xsd:double"&gt;-0.16782874&lt;/D&gt;&lt;/FQL&gt;&lt;FQL&gt;&lt;Q&gt;CRWV^FE_ESTIMATE(EPS,MEAN,ANNUAL_ROLL,2025,45790,,,'')&lt;/Q&gt;&lt;R&gt;1&lt;/R&gt;&lt;C&gt;1&lt;/C&gt;&lt;D xsi:type="xsd:double"&gt;-0.2704717&lt;/D&gt;&lt;/FQL&gt;&lt;FQL&gt;&lt;Q&gt;CRWV^FE_ESTIMATE(EPS,MEAN,QUARTERLY_ROLL,2025/4F,45790,,,'')&lt;/Q&gt;&lt;R&gt;1&lt;/R&gt;&lt;C&gt;1&lt;/C&gt;&lt;D xsi:type="xsd:double"&gt;-0.19465002&lt;/D&gt;&lt;/FQL&gt;&lt;FQL&gt;&lt;Q&gt;CRWV^FE_ESTIMATE(EPS,MEAN,QUARTERLY_ROLL,2025/3F,45790,,,'')&lt;/Q&gt;&lt;R&gt;1&lt;/R&gt;&lt;C&gt;1&lt;/C&gt;&lt;D xsi:type="xsd:double"&gt;0.0015073082&lt;/D&gt;&lt;/FQL&gt;&lt;FQL&gt;&lt;Q&gt;CRWV^FE_ESTIMATE(EPS,MEAN,QUARTERLY_ROLL,2025/2F,45790,,,'')&lt;/Q&gt;&lt;R&gt;1&lt;/R&gt;&lt;C&gt;1&lt;/C&gt;&lt;D xsi:type="xsd:double"&gt;0.010668168&lt;/D&gt;&lt;/FQL&gt;&lt;FQL&gt;&lt;Q&gt;CRWV^FE_ESTIMATE(EPS,MEAN,QUARTERLY_ROLL,2025/1F,45790,,,'')&lt;/Q&gt;&lt;R&gt;1&lt;/R&gt;&lt;C&gt;1&lt;/C&gt;&lt;D xsi:type="xsd:double"&gt;-0.11554697&lt;/D&gt;&lt;/FQL&gt;&lt;FQL&gt;&lt;Q&gt;CRWV^FE_ESTIMATE(EPS,MEAN,ANNUAL_ROLL,2024,45790,,,'')&lt;/Q&gt;&lt;R&gt;1&lt;/R&gt;&lt;C&gt;1&lt;/C&gt;&lt;D xsi:type="xsd:double"&gt;-0.19859342&lt;/D&gt;&lt;/FQL&gt;&lt;FQL&gt;&lt;Q&gt;CRWV^FE_ESTIMATE(EPS,MEAN,QUARTERLY_ROLL,2024/4F,45790,,,'')&lt;/Q&gt;&lt;R&gt;1&lt;/R&gt;&lt;C&gt;1&lt;/C&gt;&lt;D xsi:type="xsd:double"&gt;-0.08&lt;/D&gt;&lt;/FQL&gt;&lt;FQL&gt;&lt;Q&gt;CRWV^FE_ESTIMATE(EPS,MEAN,QUARTERLY_ROLL,2024/3F,45790,,,'')&lt;/Q&gt;&lt;R&gt;0&lt;/R&gt;&lt;C&gt;0&lt;/C&gt;&lt;/FQL&gt;&lt;FQL&gt;&lt;Q&gt;CRWV^FE_ESTIMATE(EPS,MEAN,QUARTERLY_ROLL,2024/2F,45790,,,'')&lt;/Q&gt;&lt;R&gt;0&lt;/R&gt;&lt;C&gt;0&lt;/C&gt;&lt;/FQL&gt;&lt;FQL&gt;&lt;Q&gt;CRWV^FE_ESTIMATE(EPS,MEAN,QUARTERLY_ROLL,2024/1F,45790,,,'')&lt;/Q&gt;&lt;R&gt;0&lt;/R&gt;&lt;C&gt;0&lt;/C&gt;&lt;/FQL&gt;&lt;FQL&gt;&lt;Q&gt;CRWV^FE_ESTIMATE(EPS,MEAN,ANNUAL_ROLL,2023,45790,,,'')&lt;/Q&gt;&lt;R&gt;0&lt;/R&gt;&lt;C&gt;0&lt;/C&gt;&lt;/FQL&gt;&lt;FQL&gt;&lt;Q&gt;CRWV^FE_ESTIMATE(EPS,MEAN,QUARTERLY_ROLL,2023/4F,45790,,,'')&lt;/Q&gt;&lt;R&gt;0&lt;/R&gt;&lt;C&gt;0&lt;/C&gt;&lt;/FQL&gt;&lt;FQL&gt;&lt;Q&gt;CRWV^FE_ESTIMATE(EPS,MEAN,QUARTERLY_ROLL,2023/3F,45790,,,'')&lt;/Q&gt;&lt;R&gt;0&lt;/R&gt;&lt;C&gt;0&lt;/C&gt;&lt;/FQL&gt;&lt;FQL&gt;&lt;Q&gt;CRWV^FE_ESTIMATE(EPS,MEAN,QUARTERLY_ROLL,2023/2F,45790,,,'')&lt;/Q&gt;&lt;R&gt;0&lt;/R&gt;&lt;C&gt;0&lt;/C&gt;&lt;/FQL&gt;&lt;FQL&gt;&lt;Q&gt;CRWV^FE_ESTIMATE(EPS,MEAN,QUARTERLY_ROLL,2023/1F,45790,,,'')&lt;/Q&gt;&lt;R&gt;0&lt;/R&gt;&lt;C&gt;0&lt;/C&gt;&lt;/FQL&gt;&lt;FQL&gt;&lt;Q&gt;CRWV^FE_ESTIMATE(EPS,MEAN,ANNUAL_ROLL,2022,45790,,,'')&lt;/Q&gt;&lt;R&gt;0&lt;/R&gt;&lt;C&gt;0&lt;/C&gt;&lt;/FQL&gt;&lt;FQL&gt;&lt;Q&gt;CRWV^FE_ESTIMATE(EPS,MEAN,QUARTERLY_ROLL,2022/4F,45790,,,'')&lt;/Q&gt;&lt;R&gt;0&lt;/R&gt;&lt;C&gt;0&lt;/C&gt;&lt;/FQL&gt;&lt;FQL&gt;&lt;Q&gt;CRWV^FE_ESTIMATE(EPS,MEAN,QUARTERLY_ROLL,2022/3F,45790,,,'')&lt;/Q&gt;&lt;R&gt;0&lt;/R&gt;&lt;C&gt;0&lt;/C&gt;&lt;/FQL&gt;&lt;FQL&gt;&lt;Q&gt;CRWV^FE_ESTIMATE(EPS,MEAN,QUARTERLY_ROLL,2022/2F,45790,,,'')&lt;/Q&gt;&lt;R&gt;0&lt;/R&gt;&lt;C&gt;0&lt;/C&gt;&lt;/FQL&gt;&lt;FQL&gt;&lt;Q&gt;CRWV^FE_ESTIMATE(EPS,MEAN,QUARTERLY_ROLL,2022/1F,45790,,,'')&lt;/Q&gt;&lt;R&gt;0&lt;/R&gt;&lt;C&gt;0&lt;/C&gt;&lt;/FQL&gt;&lt;FQL&gt;&lt;Q&gt;CRWV^FE_ESTIMATE(EAG,MEAN,ANNUAL_ROLL,2029,45790,,,'')&lt;/Q&gt;&lt;R&gt;0&lt;/R&gt;&lt;C&gt;0&lt;/C&gt;&lt;/FQL&gt;&lt;FQL&gt;&lt;Q&gt;CRWV^FE_ESTIMATE(EAG,MEAN,QUARTERLY_ROLL,2029/4F,45790,,,'')&lt;/Q&gt;&lt;R&gt;0&lt;/R&gt;&lt;C&gt;0&lt;/C&gt;&lt;/FQL&gt;&lt;FQL&gt;&lt;Q&gt;CRWV^FE_ESTIMATE(EAG,MEAN,QUARTERLY_ROLL,2029/3F,45790,,,'')&lt;/Q&gt;&lt;R&gt;0&lt;/R&gt;&lt;C&gt;0&lt;/C&gt;&lt;/FQL&gt;&lt;FQL&gt;&lt;Q&gt;CRWV^FE_ESTIMATE(EAG,MEAN,QUARTERLY_ROLL,2029/2F,45790,,,'')&lt;/Q&gt;&lt;R&gt;0&lt;/R&gt;&lt;C&gt;0&lt;/C&gt;&lt;/FQL&gt;&lt;FQL&gt;&lt;Q&gt;CRWV^FE_ESTIMATE(EAG,MEAN,QUARTERLY_ROLL,2029/1F,45790,,,'')&lt;/Q&gt;&lt;R&gt;0&lt;/R&gt;&lt;C&gt;0&lt;/C&gt;&lt;/FQL&gt;&lt;FQL&gt;&lt;Q&gt;CRWV^FE_ESTIMATE(EAG,MEAN,ANNUAL_ROLL,2028,45790,,,'')&lt;/Q&gt;&lt;R&gt;0&lt;/R&gt;&lt;C&gt;0&lt;/C&gt;&lt;/FQL&gt;&lt;FQL&gt;&lt;Q&gt;CRWV^FE_ESTIMATE(EAG,MEAN,QUARTERLY_ROLL,2028/4F,45790,,,'')&lt;/Q&gt;&lt;R&gt;0&lt;/R&gt;&lt;C&gt;0&lt;/C&gt;&lt;/FQL&gt;&lt;FQL&gt;&lt;Q&gt;CRWV^FE_ESTIMATE(EAG,MEAN,QUARTERLY_ROLL,2028/3F,45790,,,'')&lt;/Q&gt;&lt;R&gt;0&lt;/R&gt;&lt;C&gt;0&lt;/C&gt;&lt;/FQL&gt;&lt;FQL&gt;&lt;Q&gt;CRWV^FE_ESTIMATE(EAG,MEAN,QUARTERLY_ROLL,2028/2F,45790,,,'')&lt;/Q&gt;&lt;R&gt;0&lt;/R&gt;&lt;C&gt;0&lt;/C&gt;&lt;/FQL&gt;&lt;FQL&gt;&lt;Q&gt;CRWV^FE_ESTIMATE(EAG,MEAN,QUARTERLY_ROLL,2028/1F,45790,,,'')&lt;/Q&gt;&lt;R&gt;0&lt;/R&gt;&lt;C&gt;0&lt;/C&gt;&lt;/FQL&gt;&lt;FQL&gt;&lt;Q&gt;CRWV^FE_ESTIMATE(EAG,MEAN,ANNUAL_ROLL,2027,45790,,,'')&lt;/Q&gt;&lt;R&gt;1&lt;/R&gt;&lt;C&gt;1&lt;/C&gt;&lt;D xsi:type="xsd:double"&gt;1.6792374&lt;/D&gt;&lt;/FQL&gt;&lt;FQL&gt;&lt;Q&gt;CRWV^FE_ESTIMATE(EAG,MEAN,QUARTERLY_ROLL,2027/4F,45790,,,'')&lt;/Q&gt;&lt;R&gt;1&lt;/R&gt;&lt;C&gt;1&lt;/C&gt;&lt;D xsi:type="xsd:double"&gt;0.62368464&lt;/D&gt;&lt;/FQL&gt;&lt;FQL&gt;&lt;Q&gt;CRWV^FE_ESTIMATE(EAG,MEAN,QUARTERLY_ROLL,2027/3F,45790,,,'')&lt;/Q&gt;&lt;R&gt;1&lt;/R&gt;&lt;C&gt;1&lt;/C&gt;&lt;D xsi:type="xsd:double"&gt;0.49818167&lt;/D&gt;&lt;/FQL&gt;&lt;FQL&gt;&lt;Q&gt;CRWV^FE_ESTIMATE(EAG,MEAN,QUARTERLY_ROLL,2027/2F,45790,,,'')&lt;/Q&gt;&lt;R&gt;1&lt;/R&gt;&lt;C&gt;1&lt;/C&gt;&lt;D xsi:type="xsd:double"&gt;0.37911433&lt;/D&gt;&lt;/FQL&gt;&lt;FQL&gt;&lt;Q&gt;CRWV^FE_ESTIMATE(EAG,MEAN,QUARTERLY_ROLL,2027/1F,45790,,,'')&lt;/Q&gt;&lt;R&gt;1&lt;/R&gt;&lt;C&gt;1&lt;/C&gt;&lt;D xsi:type="xsd:double"&gt;0.21234934&lt;/D&gt;&lt;/FQL&gt;&lt;FQL&gt;&lt;Q&gt;CRWV^FE_ESTIMATE(EAG,MEAN,ANNUAL_ROLL,2026,45790,,,'')&lt;/Q&gt;&lt;R&gt;1&lt;/R&gt;&lt;C&gt;1&lt;/C&gt;&lt;D xsi:type="xsd:double"&gt;-0.6167333&lt;/D&gt;&lt;/FQL&gt;&lt;FQL&gt;&lt;Q&gt;CRWV^FE_ESTIMATE(EAG,MEAN,QUARTERLY_ROLL,2026/4F,45790,,,'')&lt;/Q&gt;&lt;R&gt;1&lt;/R&gt;&lt;C&gt;1&lt;/C&gt;&lt;D xsi:type="xsd:double"&gt;0.0287584&lt;/D&gt;&lt;/FQL&gt;&lt;FQL&gt;&lt;Q&gt;CRWV^FE_ESTIMATE(EAG,MEAN,QUARTERLY_ROLL,2026/3F,45790,,,'')&lt;/Q&gt;&lt;R&gt;1&lt;/R&gt;&lt;C&gt;1&lt;/C&gt;&lt;D xsi:type="xsd:double"&gt;-0.0873144&lt;/D&gt;&lt;/FQL&gt;&lt;FQL&gt;&lt;Q&gt;CRWV^FE_ESTIMATE(EAG,MEAN,QUARTERLY_ROLL,2026/2F,45790,,,'')&lt;/Q&gt;&lt;R&gt;1&lt;/R&gt;&lt;C&gt;1&lt;/C&gt;&lt;D xsi:type="xsd:double"&gt;-0.1597512&lt;/D&gt;&lt;/FQL&gt;&lt;FQL&gt;&lt;Q&gt;CRWV^FE_ESTIMATE(EAG,MEAN,QUARTERLY_ROLL,2026/1F,45790,,,'')&lt;/Q&gt;&lt;R&gt;1&lt;/R&gt;&lt;C&gt;1&lt;/C&gt;&lt;D xsi:type="xsd:double"&gt;-0.435121&lt;/D&gt;&lt;/FQL&gt;&lt;FQL&gt;&lt;Q&gt;CRWV^FE_ESTIMATE(EAG,MEAN,ANNUAL_ROLL,2025,45790,,,'')&lt;/Q&gt;&lt;R&gt;1&lt;/R&gt;&lt;C&gt;1&lt;/C&gt;&lt;D xsi:type="xsd:double"&gt;-0.9248078&lt;/D&gt;&lt;/FQL&gt;&lt;FQL&gt;&lt;Q&gt;CRWV^FE_ESTIMATE(EAG,MEAN,QUARTERLY_ROLL,2025/4F,45790,,,'')&lt;/Q&gt;&lt;R&gt;1&lt;/R&gt;&lt;C&gt;1&lt;/C&gt;&lt;D xsi:type="xsd:double"&gt;-0.33232212&lt;/D&gt;&lt;/FQL&gt;&lt;FQL&gt;&lt;Q&gt;CRWV^FE_ESTIMATE(EAG,MEAN,QUARTERLY_ROLL,2025/3F,45790,,,'')&lt;/Q&gt;&lt;R&gt;1&lt;/R&gt;&lt;C&gt;1&lt;/C&gt;&lt;D xsi:type="xsd:double"&gt;-0.121896744&lt;/D&gt;&lt;/FQL&gt;&lt;FQL&gt;&lt;Q&gt;CRWV^FE_ESTIMATE(EAG,MEAN,QUARTERLY_ROLL,2025/2F,45790,,,'')&lt;/Q&gt;&lt;R&gt;1&lt;/R&gt;&lt;C&gt;1&lt;/C&gt;&lt;D xsi:type="xsd:double"&gt;-0.27641627&lt;/D&gt;&lt;/FQL&gt;&lt;FQL&gt;&lt;Q&gt;CRWV^FE_ESTIMATE(EAG,MEAN,QUARTERLY_ROLL,2025/1F,45790,,,'')&lt;/Q&gt;&lt;R&gt;1&lt;/R&gt;&lt;C&gt;1&lt;/C&gt;&lt;D xsi:type="xsd:double"&gt;-0.1840012&lt;/D&gt;&lt;/FQL&gt;&lt;FQL&gt;&lt;Q&gt;CRWV^FE_ESTIMATE(EAG,MEAN,ANNUAL_ROLL,2024,45790,,,'')&lt;/Q&gt;&lt;R&gt;1&lt;/R&gt;&lt;C&gt;1&lt;/C&gt;&lt;D xsi:type="xsd:double"&gt;-2.8676476&lt;/D&gt;&lt;/FQL&gt;&lt;FQL&gt;&lt;Q&gt;CRWV^FE_ESTIMATE(EAG,MEAN,QUARTERLY_ROLL,2024/4F,45790,,,'')&lt;/Q&gt;&lt;R&gt;1&lt;/R&gt;&lt;C&gt;1&lt;/C&gt;&lt;D xsi:type="xsd:double"&gt;-0.21&lt;/D&gt;&lt;/FQL&gt;&lt;FQL&gt;&lt;Q&gt;CRWV^FE_ESTIMATE(EAG,MEAN,QUARTERLY_ROLL,2024/3F,45790,,,'')&lt;/Q&gt;&lt;R&gt;0&lt;/R&gt;&lt;C&gt;0&lt;/C&gt;&lt;/FQL&gt;&lt;FQL&gt;&lt;Q&gt;CRWV^FE_ESTIMATE(EAG,MEAN,QUARTERLY_ROLL,2024/2F,45790,,,'')&lt;/Q&gt;&lt;R&gt;0&lt;/R&gt;&lt;C&gt;0&lt;/C&gt;&lt;/FQL&gt;&lt;FQL&gt;&lt;Q&gt;CRWV^FE_ESTIMATE(EAG,MEAN,QUARTERLY_ROLL,2024/1F,45790,,,'')&lt;/Q&gt;&lt;R&gt;0&lt;/R&gt;&lt;C&gt;0&lt;/C&gt;&lt;/FQL&gt;&lt;FQL&gt;&lt;Q&gt;CRWV^FE_ESTIMATE(EAG,MEAN,ANNUAL_ROLL,2023,45790,,,'')&lt;/Q&gt;&lt;R&gt;0&lt;/R&gt;&lt;C&gt;0&lt;/C&gt;&lt;/FQL&gt;&lt;FQL&gt;&lt;Q&gt;CRWV^FE_ESTIMATE(EAG,MEAN,QUARTERLY_ROLL,2023/4F,45790,,,'')&lt;/Q&gt;&lt;R&gt;0&lt;/R&gt;&lt;C&gt;0&lt;/C&gt;&lt;/FQL&gt;&lt;FQL&gt;&lt;Q&gt;CRWV^FE_ESTIMATE(EAG,MEAN,QUARTERLY_ROLL,2023/3F,45790,,,'')&lt;/Q&gt;&lt;R&gt;0&lt;/R&gt;&lt;C&gt;0&lt;/C&gt;&lt;/FQL&gt;&lt;FQL&gt;&lt;Q&gt;CRWV^FE_ESTIMATE(EAG,MEAN,QUARTERLY_ROLL,2023/2F,45790,,,'')&lt;/Q&gt;&lt;R&gt;0&lt;/R&gt;&lt;C&gt;0&lt;/C&gt;&lt;/FQL&gt;&lt;FQL&gt;&lt;Q&gt;CRWV^FE_ESTIMATE(EAG,MEAN,QUARTERLY_ROLL,2023/1F,45790,,,'')&lt;/Q&gt;&lt;R&gt;0&lt;/R&gt;&lt;C&gt;0&lt;/C&gt;&lt;/FQL&gt;&lt;FQL&gt;&lt;Q&gt;CRWV^FE_ESTIMATE(EAG,MEAN,ANNUAL_ROLL,2022,45790,,,'')&lt;/Q&gt;&lt;R&gt;0&lt;/R&gt;&lt;C&gt;0&lt;/C&gt;&lt;/FQL&gt;&lt;FQL&gt;&lt;Q&gt;CRWV^FE_ESTIMATE(EAG,MEAN,QUARTERLY_ROLL,2022/4F,45790,,,'')&lt;/Q&gt;&lt;R&gt;0&lt;/R&gt;&lt;C&gt;0&lt;/C&gt;&lt;/FQL&gt;&lt;FQL&gt;&lt;Q&gt;CRWV^FE_ESTIMATE(EAG,MEAN,QUARTERLY_ROLL,2022/3F,45790,,,'')&lt;/Q&gt;&lt;R&gt;0&lt;/R&gt;&lt;C&gt;0&lt;/C&gt;&lt;/FQL&gt;&lt;FQL&gt;&lt;Q&gt;CRWV^FE_ESTIMATE(EAG,MEAN,QUARTERLY_ROLL,2022/2F,45790,,,'')&lt;/Q&gt;&lt;R&gt;0&lt;/R&gt;&lt;C&gt;0&lt;/C&gt;&lt;/FQL&gt;&lt;FQL&gt;&lt;Q&gt;CRWV^FE_ESTIMATE(EAG,MEAN,QUARTERLY_ROLL,2022/1F,45790,,,'')&lt;/Q&gt;&lt;R&gt;0&lt;/R&gt;&lt;C&gt;0&lt;/C&gt;&lt;/FQL&gt;&lt;FQL&gt;&lt;Q&gt;CRWV^FE_ESTIMATE(EBIT,MEAN,ANNUAL_ROLL,2029,45790,,,'')&lt;/Q&gt;&lt;R&gt;1&lt;/R&gt;&lt;C&gt;1&lt;/C&gt;&lt;D xsi:type="xsd:double"&gt;6304.7&lt;/D&gt;&lt;/FQL&gt;&lt;FQL&gt;&lt;Q&gt;CRWV^FE_ESTIMATE(EBIT,MEAN,QUARTERLY_ROLL,2029/4F,45790,,,'')&lt;/Q&gt;&lt;R&gt;0&lt;/R&gt;&lt;C&gt;0&lt;/C&gt;&lt;/FQL&gt;&lt;FQL&gt;&lt;Q&gt;CRWV^FE_ESTIMATE(EBIT,MEAN,QUARTERLY_ROLL,2029/3F,45790,,,'')&lt;/Q&gt;&lt;R&gt;0&lt;/R&gt;&lt;C&gt;0&lt;/C&gt;&lt;/FQL&gt;&lt;FQL&gt;&lt;Q&gt;CRWV^FE_ESTIMATE(EBIT,MEAN,QUARTERLY_ROLL,2029/2F,45790,,,'')&lt;/Q&gt;&lt;R&gt;0&lt;/R&gt;&lt;C&gt;0&lt;/C&gt;&lt;/FQL&gt;&lt;FQL&gt;&lt;Q&gt;CRWV^FE_ESTIMATE(EBIT,MEAN,QUARTERLY_ROLL,2029/1F,45790,,,'')&lt;/Q&gt;&lt;R&gt;0&lt;/R&gt;&lt;C&gt;0&lt;/C&gt;&lt;/FQL&gt;&lt;FQL&gt;&lt;Q&gt;CRWV^FE_ESTIMATE(EBIT,MEAN,ANNUAL_ROLL,2028,45790,,,'')&lt;/Q&gt;&lt;R&gt;1&lt;/R&gt;&lt;C&gt;1&lt;/C&gt;&lt;D xsi:type="xsd:double"&gt;5333.3&lt;/D&gt;&lt;/FQL&gt;&lt;FQL&gt;&lt;Q&gt;CRWV^FE_ESTIMATE(EBIT,MEAN,QUARTERLY_ROLL,2028/4F,45790,,,'')&lt;/Q&gt;&lt;R&gt;0&lt;/R&gt;&lt;C&gt;0&lt;/C&gt;&lt;/FQL&gt;&lt;FQL&gt;&lt;Q&gt;CRWV^FE_ESTIMATE(EBIT,MEAN,QUARTERLY_ROLL,2028/3F,45790,,,'')&lt;/Q&gt;&lt;R&gt;0&lt;/R&gt;&lt;C&gt;0&lt;/C&gt;&lt;/FQL&gt;&lt;FQL&gt;&lt;Q&gt;CRWV^FE_ESTIMATE(EBIT,MEAN,QUARTERLY_ROLL,2028/2F,45790,,,'')&lt;/Q&gt;&lt;R&gt;0&lt;/R&gt;&lt;C&gt;0&lt;/C&gt;&lt;/FQL&gt;&lt;FQL&gt;&lt;Q&gt;CRWV^FE_ESTIMATE(EBIT,MEAN,QUARTERLY_ROLL,2028/1F,45790,,,'')&lt;/Q&gt;&lt;R&gt;0&lt;/R&gt;&lt;C&gt;0&lt;/C&gt;&lt;/FQL&gt;&lt;FQL&gt;&lt;Q&gt;CRWV^FE_ESTIMATE(EBIT,MEAN,ANNUAL_ROLL,2027,45790,,,'')&lt;/Q&gt;&lt;R&gt;1&lt;/R&gt;&lt;C&gt;1&lt;/C&gt;&lt;D xsi:type="xsd:double"&gt;4184.7607&lt;/D&gt;&lt;/FQL&gt;&lt;FQL&gt;&lt;Q&gt;CRWV^FE_ESTIMATE(EBIT,MEAN,QUARTERLY_ROLL,2027/4F,45790,,,'')&lt;/Q&gt;&lt;R&gt;1&lt;/R&gt;&lt;C&gt;1&lt;/C&gt;&lt;D xsi:type="xsd:double"&gt;1204.1678&lt;/D&gt;&lt;/FQL&gt;&lt;FQL&gt;&lt;Q&gt;CRWV^FE_ESTIMATE(EBIT,MEAN,QUARTERLY_ROLL,2027/3F,45790,,,'')&lt;/Q&gt;&lt;R&gt;1&lt;/R&gt;&lt;C&gt;1&lt;/C&gt;&lt;D xsi:type="xsd:double"&gt;1124.1986&lt;/D&gt;&lt;/FQL&gt;&lt;FQL&gt;&lt;Q&gt;CRWV^FE_ESTIMATE(EBIT,MEAN,QUARTERLY_ROLL,2027/2F,45790,,,'')&lt;/Q&gt;&lt;R&gt;1&lt;/R&gt;&lt;C&gt;1&lt;/C&gt;&lt;D xsi:type="xsd:double"&gt;1009.0805&lt;/D&gt;&lt;/FQL&gt;&lt;FQL&gt;&lt;Q&gt;CRWV^FE_ESTIMATE(EBIT,MEAN,QUARTERLY_ROLL,2027/1F,45790,,,'')&lt;/Q&gt;&lt;R&gt;1&lt;/R&gt;&lt;C&gt;1&lt;/C&gt;&lt;D xsi:type="xsd:double"&gt;897.3159&lt;/D&gt;&lt;/FQL&gt;&lt;FQL&gt;&lt;Q&gt;CRWV^FE_ESTIMATE(EBIT,MEAN,ANNUAL_ROLL,2026,45790,,,'')&lt;/Q&gt;&lt;R&gt;1&lt;/R&gt;&lt;C&gt;1&lt;/C&gt;&lt;D xsi:type="xsd:double"&gt;2518.054&lt;/D&gt;&lt;/FQL&gt;&lt;FQL&gt;&lt;Q&gt;CRWV^FE_ESTIMATE(EBIT,MEAN,QUARTERLY_ROLL,2026/4F,45790,,,'')&lt;/Q&gt;&lt;R&gt;1&lt;/R&gt;&lt;C&gt;1&lt;/C&gt;&lt;D xsi:type="xsd:double"&gt;814.01935&lt;/D&gt;&lt;/FQL&gt;&lt;FQL&gt;&lt;Q&gt;CRWV^FE_ESTIMATE(EBIT,MEAN,QUARTERLY_ROLL,2026/3F,45790,,,'')&lt;/Q&gt;&lt;R&gt;1&lt;/R&gt;&lt;C&gt;1&lt;/C&gt;&lt;D xsi:type="xsd:double"&gt;697.69604&lt;/D&gt;&lt;/FQL&gt;&lt;FQL&gt;&lt;Q&gt;CRWV^FE_ESTIMATE(EBIT,MEAN,QUARTERLY_ROLL,2026/2F,45790,,,'')&lt;/Q&gt;&lt;R&gt;1&lt;/R&gt;&lt;C&gt;1&lt;/C&gt;&lt;D xsi:type="xsd:double"&gt;594.5824&lt;/D&gt;&lt;/FQL&gt;&lt;FQL&gt;&lt;Q&gt;CRWV^FE_ESTIMATE(EBIT,MEAN,QUARTERLY_ROLL,2026/1F,45790,,,'')&lt;/Q&gt;&lt;R&gt;1&lt;/R&gt;&lt;C&gt;1&lt;/C&gt;&lt;D xsi:type="xsd:double"&gt;427.9372&lt;/D&gt;&lt;/FQL&gt;&lt;FQL&gt;&lt;Q&gt;CRWV^FE_ESTIMATE(EBIT,MEAN,ANNUAL_ROLL,2025,45790,,,'')&lt;/Q&gt;&lt;R&gt;1&lt;/R&gt;&lt;C&gt;1&lt;/C&gt;&lt;D xsi:type="xsd:double"&gt;834.44385&lt;/D&gt;&lt;/FQL&gt;&lt;FQL&gt;&lt;Q&gt;CRWV^FE_ESTIMATE(EBIT,MEAN,QUARTERLY_ROLL,2025/4F,45790,,,'')&lt;/Q&gt;&lt;R&gt;1&lt;/R&gt;&lt;C&gt;1&lt;/C&gt;&lt;D xsi:type="xsd:double"&gt;286.50125&lt;/D&gt;&lt;/FQL&gt;&lt;FQL&gt;&lt;Q&gt;CRWV^FE_ESTIMATE(EBIT,MEAN,QUARTERLY_ROLL,2025/3F,45790,,,'')&lt;/Q&gt;&lt;R&gt;1&lt;/R&gt;&lt;C&gt;1&lt;/C&gt;&lt;D xsi:type="xsd:double"&gt;211.40536&lt;/D&gt;&lt;/FQL&gt;&lt;FQL&gt;&lt;Q&gt;CRWV^FE_ESTIMATE(EBIT,MEAN,QUARTERLY_ROLL,2025/2F,45790,,,'')&lt;/Q&gt;&lt;R&gt;1&lt;/R&gt;&lt;C&gt;1&lt;/C&gt;&lt;D xsi:type="xsd:double"&gt;190.49614&lt;/D&gt;&lt;/FQL&gt;&lt;FQL&gt;&lt;Q&gt;CRWV^FE_ESTIMATE(EBIT,MEAN,QUARTERLY_ROLL,2025/1F,45790,,,'')&lt;/Q&gt;&lt;R&gt;1&lt;/R&gt;&lt;C&gt;1&lt;/C&gt;&lt;D xsi:type="xsd:double"&gt;151.03418&lt;/D&gt;&lt;/FQL&gt;&lt;FQL&gt;&lt;Q&gt;CRWV^FE_ESTIMATE(EBIT,MEAN,ANNUAL_ROLL,2024,45790,,,'')&lt;/Q&gt;&lt;R&gt;1&lt;/R&gt;&lt;C&gt;1&lt;/C&gt;&lt;D xsi:type="xsd:double"&gt;355.88022&lt;/D&gt;&lt;/FQL&gt;&lt;FQL&gt;&lt;Q&gt;CRWV^FE_ESTIMATE(EBIT,MEAN,QUARTERLY_ROLL,2024/4F,45790,,,'')&lt;/Q&gt;&lt;R&gt;1&lt;/R&gt;&lt;C&gt;1&lt;/C&gt;&lt;D xsi:type="xsd:double"&gt;120.79806&lt;/D&gt;&lt;/FQL&gt;&lt;FQL&gt;&lt;Q&gt;CRWV^FE_ESTIMATE(EBIT,MEAN,QUARTERLY_ROLL,2024/3F,45790,,,'')&lt;/Q&gt;&lt;R&gt;0&lt;/R&gt;&lt;C&gt;0&lt;/C&gt;&lt;/FQL&gt;&lt;FQL&gt;&lt;Q&gt;CRWV^FE_ESTIMATE(EBIT,MEAN,QUARTERLY_ROLL,2024/2F,45790,,,'')&lt;/Q&gt;&lt;R&gt;0&lt;/R&gt;&lt;C&gt;0&lt;/C&gt;&lt;/FQL&gt;&lt;FQL&gt;&lt;Q&gt;CRWV^FE_ESTIMATE(EBIT,MEAN,QUARTERLY_ROLL,2024/1F,45790,,,'')&lt;/Q&gt;&lt;R&gt;0&lt;/R&gt;&lt;C&gt;0&lt;/C&gt;&lt;/FQL&gt;&lt;FQL&gt;&lt;Q&gt;CRWV^FE_ESTIMATE(EBIT,MEAN,ANNUAL_ROLL,2023,45790,,,'')&lt;/Q&gt;&lt;R&gt;0&lt;/R&gt;&lt;C&gt;0&lt;/C&gt;&lt;/FQL&gt;&lt;FQL&gt;&lt;Q&gt;CRWV^FE_ESTIMATE(EBIT,MEAN,QUARTERLY_ROLL,2023/4F,45790,,,'')&lt;/Q&gt;&lt;R&gt;0&lt;/R&gt;&lt;C&gt;0&lt;/C&gt;&lt;/FQL&gt;&lt;FQL&gt;&lt;Q&gt;CRWV^FE_ESTIMATE(EBIT,MEAN,QUARTERLY_ROLL,2023/3F,45790,,,'')&lt;/Q&gt;&lt;R&gt;0&lt;/R&gt;&lt;C&gt;0&lt;/C&gt;&lt;/FQL&gt;&lt;FQL&gt;&lt;Q&gt;CRWV^FE_ESTIMATE(EBIT,MEAN,QUARTERLY_ROLL,2023/2F,45790,,,'')&lt;/Q&gt;&lt;R&gt;0&lt;/R&gt;&lt;C&gt;0&lt;/C&gt;&lt;/FQL&gt;&lt;FQL&gt;&lt;Q&gt;CRWV^FE_ESTIMATE(EBIT,MEAN,QUARTERLY_ROLL,2023/1F,45790,,,'')&lt;/Q&gt;&lt;R&gt;0&lt;/R&gt;&lt;C&gt;0&lt;/C&gt;&lt;/FQL&gt;&lt;FQL&gt;&lt;Q&gt;CRWV^FE_ESTIMATE(EBIT,MEAN,ANNUAL_ROLL,2022,45790,,,'')&lt;/Q&gt;&lt;R&gt;0&lt;/R&gt;&lt;C&gt;0&lt;/C&gt;&lt;/FQL&gt;&lt;FQL&gt;&lt;Q&gt;CRWV^FE_ESTIMATE(EBIT,MEAN,QUARTERLY_ROLL,2022/4F,45790,,,'')&lt;/Q&gt;&lt;R&gt;0&lt;/R&gt;&lt;C&gt;0&lt;/C&gt;&lt;/FQL&gt;&lt;FQL&gt;&lt;Q&gt;CRWV^FE_ESTIMATE(EBIT,MEAN,QUARTERLY_ROLL,2022/3F,45790,,,'')&lt;/Q&gt;&lt;R&gt;0&lt;/R&gt;&lt;C&gt;0&lt;/C&gt;&lt;/FQL&gt;&lt;FQL&gt;&lt;Q&gt;CRWV^FE_ESTIMATE(EBIT,MEAN,QUARTERLY_ROLL,2022/2F,45790,,,'')&lt;/Q&gt;&lt;R&gt;0&lt;/R&gt;&lt;C&gt;0&lt;/C&gt;&lt;/FQL&gt;&lt;FQL&gt;&lt;Q&gt;CRWV^FE_ESTIMATE(EBIT,MEAN,QUARTERLY_ROLL,2022/1F,45790,,,'')&lt;/Q&gt;&lt;R&gt;0&lt;/R&gt;&lt;C&gt;0&lt;/C&gt;&lt;/FQL&gt;&lt;FQL&gt;&lt;Q&gt;CRWV^FE_ESTIMATE(GROSSINCOME,MEAN,ANNUAL_ROLL,2029,45790,,,'')&lt;/Q&gt;&lt;R&gt;0&lt;/R&gt;&lt;C&gt;0&lt;/C&gt;&lt;/FQL&gt;&lt;FQL&gt;&lt;Q&gt;CRWV^FE_ESTIMATE(GROSSINCOME,MEAN,QUARTERLY_ROLL,2029/4F,45790,,,'')&lt;/Q&gt;&lt;R&gt;0&lt;/R&gt;&lt;C&gt;0&lt;/C&gt;&lt;/FQL&gt;&lt;FQL&gt;&lt;Q&gt;CRWV^FE_ESTIMATE(GROSSINCOME,MEAN,QUARTERLY_ROLL,2029/3F,45790,,,'')&lt;/Q&gt;&lt;R&gt;0&lt;/R&gt;&lt;C&gt;0&lt;/C&gt;&lt;/FQL&gt;&lt;FQL&gt;&lt;Q&gt;CRWV^FE_ESTIMATE(GROSSINCOME,MEAN,QUARTERLY_ROLL,2029/2F,45790,,,'')&lt;/Q&gt;&lt;R&gt;0&lt;/R&gt;&lt;C&gt;0&lt;/C&gt;&lt;/FQL&gt;&lt;FQL&gt;&lt;Q&gt;CRWV^FE_ESTIMATE(GROSSINCOME,MEAN,QUARTERLY_ROLL,2029/1F,45790,,,'')&lt;/Q&gt;&lt;R&gt;0&lt;/R&gt;&lt;C&gt;0&lt;/C&gt;&lt;/FQL&gt;&lt;FQL&gt;&lt;Q&gt;CRWV^FE_ESTIMATE(GROSSINCOME,MEAN,ANNUAL_ROLL,2028,45790,,,'')&lt;/Q&gt;&lt;R&gt;0&lt;/R&gt;&lt;C&gt;0&lt;/C&gt;&lt;/FQL&gt;&lt;FQL&gt;&lt;Q&gt;CRWV^FE_ESTIMATE(GROSSINCOME,MEAN,QUARTERLY_ROLL,2028/4F,45790,,,'')&lt;/Q&gt;&lt;R&gt;0&lt;/R&gt;&lt;C&gt;0&lt;/C&gt;&lt;/FQL&gt;&lt;FQL&gt;&lt;Q&gt;CRWV^FE_ESTIMATE(GROSSINCOME,MEAN,QUARTERLY_ROLL,2028/3F,45790,,,'')&lt;/Q&gt;&lt;R&gt;0&lt;/R&gt;&lt;C&gt;0&lt;/C&gt;&lt;/FQL&gt;&lt;FQL&gt;&lt;Q&gt;CRWV^FE_ESTIMATE(GROSSINCOME,MEAN,QUARTERLY_ROLL,2028/2F,45790,,,'')&lt;/Q&gt;&lt;R&gt;0&lt;/R&gt;&lt;C&gt;0&lt;/C&gt;&lt;/FQL&gt;&lt;FQL&gt;&lt;Q&gt;CRWV^FE_ESTIMATE(GROSSINCOME,MEAN,QUARTERLY_ROLL,2028/1F,45790,,,'')&lt;/Q&gt;&lt;R&gt;0&lt;/R&gt;&lt;C&gt;0&lt;/C&gt;&lt;/FQL&gt;&lt;FQL&gt;&lt;Q&gt;CRWV^FE_ESTIMATE(GROSSINCOME,MEAN,ANNUAL_ROLL,2027,45790,,,'')&lt;/Q&gt;&lt;R&gt;1&lt;/R&gt;&lt;C&gt;1&lt;/C&gt;&lt;D xsi:type="xsd:double"&gt;11834.712&lt;/D&gt;&lt;/FQL&gt;&lt;FQL&gt;&lt;Q&gt;CRWV^FE_ESTIMATE(GROSSINCOME,MEAN,QUARTERLY_ROLL,2027/4F,45790,,,'')&lt;/Q&gt;&lt;R&gt;1&lt;/R&gt;&lt;C&gt;1&lt;/C&gt;&lt;D xsi:type="xsd:double"&gt;3340.696&lt;/D&gt;&lt;/FQL&gt;&lt;FQL&gt;&lt;Q&gt;CRWV^FE_ESTIMATE(GROSSINCOME,MEAN,QUARTERLY_ROLL,2027/3F,45790,,,'')&lt;/Q&gt;&lt;R&gt;1&lt;/R&gt;&lt;C&gt;1&lt;/C&gt;&lt;D xsi:type="xsd:double"&gt;3140.8274&lt;/D&gt;&lt;/FQL&gt;&lt;FQL&gt;&lt;Q&gt;CRWV^FE_ESTIMATE(GROSSINCOME,MEAN,QUARTERLY_ROLL,2027/2F,45790,,,'')&lt;/Q&gt;&lt;R&gt;1&lt;/R&gt;&lt;C&gt;1&lt;/C&gt;&lt;D xsi:type="xsd:double"&gt;2872.757&lt;/D&gt;&lt;/FQL&gt;&lt;FQL&gt;&lt;Q&gt;CRWV^FE_ESTIMATE(GROSSINCOME,MEAN,QUARTERLY_ROLL,2027/1F,45790,,,'')&lt;/Q&gt;&lt;R&gt;1&lt;/R&gt;&lt;C&gt;1&lt;/C&gt;&lt;D xsi:type="xsd:double"&gt;2597.1646&lt;/D&gt;&lt;/FQL&gt;&lt;FQL&gt;&lt;Q&gt;CRWV^FE_ESTIMATE(GROSSINCOME,MEAN,ANNUAL_ROLL,2026,45790,,,'')&lt;/Q&gt;&lt;R&gt;1&lt;/R&gt;&lt;C&gt;1&lt;/C&gt;&lt;D xsi:type="xsd:double"&gt;8178.3765&lt;/D&gt;&lt;/FQL&gt;&lt;FQL&gt;&lt;Q&gt;CRWV^FE_ESTIMATE(GROSSINCOME,MEAN,QUARTERLY_ROLL,2026/4F,45790,,,'')&lt;/Q&gt;&lt;R&gt;1&lt;/R&gt;&lt;C&gt;1&lt;/C&gt;&lt;D xsi:type="xsd:double"&gt;2373.6504&lt;/D&gt;&lt;/FQL&gt;&lt;FQL&gt;&lt;Q&gt;CRWV^FE_ESTIMATE(GROSSINCOME,MEAN,QUARTERLY_ROLL,2026/3F,45790,,,'')&lt;/Q&gt;&lt;R&gt;1&lt;/R&gt;&lt;C&gt;1&lt;/C&gt;&lt;D xsi:type="xsd:double"&gt;2152.7285&lt;/D&gt;&lt;/FQL&gt;&lt;FQL&gt;&lt;Q&gt;CRWV^FE_ESTIMATE(GROSSINCOME,MEAN,QUARTERLY_ROLL,2026/2F,45790,,,'')&lt;/Q&gt;&lt;R&gt;1&lt;/R&gt;&lt;C&gt;1&lt;/C&gt;&lt;D xsi:type="xsd:double"&gt;1938.5612&lt;/D&gt;&lt;/FQL&gt;&lt;FQL&gt;&lt;Q&gt;CRWV^FE_ESTIMATE(GROSSINCOME,MEAN,QUARTERLY_ROLL,2026/1F,45790,,,'')&lt;/Q&gt;&lt;R&gt;1&lt;/R&gt;&lt;C&gt;1&lt;/C&gt;&lt;D xsi:type="xsd:double"&gt;1674.2397&lt;/D&gt;&lt;/FQL&gt;&lt;FQL&gt;&lt;Q&gt;CRWV^FE_ESTIMATE(GROSSINCOME,MEAN,ANNUAL_ROLL,2025,45790,,,'')&lt;/Q&gt;&lt;R&gt;1&lt;/R&gt;&lt;C&gt;1&lt;/C&gt;&lt;D xsi:type="xsd:double"&gt;3457.5864&lt;/D&gt;&lt;/FQL&gt;&lt;FQL&gt;&lt;Q&gt;CRWV^FE_ESTIMATE(GROSSINCOME,MEAN,QUARTERLY_ROLL,2025/4F,45790,,,'')&lt;/Q&gt;&lt;R&gt;1&lt;/R&gt;&lt;C&gt;1&lt;/C&gt;&lt;D xsi:type="xsd:double"&gt;1192.7222&lt;/D&gt;&lt;/FQL&gt;&lt;FQL&gt;&lt;Q&gt;CRWV^FE_ESTIMATE(GROSSINCOME,MEAN,QUARTERLY_ROLL,2025/3F,45790,,,'')&lt;/Q&gt;&lt;R&gt;1&lt;/R&gt;&lt;C&gt;1&lt;/C&gt;&lt;D xsi:type="xsd:double"&gt;865.99146&lt;/D&gt;&lt;/FQL&gt;&lt;FQL&gt;&lt;Q&gt;CRWV^FE_ESTIMATE(GROSSINCOME,MEAN,QUARTERLY_ROLL,2025/2F,45790,,,'')&lt;/Q&gt;&lt;R&gt;1&lt;/R&gt;&lt;C&gt;1&lt;/C&gt;&lt;D xsi:type="xsd:double"&gt;750.8264&lt;/D&gt;&lt;/FQL&gt;&lt;FQL&gt;&lt;Q&gt;CRWV^FE_ESTIMATE(GROSSINCOME,MEAN,QUARTERLY_ROLL,2025/1F,45790,,,'')&lt;/Q&gt;&lt;R&gt;1&lt;/R&gt;&lt;C&gt;1&lt;/C&gt;&lt;D xsi:type="xsd:double"&gt;648.1911&lt;/D&gt;&lt;/FQL&gt;&lt;FQL&gt;&lt;Q&gt;CRWV^FE_ESTIMATE(GROSSINCOME,MEAN,ANNUAL_ROLL,2024,45790,,,'')&lt;/Q&gt;&lt;R&gt;1&lt;/R&gt;&lt;C&gt;1&lt;/C&gt;&lt;D xsi:type="xsd:double"&gt;1423.235&lt;/D&gt;&lt;/FQL&gt;&lt;FQL&gt;&lt;Q&gt;CRWV^FE_ESTIMATE(GROSSINCOME,MEAN,QUARTERLY_ROLL,2024/4F,45790,,,'')&lt;/Q&gt;&lt;R&gt;1&lt;/R&gt;&lt;C&gt;1&lt;/C&gt;&lt;D xsi:type="xsd:double"&gt;565.79&lt;/D&gt;&lt;/FQL&gt;&lt;FQL&gt;&lt;Q&gt;CRWV^FE_ESTIMATE(GROSSINCOME,MEAN,QUARTERLY_ROLL,2024/3F,45790,,,'')&lt;/Q&gt;&lt;R&gt;0&lt;/R&gt;&lt;C&gt;0&lt;/C&gt;&lt;/FQL&gt;&lt;FQL&gt;&lt;Q&gt;CRWV^FE_ESTIMATE(GROSSINCOME,MEAN,QUARTERLY_ROLL,2024/2F,45790,,,'')&lt;/Q&gt;&lt;R&gt;0&lt;/R&gt;&lt;C&gt;0&lt;/C&gt;&lt;/FQL&gt;&lt;FQL&gt;&lt;Q&gt;CRWV^FE_ESTIMATE(GROSSINCOME,MEAN,QUARTERLY_ROLL,2024/1F,45790,,,'')&lt;/Q&gt;&lt;R&gt;0&lt;/R&gt;&lt;C&gt;0&lt;/C&gt;&lt;/FQL&gt;&lt;FQL&gt;&lt;Q&gt;CRWV^FE_ESTIMATE(GROSSINCOME,MEAN,ANNUAL_ROLL,2023,45790,,,'')&lt;/Q&gt;&lt;R&gt;0&lt;/R&gt;&lt;C&gt;0&lt;/C&gt;&lt;/FQL&gt;&lt;FQL&gt;&lt;Q&gt;CRWV^FE_ESTIMATE(GROSSINCOME,MEAN,QUARTERLY_ROLL,2023/4F,45790,,,'')&lt;/Q&gt;&lt;R&gt;0&lt;/R&gt;&lt;C&gt;0&lt;/C&gt;&lt;/FQL&gt;&lt;FQL&gt;&lt;Q&gt;CRWV^FE_ESTIMATE(GROSSINCOME,MEAN,QUARTERLY_ROLL,2023/3F,45790,,,'')&lt;/Q&gt;&lt;R&gt;0&lt;/R&gt;&lt;C&gt;0&lt;/C&gt;&lt;/FQL&gt;&lt;FQL&gt;&lt;Q&gt;CRWV^FE_ESTIMATE(GROSSINCOME,MEAN,QUARTERLY_ROLL,2023/2F,45790,,,'')&lt;/Q&gt;&lt;R&gt;0&lt;/R&gt;&lt;C&gt;0&lt;/C&gt;&lt;/FQL&gt;&lt;FQL&gt;&lt;Q&gt;CRWV^FE_ESTIMATE(GROSSINCOME,MEAN,QUARTERLY_ROLL,2023/1F,45790,,,'')&lt;/Q&gt;&lt;R&gt;0&lt;/R&gt;&lt;C&gt;0&lt;/C&gt;&lt;/FQL&gt;&lt;FQL&gt;&lt;Q&gt;CRWV^FE_ESTIMATE(GROSSINCOME,MEAN,ANNUAL_ROLL,2022,45790,,,'')&lt;/Q&gt;&lt;R&gt;0&lt;/R&gt;&lt;C&gt;0&lt;/C&gt;&lt;/FQL&gt;&lt;FQL&gt;&lt;Q&gt;CRWV^FE_ESTIMATE(GROSSINCOME,MEAN,QUARTERLY_ROLL,2022/4F,45790,,,'')&lt;/Q&gt;&lt;R&gt;0&lt;/R&gt;&lt;C&gt;0&lt;/C&gt;&lt;/FQL&gt;&lt;FQL&gt;&lt;Q&gt;CRWV^FE_ESTIMATE(GROSSINCOME,MEAN,QUARTERLY_ROLL,2022/3F,45790,,,'')&lt;/Q&gt;&lt;R&gt;0&lt;/R&gt;&lt;C&gt;0&lt;/C&gt;&lt;/FQL&gt;&lt;FQL&gt;&lt;Q&gt;CRWV^FE_ESTIMATE(GROSSINCOME,MEAN,QUARTERLY_ROLL,2022/2F,45790,,,'')&lt;/Q&gt;&lt;R&gt;0&lt;/R&gt;&lt;C&gt;0&lt;/C&gt;&lt;/FQL&gt;&lt;FQL&gt;&lt;Q&gt;CRWV^FE_ESTIMATE(GROSSINCOME,MEAN,QUARTERLY_ROLL,2022/1F,45790,,,'')&lt;/Q&gt;&lt;R&gt;0&lt;/R&gt;&lt;C&gt;0&lt;/C&gt;&lt;/FQL&gt;&lt;FQL&gt;&lt;Q&gt;CRWV^FE_ESTIMATE(SALES,MEAN,ANNUAL_ROLL,2029,45790,,,'')&lt;/Q&gt;&lt;R&gt;1&lt;/R&gt;&lt;C&gt;1&lt;/C&gt;&lt;D xsi:type="xsd:double"&gt;22018.3&lt;/D&gt;&lt;/FQL&gt;&lt;FQL&gt;&lt;Q&gt;CRWV^FE_ESTIMATE(SALES,MEAN,QUARTERLY_ROLL,2029/4F,45790,,,'')&lt;/Q&gt;&lt;R&gt;0&lt;/R&gt;&lt;C&gt;0&lt;/C&gt;&lt;/FQL&gt;&lt;FQL&gt;&lt;Q&gt;CRWV^FE_ESTIMATE(SALES,MEAN,QUARTERLY_ROLL,2029/3F,45790,,,'')&lt;/Q&gt;&lt;R&gt;0&lt;/R&gt;&lt;C&gt;0&lt;/C&gt;&lt;/FQL&gt;&lt;FQL&gt;&lt;Q&gt;CRWV^FE_ESTIMATE(SALES,MEAN,QUARTERLY_ROLL,2029/2F,45790,,,'')&lt;/Q&gt;&lt;R&gt;0&lt;/R&gt;&lt;C&gt;0&lt;/C&gt;&lt;/FQL&gt;&lt;FQL&gt;&lt;Q&gt;CRWV^FE_ESTIMATE(SALES,MEAN,QUARTERLY_ROLL,2029/1F,45790,,,'')&lt;/Q&gt;&lt;R&gt;0&lt;/R&gt;&lt;C&gt;0&lt;/C&gt;&lt;/FQL&gt;&lt;FQL&gt;&lt;Q&gt;CRWV^FE_ESTIMATE(SALES,MEAN,ANNUAL_ROLL,2028,45790,,,'')&lt;/Q&gt;&lt;R&gt;1&lt;/R&gt;&lt;C&gt;1&lt;/C&gt;&lt;D xsi:type="xsd:double"&gt;17966.95&lt;/D&gt;&lt;/FQL&gt;&lt;FQL&gt;&lt;Q&gt;CRWV^FE_ESTIMATE(SALES,MEAN,QUARTERLY_ROLL,2028/4F,45790,,,'')&lt;/Q&gt;&lt;R&gt;0&lt;/R&gt;&lt;C&gt;0&lt;/C&gt;&lt;/FQL&gt;&lt;FQL&gt;&lt;Q&gt;CRWV^FE_ESTIMATE(SALES,MEAN,QUARTERLY_ROLL,2028/3F,45790,,,'')&lt;/Q&gt;&lt;R&gt;0&lt;/R&gt;&lt;C&gt;0&lt;/C&gt;&lt;/FQL&gt;&lt;FQL&gt;&lt;Q&gt;CRWV^FE_ESTIMATE(SALES,MEAN,QUARTERLY_ROLL,2028/2F,45790,,,'')&lt;/Q&gt;&lt;R&gt;0&lt;/R&gt;&lt;C&gt;0&lt;/C&gt;&lt;/FQL&gt;&lt;FQL&gt;&lt;Q&gt;CRWV^FE_ESTIMATE(SALES,MEAN,QUARTERLY_ROLL,2028/1F,45790,,,'')&lt;/Q&gt;&lt;R&gt;0&lt;/R&gt;&lt;C&gt;0&lt;/C&gt;&lt;/FQL&gt;&lt;FQL&gt;&lt;Q&gt;CRWV^FE_ESTIMATE(SALES,MEAN,ANNUAL_ROLL,2027,45790,,,'')&lt;/Q&gt;&lt;R&gt;1&lt;/R&gt;&lt;C&gt;1&lt;/C&gt;&lt;D xsi:type="xsd:double"&gt;15314.821&lt;/D&gt;&lt;/FQL&gt;&lt;FQL&gt;&lt;Q&gt;CRWV^FE_ESTIMATE(SALES,MEAN,QUARTERLY_ROLL,2027/4F,45790,,,'')&lt;/Q&gt;&lt;R&gt;1&lt;/R&gt;&lt;C&gt;1&lt;/C&gt;&lt;D xsi:type="xsd:double"&gt;4212.5117&lt;/D&gt;&lt;/FQL&gt;&lt;FQL&gt;&lt;Q&gt;CRWV^FE_ESTIMATE(SALES,MEAN,QUARTERLY_ROLL,2027/3F,45790,,,'')&lt;/Q&gt;&lt;R&gt;1&lt;/R&gt;&lt;C&gt;1&lt;/C&gt;&lt;D xsi:type="xsd:double"&gt;3999.423&lt;/D&gt;&lt;/FQL&gt;&lt;FQL&gt;&lt;Q&gt;CRWV^FE_ESTIMATE(SALES,MEAN,QUARTERLY_ROLL,2027/2F,45790,,,'')&lt;/Q&gt;&lt;R&gt;1&lt;/R&gt;&lt;C&gt;1&lt;/C&gt;&lt;D xsi:type="xsd:double"&gt;3725.3794&lt;/D&gt;&lt;/FQL&gt;&lt;FQL&gt;&lt;Q&gt;CRWV^FE_ESTIMATE(SALES,MEAN,QUARTERLY_ROLL,2027/1F,45790,,,'')&lt;/Q&gt;&lt;R&gt;1&lt;/R&gt;&lt;C&gt;1&lt;/C&gt;&lt;D xsi:type="xsd:double"&gt;3461.1362&lt;/D&gt;&lt;/FQL&gt;&lt;FQL&gt;&lt;Q&gt;CRWV^FE_ESTIMATE(SALES,MEAN,ANNUAL_ROLL,2026,45790,,,'')&lt;/Q&gt;&lt;R&gt;1&lt;/R&gt;&lt;C&gt;1&lt;/C&gt;&lt;D xsi:type="xsd:double"&gt;10730.022&lt;/D&gt;&lt;/FQL&gt;&lt;FQL&gt;&lt;Q&gt;CRWV^FE_ESTIMATE(SALES,MEAN,QUARTERLY_ROLL,2026/4F,45790,,,'')&lt;/Q&gt;&lt;R&gt;1&lt;/R&gt;&lt;C&gt;1&lt;/C&gt;&lt;D xsi:type="xsd:double"&gt;3085.3494&lt;/D&gt;&lt;/FQL&gt;&lt;FQL&gt;&lt;Q&gt;CRWV^FE_ESTIMATE(SALES,MEAN,QUARTERLY_ROLL,2026/3F,45790,,,'')&lt;/Q&gt;&lt;R&gt;1&lt;/R&gt;&lt;C&gt;1&lt;/C&gt;&lt;D xsi:type="xsd:double"&gt;2826.4397&lt;/D&gt;&lt;/FQL&gt;&lt;FQL&gt;&lt;Q&gt;CRWV^FE_ESTIMATE(SALES,MEAN,QUARTERLY_ROLL,2026/2F,45790,,,'')&lt;/Q&gt;&lt;R&gt;1&lt;/R&gt;&lt;C&gt;1&lt;/C&gt;&lt;D xsi:type="xsd:double"&gt;2554.3835&lt;/D&gt;&lt;/FQL&gt;&lt;FQL&gt;&lt;Q&gt;CRWV^FE_ESTIMATE(SALES,MEAN,QUARTERLY_ROLL,2026/1F,45790,,,'')&lt;/Q&gt;&lt;R&gt;1&lt;/R&gt;&lt;C&gt;1&lt;/C&gt;&lt;D xsi:type="xsd:double"&gt;2294.766&lt;/D&gt;&lt;/FQL&gt;&lt;FQL&gt;&lt;Q&gt;CRWV^FE_ESTIMATE(SALES,MEAN,ANNUAL_ROLL,2025,45790,,,'')&lt;/Q&gt;&lt;R&gt;1&lt;/R&gt;&lt;C&gt;1&lt;/C&gt;&lt;D xsi:type="xsd:double"&gt;4656.2266&lt;/D&gt;&lt;/FQL&gt;&lt;FQL&gt;&lt;Q&gt;CRWV^FE_ESTIMATE(SALES,MEAN,QUARTERLY_ROLL,2025/4F,45790,,,'')&lt;/Q&gt;&lt;R&gt;1&lt;/R&gt;&lt;C&gt;1&lt;/C&gt;&lt;D xsi:type="xsd:double"&gt;1642.2964&lt;/D&gt;&lt;/FQL&gt;&lt;FQL&gt;&lt;Q&gt;CRWV^FE_ESTIMATE(SALES,MEAN,QUARTERLY_ROLL,2025/3F,45790,,,'')&lt;/Q&gt;&lt;R&gt;1&lt;/R&gt;&lt;C&gt;1&lt;/C&gt;&lt;D xsi:type="xsd:double"&gt;1176.363&lt;/D&gt;&lt;/FQL&gt;&lt;FQL&gt;&lt;Q&gt;CRWV^FE_ESTIMATE(SALES,MEAN,QUARTERLY_ROLL,2025/2F,45790,,,'')&lt;/Q&gt;&lt;R&gt;1&lt;/R&gt;&lt;C&gt;1&lt;/C&gt;&lt;D xsi:type="xsd:double"&gt;988.4806&lt;/D&gt;&lt;/FQL&gt;&lt;FQL&gt;&lt;Q&gt;CRWV^FE_ESTIMATE(SALES,MEAN,QUARTERLY_ROLL,2025/1F,45790,,,'')&lt;/Q&gt;&lt;R&gt;1&lt;/R&gt;&lt;C&gt;1&lt;/C&gt;&lt;D xsi:type="xsd:double"&gt;857.1028&lt;/D&gt;&lt;/FQL&gt;&lt;FQL&gt;&lt;Q&gt;CRWV^FE_ESTIMATE(SALES,MEAN,ANNUAL_ROLL,2024,45790,,,'')&lt;/Q&gt;&lt;R&gt;1&lt;/R&gt;&lt;C&gt;1&lt;/C&gt;&lt;D xsi:type="xsd:double"&gt;1915.6385&lt;/D&gt;&lt;/FQL&gt;&lt;FQL&gt;&lt;Q&gt;CRWV^FE_ESTIMATE(SALES,MEAN,QUARTERLY_ROLL,2024/4F,45790,,,'')&lt;/Q&gt;&lt;R&gt;1&lt;/R&gt;&lt;C&gt;1&lt;/C&gt;&lt;D xsi:type="xsd:double"&gt;747.2767&lt;/D&gt;&lt;/FQL&gt;&lt;FQL&gt;&lt;Q&gt;CRWV^FE_ESTIMATE(SALES,MEAN,QUARTERLY_ROLL,2024/3F,45790,,,'')&lt;/Q&gt;&lt;R&gt;0&lt;/R&gt;&lt;C&gt;0&lt;/C&gt;&lt;/FQL&gt;&lt;FQL&gt;&lt;Q&gt;CRWV^FE_ESTIMATE(SALES,MEAN,QUARTERLY_ROLL,2024/2F,45790,,,'')&lt;/Q&gt;&lt;R&gt;0&lt;/R&gt;&lt;C&gt;0&lt;/C&gt;&lt;/FQL&gt;&lt;FQL&gt;&lt;Q&gt;CRWV^FE_ESTIMATE(SALES,MEAN,QUARTERLY_ROLL,2024/1F,45790,,,'')&lt;/Q&gt;&lt;R&gt;0&lt;/R&gt;&lt;C&gt;0&lt;/C&gt;&lt;/FQL&gt;&lt;FQL&gt;&lt;Q&gt;CRWV^FE_ESTIMATE(SALES,MEAN,ANNUAL_ROLL,2023,45790,,,'')&lt;/Q&gt;&lt;R&gt;0&lt;/R&gt;&lt;C&gt;0&lt;/C&gt;&lt;/FQL&gt;&lt;FQL&gt;&lt;Q&gt;CRWV^FE_ESTIMATE(SALES,MEAN,QUARTERLY_ROLL,2023/4F,45790,,,'')&lt;/Q&gt;&lt;R&gt;0&lt;/R&gt;&lt;C&gt;0&lt;/C&gt;&lt;/FQL&gt;&lt;FQL&gt;&lt;Q&gt;CRWV^FE_ESTIMATE(SALES,MEAN,QUARTERLY_ROLL,2023/3F,45790,,,'')&lt;/Q&gt;&lt;R&gt;0&lt;/R&gt;&lt;C&gt;0&lt;/C&gt;&lt;/FQL&gt;&lt;FQL&gt;&lt;Q&gt;CRWV^FE_ESTIMATE(SALES,MEAN,QUARTERLY_ROLL,2023/2F,45790,,,'')&lt;/Q&gt;&lt;R&gt;0&lt;/R&gt;&lt;C&gt;0&lt;/C&gt;&lt;/FQL&gt;&lt;FQL&gt;&lt;Q&gt;CRWV^FE_ESTIMATE(SALES,MEAN,QUARTERLY_ROLL,2023/1F,45790,,,'')&lt;/Q&gt;&lt;R&gt;0&lt;/R&gt;&lt;C&gt;0&lt;/C&gt;&lt;/FQL&gt;&lt;FQL&gt;&lt;Q&gt;CRWV^FE_ESTIMATE(SALES,MEAN,ANNUAL_ROLL,2022,45790,,,'')&lt;/Q&gt;&lt;R&gt;0&lt;/R&gt;&lt;C&gt;0&lt;/C&gt;&lt;/FQL&gt;&lt;FQL&gt;&lt;Q&gt;CRWV^FE_ESTIMATE(SALES,MEAN,QUARTERLY_ROLL,2022/4F,45790,,,'')&lt;/Q&gt;&lt;R&gt;0&lt;/R&gt;&lt;C&gt;0&lt;/C&gt;&lt;/FQL&gt;&lt;FQL&gt;&lt;Q&gt;CRWV^FE_ESTIMATE(SALES,MEAN,QUARTERLY_ROLL,2022/3F,45790,,,'')&lt;/Q&gt;&lt;R&gt;0&lt;/R&gt;&lt;C&gt;0&lt;/C&gt;&lt;/FQL&gt;&lt;FQL&gt;&lt;Q&gt;CRWV^FE_ESTIMATE(SALES,MEAN,QUARTERLY_ROLL,2022/2F,45790,,,'')&lt;/Q&gt;&lt;R&gt;0&lt;/R&gt;&lt;C&gt;0&lt;/C&gt;&lt;/FQL&gt;&lt;FQL&gt;&lt;Q&gt;CRWV^FE_ESTIMATE(SALES,MEAN,QUARTERLY_ROLL,2022/1F,45790,,,'')&lt;/Q&gt;&lt;R&gt;0&lt;/R&gt;&lt;C&gt;0&lt;/C&gt;&lt;/FQL&gt;&lt;FQL&gt;&lt;Q&gt;AVT^FE_ESTIMATE(UFCF,MEAN,CALA_ROLL,2027,45792,,,'')&lt;/Q&gt;&lt;R&gt;0&lt;/R&gt;&lt;C&gt;0&lt;/C&gt;&lt;/FQL&gt;&lt;FQL&gt;&lt;Q&gt;AVT^FE_ESTIMATE(UFCF,MEAN,CALA_ROLL,2026,45792,,,'')&lt;/Q&gt;&lt;R&gt;0&lt;/R&gt;&lt;C&gt;0&lt;/C&gt;&lt;/FQL&gt;&lt;FQL&gt;&lt;Q&gt;AVT^FE_ESTIMATE(UFCF,MEAN,CALA_ROLL,2025,45792,,,'')&lt;/Q&gt;&lt;R&gt;0&lt;/R&gt;&lt;C&gt;0&lt;/C&gt;&lt;/FQL&gt;&lt;FQL&gt;&lt;Q&gt;AVT^FE_ESTIMATE(UFCF,MEAN,CALA_ROLL,2024,45792,,,'')&lt;/Q&gt;&lt;R&gt;0&lt;/R&gt;&lt;C&gt;0&lt;/C&gt;&lt;/FQL&gt;&lt;FQL&gt;&lt;Q&gt;AVT^FE_ESTIMATE(UFCF,MEAN,CALA_ROLL,2023,45792,,,'')&lt;/Q&gt;&lt;R&gt;0&lt;/R&gt;&lt;C&gt;0&lt;/C&gt;&lt;/FQL&gt;&lt;FQL&gt;&lt;Q&gt;AVT^FE_ESTIMATE(UFCF,MEAN,NTM4,,45792,,,'')&lt;/Q&gt;&lt;R&gt;0&lt;/R&gt;&lt;C&gt;0&lt;/C&gt;&lt;/FQL&gt;&lt;FQL&gt;&lt;Q&gt;AVT^FE_ESTIMATE(UFCF,MEAN,LTM4,,45792,,,'')&lt;/Q&gt;&lt;R&gt;0&lt;/R&gt;&lt;C&gt;0&lt;/C&gt;&lt;/FQL&gt;&lt;FQL&gt;&lt;Q&gt;ARW^FE_ESTIMATE(UFCF,MEAN,CALA_ROLL,2027,45792,,,'')&lt;/Q&gt;&lt;R&gt;0&lt;/R&gt;&lt;C&gt;0&lt;/C&gt;&lt;/FQL&gt;&lt;FQL&gt;&lt;Q&gt;ARW^FE_ESTIMATE(UFCF,MEAN,CALA_ROLL,2026,45792,,,'')&lt;/Q&gt;&lt;R&gt;0&lt;/R&gt;&lt;C&gt;0&lt;/C&gt;&lt;/FQL&gt;&lt;FQL&gt;&lt;Q&gt;ARW^FE_ESTIMATE(UFCF,MEAN,CALA_ROLL,2025,45792,,,'')&lt;/Q&gt;&lt;R&gt;0&lt;/R&gt;&lt;C&gt;0&lt;/C&gt;&lt;/FQL&gt;&lt;FQL&gt;&lt;Q&gt;ARW^FE_ESTIMATE(UFCF,MEAN,CALA_ROLL,2024,45792,,,'')&lt;/Q&gt;&lt;R&gt;0&lt;/R&gt;&lt;C&gt;0&lt;/C&gt;&lt;/FQL&gt;&lt;FQL&gt;&lt;Q&gt;ARW^FE_ESTIMATE(UFCF,MEAN,CALA_ROLL,2023,45792,,,'')&lt;/Q&gt;&lt;R&gt;0&lt;/R&gt;&lt;C&gt;0&lt;/C&gt;&lt;/FQL&gt;&lt;FQL&gt;&lt;Q&gt;ARW^FE_ESTIMATE(UFCF,MEAN,NTM4,,45792,,,'')&lt;/Q&gt;&lt;R&gt;0&lt;/R&gt;&lt;C&gt;0&lt;/C&gt;&lt;/FQL&gt;&lt;FQL&gt;&lt;Q&gt;ARW^FE_ESTIMATE(UFCF,MEAN,LTM4,,45792,,,'')&lt;/Q&gt;&lt;R&gt;0&lt;/R&gt;&lt;C&gt;0&lt;/C&gt;&lt;/FQL&gt;&lt;FQL&gt;&lt;Q&gt;SNX^FE_ESTIMATE(UFCF,MEAN,CALA_ROLL,2027,45792,,,'')&lt;/Q&gt;&lt;R&gt;0&lt;/R&gt;&lt;C&gt;0&lt;/C&gt;&lt;/FQL&gt;&lt;FQL&gt;&lt;Q&gt;SNX^FE_ESTIMATE(UFCF,MEAN,CALA_ROLL,2026,45792,,,'')&lt;/Q&gt;&lt;R&gt;0&lt;/R&gt;&lt;C&gt;0&lt;/C&gt;&lt;/FQL&gt;&lt;FQL&gt;&lt;Q&gt;SNX^FE_ESTIMATE(UFCF,MEAN,CALA_ROLL,2025,45792,,,'')&lt;/Q&gt;&lt;R&gt;0&lt;/R&gt;&lt;C&gt;0&lt;/C&gt;&lt;/FQL&gt;&lt;FQL&gt;&lt;Q&gt;SNX^FE_ESTIMATE(UFCF,MEAN,CALA_ROLL,2024,45792,,,'')&lt;/Q&gt;&lt;R&gt;0&lt;/R&gt;&lt;C&gt;0&lt;/C&gt;&lt;/FQL&gt;&lt;FQL&gt;&lt;Q&gt;SNX^FE_ESTIMATE(UFCF,MEAN,CALA_ROLL,2023,45792,,,'')&lt;/Q&gt;&lt;R&gt;0&lt;/R&gt;&lt;C&gt;0&lt;/C&gt;&lt;/FQL&gt;&lt;FQL&gt;&lt;Q&gt;SNX^FE_ESTIMATE(UFCF,MEAN,NTM4,,45792,,,'')&lt;/Q&gt;&lt;R&gt;0&lt;/R&gt;&lt;C&gt;0&lt;/C&gt;&lt;/FQL&gt;&lt;FQL&gt;&lt;Q&gt;SNX^FE_ESTIMATE(UFCF,MEAN,LTM4,,45792,,,'')&lt;/Q&gt;&lt;R&gt;0&lt;/R&gt;&lt;C&gt;0&lt;/C&gt;&lt;/FQL&gt;&lt;FQL&gt;&lt;Q&gt;CDW^FE_ESTIMATE(UFCF,MEAN,CALA_ROLL,2027,45792,,,'')&lt;/Q&gt;&lt;R&gt;0&lt;/R&gt;&lt;C&gt;0&lt;/C&gt;&lt;/FQL&gt;&lt;FQL&gt;&lt;Q&gt;CDW^FE_ESTIMATE(UFCF,MEAN,CALA_ROLL,2026,45792,,,'')&lt;/Q&gt;&lt;R&gt;0&lt;/R&gt;&lt;C&gt;0&lt;/C&gt;&lt;/FQL&gt;&lt;FQL&gt;&lt;Q&gt;CDW^FE_ESTIMATE(UFCF,MEAN,CALA_ROLL,2025,45792,,,'')&lt;/Q&gt;&lt;R&gt;0&lt;/R&gt;&lt;C&gt;0&lt;/C&gt;&lt;/FQL&gt;&lt;FQL&gt;&lt;Q&gt;CDW^FE_ESTIMATE(UFCF,MEAN,CALA_ROLL,2024,45792,,,'')&lt;/Q&gt;&lt;R&gt;0&lt;/R&gt;&lt;C&gt;0&lt;/C&gt;&lt;/FQL&gt;&lt;FQL&gt;&lt;Q&gt;CDW^FE_ESTIMATE(UFCF,MEAN,CALA_ROLL,2023,45792,,,'')&lt;/Q&gt;&lt;R&gt;0&lt;/R&gt;&lt;C&gt;0&lt;/C&gt;&lt;/FQL&gt;&lt;FQL&gt;&lt;Q&gt;CDW^FE_ESTIMATE(UFCF,MEAN,NTM4,,45792,,,'')&lt;/Q&gt;&lt;R&gt;0&lt;/R&gt;&lt;C&gt;0&lt;/C&gt;&lt;/FQL&gt;&lt;FQL&gt;&lt;Q&gt;CDW^FE_ESTIMATE(UFCF,MEAN,LTM4,,45792,,,'')&lt;/Q&gt;&lt;R&gt;0&lt;/R&gt;&lt;C&gt;0&lt;/C&gt;&lt;/FQL&gt;&lt;FQL&gt;&lt;Q&gt;INGM^FE_ESTIMATE(UFCF,MEAN,CALA_ROLL,2027,45792,,,'')&lt;/Q&gt;&lt;R&gt;0&lt;/R&gt;&lt;C&gt;0&lt;/C&gt;&lt;/FQL&gt;&lt;FQL&gt;&lt;Q&gt;INGM^FE_ESTIMATE(UFCF,MEAN,CALA_ROLL,2026,45792,,,'')&lt;/Q&gt;&lt;R&gt;0&lt;/R&gt;&lt;C&gt;0&lt;/C&gt;&lt;/FQL&gt;&lt;FQL&gt;&lt;Q&gt;INGM^FE_ESTIMATE(UFCF,MEAN,CALA_ROLL,2025,45792,,,'')&lt;/Q&gt;&lt;R&gt;0&lt;/R&gt;&lt;C&gt;0&lt;/C&gt;&lt;/FQL&gt;&lt;FQL&gt;&lt;Q&gt;INGM^FE_ESTIMATE(UFCF,MEAN,CALA_ROLL,2024,45792,,,'')&lt;/Q&gt;&lt;R&gt;0&lt;/R&gt;&lt;C&gt;0&lt;/C&gt;&lt;/FQL&gt;&lt;FQL&gt;&lt;Q&gt;INGM^FE_ESTIMATE(UFCF,MEAN,CALA_ROLL,2023,45792,,,'')&lt;/Q&gt;&lt;R&gt;0&lt;/R&gt;&lt;C&gt;0&lt;/C&gt;&lt;/FQL&gt;&lt;FQL&gt;&lt;Q&gt;INGM^FE_ESTIMATE(UFCF,MEAN,NTM4,,45792,,,'')&lt;/Q&gt;&lt;R&gt;0&lt;/R&gt;&lt;C&gt;0&lt;/C&gt;&lt;/FQL&gt;&lt;FQL&gt;&lt;Q&gt;INGM^FE_ESTIMATE(UFCF,MEAN,LTM4,,45792,,,'')&lt;/Q&gt;&lt;R&gt;0&lt;/R&gt;&lt;C&gt;0&lt;/C&gt;&lt;/FQL&gt;&lt;FQL&gt;&lt;Q&gt;DOCN^FE_ESTIMATE(UFCF,MEAN,CALA_ROLL,2027,45792,,,'')&lt;/Q&gt;&lt;R&gt;0&lt;/R&gt;&lt;C&gt;0&lt;/C&gt;&lt;/FQL&gt;&lt;FQL&gt;&lt;Q&gt;DOCN^FE_ESTIMATE(UFCF,MEAN,CALA_ROLL,2026,45792,,,'')&lt;/Q&gt;&lt;R&gt;0&lt;/R&gt;&lt;C&gt;0&lt;/C&gt;&lt;/FQL&gt;&lt;FQL&gt;&lt;Q&gt;DOCN^FE_ESTIMATE(UFCF,MEAN,CALA_ROLL,2025,45792,,,'')&lt;/Q&gt;&lt;R&gt;0&lt;/R&gt;&lt;C&gt;0&lt;/C&gt;&lt;/FQL&gt;&lt;FQL&gt;&lt;Q&gt;DOCN^FE_ESTIMATE(UFCF,MEAN,CALA_ROLL,2024,45792,,,'')&lt;/Q&gt;&lt;R&gt;0&lt;/R&gt;&lt;C&gt;0&lt;/C&gt;&lt;/FQL&gt;&lt;FQL&gt;&lt;Q&gt;DOCN^FE_ESTIMATE(UFCF,MEAN,CALA_ROLL,2023,45792,,,'')&lt;/Q&gt;&lt;R&gt;0&lt;/R&gt;&lt;C&gt;0&lt;/C&gt;&lt;/FQL&gt;&lt;FQL&gt;&lt;Q&gt;DOCN^FE_ESTIMATE(UFCF,MEAN,NTM4,,45792,,,'')&lt;/Q&gt;&lt;R&gt;0&lt;/R&gt;&lt;C&gt;0&lt;/C&gt;&lt;/FQL&gt;&lt;FQL&gt;&lt;Q&gt;DOCN^FE_ESTIMATE(UFCF,MEAN,LTM4,,45792,,,'')&lt;/Q&gt;&lt;R&gt;0&lt;/R&gt;&lt;C&gt;0&lt;/C&gt;&lt;/FQL&gt;&lt;FQL&gt;&lt;Q&gt;GOOG^FE_ESTIMATE(UFCF,MEAN,CALA_ROLL,2027,45792,,,'')&lt;/Q&gt;&lt;R&gt;0&lt;/R&gt;&lt;C&gt;0&lt;/C&gt;&lt;/FQL&gt;&lt;FQL&gt;&lt;Q&gt;GOOG^FE_ESTIMATE(UFCF,MEAN,CALA_ROLL,2026,45792,,,'')&lt;/Q&gt;&lt;R&gt;0&lt;/R&gt;&lt;C&gt;0&lt;/C&gt;&lt;/FQL&gt;&lt;FQL&gt;&lt;Q&gt;GOOG^FE_ESTIMATE(UFCF,MEAN,CALA_ROLL,2025,45792,,,'')&lt;/Q&gt;&lt;R&gt;0&lt;/R&gt;&lt;C&gt;0&lt;/C&gt;&lt;/FQL&gt;&lt;FQL&gt;&lt;Q&gt;GOOG^FE_ESTIMATE(UFCF,MEAN,CALA_ROLL,2024,45792,,,'')&lt;/Q&gt;&lt;R&gt;0&lt;/R&gt;&lt;C&gt;0&lt;/C&gt;&lt;/FQL&gt;&lt;FQL&gt;&lt;Q&gt;GOOG^FE_ESTIMATE(UFCF,MEAN,CALA_ROLL,2023,45792,,,'')&lt;/Q&gt;&lt;R&gt;0&lt;/R&gt;&lt;C&gt;0&lt;/C&gt;&lt;/FQL&gt;&lt;FQL&gt;&lt;Q&gt;GOOG^FE_ESTIMATE(UFCF,MEAN,NTM4,,45792,,,'')&lt;/Q&gt;&lt;R&gt;0&lt;/R&gt;&lt;C&gt;0&lt;/C&gt;&lt;/FQL&gt;&lt;FQL&gt;&lt;Q&gt;GOOG^FE_ESTIMATE(UFCF,MEAN,LTM4,,45792,,,'')&lt;/Q&gt;&lt;R&gt;0&lt;/R&gt;&lt;C&gt;0&lt;/C&gt;&lt;/FQL&gt;&lt;FQL&gt;&lt;Q&gt;AMZN^FE_ESTIMATE(UFCF,MEAN,CALA_ROLL,2027,45792,,,'')&lt;/Q&gt;&lt;R&gt;0&lt;/R&gt;&lt;C&gt;0&lt;/C&gt;&lt;/FQL&gt;&lt;FQL&gt;&lt;Q&gt;AMZN^FE_ESTIMATE(UFCF,MEAN,CALA_ROLL,2026,45792,,,'')&lt;/Q&gt;&lt;R&gt;0&lt;/R&gt;&lt;C&gt;0&lt;/C&gt;&lt;/FQL&gt;&lt;FQL&gt;&lt;Q&gt;AMZN^FE_ESTIMATE(UFCF,MEAN,CALA_ROLL,2025,45792,,,'')&lt;/Q&gt;&lt;R&gt;0&lt;/R&gt;&lt;C&gt;0&lt;/C&gt;&lt;/FQL&gt;&lt;FQL&gt;&lt;Q&gt;AMZN^FE_ESTIMATE(UFCF,MEAN,CALA_ROLL,2024,45792,,,'')&lt;/Q&gt;&lt;R&gt;0&lt;/R&gt;&lt;C&gt;0&lt;/C&gt;&lt;/FQL&gt;&lt;FQL&gt;&lt;Q&gt;AMZN^FE_ESTIMATE(UFCF,MEAN,CALA_ROLL,2023,45792,,,'')&lt;/Q&gt;&lt;R&gt;0&lt;/R&gt;&lt;C&gt;0&lt;/C&gt;&lt;/FQL&gt;&lt;FQL&gt;&lt;Q&gt;AMZN^FE_ESTIMATE(UFCF,MEAN,NTM4,,45792,,,'')&lt;/Q&gt;&lt;R&gt;0&lt;/R&gt;&lt;C&gt;0&lt;/C&gt;&lt;/FQL&gt;&lt;FQL&gt;&lt;Q&gt;AMZN^FE_ESTIMATE(UFCF,MEAN,LTM4,,45792,,,'')&lt;/Q&gt;&lt;R&gt;0&lt;/R&gt;&lt;C&gt;0&lt;/C&gt;&lt;/FQL&gt;&lt;FQL&gt;&lt;Q&gt;ORCL^FE_ESTIMATE(UFCF,MEAN,CALA_ROLL,2027,45792,,,'')&lt;/Q&gt;&lt;R&gt;0&lt;/R&gt;&lt;C&gt;0&lt;/C&gt;&lt;/FQL&gt;&lt;FQL&gt;&lt;Q&gt;ORCL^FE_ESTIMATE(UFCF,MEAN,CALA_ROLL,2026,45792,,,'')&lt;/Q&gt;&lt;R&gt;0&lt;/R&gt;&lt;C&gt;0&lt;/C&gt;&lt;/FQL&gt;&lt;FQL&gt;&lt;Q&gt;ORCL^FE_ESTIMATE(UFCF,MEAN,CALA_ROLL,2025,45792,,,'')&lt;/Q&gt;&lt;R&gt;0&lt;/R&gt;&lt;C&gt;0&lt;/C&gt;&lt;/FQL&gt;&lt;FQL&gt;&lt;Q&gt;ORCL^FE_ESTIMATE(UFCF,MEAN,CALA_ROLL,2024,45792,,,'')&lt;/Q&gt;&lt;R&gt;0&lt;/R&gt;&lt;C&gt;0&lt;/C&gt;&lt;/FQL&gt;&lt;FQL&gt;&lt;Q&gt;ORCL^FE_ESTIMATE(UFCF,MEAN,CALA_ROLL,2023,45792,,,'')&lt;/Q&gt;&lt;R&gt;1&lt;/R&gt;&lt;C&gt;1&lt;/C&gt;&lt;D xsi:type="xsd:double"&gt;13482.341&lt;/D&gt;&lt;/FQL&gt;&lt;FQL&gt;&lt;Q&gt;ORCL^FE_ESTIMATE(UFCF,MEAN,NTM4,,45792,,,'')&lt;/Q&gt;&lt;R&gt;0&lt;/R&gt;&lt;C&gt;0&lt;/C&gt;&lt;/FQL&gt;&lt;FQL&gt;&lt;Q&gt;ORCL^FE_ESTIMATE(UFCF,MEAN,LTM4,,45792,,,'')&lt;/Q&gt;&lt;R&gt;0&lt;/R&gt;&lt;C&gt;0&lt;/C&gt;&lt;/FQL&gt;&lt;FQL&gt;&lt;Q&gt;IBM^FE_ESTIMATE(UFCF,MEAN,CALA_ROLL,2027,45792,,,'')&lt;/Q&gt;&lt;R&gt;0&lt;/R&gt;&lt;C&gt;0&lt;/C&gt;&lt;/FQL&gt;&lt;FQL&gt;&lt;Q&gt;IBM^FE_ESTIMATE(UFCF,MEAN,CALA_ROLL,2026,45792,,,'')&lt;/Q&gt;&lt;R&gt;0&lt;/R&gt;&lt;C&gt;0&lt;/C&gt;&lt;/FQL&gt;&lt;FQL&gt;&lt;Q&gt;IBM^FE_ESTIMATE(UFCF,MEAN,CALA_ROLL,2025,45792,,,'')&lt;/Q&gt;&lt;R&gt;0&lt;/R&gt;&lt;C&gt;0&lt;/C&gt;&lt;/FQL&gt;&lt;FQL&gt;&lt;Q&gt;IBM^FE_ESTIMATE(UFCF,MEAN,CALA_ROLL,2024,45792,,,'')&lt;/Q&gt;&lt;R&gt;0&lt;/R&gt;&lt;C&gt;0&lt;/C&gt;&lt;/FQL&gt;&lt;FQL&gt;&lt;Q&gt;IBM^FE_ESTIMATE(UFCF,MEAN,CALA_ROLL,2023,45792,,,'')&lt;/Q&gt;&lt;R&gt;0&lt;/R&gt;&lt;C&gt;0&lt;/C&gt;&lt;/FQL&gt;&lt;FQL&gt;&lt;Q&gt;IBM^FE_ESTIMATE(UFCF,MEAN,NTM4,,45792,,,'')&lt;/Q&gt;&lt;R&gt;0&lt;/R&gt;&lt;C&gt;0&lt;/C&gt;&lt;/FQL&gt;&lt;FQL&gt;&lt;Q&gt;IBM^FE_ESTIMATE(UFCF,MEAN,LTM4,,45792,,,'')&lt;/Q&gt;&lt;R&gt;0&lt;/R&gt;&lt;C&gt;0&lt;/C&gt;&lt;/FQL&gt;&lt;FQL&gt;&lt;Q&gt;EQIX^FE_ESTIMATE(UFCF,MEAN,CALA_ROLL,2027,45792,,,'')&lt;/Q&gt;&lt;R&gt;1&lt;/R&gt;&lt;C&gt;1&lt;/C&gt;&lt;D xsi:type="xsd:double"&gt;1939.7&lt;/D&gt;&lt;/FQL&gt;&lt;FQL&gt;&lt;Q&gt;EQIX^FE_ESTIMATE(UFCF,MEAN,CALA_ROLL,2026,45792,,,'')&lt;/Q&gt;&lt;R&gt;1&lt;/R&gt;&lt;C&gt;1&lt;/C&gt;&lt;D xsi:type="xsd:double"&gt;1550.1&lt;/D&gt;&lt;/FQL&gt;&lt;FQL&gt;&lt;Q&gt;EQIX^FE_ESTIMATE(UFCF,MEAN,CALA_ROLL,2025,45792,,,'')&lt;/Q&gt;&lt;R&gt;1&lt;/R&gt;&lt;C&gt;1&lt;/C&gt;&lt;D xsi:type="xsd:double"&gt;1379.2&lt;/D&gt;&lt;/FQL&gt;&lt;FQL&gt;&lt;Q&gt;EQIX^FE_ESTIMATE(UFCF,MEAN,CALA_ROLL,2024,45792,,,'')&lt;/Q&gt;&lt;R&gt;0&lt;/R&gt;&lt;C&gt;0&lt;/C&gt;&lt;/FQL&gt;&lt;FQL&gt;&lt;Q&gt;EQIX^FE_ESTIMATE(UFCF,MEAN,CALA_ROLL,2023,45792,,,'')&lt;/Q&gt;&lt;R&gt;0&lt;/R&gt;&lt;C&gt;0&lt;/C&gt;&lt;/FQL&gt;&lt;FQL&gt;&lt;Q&gt;EQIX^FE_ESTIMATE(UFCF,MEAN,NTM4,,45792,,,'')&lt;/Q&gt;&lt;R&gt;0&lt;/R&gt;&lt;C&gt;0&lt;/C&gt;&lt;/FQL&gt;&lt;FQL&gt;&lt;Q&gt;EQIX^FE_ESTIMATE(UFCF,MEAN,LTM4,,45792,,,'')&lt;/Q&gt;&lt;R&gt;0&lt;/R&gt;&lt;C&gt;0&lt;/C&gt;&lt;/FQL&gt;&lt;FQL&gt;&lt;Q&gt;DLR^FE_ESTIMATE(UFCF,MEAN,CALA_ROLL,2027,45792,,,'')&lt;/Q&gt;&lt;R&gt;1&lt;/R&gt;&lt;C&gt;1&lt;/C&gt;&lt;D xsi:type="xsd:double"&gt;31.7&lt;/D&gt;&lt;/FQL&gt;&lt;FQL&gt;&lt;Q&gt;DLR^FE_ESTIMATE(UFCF,MEAN,CALA_ROLL,2026,45792,,,'')&lt;/Q&gt;&lt;R&gt;1&lt;/R&gt;&lt;C&gt;1&lt;/C&gt;&lt;D xsi:type="xsd:double"&gt;-548.2&lt;/D&gt;&lt;/FQL&gt;&lt;FQL&gt;&lt;Q&gt;DLR^FE_ESTIMATE(UFCF,MEAN,CALA_ROLL,2025,45792,,,'')&lt;/Q&gt;&lt;R&gt;1&lt;/R&gt;&lt;C&gt;1&lt;/C&gt;&lt;D xsi:type="xsd:double"&gt;-767.2&lt;/D&gt;&lt;/FQL&gt;&lt;FQL&gt;&lt;Q&gt;DLR^FE_ESTIMATE(UFCF,MEAN,CALA_ROLL,2024,45792,,,'')&lt;/Q&gt;&lt;R&gt;0&lt;/R&gt;&lt;C&gt;0&lt;/C&gt;&lt;/FQL&gt;&lt;FQL&gt;&lt;Q&gt;DLR^FE_ESTIMATE(UFCF,MEAN,CALA_ROLL,2023,45792,,,'')&lt;/Q&gt;&lt;R&gt;1&lt;/R&gt;&lt;C&gt;1&lt;/C&gt;&lt;D xsi:type="xsd:double"&gt;-1479.6&lt;/D&gt;&lt;/FQL&gt;&lt;FQL&gt;&lt;Q&gt;DLR^FE_ESTIMATE(UFCF,MEAN,NTM4,,45792,,,'')&lt;/Q&gt;&lt;R&gt;0&lt;/R&gt;&lt;C&gt;0&lt;/C&gt;&lt;/FQL&gt;&lt;FQL&gt;&lt;Q&gt;DLR^FE_ESTIMATE(UFCF,MEAN,LTM4,,45792,,,'')&lt;/Q&gt;&lt;R&gt;0&lt;/R&gt;&lt;C&gt;0&lt;/C&gt;&lt;/FQL&gt;&lt;FQL&gt;&lt;Q&gt;NVDA^FE_ESTIMATE(UFCF,MEAN,CALA_ROLL,2027,45792,,,'')&lt;/Q&gt;&lt;R&gt;0&lt;/R&gt;&lt;C&gt;0&lt;/C&gt;&lt;/FQL&gt;&lt;FQL&gt;&lt;Q&gt;NVDA^FE_ESTIMATE(UFCF,MEAN,CALA_ROLL,2026,45792,,,'')&lt;/Q&gt;&lt;R&gt;0&lt;/R&gt;&lt;C&gt;0&lt;/C&gt;&lt;/FQL&gt;&lt;FQL&gt;&lt;Q&gt;NVDA^FE_ESTIMATE(UFCF,MEAN,CALA_ROLL,2025,45792,,,'')&lt;/Q&gt;&lt;R&gt;0&lt;/R&gt;&lt;C&gt;0&lt;/C&gt;&lt;/FQL&gt;&lt;FQL&gt;&lt;Q&gt;NVDA^FE_ESTIMATE(UFCF,MEAN,CALA_ROLL,2024,45792,,,'')&lt;/Q&gt;&lt;R&gt;0&lt;/R&gt;&lt;C&gt;0&lt;/C&gt;&lt;/FQL&gt;&lt;FQL&gt;&lt;Q&gt;NVDA^FE_ESTIMATE(UFCF,MEAN,CALA_ROLL,2023,45792,,,'')&lt;/Q&gt;&lt;R&gt;0&lt;/R&gt;&lt;C&gt;0&lt;/C&gt;&lt;/FQL&gt;&lt;FQL&gt;&lt;Q&gt;NVDA^FE_ESTIMATE(UFCF,MEAN,NTM4,,45792,,,'')&lt;/Q&gt;&lt;R&gt;0&lt;/R&gt;&lt;C&gt;0&lt;/C&gt;&lt;/FQL&gt;&lt;FQL&gt;&lt;Q&gt;NVDA^FE_ESTIMATE(UFCF,MEAN,LTM4,,45792,,,'')&lt;/Q&gt;&lt;R&gt;0&lt;/R&gt;&lt;C&gt;0&lt;/C&gt;&lt;/FQL&gt;&lt;FQL&gt;&lt;Q&gt;MSFT^FE_ESTIMATE(UFCF,MEAN,CALA_ROLL,2027,45792,,,'')&lt;/Q&gt;&lt;R&gt;0&lt;/R&gt;&lt;C&gt;0&lt;/C&gt;&lt;/FQL&gt;&lt;FQL&gt;&lt;Q&gt;MSFT^FE_ESTIMATE(UFCF,MEAN,CALA_ROLL,2026,45792,,,'')&lt;/Q&gt;&lt;R&gt;0&lt;/R&gt;&lt;C&gt;0&lt;/C&gt;&lt;/FQL&gt;&lt;FQL&gt;&lt;Q&gt;MSFT^FE_ESTIMATE(UFCF,MEAN,CALA_ROLL,2025,45792,,,'')&lt;/Q&gt;&lt;R&gt;0&lt;/R&gt;&lt;C&gt;0&lt;/C&gt;&lt;/FQL&gt;&lt;FQL&gt;&lt;Q&gt;MSFT^FE_ESTIMATE(UFCF,MEAN,CALA_ROLL,2024,45792,,,'')&lt;/Q&gt;&lt;R&gt;0&lt;/R&gt;&lt;C&gt;0&lt;/C&gt;&lt;/FQL&gt;&lt;FQL&gt;&lt;Q&gt;MSFT^FE_ESTIMATE(UFCF,MEAN,CALA_ROLL,2023,45792,,,'')&lt;/Q&gt;&lt;R&gt;0&lt;/R&gt;&lt;C&gt;0&lt;/C&gt;&lt;/FQL&gt;&lt;FQL&gt;&lt;Q&gt;MSFT^FE_ESTIMATE(UFCF,MEAN,NTM4,,45792,,,'')&lt;/Q&gt;&lt;R&gt;0&lt;/R&gt;&lt;C&gt;0&lt;/C&gt;&lt;/FQL&gt;&lt;FQL&gt;&lt;Q&gt;MSFT^FE_ESTIMATE(UFCF,MEAN,LTM4,,45792,,,'')&lt;/Q&gt;&lt;R&gt;0&lt;/R&gt;&lt;C&gt;0&lt;/C&gt;&lt;/FQL&gt;&lt;FQL&gt;&lt;Q&gt;AVT^FE_ESTIMATE(FCF,MEAN,CAL4,2027,45792,,,'')&lt;/Q&gt;&lt;R&gt;0&lt;/R&gt;&lt;C&gt;0&lt;/C&gt;&lt;/FQL&gt;&lt;FQL&gt;&lt;Q&gt;AVT^FE_ESTIMATE(FCF,MEAN,CAL4,2026,45792,,,'')&lt;/Q&gt;&lt;R&gt;0&lt;/R&gt;&lt;C&gt;0&lt;/C&gt;&lt;/FQL&gt;&lt;FQL&gt;&lt;Q&gt;AVT^FE_ESTIMATE(FCF,MEAN,CAL4,2025,45792,,,'')&lt;/Q&gt;&lt;R&gt;0&lt;/R&gt;&lt;C&gt;0&lt;/C&gt;&lt;/FQL&gt;&lt;FQL&gt;&lt;Q&gt;AVT^FE_ESTIMATE(FCF,MEAN,CAL4,2024,45792,,,'')&lt;/Q&gt;&lt;R&gt;0&lt;/R&gt;&lt;C&gt;0&lt;/C&gt;&lt;/FQL&gt;&lt;FQL&gt;&lt;Q&gt;AVT^FE_ESTIMATE(FCF,MEAN,CAL4,2023,45792,,,'')&lt;/Q&gt;&lt;R&gt;0&lt;/R&gt;&lt;C&gt;0&lt;/C&gt;&lt;/FQL&gt;&lt;FQL&gt;&lt;Q&gt;AVT^FE_ESTIMATE(FCF,MEAN,NTM4,,45792,,,'')&lt;/Q&gt;&lt;R&gt;0&lt;/R&gt;&lt;C&gt;0&lt;/C&gt;&lt;/FQL&gt;&lt;FQL&gt;&lt;Q&gt;AVT^FE_ESTIMATE(FCF,MEAN,LTM4,,45792,,,'')&lt;/Q&gt;&lt;R&gt;0&lt;/R&gt;&lt;C&gt;0&lt;/C&gt;&lt;/FQL&gt;&lt;FQL&gt;&lt;Q&gt;ARW^FE_ESTIMATE(FCF,MEAN,CAL4,2027,45792,,,'')&lt;/Q&gt;&lt;R&gt;0&lt;/R&gt;&lt;C&gt;0&lt;/C&gt;&lt;/FQL&gt;&lt;FQL&gt;&lt;Q&gt;ARW^FE_ESTIMATE(FCF,MEAN,CAL4,2026,45792,,,'')&lt;/Q&gt;&lt;R&gt;0&lt;/R&gt;&lt;C&gt;0&lt;/C&gt;&lt;/FQL&gt;&lt;FQL&gt;&lt;Q&gt;ARW^FE_ESTIMATE(FCF,MEAN,CAL4,2025,45792,,,'')&lt;/Q&gt;&lt;R&gt;0&lt;/R&gt;&lt;C&gt;0&lt;/C&gt;&lt;/FQL&gt;&lt;FQL&gt;&lt;Q&gt;ARW^FE_ESTIMATE(FCF,MEAN,CAL4,2024,45792,,,'')&lt;/Q&gt;&lt;R&gt;0&lt;/R&gt;&lt;C&gt;0&lt;/C&gt;&lt;/FQL&gt;&lt;FQL&gt;&lt;Q&gt;ARW^FE_ESTIMATE(FCF,MEAN,CAL4,2023,45792,,,'')&lt;/Q&gt;&lt;R&gt;0&lt;/R&gt;&lt;C&gt;0&lt;/C&gt;&lt;/FQL&gt;&lt;FQL&gt;&lt;Q&gt;ARW^FE_ESTIMATE(FCF,MEAN,NTM4,,45792,,,'')&lt;/Q&gt;&lt;R&gt;0&lt;/R&gt;&lt;C&gt;0&lt;/C&gt;&lt;/FQL&gt;&lt;FQL&gt;&lt;Q&gt;ARW^FE_ESTIMATE(FCF,MEAN,LTM4,,45792,,,'')&lt;/Q&gt;&lt;R&gt;0&lt;/R&gt;&lt;C&gt;0&lt;/C&gt;&lt;/FQL&gt;&lt;FQL&gt;&lt;Q&gt;SNX^FE_ESTIMATE(FCF,MEAN,CAL4,2027,45792,,,'')&lt;/Q&gt;&lt;R&gt;0&lt;/R&gt;&lt;C&gt;0&lt;/C&gt;&lt;/FQL&gt;&lt;FQL&gt;&lt;Q&gt;SNX^FE_ESTIMATE(FCF,MEAN,CAL4,2026,45792,,,'')&lt;/Q&gt;&lt;R&gt;1&lt;/R&gt;&lt;C&gt;1&lt;/C&gt;&lt;D xsi:type="xsd:double"&gt;1054.8&lt;/D&gt;&lt;/FQL&gt;&lt;FQL&gt;&lt;Q&gt;SNX^FE_ESTIMATE(FCF,MEAN,CAL4,2025,45792,,,'')&lt;/Q&gt;&lt;R&gt;1&lt;/R&gt;&lt;C&gt;1&lt;/C&gt;&lt;D xsi:type="xsd:double"&gt;1097.378&lt;/D&gt;&lt;/FQL&gt;&lt;FQL&gt;&lt;Q&gt;SNX^FE_ESTIMATE(FCF,MEAN,CAL4,2024,45792,,,'')&lt;/Q&gt;&lt;R&gt;1&lt;/R&gt;&lt;C&gt;1&lt;/C&gt;&lt;D xsi:type="xsd:double"&gt;1042.612&lt;/D&gt;&lt;/FQL&gt;&lt;FQL&gt;&lt;Q&gt;SNX^FE_ESTIMATE(FCF,MEAN,CAL4,2023,45792,,,'')&lt;/Q&gt;&lt;R&gt;1&lt;/R&gt;&lt;C&gt;1&lt;/C&gt;&lt;D xsi:type="xsd:double"&gt;1257.366&lt;/D&gt;&lt;/FQL&gt;&lt;FQL&gt;&lt;Q&gt;SNX^FE_ESTIMATE(FCF,MEAN,NTM4,,45792,,,'')&lt;/Q&gt;&lt;R&gt;1&lt;/R&gt;&lt;C&gt;1&lt;/C&gt;&lt;D xsi:type="xsd:double"&gt;1935.9&lt;/D&gt;&lt;/FQL&gt;&lt;FQL&gt;&lt;Q&gt;SNX^FE_ESTIMATE(FCF,MEAN,LTM4,,45792,,,'')&lt;/Q&gt;&lt;R&gt;1&lt;/R&gt;&lt;C&gt;1&lt;/C&gt;&lt;D xsi:type="xsd:double"&gt;-90.531&lt;/D&gt;&lt;/FQL&gt;&lt;FQL&gt;&lt;Q&gt;CDW^FE_ESTIMATE(FCF,MEAN,CAL4,2027,45792,,,'')&lt;/Q&gt;&lt;R&gt;0&lt;/R&gt;&lt;C&gt;0&lt;/C&gt;&lt;/FQL&gt;&lt;FQL&gt;&lt;Q&gt;CDW^FE_ESTIMATE(FCF,MEAN,CAL4,2026,45792,,,'')&lt;/Q&gt;&lt;R&gt;0&lt;/R&gt;&lt;C&gt;0&lt;/C&gt;&lt;/FQL&gt;&lt;FQL&gt;&lt;Q&gt;CDW^FE_ESTIMATE(FCF,MEAN,CAL4,2025,45792,,,'')&lt;/Q&gt;&lt;R&gt;0&lt;/R&gt;&lt;C&gt;0&lt;/C&gt;&lt;/FQL&gt;&lt;FQL&gt;&lt;Q&gt;CDW^FE_ESTIMATE(FCF,MEAN,CAL4,2024,45792,,,'')&lt;/Q&gt;&lt;R&gt;0&lt;/R&gt;&lt;C&gt;0&lt;/C&gt;&lt;/FQL&gt;&lt;FQL&gt;&lt;Q&gt;CDW^FE_ESTIMATE(FCF,MEAN,CAL4,2023,45792,,,'')&lt;/Q&gt;&lt;R&gt;0&lt;/R&gt;&lt;C&gt;0&lt;/C&gt;&lt;/FQL&gt;&lt;FQL&gt;&lt;Q&gt;CDW^FE_ES</t>
        </r>
      </text>
    </comment>
    <comment ref="A7" authorId="0" shapeId="0" xr:uid="{1C1A9BF1-19A3-4983-8172-41E14BD8061C}">
      <text>
        <r>
          <rPr>
            <b/>
            <sz val="9"/>
            <color indexed="81"/>
            <rFont val="Tahoma"/>
            <charset val="1"/>
          </rPr>
          <t>TIMATE(FCF,MEAN,NTM4,,45792,,,'')&lt;/Q&gt;&lt;R&gt;0&lt;/R&gt;&lt;C&gt;0&lt;/C&gt;&lt;/FQL&gt;&lt;FQL&gt;&lt;Q&gt;CDW^FE_ESTIMATE(FCF,MEAN,LTM4,,45792,,,'')&lt;/Q&gt;&lt;R&gt;0&lt;/R&gt;&lt;C&gt;0&lt;/C&gt;&lt;/FQL&gt;&lt;FQL&gt;&lt;Q&gt;INGM^FE_ESTIMATE(FCF,MEAN,CAL4,2027,45792,,,'')&lt;/Q&gt;&lt;R&gt;0&lt;/R&gt;&lt;C&gt;0&lt;/C&gt;&lt;/FQL&gt;&lt;FQL&gt;&lt;Q&gt;INGM^FE_ESTIMATE(FCF,MEAN,CAL4,2026,45792,,,'')&lt;/Q&gt;&lt;R&gt;1&lt;/R&gt;&lt;C&gt;1&lt;/C&gt;&lt;D xsi:type="xsd:double"&gt;433.5&lt;/D&gt;&lt;/FQL&gt;&lt;FQL&gt;&lt;Q&gt;INGM^FE_ESTIMATE(FCF,MEAN,CAL4,2025,45792,,,'')&lt;/Q&gt;&lt;R&gt;1&lt;/R&gt;&lt;C&gt;1&lt;/C&gt;&lt;D xsi:type="xsd:double"&gt;349.5&lt;/D&gt;&lt;/FQL&gt;&lt;FQL&gt;&lt;Q&gt;INGM^FE_ESTIMATE(FCF,MEAN,CAL4,2024,45792,,,'')&lt;/Q&gt;&lt;R&gt;0&lt;/R&gt;&lt;C&gt;0&lt;/C&gt;&lt;/FQL&gt;&lt;FQL&gt;&lt;Q&gt;INGM^FE_ESTIMATE(FCF,MEAN,CAL4,2023,45792,,,'')&lt;/Q&gt;&lt;R&gt;0&lt;/R&gt;&lt;C&gt;0&lt;/C&gt;&lt;/FQL&gt;&lt;FQL&gt;&lt;Q&gt;INGM^FE_ESTIMATE(FCF,MEAN,NTM4,,45792,,,'')&lt;/Q&gt;&lt;R&gt;1&lt;/R&gt;&lt;C&gt;1&lt;/C&gt;&lt;D xsi:type="xsd:double"&gt;691.5&lt;/D&gt;&lt;/FQL&gt;&lt;FQL&gt;&lt;Q&gt;INGM^FE_ESTIMATE(FCF,MEAN,LTM4,,45792,,,'')&lt;/Q&gt;&lt;R&gt;1&lt;/R&gt;&lt;C&gt;1&lt;/C&gt;&lt;D xsi:type="xsd:double"&gt;288.225&lt;/D&gt;&lt;/FQL&gt;&lt;FQL&gt;&lt;Q&gt;DOCN^FE_ESTIMATE(FCF,MEAN,CALA_ROLL,2027,45792,,,'')&lt;/Q&gt;&lt;R&gt;1&lt;/R&gt;&lt;C&gt;1&lt;/C&gt;&lt;D xsi:type="xsd:double"&gt;201.08434&lt;/D&gt;&lt;/FQL&gt;&lt;FQL&gt;&lt;Q&gt;DOCN^FE_ESTIMATE(FCF,MEAN,CAL4,2026,45792,,,'')&lt;/Q&gt;&lt;R&gt;1&lt;/R&gt;&lt;C&gt;1&lt;/C&gt;&lt;D xsi:type="xsd:double"&gt;166.2633&lt;/D&gt;&lt;/FQL&gt;&lt;FQL&gt;&lt;Q&gt;DOCN^FE_ESTIMATE(FCF,MEAN,CAL4,2025,45792,,,'')&lt;/Q&gt;&lt;R&gt;1&lt;/R&gt;&lt;C&gt;1&lt;/C&gt;&lt;D xsi:type="xsd:double"&gt;143.37175&lt;/D&gt;&lt;/FQL&gt;&lt;FQL&gt;&lt;Q&gt;DOCN^FE_ESTIMATE(FCF,MEAN,CAL4,2024,45792,,,'')&lt;/Q&gt;&lt;R&gt;1&lt;/R&gt;&lt;C&gt;1&lt;/C&gt;&lt;D xsi:type="xsd:double"&gt;134.283&lt;/D&gt;&lt;/FQL&gt;&lt;FQL&gt;&lt;Q&gt;DOCN^FE_ESTIMATE(FCF,MEAN,CAL4,2023,45792,,,'')&lt;/Q&gt;&lt;R&gt;1&lt;/R&gt;&lt;C&gt;1&lt;/C&gt;&lt;D xsi:type="xsd:double"&gt;155.752&lt;/D&gt;&lt;/FQL&gt;&lt;FQL&gt;&lt;Q&gt;DOCN^FE_ESTIMATE(FCF,MEAN,NTM4,,45792,,,'')&lt;/Q&gt;&lt;R&gt;1&lt;/R&gt;&lt;C&gt;1&lt;/C&gt;&lt;D xsi:type="xsd:double"&gt;169.24135&lt;/D&gt;&lt;/FQL&gt;&lt;FQL&gt;&lt;Q&gt;DOCN^FE_ESTIMATE(FCF,MEAN,LTM4,,45792,,,'')&lt;/Q&gt;&lt;R&gt;1&lt;/R&gt;&lt;C&gt;1&lt;/C&gt;&lt;D xsi:type="xsd:double"&gt;100.761&lt;/D&gt;&lt;/FQL&gt;&lt;FQL&gt;&lt;Q&gt;GOOG^FE_ESTIMATE(FCF,MEAN,CALA_ROLL,2027,45792,,,'')&lt;/Q&gt;&lt;R&gt;1&lt;/R&gt;&lt;C&gt;1&lt;/C&gt;&lt;D xsi:type="xsd:double"&gt;116854.69&lt;/D&gt;&lt;/FQL&gt;&lt;FQL&gt;&lt;Q&gt;GOOG^FE_ESTIMATE(FCF,MEAN,CAL4,2026,45792,,,'')&lt;/Q&gt;&lt;R&gt;1&lt;/R&gt;&lt;C&gt;1&lt;/C&gt;&lt;D xsi:type="xsd:double"&gt;88364.6&lt;/D&gt;&lt;/FQL&gt;&lt;FQL&gt;&lt;Q&gt;GOOG^FE_ESTIMATE(FCF,MEAN,CAL4,2025,45792,,,'')&lt;/Q&gt;&lt;R&gt;1&lt;/R&gt;&lt;C&gt;1&lt;/C&gt;&lt;D xsi:type="xsd:double"&gt;74054.516&lt;/D&gt;&lt;/FQL&gt;&lt;FQL&gt;&lt;Q&gt;GOOG^FE_ESTIMATE(FCF,MEAN,CAL4,2024,45792,,,'')&lt;/Q&gt;&lt;R&gt;1&lt;/R&gt;&lt;C&gt;1&lt;/C&gt;&lt;D xsi:type="xsd:double"&gt;73062&lt;/D&gt;&lt;/FQL&gt;&lt;FQL&gt;&lt;Q&gt;GOOG^FE_ESTIMATE(FCF,MEAN,CAL4,2023,45792,,,'')&lt;/Q&gt;&lt;R&gt;1&lt;/R&gt;&lt;C&gt;1&lt;/C&gt;&lt;D xsi:type="xsd:double"&gt;69970.21&lt;/D&gt;&lt;/FQL&gt;&lt;FQL&gt;&lt;Q&gt;GOOG^FE_ESTIMATE(FCF,MEAN,NTM4,,45792,,,'')&lt;/Q&gt;&lt;R&gt;1&lt;/R&gt;&lt;C&gt;1&lt;/C&gt;&lt;D xsi:type="xsd:double"&gt;76545.46&lt;/D&gt;&lt;/FQL&gt;&lt;FQL&gt;&lt;Q&gt;GOOG^FE_ESTIMATE(FCF,MEAN,LTM4,,45792,,,'')&lt;/Q&gt;&lt;R&gt;1&lt;/R&gt;&lt;C&gt;1&lt;/C&gt;&lt;D xsi:type="xsd:double"&gt;74881.46&lt;/D&gt;&lt;/FQL&gt;&lt;FQL&gt;&lt;Q&gt;AMZN^FE_ESTIMATE(FCF,MEAN,CALA_ROLL,2027,45792,,,'')&lt;/Q&gt;&lt;R&gt;1&lt;/R&gt;&lt;C&gt;1&lt;/C&gt;&lt;D xsi:type="xsd:double"&gt;100458.19&lt;/D&gt;&lt;/FQL&gt;&lt;FQL&gt;&lt;Q&gt;AMZN^FE_ESTIMATE(FCF,MEAN,CAL4,2026,45792,,,'')&lt;/Q&gt;&lt;R&gt;1&lt;/R&gt;&lt;C&gt;1&lt;/C&gt;&lt;D xsi:type="xsd:double"&gt;51120.04&lt;/D&gt;&lt;/FQL&gt;&lt;FQL&gt;&lt;Q&gt;AMZN^FE_ESTIMATE(FCF,MEAN,CAL4,2025,45792,,,'')&lt;/Q&gt;&lt;R&gt;1&lt;/R&gt;&lt;C&gt;1&lt;/C&gt;&lt;D xsi:type="xsd:double"&gt;34186.027&lt;/D&gt;&lt;/FQL&gt;&lt;FQL&gt;&lt;Q&gt;AMZN^FE_ESTIMATE(FCF,MEAN,CAL4,2024,45792,,,'')&lt;/Q&gt;&lt;R&gt;1&lt;/R&gt;&lt;C&gt;1&lt;/C&gt;&lt;D xsi:type="xsd:double"&gt;37569.48&lt;/D&gt;&lt;/FQL&gt;&lt;FQL&gt;&lt;Q&gt;AMZN^FE_ESTIMATE(FCF,MEAN,CAL4,2023,45792,,,'')&lt;/Q&gt;&lt;R&gt;1&lt;/R&gt;&lt;C&gt;1&lt;/C&gt;&lt;D xsi:type="xsd:double"&gt;38765.21&lt;/D&gt;&lt;/FQL&gt;&lt;FQL&gt;&lt;Q&gt;AMZN^FE_ESTIMATE(FCF,MEAN,NTM4,,45792,,,'')&lt;/Q&gt;&lt;R&gt;1&lt;/R&gt;&lt;C&gt;1&lt;/C&gt;&lt;D xsi:type="xsd:double"&gt;38340.324&lt;/D&gt;&lt;/FQL&gt;&lt;FQL&gt;&lt;Q&gt;AMZN^FE_ESTIMATE(FCF,MEAN,LTM4,,45792,,,'')&lt;/Q&gt;&lt;R&gt;1&lt;/R&gt;&lt;C&gt;1&lt;/C&gt;&lt;D xsi:type="xsd:double"&gt;26235.98&lt;/D&gt;&lt;/FQL&gt;&lt;FQL&gt;&lt;Q&gt;ORCL^FE_ESTIMATE(FCF,MEAN,CALA_ROLL,2027,45792,,,'')&lt;/Q&gt;&lt;R&gt;1&lt;/R&gt;&lt;C&gt;1&lt;/C&gt;&lt;D xsi:type="xsd:double"&gt;20584.762&lt;/D&gt;&lt;/FQL&gt;&lt;FQL&gt;&lt;Q&gt;ORCL^FE_ESTIMATE(FCF,MEAN,CAL4,2026,45792,,,'')&lt;/Q&gt;&lt;R&gt;1&lt;/R&gt;&lt;C&gt;1&lt;/C&gt;&lt;D xsi:type="xsd:double"&gt;10748.23&lt;/D&gt;&lt;/FQL&gt;&lt;FQL&gt;&lt;Q&gt;ORCL^FE_ESTIMATE(FCF,MEAN,CAL4,2025,45792,,,'')&lt;/Q&gt;&lt;R&gt;1&lt;/R&gt;&lt;C&gt;1&lt;/C&gt;&lt;D xsi:type="xsd:double"&gt;6312.889&lt;/D&gt;&lt;/FQL&gt;&lt;FQL&gt;&lt;Q&gt;ORCL^FE_ESTIMATE(FCF,MEAN,CAL4,2024,45792,,,'')&lt;/Q&gt;&lt;R&gt;1&lt;/R&gt;&lt;C&gt;1&lt;/C&gt;&lt;D xsi:type="xsd:double"&gt;9550.706&lt;/D&gt;&lt;/FQL&gt;&lt;FQL&gt;&lt;Q&gt;ORCL^FE_ESTIMATE(FCF,MEAN,CAL4,2023,45792,,,'')&lt;/Q&gt;&lt;R&gt;1&lt;/R&gt;&lt;C&gt;1&lt;/C&gt;&lt;D xsi:type="xsd:double"&gt;10035.492&lt;/D&gt;&lt;/FQL&gt;&lt;FQL&gt;&lt;Q&gt;ORCL^FE_ESTIMATE(FCF,MEAN,NTM4,,45792,,,'')&lt;/Q&gt;&lt;R&gt;1&lt;/R&gt;&lt;C&gt;1&lt;/C&gt;&lt;D xsi:type="xsd:double"&gt;7418.4395&lt;/D&gt;&lt;/FQL&gt;&lt;FQL&gt;&lt;Q&gt;ORCL^FE_ESTIMATE(FCF,MEAN,LTM4,,45792,,,'')&lt;/Q&gt;&lt;R&gt;1&lt;/R&gt;&lt;C&gt;1&lt;/C&gt;&lt;D xsi:type="xsd:double"&gt;5869.091&lt;/D&gt;&lt;/FQL&gt;&lt;FQL&gt;&lt;Q&gt;IBM^FE_ESTIMATE(FCF,MEAN,CALA_ROLL,2027,45792,,,'')&lt;/Q&gt;&lt;R&gt;1&lt;/R&gt;&lt;C&gt;1&lt;/C&gt;&lt;D xsi:type="xsd:double"&gt;15435.5&lt;/D&gt;&lt;/FQL&gt;&lt;FQL&gt;&lt;Q&gt;IBM^FE_ESTIMATE(FCF,MEAN,CAL4,2026,45792,,,'')&lt;/Q&gt;&lt;R&gt;1&lt;/R&gt;&lt;C&gt;1&lt;/C&gt;&lt;D xsi:type="xsd:double"&gt;14529.5&lt;/D&gt;&lt;/FQL&gt;&lt;FQL&gt;&lt;Q&gt;IBM^FE_ESTIMATE(FCF,MEAN,CAL4,2025,45792,,,'')&lt;/Q&gt;&lt;R&gt;1&lt;/R&gt;&lt;C&gt;1&lt;/C&gt;&lt;D xsi:type="xsd:double"&gt;13748.533&lt;/D&gt;&lt;/FQL&gt;&lt;FQL&gt;&lt;Q&gt;IBM^FE_ESTIMATE(FCF,MEAN,CAL4,2024,45792,,,'')&lt;/Q&gt;&lt;R&gt;1&lt;/R&gt;&lt;C&gt;1&lt;/C&gt;&lt;D xsi:type="xsd:double"&gt;12749&lt;/D&gt;&lt;/FQL&gt;&lt;FQL&gt;&lt;Q&gt;IBM^FE_ESTIMATE(FCF,MEAN,CAL4,2023,45792,,,'')&lt;/Q&gt;&lt;R&gt;1&lt;/R&gt;&lt;C&gt;1&lt;/C&gt;&lt;D xsi:type="xsd:double"&gt;11210&lt;/D&gt;&lt;/FQL&gt;&lt;FQL&gt;&lt;Q&gt;IBM^FE_ESTIMATE(FCF,MEAN,NTM4,,45792,,,'')&lt;/Q&gt;&lt;R&gt;1&lt;/R&gt;&lt;C&gt;1&lt;/C&gt;&lt;D xsi:type="xsd:double"&gt;14588.033&lt;/D&gt;&lt;/FQL&gt;&lt;FQL&gt;&lt;Q&gt;IBM^FE_ESTIMATE(FCF,MEAN,LTM4,,45792,,,'')&lt;/Q&gt;&lt;R&gt;1&lt;/R&gt;&lt;C&gt;1&lt;/C&gt;&lt;D xsi:type="xsd:double"&gt;12801&lt;/D&gt;&lt;/FQL&gt;&lt;FQL&gt;&lt;Q&gt;EQIX^FE_ESTIMATE(FCF,MEAN,CALA_ROLL,2027,45792,,,'')&lt;/Q&gt;&lt;R&gt;1&lt;/R&gt;&lt;C&gt;1&lt;/C&gt;&lt;D xsi:type="xsd:double"&gt;1526.2&lt;/D&gt;&lt;/FQL&gt;&lt;FQL&gt;&lt;Q&gt;EQIX^FE_ESTIMATE(FCF,MEAN,CAL4,2026,45792,,,'')&lt;/Q&gt;&lt;R&gt;1&lt;/R&gt;&lt;C&gt;1&lt;/C&gt;&lt;D xsi:type="xsd:double"&gt;1303.278&lt;/D&gt;&lt;/FQL&gt;&lt;FQL&gt;&lt;Q&gt;EQIX^FE_ESTIMATE(FCF,MEAN,CAL4,2025,45792,,,'')&lt;/Q&gt;&lt;R&gt;1&lt;/R&gt;&lt;C&gt;1&lt;/C&gt;&lt;D xsi:type="xsd:double"&gt;995.50635&lt;/D&gt;&lt;/FQL&gt;&lt;FQL&gt;&lt;Q&gt;EQIX^FE_ESTIMATE(FCF,MEAN,CAL4,2024,45792,,,'')&lt;/Q&gt;&lt;R&gt;1&lt;/R&gt;&lt;C&gt;1&lt;/C&gt;&lt;D xsi:type="xsd:double"&gt;151.449&lt;/D&gt;&lt;/FQL&gt;&lt;FQL&gt;&lt;Q&gt;EQIX^FE_ESTIMATE(FCF,MEAN,CAL4,2023,45792,,,'')&lt;/Q&gt;&lt;R&gt;1&lt;/R&gt;&lt;C&gt;1&lt;/C&gt;&lt;D xsi:type="xsd:double"&gt;1506.067&lt;/D&gt;&lt;/FQL&gt;&lt;FQL&gt;&lt;Q&gt;EQIX^FE_ESTIMATE(FCF,MEAN,NTM4,,45792,,,'')&lt;/Q&gt;&lt;R&gt;1&lt;/R&gt;&lt;C&gt;1&lt;/C&gt;&lt;D xsi:type="xsd:double"&gt;1048.3024&lt;/D&gt;&lt;/FQL&gt;&lt;FQL&gt;&lt;Q&gt;EQIX^FE_ESTIMATE(FCF,MEAN,LTM4,,45792,,,'')&lt;/Q&gt;&lt;R&gt;1&lt;/R&gt;&lt;C&gt;1&lt;/C&gt;&lt;D xsi:type="xsd:double"&gt;589.88336&lt;/D&gt;&lt;/FQL&gt;&lt;FQL&gt;&lt;Q&gt;DLR^FE_ESTIMATE(FCF,MEAN,CALA_ROLL,2027,45792,,,'')&lt;/Q&gt;&lt;R&gt;1&lt;/R&gt;&lt;C&gt;1&lt;/C&gt;&lt;D xsi:type="xsd:double"&gt;528.465&lt;/D&gt;&lt;/FQL&gt;&lt;FQL&gt;&lt;Q&gt;DLR^FE_ESTIMATE(FCF,MEAN,CALA_ROLL,2026,45792,,,'')&lt;/Q&gt;&lt;R&gt;1&lt;/R&gt;&lt;C&gt;1&lt;/C&gt;&lt;D xsi:type="xsd:double"&gt;-128.29802&lt;/D&gt;&lt;/FQL&gt;&lt;FQL&gt;&lt;Q&gt;DLR^FE_ESTIMATE(FCF,MEAN,CAL4,2025,45792,,,'')&lt;/Q&gt;&lt;R&gt;0&lt;/R&gt;&lt;C&gt;0&lt;/C&gt;&lt;/FQL&gt;&lt;FQL&gt;&lt;Q&gt;DLR^FE_ESTIMATE(FCF,MEAN,CALA_ROLL,2024,45792,,,'')&lt;/Q&gt;&lt;R&gt;1&lt;/R&gt;&lt;C&gt;1&lt;/C&gt;&lt;D xsi:type="xsd:double"&gt;772.316&lt;/D&gt;&lt;/FQL&gt;&lt;FQL&gt;&lt;Q&gt;DLR^FE_ESTIMATE(FCF,MEAN,CALA_ROLL,2023,45792,,,'')&lt;/Q&gt;&lt;R&gt;1&lt;/R&gt;&lt;C&gt;1&lt;/C&gt;&lt;D xsi:type="xsd:double"&gt;-1867.194&lt;/D&gt;&lt;/FQL&gt;&lt;FQL&gt;&lt;Q&gt;DLR^FE_ESTIMATE(FCF,MEAN,NTM4,,45792,,,'')&lt;/Q&gt;&lt;R&gt;0&lt;/R&gt;&lt;C&gt;0&lt;/C&gt;&lt;/FQL&gt;&lt;FQL&gt;&lt;Q&gt;DLR^FE_ESTIMATE(FCF,MEAN,LTM4,,45792,,,'')&lt;/Q&gt;&lt;R&gt;0&lt;/R&gt;&lt;C&gt;0&lt;/C&gt;&lt;/FQL&gt;&lt;FQL&gt;&lt;Q&gt;NVDA^FE_ESTIMATE(FCF,MEAN,CALA_ROLL,2027,45792,,,'')&lt;/Q&gt;&lt;R&gt;1&lt;/R&gt;&lt;C&gt;1&lt;/C&gt;&lt;D xsi:type="xsd:double"&gt;147707.2&lt;/D&gt;&lt;/FQL&gt;&lt;FQL&gt;&lt;Q&gt;NVDA^FE_ESTIMATE(FCF,MEAN,CAL4,2026,45792,,,'')&lt;/Q&gt;&lt;R&gt;1&lt;/R&gt;&lt;C&gt;1&lt;/C&gt;&lt;D xsi:type="xsd:double"&gt;129759.445&lt;/D&gt;&lt;/FQL&gt;&lt;FQL&gt;&lt;Q&gt;NVDA^FE_ESTIMATE(FCF,MEAN,CAL4,2025,45792,,,'')&lt;/Q&gt;&lt;R&gt;1&lt;/R&gt;&lt;C&gt;1&lt;/C&gt;&lt;D xsi:type="xsd:double"&gt;97336.16&lt;/D&gt;&lt;/FQL&gt;&lt;FQL&gt;&lt;Q&gt;NVDA^FE_ESTIMATE(FCF,MEAN,CAL4,2024,45792,,,'')&lt;/Q&gt;&lt;R&gt;1&lt;/R&gt;&lt;C&gt;1&lt;/C&gt;&lt;D xsi:type="xsd:double"&gt;62019.04&lt;/D&gt;&lt;/FQL&gt;&lt;FQL&gt;&lt;Q&gt;NVDA^FE_ESTIMATE(FCF,MEAN,CAL4,2023,45792,,,'')&lt;/Q&gt;&lt;R&gt;1&lt;/R&gt;&lt;C&gt;1&lt;/C&gt;&lt;D xsi:type="xsd:double"&gt;26297.904&lt;/D&gt;&lt;/FQL&gt;&lt;FQL&gt;&lt;Q&gt;NVDA^FE_ESTIMATE(FCF,MEAN,NTM4,,45792,,,'')&lt;/Q&gt;&lt;R&gt;1&lt;/R&gt;&lt;C&gt;1&lt;/C&gt;&lt;D xsi:type="xsd:double"&gt;97336.16&lt;/D&gt;&lt;/FQL&gt;&lt;FQL&gt;&lt;Q&gt;NVDA^FE_ESTIMATE(FCF,MEAN,LTM4,,45792,,,'')&lt;/Q&gt;&lt;R&gt;1&lt;/R&gt;&lt;C&gt;1&lt;/C&gt;&lt;D xsi:type="xsd:double"&gt;62019.04&lt;/D&gt;&lt;/FQL&gt;&lt;FQL&gt;&lt;Q&gt;MSFT^FE_ESTIMATE(FCF,MEAN,CALA_ROLL,2027,45792,,,'')&lt;/Q&gt;&lt;R&gt;1&lt;/R&gt;&lt;C&gt;1&lt;/C&gt;&lt;D xsi:type="xsd:double"&gt;115185.5&lt;/D&gt;&lt;/FQL&gt;&lt;FQL&gt;&lt;Q&gt;MSFT^FE_ESTIMATE(FCF,MEAN,CALA_ROLL,2026,45792,,,'')&lt;/Q&gt;&lt;R&gt;1&lt;/R&gt;&lt;C&gt;1&lt;/C&gt;&lt;D xsi:type="xsd:double"&gt;87115.29&lt;/D&gt;&lt;/FQL&gt;&lt;FQL&gt;&lt;Q&gt;MSFT^FE_ESTIMATE(FCF,MEAN,CAL4,2025,45792,,,'')&lt;/Q&gt;&lt;R&gt;1&lt;/R&gt;&lt;C&gt;1&lt;/C&gt;&lt;D xsi:type="xsd:double"&gt;75803.04&lt;/D&gt;&lt;/FQL&gt;&lt;FQL&gt;&lt;Q&gt;MSFT^FE_ESTIMATE(FCF,MEAN,CAL4,2024,45792,,,'')&lt;/Q&gt;&lt;R&gt;1&lt;/R&gt;&lt;C&gt;1&lt;/C&gt;&lt;D xsi:type="xsd:double"&gt;68042.71&lt;/D&gt;&lt;/FQL&gt;&lt;FQL&gt;&lt;Q&gt;MSFT^FE_ESTIMATE(FCF,MEAN,CAL4,2023,45792,,,'')&lt;/Q&gt;&lt;R&gt;1&lt;/R&gt;&lt;C&gt;1&lt;/C&gt;&lt;D xsi:type="xsd:double"&gt;64571.887&lt;/D&gt;&lt;/FQL&gt;&lt;FQL&gt;&lt;Q&gt;MSFT^FE_ESTIMATE(FCF,MEAN,NTM4,,45792,,,'')&lt;/Q&gt;&lt;R&gt;1&lt;/R&gt;&lt;C&gt;1&lt;/C&gt;&lt;D xsi:type="xsd:double"&gt;75487.01&lt;/D&gt;&lt;/FQL&gt;&lt;FQL&gt;&lt;Q&gt;MSFT^FE_ESTIMATE(FCF,MEAN,LTM4,,45792,,,'')&lt;/Q&gt;&lt;R&gt;1&lt;/R&gt;&lt;C&gt;1&lt;/C&gt;&lt;D xsi:type="xsd:double"&gt;67645.7&lt;/D&gt;&lt;/FQL&gt;&lt;FQL&gt;&lt;Q&gt;AVT^FE_ESTIMATE(EPS_GAAP,MEAN,CAL4,2027,45792,,,'')&lt;/Q&gt;&lt;R&gt;0&lt;/R&gt;&lt;C&gt;0&lt;/C&gt;&lt;/FQL&gt;&lt;FQL&gt;&lt;Q&gt;AVT^FE_ESTIMATE(EPS_GAAP,MEAN,CAL4,2026,45792,,,'')&lt;/Q&gt;&lt;R&gt;0&lt;/R&gt;&lt;C&gt;0&lt;/C&gt;&lt;/FQL&gt;&lt;FQL&gt;&lt;Q&gt;AVT^FE_ESTIMATE(EPS_GAAP,MEAN,CAL4,2025,45792,,,'')&lt;/Q&gt;&lt;R&gt;1&lt;/R&gt;&lt;C&gt;1&lt;/C&gt;&lt;D xsi:type="xsd:double"&gt;3.4733334&lt;/D&gt;&lt;/FQL&gt;&lt;FQL&gt;&lt;Q&gt;AVT^FE_ESTIMATE(EPS_GAAP,MEAN,CAL4,2024,45792,,,'')&lt;/Q&gt;&lt;R&gt;1&lt;/R&gt;&lt;C&gt;1&lt;/C&gt;&lt;D xsi:type="xsd:double"&gt;3.53&lt;/D&gt;&lt;/FQL&gt;&lt;FQL&gt;&lt;Q&gt;AVT^FE_ESTIMATE(EPS_GAAP,MEAN,CAL4,2023,45792,,,'')&lt;/Q&gt;&lt;R&gt;1&lt;/R&gt;&lt;C&gt;1&lt;/C&gt;&lt;D xsi:type="xsd:double"&gt;7.24&lt;/D&gt;&lt;/FQL&gt;&lt;FQL&gt;&lt;Q&gt;AVT^FE_ESTIMATE(EPS_GAAP,MEAN,NTM4,,45792,,,'')&lt;/Q&gt;&lt;R&gt;1&lt;/R&gt;&lt;C&gt;1&lt;/C&gt;&lt;D xsi:type="xsd:double"&gt;3.6966667&lt;/D&gt;&lt;/FQL&gt;&lt;FQL&gt;&lt;Q&gt;AVT^FE_ESTIMATE(EPS_GAAP,MEAN,LTM4,,45792,,,'')&lt;/Q&gt;&lt;R&gt;1&lt;/R&gt;&lt;C&gt;1&lt;/C&gt;&lt;D xsi:type="xsd:double"&gt;3.57&lt;/D&gt;&lt;/FQL&gt;&lt;FQL&gt;&lt;Q&gt;ARW^FE_ESTIMATE(EPS_GAAP,MEAN,CALA_ROLL,2027,45792,,,'')&lt;/Q&gt;&lt;R&gt;0&lt;/R&gt;&lt;C&gt;0&lt;/C&gt;&lt;/FQL&gt;&lt;FQL&gt;&lt;Q&gt;ARW^FE_ESTIMATE(EPS_GAAP,MEAN,CAL4,2026,45792,,,'')&lt;/Q&gt;&lt;R&gt;1&lt;/R&gt;&lt;C&gt;1&lt;/C&gt;&lt;D xsi:type="xsd:double"&gt;12.07&lt;/D&gt;&lt;/FQL&gt;&lt;FQL&gt;&lt;Q&gt;ARW^FE_ESTIMATE(EPS_GAAP,MEAN,CAL4,2025,45792,,,'')&lt;/Q&gt;&lt;R&gt;1&lt;/R&gt;&lt;C&gt;1&lt;/C&gt;&lt;D xsi:type="xsd:double"&gt;9.743333&lt;/D&gt;&lt;/FQL&gt;&lt;FQL&gt;&lt;Q&gt;ARW^FE_ESTIMATE(EPS_GAAP,MEAN,CAL4,2024,45792,,,'')&lt;/Q&gt;&lt;R&gt;1&lt;/R&gt;&lt;C&gt;1&lt;/C&gt;&lt;D xsi:type="xsd:double"&gt;7.28&lt;/D&gt;&lt;/FQL&gt;&lt;FQL&gt;&lt;Q&gt;ARW^FE_ESTIMATE(EPS_GAAP,MEAN,CAL4,2023,45792,,,'')&lt;/Q&gt;&lt;R&gt;1&lt;/R&gt;&lt;C&gt;1&lt;/C&gt;&lt;D xsi:type="xsd:double"&gt;15.79&lt;/D&gt;&lt;/FQL&gt;&lt;FQL&gt;&lt;Q&gt;ARW^FE_ESTIMATE(EPS_GAAP,MEAN,NTM4,,45792,,,'')&lt;/Q&gt;&lt;R&gt;1&lt;/R&gt;&lt;C&gt;1&lt;/C&gt;&lt;D xsi:type="xsd:double"&gt;10.773334&lt;/D&gt;&lt;/FQL&gt;&lt;FQL&gt;&lt;Q&gt;ARW^FE_ESTIMATE(EPS_GAAP,MEAN,LTM4,,45792,,,'')&lt;/Q&gt;&lt;R&gt;1&lt;/R&gt;&lt;C&gt;1&lt;/C&gt;&lt;D xsi:type="xsd:double"&gt;7.26&lt;/D&gt;&lt;/FQL&gt;&lt;FQL&gt;&lt;Q&gt;SNX^FE_ESTIMATE(EPS_GAAP,MEAN,CAL4,2027,45792,,,'')&lt;/Q&gt;&lt;R&gt;1&lt;/R&gt;&lt;C&gt;1&lt;/C&gt;&lt;D xsi:type="xsd:double"&gt;11.222478&lt;/D&gt;&lt;/FQL&gt;&lt;FQL&gt;&lt;Q&gt;SNX^FE_ESTIMATE(EPS_GAAP,MEAN,CAL4,2026,45792,,,'')&lt;/Q&gt;&lt;R&gt;1&lt;/R&gt;&lt;C&gt;1&lt;/C&gt;&lt;D xsi:type="xsd:double"&gt;9.970744&lt;/D&gt;&lt;/FQL&gt;&lt;FQL&gt;&lt;Q&gt;SNX^FE_ESTIMATE(EPS_GAAP,MEAN,CAL4,2025,45792,,,'')&lt;/Q&gt;&lt;R&gt;1&lt;/R&gt;&lt;C&gt;1&lt;/C&gt;&lt;D xsi:type="xsd:double"&gt;8.590072&lt;/D&gt;&lt;/FQL&gt;&lt;FQL&gt;&lt;Q&gt;SNX^FE_ESTIMATE(EPS_GAAP,MEAN,CAL4,2024,45792,,,'')&lt;/Q&gt;&lt;R&gt;1&lt;/R&gt;&lt;C&gt;1&lt;/C&gt;&lt;D xsi:type="xsd:double"&gt;7.96&lt;/D&gt;&lt;/FQL&gt;&lt;FQL&gt;&lt;Q&gt;SNX^FE_ESTIMATE(EPS_GAAP,MEAN,CAL4,2023,45792,,,'')&lt;/Q&gt;&lt;R&gt;1&lt;/R&gt;&lt;C&gt;1&lt;/C&gt;&lt;D xsi:type="xsd:double"&gt;6.71&lt;/D&gt;&lt;/FQL&gt;&lt;FQL&gt;&lt;Q&gt;SNX^FE_ESTIMATE(EPS_GAAP,MEAN,NTM4,,45792,,,'')&lt;/Q&gt;&lt;R&gt;1&lt;/R&gt;&lt;C&gt;1&lt;/C&gt;&lt;D xsi:type="xsd:double"&gt;8.93605&lt;/D&gt;&lt;/FQL&gt;&lt;FQL&gt;&lt;Q&gt;SNX^FE_ESTIMATE(EPS_GAAP,MEAN,LTM4,,45792,,,'')&lt;/Q&gt;&lt;R&gt;1&lt;/R&gt;&lt;C&gt;1&lt;/C&gt;&lt;D xsi:type="xsd:double"&gt;8.01&lt;/D&gt;&lt;/FQL&gt;&lt;FQL&gt;&lt;Q&gt;CDW^FE_ESTIMATE(EPS_GAAP,MEAN,CALA_ROLL,2027,45792,,,'')&lt;/Q&gt;&lt;R&gt;1&lt;/R&gt;&lt;C&gt;1&lt;/C&gt;&lt;D xsi:type="xsd:double"&gt;10.090966&lt;/D&gt;&lt;/FQL&gt;&lt;FQL&gt;&lt;Q&gt;CDW^FE_ESTIMATE(EPS_GAAP,MEAN,CAL4,2026,45792,,,'')&lt;/Q&gt;&lt;R&gt;1&lt;/R&gt;&lt;C&gt;1&lt;/C&gt;&lt;D xsi:type="xsd:double"&gt;9.006077&lt;/D&gt;&lt;/FQL&gt;&lt;FQL&gt;&lt;Q&gt;CDW^FE_ESTIMATE(EPS_GAAP,MEAN,CAL4,2025,45792,,,'')&lt;/Q&gt;&lt;R&gt;1&lt;/R&gt;&lt;C&gt;1&lt;/C&gt;&lt;D xsi:type="xsd:double"&gt;8.175543&lt;/D&gt;&lt;/FQL&gt;&lt;FQL&gt;&lt;Q&gt;CDW^FE_ESTIMATE(EPS_GAAP,MEAN,CAL4,2024,45792,,,'')&lt;/Q&gt;&lt;R&gt;1&lt;/R&gt;&lt;C&gt;1&lt;/C&gt;&lt;D xsi:type="xsd:double"&gt;7.97&lt;/D&gt;&lt;/FQL&gt;&lt;FQL&gt;&lt;Q&gt;CDW^FE_ESTIMATE(EPS_GAAP,MEAN,CAL4,2023,45792,,,'')&lt;/Q&gt;&lt;R&gt;1&lt;/R&gt;&lt;C&gt;1&lt;/C&gt;&lt;D xsi:type="xsd:double"&gt;8.1&lt;/D&gt;&lt;/FQL&gt;&lt;FQL&gt;&lt;Q&gt;CDW^FE_ESTIMATE(EPS_GAAP,MEAN,NTM4,,45792,,,'')&lt;/Q&gt;&lt;R&gt;1&lt;/R&gt;&lt;C&gt;1&lt;/C&gt;&lt;D xsi:type="xsd:double"&gt;8.369062&lt;/D&gt;&lt;/FQL&gt;&lt;FQL&gt;&lt;Q&gt;CDW^FE_ESTIMATE(EPS_GAAP,MEAN,LTM4,,45792,,,'')&lt;/Q&gt;&lt;R&gt;1&lt;/R&gt;&lt;C&gt;1&lt;/C&gt;&lt;D xsi:type="xsd:double"&gt;8.07&lt;/D&gt;&lt;/FQL&gt;&lt;FQL&gt;&lt;Q&gt;INGM^FE_ESTIMATE(EPS_GAAP,MEAN,CALA_ROLL,2027,45792,,,'')&lt;/Q&gt;&lt;R&gt;1&lt;/R&gt;&lt;C&gt;1&lt;/C&gt;&lt;D xsi:type="xsd:double"&gt;2.7294426&lt;/D&gt;&lt;/FQL&gt;&lt;FQL&gt;&lt;Q&gt;INGM^FE_ESTIMATE(EPS_GAAP,MEAN,CAL4,2026,45792,,,'')&lt;/Q&gt;&lt;R&gt;1&lt;/R&gt;&lt;C&gt;1&lt;/C&gt;&lt;D xsi:type="xsd:double"&gt;2.8285&lt;/D&gt;&lt;/FQL&gt;&lt;FQL&gt;&lt;Q&gt;INGM^FE_ESTIMATE(EPS_GAAP,MEAN,CAL4,2025,45792,,,'')&lt;/Q&gt;&lt;R&gt;1&lt;/R&gt;&lt;C&gt;1&lt;/C&gt;&lt;D xsi:type="xsd:double"&gt;2.1853092&lt;/D&gt;&lt;/FQL&gt;&lt;FQL&gt;&lt;Q&gt;INGM^FE_ESTIMATE(EPS_GAAP,MEAN,CAL4,2024,45792,,,'')&lt;/Q&gt;&lt;R&gt;0&lt;/R&gt;&lt;C&gt;0&lt;/C&gt;&lt;/FQL&gt;&lt;FQL&gt;&lt;Q&gt;INGM^FE_ESTIMATE(EPS_GAAP,MEAN,CAL4,2023,45792,,,'')&lt;/Q&gt;&lt;R&gt;0&lt;/R&gt;&lt;C&gt;0&lt;/C&gt;&lt;/FQL&gt;&lt;FQL&gt;&lt;Q&gt;INGM^FE_ESTIMATE(EPS_GAAP,MEAN,NTM4,,45792,,,'')&lt;/Q&gt;&lt;R&gt;1&lt;/R&gt;&lt;C&gt;1&lt;/C&gt;&lt;D xsi:type="xsd:double"&gt;2.4413092&lt;/D&gt;&lt;/FQL&gt;&lt;FQL&gt;&lt;Q&gt;INGM^FE_ESTIMATE(EPS_GAAP,MEAN,LTM4,,45792,,,'')&lt;/Q&gt;&lt;R&gt;1&lt;/R&gt;&lt;C&gt;1&lt;/C&gt;&lt;D xsi:type="xsd:double"&gt;1.3451453&lt;/D&gt;&lt;/FQL&gt;&lt;FQL&gt;&lt;Q&gt;DOCN^FE_ESTIMATE(EPS_GAAP,MEAN,CALA_ROLL,2027,45792,,,'')&lt;/Q&gt;&lt;R&gt;1&lt;/R&gt;&lt;C&gt;1&lt;/C&gt;&lt;D xsi:type="xsd:double"&gt;1.2453405&lt;/D&gt;&lt;/FQL&gt;&lt;FQL&gt;&lt;Q&gt;DOCN^FE_ESTIMATE(EPS_GAAP,MEAN,CAL4,2026,45792,,,'')&lt;/Q&gt;&lt;R&gt;1&lt;/R&gt;&lt;C&gt;1&lt;/C&gt;&lt;D xsi:type="xsd:double"&gt;0.812169&lt;/D&gt;&lt;/FQL&gt;&lt;FQL&gt;&lt;Q&gt;DOCN^FE_ESTIMATE(EPS_GAAP,MEAN,CAL4,2025,45792,,,'')&lt;/Q&gt;&lt;R&gt;1&lt;/R&gt;&lt;C&gt;1&lt;/C&gt;&lt;D xsi:type="xsd:double"&gt;1.0700026&lt;/D&gt;&lt;/FQL&gt;&lt;FQL&gt;&lt;Q&gt;DOCN^FE_ESTIMATE(EPS_GAAP,MEAN,CAL4,2024,45792,,,'')&lt;/Q&gt;&lt;R&gt;1&lt;/R&gt;&lt;C&gt;1&lt;/C&gt;&lt;D xsi:type="xsd:double"&gt;0.87&lt;/D&gt;&lt;/FQL&gt;&lt;FQL&gt;&lt;Q&gt;DOCN^FE_ESTIMATE(EPS_GAAP,MEAN,CAL4,2023,45792,,,'')&lt;/Q&gt;&lt;R&gt;1&lt;/R&gt;&lt;C&gt;1&lt;/C&gt;&lt;D xsi:type="xsd:double"&gt;0.013333334&lt;/D&gt;&lt;/FQL&gt;&lt;FQL&gt;&lt;Q&gt;DOCN^FE_ESTIMATE(EPS_GAAP,MEAN,NTM4,,45792,,,'')&lt;/Q&gt;&lt;R&gt;1&lt;/R&gt;&lt;C&gt;1&lt;/C&gt;&lt;D xsi:type="xsd:double"&gt;0.9000595&lt;/D&gt;&lt;/FQL&gt;&lt;FQL&gt;&lt;Q&gt;DOCN^FE_ESTIMATE(EPS_GAAP,MEAN,LTM4,,45792,,,'')&lt;/Q&gt;&lt;R&gt;1&lt;/R&gt;&lt;C&gt;1&lt;/C&gt;&lt;D xsi:type="xsd:double"&gt;1.11&lt;/D&gt;&lt;/FQL&gt;&lt;FQL&gt;&lt;Q&gt;GOOG^FE_ESTIMATE(EPS_GAAP,MEAN,CALA_ROLL,2027,45792,,,'')&lt;/Q&gt;&lt;R&gt;1&lt;/R&gt;&lt;C&gt;1&lt;/C&gt;&lt;D xsi:type="xsd:double"&gt;11.717794&lt;/D&gt;&lt;/FQL&gt;&lt;FQL&gt;&lt;Q&gt;GOOG^FE_ESTIMATE(EPS_GAAP,MEAN,CAL4,2026,45792,,,'')&lt;/Q&gt;&lt;R&gt;1&lt;/R&gt;&lt;C&gt;1&lt;/C&gt;&lt;D xsi:type="xsd:double"&gt;10.08544&lt;/D&gt;&lt;/FQL&gt;&lt;FQL&gt;&lt;Q&gt;GOOG^FE_ESTIMATE(EPS_GAAP,MEAN,CAL4,2025,45792,,,'')&lt;/Q&gt;&lt;R&gt;1&lt;/R&gt;&lt;C&gt;1&lt;/C&gt;&lt;D xsi:type="xsd:double"&gt;9.641753&lt;/D&gt;&lt;/FQL&gt;&lt;FQL&gt;&lt;Q&gt;GOOG^FE_ESTIMATE(EPS_GAAP,MEAN,CAL4,2024,45792,,,'')&lt;/Q&gt;&lt;R&gt;1&lt;/R&gt;&lt;C&gt;1&lt;/C&gt;&lt;D xsi:type="xsd:double"&gt;8.05&lt;/D&gt;&lt;/FQL&gt;&lt;FQL&gt;&lt;Q&gt;GOOG^FE_ESTIMATE(EPS_GAAP,MEAN,CAL4,2023,45792,,,'')&lt;/Q&gt;&lt;R&gt;1&lt;/R&gt;&lt;C&gt;1&lt;/C&gt;&lt;D xsi:type="xsd:double"&gt;5.8&lt;/D&gt;&lt;/FQL&gt;&lt;FQL&gt;&lt;Q&gt;GOOG^FE_ESTIMATE(EPS_GAAP,MEAN,NTM4,,45792,,,'')&lt;/Q&gt;&lt;R&gt;1&lt;/R&gt;&lt;C&gt;1&lt;/C&gt;&lt;D xsi:type="xsd:double"&gt;9.174473&lt;/D&gt;&lt;/FQL&gt;&lt;FQL&gt;&lt;Q&gt;GOOG^FE_ESTIMATE(EPS_GAAP,MEAN,LTM4,,45792,,,'')&lt;/Q&gt;&lt;R&gt;1&lt;/R&gt;&lt;C&gt;1&lt;/C&gt;&lt;D xsi:type="xsd:double"&gt;8.97&lt;/D&gt;&lt;/FQL&gt;&lt;FQL&gt;&lt;Q&gt;AMZN^FE_ESTIMATE(EPS_GAAP,MEAN,CALA_ROLL,2027,45792,,,'')&lt;/Q&gt;&lt;R&gt;1&lt;/R&gt;&lt;C&gt;1&lt;/C&gt;&lt;D xsi:type="xsd:double"&gt;8.946364&lt;/D&gt;&lt;/FQL&gt;&lt;FQL&gt;&lt;Q&gt;AMZN^FE_ESTIMATE(EPS_GAAP,MEAN,CAL4,2026,45792,,,'')&lt;/Q&gt;&lt;R&gt;1&lt;/R&gt;&lt;C&gt;1&lt;/C&gt;&lt;D xsi:type="xsd:double"&gt;7.2761545&lt;/D&gt;&lt;/FQL&gt;&lt;FQL&gt;&lt;Q&gt;AMZN^FE_ESTIMATE(EPS_GAAP,MEAN,CAL4,2025,45792,,,'')&lt;/Q&gt;&lt;R&gt;1&lt;/R&gt;&lt;C&gt;1&lt;/C&gt;&lt;D xsi:type="xsd:double"&gt;6.1970367&lt;/D&gt;&lt;/FQL&gt;&lt;FQL&gt;&lt;Q&gt;AMZN^FE_ESTIMATE(EPS_GAAP,MEAN,CAL4,2024,45792,,,'')&lt;/Q&gt;&lt;R&gt;1&lt;/R&gt;&lt;C&gt;1&lt;/C&gt;&lt;D xsi:type="xsd:double"&gt;5.53&lt;/D&gt;&lt;/FQL&gt;&lt;FQL&gt;&lt;Q&gt;AMZN^FE_ESTIMATE(EPS_GAAP,MEAN,CAL4,2023,45792,,,'')&lt;/Q&gt;&lt;R&gt;1&lt;/R&gt;&lt;C&gt;1&lt;/C&gt;&lt;D xsi:type="xsd:double"&gt;2.9&lt;/D&gt;&lt;/FQL&gt;&lt;FQL&gt;&lt;Q&gt;AMZN^FE_ESTIMATE(EPS_GAAP,MEAN,NTM4,,45792,,,'')&lt;/Q&gt;&lt;R&gt;1&lt;/R&gt;&lt;C&gt;1&lt;/C&gt;&lt;D xsi:type="xsd:double"&gt;6.278169&lt;/D&gt;&lt;/FQL&gt;&lt;FQL&gt;&lt;Q&gt;AMZN^FE_ESTIMATE(EPS_GAAP,MEAN,LTM4,,45792,,,'')&lt;/Q&gt;&lt;R&gt;1&lt;/R&gt;&lt;C&gt;1&lt;/C&gt;&lt;D xsi:type="xsd:double"&gt;6.14&lt;/D&gt;&lt;/FQL&gt;&lt;FQL&gt;&lt;Q&gt;ORCL^FE_ESTIMATE(EPS_GAAP,MEAN,CALA_ROLL,2027,45792,,,'')&lt;/Q&gt;&lt;R&gt;0&lt;/R&gt;&lt;C&gt;0&lt;/C&gt;&lt;/FQL&gt;&lt;FQL&gt;&lt;Q&gt;ORCL^FE_ESTIMATE(EPS_GAAP,MEAN,CAL4,2026,45792,,,'')&lt;/Q&gt;&lt;R&gt;1&lt;/R&gt;&lt;C&gt;1&lt;/C&gt;&lt;D xsi:type="xsd:double"&gt;5.518178&lt;/D&gt;&lt;/FQL&gt;&lt;FQL&gt;&lt;Q&gt;ORCL^FE_ESTIMATE(EPS_GAAP,MEAN,CAL4,2025,45792,,,'')&lt;/Q&gt;&lt;R&gt;1&lt;/R&gt;&lt;C&gt;1&lt;/C&gt;&lt;D xsi:type="xsd:double"&gt;4.4093103&lt;/D&gt;&lt;/FQL&gt;&lt;FQL&gt;&lt;Q&gt;ORCL^FE_ESTIMATE(EPS_GAAP,MEAN,CAL4,2024,45792,,,'')&lt;/Q&gt;&lt;R&gt;1&lt;/R&gt;&lt;C&gt;1&lt;/C&gt;&lt;D xsi:type="xsd:double"&gt;4.09&lt;/D&gt;&lt;/FQL&gt;&lt;FQL&gt;&lt;Q&gt;ORCL^FE_ESTIMATE(EPS_GAAP,MEAN,CAL4,2023,45792,,,'')&lt;/Q&gt;&lt;R&gt;1&lt;/R&gt;&lt;C&gt;1&lt;/C&gt;&lt;D xsi:type="xsd:double"&gt;3.62&lt;/D&gt;&lt;/FQL&gt;&lt;FQL&gt;&lt;Q&gt;ORCL^FE_ESTIMATE(EPS_GAAP,MEAN,NTM4,,45792,,,'')&lt;/Q&gt;&lt;R&gt;1&lt;/R&gt;&lt;C&gt;1&lt;/C&gt;&lt;D xsi:type="xsd:double"&gt;4.5907345&lt;/D&gt;&lt;/FQL&gt;&lt;FQL&gt;&lt;Q&gt;ORCL^FE_ESTIMATE(EPS_GAAP,MEAN,LTM4,,45792,,,'')&lt;/Q&gt;&lt;R&gt;1&lt;/R&gt;&lt;C&gt;1&lt;/C&gt;&lt;D xsi:type="xsd:double"&gt;4.26&lt;/D&gt;&lt;/FQL&gt;&lt;FQL&gt;&lt;Q&gt;IBM^FE_ESTIMATE(EPS_GAAP,MEAN,CALA_ROLL,2027,45792,,,'')&lt;/Q&gt;&lt;R&gt;1&lt;/R&gt;&lt;C&gt;1&lt;/C&gt;&lt;D xsi:type="xsd:double"&gt;10.465&lt;/D&gt;&lt;/FQL&gt;&lt;FQL&gt;&lt;Q&gt;IBM^FE_ESTIMATE(EPS_GAAP,MEAN,CALA_ROLL,2026,45792,,,'')&lt;/Q&gt;&lt;R&gt;1&lt;/R&gt;&lt;C&gt;1&lt;/C&gt;&lt;D xsi:type="xsd:double"&gt;9.95&lt;/D&gt;&lt;/FQL&gt;&lt;FQL&gt;&lt;Q&gt;IBM^FE_ESTIMATE(EPS_GAAP,MEAN,CAL4,2025,45792,,,'')&lt;/Q&gt;&lt;R&gt;1&lt;/R&gt;&lt;C&gt;1&lt;/C&gt;&lt;D xsi:type="xsd:double"&gt;9.356667&lt;/D&gt;&lt;/FQL&gt;&lt;FQL&gt;&lt;Q&gt;IBM^FE_ESTIMATE(EPS_GAAP,MEAN,CAL4,2024,45792,,,'')&lt;/Q&gt;&lt;R&gt;1&lt;/R&gt;&lt;C&gt;1&lt;/C&gt;&lt;D xsi:type="xsd:double"&gt;6.42&lt;/D&gt;&lt;/FQL&gt;&lt;FQL&gt;&lt;Q&gt;IBM^FE_ESTIMATE(EPS_GAAP,MEAN,CAL4,2023,45792,,,'')&lt;/Q&gt;&lt;R&gt;1&lt;/R&gt;&lt;C&gt;1&lt;/C&gt;&lt;D xsi:type="xsd:double"&gt;8.14&lt;/D&gt;&lt;/FQL&gt;&lt;FQL&gt;&lt;Q&gt;IBM^FE_ESTIMATE(EPS_GAAP,MEAN,NTM4,,45792,,,'')&lt;/Q&gt;&lt;R&gt;1&lt;/R&gt;&lt;C&gt;1&lt;/C&gt;&lt;D xsi:type="xsd:double"&gt;9.456667&lt;/D&gt;&lt;/FQL&gt;&lt;FQL&gt;&lt;Q&gt;IBM^FE_ESTIMATE(EPS_GAAP,MEAN,LTM4,,45792,,,'')&lt;/Q&gt;&lt;R&gt;1&lt;/R&gt;&lt;C&gt;1&lt;/C&gt;&lt;D xsi:type="xsd:double"&gt;5.85&lt;/D&gt;&lt;/FQL&gt;&lt;FQL&gt;&lt;Q&gt;EQIX^FE_ESTIMATE(EPS_GAAP,MEAN,CALA_ROLL,2027,45792,,,'')&lt;/Q&gt;&lt;R&gt;1&lt;/R&gt;&lt;C&gt;1&lt;/C&gt;&lt;D xsi:type="xsd:double"&gt;16.983265&lt;/D&gt;&lt;/FQL&gt;&lt;FQL&gt;&lt;Q&gt;EQIX^FE_ESTIMATE(EPS_GAAP,MEAN,CAL4,2026,45792,,,'')&lt;/Q&gt;&lt;R&gt;1&lt;/R&gt;&lt;C&gt;1&lt;/C&gt;&lt;D xsi:type="xsd:double"&gt;16.116066&lt;/D&gt;&lt;/FQL&gt;&lt;FQL&gt;&lt;Q&gt;EQIX^FE_ESTIMATE(EPS_GAAP,MEAN,CAL4,2025,45792,,,'')&lt;/Q&gt;&lt;R&gt;1&lt;/R&gt;&lt;C&gt;1&lt;/C&gt;&lt;D xsi:type="xsd:double"&gt;14.370107&lt;/D&gt;&lt;/FQL&gt;&lt;FQL&gt;&lt;Q&gt;EQIX^FE_ESTIMATE(EPS_GAAP,MEAN,CAL4,2024,45792,,,'')&lt;/Q&gt;&lt;R&gt;1&lt;/R&gt;&lt;C&gt;1&lt;/C&gt;&lt;D xsi:type="xsd:double"&gt;8.55&lt;/D&gt;&lt;/FQL&gt;&lt;FQL&gt;&lt;Q&gt;EQIX^FE_ESTIMATE(EPS_GAAP,MEAN,CAL4,2023,45792,,,'')&lt;/Q&gt;&lt;R&gt;1&lt;/R&gt;&lt;C&gt;1&lt;/C&gt;&lt;D xsi:type="xsd:double"&gt;10.31&lt;/D&gt;&lt;/FQL&gt;&lt;FQL&gt;&lt;Q&gt;EQIX^FE_ESTIMATE(EPS_GAAP,MEAN,NTM4,,45792,,,'')&lt;/Q&gt;&lt;R&gt;1&lt;/R&gt;&lt;C&gt;1&lt;/C&gt;&lt;D xsi:type="xsd:double"&gt;14.687273&lt;/D&gt;&lt;/FQL&gt;&lt;FQL&gt;&lt;Q&gt;EQIX^FE_ESTIMATE(EPS_GAAP,MEAN,LTM4,,45792,,,'')&lt;/Q&gt;&lt;R&gt;1&lt;/R&gt;&lt;C&gt;1&lt;/C&gt;&lt;D xsi:type="xsd:double"&gt;9.62&lt;/D&gt;&lt;/FQL&gt;&lt;FQL&gt;&lt;Q&gt;DLR^FE_ESTIMATE(EPS_GAAP,MEAN,CALA_ROLL,2027,45792,,,'')&lt;/Q&gt;&lt;R&gt;1&lt;/R&gt;&lt;C&gt;1&lt;/C&gt;&lt;D xsi:type="xsd:double"&gt;2.0623124&lt;/D&gt;&lt;/FQL&gt;&lt;FQL&gt;&lt;Q&gt;DLR^FE_ESTIMATE(EPS_GAAP,MEAN,CAL4,2026,45792,,,'')&lt;/Q&gt;&lt;R&gt;1&lt;/R&gt;&lt;C&gt;1&lt;/C&gt;&lt;D xsi:type="xsd:double"&gt;1.5949495&lt;/D&gt;&lt;/FQL&gt;&lt;FQL&gt;&lt;Q&gt;DLR^FE_ESTIMATE(EPS_GAAP,MEAN,CAL4,2025,45792,,,'')&lt;/Q&gt;&lt;R&gt;1&lt;/R&gt;&lt;C&gt;1&lt;/C&gt;&lt;D xsi:type="xsd:double"&gt;1.4052153&lt;/D&gt;&lt;/FQL&gt;&lt;FQL&gt;&lt;Q&gt;DLR^FE_ESTIMATE(EPS_GAAP,MEAN,CAL4,2024,45792,,,'')&lt;/Q&gt;&lt;R&gt;1&lt;/R&gt;&lt;C&gt;1&lt;/C&gt;&lt;D xsi:type="xsd:double"&gt;1.649787&lt;/D&gt;&lt;/FQL&gt;&lt;FQL&gt;&lt;Q&gt;DLR^FE_ESTIMATE(EPS_GAAP,MEAN,CAL4,2023,45792,,,'')&lt;/Q&gt;&lt;R&gt;1&lt;/R&gt;&lt;C&gt;1&lt;/C&gt;&lt;D xsi:type="xsd:double"&gt;2.97&lt;/D&gt;&lt;/FQL&gt;&lt;FQL&gt;&lt;Q&gt;DLR^FE_ESTIMATE(EPS_GAAP,MEAN,NTM4,,45792,,,'')&lt;/Q&gt;&lt;R&gt;1&lt;/R&gt;&lt;C&gt;1&lt;/C&gt;&lt;D xsi:type="xsd:double"&gt;1.4979426&lt;/D&gt;&lt;/FQL&gt;&lt;FQL&gt;&lt;Q&gt;DLR^FE_ESTIMATE(EPS_GAAP,MEAN,LTM4,,45792,,,'')&lt;/Q&gt;&lt;R&gt;1&lt;/R&gt;&lt;C&gt;1&lt;/C&gt;&lt;D xsi:type="xsd:double"&gt;1.099787&lt;/D&gt;&lt;/FQL&gt;&lt;FQL&gt;&lt;Q&gt;NVDA^FE_ESTIMATE(EPS_GAAP,MEAN,CALA_ROLL,2027,45792,,,'')&lt;/Q&gt;&lt;R&gt;1&lt;/R&gt;&lt;C&gt;1&lt;/C&gt;&lt;D xsi:type="xsd:double"&gt;6.24813&lt;/D&gt;&lt;/FQL&gt;&lt;FQL&gt;&lt;Q&gt;NVDA^FE_ESTIMATE(EPS_GAAP,MEAN,CAL4,2026,45792,,,'')&lt;/Q&gt;&lt;R&gt;1&lt;/R&gt;&lt;C&gt;1&lt;/C&gt;&lt;D xsi:type="xsd:double"&gt;5.4410605&lt;/D&gt;&lt;/FQL&gt;&lt;FQL&gt;&lt;Q&gt;NVDA^FE_ESTIMATE(EPS_GAAP,MEAN,CAL4,2025,45792,,,'')&lt;/Q&gt;&lt;R&gt;1&lt;/R&gt;&lt;C&gt;1&lt;/C&gt;&lt;D xsi:type="xsd:double"&gt;4.178228&lt;/D&gt;&lt;/FQL&gt;&lt;FQL&gt;&lt;Q&gt;NVDA^FE_ESTIMATE(EPS_GAAP,MEAN,CAL4,2024,45792,,,'')&lt;/Q&gt;&lt;R&gt;1&lt;/R&gt;&lt;C&gt;1&lt;/C&gt;&lt;D xsi:type="xsd:double"&gt;2.938&lt;/D&gt;&lt;/FQL&gt;&lt;FQL&gt;&lt;Q&gt;NVDA^FE_ESTIMATE(EPS_GAAP,MEAN,CAL4,2023,45792,,,'')&lt;/Q&gt;&lt;R&gt;1&lt;/R&gt;&lt;C&gt;1&lt;/C&gt;&lt;D xsi:type="xsd:double"&gt;1.194&lt;/D&gt;&lt;/FQL&gt;&lt;FQL&gt;&lt;Q&gt;NVDA^FE_ESTIMATE(EPS_GAAP,MEAN,NTM4,,45792,,,'')&lt;/Q&gt;&lt;R&gt;1&lt;/R&gt;&lt;C&gt;1&lt;/C&gt;&lt;D xsi:type="xsd:double"&gt;4.178228&lt;/D&gt;&lt;/FQL&gt;&lt;FQL&gt;&lt;Q&gt;NVDA^FE_ESTIMATE(EPS_GAAP,MEAN,LTM4,,45792,,,'')&lt;/Q&gt;&lt;R&gt;1&lt;/R&gt;&lt;C&gt;1&lt;/C&gt;&lt;D xsi:type="xsd:double"&gt;2.938&lt;/D&gt;&lt;/FQL&gt;&lt;FQL&gt;&lt;Q&gt;MSFT^FE_ESTIMATE(EPS_GAAP,MEAN,CALA_ROLL,2027,45792,,,'')&lt;/Q&gt;&lt;R&gt;1&lt;/R&gt;&lt;C&gt;1&lt;/C&gt;&lt;D xsi:type="xsd:double"&gt;19.472876&lt;/D&gt;&lt;/FQL&gt;&lt;FQL&gt;&lt;Q&gt;MSFT^FE_ESTIMATE(EPS_GAAP,MEAN,CAL4,2026,45792,,,'')&lt;/Q&gt;&lt;R&gt;1&lt;/R&gt;&lt;C&gt;1&lt;/C&gt;&lt;D xsi:type="xsd:double"&gt;16.110157&lt;/D&gt;&lt;/FQL&gt;&lt;FQL&gt;&lt;Q&gt;MSFT^FE_ESTIMATE(EPS_GAAP,MEAN,CAL4,2025,45792,,,'')&lt;/Q&gt;&lt;R&gt;1&lt;/R&gt;&lt;C&gt;1&lt;/C&gt;&lt;D xsi:type="xsd:double"&gt;14.120187&lt;/D&gt;&lt;/FQL&gt;&lt;FQL&gt;&lt;Q&gt;MSFT^FE_ESTIMATE(EPS_GAAP,MEAN,CAL4,2024,45792,,,'')&lt;/Q&gt;&lt;R&gt;1&lt;/R&gt;&lt;C&gt;1&lt;/C&gt;&lt;D xsi:type="xsd:double"&gt;12.42&lt;/D&gt;&lt;/FQL&gt;&lt;FQL&gt;&lt;Q&gt;MSFT^FE_ESTIMATE(EPS_GAAP,MEAN,CAL4,2023,45792,,,'')&lt;/Q&gt;&lt;R&gt;1&lt;/R&gt;&lt;C&gt;1&lt;/C&gt;&lt;D xsi:type="xsd:double"&gt;11.060136&lt;/D&gt;&lt;/FQL&gt;&lt;FQL&gt;&lt;Q&gt;MSFT^FE_ESTIMATE(EPS_GAAP,MEAN,NTM4,,45792,,,'')&lt;/Q&gt;&lt;R&gt;1&lt;/R&gt;&lt;C&gt;1&lt;/C&gt;&lt;D xsi:type="xsd:double"&gt;14.452646&lt;/D&gt;&lt;/FQL&gt;&lt;FQL&gt;&lt;Q&gt;MSFT^FE_ESTIMATE(EPS_GAAP,MEAN,LTM4,,45792,,,'')&lt;/Q&gt;&lt;R&gt;1&lt;/R&gt;&lt;C&gt;1&lt;/C&gt;&lt;D xsi:type="xsd:double"&gt;12.94&lt;/D&gt;&lt;/FQL&gt;&lt;FQL&gt;&lt;Q&gt;DOCN^FE_ESTIMATE(EBITDA,MEAN,CALA_ROLL,2027,45792,,,'')&lt;/Q&gt;&lt;R&gt;1&lt;/R&gt;&lt;C&gt;1&lt;/C&gt;&lt;D xsi:type="xsd:double"&gt;480.60452&lt;/D&gt;&lt;/FQL&gt;&lt;FQL&gt;&lt;Q&gt;DOCN^FE_ESTIMATE(EBITDA,MEAN,CAL4,2026,45792,,,'')&lt;/Q&gt;&lt;R&gt;1&lt;/R&gt;&lt;C&gt;1&lt;/C&gt;&lt;D xsi:type="xsd:double"&gt;382.34726&lt;/D&gt;&lt;/FQL&gt;&lt;FQL&gt;&lt;Q&gt;DOCN^FE_ESTIMATE(EBITDA,MEAN,CAL4,2025,45792,,,'')&lt;/Q&gt;&lt;R&gt;1&lt;/R&gt;&lt;C&gt;1&lt;/C&gt;&lt;D xsi:type="xsd:double"&gt;348.36282&lt;/D&gt;&lt;/FQL&gt;&lt;FQL&gt;&lt;Q&gt;DOCN^FE_ESTIMATE(EBITDA,MEAN,CAL4,2024,45792,,,'')&lt;/Q&gt;&lt;R&gt;1&lt;/R&gt;&lt;C&gt;1&lt;/C&gt;&lt;D xsi:type="xsd:double"&gt;328.5&lt;/D&gt;&lt;/FQL&gt;&lt;FQL&gt;&lt;Q&gt;DOCN^FE_ESTIMATE(EBITDA,MEAN,CAL4,2023,45792,,,'')&lt;/Q&gt;&lt;R&gt;1&lt;/R&gt;&lt;C&gt;1&lt;/C&gt;&lt;D xsi:type="xsd:double"&gt;277.703&lt;/D&gt;&lt;/FQL&gt;&lt;FQL&gt;&lt;Q&gt;DOCN^FE_ESTIMATE(EBITDA,MEAN,NTM4,,45792,,,'')&lt;/Q&gt;&lt;R&gt;1&lt;/R&gt;&lt;C&gt;1&lt;/C&gt;&lt;D xsi:type="xsd:double"&gt;352.92377&lt;/D&gt;&lt;/FQL&gt;&lt;FQL&gt;&lt;Q&gt;DOCN^FE_ESTIMATE(EBITDA,MEAN,LTM4,,45792,,,'')&lt;/Q&gt;&lt;R&gt;1&lt;/R&gt;&lt;C&gt;1&lt;/C&gt;&lt;D xsi:type="xsd:double"&gt;340.46&lt;/D&gt;&lt;/FQL&gt;&lt;FQL&gt;&lt;Q&gt;GOOG^FE_ESTIMATE(EBITDA,MEAN,CALA_ROLL,2027,45792,,,'')&lt;/Q&gt;&lt;R&gt;1&lt;/R&gt;&lt;C&gt;1&lt;/C&gt;&lt;D xsi:type="xsd:double"&gt;221697.14&lt;/D&gt;&lt;/FQL&gt;&lt;FQL&gt;&lt;Q&gt;GOOG^FE_ESTIMATE(EBITDA,MEAN,CAL4,2026,45792,,,'')&lt;/Q&gt;&lt;R&gt;1&lt;/R&gt;&lt;C&gt;1&lt;/C&gt;&lt;D xsi:type="xsd:double"&gt;193755.86&lt;/D&gt;&lt;/FQL&gt;&lt;FQL&gt;&lt;Q&gt;GOOG^FE_ESTIMATE(EBITDA,MEAN,CAL4,2025,45792,,,'')&lt;/Q&gt;&lt;R&gt;1&lt;/R&gt;&lt;C&gt;1&lt;/C&gt;&lt;D xsi:type="xsd:double"&gt;172835.92&lt;/D&gt;&lt;/FQL&gt;&lt;FQL&gt;&lt;Q&gt;GOOG^FE_ESTIMATE(EBITDA,MEAN,CAL4,2024,45792,,,'')&lt;/Q&gt;&lt;R&gt;1&lt;/R&gt;&lt;C&gt;1&lt;/C&gt;&lt;D xsi:type="xsd:double"&gt;150907.6&lt;/D&gt;&lt;/FQL&gt;&lt;FQL&gt;&lt;Q&gt;GOOG^FE_ESTIMATE(EBITDA,MEAN,CAL4,2023,45792,,,'')&lt;/Q&gt;&lt;R&gt;1&lt;/R&gt;&lt;C&gt;1&lt;/C&gt;&lt;D xsi:type="xsd:double"&gt;122063.59&lt;/D&gt;&lt;/FQL&gt;&lt;FQL&gt;&lt;Q&gt;GOOG^FE_ESTIMATE(EBITDA,MEAN,NTM4,,45792,,,'')&lt;/Q&gt;&lt;R&gt;1&lt;/R&gt;&lt;C&gt;1&lt;/C&gt;&lt;D xsi:type="xsd:double"&gt;177119.2&lt;/D&gt;&lt;/FQL&gt;&lt;FQL&gt;&lt;Q&gt;GOOG^FE_ESTIMATE(EBITDA,MEAN,LTM4,,45792,,,'')&lt;/Q&gt;&lt;R&gt;1&lt;/R&gt;&lt;C&gt;1&lt;/C&gt;&lt;D xsi:type="xsd:double"&gt;157125.11&lt;/D&gt;&lt;/FQL&gt;&lt;FQL&gt;&lt;Q&gt;AMZN^FE_ESTIMATE(EBITDA,MEAN,CALA_ROLL,2027,45792,,,'')&lt;/Q&gt;&lt;R&gt;1&lt;/R&gt;&lt;C&gt;1&lt;/C&gt;&lt;D xsi:type="xsd:double"&gt;228128.61&lt;/D&gt;&lt;/FQL&gt;&lt;FQL&gt;&lt;Q&gt;AMZN^FE_ESTIMATE(EBITDA,MEAN,CAL4,2026,45792,,,'')&lt;/Q&gt;&lt;R&gt;1&lt;/R&gt;&lt;C&gt;1&lt;/C&gt;&lt;D xsi:type="xsd:double"&gt;191004.83&lt;/D&gt;&lt;/FQL&gt;&lt;FQL&gt;&lt;Q&gt;AMZN^FE_ESTIMATE(EBITDA,MEAN,CAL4,2025,45792,,,'')&lt;/Q&gt;&lt;R&gt;1&lt;/R&gt;&lt;C&gt;1&lt;/C&gt;&lt;D xsi:type="xsd:double"&gt;160752.16&lt;/D&gt;&lt;/FQL&gt;&lt;FQL&gt;&lt;Q&gt;AMZN^FE_ESTIMATE(EBITDA,MEAN,CAL4,2024,45792,,,'')&lt;/Q&gt;&lt;R&gt;1&lt;/R&gt;&lt;C&gt;1&lt;/C&gt;&lt;D xsi:type="xsd:double"&gt;143476.78&lt;/D&gt;&lt;/FQL&gt;&lt;FQL&gt;&lt;Q&gt;AMZN^FE_ESTIMATE(EBITDA,MEAN,CAL4,2023,45792,,,'')&lt;/Q&gt;&lt;R&gt;1&lt;/R&gt;&lt;C&gt;1&lt;/C&gt;&lt;D xsi:type="xsd:double"&gt;109513.47&lt;/D&gt;&lt;/FQL&gt;&lt;FQL&gt;&lt;Q&gt;AMZN^FE_ESTIMATE(EBITDA,MEAN,NTM4,,45792,,,'')&lt;/Q&gt;&lt;R&gt;1&lt;/R&gt;&lt;C&gt;1&lt;/C&gt;&lt;D xsi:type="xsd:double"&gt;167440.28&lt;/D&gt;&lt;/FQL&gt;&lt;FQL&gt;&lt;Q&gt;AMZN^FE_ESTIMATE(EBITDA,MEAN,LTM4,,45792,,,'')&lt;/Q&gt;&lt;R&gt;1&lt;/R&gt;&lt;C&gt;1&lt;/C&gt;&lt;D xsi:type="xsd:double"&gt;147798.55&lt;/D&gt;&lt;/FQL&gt;&lt;FQL&gt;&lt;Q&gt;ORCL^FE_ESTIMATE(EBITDA,MEAN,CALA_ROLL,2027,45792,,,'')&lt;/Q&gt;&lt;R&gt;1&lt;/R&gt;&lt;C&gt;1&lt;/C&gt;&lt;D xsi:type="xsd:double"&gt;48005.266&lt;/D&gt;&lt;/FQL&gt;&lt;FQL&gt;&lt;Q&gt;ORCL^FE_ESTIMATE(EBITDA,MEAN,CAL4,2026,45792,,,'')&lt;/Q&gt;&lt;R&gt;1&lt;/R&gt;&lt;C&gt;1&lt;/C&gt;&lt;D xsi:type="xsd:double"&gt;37318.008&lt;/D&gt;&lt;/FQL&gt;&lt;FQL&gt;&lt;Q&gt;ORCL^FE_ESTIMATE(EBITDA,MEAN,CAL4,2025,45792,,,'')&lt;/Q&gt;&lt;R&gt;1&lt;/R&gt;&lt;C&gt;1&lt;/C&gt;&lt;D xsi:type="xsd:double"&gt;32108.611&lt;/D&gt;&lt;/FQL&gt;&lt;FQL&gt;&lt;Q&gt;ORCL^FE_ESTIMATE(EBITDA,MEAN,CAL4,2024,45792,,,'')&lt;/Q&gt;&lt;R&gt;1&lt;/R&gt;&lt;C&gt;1&lt;/C&gt;&lt;D xsi:type="xsd:double"&gt;29480.475&lt;/D&gt;&lt;/FQL&gt;&lt;FQL&gt;&lt;Q&gt;ORCL^FE_ESTIMATE(EBITDA,MEAN,CAL4,2023,45792,,,'')&lt;/Q&gt;&lt;R&gt;1&lt;/R&gt;&lt;C&gt;1&lt;/C&gt;&lt;D xsi:type="xsd:double"&gt;27439.04&lt;/D&gt;&lt;/FQL&gt;&lt;FQL&gt;&lt;Q&gt;ORCL^FE_ESTIMATE(EBITDA,MEAN,NTM4,,45792,,,'')&lt;/Q&gt;&lt;R&gt;1&lt;/R&gt;&lt;C&gt;1&lt;/C&gt;&lt;D xsi:type="xsd:double"&gt;32945.83&lt;/D&gt;&lt;/FQL&gt;&lt;FQL&gt;&lt;Q&gt;ORCL^FE_ESTIMATE(EBITDA,MEAN,LTM4,,45792,,,'')&lt;/Q&gt;&lt;R&gt;1&lt;/R&gt;&lt;C&gt;1&lt;/C&gt;&lt;D xsi:type="xsd:double"&gt;29877.475&lt;/D&gt;&lt;/FQL&gt;&lt;FQL&gt;&lt;Q&gt;IBM^FE_ESTIMATE(EBITDA,MEAN,CALA_ROLL,2027,45792,,,'')&lt;/Q&gt;&lt;R&gt;1&lt;/R&gt;&lt;C&gt;1&lt;/C&gt;&lt;D xsi:type="xsd:double"&gt;19032.281&lt;/D&gt;&lt;/FQL&gt;&lt;FQL&gt;&lt;Q&gt;IBM^FE_ESTIMATE(EBITDA,MEAN,CAL4,2026,45792,,,'')&lt;/Q&gt;&lt;R&gt;1&lt;/R&gt;&lt;C&gt;1&lt;/C&gt;&lt;D xsi:type="xsd:double"&gt;18751.89&lt;/D&gt;&lt;/FQL&gt;&lt;FQL&gt;&lt;Q&gt;IBM^FE_ESTIMATE(EBITDA,MEAN,CAL4,2025,45792,,,'')&lt;/Q&gt;&lt;R&gt;1&lt;/R&gt;&lt;C&gt;1&lt;/C&gt;&lt;D xsi:type="xsd:double"&gt;17721.059&lt;/D&gt;&lt;/FQL&gt;&lt;FQL&gt;&lt;Q&gt;IBM^FE_ESTIMATE(EBITDA,MEAN,CAL4,2024,45792,,,'')&lt;/Q&gt;&lt;R&gt;1&lt;/R&gt;&lt;C&gt;1&lt;/C&gt;&lt;D xsi:type="xsd:double"&gt;15966&lt;/D&gt;&lt;/FQL&gt;&lt;FQL&gt;&lt;Q&gt;IBM^FE_ESTIMATE(EBITDA,MEAN,CAL4,2023,45792,,,'')&lt;/Q&gt;&lt;R&gt;1&lt;/R&gt;&lt;C&gt;1&lt;/C&gt;&lt;D xsi:type="xsd:double"&gt;14568.502&lt;/D&gt;&lt;/FQL&gt;&lt;FQL&gt;&lt;Q&gt;IBM^FE_ESTIMATE(EBITDA,MEAN,NTM4,,45792,,,'')&lt;/Q&gt;&lt;R&gt;1&lt;/R&gt;&lt;C&gt;1&lt;/C&gt;&lt;D xsi:type="xsd:double"&gt;17931.662&lt;/D&gt;&lt;/FQL&gt;&lt;FQL&gt;&lt;Q&gt;IBM^FE_ESTIMATE(EBITDA,MEAN,LTM4,,45792,,,'')&lt;/Q&gt;&lt;R&gt;1&lt;/R&gt;&lt;C&gt;1&lt;/C&gt;&lt;D xsi:type="xsd:double"&gt;16594.8&lt;/D&gt;&lt;/FQL&gt;&lt;FQL&gt;&lt;Q&gt;EQIX^FE_ESTIMATE(EBITDA,MEAN,CALA_ROLL,2027,45792,,,'')&lt;/Q&gt;&lt;R&gt;1&lt;/R&gt;&lt;C&gt;1&lt;/C&gt;&lt;D xsi:type="xsd:double"&gt;5462.2153&lt;/D&gt;&lt;/FQL&gt;&lt;FQL&gt;&lt;Q&gt;EQIX^FE_ESTIMATE(EBITDA,MEAN,CAL4,2026,45792,,,'')&lt;/Q&gt;&lt;R&gt;1&lt;/R&gt;&lt;C&gt;1&lt;/C&gt;&lt;D xsi:type="xsd:double"&gt;5007.6963&lt;/D&gt;&lt;/FQL&gt;&lt;FQL&gt;&lt;Q&gt;EQIX^FE_ESTIMATE(EBITDA,MEAN,CAL4,2025,45792,,,'')&lt;/Q&gt;&lt;R&gt;1&lt;/R&gt;&lt;C&gt;1&lt;/C&gt;&lt;D xsi:type="xsd:double"&gt;4505.5454&lt;/D&gt;&lt;/FQL&gt;&lt;FQL&gt;&lt;Q&gt;EQIX^FE_ESTIMATE(EBITDA,MEAN,CAL4,2024,45792,,,'')&lt;/Q&gt;&lt;R&gt;1&lt;/R&gt;&lt;C&gt;1&lt;/C&gt;&lt;D xsi:type="xsd:double"&gt;4097&lt;/D&gt;&lt;/FQL&gt;&lt;FQL&gt;&lt;Q&gt;EQIX^FE_ESTIMATE(EBITDA,MEAN,CAL4,2023,45792,,,'')&lt;/Q&gt;&lt;R&gt;1&lt;/R&gt;&lt;C&gt;1&lt;/C&gt;&lt;D xsi:type="xsd:double"&gt;3701.841&lt;/D&gt;&lt;/FQL&gt;&lt;FQL&gt;&lt;Q&gt;EQIX^FE_ESTIMATE(EBITDA,MEAN,NTM4,,45792,,,'')&lt;/Q&gt;&lt;R&gt;1&lt;/R&gt;&lt;C&gt;1&lt;/C&gt;&lt;D xsi:type="xsd:double"&gt;4627.6694&lt;/D&gt;&lt;/FQL&gt;&lt;FQL&gt;&lt;Q&gt;EQIX^FE_ESTIMATE(EBITDA,MEAN,LTM4,,45792,,,'')&lt;/Q&gt;&lt;R&gt;1&lt;/R&gt;&lt;C&gt;1&lt;/C&gt;&lt;D xsi:type="xsd:double"&gt;4172&lt;/D&gt;&lt;/FQL&gt;&lt;FQL&gt;&lt;Q&gt;DLR^FE_ESTIMATE(EBITDA,MEAN,CALA_ROLL,2027,45792,,,'')&lt;/Q&gt;&lt;R&gt;1&lt;/R&gt;&lt;C&gt;1&lt;/C&gt;&lt;D xsi:type="xsd:double"&gt;3954.5789&lt;/D&gt;&lt;/FQL&gt;&lt;FQL&gt;&lt;Q&gt;DLR^FE_ESTIMATE(EBITDA,MEAN,CAL4,2026,45792,,,'')&lt;/Q&gt;&lt;R&gt;1&lt;/R&gt;&lt;C&gt;1&lt;/C&gt;&lt;D xsi:type="xsd:double"&gt;3450.4812&lt;/D&gt;&lt;/FQL&gt;&lt;FQL&gt;&lt;Q&gt;DLR^FE_ESTIMATE(EBITDA,MEAN,CAL4,2025,45792,,,'')&lt;/Q&gt;&lt;R&gt;1&lt;/R&gt;&lt;C&gt;1&lt;/C&gt;&lt;D xsi:type="xsd:double"&gt;3179.8728&lt;/D&gt;&lt;/FQL&gt;&lt;FQL&gt;&lt;Q&gt;DLR^FE_ESTIMATE(EBITDA,MEAN,CAL4,2024,45792,,,'')&lt;/Q&gt;&lt;R&gt;1&lt;/R&gt;&lt;C&gt;1&lt;/C&gt;&lt;D xsi:type="xsd:double"&gt;2947.002&lt;/D&gt;&lt;/FQL&gt;&lt;FQL&gt;&lt;Q&gt;DLR^FE_ESTIMATE(EBITDA,MEAN,CAL4,2023,45792,,,'')&lt;/Q&gt;&lt;R&gt;1&lt;/R&gt;&lt;C&gt;1&lt;/C&gt;&lt;D xsi:type="xsd:double"&gt;2750.256&lt;/D&gt;&lt;/FQL&gt;&lt;FQL&gt;&lt;Q&gt;DLR^FE_ESTIMATE(EBITDA,MEAN,NTM4,,45792,,,'')&lt;/Q&gt;&lt;R&gt;1&lt;/R&gt;&lt;C&gt;1&lt;/C&gt;&lt;D xsi:type="xsd:double"&gt;3221.5059&lt;/D&gt;&lt;/FQL&gt;&lt;FQL&gt;&lt;Q&gt;DLR^FE_ESTIMATE(EBITDA,MEAN,LTM4,,45792,,,'')&lt;/Q&gt;&lt;R&gt;1&lt;/R&gt;&lt;C&gt;1&lt;/C&gt;&lt;D xsi:type="xsd:double"&gt;3027.602&lt;/D&gt;&lt;/FQL&gt;&lt;FQL&gt;&lt;Q&gt;NVDA^FE_ESTIMATE(EBITDA,MEAN,CALA_ROLL,2027,45792,,,'')&lt;/Q&gt;&lt;R&gt;1&lt;/R&gt;&lt;C&gt;1&lt;/C&gt;&lt;D xsi:type="xsd:double"&gt;182068.92&lt;/D&gt;&lt;/FQL&gt;&lt;FQL&gt;&lt;Q&gt;NVDA^FE_ESTIMATE(EBITDA,MEAN,CAL4,2026,45792,,,'')&lt;/Q&gt;&lt;R&gt;1&lt;/R&gt;&lt;C&gt;1&lt;/C&gt;&lt;D xsi:type="xsd:double"&gt;170011.64&lt;/D&gt;&lt;/FQL&gt;&lt;FQL&gt;&lt;Q&gt;NVDA^FE_ESTIMATE(EBITDA,MEAN,CAL4,2025,45792,,,'')&lt;/Q&gt;&lt;R&gt;1&lt;/R&gt;&lt;C&gt;1&lt;/C&gt;&lt;D xsi:type="xsd:double"&gt;128115.09&lt;/D&gt;&lt;/FQL&gt;&lt;FQL&gt;&lt;Q&gt;NVDA^FE_ESTIMATE(EBITDA,MEAN,CAL4,2024,45792,,,'')&lt;/Q&gt;&lt;R&gt;1&lt;/R&gt;&lt;C&gt;1&lt;/C&gt;&lt;D xsi:type="xsd:double"&gt;87908.51&lt;/D&gt;&lt;/FQL&gt;&lt;FQL&gt;&lt;Q&gt;NVDA^FE_ESTIMATE(EBITDA,MEAN,CAL4,2023,45792,,,'')&lt;/Q&gt;&lt;R&gt;1&lt;/R&gt;&lt;C&gt;1&lt;/C&gt;&lt;D xsi:type="xsd:double"&gt;37642.035&lt;/D&gt;&lt;/FQL&gt;&lt;FQL&gt;&lt;Q&gt;NVDA^FE_ESTIMATE(EBITDA,MEAN,NTM4,,45792,,,'')&lt;/Q&gt;&lt;R&gt;1&lt;/R&gt;&lt;C&gt;1&lt;/C&gt;&lt;D xsi:type="xsd:double"&gt;128115.09&lt;/D&gt;&lt;/FQL&gt;&lt;FQL&gt;&lt;Q&gt;NVDA^FE_ESTIMATE(EBITDA,MEAN,LTM4,,45792,,,'')&lt;/Q&gt;&lt;R&gt;1&lt;/R&gt;&lt;C&gt;1&lt;/C&gt;&lt;D xsi:type="xsd:double"&gt;87908.51&lt;/D&gt;&lt;/FQL&gt;&lt;FQL&gt;&lt;Q&gt;MSFT^FE_ESTIMATE(EBITDA,MEAN,CALA_ROLL,2027,45792,,,'')&lt;/Q&gt;&lt;R&gt;1&lt;/R&gt;&lt;C&gt;1&lt;/C&gt;&lt;D xsi:type="xsd:double"&gt;218369.03&lt;/D&gt;&lt;/FQL&gt;&lt;FQL&gt;&lt;Q&gt;MSFT^FE_ESTIMATE(EBITDA,MEAN,CAL4,2026,45792,,,'')&lt;/Q&gt;&lt;R&gt;1&lt;/R&gt;&lt;C&gt;1&lt;/C&gt;&lt;D xsi:type="xsd:double"&gt;192507.92&lt;/D&gt;&lt;/FQL&gt;&lt;FQL&gt;&lt;Q&gt;MSFT^FE_ESTIMATE(EBITDA,MEAN,CAL4,2025,45792,,,'')&lt;/Q&gt;&lt;R&gt;1&lt;/R&gt;&lt;C&gt;1&lt;/C&gt;&lt;D xsi:type="xsd:double"&gt;168470.17&lt;/D&gt;&lt;/FQL&gt;&lt;FQL&gt;&lt;Q&gt;MSFT^FE_ESTIMATE(EBITDA,MEAN,CAL4,2024,45792,,,'')&lt;/Q&gt;&lt;R&gt;1&lt;/R&gt;&lt;C&gt;1&lt;/C&gt;&lt;D xsi:type="xsd:double"&gt;145924.3&lt;/D&gt;&lt;/FQL&gt;&lt;FQL&gt;&lt;Q&gt;MSFT^FE_ESTIMATE(EBITDA,MEAN,CAL4,2023,45792,,,'')&lt;/Q&gt;&lt;R&gt;1&lt;/R&gt;&lt;C&gt;1&lt;/C&gt;&lt;D xsi:type="xsd:double"&gt;119708.5&lt;/D&gt;&lt;/FQL&gt;&lt;FQL&gt;&lt;Q&gt;MSFT^FE_ESTIMATE(EBITDA,MEAN,NTM4,,45792,,,'')&lt;/Q&gt;&lt;R&gt;1&lt;/R&gt;&lt;C&gt;1&lt;/C&gt;&lt;D xsi:type="xsd:double"&gt;173144.64&lt;/D&gt;&lt;/FQL&gt;&lt;FQL&gt;&lt;Q&gt;MSFT^FE_ESTIMATE(EBITDA,MEAN,LTM4,,45792,,,'')&lt;/Q&gt;&lt;R&gt;1&lt;/R&gt;&lt;C&gt;1&lt;/C&gt;&lt;D xsi:type="xsd:double"&gt;152954.55&lt;/D&gt;&lt;/FQL&gt;&lt;FQL&gt;&lt;Q&gt;AVT^FE_ESTIMATE(EBITDA,MEAN,CAL4,2027,45792,,,'')&lt;/Q&gt;&lt;R&gt;1&lt;/R&gt;&lt;C&gt;1&lt;/C&gt;&lt;D xsi:type="xsd:double"&gt;1037&lt;/D&gt;&lt;/FQL&gt;&lt;FQL&gt;&lt;Q&gt;AVT^FE_ESTIMATE(EBITDA,MEAN,CAL4,2026,45792,,,'')&lt;/Q&gt;&lt;R&gt;1&lt;/R&gt;&lt;C&gt;1&lt;/C&gt;&lt;D xsi:type="xsd:double"&gt;968.0013&lt;/D&gt;&lt;/FQL&gt;&lt;FQL&gt;&lt;Q&gt;AVT^FE_ESTIMATE(EBITDA,MEAN,CAL4,2025,45792,,,'')&lt;/Q&gt;&lt;R&gt;1&lt;/R&gt;&lt;C&gt;1&lt;/C&gt;&lt;D xsi:type="xsd:double"&gt;739.7664&lt;/D&gt;&lt;/FQL&gt;&lt;FQL&gt;&lt;Q&gt;AVT^FE_ESTIMATE(EBITDA,MEAN,CAL4,2024,45792,,,'')&lt;/Q&gt;&lt;R&gt;1&lt;/R&gt;&lt;C&gt;1&lt;/C&gt;&lt;D xsi:type="xsd:double"&gt;813.0833&lt;/D&gt;&lt;/FQL&gt;&lt;FQL&gt;&lt;Q&gt;AVT^FE_ESTIMATE(EBITDA,MEAN,CAL4,2023,45792,,,'')&lt;/Q&gt;&lt;R&gt;1&lt;/R&gt;&lt;C&gt;1&lt;/C&gt;&lt;D xsi:type="xsd:double"&gt;1230.6333&lt;/D&gt;&lt;/FQL&gt;&lt;FQL&gt;&lt;Q&gt;AVT^FE_ESTIMATE(EBITDA,MEAN,NTM4,,45792,,,'')&lt;/Q&gt;&lt;R&gt;1&lt;/R&gt;&lt;C&gt;1&lt;/C&gt;&lt;D xsi:type="xsd:double"&gt;809.6677&lt;/D&gt;&lt;/FQL&gt;&lt;FQL&gt;&lt;Q&gt;AVT^FE_ESTIMATE(EBITDA,MEAN,LTM4,,45792,,,'')&lt;/Q&gt;&lt;R&gt;1&lt;/R&gt;&lt;C&gt;1&lt;/C&gt;&lt;D xsi:type="xsd:double"&gt;753.13336&lt;/D&gt;&lt;/FQL&gt;&lt;FQL&gt;&lt;Q&gt;ARW^FE_ESTIMATE(EBITDA,MEAN,CALA_ROLL,2027,45792,,,'')&lt;/Q&gt;&lt;R&gt;1&lt;/R&gt;&lt;C&gt;1&lt;/C&gt;&lt;D xsi:type="xsd:double"&gt;1654&lt;/D&gt;&lt;/FQL&gt;&lt;FQL&gt;&lt;Q&gt;ARW^FE_ESTIMATE(EBITDA,MEAN,CAL4,2026,45792,,,'')&lt;/Q&gt;&lt;R&gt;1&lt;/R&gt;&lt;C&gt;1&lt;/C&gt;&lt;D xsi:type="xsd:double"&gt;1430.3&lt;/D&gt;&lt;/FQL&gt;&lt;FQL&gt;&lt;Q&gt;ARW^FE_ESTIMATE(EBITDA,MEAN,CAL4,2025,45792,,,'')&lt;/Q&gt;&lt;R&gt;1&lt;/R&gt;&lt;C&gt;1&lt;/C&gt;&lt;D xsi:type="xsd:double"&gt;1107.3228&lt;/D&gt;&lt;/FQL&gt;&lt;FQL&gt;&lt;Q&gt;ARW^FE_ESTIMATE(EBITDA,MEAN,CAL4,2024,45792,,,'')&lt;/Q&gt;&lt;R&gt;1&lt;/R&gt;&lt;C&gt;1&lt;/C&gt;&lt;D xsi:type="xsd:double"&gt;1151.0667&lt;/D&gt;&lt;/FQL&gt;&lt;FQL&gt;&lt;Q&gt;ARW^FE_ESTIMATE(EBITDA,MEAN,CAL4,2023,45792,,,'')&lt;/Q&gt;&lt;R&gt;1&lt;/R&gt;&lt;C&gt;1&lt;/C&gt;&lt;D xsi:type="xsd:double"&gt;1749.7667&lt;/D&gt;&lt;/FQL&gt;&lt;FQL&gt;&lt;Q&gt;ARW^FE_ESTIMATE(EBITDA,MEAN,NTM4,,45792,,,'')&lt;/Q&gt;&lt;R&gt;1&lt;/R&gt;&lt;C&gt;1&lt;/C&gt;&lt;D xsi:type="xsd:double"&gt;1205.5228&lt;/D&gt;&lt;/FQL&gt;&lt;FQL&gt;&lt;Q&gt;ARW^FE_ESTIMATE(EBITDA,MEAN,LTM4,,45792,,,'')&lt;/Q&gt;&lt;R&gt;1&lt;/R&gt;&lt;C&gt;1&lt;/C&gt;&lt;D xsi:type="xsd:double"&gt;1074.1167&lt;/D&gt;&lt;/FQL&gt;&lt;FQL&gt;&lt;Q&gt;SNX^FE_ESTIMATE(EBITDA,MEAN,CAL4,2027,45792,,,'')&lt;/Q&gt;&lt;R&gt;1&lt;/R&gt;&lt;C&gt;1&lt;/C&gt;&lt;D xsi:type="xsd:double"&gt;1957.8336&lt;/D&gt;&lt;/FQL&gt;&lt;FQL&gt;&lt;Q&gt;SNX^FE_ESTIMATE(EBITDA,MEAN,CAL4,2026,45792,,,'')&lt;/Q&gt;&lt;R&gt;1&lt;/R&gt;&lt;C&gt;1&lt;/C&gt;&lt;D xsi:type="xsd:double"&gt;1824.969&lt;/D&gt;&lt;/FQL&gt;&lt;FQL&gt;&lt;Q&gt;SNX^FE_ESTIMATE(EBITDA,MEAN,CAL4,2025,45792,,,'')&lt;/Q&gt;&lt;R&gt;1&lt;/R&gt;&lt;C&gt;1&lt;/C&gt;&lt;D xsi:type="xsd:double"&gt;1744.052&lt;/D&gt;&lt;/FQL&gt;&lt;FQL&gt;&lt;Q&gt;SNX^FE_ESTIMATE(EBITDA,MEAN,CAL4,2024,45792,,,'')&lt;/Q&gt;&lt;R&gt;1&lt;/R&gt;&lt;C&gt;1&lt;/C&gt;&lt;D xsi:type="xsd:double"&gt;1739.1866&lt;/D&gt;&lt;/FQL&gt;&lt;FQL&gt;&lt;Q&gt;SNX^FE_ESTIMATE(EBITDA,MEAN,CAL4,2023,45792,,,'')&lt;/Q&gt;&lt;R&gt;1&lt;/R&gt;&lt;C&gt;1&lt;/C&gt;&lt;D xsi:type="xsd:double"&gt;1753.0847&lt;/D&gt;&lt;/FQL&gt;&lt;FQL&gt;&lt;Q&gt;SNX^FE_ESTIMATE(EBITDA,MEAN,NTM4,,45792,,,'')&lt;/Q&gt;&lt;R&gt;1&lt;/R&gt;&lt;C&gt;1&lt;/C&gt;&lt;D xsi:type="xsd:double"&gt;1759.4127&lt;/D&gt;&lt;/FQL&gt;&lt;FQL&gt;&lt;Q&gt;SNX^FE_ESTIMATE(EBITDA,MEAN,LTM4,,45792,,,'')&lt;/Q&gt;&lt;R&gt;1&lt;/R&gt;&lt;C&gt;1&lt;/C&gt;&lt;D xsi:type="xsd:double"&gt;1713.641&lt;/D&gt;&lt;/FQL&gt;&lt;FQL&gt;&lt;Q&gt;CDW^FE_ESTIMATE(EBITDA,MEAN,CALA_ROLL,2027,45792,,,'')&lt;/Q&gt;&lt;R&gt;1&lt;/R&gt;&lt;C&gt;1&lt;/C&gt;&lt;D xsi:type="xsd:double"&gt;2355.6655&lt;/D&gt;&lt;/FQL&gt;&lt;FQL&gt;&lt;Q&gt;CDW^FE_ESTIMATE(EBITDA,MEAN,CAL4,2026,45792,,,'')&lt;/Q&gt;&lt;R&gt;1&lt;/R&gt;&lt;C&gt;1&lt;/C&gt;&lt;D xsi:type="xsd:double"&gt;2326.8574&lt;/D&gt;&lt;/FQL&gt;&lt;FQL&gt;&lt;Q&gt;CDW^FE_ESTIMATE(EBITDA,MEAN,CAL4,2025,45792,,,'')&lt;/Q&gt;&lt;R&gt;1&lt;/R&gt;&lt;C&gt;1&lt;/C&gt;&lt;D xsi:type="xsd:double"&gt;2135.229&lt;/D&gt;&lt;/FQL&gt;&lt;FQL&gt;&lt;Q&gt;CDW^FE_ESTIMATE(EBITDA,MEAN,CAL4,2024,45792,,,'')&lt;/Q&gt;&lt;R&gt;1&lt;/R&gt;&lt;C&gt;1&lt;/C&gt;&lt;D xsi:type="xsd:double"&gt;2122.4346&lt;/D&gt;&lt;/FQL&gt;&lt;FQL&gt;&lt;Q&gt;CDW^FE_ESTIMATE(EBITDA,MEAN,CAL4,2023,45792,,,'')&lt;/Q&gt;&lt;R&gt;1&lt;/R&gt;&lt;C&gt;1&lt;/C&gt;&lt;D xsi:type="xsd:double"&gt;2175.6484&lt;/D&gt;&lt;/FQL&gt;&lt;FQL&gt;&lt;Q&gt;CDW^FE_ESTIMATE(EBITDA,MEAN,NTM4,,45792,,,'')&lt;/Q&gt;&lt;R&gt;1&lt;/R&gt;&lt;C&gt;1&lt;/C&gt;&lt;D xsi:type="xsd:double"&gt;2152.9358&lt;/D&gt;&lt;/FQL&gt;&lt;FQL&gt;&lt;Q&gt;CDW^FE_ESTIMATE(EBITDA,MEAN,LTM4,,45792,,,'')&lt;/Q&gt;&lt;R&gt;1&lt;/R&gt;&lt;C&gt;1&lt;/C&gt;&lt;D xsi:type="xsd:double"&gt;2172.3796&lt;/D&gt;&lt;/FQL&gt;&lt;FQL&gt;&lt;Q&gt;INGM^FE_ESTIMATE(EBITDA,MEAN,CALA_ROLL,2027,45792,,,'')&lt;/Q&gt;&lt;R&gt;1&lt;/R&gt;&lt;C&gt;1&lt;/C&gt;&lt;D xsi:type="xsd:double"&gt;1530.7545&lt;/D&gt;&lt;/FQL&gt;&lt;FQL&gt;&lt;Q&gt;INGM^FE_ESTIMATE(EBITDA,MEAN,CAL4,2026,45792,,,'')&lt;/Q&gt;&lt;R&gt;1&lt;/R&gt;&lt;C&gt;1&lt;/C&gt;&lt;D xsi:type="xsd:double"&gt;1434.6821&lt;/D&gt;&lt;/FQL&gt;&lt;FQL&gt;&lt;Q&gt;INGM^FE_ESTIMATE(EBITDA,MEAN,CAL4,2025,45792,,,'')&lt;/Q&gt;&lt;R&gt;1&lt;/R&gt;&lt;C&gt;1&lt;/C&gt;&lt;D xsi:type="xsd:double"&gt;1307.9941&lt;/D&gt;&lt;/FQL&gt;&lt;FQL&gt;&lt;Q&gt;INGM^FE_ESTIMATE(EBITDA,MEAN,CAL4,2024,45792,,,'')&lt;/Q&gt;&lt;R&gt;0&lt;/R&gt;&lt;C&gt;0&lt;/C&gt;&lt;/FQL&gt;&lt;FQL&gt;&lt;Q&gt;INGM^FE_ESTIMATE(EBITDA,MEAN,CAL4,2023,45792,,,'')&lt;/Q&gt;&lt;R&gt;0&lt;/R&gt;&lt;C&gt;0&lt;/C&gt;&lt;/FQL&gt;&lt;FQL&gt;&lt;Q&gt;INGM^FE_ESTIMATE(EBITDA,MEAN,NTM4,,45792,,,'')&lt;/Q&gt;&lt;R&gt;1&lt;/R&gt;&lt;C&gt;1&lt;/C&gt;&lt;D xsi:type="xsd:double"&gt;1330.6033&lt;/D&gt;&lt;/FQL&gt;&lt;FQL&gt;&lt;Q&gt;INGM^FE_ESTIMATE(EBITDA,MEAN,LTM4,,45792,,,'')&lt;/Q&gt;&lt;R&gt;1&lt;/R&gt;&lt;C&gt;1&lt;/C&gt;&lt;D xsi:type="xsd:double"&gt;1310.949&lt;/D&gt;&lt;/FQL&gt;&lt;FQL&gt;&lt;Q&gt;AVT^FE_ESTIMATE(EBIT,MEAN,CAL4,2027,45792,,,'')&lt;/Q&gt;&lt;R&gt;1&lt;/R&gt;&lt;C&gt;1&lt;/C&gt;&lt;D xsi:type="xsd:double"&gt;960&lt;/D&gt;&lt;/FQL&gt;&lt;FQL&gt;&lt;Q&gt;AVT^FE_ESTIMATE(EBIT,MEAN,CAL4,2026,45792,,,'')&lt;/Q&gt;&lt;R&gt;1&lt;/R&gt;&lt;C&gt;1&lt;/C&gt;&lt;D xsi:type="xsd:double"&gt;837.5791&lt;/D&gt;&lt;/FQL&gt;&lt;FQL&gt;&lt;Q&gt;AVT^FE_ESTIMATE(EBIT,MEAN,CAL4,2025,45792,,,'')&lt;/Q&gt;&lt;R&gt;1&lt;/R&gt;&lt;C&gt;1&lt;/C&gt;&lt;D xsi:type="xsd:double"&gt;655.9686&lt;/D&gt;&lt;/FQL&gt;&lt;FQL&gt;&lt;Q&gt;AVT^FE_ESTIMATE(EBIT,MEAN,CAL4,2024,45792,,,'')&lt;/Q&gt;&lt;R&gt;1&lt;/R&gt;&lt;C&gt;1&lt;/C&gt;&lt;D xsi:type="xsd:double"&gt;724.5228&lt;/D&gt;&lt;/FQL&gt;&lt;FQL&gt;&lt;Q&gt;AVT^FE_ESTIMATE(EBIT,MEAN,CAL4,2023,45792,,,'')&lt;/Q&gt;&lt;R&gt;1&lt;/R&gt;&lt;C&gt;1&lt;/C&gt;&lt;D xsi:type="xsd:double"&gt;1131.8362&lt;/D&gt;&lt;/FQL&gt;&lt;FQL&gt;&lt;Q&gt;AVT^FE_ESTIMATE(EBIT,MEAN,NTM4,,45792,,,'')&lt;/Q&gt;&lt;R&gt;1&lt;/R&gt;&lt;C&gt;1&lt;/C&gt;&lt;D xsi:type="xsd:double"&gt;714.9727&lt;/D&gt;&lt;/FQL&gt;&lt;FQL&gt;&lt;Q&gt;AVT^FE_ESTIMATE(EBIT,MEAN,LTM4,,45792,,,'')&lt;/Q&gt;&lt;R&gt;1&lt;/R&gt;&lt;C&gt;1&lt;/C&gt;&lt;D xsi:type="xsd:double"&gt;674.5711&lt;/D&gt;&lt;/FQL&gt;&lt;FQL&gt;&lt;Q&gt;ARW^FE_ESTIMATE(EBIT,MEAN,CALA_ROLL,2027,45792,,,'')&lt;/Q&gt;&lt;R&gt;1&lt;/R&gt;&lt;C&gt;1&lt;/C&gt;&lt;D xsi:type="xsd:double"&gt;1510&lt;/D&gt;&lt;/FQL&gt;&lt;FQL&gt;&lt;Q&gt;ARW^FE_ESTIMATE(EBIT,MEAN,CAL4,2026,45792,,,'')&lt;/Q&gt;&lt;R&gt;1&lt;/R&gt;&lt;C&gt;1&lt;/C&gt;&lt;D xsi:type="xsd:double"&gt;1232.2&lt;/D&gt;&lt;/FQL&gt;&lt;FQL&gt;&lt;Q&gt;ARW^FE_ESTIMATE(EBIT,MEAN,CAL4,2025,45792,,,'')&lt;/Q&gt;&lt;R&gt;1&lt;/R&gt;&lt;C&gt;1&lt;/C&gt;&lt;D xsi:type="xsd:double"&gt;948.80365&lt;/D&gt;&lt;/FQL&gt;&lt;FQL&gt;&lt;Q&gt;ARW^FE_ESTIMATE(EBIT,MEAN,CAL4,2024,45792,,,'')&lt;/Q&gt;&lt;R&gt;1&lt;/R&gt;&lt;C&gt;1&lt;/C&gt;&lt;D xsi:type="xsd:double"&gt;1001.7478&lt;/</t>
        </r>
      </text>
    </comment>
    <comment ref="A8" authorId="0" shapeId="0" xr:uid="{BB13370B-2F58-4A28-80F0-0CED40B25652}">
      <text>
        <r>
          <rPr>
            <b/>
            <sz val="9"/>
            <color indexed="81"/>
            <rFont val="Tahoma"/>
            <charset val="1"/>
          </rPr>
          <t>D&gt;&lt;/FQL&gt;&lt;FQL&gt;&lt;Q&gt;ARW^FE_ESTIMATE(EBIT,MEAN,CAL4,2023,45792,,,'')&lt;/Q&gt;&lt;R&gt;1&lt;/R&gt;&lt;C&gt;1&lt;/C&gt;&lt;D xsi:type="xsd:double"&gt;1584.7036&lt;/D&gt;&lt;/FQL&gt;&lt;FQL&gt;&lt;Q&gt;ARW^FE_ESTIMATE(EBIT,MEAN,NTM4,,45792,,,'')&lt;/Q&gt;&lt;R&gt;1&lt;/R&gt;&lt;C&gt;1&lt;/C&gt;&lt;D xsi:type="xsd:double"&gt;1029.3704&lt;/D&gt;&lt;/FQL&gt;&lt;FQL&gt;&lt;Q&gt;ARW^FE_ESTIMATE(EBIT,MEAN,LTM4,,45792,,,'')&lt;/Q&gt;&lt;R&gt;1&lt;/R&gt;&lt;C&gt;1&lt;/C&gt;&lt;D xsi:type="xsd:double"&gt;929.7848&lt;/D&gt;&lt;/FQL&gt;&lt;FQL&gt;&lt;Q&gt;SNX^FE_ESTIMATE(EBIT,MEAN,CAL4,2027,45792,,,'')&lt;/Q&gt;&lt;R&gt;1&lt;/R&gt;&lt;C&gt;1&lt;/C&gt;&lt;D xsi:type="xsd:double"&gt;1803.3328&lt;/D&gt;&lt;/FQL&gt;&lt;FQL&gt;&lt;Q&gt;SNX^FE_ESTIMATE(EBIT,MEAN,CAL4,2026,45792,,,'')&lt;/Q&gt;&lt;R&gt;1&lt;/R&gt;&lt;C&gt;1&lt;/C&gt;&lt;D xsi:type="xsd:double"&gt;1701.1714&lt;/D&gt;&lt;/FQL&gt;&lt;FQL&gt;&lt;Q&gt;SNX^FE_ESTIMATE(EBIT,MEAN,CAL4,2025,45792,,,'')&lt;/Q&gt;&lt;R&gt;1&lt;/R&gt;&lt;C&gt;1&lt;/C&gt;&lt;D xsi:type="xsd:double"&gt;1626.6837&lt;/D&gt;&lt;/FQL&gt;&lt;FQL&gt;&lt;Q&gt;SNX^FE_ESTIMATE(EBIT,MEAN,CAL4,2024,45792,,,'')&lt;/Q&gt;&lt;R&gt;1&lt;/R&gt;&lt;C&gt;1&lt;/C&gt;&lt;D xsi:type="xsd:double"&gt;1621.3727&lt;/D&gt;&lt;/FQL&gt;&lt;FQL&gt;&lt;Q&gt;SNX^FE_ESTIMATE(EBIT,MEAN,CAL4,2023,45792,,,'')&lt;/Q&gt;&lt;R&gt;1&lt;/R&gt;&lt;C&gt;1&lt;/C&gt;&lt;D xsi:type="xsd:double"&gt;1636.843&lt;/D&gt;&lt;/FQL&gt;&lt;FQL&gt;&lt;Q&gt;SNX^FE_ESTIMATE(EBIT,MEAN,NTM4,,45792,,,'')&lt;/Q&gt;&lt;R&gt;1&lt;/R&gt;&lt;C&gt;1&lt;/C&gt;&lt;D xsi:type="xsd:double"&gt;1640.8334&lt;/D&gt;&lt;/FQL&gt;&lt;FQL&gt;&lt;Q&gt;SNX^FE_ESTIMATE(EBIT,MEAN,LTM4,,45792,,,'')&lt;/Q&gt;&lt;R&gt;1&lt;/R&gt;&lt;C&gt;1&lt;/C&gt;&lt;D xsi:type="xsd:double"&gt;1597.6228&lt;/D&gt;&lt;/FQL&gt;&lt;FQL&gt;&lt;Q&gt;CDW^FE_ESTIMATE(EBIT,MEAN,CALA_ROLL,2027,45792,,,'')&lt;/Q&gt;&lt;R&gt;1&lt;/R&gt;&lt;C&gt;1&lt;/C&gt;&lt;D xsi:type="xsd:double"&gt;2241.289&lt;/D&gt;&lt;/FQL&gt;&lt;FQL&gt;&lt;Q&gt;CDW^FE_ESTIMATE(EBIT,MEAN,CAL4,2026,45792,,,'')&lt;/Q&gt;&lt;R&gt;1&lt;/R&gt;&lt;C&gt;1&lt;/C&gt;&lt;D xsi:type="xsd:double"&gt;2064.8567&lt;/D&gt;&lt;/FQL&gt;&lt;FQL&gt;&lt;Q&gt;CDW^FE_ESTIMATE(EBIT,MEAN,CAL4,2025,45792,,,'')&lt;/Q&gt;&lt;R&gt;1&lt;/R&gt;&lt;C&gt;1&lt;/C&gt;&lt;D xsi:type="xsd:double"&gt;1972.8344&lt;/D&gt;&lt;/FQL&gt;&lt;FQL&gt;&lt;Q&gt;CDW^FE_ESTIMATE(EBIT,MEAN,CAL4,2024,45792,,,'')&lt;/Q&gt;&lt;R&gt;1&lt;/R&gt;&lt;C&gt;1&lt;/C&gt;&lt;D xsi:type="xsd:double"&gt;1952.63&lt;/D&gt;&lt;/FQL&gt;&lt;FQL&gt;&lt;Q&gt;CDW^FE_ESTIMATE(EBIT,MEAN,CAL4,2023,45792,,,'')&lt;/Q&gt;&lt;R&gt;1&lt;/R&gt;&lt;C&gt;1&lt;/C&gt;&lt;D xsi:type="xsd:double"&gt;2025.8167&lt;/D&gt;&lt;/FQL&gt;&lt;FQL&gt;&lt;Q&gt;CDW^FE_ESTIMATE(EBIT,MEAN,NTM4,,45792,,,'')&lt;/Q&gt;&lt;R&gt;1&lt;/R&gt;&lt;C&gt;1&lt;/C&gt;&lt;D xsi:type="xsd:double"&gt;1973.6393&lt;/D&gt;&lt;/FQL&gt;&lt;FQL&gt;&lt;Q&gt;CDW^FE_ESTIMATE(EBIT,MEAN,LTM4,,45792,,,'')&lt;/Q&gt;&lt;R&gt;1&lt;/R&gt;&lt;C&gt;1&lt;/C&gt;&lt;D xsi:type="xsd:double"&gt;1987.45&lt;/D&gt;&lt;/FQL&gt;&lt;FQL&gt;&lt;Q&gt;INGM^FE_ESTIMATE(EBIT,MEAN,CALA_ROLL,2027,45792,,,'')&lt;/Q&gt;&lt;R&gt;1&lt;/R&gt;&lt;C&gt;1&lt;/C&gt;&lt;D xsi:type="xsd:double"&gt;1318.9088&lt;/D&gt;&lt;/FQL&gt;&lt;FQL&gt;&lt;Q&gt;INGM^FE_ESTIMATE(EBIT,MEAN,CAL4,2026,45792,,,'')&lt;/Q&gt;&lt;R&gt;1&lt;/R&gt;&lt;C&gt;1&lt;/C&gt;&lt;D xsi:type="xsd:double"&gt;1185.6525&lt;/D&gt;&lt;/FQL&gt;&lt;FQL&gt;&lt;Q&gt;INGM^FE_ESTIMATE(EBIT,MEAN,CAL4,2025,45792,,,'')&lt;/Q&gt;&lt;R&gt;1&lt;/R&gt;&lt;C&gt;1&lt;/C&gt;&lt;D xsi:type="xsd:double"&gt;1029.8007&lt;/D&gt;&lt;/FQL&gt;&lt;FQL&gt;&lt;Q&gt;INGM^FE_ESTIMATE(EBIT,MEAN,CAL4,2024,45792,,,'')&lt;/Q&gt;&lt;R&gt;0&lt;/R&gt;&lt;C&gt;0&lt;/C&gt;&lt;/FQL&gt;&lt;FQL&gt;&lt;Q&gt;INGM^FE_ESTIMATE(EBIT,MEAN,CAL4,2023,45792,,,'')&lt;/Q&gt;&lt;R&gt;0&lt;/R&gt;&lt;C&gt;0&lt;/C&gt;&lt;/FQL&gt;&lt;FQL&gt;&lt;Q&gt;INGM^FE_ESTIMATE(EBIT,MEAN,NTM4,,45792,,,'')&lt;/Q&gt;&lt;R&gt;1&lt;/R&gt;&lt;C&gt;1&lt;/C&gt;&lt;D xsi:type="xsd:double"&gt;1066.6002&lt;/D&gt;&lt;/FQL&gt;&lt;FQL&gt;&lt;Q&gt;INGM^FE_ESTIMATE(EBIT,MEAN,LTM4,,45792,,,'')&lt;/Q&gt;&lt;R&gt;1&lt;/R&gt;&lt;C&gt;1&lt;/C&gt;&lt;D xsi:type="xsd:double"&gt;999.8683&lt;/D&gt;&lt;/FQL&gt;&lt;FQL&gt;&lt;Q&gt;DOCN^FE_ESTIMATE(EBIT,MEAN,CALA_ROLL,2027,45792,,,'')&lt;/Q&gt;&lt;R&gt;1&lt;/R&gt;&lt;C&gt;1&lt;/C&gt;&lt;D xsi:type="xsd:double"&gt;345.8445&lt;/D&gt;&lt;/FQL&gt;&lt;FQL&gt;&lt;Q&gt;DOCN^FE_ESTIMATE(EBIT,MEAN,CAL4,2026,45792,,,'')&lt;/Q&gt;&lt;R&gt;1&lt;/R&gt;&lt;C&gt;1&lt;/C&gt;&lt;D xsi:type="xsd:double"&gt;279.2518&lt;/D&gt;&lt;/FQL&gt;&lt;FQL&gt;&lt;Q&gt;DOCN^FE_ESTIMATE(EBIT,MEAN,CAL4,2025,45792,,,'')&lt;/Q&gt;&lt;R&gt;1&lt;/R&gt;&lt;C&gt;1&lt;/C&gt;&lt;D xsi:type="xsd:double"&gt;238.89233&lt;/D&gt;&lt;/FQL&gt;&lt;FQL&gt;&lt;Q&gt;DOCN^FE_ESTIMATE(EBIT,MEAN,CAL4,2024,45792,,,'')&lt;/Q&gt;&lt;R&gt;1&lt;/R&gt;&lt;C&gt;1&lt;/C&gt;&lt;D xsi:type="xsd:double"&gt;183.90977&lt;/D&gt;&lt;/FQL&gt;&lt;FQL&gt;&lt;Q&gt;DOCN^FE_ESTIMATE(EBIT,MEAN,CAL4,2023,45792,,,'')&lt;/Q&gt;&lt;R&gt;1&lt;/R&gt;&lt;C&gt;1&lt;/C&gt;&lt;D xsi:type="xsd:double"&gt;159.31778&lt;/D&gt;&lt;/FQL&gt;&lt;FQL&gt;&lt;Q&gt;DOCN^FE_ESTIMATE(EBIT,MEAN,NTM4,,45792,,,'')&lt;/Q&gt;&lt;R&gt;1&lt;/R&gt;&lt;C&gt;1&lt;/C&gt;&lt;D xsi:type="xsd:double"&gt;242.44157&lt;/D&gt;&lt;/FQL&gt;&lt;FQL&gt;&lt;Q&gt;DOCN^FE_ESTIMATE(EBIT,MEAN,LTM4,,45792,,,'')&lt;/Q&gt;&lt;R&gt;1&lt;/R&gt;&lt;C&gt;1&lt;/C&gt;&lt;D xsi:type="xsd:double"&gt;234.63228&lt;/D&gt;&lt;/FQL&gt;&lt;FQL&gt;&lt;Q&gt;GOOG^FE_ESTIMATE(EBIT,MEAN,CALA_ROLL,2027,45792,,,'')&lt;/Q&gt;&lt;R&gt;1&lt;/R&gt;&lt;C&gt;1&lt;/C&gt;&lt;D xsi:type="xsd:double"&gt;158884.05&lt;/D&gt;&lt;/FQL&gt;&lt;FQL&gt;&lt;Q&gt;GOOG^FE_ESTIMATE(EBIT,MEAN,CAL4,2026,45792,,,'')&lt;/Q&gt;&lt;R&gt;1&lt;/R&gt;&lt;C&gt;1&lt;/C&gt;&lt;D xsi:type="xsd:double"&gt;141208.98&lt;/D&gt;&lt;/FQL&gt;&lt;FQL&gt;&lt;Q&gt;GOOG^FE_ESTIMATE(EBIT,MEAN,CAL4,2025,45792,,,'')&lt;/Q&gt;&lt;R&gt;1&lt;/R&gt;&lt;C&gt;1&lt;/C&gt;&lt;D xsi:type="xsd:double"&gt;127696.36&lt;/D&gt;&lt;/FQL&gt;&lt;FQL&gt;&lt;Q&gt;GOOG^FE_ESTIMATE(EBIT,MEAN,CAL4,2024,45792,,,'')&lt;/Q&gt;&lt;R&gt;1&lt;/R&gt;&lt;C&gt;1&lt;/C&gt;&lt;D xsi:type="xsd:double"&gt;112401.06&lt;/D&gt;&lt;/FQL&gt;&lt;FQL&gt;&lt;Q&gt;GOOG^FE_ESTIMATE(EBIT,MEAN,CAL4,2023,45792,,,'')&lt;/Q&gt;&lt;R&gt;1&lt;/R&gt;&lt;C&gt;1&lt;/C&gt;&lt;D xsi:type="xsd:double"&gt;84280.03&lt;/D&gt;&lt;/FQL&gt;&lt;FQL&gt;&lt;Q&gt;GOOG^FE_ESTIMATE(EBIT,MEAN,NTM4,,45792,,,'')&lt;/Q&gt;&lt;R&gt;1&lt;/R&gt;&lt;C&gt;1&lt;/C&gt;&lt;D xsi:type="xsd:double"&gt;130239.9&lt;/D&gt;&lt;/FQL&gt;&lt;FQL&gt;&lt;Q&gt;GOOG^FE_ESTIMATE(EBIT,MEAN,LTM4,,45792,,,'')&lt;/Q&gt;&lt;R&gt;1&lt;/R&gt;&lt;C&gt;1&lt;/C&gt;&lt;D xsi:type="xsd:double"&gt;117541.336&lt;/D&gt;&lt;/FQL&gt;&lt;FQL&gt;&lt;Q&gt;AMZN^FE_ESTIMATE(EBIT,MEAN,CALA_ROLL,2027,45792,,,'')&lt;/Q&gt;&lt;R&gt;1&lt;/R&gt;&lt;C&gt;1&lt;/C&gt;&lt;D xsi:type="xsd:double"&gt;117535.17&lt;/D&gt;&lt;/FQL&gt;&lt;FQL&gt;&lt;Q&gt;AMZN^FE_ESTIMATE(EBIT,MEAN,CAL4,2026,45792,,,'')&lt;/Q&gt;&lt;R&gt;1&lt;/R&gt;&lt;C&gt;1&lt;/C&gt;&lt;D xsi:type="xsd:double"&gt;93898.2&lt;/D&gt;&lt;/FQL&gt;&lt;FQL&gt;&lt;Q&gt;AMZN^FE_ESTIMATE(EBIT,MEAN,CAL4,2025,45792,,,'')&lt;/Q&gt;&lt;R&gt;1&lt;/R&gt;&lt;C&gt;1&lt;/C&gt;&lt;D xsi:type="xsd:double"&gt;77787.086&lt;/D&gt;&lt;/FQL&gt;&lt;FQL&gt;&lt;Q&gt;AMZN^FE_ESTIMATE(EBIT,MEAN,CAL4,2024,45792,,,'')&lt;/Q&gt;&lt;R&gt;1&lt;/R&gt;&lt;C&gt;1&lt;/C&gt;&lt;D xsi:type="xsd:double"&gt;68593&lt;/D&gt;&lt;/FQL&gt;&lt;FQL&gt;&lt;Q&gt;AMZN^FE_ESTIMATE(EBIT,MEAN,CAL4,2023,45792,,,'')&lt;/Q&gt;&lt;R&gt;1&lt;/R&gt;&lt;C&gt;1&lt;/C&gt;&lt;D xsi:type="xsd:double"&gt;36852&lt;/D&gt;&lt;/FQL&gt;&lt;FQL&gt;&lt;Q&gt;AMZN^FE_ESTIMATE(EBIT,MEAN,NTM4,,45792,,,'')&lt;/Q&gt;&lt;R&gt;1&lt;/R&gt;&lt;C&gt;1&lt;/C&gt;&lt;D xsi:type="xsd:double"&gt;80923.914&lt;/D&gt;&lt;/FQL&gt;&lt;FQL&gt;&lt;Q&gt;AMZN^FE_ESTIMATE(EBIT,MEAN,LTM4,,45792,,,'')&lt;/Q&gt;&lt;R&gt;1&lt;/R&gt;&lt;C&gt;1&lt;/C&gt;&lt;D xsi:type="xsd:double"&gt;71691&lt;/D&gt;&lt;/FQL&gt;&lt;FQL&gt;&lt;Q&gt;ORCL^FE_ESTIMATE(EBIT,MEAN,CALA_ROLL,2027,45792,,,'')&lt;/Q&gt;&lt;R&gt;1&lt;/R&gt;&lt;C&gt;1&lt;/C&gt;&lt;D xsi:type="xsd:double"&gt;38548.934&lt;/D&gt;&lt;/FQL&gt;&lt;FQL&gt;&lt;Q&gt;ORCL^FE_ESTIMATE(EBIT,MEAN,CAL4,2026,45792,,,'')&lt;/Q&gt;&lt;R&gt;1&lt;/R&gt;&lt;C&gt;1&lt;/C&gt;&lt;D xsi:type="xsd:double"&gt;29855.717&lt;/D&gt;&lt;/FQL&gt;&lt;FQL&gt;&lt;Q&gt;ORCL^FE_ESTIMATE(EBIT,MEAN,CAL4,2025,45792,,,'')&lt;/Q&gt;&lt;R&gt;1&lt;/R&gt;&lt;C&gt;1&lt;/C&gt;&lt;D xsi:type="xsd:double"&gt;25860.418&lt;/D&gt;&lt;/FQL&gt;&lt;FQL&gt;&lt;Q&gt;ORCL^FE_ESTIMATE(EBIT,MEAN,CAL4,2024,45792,,,'')&lt;/Q&gt;&lt;R&gt;1&lt;/R&gt;&lt;C&gt;1&lt;/C&gt;&lt;D xsi:type="xsd:double"&gt;24264.9&lt;/D&gt;&lt;/FQL&gt;&lt;FQL&gt;&lt;Q&gt;ORCL^FE_ESTIMATE(EBIT,MEAN,CAL4,2023,45792,,,'')&lt;/Q&gt;&lt;R&gt;1&lt;/R&gt;&lt;C&gt;1&lt;/C&gt;&lt;D xsi:type="xsd:double"&gt;21846.732&lt;/D&gt;&lt;/FQL&gt;&lt;FQL&gt;&lt;Q&gt;ORCL^FE_ESTIMATE(EBIT,MEAN,NTM4,,45792,,,'')&lt;/Q&gt;&lt;R&gt;1&lt;/R&gt;&lt;C&gt;1&lt;/C&gt;&lt;D xsi:type="xsd:double"&gt;26531.547&lt;/D&gt;&lt;/FQL&gt;&lt;FQL&gt;&lt;Q&gt;ORCL^FE_ESTIMATE(EBIT,MEAN,LTM4,,45792,,,'')&lt;/Q&gt;&lt;R&gt;1&lt;/R&gt;&lt;C&gt;1&lt;/C&gt;&lt;D xsi:type="xsd:double"&gt;24667.912&lt;/D&gt;&lt;/FQL&gt;&lt;FQL&gt;&lt;Q&gt;IBM^FE_ESTIMATE(EBIT,MEAN,CALA_ROLL,2027,45792,,,'')&lt;/Q&gt;&lt;R&gt;1&lt;/R&gt;&lt;C&gt;1&lt;/C&gt;&lt;D xsi:type="xsd:double"&gt;14651.625&lt;/D&gt;&lt;/FQL&gt;&lt;FQL&gt;&lt;Q&gt;IBM^FE_ESTIMATE(EBIT,MEAN,CAL4,2026,45792,,,'')&lt;/Q&gt;&lt;R&gt;1&lt;/R&gt;&lt;C&gt;1&lt;/C&gt;&lt;D xsi:type="xsd:double"&gt;13518.99&lt;/D&gt;&lt;/FQL&gt;&lt;FQL&gt;&lt;Q&gt;IBM^FE_ESTIMATE(EBIT,MEAN,CAL4,2025,45792,,,'')&lt;/Q&gt;&lt;R&gt;1&lt;/R&gt;&lt;C&gt;1&lt;/C&gt;&lt;D xsi:type="xsd:double"&gt;12490.616&lt;/D&gt;&lt;/FQL&gt;&lt;FQL&gt;&lt;Q&gt;IBM^FE_ESTIMATE(EBIT,MEAN,CAL4,2024,45792,,,'')&lt;/Q&gt;&lt;R&gt;1&lt;/R&gt;&lt;C&gt;1&lt;/C&gt;&lt;D xsi:type="xsd:double"&gt;11312.172&lt;/D&gt;&lt;/FQL&gt;&lt;FQL&gt;&lt;Q&gt;IBM^FE_ESTIMATE(EBIT,MEAN,CAL4,2023,45792,,,'')&lt;/Q&gt;&lt;R&gt;1&lt;/R&gt;&lt;C&gt;1&lt;/C&gt;&lt;D xsi:type="xsd:double"&gt;10434.986&lt;/D&gt;&lt;/FQL&gt;&lt;FQL&gt;&lt;Q&gt;IBM^FE_ESTIMATE(EBIT,MEAN,NTM4,,45792,,,'')&lt;/Q&gt;&lt;R&gt;1&lt;/R&gt;&lt;C&gt;1&lt;/C&gt;&lt;D xsi:type="xsd:double"&gt;12941.918&lt;/D&gt;&lt;/FQL&gt;&lt;FQL&gt;&lt;Q&gt;IBM^FE_ESTIMATE(EBIT,MEAN,LTM4,,45792,,,'')&lt;/Q&gt;&lt;R&gt;1&lt;/R&gt;&lt;C&gt;1&lt;/C&gt;&lt;D xsi:type="xsd:double"&gt;11561.45&lt;/D&gt;&lt;/FQL&gt;&lt;FQL&gt;&lt;Q&gt;EQIX^FE_ESTIMATE(EBIT,MEAN,CALA_ROLL,2027,45792,,,'')&lt;/Q&gt;&lt;R&gt;1&lt;/R&gt;&lt;C&gt;1&lt;/C&gt;&lt;D xsi:type="xsd:double"&gt;2599.6619&lt;/D&gt;&lt;/FQL&gt;&lt;FQL&gt;&lt;Q&gt;EQIX^FE_ESTIMATE(EBIT,MEAN,CAL4,2026,45792,,,'')&lt;/Q&gt;&lt;R&gt;1&lt;/R&gt;&lt;C&gt;1&lt;/C&gt;&lt;D xsi:type="xsd:double"&gt;2295.4004&lt;/D&gt;&lt;/FQL&gt;&lt;FQL&gt;&lt;Q&gt;EQIX^FE_ESTIMATE(EBIT,MEAN,CAL4,2025,45792,,,'')&lt;/Q&gt;&lt;R&gt;1&lt;/R&gt;&lt;C&gt;1&lt;/C&gt;&lt;D xsi:type="xsd:double"&gt;2005.615&lt;/D&gt;&lt;/FQL&gt;&lt;FQL&gt;&lt;Q&gt;EQIX^FE_ESTIMATE(EBIT,MEAN,CAL4,2024,45792,,,'')&lt;/Q&gt;&lt;R&gt;1&lt;/R&gt;&lt;C&gt;1&lt;/C&gt;&lt;D xsi:type="xsd:double"&gt;1699.9778&lt;/D&gt;&lt;/FQL&gt;&lt;FQL&gt;&lt;Q&gt;EQIX^FE_ESTIMATE(EBIT,MEAN,CAL4,2023,45792,,,'')&lt;/Q&gt;&lt;R&gt;1&lt;/R&gt;&lt;C&gt;1&lt;/C&gt;&lt;D xsi:type="xsd:double"&gt;1442.8859&lt;/D&gt;&lt;/FQL&gt;&lt;FQL&gt;&lt;Q&gt;EQIX^FE_ESTIMATE(EBIT,MEAN,NTM4,,45792,,,'')&lt;/Q&gt;&lt;R&gt;1&lt;/R&gt;&lt;C&gt;1&lt;/C&gt;&lt;D xsi:type="xsd:double"&gt;2098.413&lt;/D&gt;&lt;/FQL&gt;&lt;FQL&gt;&lt;Q&gt;EQIX^FE_ESTIMATE(EBIT,MEAN,LTM4,,45792,,,'')&lt;/Q&gt;&lt;R&gt;1&lt;/R&gt;&lt;C&gt;1&lt;/C&gt;&lt;D xsi:type="xsd:double"&gt;1797.3516&lt;/D&gt;&lt;/FQL&gt;&lt;FQL&gt;&lt;Q&gt;DLR^FE_ESTIMATE(EBIT,MEAN,CALA_ROLL,2027,45792,,,'')&lt;/Q&gt;&lt;R&gt;1&lt;/R&gt;&lt;C&gt;1&lt;/C&gt;&lt;D xsi:type="xsd:double"&gt;1386.1025&lt;/D&gt;&lt;/FQL&gt;&lt;FQL&gt;&lt;Q&gt;DLR^FE_ESTIMATE(EBIT,MEAN,CAL4,2026,45792,,,'')&lt;/Q&gt;&lt;R&gt;1&lt;/R&gt;&lt;C&gt;1&lt;/C&gt;&lt;D xsi:type="xsd:double"&gt;1099.8975&lt;/D&gt;&lt;/FQL&gt;&lt;FQL&gt;&lt;Q&gt;DLR^FE_ESTIMATE(EBIT,MEAN,CAL4,2025,45792,,,'')&lt;/Q&gt;&lt;R&gt;1&lt;/R&gt;&lt;C&gt;1&lt;/C&gt;&lt;D xsi:type="xsd:double"&gt;926.58453&lt;/D&gt;&lt;/FQL&gt;&lt;FQL&gt;&lt;Q&gt;DLR^FE_ESTIMATE(EBIT,MEAN,CAL4,2024,45792,,,'')&lt;/Q&gt;&lt;R&gt;1&lt;/R&gt;&lt;C&gt;1&lt;/C&gt;&lt;D xsi:type="xsd:double"&gt;484.77356&lt;/D&gt;&lt;/FQL&gt;&lt;FQL&gt;&lt;Q&gt;DLR^FE_ESTIMATE(EBIT,MEAN,CAL4,2023,45792,,,'')&lt;/Q&gt;&lt;R&gt;1&lt;/R&gt;&lt;C&gt;1&lt;/C&gt;&lt;D xsi:type="xsd:double"&gt;524.37494&lt;/D&gt;&lt;/FQL&gt;&lt;FQL&gt;&lt;Q&gt;DLR^FE_ESTIMATE(EBIT,MEAN,NTM4,,45792,,,'')&lt;/Q&gt;&lt;R&gt;1&lt;/R&gt;&lt;C&gt;1&lt;/C&gt;&lt;D xsi:type="xsd:double"&gt;1008.72504&lt;/D&gt;&lt;/FQL&gt;&lt;FQL&gt;&lt;Q&gt;DLR^FE_ESTIMATE(EBIT,MEAN,LTM4,,45792,,,'')&lt;/Q&gt;&lt;R&gt;1&lt;/R&gt;&lt;C&gt;1&lt;/C&gt;&lt;D xsi:type="xsd:double"&gt;518.2276&lt;/D&gt;&lt;/FQL&gt;&lt;FQL&gt;&lt;Q&gt;NVDA^FE_ESTIMATE(EBIT,MEAN,CALA_ROLL,2027,45792,,,'')&lt;/Q&gt;&lt;R&gt;1&lt;/R&gt;&lt;C&gt;1&lt;/C&gt;&lt;D xsi:type="xsd:double"&gt;181698.83&lt;/D&gt;&lt;/FQL&gt;&lt;FQL&gt;&lt;Q&gt;NVDA^FE_ESTIMATE(EBIT,MEAN,CAL4,2026,45792,,,'')&lt;/Q&gt;&lt;R&gt;1&lt;/R&gt;&lt;C&gt;1&lt;/C&gt;&lt;D xsi:type="xsd:double"&gt;160785.72&lt;/D&gt;&lt;/FQL&gt;&lt;FQL&gt;&lt;Q&gt;NVDA^FE_ESTIMATE(EBIT,MEAN,CAL4,2025,45792,,,'')&lt;/Q&gt;&lt;R&gt;1&lt;/R&gt;&lt;C&gt;1&lt;/C&gt;&lt;D xsi:type="xsd:double"&gt;126681.086&lt;/D&gt;&lt;/FQL&gt;&lt;FQL&gt;&lt;Q&gt;NVDA^FE_ESTIMATE(EBIT,MEAN,CAL4,2024,45792,,,'')&lt;/Q&gt;&lt;R&gt;1&lt;/R&gt;&lt;C&gt;1&lt;/C&gt;&lt;D xsi:type="xsd:double"&gt;86543.16&lt;/D&gt;&lt;/FQL&gt;&lt;FQL&gt;&lt;Q&gt;NVDA^FE_ESTIMATE(EBIT,MEAN,CAL4,2023,45792,,,'')&lt;/Q&gt;&lt;R&gt;1&lt;/R&gt;&lt;C&gt;1&lt;/C&gt;&lt;D xsi:type="xsd:double"&gt;37133.996&lt;/D&gt;&lt;/FQL&gt;&lt;FQL&gt;&lt;Q&gt;NVDA^FE_ESTIMATE(EBIT,MEAN,NTM4,,45792,,,'')&lt;/Q&gt;&lt;R&gt;1&lt;/R&gt;&lt;C&gt;1&lt;/C&gt;&lt;D xsi:type="xsd:double"&gt;126681.086&lt;/D&gt;&lt;/FQL&gt;&lt;FQL&gt;&lt;Q&gt;NVDA^FE_ESTIMATE(EBIT,MEAN,LTM4,,45792,,,'')&lt;/Q&gt;&lt;R&gt;1&lt;/R&gt;&lt;C&gt;1&lt;/C&gt;&lt;D xsi:type="xsd:double"&gt;86543.16&lt;/D&gt;&lt;/FQL&gt;&lt;FQL&gt;&lt;Q&gt;MSFT^FE_ESTIMATE(EBIT,MEAN,CALA_ROLL,2027,45792,,,'')&lt;/Q&gt;&lt;R&gt;1&lt;/R&gt;&lt;C&gt;1&lt;/C&gt;&lt;D xsi:type="xsd:double"&gt;175862.34&lt;/D&gt;&lt;/FQL&gt;&lt;FQL&gt;&lt;Q&gt;MSFT^FE_ESTIMATE(EBIT,MEAN,CAL4,2026,45792,,,'')&lt;/Q&gt;&lt;R&gt;1&lt;/R&gt;&lt;C&gt;1&lt;/C&gt;&lt;D xsi:type="xsd:double"&gt;151112.78&lt;/D&gt;&lt;/FQL&gt;&lt;FQL&gt;&lt;Q&gt;MSFT^FE_ESTIMATE(EBIT,MEAN,CAL4,2025,45792,,,'')&lt;/Q&gt;&lt;R&gt;1&lt;/R&gt;&lt;C&gt;1&lt;/C&gt;&lt;D xsi:type="xsd:double"&gt;133347.2&lt;/D&gt;&lt;/FQL&gt;&lt;FQL&gt;&lt;Q&gt;MSFT^FE_ESTIMATE(EBIT,MEAN,CAL4,2024,45792,,,'')&lt;/Q&gt;&lt;R&gt;1&lt;/R&gt;&lt;C&gt;1&lt;/C&gt;&lt;D xsi:type="xsd:double"&gt;117698.59&lt;/D&gt;&lt;/FQL&gt;&lt;FQL&gt;&lt;Q&gt;MSFT^FE_ESTIMATE(EBIT,MEAN,CAL4,2023,45792,,,'')&lt;/Q&gt;&lt;R&gt;1&lt;/R&gt;&lt;C&gt;1&lt;/C&gt;&lt;D xsi:type="xsd:double"&gt;100451.96&lt;/D&gt;&lt;/FQL&gt;&lt;FQL&gt;&lt;Q&gt;MSFT^FE_ESTIMATE(EBIT,MEAN,NTM4,,45792,,,'')&lt;/Q&gt;&lt;R&gt;1&lt;/R&gt;&lt;C&gt;1&lt;/C&gt;&lt;D xsi:type="xsd:double"&gt;137267.69&lt;/D&gt;&lt;/FQL&gt;&lt;FQL&gt;&lt;Q&gt;MSFT^FE_ESTIMATE(EBIT,MEAN,LTM4,,45792,,,'')&lt;/Q&gt;&lt;R&gt;1&lt;/R&gt;&lt;C&gt;1&lt;/C&gt;&lt;D xsi:type="xsd:double"&gt;122116.195&lt;/D&gt;&lt;/FQL&gt;&lt;FQL&gt;&lt;Q&gt;AVT^FE_ESTIMATE(SALES,MEAN,CALA_ROLL,2027,45792,,,'')&lt;/Q&gt;&lt;R&gt;0&lt;/R&gt;&lt;C&gt;0&lt;/C&gt;&lt;/FQL&gt;&lt;FQL&gt;&lt;Q&gt;AVT^FE_ESTIMATE(SALES,MEAN,CAL4,2026,45792,,,'')&lt;/Q&gt;&lt;R&gt;1&lt;/R&gt;&lt;C&gt;1&lt;/C&gt;&lt;D xsi:type="xsd:double"&gt;23480.87&lt;/D&gt;&lt;/FQL&gt;&lt;FQL&gt;&lt;Q&gt;AVT^FE_ESTIMATE(SALES,MEAN,CAL4,2025,45792,,,'')&lt;/Q&gt;&lt;R&gt;1&lt;/R&gt;&lt;C&gt;1&lt;/C&gt;&lt;D xsi:type="xsd:double"&gt;21882.285&lt;/D&gt;&lt;/FQL&gt;&lt;FQL&gt;&lt;Q&gt;AVT^FE_ESTIMATE(SALES,MEAN,CAL4,2024,45792,,,'')&lt;/Q&gt;&lt;R&gt;1&lt;/R&gt;&lt;C&gt;1&lt;/C&gt;&lt;D xsi:type="xsd:double"&gt;22484.129&lt;/D&gt;&lt;/FQL&gt;&lt;FQL&gt;&lt;Q&gt;AVT^FE_ESTIMATE(SALES,MEAN,CAL4,2023,45792,,,'')&lt;/Q&gt;&lt;R&gt;1&lt;/R&gt;&lt;C&gt;1&lt;/C&gt;&lt;D xsi:type="xsd:double"&gt;25609.723&lt;/D&gt;&lt;/FQL&gt;&lt;FQL&gt;&lt;Q&gt;AVT^FE_ESTIMATE(SALES,MEAN,NTM4,,45792,,,'')&lt;/Q&gt;&lt;R&gt;1&lt;/R&gt;&lt;C&gt;1&lt;/C&gt;&lt;D xsi:type="xsd:double"&gt;22213.582&lt;/D&gt;&lt;/FQL&gt;&lt;FQL&gt;&lt;Q&gt;AVT^FE_ESTIMATE(SALES,MEAN,LTM4,,45792,,,'')&lt;/Q&gt;&lt;R&gt;1&lt;/R&gt;&lt;C&gt;1&lt;/C&gt;&lt;D xsi:type="xsd:double"&gt;22145.951&lt;/D&gt;&lt;/FQL&gt;&lt;FQL&gt;&lt;Q&gt;AVT^FG_PRICE(45792)&lt;/Q&gt;&lt;R&gt;1&lt;/R&gt;&lt;C&gt;1&lt;/C&gt;&lt;D xsi:type="xsd:double"&gt;51.555&lt;/D&gt;&lt;/FQL&gt;&lt;FQL&gt;&lt;Q&gt;AVT^FF_ENTRPR_VAL_DAILY(45792,,,,,"DIL")&lt;/Q&gt;&lt;R&gt;1&lt;/R&gt;&lt;C&gt;1&lt;/C&gt;&lt;D xsi:type="xsd:double"&gt;7123.9897&lt;/D&gt;&lt;/FQL&gt;&lt;FQL&gt;&lt;Q&gt;AVT^FREF_MARKET_VALUE_COMPANY(45792,,,,,0,,"LEGACY")&lt;/Q&gt;&lt;R&gt;1&lt;/R&gt;&lt;C&gt;1&lt;/C&gt;&lt;D xsi:type="xsd:double"&gt;4323.263671875&lt;/D&gt;&lt;/FQL&gt;&lt;FQL&gt;&lt;Q&gt;ARW^FE_ESTIMATE(SALES,MEAN,CALA_ROLL,2027,45792,,,'')&lt;/Q&gt;&lt;R&gt;1&lt;/R&gt;&lt;C&gt;1&lt;/C&gt;&lt;D xsi:type="xsd:double"&gt;34074&lt;/D&gt;&lt;/FQL&gt;&lt;FQL&gt;&lt;Q&gt;ARW^FE_ESTIMATE(SALES,MEAN,CAL4,2026,45792,,,'')&lt;/Q&gt;&lt;R&gt;1&lt;/R&gt;&lt;C&gt;1&lt;/C&gt;&lt;D xsi:type="xsd:double"&gt;30970.732&lt;/D&gt;&lt;/FQL&gt;&lt;FQL&gt;&lt;Q&gt;ARW^FE_ESTIMATE(SALES,MEAN,CAL4,2025,45792,,,'')&lt;/Q&gt;&lt;R&gt;1&lt;/R&gt;&lt;C&gt;1&lt;/C&gt;&lt;D xsi:type="xsd:double"&gt;29129.664&lt;/D&gt;&lt;/FQL&gt;&lt;FQL&gt;&lt;Q&gt;ARW^FE_ESTIMATE(SALES,MEAN,CAL4,2024,45792,,,'')&lt;/Q&gt;&lt;R&gt;1&lt;/R&gt;&lt;C&gt;1&lt;/C&gt;&lt;D xsi:type="xsd:double"&gt;27923.324&lt;/D&gt;&lt;/FQL&gt;&lt;FQL&gt;&lt;Q&gt;ARW^FE_ESTIMATE(SALES,MEAN,CAL4,2023,45792,,,'')&lt;/Q&gt;&lt;R&gt;1&lt;/R&gt;&lt;C&gt;1&lt;/C&gt;&lt;D xsi:type="xsd:double"&gt;33107.12&lt;/D&gt;&lt;/FQL&gt;&lt;FQL&gt;&lt;Q&gt;ARW^FE_ESTIMATE(SALES,MEAN,NTM4,,45792,,,'')&lt;/Q&gt;&lt;R&gt;1&lt;/R&gt;&lt;C&gt;1&lt;/C&gt;&lt;D xsi:type="xsd:double"&gt;29606.248&lt;/D&gt;&lt;/FQL&gt;&lt;FQL&gt;&lt;Q&gt;ARW^FE_ESTIMATE(SALES,MEAN,LTM4,,45792,,,'')&lt;/Q&gt;&lt;R&gt;1&lt;/R&gt;&lt;C&gt;1&lt;/C&gt;&lt;D xsi:type="xsd:double"&gt;27813.08&lt;/D&gt;&lt;/FQL&gt;&lt;FQL&gt;&lt;Q&gt;ARW^FG_PRICE(45792)&lt;/Q&gt;&lt;R&gt;1&lt;/R&gt;&lt;C&gt;1&lt;/C&gt;&lt;D xsi:type="xsd:double"&gt;119.87&lt;/D&gt;&lt;/FQL&gt;&lt;FQL&gt;&lt;Q&gt;ARW^FF_ENTRPR_VAL_DAILY(45792,,,,,"DIL")&lt;/Q&gt;&lt;R&gt;1&lt;/R&gt;&lt;C&gt;1&lt;/C&gt;&lt;D xsi:type="xsd:double"&gt;8996.9969&lt;/D&gt;&lt;/FQL&gt;&lt;FQL&gt;&lt;Q&gt;ARW^FREF_MARKET_VALUE_COMPANY(45792,,,,,0,,"LEGACY")&lt;/Q&gt;&lt;R&gt;1&lt;/R&gt;&lt;C&gt;1&lt;/C&gt;&lt;D xsi:type="xsd:double"&gt;6218.134765625&lt;/D&gt;&lt;/FQL&gt;&lt;FQL&gt;&lt;Q&gt;SNX^FE_ESTIMATE(SALES,MEAN,CALA_ROLL,2027,45792,,,'')&lt;/Q&gt;&lt;R&gt;0&lt;/R&gt;&lt;C&gt;0&lt;/C&gt;&lt;/FQL&gt;&lt;FQL&gt;&lt;Q&gt;SNX^FE_ESTIMATE(SALES,MEAN,CAL4,2026,45792,,,'')&lt;/Q&gt;&lt;R&gt;1&lt;/R&gt;&lt;C&gt;1&lt;/C&gt;&lt;D xsi:type="xsd:double"&gt;62556.25&lt;/D&gt;&lt;/FQL&gt;&lt;FQL&gt;&lt;Q&gt;SNX^FE_ESTIMATE(SALES,MEAN,CAL4,2025,45792,,,'')&lt;/Q&gt;&lt;R&gt;1&lt;/R&gt;&lt;C&gt;1&lt;/C&gt;&lt;D xsi:type="xsd:double"&gt;59902.367&lt;/D&gt;&lt;/FQL&gt;&lt;FQL&gt;&lt;Q&gt;SNX^FE_ESTIMATE(SALES,MEAN,CAL4,2024,45792,,,'')&lt;/Q&gt;&lt;R&gt;1&lt;/R&gt;&lt;C&gt;1&lt;/C&gt;&lt;D xsi:type="xsd:double"&gt;58452.438&lt;/D&gt;&lt;/FQL&gt;&lt;FQL&gt;&lt;Q&gt;SNX^FE_ESTIMATE(SALES,MEAN,CAL4,2023,45792,,,'')&lt;/Q&gt;&lt;R&gt;1&lt;/R&gt;&lt;C&gt;1&lt;/C&gt;&lt;D xsi:type="xsd:double"&gt;57555.414&lt;/D&gt;&lt;/FQL&gt;&lt;FQL&gt;&lt;Q&gt;SNX^FE_ESTIMATE(SALES,MEAN,NTM4,,45792,,,'')&lt;/Q&gt;&lt;R&gt;1&lt;/R&gt;&lt;C&gt;1&lt;/C&gt;&lt;D xsi:type="xsd:double"&gt;60511.074&lt;/D&gt;&lt;/FQL&gt;&lt;FQL&gt;&lt;Q&gt;SNX^FE_ESTIMATE(SALES,MEAN,LTM4,,45792,,,'')&lt;/Q&gt;&lt;R&gt;1&lt;/R&gt;&lt;C&gt;1&lt;/C&gt;&lt;D xsi:type="xsd:double"&gt;59008.89&lt;/D&gt;&lt;/FQL&gt;&lt;FQL&gt;&lt;Q&gt;SNX^FG_PRICE(45792)&lt;/Q&gt;&lt;R&gt;1&lt;/R&gt;&lt;C&gt;1&lt;/C&gt;&lt;D xsi:type="xsd:double"&gt;124&lt;/D&gt;&lt;/FQL&gt;&lt;FQL&gt;&lt;Q&gt;SNX^FF_ENTRPR_VAL_DAILY(45792,,,,,"DIL")&lt;/Q&gt;&lt;R&gt;1&lt;/R&gt;&lt;C&gt;1&lt;/C&gt;&lt;D xsi:type="xsd:double"&gt;14198.382&lt;/D&gt;&lt;/FQL&gt;&lt;FQL&gt;&lt;Q&gt;SNX^FREF_MARKET_VALUE_COMPANY(45792,,,,,0,,"LEGACY")&lt;/Q&gt;&lt;R&gt;1&lt;/R&gt;&lt;C&gt;1&lt;/C&gt;&lt;D xsi:type="xsd:double"&gt;10406.2548828125&lt;/D&gt;&lt;/FQL&gt;&lt;FQL&gt;&lt;Q&gt;CDW^FE_ESTIMATE(SALES,MEAN,CALA_ROLL,2027,45792,,,'')&lt;/Q&gt;&lt;R&gt;1&lt;/R&gt;&lt;C&gt;1&lt;/C&gt;&lt;D xsi:type="xsd:double"&gt;24113.113&lt;/D&gt;&lt;/FQL&gt;&lt;FQL&gt;&lt;Q&gt;CDW^FE_ESTIMATE(SALES,MEAN,CAL4,2026,45792,,,'')&lt;/Q&gt;&lt;R&gt;1&lt;/R&gt;&lt;C&gt;1&lt;/C&gt;&lt;D xsi:type="xsd:double"&gt;22481.027&lt;/D&gt;&lt;/FQL&gt;&lt;FQL&gt;&lt;Q&gt;CDW^FE_ESTIMATE(SALES,MEAN,CAL4,2025,45792,,,'')&lt;/Q&gt;&lt;R&gt;1&lt;/R&gt;&lt;C&gt;1&lt;/C&gt;&lt;D xsi:type="xsd:double"&gt;21605.623&lt;/D&gt;&lt;/FQL&gt;&lt;FQL&gt;&lt;Q&gt;CDW^FE_ESTIMATE(SALES,MEAN,CAL4,2024,45792,,,'')&lt;/Q&gt;&lt;R&gt;1&lt;/R&gt;&lt;C&gt;1&lt;/C&gt;&lt;D xsi:type="xsd:double"&gt;20998.7&lt;/D&gt;&lt;/FQL&gt;&lt;FQL&gt;&lt;Q&gt;CDW^FE_ESTIMATE(SALES,MEAN,CAL4,2023,45792,,,'')&lt;/Q&gt;&lt;R&gt;1&lt;/R&gt;&lt;C&gt;1&lt;/C&gt;&lt;D xsi:type="xsd:double"&gt;21376&lt;/D&gt;&lt;/FQL&gt;&lt;FQL&gt;&lt;Q&gt;CDW^FE_ESTIMATE(SALES,MEAN,NTM4,,45792,,,'')&lt;/Q&gt;&lt;R&gt;1&lt;/R&gt;&lt;C&gt;1&lt;/C&gt;&lt;D xsi:type="xsd:double"&gt;21698.688&lt;/D&gt;&lt;/FQL&gt;&lt;FQL&gt;&lt;Q&gt;CDW^FE_ESTIMATE(SALES,MEAN,LTM4,,45792,,,'')&lt;/Q&gt;&lt;R&gt;1&lt;/R&gt;&lt;C&gt;1&lt;/C&gt;&lt;D xsi:type="xsd:double"&gt;21325.1&lt;/D&gt;&lt;/FQL&gt;&lt;FQL&gt;&lt;Q&gt;CDW^FG_PRICE(45792)&lt;/Q&gt;&lt;R&gt;1&lt;/R&gt;&lt;C&gt;1&lt;/C&gt;&lt;D xsi:type="xsd:double"&gt;188.725&lt;/D&gt;&lt;/FQL&gt;&lt;FQL&gt;&lt;Q&gt;CDW^FF_ENTRPR_VAL_DAILY(45792,,,,,"DIL")&lt;/Q&gt;&lt;R&gt;1&lt;/R&gt;&lt;C&gt;1&lt;/C&gt;&lt;D xsi:type="xsd:double"&gt;30843.9875&lt;/D&gt;&lt;/FQL&gt;&lt;FQL&gt;&lt;Q&gt;CDW^FREF_MARKET_VALUE_COMPANY(45792,,,,,0,,"LEGACY")&lt;/Q&gt;&lt;R&gt;1&lt;/R&gt;&lt;C&gt;1&lt;/C&gt;&lt;D xsi:type="xsd:double"&gt;24852.28125&lt;/D&gt;&lt;/FQL&gt;&lt;FQL&gt;&lt;Q&gt;INGM^FE_ESTIMATE(SALES,MEAN,CALA_ROLL,2027,45792,,,'')&lt;/Q&gt;&lt;R&gt;1&lt;/R&gt;&lt;C&gt;1&lt;/C&gt;&lt;D xsi:type="xsd:double"&gt;53415.633&lt;/D&gt;&lt;/FQL&gt;&lt;FQL&gt;&lt;Q&gt;INGM^FE_ESTIMATE(SALES,MEAN,CAL4,2026,45792,,,'')&lt;/Q&gt;&lt;R&gt;1&lt;/R&gt;&lt;C&gt;1&lt;/C&gt;&lt;D xsi:type="xsd:double"&gt;51576.68&lt;/D&gt;&lt;/FQL&gt;&lt;FQL&gt;&lt;Q&gt;INGM^FE_ESTIMATE(SALES,MEAN,CAL4,2025,45792,,,'')&lt;/Q&gt;&lt;R&gt;1&lt;/R&gt;&lt;C&gt;1&lt;/C&gt;&lt;D xsi:type="xsd:double"&gt;50058.883&lt;/D&gt;&lt;/FQL&gt;&lt;FQL&gt;&lt;Q&gt;INGM^FE_ESTIMATE(SALES,MEAN,CAL4,2024,45792,,,'')&lt;/Q&gt;&lt;R&gt;0&lt;/R&gt;&lt;C&gt;0&lt;/C&gt;&lt;/FQL&gt;&lt;FQL&gt;&lt;Q&gt;INGM^FE_ESTIMATE(SALES,MEAN,CAL4,2023,45792,,,'')&lt;/Q&gt;&lt;R&gt;0&lt;/R&gt;&lt;C&gt;0&lt;/C&gt;&lt;/FQL&gt;&lt;FQL&gt;&lt;Q&gt;INGM^FE_ESTIMATE(SALES,MEAN,NTM4,,45792,,,'')&lt;/Q&gt;&lt;R&gt;1&lt;/R&gt;&lt;C&gt;1&lt;/C&gt;&lt;D xsi:type="xsd:double"&gt;50180.37&lt;/D&gt;&lt;/FQL&gt;&lt;FQL&gt;&lt;Q&gt;INGM^FE_ESTIMATE(SALES,MEAN,LTM4,,45792,,,'')&lt;/Q&gt;&lt;R&gt;1&lt;/R&gt;&lt;C&gt;1&lt;/C&gt;&lt;D xsi:type="xsd:double"&gt;48929.313&lt;/D&gt;&lt;/FQL&gt;&lt;FQL&gt;&lt;Q&gt;INGM^FG_PRICE(45792)&lt;/Q&gt;&lt;R&gt;1&lt;/R&gt;&lt;C&gt;1&lt;/C&gt;&lt;D xsi:type="xsd:double"&gt;20.7&lt;/D&gt;&lt;/FQL&gt;&lt;FQL&gt;&lt;Q&gt;INGM^FF_ENTRPR_VAL_DAILY(45792,,,,,"DIL")&lt;/Q&gt;&lt;R&gt;1&lt;/R&gt;&lt;C&gt;1&lt;/C&gt;&lt;D xsi:type="xsd:double"&gt;7943.2576906&lt;/D&gt;&lt;/FQL&gt;&lt;FQL&gt;&lt;Q&gt;INGM^FREF_MARKET_VALUE_COMPANY(45792,,,,,0,,"LEGACY")&lt;/Q&gt;&lt;R&gt;1&lt;/R&gt;&lt;C&gt;1&lt;/C&gt;&lt;D xsi:type="xsd:double"&gt;4861.1259765625&lt;/D&gt;&lt;/FQL&gt;&lt;FQL&gt;&lt;Q&gt;DOCN^FE_ESTIMATE(SALES,MEAN,CALA_ROLL,2027,45792,,,'')&lt;/Q&gt;&lt;R&gt;1&lt;/R&gt;&lt;C&gt;1&lt;/C&gt;&lt;D xsi:type="xsd:double"&gt;1167.132&lt;/D&gt;&lt;/FQL&gt;&lt;FQL&gt;&lt;Q&gt;DOCN^FE_ESTIMATE(SALES,MEAN,CAL4,2026,45792,,,'')&lt;/Q&gt;&lt;R&gt;1&lt;/R&gt;&lt;C&gt;1&lt;/C&gt;&lt;D xsi:type="xsd:double"&gt;1006.4655&lt;/D&gt;&lt;/FQL&gt;&lt;FQL&gt;&lt;Q&gt;DOCN^FE_ESTIMATE(SALES,MEAN,CAL4,2025,45792,,,'')&lt;/Q&gt;&lt;R&gt;1&lt;/R&gt;&lt;C&gt;1&lt;/C&gt;&lt;D xsi:type="xsd:double"&gt;882.3798&lt;/D&gt;&lt;/FQL&gt;&lt;FQL&gt;&lt;Q&gt;DOCN^FE_ESTIMATE(SALES,MEAN,CAL4,2024,45792,,,'')&lt;/Q&gt;&lt;R&gt;1&lt;/R&gt;&lt;C&gt;1&lt;/C&gt;&lt;D xsi:type="xsd:double"&gt;780.615&lt;/D&gt;&lt;/FQL&gt;&lt;FQL&gt;&lt;Q&gt;DOCN^FE_ESTIMATE(SALES,MEAN,CAL4,2023,45792,,,'')&lt;/Q&gt;&lt;R&gt;1&lt;/R&gt;&lt;C&gt;1&lt;/C&gt;&lt;D xsi:type="xsd:double"&gt;692.884&lt;/D&gt;&lt;/FQL&gt;&lt;FQL&gt;&lt;Q&gt;DOCN^FE_ESTIMATE(SALES,MEAN,NTM4,,45792,,,'')&lt;/Q&gt;&lt;R&gt;1&lt;/R&gt;&lt;C&gt;1&lt;/C&gt;&lt;D xsi:type="xsd:double"&gt;911.5137&lt;/D&gt;&lt;/FQL&gt;&lt;FQL&gt;&lt;Q&gt;DOCN^FE_ESTIMATE(SALES,MEAN,LTM4,,45792,,,'')&lt;/Q&gt;&lt;R&gt;1&lt;/R&gt;&lt;C&gt;1&lt;/C&gt;&lt;D xsi:type="xsd:double"&gt;806.588&lt;/D&gt;&lt;/FQL&gt;&lt;FQL&gt;&lt;Q&gt;DOCN^FG_PRICE(45792)&lt;/Q&gt;&lt;R&gt;1&lt;/R&gt;&lt;C&gt;1&lt;/C&gt;&lt;D xsi:type="xsd:double"&gt;30.9&lt;/D&gt;&lt;/FQL&gt;&lt;FQL&gt;&lt;Q&gt;DOCN^FF_ENTRPR_VAL_DAILY(45792,,,,,"DIL")&lt;/Q&gt;&lt;R&gt;1&lt;/R&gt;&lt;C&gt;1&lt;/C&gt;&lt;D xsi:type="xsd:double"&gt;4575.89984&lt;/D&gt;&lt;/FQL&gt;&lt;FQL&gt;&lt;Q&gt;DOCN^FREF_MARKET_VALUE_COMPANY(45792,,,,,0,,"LEGACY")&lt;/Q&gt;&lt;R&gt;1&lt;/R&gt;&lt;C&gt;1&lt;/C&gt;&lt;D xsi:type="xsd:double"&gt;2812.93603515625&lt;/D&gt;&lt;/FQL&gt;&lt;FQL&gt;&lt;Q&gt;GOOG^FE_ESTIMATE(SALES,MEAN,CALA_ROLL,2027,45792,,,'')&lt;/Q&gt;&lt;R&gt;1&lt;/R&gt;&lt;C&gt;1&lt;/C&gt;&lt;D xsi:type="xsd:double"&gt;471408.8&lt;/D&gt;&lt;/FQL&gt;&lt;FQL&gt;&lt;Q&gt;GOOG^FE_ESTIMATE(SALES,MEAN,CAL4,2026,45792,,,'')&lt;/Q&gt;&lt;R&gt;1&lt;/R&gt;&lt;C&gt;1&lt;/C&gt;&lt;D xsi:type="xsd:double"&gt;426159.9&lt;/D&gt;&lt;/FQL&gt;&lt;FQL&gt;&lt;Q&gt;GOOG^FE_ESTIMATE(SALES,MEAN,CAL4,2025,45792,,,'')&lt;/Q&gt;&lt;R&gt;1&lt;/R&gt;&lt;C&gt;1&lt;/C&gt;&lt;D xsi:type="xsd:double"&gt;387601.1&lt;/D&gt;&lt;/FQL&gt;&lt;FQL&gt;&lt;Q&gt;GOOG^FE_ESTIMATE(SALES,MEAN,CAL4,2024,45792,,,'')&lt;/Q&gt;&lt;R&gt;1&lt;/R&gt;&lt;C&gt;1&lt;/C&gt;&lt;D xsi:type="xsd:double"&gt;350018&lt;/D&gt;&lt;/FQL&gt;&lt;FQL&gt;&lt;Q&gt;GOOG^FE_ESTIMATE(SALES,MEAN,CAL4,2023,45792,,,'')&lt;/Q&gt;&lt;R&gt;1&lt;/R&gt;&lt;C&gt;1&lt;/C&gt;&lt;D xsi:type="xsd:double"&gt;307394&lt;/D&gt;&lt;/FQL&gt;&lt;FQL&gt;&lt;Q&gt;GOOG^FE_ESTIMATE(SALES,MEAN,NTM4,,45792,,,'')&lt;/Q&gt;&lt;R&gt;1&lt;/R&gt;&lt;C&gt;1&lt;/C&gt;&lt;D xsi:type="xsd:double"&gt;396478.53&lt;/D&gt;&lt;/FQL&gt;&lt;FQL&gt;&lt;Q&gt;GOOG^FE_ESTIMATE(SALES,MEAN,LTM4,,45792,,,'')&lt;/Q&gt;&lt;R&gt;1&lt;/R&gt;&lt;C&gt;1&lt;/C&gt;&lt;D xsi:type="xsd:double"&gt;359713&lt;/D&gt;&lt;/FQL&gt;&lt;FQL&gt;&lt;Q&gt;GOOG^FG_PRICE(45792)&lt;/Q&gt;&lt;R&gt;1&lt;/R&gt;&lt;C&gt;1&lt;/C&gt;&lt;D xsi:type="xsd:double"&gt;166.34&lt;/D&gt;&lt;/FQL&gt;&lt;FQL&gt;&lt;Q&gt;GOOG^FF_ENTRPR_VAL_DAILY(45792,,,,,"DIL")&lt;/Q&gt;&lt;R&gt;1&lt;/R&gt;&lt;C&gt;1&lt;/C&gt;&lt;D xsi:type="xsd:double"&gt;1958726.8&lt;/D&gt;&lt;/FQL&gt;&lt;FQL&gt;&lt;Q&gt;GOOG^FREF_MARKET_VALUE_COMPANY(45792,,,,,0,,"LEGACY")&lt;/Q&gt;&lt;R&gt;1&lt;/R&gt;&lt;C&gt;1&lt;/C&gt;&lt;D xsi:type="xsd:double"&gt;1867186.0625&lt;/D&gt;&lt;/FQL&gt;&lt;FQL&gt;&lt;Q&gt;AMZN^FE_ESTIMATE(SALES,MEAN,CALA_ROLL,2027,45792,,,'')&lt;/Q&gt;&lt;R&gt;1&lt;/R&gt;&lt;C&gt;1&lt;/C&gt;&lt;D xsi:type="xsd:double"&gt;837598.56&lt;/D&gt;&lt;/FQL&gt;&lt;FQL&gt;&lt;Q&gt;AMZN^FE_ESTIMATE(SALES,MEAN,CAL4,2026,45792,,,'')&lt;/Q&gt;&lt;R&gt;1&lt;/R&gt;&lt;C&gt;1&lt;/C&gt;&lt;D xsi:type="xsd:double"&gt;758862.8&lt;/D&gt;&lt;/FQL&gt;&lt;FQL&gt;&lt;Q&gt;AMZN^FE_ESTIMATE(SALES,MEAN,CAL4,2025,45792,,,'')&lt;/Q&gt;&lt;R&gt;1&lt;/R&gt;&lt;C&gt;1&lt;/C&gt;&lt;D xsi:type="xsd:double"&gt;694113.56&lt;/D&gt;&lt;/FQL&gt;&lt;FQL&gt;&lt;Q&gt;AMZN^FE_ESTIMATE(SALES,MEAN,CAL4,2024,45792,,,'')&lt;/Q&gt;&lt;R&gt;1&lt;/R&gt;&lt;C&gt;1&lt;/C&gt;&lt;D xsi:type="xsd:double"&gt;637959&lt;/D&gt;&lt;/FQL&gt;&lt;FQL&gt;&lt;Q&gt;AMZN^FE_ESTIMATE(SALES,MEAN,CAL4,2023,45792,,,'')&lt;/Q&gt;&lt;R&gt;1&lt;/R&gt;&lt;C&gt;1&lt;/C&gt;&lt;D xsi:type="xsd:double"&gt;574785&lt;/D&gt;&lt;/FQL&gt;&lt;FQL&gt;&lt;Q&gt;AMZN^FE_ESTIMATE(SALES,MEAN,NTM4,,45792,,,'')&lt;/Q&gt;&lt;R&gt;1&lt;/R&gt;&lt;C&gt;1&lt;/C&gt;&lt;D xsi:type="xsd:double"&gt;709198.06&lt;/D&gt;&lt;/FQL&gt;&lt;FQL&gt;&lt;Q&gt;AMZN^FE_ESTIMATE(SALES,MEAN,LTM4,,45792,,,'')&lt;/Q&gt;&lt;R&gt;1&lt;/R&gt;&lt;C&gt;1&lt;/C&gt;&lt;D xsi:type="xsd:double"&gt;650313&lt;/D&gt;&lt;/FQL&gt;&lt;FQL&gt;&lt;Q&gt;AMZN^FG_PRICE(45792)&lt;/Q&gt;&lt;R&gt;1&lt;/R&gt;&lt;C&gt;1&lt;/C&gt;&lt;D xsi:type="xsd:double"&gt;205.49&lt;/D&gt;&lt;/FQL&gt;&lt;FQL&gt;&lt;Q&gt;AMZN^FF_ENTRPR_VAL_DAILY(45792,,,,,"DIL")&lt;/Q&gt;&lt;R&gt;1&lt;/R&gt;&lt;C&gt;1&lt;/C&gt;&lt;D xsi:type="xsd:double"&gt;2270104.57&lt;/D&gt;&lt;/FQL&gt;&lt;FQL&gt;&lt;Q&gt;AMZN^FREF_MARKET_VALUE_COMPANY(45792,,,,,0,,"LEGACY")&lt;/Q&gt;&lt;R&gt;1&lt;/R&gt;&lt;C&gt;1&lt;/C&gt;&lt;D xsi:type="xsd:double"&gt;2181554.25&lt;/D&gt;&lt;/FQL&gt;&lt;FQL&gt;&lt;Q&gt;ORCL^FE_ESTIMATE(SALES,MEAN,CALA_ROLL,2027,45792,,,'')&lt;/Q&gt;&lt;R&gt;1&lt;/R&gt;&lt;C&gt;1&lt;/C&gt;&lt;D xsi:type="xsd:double"&gt;85510.92&lt;/D&gt;&lt;/FQL&gt;&lt;FQL&gt;&lt;Q&gt;ORCL^FE_ESTIMATE(SALES,MEAN,CAL4,2026,45792,,,'')&lt;/Q&gt;&lt;R&gt;1&lt;/R&gt;&lt;C&gt;1&lt;/C&gt;&lt;D xsi:type="xsd:double"&gt;70487.44&lt;/D&gt;&lt;/FQL&gt;&lt;FQL&gt;&lt;Q&gt;ORCL^FE_ESTIMATE(SALES,MEAN,CAL4,2025,45792,,,'')&lt;/Q&gt;&lt;R&gt;1&lt;/R&gt;&lt;C&gt;1&lt;/C&gt;&lt;D xsi:type="xsd:double"&gt;60551.387&lt;/D&gt;&lt;/FQL&gt;&lt;FQL&gt;&lt;Q&gt;ORCL^FE_ESTIMATE(SALES,MEAN,CAL4,2024,45792,,,'')&lt;/Q&gt;&lt;R&gt;1&lt;/R&gt;&lt;C&gt;1&lt;/C&gt;&lt;D xsi:type="xsd:double"&gt;54933&lt;/D&gt;&lt;/FQL&gt;&lt;FQL&gt;&lt;Q&gt;ORCL^FE_ESTIMATE(SALES,MEAN,CAL4,2023,45792,,,'')&lt;/Q&gt;&lt;R&gt;1&lt;/R&gt;&lt;C&gt;1&lt;/C&gt;&lt;D xsi:type="xsd:double"&gt;51629&lt;/D&gt;&lt;/FQL&gt;&lt;FQL&gt;&lt;Q&gt;ORCL^FE_ESTIMATE(SALES,MEAN,NTM4,,45792,,,'')&lt;/Q&gt;&lt;R&gt;1&lt;/R&gt;&lt;C&gt;1&lt;/C&gt;&lt;D xsi:type="xsd:double"&gt;62721.25&lt;/D&gt;&lt;/FQL&gt;&lt;FQL&gt;&lt;Q&gt;ORCL^FE_ESTIMATE(SALES,MEAN,LTM4,,45792,,,'')&lt;/Q&gt;&lt;R&gt;1&lt;/R&gt;&lt;C&gt;1&lt;/C&gt;&lt;D xsi:type="xsd:double"&gt;55783&lt;/D&gt;&lt;/FQL&gt;&lt;FQL&gt;&lt;Q&gt;ORCL^FG_PRICE(45792)&lt;/Q&gt;&lt;R&gt;1&lt;/R&gt;&lt;C&gt;1&lt;/C&gt;&lt;D xsi:type="xsd:double"&gt;160.695&lt;/D&gt;&lt;/FQL&gt;&lt;FQL&gt;&lt;Q&gt;ORCL^FF_ENTRPR_VAL_DAILY(45792,,,,,"DIL")&lt;/Q&gt;&lt;R&gt;1&lt;/R&gt;&lt;C&gt;1&lt;/C&gt;&lt;D xsi:type="xsd:double"&gt;547302.3&lt;/D&gt;&lt;/FQL&gt;&lt;FQL&gt;&lt;Q&gt;ORCL^FREF_MARKET_VALUE_COMPANY(45792,,,,,0,,"LEGACY")&lt;/Q&gt;&lt;R&gt;1&lt;/R&gt;&lt;C&gt;1&lt;/C&gt;&lt;D xsi:type="xsd:double"&gt;450626.375&lt;/D&gt;&lt;/FQL&gt;&lt;FQL&gt;&lt;Q&gt;IBM^FE_ESTIMATE(SALES,MEAN,CALA_ROLL,2027,45792,,,'')&lt;/Q&gt;&lt;R&gt;1&lt;/R&gt;&lt;C&gt;1&lt;/C&gt;&lt;D xsi:type="xsd:double"&gt;72072.62&lt;/D&gt;&lt;/FQL&gt;&lt;FQL&gt;&lt;Q&gt;IBM^FE_ESTIMATE(SALES,MEAN,CAL4,2026,45792,,,'')&lt;/Q&gt;&lt;R&gt;1&lt;/R&gt;&lt;C&gt;1&lt;/C&gt;&lt;D xsi:type="xsd:double"&gt;68758.86&lt;/D&gt;&lt;/FQL&gt;&lt;FQL&gt;&lt;Q&gt;IBM^FE_ESTIMATE(SALES,MEAN,CAL4,2025,45792,,,'')&lt;/Q&gt;&lt;R&gt;1&lt;/R&gt;&lt;C&gt;1&lt;/C&gt;&lt;D xsi:type="xsd:double"&gt;66175.36&lt;/D&gt;&lt;/FQL&gt;&lt;FQL&gt;&lt;Q&gt;IBM^FE_ESTIMATE(SALES,MEAN,CAL4,2024,45792,,,'')&lt;/Q&gt;&lt;R&gt;1&lt;/R&gt;&lt;C&gt;1&lt;/C&gt;&lt;D xsi:type="xsd:double"&gt;62753&lt;/D&gt;&lt;/FQL&gt;&lt;FQL&gt;&lt;Q&gt;IBM^FE_ESTIMATE(SALES,MEAN,CAL4,2023,45792,,,'')&lt;/Q&gt;&lt;R&gt;1&lt;/R&gt;&lt;C&gt;1&lt;/C&gt;&lt;D xsi:type="xsd:double"&gt;61860&lt;/D&gt;&lt;/FQL&gt;&lt;FQL&gt;&lt;Q&gt;IBM^FE_ESTIMATE(SALES,MEAN,NTM4,,45792,,,'')&lt;/Q&gt;&lt;R&gt;1&lt;/R&gt;&lt;C&gt;1&lt;/C&gt;&lt;D xsi:type="xsd:double"&gt;66970.266&lt;/D&gt;&lt;/FQL&gt;&lt;FQL&gt;&lt;Q&gt;IBM^FE_ESTIMATE(SALES,MEAN,LTM4,,45792,,,'')&lt;/Q&gt;&lt;R&gt;1&lt;/R&gt;&lt;C&gt;1&lt;/C&gt;&lt;D xsi:type="xsd:double"&gt;62832&lt;/D&gt;&lt;/FQL&gt;&lt;FQL&gt;&lt;Q&gt;IBM^FG_PRICE(45792)&lt;/Q&gt;&lt;R&gt;1&lt;/R&gt;&lt;C&gt;1&lt;/C&gt;&lt;D xsi:type="xsd:double"&gt;265.8105&lt;/D&gt;&lt;/FQL&gt;&lt;FQL&gt;&lt;Q&gt;IBM^FF_ENTRPR_VAL_DAILY(45792,,,,,"DIL")&lt;/Q&gt;&lt;R&gt;1&lt;/R&gt;&lt;C&gt;1&lt;/C&gt;&lt;D xsi:type="xsd:double"&gt;293050.83680078&lt;/D&gt;&lt;/FQL&gt;&lt;FQL&gt;&lt;Q&gt;IBM^FREF_MARKET_VALUE_COMPANY(45792,,,,,0,,"LEGACY")&lt;/Q&gt;&lt;R&gt;1&lt;/R&gt;&lt;C&gt;1&lt;/C&gt;&lt;D xsi:type="xsd:double"&gt;247043.34375&lt;/D&gt;&lt;/FQL&gt;&lt;FQL&gt;&lt;Q&gt;EQIX^FE_ESTIMATE(SALES,MEAN,CALA_ROLL,2027,45792,,,'')&lt;/Q&gt;&lt;R&gt;1&lt;/R&gt;&lt;C&gt;1&lt;/C&gt;&lt;D xsi:type="xsd:double"&gt;10811.23&lt;/D&gt;&lt;/FQL&gt;&lt;FQL&gt;&lt;Q&gt;EQIX^FE_ESTIMATE(SALES,MEAN,CAL4,2026,45792,,,'')&lt;/Q&gt;&lt;R&gt;1&lt;/R&gt;&lt;C&gt;1&lt;/C&gt;&lt;D xsi:type="xsd:double"&gt;9996.276&lt;/D&gt;&lt;/FQL&gt;&lt;FQL&gt;&lt;Q&gt;EQIX^FE_ESTIMATE(SALES,MEAN,CAL4,2025,45792,,,'')&lt;/Q&gt;&lt;R&gt;1&lt;/R&gt;&lt;C&gt;1&lt;/C&gt;&lt;D xsi:type="xsd:double"&gt;9196.761&lt;/D&gt;&lt;/FQL&gt;&lt;FQL&gt;&lt;Q&gt;EQIX^FE_ESTIMATE(SALES,MEAN,CAL4,2024,45792,,,'')&lt;/Q&gt;&lt;R&gt;1&lt;/R&gt;&lt;C&gt;1&lt;/C&gt;&lt;D xsi:type="xsd:double"&gt;8748&lt;/D&gt;&lt;/FQL&gt;&lt;FQL&gt;&lt;Q&gt;EQIX^FE_ESTIMATE(SALES,MEAN,CAL4,2023,45792,,,'')&lt;/Q&gt;&lt;R&gt;1&lt;/R&gt;&lt;C&gt;1&lt;/C&gt;&lt;D xsi:type="xsd:double"&gt;8188.136&lt;/D&gt;&lt;/FQL&gt;&lt;FQL&gt;&lt;Q&gt;EQIX^FE_ESTIMATE(SALES,MEAN,NTM4,,45792,,,'')&lt;/Q&gt;&lt;R&gt;1&lt;/R&gt;&lt;C&gt;1&lt;/C&gt;&lt;D xsi:type="xsd:double"&gt;9392.024&lt;/D&gt;&lt;/FQL&gt;&lt;FQL&gt;&lt;Q&gt;EQIX^FE_ESTIMATE(SALES,MEAN,LTM4,,45792,,,'')&lt;/Q&gt;&lt;R&gt;1&lt;/R&gt;&lt;C&gt;1&lt;/C&gt;&lt;D xsi:type="xsd:double"&gt;8846&lt;/D&gt;&lt;/FQL&gt;&lt;FQL&gt;&lt;Q&gt;EQIX^FG_PRICE(45792)&lt;/Q&gt;&lt;R&gt;1&lt;/R&gt;&lt;C&gt;1&lt;/C&gt;&lt;D xsi:type="xsd:double"&gt;863.65&lt;/D&gt;&lt;/FQL&gt;&lt;FQL&gt;&lt;Q&gt;EQIX^FF_ENTRPR_VAL_DAILY(45792,,,,,"DIL")&lt;/Q&gt;&lt;R&gt;1&lt;/R&gt;&lt;C&gt;1&lt;/C&gt;&lt;D xsi:type="xsd:double"&gt;100529.10755&lt;/D&gt;&lt;/FQL&gt;&lt;FQL&gt;&lt;Q&gt;EQIX^FREF_MARKET_VALUE_COMPANY(45792,,,,,0,,"LEGACY")&lt;/Q&gt;&lt;R&gt;1&lt;/R&gt;&lt;C&gt;1&lt;/C&gt;&lt;D xsi:type="xsd:double"&gt;84481.375&lt;/D&gt;&lt;/FQL&gt;&lt;FQL&gt;&lt;Q&gt;DLR^FE_ESTIMATE(SALES,MEAN,CALA_ROLL,2027,45792,,,'')&lt;/Q&gt;&lt;R&gt;1&lt;/R&gt;&lt;C&gt;1&lt;/C&gt;&lt;D xsi:type="xsd:double"&gt;7284.918&lt;/D&gt;&lt;/FQL&gt;&lt;FQL&gt;&lt;Q&gt;DLR^FE_ESTIMATE(SALES,MEAN,CAL4,2026,45792,,,'')&lt;/Q&gt;&lt;R&gt;1&lt;/R&gt;&lt;C&gt;1&lt;/C&gt;&lt;D xsi:type="xsd:double"&gt;6460.398&lt;/D&gt;&lt;/FQL&gt;&lt;FQL&gt;&lt;Q&gt;DLR^FE_ESTIMATE(SALES,MEAN,CAL4,2025,45792,,,'')&lt;/Q&gt;&lt;R&gt;1&lt;/R&gt;&lt;C&gt;1&lt;/C&gt;&lt;D xsi:type="xsd:double"&gt;5884.1816&lt;/D&gt;&lt;/FQL&gt;&lt;FQL&gt;&lt;Q&gt;DLR^FE_ESTIMATE(SALES,MEAN,CAL4,2024,45792,,,'')&lt;/Q&gt;&lt;R&gt;1&lt;/R&gt;&lt;C&gt;1&lt;/C&gt;&lt;D xsi:type="xsd:double"&gt;5554.968&lt;/D&gt;&lt;/FQL&gt;&lt;FQL&gt;&lt;Q&gt;DLR^FE_ESTIMATE(SALES,MEAN,CAL4,2023,45792,,,'')&lt;/Q&gt;&lt;R&gt;1&lt;/R&gt;&lt;C&gt;1&lt;/C&gt;&lt;D xsi:type="xsd:double"&gt;5477.061&lt;/D&gt;&lt;/FQL&gt;&lt;FQL&gt;&lt;Q&gt;DLR^FE_ESTIMATE(SALES,MEAN,NTM4,,45792,,,'')&lt;/Q&gt;&lt;R&gt;1&lt;/R&gt;&lt;C&gt;1&lt;/C&gt;&lt;D xsi:type="xsd:double"&gt;6023.264&lt;/D&gt;&lt;/FQL&gt;&lt;FQL&gt;&lt;Q&gt;DLR^FE_ESTIMATE(SALES,MEAN,LTM4,,45792,,,'')&lt;/Q&gt;&lt;R&gt;1&lt;/R&gt;&lt;C&gt;1&lt;/C&gt;&lt;D xsi:type="xsd:double"&gt;5631.462&lt;/D&gt;&lt;/FQL&gt;&lt;FQL&gt;&lt;Q&gt;DLR^FG_PRICE(45792)&lt;/Q&gt;&lt;R&gt;1&lt;/R&gt;&lt;C&gt;1&lt;/C&gt;&lt;D xsi:type="xsd:double"&gt;167.08&lt;/D&gt;&lt;/FQL&gt;&lt;FQL&gt;&lt;Q&gt;DLR^FF_ENTRPR_VAL_DAILY(45792,,,,,"DIL")&lt;/Q&gt;&lt;R&gt;1&lt;/R&gt;&lt;C&gt;1&lt;/C&gt;&lt;D xsi:type="xsd:double"&gt;76186.19868&lt;/D&gt;&lt;/FQL&gt;&lt;FQL&gt;&lt;Q&gt;DLR^FREF_MARKET_VALUE_COMPANY(45792,,,,,0,,"LEGACY")&lt;/Q&gt;&lt;R&gt;1&lt;/R&gt;&lt;C&gt;1&lt;/C&gt;&lt;D xsi:type="xsd:double"&gt;56271.125&lt;/D&gt;&lt;/FQL&gt;&lt;FQL&gt;&lt;Q&gt;NVDA^FE_ESTIMATE(SALES,MEAN,CALA_ROLL,2027,45792,,,'')&lt;/Q&gt;&lt;R&gt;1&lt;/R&gt;&lt;C&gt;1&lt;/C&gt;&lt;D xsi:type="xsd:double"&gt;284911.16&lt;/D&gt;&lt;/FQL&gt;&lt;FQL&gt;&lt;Q&gt;NVDA^FE_ESTIMATE(SALES,MEAN,CAL4,2026,45792,,,'')&lt;/Q&gt;&lt;R&gt;1&lt;/R&gt;&lt;C&gt;1&lt;/C&gt;&lt;D xsi:type="xsd:double"&gt;241635.83&lt;/D&gt;&lt;/FQL&gt;&lt;FQL&gt;&lt;Q&gt;NVDA^FE_ESTIMATE(SALES,MEAN,CAL4,2025,45792,,,'')&lt;/Q&gt;&lt;R&gt;1&lt;/R&gt;&lt;C&gt;1&lt;/C&gt;&lt;D xsi:type="xsd:double"&gt;198178.03&lt;/D&gt;&lt;/FQL&gt;&lt;FQL&gt;&lt;Q&gt;NVDA^FE_ESTIMATE(SALES,MEAN,CAL4,2024,45792,,,'')&lt;/Q&gt;&lt;R&gt;1&lt;/R&gt;&lt;C&gt;1&lt;/C&gt;&lt;D xsi:type="xsd:double"&gt;130497&lt;/D&gt;&lt;/FQL&gt;&lt;FQL&gt;&lt;Q&gt;NVDA^FE_ESTIMATE(SALES,MEAN,CAL4,2023,45792,,,'')&lt;/Q&gt;&lt;R&gt;1&lt;/R&gt;&lt;C&gt;1&lt;/C&gt;&lt;D xsi:type="xsd:double"&gt;60922&lt;/D&gt;&lt;/FQL&gt;&lt;FQL&gt;&lt;Q&gt;NVDA^FE_ESTIMATE(SALES,MEAN,NTM4,,45792,,,'')&lt;/Q&gt;&lt;R&gt;1&lt;/R&gt;&lt;C&gt;1&lt;/C&gt;&lt;D xsi:type="xsd:double"&gt;198178.03&lt;/D&gt;&lt;/FQL&gt;&lt;FQL&gt;&lt;Q&gt;NVDA^FE_ESTIMATE(SALES,MEAN,LTM4,,45792,,,'')&lt;/Q&gt;&lt;R&gt;1&lt;/R&gt;&lt;C&gt;1&lt;/C&gt;&lt;D xsi:type="xsd:double"&gt;130497&lt;/D&gt;&lt;/FQL&gt;&lt;FQL&gt;&lt;Q&gt;NVDA^FG_PRICE(45792)&lt;/Q&gt;&lt;R&gt;1&lt;/R&gt;&lt;C&gt;1&lt;/C&gt;&lt;D xsi:type="xsd:double"&gt;136.145&lt;/D&gt;&lt;/FQL&gt;&lt;FQL&gt;&lt;Q&gt;NVDA^FF_ENTRPR_VAL_DAILY(45792,,,,,"DIL")&lt;/Q&gt;&lt;R&gt;1&lt;/R&gt;&lt;C&gt;1&lt;/C&gt;&lt;D xsi:type="xsd:double"&gt;3344000.58&lt;/D&gt;&lt;/FQL&gt;&lt;FQL&gt;&lt;Q&gt;NVDA^FREF_MARKET_VALUE_COMPANY(45792,,,,,0,,"LEGACY")&lt;/Q&gt;&lt;R&gt;1&lt;/R&gt;&lt;C&gt;1&lt;/C&gt;&lt;D xsi:type="xsd:double"&gt;3320244&lt;/D&gt;&lt;/FQL&gt;&lt;FQL&gt;&lt;Q&gt;MSFT^FE_ESTIMATE(SALES,MEAN,CALA_ROLL,2027,45792,,,'')&lt;/Q&gt;&lt;R&gt;1&lt;/R&gt;&lt;C&gt;1&lt;/C&gt;&lt;D xsi:type="xsd:double"&gt;391444&lt;/D&gt;&lt;/FQL&gt;&lt;FQL&gt;&lt;Q&gt;MSFT^FE_ESTIMATE(SALES,MEAN,CAL4,2026,45792,,,'')&lt;/Q&gt;&lt;R&gt;1&lt;/R&gt;&lt;C&gt;1&lt;/C&gt;&lt;D xsi:type="xsd:double"&gt;335749.97&lt;/D&gt;&lt;/FQL&gt;&lt;FQL&gt;&lt;Q&gt;MSFT^FE_ESTIMATE(SALES,MEAN,CAL4,2025,45792,,,'')&lt;/Q&gt;&lt;R&gt;1&lt;/R&gt;&lt;C&gt;1&lt;/C&gt;&lt;D xsi:type="xsd:double"&gt;296335.28&lt;/D&gt;&lt;/FQL&gt;&lt;FQL&gt;&lt;Q&gt;MSFT^FE_ESTIMATE(SALES,MEAN,CAL4,2024,45792,,,'')&lt;/Q&gt;&lt;R&gt;1&lt;/R&gt;&lt;C&gt;1&lt;/C&gt;&lt;D xsi:type="xsd:double"&gt;261802&lt;/D&gt;&lt;/FQL&gt;&lt;FQL&gt;&lt;Q&gt;MSFT^FE_ESTIMATE(SALES,MEAN,CAL4,2023,45792,,,'')&lt;/Q&gt;&lt;R&gt;1&lt;/R&gt;&lt;C&gt;1&lt;/C&gt;&lt;D xsi:type="xsd:double"&gt;227583&lt;/D&gt;&lt;/FQL&gt;&lt;FQL&gt;&lt;Q&gt;MSFT^FE_ESTIMATE(SALES,MEAN,NTM4,,45792,,,'')&lt;/Q&gt;&lt;R&gt;1&lt;/R&gt;&lt;C&gt;1&lt;/C&gt;&lt;D xsi:type="xsd:double"&gt;305507.34&lt;/D&gt;&lt;/FQL&gt;&lt;FQL&gt;&lt;Q&gt;MSFT^FE_ESTIMATE(SALES,MEAN,LTM4,,45792,,,'')&lt;/Q&gt;&lt;R&gt;1&lt;/R&gt;&lt;C&gt;1&lt;/C&gt;&lt;D xsi:type="xsd:double"&gt;270010&lt;/D&gt;&lt;/FQL&gt;&lt;FQL&gt;&lt;Q&gt;MSFT^FG_PRICE(45792)&lt;/Q&gt;&lt;R&gt;1&lt;/R&gt;&lt;C&gt;1&lt;/C&gt;&lt;D xsi:type="xsd:double"&gt;456.05&lt;/D&gt;&lt;/FQL&gt;&lt;FQL&gt;&lt;Q&gt;MSFT^FF_ENTRPR_VAL_DAILY(45792,,,,,"DIL")&lt;/Q&gt;&lt;R&gt;1&lt;/R&gt;&lt;C&gt;1&lt;/C&gt;&lt;D xsi:type="xsd:double"&gt;3398595.2022&lt;/D&gt;&lt;/FQL&gt;&lt;FQL&gt;&lt;Q&gt;MSFT^FREF_MARKET_VALUE_COMPANY(45792,,,,,0,,"LEGACY")&lt;/Q&gt;&lt;R&gt;1&lt;/R&gt;&lt;C&gt;1&lt;/C&gt;&lt;D xsi:type="xsd:double"&gt;3389611.5&lt;/D&gt;&lt;/FQL&gt;&lt;FQL&gt;&lt;Q&gt;CRWV^FG_PRICE(45792)&lt;/Q&gt;&lt;R&gt;1&lt;/R&gt;&lt;C&gt;1&lt;/C&gt;&lt;D xsi:type="xsd:double"&gt;68.77&lt;/D&gt;&lt;/FQL&gt;&lt;FQL&gt;&lt;Q&gt;CRWV^FE_ESTIMATE(TOTAL_RPO,MEAN,ANNUAL_ROLL,2029,45856,,,'')&lt;/Q&gt;&lt;R&gt;1&lt;/R&gt;&lt;C&gt;1&lt;/C&gt;&lt;D xsi:type="xsd:double"&gt;46954.9&lt;/D&gt;&lt;/FQL&gt;&lt;FQL&gt;&lt;Q&gt;CRWV^FE_ESTIMATE(TOTAL_RPO,MEAN,QUARTERLY_ROLL,2029/4F,45856,,,'')&lt;/Q&gt;&lt;R&gt;0&lt;/R&gt;&lt;C&gt;0&lt;/C&gt;&lt;/FQL&gt;&lt;FQL&gt;&lt;Q&gt;CRWV^FE_ESTIMATE(TOTAL_RPO,MEAN,QUARTERLY_ROLL,2029/3F,45856,,,'')&lt;/Q&gt;&lt;R&gt;0&lt;/R&gt;&lt;C&gt;0&lt;/C&gt;&lt;/FQL&gt;&lt;FQL&gt;&lt;Q&gt;CRWV^FE_ESTIMATE(TOTAL_RPO,MEAN,QUARTERLY_ROLL,2029/2F,45856,,,'')&lt;/Q&gt;&lt;R&gt;0&lt;/R&gt;&lt;C&gt;0&lt;/C&gt;&lt;/FQL&gt;&lt;FQL&gt;&lt;Q&gt;CRWV^FE_ESTIMATE(TOTAL_RPO,MEAN,QUARTERLY_ROLL,2029/1F,45856,,,'')&lt;/Q&gt;&lt;R&gt;0&lt;/R&gt;&lt;C&gt;0&lt;/C&gt;&lt;/FQL&gt;&lt;FQL&gt;&lt;Q&gt;CRWV^FE_ESTIMATE(TOTAL_RPO,MEAN,ANNUAL_ROLL,2028,45856,,,'')&lt;/Q&gt;&lt;R&gt;1&lt;/R&gt;&lt;C&gt;1&lt;/C&gt;&lt;D xsi:type="xsd:double"&gt;47970.9&lt;/D&gt;&lt;/FQL&gt;&lt;FQL&gt;&lt;Q&gt;CRWV^FE_ESTIMATE(TOTAL_RPO,MEAN,QUARTERLY_ROLL,2028/4F,45856,,,'')&lt;/Q&gt;&lt;R&gt;0&lt;/R&gt;&lt;C&gt;0&lt;/C&gt;&lt;/FQL&gt;&lt;FQL&gt;&lt;Q&gt;CRWV^FE_ESTIMATE(TOTAL_RPO,MEAN,QUARTERLY_ROLL,2028/3F,45856,,,'')&lt;/Q&gt;&lt;R&gt;0&lt;/R&gt;&lt;C&gt;0&lt;/C&gt;&lt;/FQL&gt;&lt;FQL&gt;&lt;Q&gt;CRWV^FE_ESTIMATE(TOTAL_RPO,MEAN,QUARTERLY_ROLL,2028/2F,45856,,,'')&lt;/Q&gt;&lt;R&gt;0&lt;/R&gt;&lt;C&gt;0&lt;/C&gt;&lt;/FQL&gt;&lt;FQL&gt;&lt;Q&gt;CRWV^FE_ESTIMATE(TOTAL_RPO,MEAN,QUARTERLY_ROLL,2028/1F,45856,,,'')&lt;/Q&gt;&lt;R&gt;0&lt;/R&gt;&lt;C&gt;0&lt;/C&gt;&lt;/FQL&gt;&lt;FQL&gt;&lt;Q&gt;CRWV^FE_ESTIMATE(TOTAL_RPO,MEAN,ANNUAL_ROLL,2027,45856,,,'')&lt;/Q&gt;&lt;R&gt;1&lt;/R&gt;&lt;C&gt;1&lt;/C&gt;&lt;D xsi:type="xsd:double"&gt;46228.1&lt;/D&gt;&lt;/FQL&gt;&lt;FQL&gt;&lt;Q&gt;CRWV^FE_ESTIMATE(TOTAL_RPO,MEAN,QUARTERLY_ROLL,2027/4F,45856,,,'')&lt;/Q&gt;&lt;R&gt;0&lt;/R&gt;&lt;C&gt;0&lt;/C&gt;&lt;/FQL&gt;&lt;FQL&gt;&lt;Q&gt;CRWV^FE_ESTIMATE(TOTAL_RPO,MEAN,QUARTERLY_ROLL,2027/3F,45856,,,'')&lt;/Q&gt;&lt;R&gt;0&lt;/R&gt;&lt;C&gt;0&lt;/C&gt;&lt;/FQL&gt;&lt;FQL&gt;&lt;Q&gt;CRWV^FE_ESTIMATE(TOTAL_RPO,MEAN,QUARTERLY_ROLL,2027/2F,45856,,,'')&lt;/Q&gt;&lt;R&gt;0&lt;/R&gt;&lt;C&gt;0&lt;/C&gt;&lt;/FQL&gt;&lt;FQL&gt;&lt;Q&gt;CRWV^FE_ESTIMATE(TOTAL_RPO,MEAN,QUARTERLY_ROLL,2027/1F,45856,,,'')&lt;/Q&gt;&lt;R&gt;0&lt;/R&gt;&lt;C&gt;0&lt;/C&gt;&lt;/FQL&gt;&lt;FQL&gt;&lt;Q&gt;CRWV^FE_ESTIMATE(TOTAL_RPO,MEAN,ANNUAL_ROLL,2026,45856,,,'')&lt;/Q&gt;&lt;R&gt;1&lt;/R&gt;&lt;C&gt;1&lt;/C&gt;&lt;D xsi:type="xsd:double"&gt;40635.5&lt;/D&gt;&lt;/FQL&gt;&lt;FQL&gt;&lt;Q&gt;CRWV^FE_ESTIMATE(TOTAL_RPO,MEAN,QUARTERLY_ROLL,2026/4F,45856,,,'')&lt;/Q&gt;&lt;R&gt;0&lt;/R&gt;&lt;C&gt;0&lt;/C&gt;&lt;/FQL&gt;&lt;FQL&gt;&lt;Q&gt;CRWV^FE_ESTIMATE(TOTAL_RPO,MEAN,QUARTERLY_ROLL,2026/3F,45856,,,'')&lt;/Q&gt;&lt;R&gt;0&lt;/R&gt;&lt;C&gt;0&lt;/C&gt;&lt;/FQL&gt;&lt;FQL&gt;&lt;Q&gt;CRWV^FE_ESTIMATE(TOTAL_RPO,MEAN,QUARTERLY_ROLL,2026/2F,45856,,,'')&lt;/Q&gt;&lt;R&gt;0&lt;/R&gt;&lt;C&gt;0&lt;/C&gt;&lt;/FQL&gt;&lt;FQL&gt;&lt;Q&gt;CRWV^FE_ESTIMATE(TOTAL_RPO,MEAN,QUARTERLY_ROLL,2026/1F,45856,,,'')&lt;/Q&gt;&lt;R&gt;0&lt;/R&gt;&lt;C&gt;0&lt;/C&gt;&lt;/FQL&gt;&lt;FQL&gt;&lt;Q&gt;CRWV^FE_ESTIMATE(TOTAL_RPO,MEAN,ANNUAL_ROLL,2025,45856,,,'')&lt;/Q&gt;&lt;R&gt;1&lt;/R&gt;&lt;C&gt;1&lt;/C&gt;&lt;D xsi:type="xsd:double"&gt;31824.8&lt;/D&gt;&lt;/FQL&gt;&lt;FQL&gt;&lt;Q&gt;CRWV^FE_ESTIMATE(TOTAL_RPO,MEAN,QUARTERLY_ROLL,2025/4F,45856,,,'')&lt;/Q&gt;&lt;R&gt;1&lt;/R&gt;&lt;C&gt;1&lt;/C&gt;&lt;D xsi:type="xsd:double"&gt;31824.8&lt;/D&gt;&lt;/FQL&gt;&lt;FQL&gt;&lt;Q&gt;CRWV^FE_ESTIMATE(TOTAL_RPO,MEAN,QUARTERLY_ROLL,2025/3F,45856,,,'')&lt;/Q&gt;&lt;R&gt;1&lt;/R&gt;&lt;C&gt;1&lt;/C&gt;&lt;D xsi:type="xsd:double"&gt;30020.4&lt;/D&gt;&lt;/FQL&gt;&lt;FQL&gt;&lt;Q&gt;CRWV^FE_ESTIMATE(TOTAL_RPO,MEAN,QUARTERLY_ROLL,2025/2F,45856,,,'')&lt;/Q&gt;&lt;R&gt;1&lt;/R&gt;&lt;C&gt;1&lt;/C&gt;&lt;D xsi:type="xsd:double"&gt;29341&lt;/D&gt;&lt;/FQL&gt;&lt;FQL&gt;&lt;Q&gt;CRWV^FE_ESTIMATE(TOTAL_RPO,MEAN,QUARTERLY_ROLL,2025/1F,45856,,,'')&lt;/Q&gt;&lt;R&gt;0&lt;/R&gt;&lt;C&gt;0&lt;/C&gt;&lt;/FQL&gt;&lt;FQL&gt;&lt;Q&gt;CRWV^FE_ESTIMATE(TOTAL_RPO,MEAN,ANNUAL_ROLL,2024,45856,,,'')&lt;/Q&gt;&lt;R&gt;1&lt;/R&gt;&lt;C&gt;1&lt;/C&gt;&lt;D xsi:type="xsd:double"&gt;15100&lt;/D&gt;&lt;/FQL&gt;&lt;FQL&gt;&lt;Q&gt;CRWV^FE_ESTIMATE(TOTAL_RPO,MEAN,QUARTERLY_ROLL,2024/4F,45856,,,'')&lt;/Q&gt;&lt;R&gt;1&lt;/R&gt;&lt;C&gt;1&lt;/C&gt;&lt;D xsi:type="xsd:double"&gt;15100&lt;/D&gt;&lt;/FQL&gt;&lt;FQL&gt;&lt;Q&gt;CRWV^FE_ESTIMATE(TOTAL_RPO,MEAN,QUARTERLY_ROLL,2024/3F,45856,,,'')&lt;/Q&gt;&lt;R&gt;0&lt;/R&gt;&lt;C&gt;0&lt;/C&gt;&lt;/FQL&gt;&lt;FQL&gt;&lt;Q&gt;CRWV^FE_ESTIMATE(TOTAL_RPO,MEAN,QUARTERLY_ROLL,2024/2F,45856,,,'')&lt;/Q&gt;&lt;R&gt;0&lt;/R&gt;&lt;C&gt;0&lt;/C&gt;&lt;/FQL&gt;&lt;FQL&gt;&lt;Q&gt;CRWV^FE_ESTIMATE(TOTAL_RPO,MEAN,QUARTERLY_ROLL,2024/1F,45856,,,'')&lt;/Q&gt;&lt;R&gt;0&lt;/R&gt;&lt;C&gt;0&lt;/C&gt;&lt;/FQL&gt;&lt;FQL&gt;&lt;Q&gt;CRWV^FE_ESTIMATE(TOTAL_RPO,MEAN,ANNUAL_ROLL,2023,45856,,,'')&lt;/Q&gt;&lt;R&gt;0&lt;/R&gt;&lt;C&gt;0&lt;/C&gt;&lt;/FQL&gt;&lt;FQL&gt;&lt;Q&gt;CRWV^FE_ESTIMATE(TOTAL_RPO,MEAN,QUARTERLY_ROLL,2023/4F,45856,,,'')&lt;/Q&gt;&lt;R&gt;0&lt;/R&gt;&lt;C&gt;0&lt;/C&gt;&lt;/FQL&gt;&lt;FQL&gt;&lt;Q&gt;CRWV^FE_ESTIMATE(TOTAL_RPO,MEAN,QUARTERLY_ROLL,2023/3F,45856,,,'')&lt;/Q&gt;&lt;R&gt;0&lt;/R&gt;&lt;C&gt;0&lt;/C&gt;&lt;/FQL&gt;&lt;FQL&gt;&lt;Q&gt;CRWV^FE_ESTIMATE(TOTAL_RPO,MEAN,QUARTERLY_ROLL,2023/2F,45856,,,'')&lt;/Q&gt;&lt;R&gt;0&lt;/R&gt;&lt;C&gt;0&lt;/C&gt;&lt;/FQL&gt;&lt;FQL&gt;&lt;Q&gt;CRWV^FE_ESTIMATE(TOTAL_RPO,MEAN,QUARTERLY_ROLL,2023/1F,45856,,,'')&lt;/Q&gt;&lt;R&gt;0&lt;/R&gt;&lt;C&gt;0&lt;/C&gt;&lt;/FQL&gt;&lt;FQL&gt;&lt;Q&gt;CRWV^FE_ESTIMATE(TOTAL_RPO,MEAN,ANNUAL_ROLL,2022,45856,,,'')&lt;/Q&gt;&lt;R&gt;0&lt;/R&gt;&lt;C&gt;0&lt;/C&gt;&lt;/FQL&gt;&lt;FQL&gt;&lt;Q&gt;CRWV^FE_ESTIMATE(TOTAL_RPO,MEAN,QUARTERLY_ROLL,2022/4F,45856,,,'')&lt;/Q&gt;&lt;R&gt;0&lt;/R&gt;&lt;C&gt;0&lt;/C&gt;&lt;/FQL&gt;&lt;FQL&gt;&lt;Q&gt;CRWV^FE_ESTIMATE(TOTAL_RPO,MEAN,QUARTERLY_ROLL,2022/3F,45856,,,'')&lt;/Q&gt;&lt;R&gt;0&lt;/R&gt;&lt;C&gt;0&lt;/C&gt;&lt;/FQL&gt;&lt;FQL&gt;&lt;Q&gt;CRWV^FE_ESTIMATE(TOTAL_RPO,MEAN,QUARTERLY_ROLL,2022/2F,45856,,,'')&lt;/Q&gt;&lt;R&gt;0&lt;/R&gt;&lt;C&gt;0&lt;/C&gt;&lt;/FQL&gt;&lt;FQL&gt;&lt;Q&gt;CRWV^FE_ESTIMATE(TOTAL_RPO,MEAN,QUARTERLY_ROLL,2022/1F,45856,,,'')&lt;/Q&gt;&lt;R&gt;0&lt;/R&gt;&lt;C&gt;0&lt;/C&gt;&lt;/FQL&gt;&lt;FQL&gt;&lt;Q&gt;CRWV^FE_ESTIMATE(ARR,MEAN,ANNUAL_ROLL,2029,45856,,,'')&lt;/Q&gt;&lt;R&gt;0&lt;/R&gt;&lt;C&gt;0&lt;/C&gt;&lt;/FQL&gt;&lt;FQL&gt;&lt;Q&gt;CRWV^FE_ESTIMATE(ARR,MEAN,QUARTERLY_ROLL,2029/4F,45856,,,'')&lt;/Q&gt;&lt;R&gt;0&lt;/R&gt;&lt;C&gt;0&lt;/C&gt;&lt;/FQL&gt;&lt;FQL&gt;&lt;Q&gt;CRWV^FE_ESTIMATE(ARR,MEAN,QUARTERLY_ROLL,2029/3F,45856,,,'')&lt;/Q&gt;&lt;R&gt;0&lt;/R&gt;&lt;C&gt;0&lt;/C&gt;&lt;/FQL&gt;&lt;FQL&gt;&lt;Q&gt;CRWV^FE_ESTIMATE(ARR,MEAN,QUARTERLY_ROLL,2029/2F,45856,,,'')&lt;/Q&gt;&lt;R&gt;0&lt;/R&gt;&lt;C&gt;0&lt;/C&gt;&lt;/FQL&gt;&lt;FQL&gt;&lt;Q&gt;CRWV^FE_ESTIMATE(ARR,MEAN,QUARTERLY_ROLL,2029/1F,45856,,,'')&lt;/Q&gt;&lt;R&gt;0&lt;/R&gt;&lt;C&gt;0&lt;/C&gt;&lt;/FQL&gt;&lt;FQL&gt;&lt;Q&gt;CRWV^FE_ESTIMATE(ARR,MEAN,ANNUAL_ROLL,2028,45856,,,'')&lt;/Q&gt;&lt;R&gt;0&lt;/R&gt;&lt;C&gt;0&lt;/C&gt;&lt;/FQL&gt;&lt;FQL&gt;&lt;Q&gt;CRWV^FE_ESTIMATE(ARR,MEAN,QUARTERLY_ROLL,2028/4F,45856,,,'')&lt;/Q&gt;&lt;R&gt;0&lt;/R&gt;&lt;C&gt;0&lt;/C&gt;&lt;/FQL&gt;&lt;FQL&gt;&lt;Q&gt;CRWV^FE_ESTIMATE(ARR,MEAN,QUARTERLY_ROLL,2028/3F,45856,,,'')&lt;/Q&gt;&lt;R&gt;0&lt;/R&gt;&lt;C&gt;0&lt;/C&gt;&lt;/FQL&gt;&lt;FQL&gt;&lt;Q&gt;CRWV^FE_ESTIMATE(ARR,MEAN,QUARTERLY_ROLL,2028/2F,45856,,,'')&lt;/Q&gt;&lt;R&gt;0&lt;/R&gt;&lt;C&gt;0&lt;/C&gt;&lt;/FQL&gt;&lt;FQL&gt;&lt;Q&gt;CRWV^FE_ESTIMATE(ARR,MEAN,QUARTERLY_ROLL,2028/1F,45856,,,'')&lt;/Q&gt;&lt;R&gt;0&lt;/R&gt;&lt;C&gt;0&lt;/C&gt;&lt;/FQL&gt;&lt;FQL&gt;&lt;Q&gt;CRWV^FE_ESTIMATE(ARR,MEAN,ANNUAL_ROLL,2027,45856,,,'')&lt;/Q&gt;&lt;R&gt;1&lt;/R&gt;&lt;C&gt;1&lt;/C&gt;&lt;D xsi:type="xsd:double"&gt;16800&lt;/D&gt;&lt;/FQL&gt;&lt;FQL&gt;&lt;Q&gt;CRWV^FE_ESTIMATE(ARR,MEAN,QUARTERLY_ROLL,2027/4F,45856,,,'')&lt;/Q&gt;&lt;R&gt;0&lt;/R&gt;&lt;C&gt;0&lt;/C&gt;&lt;/FQL&gt;&lt;FQL&gt;&lt;Q&gt;CRWV^FE_ESTIMATE(ARR,MEAN,QUARTERLY_ROLL,2027/3F,45856,,,'')&lt;/Q&gt;&lt;R&gt;0&lt;/R&gt;&lt;C&gt;0&lt;/C&gt;&lt;/FQL&gt;&lt;FQL&gt;&lt;Q&gt;CRWV^FE_ESTIMATE(ARR,MEAN,QUARTERLY_ROLL,2027/2F,45856,,,'')&lt;/Q&gt;&lt;R&gt;0&lt;/R&gt;&lt;C&gt;0&lt;/C&gt;&lt;/FQL&gt;&lt;FQL&gt;&lt;Q&gt;CRWV^FE_ESTIMATE(ARR,MEAN,QUARTERLY_ROLL,2027/1F,45856,,,'')&lt;/Q&gt;&lt;R&gt;0&lt;/R&gt;&lt;C&gt;0&lt;/C&gt;&lt;/FQL&gt;&lt;FQL&gt;&lt;Q&gt;CRWV^FE_ESTIMATE(ARR,MEAN,ANNUAL_ROLL,2026,45856,,,'')&lt;/Q&gt;&lt;R&gt;1&lt;/R&gt;&lt;C&gt;1&lt;/C&gt;&lt;D xsi:type="xsd:double"&gt;12400&lt;/D&gt;&lt;/FQL&gt;&lt;FQL&gt;&lt;Q&gt;CRWV^FE_ESTIMATE(ARR,MEAN,QUARTERLY_ROLL,2026/4F,45856,,,'')&lt;/Q&gt;&lt;R&gt;0&lt;/R&gt;&lt;C&gt;0&lt;/C&gt;&lt;/FQL&gt;&lt;FQL&gt;&lt;Q&gt;CRWV^FE_ESTIMATE(ARR,MEAN,QUARTERLY_ROLL,2026/3F,45856,,,'')&lt;/Q&gt;&lt;R&gt;0&lt;/R&gt;&lt;C&gt;0&lt;/C&gt;&lt;/FQL&gt;&lt;FQL&gt;&lt;Q&gt;CRWV^FE_ESTIMATE(ARR,MEAN,QUARTERLY_ROLL,2026/2F,45856,,,'')&lt;/Q&gt;&lt;R&gt;0&lt;/R&gt;&lt;C&gt;0&lt;/C&gt;&lt;/FQL&gt;&lt;FQL&gt;&lt;Q&gt;CRWV^FE_ESTIMATE(ARR,MEAN,QUARTERLY_ROLL,2026/1F,45856,,,'')&lt;/Q&gt;&lt;R&gt;0&lt;/R&gt;&lt;C&gt;0&lt;/C&gt;&lt;/FQL&gt;&lt;FQL&gt;&lt;Q&gt;CRWV^FE_ESTIMATE(ARR,MEAN,ANNUAL_ROLL,2025,45856,,,'')&lt;/Q&gt;&lt;R&gt;1&lt;/</t>
        </r>
      </text>
    </comment>
    <comment ref="A9" authorId="0" shapeId="0" xr:uid="{1954B8EB-248A-421F-A09A-C4B24A7B9A2F}">
      <text>
        <r>
          <rPr>
            <b/>
            <sz val="9"/>
            <color indexed="81"/>
            <rFont val="Tahoma"/>
            <charset val="1"/>
          </rPr>
          <t>R&gt;&lt;C&gt;1&lt;/C&gt;&lt;D xsi:type="xsd:double"&gt;6800&lt;/D&gt;&lt;/FQL&gt;&lt;FQL&gt;&lt;Q&gt;CRWV^FE_ESTIMATE(ARR,MEAN,QUARTERLY_ROLL,2025/4F,45856,,,'')&lt;/Q&gt;&lt;R&gt;0&lt;/R&gt;&lt;C&gt;0&lt;/C&gt;&lt;/FQL&gt;&lt;FQL&gt;&lt;Q&gt;CRWV^FE_ESTIMATE(ARR,MEAN,QUARTERLY_ROLL,2025/3F,45856,,,'')&lt;/Q&gt;&lt;R&gt;0&lt;/R&gt;&lt;C&gt;0&lt;/C&gt;&lt;/FQL&gt;&lt;FQL&gt;&lt;Q&gt;CRWV^FE_ESTIMATE(ARR,MEAN,QUARTERLY_ROLL,2025/2F,45856,,,'')&lt;/Q&gt;&lt;R&gt;0&lt;/R&gt;&lt;C&gt;0&lt;/C&gt;&lt;/FQL&gt;&lt;FQL&gt;&lt;Q&gt;CRWV^FE_ESTIMATE(ARR,MEAN,QUARTERLY_ROLL,2025/1F,45856,,,'')&lt;/Q&gt;&lt;R&gt;0&lt;/R&gt;&lt;C&gt;0&lt;/C&gt;&lt;/FQL&gt;&lt;FQL&gt;&lt;Q&gt;CRWV^FE_ESTIMATE(ARR,MEAN,ANNUAL_ROLL,2024,45856,,,'')&lt;/Q&gt;&lt;R&gt;1&lt;/R&gt;&lt;C&gt;1&lt;/C&gt;&lt;D xsi:type="xsd:double"&gt;3000&lt;/D&gt;&lt;/FQL&gt;&lt;FQL&gt;&lt;Q&gt;CRWV^FE_ESTIMATE(ARR,MEAN,QUARTERLY_ROLL,2024/4F,45856,,,'')&lt;/Q&gt;&lt;R&gt;0&lt;/R&gt;&lt;C&gt;0&lt;/C&gt;&lt;/FQL&gt;&lt;FQL&gt;&lt;Q&gt;CRWV^FE_ESTIMATE(ARR,MEAN,QUARTERLY_ROLL,2024/3F,45856,,,'')&lt;/Q&gt;&lt;R&gt;0&lt;/R&gt;&lt;C&gt;0&lt;/C&gt;&lt;/FQL&gt;&lt;FQL&gt;&lt;Q&gt;CRWV^FE_ESTIMATE(ARR,MEAN,QUARTERLY_ROLL,2024/2F,45856,,,'')&lt;/Q&gt;&lt;R&gt;0&lt;/R&gt;&lt;C&gt;0&lt;/C&gt;&lt;/FQL&gt;&lt;FQL&gt;&lt;Q&gt;CRWV^FE_ESTIMATE(ARR,MEAN,QUARTERLY_ROLL,2024/1F,45856,,,'')&lt;/Q&gt;&lt;R&gt;0&lt;/R&gt;&lt;C&gt;0&lt;/C&gt;&lt;/FQL&gt;&lt;FQL&gt;&lt;Q&gt;CRWV^FE_ESTIMATE(ARR,MEAN,ANNUAL_ROLL,2023,45856,,,'')&lt;/Q&gt;&lt;R&gt;0&lt;/R&gt;&lt;C&gt;0&lt;/C&gt;&lt;/FQL&gt;&lt;FQL&gt;&lt;Q&gt;CRWV^FE_ESTIMATE(ARR,MEAN,QUARTERLY_ROLL,2023/4F,45856,,,'')&lt;/Q&gt;&lt;R&gt;0&lt;/R&gt;&lt;C&gt;0&lt;/C&gt;&lt;/FQL&gt;&lt;FQL&gt;&lt;Q&gt;CRWV^FE_ESTIMATE(ARR,MEAN,QUARTERLY_ROLL,2023/3F,45856,,,'')&lt;/Q&gt;&lt;R&gt;0&lt;/R&gt;&lt;C&gt;0&lt;/C&gt;&lt;/FQL&gt;&lt;FQL&gt;&lt;Q&gt;CRWV^FE_ESTIMATE(ARR,MEAN,QUARTERLY_ROLL,2023/2F,45856,,,'')&lt;/Q&gt;&lt;R&gt;0&lt;/R&gt;&lt;C&gt;0&lt;/C&gt;&lt;/FQL&gt;&lt;FQL&gt;&lt;Q&gt;CRWV^FE_ESTIMATE(ARR,MEAN,QUARTERLY_ROLL,2023/1F,45856,,,'')&lt;/Q&gt;&lt;R&gt;0&lt;/R&gt;&lt;C&gt;0&lt;/C&gt;&lt;/FQL&gt;&lt;FQL&gt;&lt;Q&gt;CRWV^FE_ESTIMATE(ARR,MEAN,ANNUAL_ROLL,2022,45856,,,'')&lt;/Q&gt;&lt;R&gt;0&lt;/R&gt;&lt;C&gt;0&lt;/C&gt;&lt;/FQL&gt;&lt;FQL&gt;&lt;Q&gt;CRWV^FE_ESTIMATE(ARR,MEAN,QUARTERLY_ROLL,2022/4F,45856,,,'')&lt;/Q&gt;&lt;R&gt;0&lt;/R&gt;&lt;C&gt;0&lt;/C&gt;&lt;/FQL&gt;&lt;FQL&gt;&lt;Q&gt;CRWV^FE_ESTIMATE(ARR,MEAN,QUARTERLY_ROLL,2022/3F,45856,,,'')&lt;/Q&gt;&lt;R&gt;0&lt;/R&gt;&lt;C&gt;0&lt;/C&gt;&lt;/FQL&gt;&lt;FQL&gt;&lt;Q&gt;CRWV^FE_ESTIMATE(ARR,MEAN,QUARTERLY_ROLL,2022/2F,45856,,,'')&lt;/Q&gt;&lt;R&gt;0&lt;/R&gt;&lt;C&gt;0&lt;/C&gt;&lt;/FQL&gt;&lt;FQL&gt;&lt;Q&gt;CRWV^FE_ESTIMATE(ARR,MEAN,QUARTERLY_ROLL,2022/1F,45856,,,'')&lt;/Q&gt;&lt;R&gt;0&lt;/R&gt;&lt;C&gt;0&lt;/C&gt;&lt;/FQL&gt;&lt;FQL&gt;&lt;Q&gt;CRWV^FE_ESTIMATE(NEW_ORDERS_VALUE,MEAN,ANNUAL_ROLL,2029,45856,,,'')&lt;/Q&gt;&lt;R&gt;0&lt;/R&gt;&lt;C&gt;0&lt;/C&gt;&lt;/FQL&gt;&lt;FQL&gt;&lt;Q&gt;CRWV^FE_ESTIMATE(NEW_ORDERS_VALUE,MEAN,QUARTERLY_ROLL,2029/4F,45856,,,'')&lt;/Q&gt;&lt;R&gt;0&lt;/R&gt;&lt;C&gt;0&lt;/C&gt;&lt;/FQL&gt;&lt;FQL&gt;&lt;Q&gt;CRWV^FE_ESTIMATE(NEW_ORDERS_VALUE,MEAN,QUARTERLY_ROLL,2029/3F,45856,,,'')&lt;/Q&gt;&lt;R&gt;0&lt;/R&gt;&lt;C&gt;0&lt;/C&gt;&lt;/FQL&gt;&lt;FQL&gt;&lt;Q&gt;CRWV^FE_ESTIMATE(NEW_ORDERS_VALUE,MEAN,QUARTERLY_ROLL,2029/2F,45856,,,'')&lt;/Q&gt;&lt;R&gt;0&lt;/R&gt;&lt;C&gt;0&lt;/C&gt;&lt;/FQL&gt;&lt;FQL&gt;&lt;Q&gt;CRWV^FE_ESTIMATE(NEW_ORDERS_VALUE,MEAN,QUARTERLY_ROLL,2029/1F,45856,,,'')&lt;/Q&gt;&lt;R&gt;0&lt;/R&gt;&lt;C&gt;0&lt;/C&gt;&lt;/FQL&gt;&lt;FQL&gt;&lt;Q&gt;CRWV^FE_ESTIMATE(NEW_ORDERS_VALUE,MEAN,ANNUAL_ROLL,2028,45856,,,'')&lt;/Q&gt;&lt;R&gt;0&lt;/R&gt;&lt;C&gt;0&lt;/C&gt;&lt;/FQL&gt;&lt;FQL&gt;&lt;Q&gt;CRWV^FE_ESTIMATE(NEW_ORDERS_VALUE,MEAN,QUARTERLY_ROLL,2028/4F,45856,,,'')&lt;/Q&gt;&lt;R&gt;0&lt;/R&gt;&lt;C&gt;0&lt;/C&gt;&lt;/FQL&gt;&lt;FQL&gt;&lt;Q&gt;CRWV^FE_ESTIMATE(NEW_ORDERS_VALUE,MEAN,QUARTERLY_ROLL,2028/3F,45856,,,'')&lt;/Q&gt;&lt;R&gt;0&lt;/R&gt;&lt;C&gt;0&lt;/C&gt;&lt;/FQL&gt;&lt;FQL&gt;&lt;Q&gt;CRWV^FE_ESTIMATE(NEW_ORDERS_VALUE,MEAN,QUARTERLY_ROLL,2028/2F,45856,,,'')&lt;/Q&gt;&lt;R&gt;0&lt;/R&gt;&lt;C&gt;0&lt;/C&gt;&lt;/FQL&gt;&lt;FQL&gt;&lt;Q&gt;CRWV^FE_ESTIMATE(NEW_ORDERS_VALUE,MEAN,QUARTERLY_ROLL,2028/1F,45856,,,'')&lt;/Q&gt;&lt;R&gt;0&lt;/R&gt;&lt;C&gt;0&lt;/C&gt;&lt;/FQL&gt;&lt;FQL&gt;&lt;Q&gt;CRWV^FE_ESTIMATE(NEW_ORDERS_VALUE,MEAN,ANNUAL_ROLL,2027,45856,,,'')&lt;/Q&gt;&lt;R&gt;0&lt;/R&gt;&lt;C&gt;0&lt;/C&gt;&lt;/FQL&gt;&lt;FQL&gt;&lt;Q&gt;CRWV^FE_ESTIMATE(NEW_ORDERS_VALUE,MEAN,QUARTERLY_ROLL,2027/4F,45856,,,'')&lt;/Q&gt;&lt;R&gt;1&lt;/R&gt;&lt;C&gt;1&lt;/C&gt;&lt;D xsi:type="xsd:double"&gt;4563&lt;/D&gt;&lt;/FQL&gt;&lt;FQL&gt;&lt;Q&gt;CRWV^FE_ESTIMATE(NEW_ORDERS_VALUE,MEAN,QUARTERLY_ROLL,2027/3F,45856,,,'')&lt;/Q&gt;&lt;R&gt;1&lt;/R&gt;&lt;C&gt;1&lt;/C&gt;&lt;D xsi:type="xsd:double"&gt;4452&lt;/D&gt;&lt;/FQL&gt;&lt;FQL&gt;&lt;Q&gt;CRWV^FE_ESTIMATE(NEW_ORDERS_VALUE,MEAN,QUARTERLY_ROLL,2027/2F,45856,,,'')&lt;/Q&gt;&lt;R&gt;1&lt;/R&gt;&lt;C&gt;1&lt;/C&gt;&lt;D xsi:type="xsd:double"&gt;4260&lt;/D&gt;&lt;/FQL&gt;&lt;FQL&gt;&lt;Q&gt;CRWV^FE_ESTIMATE(NEW_ORDERS_VALUE,MEAN,QUARTERLY_ROLL,2027/1F,45856,,,'')&lt;/Q&gt;&lt;R&gt;1&lt;/R&gt;&lt;C&gt;1&lt;/C&gt;&lt;D xsi:type="xsd:double"&gt;4019&lt;/D&gt;&lt;/FQL&gt;&lt;FQL&gt;&lt;Q&gt;CRWV^FE_ESTIMATE(NEW_ORDERS_VALUE,MEAN,ANNUAL_ROLL,2026,45856,,,'')&lt;/Q&gt;&lt;R&gt;0&lt;/R&gt;&lt;C&gt;0&lt;/C&gt;&lt;/FQL&gt;&lt;FQL&gt;&lt;Q&gt;CRWV^FE_ESTIMATE(NEW_ORDERS_VALUE,MEAN,QUARTERLY_ROLL,2026/4F,45856,,,'')&lt;/Q&gt;&lt;R&gt;1&lt;/R&gt;&lt;C&gt;1&lt;/C&gt;&lt;D xsi:type="xsd:double"&gt;3588&lt;/D&gt;&lt;/FQL&gt;&lt;FQL&gt;&lt;Q&gt;CRWV^FE_ESTIMATE(NEW_ORDERS_VALUE,MEAN,QUARTERLY_ROLL,2026/3F,45856,,,'')&lt;/Q&gt;&lt;R&gt;1&lt;/R&gt;&lt;C&gt;1&lt;/C&gt;&lt;D xsi:type="xsd:double"&gt;3268&lt;/D&gt;&lt;/FQL&gt;&lt;FQL&gt;&lt;Q&gt;CRWV^FE_ESTIMATE(NEW_ORDERS_VALUE,MEAN,QUARTERLY_ROLL,2026/2F,45856,,,'')&lt;/Q&gt;&lt;R&gt;1&lt;/R&gt;&lt;C&gt;1&lt;/C&gt;&lt;D xsi:type="xsd:double"&gt;2961&lt;/D&gt;&lt;/FQL&gt;&lt;FQL&gt;&lt;Q&gt;CRWV^FE_ESTIMATE(NEW_ORDERS_VALUE,MEAN,QUARTERLY_ROLL,2026/1F,45856,,,'')&lt;/Q&gt;&lt;R&gt;1&lt;/R&gt;&lt;C&gt;1&lt;/C&gt;&lt;D xsi:type="xsd:double"&gt;2906&lt;/D&gt;&lt;/FQL&gt;&lt;FQL&gt;&lt;Q&gt;CRWV^FE_ESTIMATE(NEW_ORDERS_VALUE,MEAN,ANNUAL_ROLL,2025,45856,,,'')&lt;/Q&gt;&lt;R&gt;0&lt;/R&gt;&lt;C&gt;0&lt;/C&gt;&lt;/FQL&gt;&lt;FQL&gt;&lt;Q&gt;CRWV^FE_ESTIMATE(NEW_ORDERS_VALUE,MEAN,QUARTERLY_ROLL,2025/4F,45856,,,'')&lt;/Q&gt;&lt;R&gt;1&lt;/R&gt;&lt;C&gt;1&lt;/C&gt;&lt;D xsi:type="xsd:double"&gt;1851&lt;/D&gt;&lt;/FQL&gt;&lt;FQL&gt;&lt;Q&gt;CRWV^FE_ESTIMATE(NEW_ORDERS_VALUE,MEAN,QUARTERLY_ROLL,2025/3F,45856,,,'')&lt;/Q&gt;&lt;R&gt;1&lt;/R&gt;&lt;C&gt;1&lt;/C&gt;&lt;D xsi:type="xsd:double"&gt;1413&lt;/D&gt;&lt;/FQL&gt;&lt;FQL&gt;&lt;Q&gt;CRWV^FE_ESTIMATE(NEW_ORDERS_VALUE,MEAN,QUARTERLY_ROLL,2025/2F,45856,,,'')&lt;/Q&gt;&lt;R&gt;1&lt;/R&gt;&lt;C&gt;1&lt;/C&gt;&lt;D xsi:type="xsd:double"&gt;1221&lt;/D&gt;&lt;/FQL&gt;&lt;FQL&gt;&lt;Q&gt;CRWV^FE_ESTIMATE(NEW_ORDERS_VALUE,MEAN,QUARTERLY_ROLL,2025/1F,45856,,,'')&lt;/Q&gt;&lt;R&gt;0&lt;/R&gt;&lt;C&gt;0&lt;/C&gt;&lt;/FQL&gt;&lt;FQL&gt;&lt;Q&gt;CRWV^FE_ESTIMATE(NEW_ORDERS_VALUE,MEAN,ANNUAL_ROLL,2024,45856,,,'')&lt;/Q&gt;&lt;R&gt;0&lt;/R&gt;&lt;C&gt;0&lt;/C&gt;&lt;/FQL&gt;&lt;FQL&gt;&lt;Q&gt;CRWV^FE_ESTIMATE(NEW_ORDERS_VALUE,MEAN,QUARTERLY_ROLL,2024/4F,45856,,,'')&lt;/Q&gt;&lt;R&gt;1&lt;/R&gt;&lt;C&gt;1&lt;/C&gt;&lt;D xsi:type="xsd:double"&gt;382&lt;/D&gt;&lt;/FQL&gt;&lt;FQL&gt;&lt;Q&gt;CRWV^FE_ESTIMATE(NEW_ORDERS_VALUE,MEAN,QUARTERLY_ROLL,2024/3F,45856,,,'')&lt;/Q&gt;&lt;R&gt;0&lt;/R&gt;&lt;C&gt;0&lt;/C&gt;&lt;/FQL&gt;&lt;FQL&gt;&lt;Q&gt;CRWV^FE_ESTIMATE(NEW_ORDERS_VALUE,MEAN,QUARTERLY_ROLL,2024/2F,45856,,,'')&lt;/Q&gt;&lt;R&gt;0&lt;/R&gt;&lt;C&gt;0&lt;/C&gt;&lt;/FQL&gt;&lt;FQL&gt;&lt;Q&gt;CRWV^FE_ESTIMATE(NEW_ORDERS_VALUE,MEAN,QUARTERLY_ROLL,2024/1F,45856,,,'')&lt;/Q&gt;&lt;R&gt;0&lt;/R&gt;&lt;C&gt;0&lt;/C&gt;&lt;/FQL&gt;&lt;FQL&gt;&lt;Q&gt;CRWV^FE_ESTIMATE(NEW_ORDERS_VALUE,MEAN,ANNUAL_ROLL,2023,45856,,,'')&lt;/Q&gt;&lt;R&gt;0&lt;/R&gt;&lt;C&gt;0&lt;/C&gt;&lt;/FQL&gt;&lt;FQL&gt;&lt;Q&gt;CRWV^FE_ESTIMATE(NEW_ORDERS_VALUE,MEAN,QUARTERLY_ROLL,2023/4F,45856,,,'')&lt;/Q&gt;&lt;R&gt;0&lt;/R&gt;&lt;C&gt;0&lt;/C&gt;&lt;/FQL&gt;&lt;FQL&gt;&lt;Q&gt;CRWV^FE_ESTIMATE(NEW_ORDERS_VALUE,MEAN,QUARTERLY_ROLL,2023/3F,45856,,,'')&lt;/Q&gt;&lt;R&gt;0&lt;/R&gt;&lt;C&gt;0&lt;/C&gt;&lt;/FQL&gt;&lt;FQL&gt;&lt;Q&gt;CRWV^FE_ESTIMATE(NEW_ORDERS_VALUE,MEAN,QUARTERLY_ROLL,2023/2F,45856,,,'')&lt;/Q&gt;&lt;R&gt;0&lt;/R&gt;&lt;C&gt;0&lt;/C&gt;&lt;/FQL&gt;&lt;FQL&gt;&lt;Q&gt;CRWV^FE_ESTIMATE(NEW_ORDERS_VALUE,MEAN,QUARTERLY_ROLL,2023/1F,45856,,,'')&lt;/Q&gt;&lt;R&gt;0&lt;/R&gt;&lt;C&gt;0&lt;/C&gt;&lt;/FQL&gt;&lt;FQL&gt;&lt;Q&gt;CRWV^FE_ESTIMATE(NEW_ORDERS_VALUE,MEAN,ANNUAL_ROLL,2022,45856,,,'')&lt;/Q&gt;&lt;R&gt;0&lt;/R&gt;&lt;C&gt;0&lt;/C&gt;&lt;/FQL&gt;&lt;FQL&gt;&lt;Q&gt;CRWV^FE_ESTIMATE(NEW_ORDERS_VALUE,MEAN,QUARTERLY_ROLL,2022/4F,45856,,,'')&lt;/Q&gt;&lt;R&gt;0&lt;/R&gt;&lt;C&gt;0&lt;/C&gt;&lt;/FQL&gt;&lt;FQL&gt;&lt;Q&gt;CRWV^FE_ESTIMATE(NEW_ORDERS_VALUE,MEAN,QUARTERLY_ROLL,2022/3F,45856,,,'')&lt;/Q&gt;&lt;R&gt;0&lt;/R&gt;&lt;C&gt;0&lt;/C&gt;&lt;/FQL&gt;&lt;FQL&gt;&lt;Q&gt;CRWV^FE_ESTIMATE(NEW_ORDERS_VALUE,MEAN,QUARTERLY_ROLL,2022/2F,45856,,,'')&lt;/Q&gt;&lt;R&gt;0&lt;/R&gt;&lt;C&gt;0&lt;/C&gt;&lt;/FQL&gt;&lt;FQL&gt;&lt;Q&gt;CRWV^FE_ESTIMATE(NEW_ORDERS_VALUE,MEAN,QUARTERLY_ROLL,2022/1F,45856,,,'')&lt;/Q&gt;&lt;R&gt;0&lt;/R&gt;&lt;C&gt;0&lt;/C&gt;&lt;/FQL&gt;&lt;FQL&gt;&lt;Q&gt;CRWV^FE_ESTIMATE(TOTALDEBT,MEAN,ANNUAL_ROLL,2029,45856,,,'')&lt;/Q&gt;&lt;R&gt;1&lt;/R&gt;&lt;C&gt;1&lt;/C&gt;&lt;D xsi:type="xsd:double"&gt;35657.7&lt;/D&gt;&lt;/FQL&gt;&lt;FQL&gt;&lt;Q&gt;CRWV^FE_ESTIMATE(TOTALDEBT,MEAN,QUARTERLY_ROLL,2029/4F,45856,,,'')&lt;/Q&gt;&lt;R&gt;0&lt;/R&gt;&lt;C&gt;0&lt;/C&gt;&lt;/FQL&gt;&lt;FQL&gt;&lt;Q&gt;CRWV^FE_ESTIMATE(TOTALDEBT,MEAN,QUARTERLY_ROLL,2029/3F,45856,,,'')&lt;/Q&gt;&lt;R&gt;0&lt;/R&gt;&lt;C&gt;0&lt;/C&gt;&lt;/FQL&gt;&lt;FQL&gt;&lt;Q&gt;CRWV^FE_ESTIMATE(TOTALDEBT,MEAN,QUARTERLY_ROLL,2029/2F,45856,,,'')&lt;/Q&gt;&lt;R&gt;0&lt;/R&gt;&lt;C&gt;0&lt;/C&gt;&lt;/FQL&gt;&lt;FQL&gt;&lt;Q&gt;CRWV^FE_ESTIMATE(TOTALDEBT,MEAN,QUARTERLY_ROLL,2029/1F,45856,,,'')&lt;/Q&gt;&lt;R&gt;0&lt;/R&gt;&lt;C&gt;0&lt;/C&gt;&lt;/FQL&gt;&lt;FQL&gt;&lt;Q&gt;CRWV^FE_ESTIMATE(TOTALDEBT,MEAN,ANNUAL_ROLL,2028,45856,,,'')&lt;/Q&gt;&lt;R&gt;1&lt;/R&gt;&lt;C&gt;1&lt;/C&gt;&lt;D xsi:type="xsd:double"&gt;35584.7&lt;/D&gt;&lt;/FQL&gt;&lt;FQL&gt;&lt;Q&gt;CRWV^FE_ESTIMATE(TOTALDEBT,MEAN,QUARTERLY_ROLL,2028/4F,45856,,,'')&lt;/Q&gt;&lt;R&gt;0&lt;/R&gt;&lt;C&gt;0&lt;/C&gt;&lt;/FQL&gt;&lt;FQL&gt;&lt;Q&gt;CRWV^FE_ESTIMATE(TOTALDEBT,MEAN,QUARTERLY_ROLL,2028/3F,45856,,,'')&lt;/Q&gt;&lt;R&gt;0&lt;/R&gt;&lt;C&gt;0&lt;/C&gt;&lt;/FQL&gt;&lt;FQL&gt;&lt;Q&gt;CRWV^FE_ESTIMATE(TOTALDEBT,MEAN,QUARTERLY_ROLL,2028/2F,45856,,,'')&lt;/Q&gt;&lt;R&gt;0&lt;/R&gt;&lt;C&gt;0&lt;/C&gt;&lt;/FQL&gt;&lt;FQL&gt;&lt;Q&gt;CRWV^FE_ESTIMATE(TOTALDEBT,MEAN,QUARTERLY_ROLL,2028/1F,45856,,,'')&lt;/Q&gt;&lt;R&gt;0&lt;/R&gt;&lt;C&gt;0&lt;/C&gt;&lt;/FQL&gt;&lt;FQL&gt;&lt;Q&gt;CRWV^FE_ESTIMATE(TOTALDEBT,MEAN,ANNUAL_ROLL,2027,45856,,,'')&lt;/Q&gt;&lt;R&gt;1&lt;/R&gt;&lt;C&gt;1&lt;/C&gt;&lt;D xsi:type="xsd:double"&gt;34202.99&lt;/D&gt;&lt;/FQL&gt;&lt;FQL&gt;&lt;Q&gt;CRWV^FE_ESTIMATE(TOTALDEBT,MEAN,QUARTERLY_ROLL,2027/4F,45856,,,'')&lt;/Q&gt;&lt;R&gt;1&lt;/R&gt;&lt;C&gt;1&lt;/C&gt;&lt;D xsi:type="xsd:double"&gt;32127&lt;/D&gt;&lt;/FQL&gt;&lt;FQL&gt;&lt;Q&gt;CRWV^FE_ESTIMATE(TOTALDEBT,MEAN,QUARTERLY_ROLL,2027/3F,45856,,,'')&lt;/Q&gt;&lt;R&gt;1&lt;/R&gt;&lt;C&gt;1&lt;/C&gt;&lt;D xsi:type="xsd:double"&gt;32873&lt;/D&gt;&lt;/FQL&gt;&lt;FQL&gt;&lt;Q&gt;CRWV^FE_ESTIMATE(TOTALDEBT,MEAN,QUARTERLY_ROLL,2027/2F,45856,,,'')&lt;/Q&gt;&lt;R&gt;1&lt;/R&gt;&lt;C&gt;1&lt;/C&gt;&lt;D xsi:type="xsd:double"&gt;32974&lt;/D&gt;&lt;/FQL&gt;&lt;FQL&gt;&lt;Q&gt;CRWV^FE_ESTIMATE(TOTALDEBT,MEAN,QUARTERLY_ROLL,2027/1F,45856,,,'')&lt;/Q&gt;&lt;R&gt;1&lt;/R&gt;&lt;C&gt;1&lt;/C&gt;&lt;D xsi:type="xsd:double"&gt;32421&lt;/D&gt;&lt;/FQL&gt;&lt;FQL&gt;&lt;Q&gt;CRWV^FE_ESTIMATE(TOTALDEBT,MEAN,ANNUAL_ROLL,2026,45856,,,'')&lt;/Q&gt;&lt;R&gt;1&lt;/R&gt;&lt;C&gt;1&lt;/C&gt;&lt;D xsi:type="xsd:double"&gt;31491.791&lt;/D&gt;&lt;/FQL&gt;&lt;FQL&gt;&lt;Q&gt;CRWV^FE_ESTIMATE(TOTALDEBT,MEAN,QUARTERLY_ROLL,2026/4F,45856,,,'')&lt;/Q&gt;&lt;R&gt;1&lt;/R&gt;&lt;C&gt;1&lt;/C&gt;&lt;D xsi:type="xsd:double"&gt;31565.566&lt;/D&gt;&lt;/FQL&gt;&lt;FQL&gt;&lt;Q&gt;CRWV^FE_ESTIMATE(TOTALDEBT,MEAN,QUARTERLY_ROLL,2026/3F,45856,,,'')&lt;/Q&gt;&lt;R&gt;1&lt;/R&gt;&lt;C&gt;1&lt;/C&gt;&lt;D xsi:type="xsd:double"&gt;30484.566&lt;/D&gt;&lt;/FQL&gt;&lt;FQL&gt;&lt;Q&gt;CRWV^FE_ESTIMATE(TOTALDEBT,MEAN,QUARTERLY_ROLL,2026/2F,45856,,,'')&lt;/Q&gt;&lt;R&gt;1&lt;/R&gt;&lt;C&gt;1&lt;/C&gt;&lt;D xsi:type="xsd:double"&gt;28553.232&lt;/D&gt;&lt;/FQL&gt;&lt;FQL&gt;&lt;Q&gt;CRWV^FE_ESTIMATE(TOTALDEBT,MEAN,QUARTERLY_ROLL,2026/1F,45856,,,'')&lt;/Q&gt;&lt;R&gt;1&lt;/R&gt;&lt;C&gt;1&lt;/C&gt;&lt;D xsi:type="xsd:double"&gt;26601.9&lt;/D&gt;&lt;/FQL&gt;&lt;FQL&gt;&lt;Q&gt;CRWV^FE_ESTIMATE(TOTALDEBT,MEAN,ANNUAL_ROLL,2025,45856,,,'')&lt;/Q&gt;&lt;R&gt;1&lt;/R&gt;&lt;C&gt;1&lt;/C&gt;&lt;D xsi:type="xsd:double"&gt;23211.773&lt;/D&gt;&lt;/FQL&gt;&lt;FQL&gt;&lt;Q&gt;CRWV^FE_ESTIMATE(TOTALDEBT,MEAN,QUARTERLY_ROLL,2025/4F,45856,,,'')&lt;/Q&gt;&lt;R&gt;1&lt;/R&gt;&lt;C&gt;1&lt;/C&gt;&lt;D xsi:type="xsd:double"&gt;23095.225&lt;/D&gt;&lt;/FQL&gt;&lt;FQL&gt;&lt;Q&gt;CRWV^FE_ESTIMATE(TOTALDEBT,MEAN,QUARTERLY_ROLL,2025/3F,45856,,,'')&lt;/Q&gt;&lt;R&gt;1&lt;/R&gt;&lt;C&gt;1&lt;/C&gt;&lt;D xsi:type="xsd:double"&gt;17506&lt;/D&gt;&lt;/FQL&gt;&lt;FQL&gt;&lt;Q&gt;CRWV^FE_ESTIMATE(TOTALDEBT,MEAN,QUARTERLY_ROLL,2025/2F,45856,,,'')&lt;/Q&gt;&lt;R&gt;1&lt;/R&gt;&lt;C&gt;1&lt;/C&gt;&lt;D xsi:type="xsd:double"&gt;11394.15&lt;/D&gt;&lt;/FQL&gt;&lt;FQL&gt;&lt;Q&gt;CRWV^FE_ESTIMATE(TOTALDEBT,MEAN,QUARTERLY_ROLL,2025/1F,45856,,,'')&lt;/Q&gt;&lt;R&gt;1&lt;/R&gt;&lt;C&gt;1&lt;/C&gt;&lt;D xsi:type="xsd:double"&gt;8711.85&lt;/D&gt;&lt;/FQL&gt;&lt;FQL&gt;&lt;Q&gt;CRWV^FE_ESTIMATE(TOTALDEBT,MEAN,ANNUAL_ROLL,2024,45856,,,'')&lt;/Q&gt;&lt;R&gt;1&lt;/R&gt;&lt;C&gt;1&lt;/C&gt;&lt;D xsi:type="xsd:double"&gt;7944.588&lt;/D&gt;&lt;/FQL&gt;&lt;FQL&gt;&lt;Q&gt;CRWV^FE_ESTIMATE(TOTALDEBT,MEAN,QUARTERLY_ROLL,2024/4F,45856,,,'')&lt;/Q&gt;&lt;R&gt;1&lt;/R&gt;&lt;C&gt;1&lt;/C&gt;&lt;D xsi:type="xsd:double"&gt;7949.15&lt;/D&gt;&lt;/FQL&gt;&lt;FQL&gt;&lt;Q&gt;CRWV^FE_ESTIMATE(TOTALDEBT,MEAN,QUARTERLY_ROLL,2024/3F,45856,,,'')&lt;/Q&gt;&lt;R&gt;0&lt;/R&gt;&lt;C&gt;0&lt;/C&gt;&lt;/FQL&gt;&lt;FQL&gt;&lt;Q&gt;CRWV^FE_ESTIMATE(TOTALDEBT,MEAN,QUARTERLY_ROLL,2024/2F,45856,,,'')&lt;/Q&gt;&lt;R&gt;0&lt;/R&gt;&lt;C&gt;0&lt;/C&gt;&lt;/FQL&gt;&lt;FQL&gt;&lt;Q&gt;CRWV^FE_ESTIMATE(TOTALDEBT,MEAN,QUARTERLY_ROLL,2024/1F,45856,,,'')&lt;/Q&gt;&lt;R&gt;0&lt;/R&gt;&lt;C&gt;0&lt;/C&gt;&lt;/FQL&gt;&lt;FQL&gt;&lt;Q&gt;CRWV^FE_ESTIMATE(TOTALDEBT,MEAN,ANNUAL_ROLL,2023,45856,,,'')&lt;/Q&gt;&lt;R&gt;0&lt;/R&gt;&lt;C&gt;0&lt;/C&gt;&lt;/FQL&gt;&lt;FQL&gt;&lt;Q&gt;CRWV^FE_ESTIMATE(TOTALDEBT,MEAN,QUARTERLY_ROLL,2023/4F,45856,,,'')&lt;/Q&gt;&lt;R&gt;0&lt;/R&gt;&lt;C&gt;0&lt;/C&gt;&lt;/FQL&gt;&lt;FQL&gt;&lt;Q&gt;CRWV^FE_ESTIMATE(TOTALDEBT,MEAN,QUARTERLY_ROLL,2023/3F,45856,,,'')&lt;/Q&gt;&lt;R&gt;0&lt;/R&gt;&lt;C&gt;0&lt;/C&gt;&lt;/FQL&gt;&lt;FQL&gt;&lt;Q&gt;CRWV^FE_ESTIMATE(TOTALDEBT,MEAN,QUARTERLY_ROLL,2023/2F,45856,,,'')&lt;/Q&gt;&lt;R&gt;0&lt;/R&gt;&lt;C&gt;0&lt;/C&gt;&lt;/FQL&gt;&lt;FQL&gt;&lt;Q&gt;CRWV^FE_ESTIMATE(TOTALDEBT,MEAN,QUARTERLY_ROLL,2023/1F,45856,,,'')&lt;/Q&gt;&lt;R&gt;0&lt;/R&gt;&lt;C&gt;0&lt;/C&gt;&lt;/FQL&gt;&lt;FQL&gt;&lt;Q&gt;CRWV^FE_ESTIMATE(TOTALDEBT,MEAN,ANNUAL_ROLL,2022,45856,,,'')&lt;/Q&gt;&lt;R&gt;0&lt;/R&gt;&lt;C&gt;0&lt;/C&gt;&lt;/FQL&gt;&lt;FQL&gt;&lt;Q&gt;CRWV^FE_ESTIMATE(TOTALDEBT,MEAN,QUARTERLY_ROLL,2022/4F,45856,,,'')&lt;/Q&gt;&lt;R&gt;0&lt;/R&gt;&lt;C&gt;0&lt;/C&gt;&lt;/FQL&gt;&lt;FQL&gt;&lt;Q&gt;CRWV^FE_ESTIMATE(TOTALDEBT,MEAN,QUARTERLY_ROLL,2022/3F,45856,,,'')&lt;/Q&gt;&lt;R&gt;0&lt;/R&gt;&lt;C&gt;0&lt;/C&gt;&lt;/FQL&gt;&lt;FQL&gt;&lt;Q&gt;CRWV^FE_ESTIMATE(TOTALDEBT,MEAN,QUARTERLY_ROLL,2022/2F,45856,,,'')&lt;/Q&gt;&lt;R&gt;0&lt;/R&gt;&lt;C&gt;0&lt;/C&gt;&lt;/FQL&gt;&lt;FQL&gt;&lt;Q&gt;CRWV^FE_ESTIMATE(TOTALDEBT,MEAN,QUARTERLY_ROLL,2022/1F,45856,,,'')&lt;/Q&gt;&lt;R&gt;0&lt;/R&gt;&lt;C&gt;0&lt;/C&gt;&lt;/FQL&gt;&lt;FQL&gt;&lt;Q&gt;CRWV^FE_ESTIMATE(DEFREVENUE,MEAN,ANNUAL_ROLL,2029,45856,,,'')&lt;/Q&gt;&lt;R&gt;1&lt;/R&gt;&lt;C&gt;1&lt;/C&gt;&lt;D xsi:type="xsd:double"&gt;18857.5&lt;/D&gt;&lt;/FQL&gt;&lt;FQL&gt;&lt;Q&gt;CRWV^FE_ESTIMATE(DEFREVENUE,MEAN,QUARTERLY_ROLL,2029/4F,45856,,,'')&lt;/Q&gt;&lt;R&gt;0&lt;/R&gt;&lt;C&gt;0&lt;/C&gt;&lt;/FQL&gt;&lt;FQL&gt;&lt;Q&gt;CRWV^FE_ESTIMATE(DEFREVENUE,MEAN,QUARTERLY_ROLL,2029/3F,45856,,,'')&lt;/Q&gt;&lt;R&gt;0&lt;/R&gt;&lt;C&gt;0&lt;/C&gt;&lt;/FQL&gt;&lt;FQL&gt;&lt;Q&gt;CRWV^FE_ESTIMATE(DEFREVENUE,MEAN,QUARTERLY_ROLL,2029/2F,45856,,,'')&lt;/Q&gt;&lt;R&gt;0&lt;/R&gt;&lt;C&gt;0&lt;/C&gt;&lt;/FQL&gt;&lt;FQL&gt;&lt;Q&gt;CRWV^FE_ESTIMATE(DEFREVENUE,MEAN,QUARTERLY_ROLL,2029/1F,45856,,,'')&lt;/Q&gt;&lt;R&gt;0&lt;/R&gt;&lt;C&gt;0&lt;/C&gt;&lt;/FQL&gt;&lt;FQL&gt;&lt;Q&gt;CRWV^FE_ESTIMATE(DEFREVENUE,MEAN,ANNUAL_ROLL,2028,45856,,,'')&lt;/Q&gt;&lt;R&gt;1&lt;/R&gt;&lt;C&gt;1&lt;/C&gt;&lt;D xsi:type="xsd:double"&gt;16126.3&lt;/D&gt;&lt;/FQL&gt;&lt;FQL&gt;&lt;Q&gt;CRWV^FE_ESTIMATE(DEFREVENUE,MEAN,QUARTERLY_ROLL,2028/4F,45856,,,'')&lt;/Q&gt;&lt;R&gt;0&lt;/R&gt;&lt;C&gt;0&lt;/C&gt;&lt;/FQL&gt;&lt;FQL&gt;&lt;Q&gt;CRWV^FE_ESTIMATE(DEFREVENUE,MEAN,QUARTERLY_ROLL,2028/3F,45856,,,'')&lt;/Q&gt;&lt;R&gt;0&lt;/R&gt;&lt;C&gt;0&lt;/C&gt;&lt;/FQL&gt;&lt;FQL&gt;&lt;Q&gt;CRWV^FE_ESTIMATE(DEFREVENUE,MEAN,QUARTERLY_ROLL,2028/2F,45856,,,'')&lt;/Q&gt;&lt;R&gt;0&lt;/R&gt;&lt;C&gt;0&lt;/C&gt;&lt;/FQL&gt;&lt;FQL&gt;&lt;Q&gt;CRWV^FE_ESTIMATE(DEFREVENUE,MEAN,QUARTERLY_ROLL,2028/1F,45856,,,'')&lt;/Q&gt;&lt;R&gt;0&lt;/R&gt;&lt;C&gt;0&lt;/C&gt;&lt;/FQL&gt;&lt;FQL&gt;&lt;Q&gt;CRWV^FE_ESTIMATE(DEFREVENUE,MEAN,ANNUAL_ROLL,2027,45856,,,'')&lt;/Q&gt;&lt;R&gt;1&lt;/R&gt;&lt;C&gt;1&lt;/C&gt;&lt;D xsi:type="xsd:double"&gt;10503.972&lt;/D&gt;&lt;/FQL&gt;&lt;FQL&gt;&lt;Q&gt;CRWV^FE_ESTIMATE(DEFREVENUE,MEAN,QUARTERLY_ROLL,2027/4F,45856,,,'')&lt;/Q&gt;&lt;R&gt;1&lt;/R&gt;&lt;C&gt;1&lt;/C&gt;&lt;D xsi:type="xsd:double"&gt;8775.801&lt;/D&gt;&lt;/FQL&gt;&lt;FQL&gt;&lt;Q&gt;CRWV^FE_ESTIMATE(DEFREVENUE,MEAN,QUARTERLY_ROLL,2027/3F,45856,,,'')&lt;/Q&gt;&lt;R&gt;1&lt;/R&gt;&lt;C&gt;1&lt;/C&gt;&lt;D xsi:type="xsd:double"&gt;8366.499&lt;/D&gt;&lt;/FQL&gt;&lt;FQL&gt;&lt;Q&gt;CRWV^FE_ESTIMATE(DEFREVENUE,MEAN,QUARTERLY_ROLL,2027/2F,45856,,,'')&lt;/Q&gt;&lt;R&gt;1&lt;/R&gt;&lt;C&gt;1&lt;/C&gt;&lt;D xsi:type="xsd:double"&gt;8046.496&lt;/D&gt;&lt;/FQL&gt;&lt;FQL&gt;&lt;Q&gt;CRWV^FE_ESTIMATE(DEFREVENUE,MEAN,QUARTERLY_ROLL,2027/1F,45856,,,'')&lt;/Q&gt;&lt;R&gt;1&lt;/R&gt;&lt;C&gt;1&lt;/C&gt;&lt;D xsi:type="xsd:double"&gt;7445.43&lt;/D&gt;&lt;/FQL&gt;&lt;FQL&gt;&lt;Q&gt;CRWV^FE_ESTIMATE(DEFREVENUE,MEAN,ANNUAL_ROLL,2026,45856,,,'')&lt;/Q&gt;&lt;R&gt;1&lt;/R&gt;&lt;C&gt;1&lt;/C&gt;&lt;D xsi:type="xsd:double"&gt;8636.348&lt;/D&gt;&lt;/FQL&gt;&lt;FQL&gt;&lt;Q&gt;CRWV^FE_ESTIMATE(DEFREVENUE,MEAN,QUARTERLY_ROLL,2026/4F,45856,,,'')&lt;/Q&gt;&lt;R&gt;1&lt;/R&gt;&lt;C&gt;1&lt;/C&gt;&lt;D xsi:type="xsd:double"&gt;8564.063&lt;/D&gt;&lt;/FQL&gt;&lt;FQL&gt;&lt;Q&gt;CRWV^FE_ESTIMATE(DEFREVENUE,MEAN,QUARTERLY_ROLL,2026/3F,45856,,,'')&lt;/Q&gt;&lt;R&gt;1&lt;/R&gt;&lt;C&gt;1&lt;/C&gt;&lt;D xsi:type="xsd:double"&gt;7908.0234&lt;/D&gt;&lt;/FQL&gt;&lt;FQL&gt;&lt;Q&gt;CRWV^FE_ESTIMATE(DEFREVENUE,MEAN,QUARTERLY_ROLL,2026/2F,45856,,,'')&lt;/Q&gt;&lt;R&gt;1&lt;/R&gt;&lt;C&gt;1&lt;/C&gt;&lt;D xsi:type="xsd:double"&gt;7271.0654&lt;/D&gt;&lt;/FQL&gt;&lt;FQL&gt;&lt;Q&gt;CRWV^FE_ESTIMATE(DEFREVENUE,MEAN,QUARTERLY_ROLL,2026/1F,45856,,,'')&lt;/Q&gt;&lt;R&gt;1&lt;/R&gt;&lt;C&gt;1&lt;/C&gt;&lt;D xsi:type="xsd:double"&gt;6317.748&lt;/D&gt;&lt;/FQL&gt;&lt;FQL&gt;&lt;Q&gt;CRWV^FE_ESTIMATE(DEFREVENUE,MEAN,ANNUAL_ROLL,2025,45856,,,'')&lt;/Q&gt;&lt;R&gt;1&lt;/R&gt;&lt;C&gt;1&lt;/C&gt;&lt;D xsi:type="xsd:double"&gt;5821.4155&lt;/D&gt;&lt;/FQL&gt;&lt;FQL&gt;&lt;Q&gt;CRWV^FE_ESTIMATE(DEFREVENUE,MEAN,QUARTERLY_ROLL,2025/4F,45856,,,'')&lt;/Q&gt;&lt;R&gt;1&lt;/R&gt;&lt;C&gt;1&lt;/C&gt;&lt;D xsi:type="xsd:double"&gt;5821.4155&lt;/D&gt;&lt;/FQL&gt;&lt;FQL&gt;&lt;Q&gt;CRWV^FE_ESTIMATE(DEFREVENUE,MEAN,QUARTERLY_ROLL,2025/3F,45856,,,'')&lt;/Q&gt;&lt;R&gt;1&lt;/R&gt;&lt;C&gt;1&lt;/C&gt;&lt;D xsi:type="xsd:double"&gt;5227.1714&lt;/D&gt;&lt;/FQL&gt;&lt;FQL&gt;&lt;Q&gt;CRWV^FE_ESTIMATE(DEFREVENUE,MEAN,QUARTERLY_ROLL,2025/2F,45856,,,'')&lt;/Q&gt;&lt;R&gt;1&lt;/R&gt;&lt;C&gt;1&lt;/C&gt;&lt;D xsi:type="xsd:double"&gt;4958.471&lt;/D&gt;&lt;/FQL&gt;&lt;FQL&gt;&lt;Q&gt;CRWV^FE_ESTIMATE(DEFREVENUE,MEAN,QUARTERLY_ROLL,2025/1F,45856,,,'')&lt;/Q&gt;&lt;R&gt;1&lt;/R&gt;&lt;C&gt;1&lt;/C&gt;&lt;D xsi:type="xsd:double"&gt;4047.9998&lt;/D&gt;&lt;/FQL&gt;&lt;FQL&gt;&lt;Q&gt;CRWV^FE_ESTIMATE(DEFREVENUE,MEAN,ANNUAL_ROLL,2024,45856,,,'')&lt;/Q&gt;&lt;R&gt;1&lt;/R&gt;&lt;C&gt;1&lt;/C&gt;&lt;D xsi:type="xsd:double"&gt;4063.9565&lt;/D&gt;&lt;/FQL&gt;&lt;FQL&gt;&lt;Q&gt;CRWV^FE_ESTIMATE(DEFREVENUE,MEAN,QUARTERLY_ROLL,2024/4F,45856,,,'')&lt;/Q&gt;&lt;R&gt;1&lt;/R&gt;&lt;C&gt;1&lt;/C&gt;&lt;D xsi:type="xsd:double"&gt;4063.9565&lt;/D&gt;&lt;/FQL&gt;&lt;FQL&gt;&lt;Q&gt;CRWV^FE_ESTIMATE(DEFREVENUE,MEAN,QUARTERLY_ROLL,2024/3F,45856,,,'')&lt;/Q&gt;&lt;R&gt;0&lt;/R&gt;&lt;C&gt;0&lt;/C&gt;&lt;/FQL&gt;&lt;FQL&gt;&lt;Q&gt;CRWV^FE_ESTIMATE(DEFREVENUE,MEAN,QUARTERLY_ROLL,2024/2F,45856,,,'')&lt;/Q&gt;&lt;R&gt;0&lt;/R&gt;&lt;C&gt;0&lt;/C&gt;&lt;/FQL&gt;&lt;FQL&gt;&lt;Q&gt;CRWV^FE_ESTIMATE(DEFREVENUE,MEAN,QUARTERLY_ROLL,2024/1F,45856,,,'')&lt;/Q&gt;&lt;R&gt;0&lt;/R&gt;&lt;C&gt;0&lt;/C&gt;&lt;/FQL&gt;&lt;FQL&gt;&lt;Q&gt;CRWV^FE_ESTIMATE(DEFREVENUE,MEAN,ANNUAL_ROLL,2023,45856,,,'')&lt;/Q&gt;&lt;R&gt;0&lt;/R&gt;&lt;C&gt;0&lt;/C&gt;&lt;/FQL&gt;&lt;FQL&gt;&lt;Q&gt;CRWV^FE_ESTIMATE(DEFREVENUE,MEAN,QUARTERLY_ROLL,2023/4F,45856,,,'')&lt;/Q&gt;&lt;R&gt;0&lt;/R&gt;&lt;C&gt;0&lt;/C&gt;&lt;/FQL&gt;&lt;FQL&gt;&lt;Q&gt;CRWV^FE_ESTIMATE(DEFREVENUE,MEAN,QUARTERLY_ROLL,2023/3F,45856,,,'')&lt;/Q&gt;&lt;R&gt;0&lt;/R&gt;&lt;C&gt;0&lt;/C&gt;&lt;/FQL&gt;&lt;FQL&gt;&lt;Q&gt;CRWV^FE_ESTIMATE(DEFREVENUE,MEAN,QUARTERLY_ROLL,2023/2F,45856,,,'')&lt;/Q&gt;&lt;R&gt;0&lt;/R&gt;&lt;C&gt;0&lt;/C&gt;&lt;/FQL&gt;&lt;FQL&gt;&lt;Q&gt;CRWV^FE_ESTIMATE(DEFREVENUE,MEAN,QUARTERLY_ROLL,2023/1F,45856,,,'')&lt;/Q&gt;&lt;R&gt;0&lt;/R&gt;&lt;C&gt;0&lt;/C&gt;&lt;/FQL&gt;&lt;FQL&gt;&lt;Q&gt;CRWV^FE_ESTIMATE(DEFREVENUE,MEAN,ANNUAL_ROLL,2022,45856,,,'')&lt;/Q&gt;&lt;R&gt;0&lt;/R&gt;&lt;C&gt;0&lt;/C&gt;&lt;/FQL&gt;&lt;FQL&gt;&lt;Q&gt;CRWV^FE_ESTIMATE(DEFREVENUE,MEAN,QUARTERLY_ROLL,2022/4F,45856,,,'')&lt;/Q&gt;&lt;R&gt;0&lt;/R&gt;&lt;C&gt;0&lt;/C&gt;&lt;/FQL&gt;&lt;FQL&gt;&lt;Q&gt;CRWV^FE_ESTIMATE(DEFREVENUE,MEAN,QUARTERLY_ROLL,2022/3F,45856,,,'')&lt;/Q&gt;&lt;R&gt;0&lt;/R&gt;&lt;C&gt;0&lt;/C&gt;&lt;/FQL&gt;&lt;FQL&gt;&lt;Q&gt;CRWV^FE_ESTIMATE(DEFREVENUE,MEAN,QUARTERLY_ROLL,2022/2F,45856,,,'')&lt;/Q&gt;&lt;R&gt;0&lt;/R&gt;&lt;C&gt;0&lt;/C&gt;&lt;/FQL&gt;&lt;FQL&gt;&lt;Q&gt;CRWV^FE_ESTIMATE(DEFREVENUE,MEAN,QUARTERLY_ROLL,2022/1F,45856,,,'')&lt;/Q&gt;&lt;R&gt;0&lt;/R&gt;&lt;C&gt;0&lt;/C&gt;&lt;/FQL&gt;&lt;FQL&gt;&lt;Q&gt;CRWV^FE_ESTIMATE(DEFREVENUE_LT,MEAN,ANNUAL_ROLL,2029,45856,,,'')&lt;/Q&gt;&lt;R&gt;0&lt;/R&gt;&lt;C&gt;0&lt;/C&gt;&lt;/FQL&gt;&lt;FQL&gt;&lt;Q&gt;CRWV^FE_ESTIMATE(DEFREVENUE_LT,MEAN,QUARTERLY_ROLL,2029/4F,45856,,,'')&lt;/Q&gt;&lt;R&gt;0&lt;/R&gt;&lt;C&gt;0&lt;/C&gt;&lt;/FQL&gt;&lt;FQL&gt;&lt;Q&gt;CRWV^FE_ESTIMATE(DEFREVENUE_LT,MEAN,QUARTERLY_ROLL,2029/3F,45856,,,'')&lt;/Q&gt;&lt;R&gt;0&lt;/R&gt;&lt;C&gt;0&lt;/C&gt;&lt;/FQL&gt;&lt;FQL&gt;&lt;Q&gt;CRWV^FE_ESTIMATE(DEFREVENUE_LT,MEAN,QUARTERLY_ROLL,2029/2F,45856,,,'')&lt;/Q&gt;&lt;R&gt;0&lt;/R&gt;&lt;C&gt;0&lt;/C&gt;&lt;/FQL&gt;&lt;FQL&gt;&lt;Q&gt;CRWV^FE_ESTIMATE(DEFREVENUE_LT,MEAN,QUARTERLY_ROLL,2029/1F,45856,,,'')&lt;/Q&gt;&lt;R&gt;0&lt;/R&gt;&lt;C&gt;0&lt;/C&gt;&lt;/FQL&gt;&lt;FQL&gt;&lt;Q&gt;CRWV^FE_ESTIMATE(DEFREVENUE_LT,MEAN,ANNUAL_ROLL,2028,45856,,,'')&lt;/Q&gt;&lt;R&gt;0&lt;/R&gt;&lt;C&gt;0&lt;/C&gt;&lt;/FQL&gt;&lt;FQL&gt;&lt;Q&gt;CRWV^FE_ESTIMATE(DEFREVENUE_LT,MEAN,QUARTERLY_ROLL,2028/4F,45856,,,'')&lt;/Q&gt;&lt;R&gt;0&lt;/R&gt;&lt;C&gt;0&lt;/C&gt;&lt;/FQL&gt;&lt;FQL&gt;&lt;Q&gt;CRWV^FE_ESTIMATE(DEFREVENUE_LT,MEAN,QUARTERLY_ROLL,2028/3F,45856,,,'')&lt;/Q&gt;&lt;R&gt;0&lt;/R&gt;&lt;C&gt;0&lt;/C&gt;&lt;/FQL&gt;&lt;FQL&gt;&lt;Q&gt;CRWV^FE_ESTIMATE(DEFREVENUE_LT,MEAN,QUARTERLY_ROLL,2028/2F,45856,,,'')&lt;/Q&gt;&lt;R&gt;0&lt;/R&gt;&lt;C&gt;0&lt;/C&gt;&lt;/FQL&gt;&lt;FQL&gt;&lt;Q&gt;CRWV^FE_ESTIMATE(DEFREVENUE_LT,MEAN,QUARTERLY_ROLL,2028/1F,45856,,,'')&lt;/Q&gt;&lt;R&gt;0&lt;/R&gt;&lt;C&gt;0&lt;/C&gt;&lt;/FQL&gt;&lt;FQL&gt;&lt;Q&gt;CRWV^FE_ESTIMATE(DEFREVENUE_LT,MEAN,ANNUAL_ROLL,2027,45856,,,'')&lt;/Q&gt;&lt;R&gt;1&lt;/R&gt;&lt;C&gt;1&lt;/C&gt;&lt;D xsi:type="xsd:double"&gt;8273.462&lt;/D&gt;&lt;/FQL&gt;&lt;FQL&gt;&lt;Q&gt;CRWV^FE_ESTIMATE(DEFREVENUE_LT,MEAN,QUARTERLY_ROLL,2027/4F,45856,,,'')&lt;/Q&gt;&lt;R&gt;1&lt;/R&gt;&lt;C&gt;1&lt;/C&gt;&lt;D xsi:type="xsd:double"&gt;7612.665&lt;/D&gt;&lt;/FQL&gt;&lt;FQL&gt;&lt;Q&gt;CRWV^FE_ESTIMATE(DEFREVENUE_LT,MEAN,QUARTERLY_ROLL,2027/3F,45856,,,'')&lt;/Q&gt;&lt;R&gt;1&lt;/R&gt;&lt;C&gt;1&lt;/C&gt;&lt;D xsi:type="xsd:double"&gt;7266.367&lt;/D&gt;&lt;/FQL&gt;&lt;FQL&gt;&lt;Q&gt;CRWV^FE_ESTIMATE(DEFREVENUE_LT,MEAN,QUARTERLY_ROLL,2027/2F,45856,,,'')&lt;/Q&gt;&lt;R&gt;1&lt;/R&gt;&lt;C&gt;1&lt;/C&gt;&lt;D xsi:type="xsd:double"&gt;6980.5083&lt;/D&gt;&lt;/FQL&gt;&lt;FQL&gt;&lt;Q&gt;CRWV^FE_ESTIMATE(DEFREVENUE_LT,MEAN,QUARTERLY_ROLL,2027/1F,45856,,,'')&lt;/Q&gt;&lt;R&gt;1&lt;/R&gt;&lt;C&gt;1&lt;/C&gt;&lt;D xsi:type="xsd:double"&gt;6473.8374&lt;/D&gt;&lt;/FQL&gt;&lt;FQL&gt;&lt;Q&gt;CRWV^FE_ESTIMATE(DEFREVENUE_LT,MEAN,ANNUAL_ROLL,2026,45856,,,'')&lt;/Q&gt;&lt;R&gt;1&lt;/R&gt;&lt;C&gt;1&lt;/C&gt;&lt;D xsi:type="xsd:double"&gt;6823.2275&lt;/D&gt;&lt;/FQL&gt;&lt;FQL&gt;&lt;Q&gt;CRWV^FE_ESTIMATE(DEFREVENUE_LT,MEAN,QUARTERLY_ROLL,2026/4F,45856,,,'')&lt;/Q&gt;&lt;R&gt;1&lt;/R&gt;&lt;C&gt;1&lt;/C&gt;&lt;D xsi:type="xsd:double"&gt;6592.0205&lt;/D&gt;&lt;/FQL&gt;&lt;FQL&gt;&lt;Q&gt;CRWV^FE_ESTIMATE(DEFREVENUE_LT,MEAN,QUARTERLY_ROLL,2026/3F,45856,,,'')&lt;/Q&gt;&lt;R&gt;1&lt;/R&gt;&lt;C&gt;1&lt;/C&gt;&lt;D xsi:type="xsd:double"&gt;6083.7686&lt;/D&gt;&lt;/FQL&gt;&lt;FQL&gt;&lt;Q&gt;CRWV^FE_ESTIMATE(DEFREVENUE_LT,MEAN,QUARTERLY_ROLL,2026/2F,45856,,,'')&lt;/Q&gt;&lt;R&gt;1&lt;/R&gt;&lt;C&gt;1&lt;/C&gt;&lt;D xsi:type="xsd:double"&gt;5621.2827&lt;/D&gt;&lt;/FQL&gt;&lt;FQL&gt;&lt;Q&gt;CRWV^FE_ESTIMATE(DEFREVENUE_LT,MEAN,QUARTERLY_ROLL,2026/1F,45856,,,'')&lt;/Q&gt;&lt;R&gt;1&lt;/R&gt;&lt;C&gt;1&lt;/C&gt;&lt;D xsi:type="xsd:double"&gt;4865.1816&lt;/D&gt;&lt;/FQL&gt;&lt;FQL&gt;&lt;Q&gt;CRWV^FE_ESTIMATE(DEFREVENUE_LT,MEAN,ANNUAL_ROLL,2025,45856,,,'')&lt;/Q&gt;&lt;R&gt;1&lt;/R&gt;&lt;C&gt;1&lt;/C&gt;&lt;D xsi:type="xsd:double"&gt;4728.4204&lt;/D&gt;&lt;/FQL&gt;&lt;FQL&gt;&lt;Q&gt;CRWV^FE_ESTIMATE(DEFREVENUE_LT,MEAN,QUARTERLY_ROLL,2025/4F,45856,,,'')&lt;/Q&gt;&lt;R&gt;1&lt;/R&gt;&lt;C&gt;1&lt;/C&gt;&lt;D xsi:type="xsd:double"&gt;4728.4204&lt;/D&gt;&lt;/FQL&gt;&lt;FQL&gt;&lt;Q&gt;CRWV^FE_ESTIMATE(DEFREVENUE_LT,MEAN,QUARTERLY_ROLL,2025/3F,45856,,,'')&lt;/Q&gt;&lt;R&gt;1&lt;/R&gt;&lt;C&gt;1&lt;/C&gt;&lt;D xsi:type="xsd:double"&gt;4293.0737&lt;/D&gt;&lt;/FQL&gt;&lt;FQL&gt;&lt;Q&gt;CRWV^FE_ESTIMATE(DEFREVENUE_LT,MEAN,QUARTERLY_ROLL,2025/2F,45856,,,'')&lt;/Q&gt;&lt;R&gt;1&lt;/R&gt;&lt;C&gt;1&lt;/C&gt;&lt;D xsi:type="xsd:double"&gt;4074.308&lt;/D&gt;&lt;/FQL&gt;&lt;FQL&gt;&lt;Q&gt;CRWV^FE_ESTIMATE(DEFREVENUE_LT,MEAN,QUARTERLY_ROLL,2025/1F,45856,,,'')&lt;/Q&gt;&lt;R&gt;1&lt;/R&gt;&lt;C&gt;1&lt;/C&gt;&lt;D xsi:type="xsd:double"&gt;3611.2346&lt;/D&gt;&lt;/FQL&gt;&lt;FQL&gt;&lt;Q&gt;CRWV^FE_ESTIMATE(DEFREVENUE_LT,MEAN,ANNUAL_ROLL,2024,45856,,,'')&lt;/Q&gt;&lt;R&gt;1&lt;/R&gt;&lt;C&gt;1&lt;/C&gt;&lt;D xsi:type="xsd:double"&gt;3294.9941&lt;/D&gt;&lt;/FQL&gt;&lt;FQL&gt;&lt;Q&gt;CRWV^FE_ESTIMATE(DEFREVENUE_LT,MEAN,QUARTERLY_ROLL,2024/4F,45856,,,'')&lt;/Q&gt;&lt;R&gt;1&lt;/R&gt;&lt;C&gt;1&lt;/C&gt;&lt;D xsi:type="xsd:double"&gt;3294.9941&lt;/D&gt;&lt;/FQL&gt;&lt;FQL&gt;&lt;Q&gt;CRWV^FE_ESTIMATE(DEFREVENUE_LT,MEAN,QUARTERLY_ROLL,2024/3F,45856,,,'')&lt;/Q&gt;&lt;R&gt;0&lt;/R&gt;&lt;C&gt;0&lt;/C&gt;&lt;/FQL&gt;&lt;FQL&gt;&lt;Q&gt;CRWV^FE_ESTIMATE(DEFREVENUE_LT,MEAN,QUARTERLY_ROLL,2024/2F,45856,,,'')&lt;/Q&gt;&lt;R&gt;0&lt;/R&gt;&lt;C&gt;0&lt;/C&gt;&lt;/FQL&gt;&lt;FQL&gt;&lt;Q&gt;CRWV^FE_ESTIMATE(DEFREVENUE_LT,MEAN,QUARTERLY_ROLL,2024/1F,45856,,,'')&lt;/Q&gt;&lt;R&gt;0&lt;/R&gt;&lt;C&gt;0&lt;/C&gt;&lt;/FQL&gt;&lt;FQL&gt;&lt;Q&gt;CRWV^FE_ESTIMATE(DEFREVENUE_LT,MEAN,ANNUAL_ROLL,2023,45856,,,'')&lt;/Q&gt;&lt;R&gt;0&lt;/R&gt;&lt;C&gt;0&lt;/C&gt;&lt;/FQL&gt;&lt;FQL&gt;&lt;Q&gt;CRWV^FE_ESTIMATE(DEFREVENUE_LT,MEAN,QUARTERLY_ROLL,2023/4F,45856,,,'')&lt;/Q&gt;&lt;R&gt;0&lt;/R&gt;&lt;C&gt;0&lt;/C&gt;&lt;/FQL&gt;&lt;FQL&gt;&lt;Q&gt;CRWV^FE_ESTIMATE(DEFREVENUE_LT,MEAN,QUARTERLY_ROLL,2023/3F,45856,,,'')&lt;/Q&gt;&lt;R&gt;0&lt;/R&gt;&lt;C&gt;0&lt;/C&gt;&lt;/FQL&gt;&lt;FQL&gt;&lt;Q&gt;CRWV^FE_ESTIMATE(DEFREVENUE_LT,MEAN,QUARTERLY_ROLL,2023/2F,45856,,,'')&lt;/Q&gt;&lt;R&gt;0&lt;/R&gt;&lt;C&gt;0&lt;/C&gt;&lt;/FQL&gt;&lt;FQL&gt;&lt;Q&gt;CRWV^FE_ESTIMATE(DEFREVENUE_LT,MEAN,QUARTERLY_ROLL,2023/1F,45856,,,'')&lt;/Q&gt;&lt;R&gt;0&lt;/R&gt;&lt;C&gt;0&lt;/C&gt;&lt;/FQL&gt;&lt;FQL&gt;&lt;Q&gt;CRWV^FE_ESTIMATE(DEFREVENUE_LT,MEAN,ANNUAL_ROLL,2022,45856,,,'')&lt;/Q&gt;&lt;R&gt;0&lt;/R&gt;&lt;C&gt;0&lt;/C&gt;&lt;/FQL&gt;&lt;FQL&gt;&lt;Q&gt;CRWV^FE_ESTIMATE(DEFREVENUE_LT,MEAN,QUARTERLY_ROLL,2022/4F,45856,,,'')&lt;/Q&gt;&lt;R&gt;0&lt;/R&gt;&lt;C&gt;0&lt;/C&gt;&lt;/FQL&gt;&lt;FQL&gt;&lt;Q&gt;CRWV^FE_ESTIMATE(DEFREVENUE_LT,MEAN,QUARTERLY_ROLL,2022/3F,45856,,,'')&lt;/Q&gt;&lt;R&gt;0&lt;/R&gt;&lt;C&gt;0&lt;/C&gt;&lt;/FQL&gt;&lt;FQL&gt;&lt;Q&gt;CRWV^FE_ESTIMATE(DEFREVENUE_LT,MEAN,QUARTERLY_ROLL,2022/2F,45856,,,'')&lt;/Q&gt;&lt;R&gt;0&lt;/R&gt;&lt;C&gt;0&lt;/C&gt;&lt;/FQL&gt;&lt;FQL&gt;&lt;Q&gt;CRWV^FE_ESTIMATE(DEFREVENUE_LT,MEAN,QUARTERLY_ROLL,2022/1F,45856,,,'')&lt;/Q&gt;&lt;R&gt;0&lt;/R&gt;&lt;C&gt;0&lt;/C&gt;&lt;/FQL&gt;&lt;FQL&gt;&lt;Q&gt;CRWV^FE_ESTIMATE(DEFREVENUE_ST,MEAN,ANNUAL_ROLL,2029,45856,,,'')&lt;/Q&gt;&lt;R&gt;0&lt;/R&gt;&lt;C&gt;0&lt;/C&gt;&lt;/FQL&gt;&lt;FQL&gt;&lt;Q&gt;CRWV^FE_ESTIMATE(DEFREVENUE_ST,MEAN,QUARTERLY_ROLL,2029/4F,45856,,,'')&lt;/Q&gt;&lt;R&gt;0&lt;/R&gt;&lt;C&gt;0&lt;/C&gt;&lt;/FQL&gt;&lt;FQL&gt;&lt;Q&gt;CRWV^FE_ESTIMATE(DEFREVENUE_ST,MEAN,QUARTERLY_ROLL,2029/3F,45856,,,'')&lt;/Q&gt;&lt;R&gt;0&lt;/R&gt;&lt;C&gt;0&lt;/C&gt;&lt;/FQL&gt;&lt;FQL&gt;&lt;Q&gt;CRWV^FE_ESTIMATE(DEFREVENUE_ST,MEAN,QUARTERLY_ROLL,2029/2F,45856,,,'')&lt;/Q&gt;&lt;R&gt;0&lt;/R&gt;&lt;C&gt;0&lt;/C&gt;&lt;/FQL&gt;&lt;FQL&gt;&lt;Q&gt;CRWV^FE_ESTIMATE(DEFREVENUE_ST,MEAN,QUARTERLY_ROLL,2029/1F,45856,,,'')&lt;/Q&gt;&lt;R&gt;0&lt;/R&gt;&lt;C&gt;0&lt;/C&gt;&lt;/FQL&gt;&lt;FQL&gt;&lt;Q&gt;CRWV^FE_ESTIMATE(DEFREVENUE_ST,MEAN,ANNUAL_ROLL,2028,45856,,,'')&lt;/Q&gt;&lt;R&gt;0&lt;/R&gt;&lt;C&gt;0&lt;/C&gt;&lt;/FQL&gt;&lt;FQL&gt;&lt;Q&gt;CRWV^FE_ESTIMATE(DEFREVENUE_ST,MEAN,QUARTERLY_ROLL,2028/4F,45856,,,'')&lt;/Q&gt;&lt;R&gt;0&lt;/R&gt;&lt;C&gt;0&lt;/C&gt;&lt;/FQL&gt;&lt;FQL&gt;&lt;Q&gt;CRWV^FE_ESTIMATE(DEFREVENUE_ST,MEAN,QUARTERLY_ROLL,2028/3F,45856,,,'')&lt;/Q&gt;&lt;R&gt;0&lt;/R&gt;&lt;C&gt;0&lt;/C&gt;&lt;/FQL&gt;&lt;FQL&gt;&lt;Q&gt;CRWV^FE_ESTIMATE(DEFREVENUE_ST,MEAN,QUARTERLY_ROLL,2028/2F,45856,,,'')&lt;/Q&gt;&lt;R&gt;0&lt;/R&gt;&lt;C&gt;0&lt;/C&gt;&lt;/FQL&gt;&lt;FQL&gt;&lt;Q&gt;CRWV^FE_ESTIMATE(DEFREVENUE_ST,MEAN,QUARTERLY_ROLL,2028/1F,45856,,,'')&lt;/Q&gt;&lt;R&gt;0&lt;/R&gt;&lt;C&gt;0&lt;/C&gt;&lt;/FQL&gt;&lt;FQL&gt;&lt;Q&gt;CRWV^FE_ESTIMATE(DEFREVENUE_ST,MEAN,ANNUAL_ROLL,2027,45856,,,'')&lt;/Q&gt;&lt;R&gt;1&lt;/R&gt;&lt;C&gt;1&lt;/C&gt;&lt;D xsi:type="xsd:double"&gt;1549.1672&lt;/D&gt;&lt;/FQL&gt;&lt;FQL&gt;&lt;Q&gt;CRWV^FE_ESTIMATE(DEFREVENUE_ST,MEAN,QUARTERLY_ROLL,2027/4F,45856,,,'')&lt;/Q&gt;&lt;R&gt;1&lt;/R&gt;&lt;C&gt;1&lt;/C&gt;&lt;D xsi:type="xsd:double"&gt;1163.1855&lt;/D&gt;&lt;/FQL&gt;&lt;FQL&gt;&lt;Q&gt;CRWV^FE_ESTIMATE(DEFREVENUE_ST,MEAN,QUARTERLY_ROLL,2027/3F,45856,,,'')&lt;/Q&gt;&lt;R&gt;1&lt;/R&gt;&lt;C&gt;1&lt;/C&gt;&lt;D xsi:type="xsd:double"&gt;1100.2325&lt;/D&gt;&lt;/FQL&gt;&lt;FQL&gt;&lt;Q&gt;CRWV^FE_ESTIMATE(DEFREVENUE_ST,MEAN,QUARTERLY_ROLL,2027/2F,45856,,,'')&lt;/Q&gt;&lt;R&gt;1&lt;/R&gt;&lt;C&gt;1&lt;/C&gt;&lt;D xsi:type="xsd:double"&gt;1066.0875&lt;/D&gt;&lt;/FQL&gt;&lt;FQL&gt;&lt;Q&gt;CRWV^FE_ESTIMATE(DEFREVENUE_ST,MEAN,QUARTERLY_ROLL,2027/1F,45856,,,'')&lt;/Q&gt;&lt;R&gt;1&lt;/R&gt;&lt;C&gt;1&lt;/C&gt;&lt;D xsi:type="xsd:double"&gt;971.7425&lt;/D&gt;&lt;/FQL&gt;&lt;FQL&gt;&lt;Q&gt;CRWV^FE_ESTIMATE(DEFREVENUE_ST,MEAN,ANNUAL_ROLL,2026,45856,,,'')&lt;/Q&gt;&lt;R&gt;1&lt;/R&gt;&lt;C&gt;1&lt;/C&gt;&lt;D xsi:type="xsd:double"&gt;1259.6322&lt;/D&gt;&lt;/FQL&gt;&lt;FQL&gt;&lt;Q&gt;CRWV^FE_ESTIMATE(DEFREVENUE_ST,MEAN,QUARTERLY_ROLL,2026/4F,45856,,,'')&lt;/Q&gt;&lt;R&gt;1&lt;/R&gt;&lt;C&gt;1&lt;/C&gt;&lt;D xsi:type="xsd:double"&gt;1019.57635&lt;/D&gt;&lt;/FQL&gt;&lt;FQL&gt;&lt;Q&gt;CRWV^FE_ESTIMATE(DEFREVENUE_ST,MEAN,QUARTERLY_ROLL,2026/3F,45856,,,'')&lt;/Q&gt;&lt;R&gt;1&lt;/R&gt;&lt;C&gt;1&lt;/C&gt;&lt;D xsi:type="xsd:double"&gt;940.6882&lt;/D&gt;&lt;/FQL&gt;&lt;FQL&gt;&lt;Q&gt;CRWV^FE_ESTIMATE(DEFREVENUE_ST,MEAN,QUARTERLY_ROLL,2026/2F,45856,,,'')&lt;/Q&gt;&lt;R&gt;1&lt;/R&gt;&lt;C&gt;1&lt;/C&gt;&lt;D xsi:type="xsd:double"&gt;868.89984&lt;/D&gt;&lt;/FQL&gt;&lt;FQL&gt;&lt;Q&gt;CRWV^FE_ESTIMATE(DEFREVENUE_ST,MEAN,QUARTERLY_ROLL,2026/1F,45856,,,'')&lt;/Q&gt;&lt;R&gt;1&lt;/R&gt;&lt;C&gt;1&lt;/C&gt;&lt;D xsi:type="xsd:double"&gt;749.69965&lt;/D&gt;&lt;/FQL&gt;&lt;FQL&gt;&lt;Q&gt;CRWV^FE_ESTIMATE(DEFREVENUE_ST,MEAN,ANNUAL_ROLL,2025,45856,,,'')&lt;/Q&gt;&lt;R&gt;1&lt;/R&gt;&lt;C&gt;1&lt;/C&gt;&lt;D xsi:type="xsd:double"&gt;822.70776&lt;/D&gt;&lt;/FQL&gt;&lt;FQL&gt;&lt;Q&gt;CRWV^FE_ESTIMATE(DEFREVENUE_ST,MEAN,QUARTERLY_ROLL,2025/4F,45856,,,'')&lt;/Q&gt;&lt;R&gt;1&lt;/R&gt;&lt;C&gt;1&lt;/C&gt;&lt;D xsi:type="xsd:double"&gt;822.70776&lt;/D&gt;&lt;/FQL&gt;&lt;FQL&gt;&lt;Q&gt;CRWV^FE_ESTIMATE(DEFREVENUE_ST,MEAN,QUARTERLY_ROLL,2025/3F,45856,,,'')&lt;/Q&gt;&lt;R&gt;1&lt;/R&gt;&lt;C&gt;1&lt;/C&gt;&lt;D xsi:type="xsd:double"&gt;722.5476&lt;/D&gt;&lt;/FQL&gt;&lt;FQL&gt;&lt;Q&gt;CRWV^FE_ESTIMATE(DEFREVENUE_ST,MEAN,QUARTERLY_ROLL,2025/2F,45856,,,'')&lt;/Q&gt;&lt;R&gt;1&lt;/R&gt;&lt;C&gt;1&lt;/C&gt;&lt;D xsi:type="xsd:double"&gt;671.213&lt;/D&gt;&lt;/FQL&gt;&lt;FQL&gt;&lt;Q&gt;CRWV^FE_ESTIMATE(DEFREVENUE_ST,MEAN,QUARTERLY_ROLL,2025/1F,45856,,,'')&lt;/Q&gt;&lt;R&gt;1&lt;/R&gt;&lt;C&gt;1&lt;/C&gt;&lt;D xsi:type="xsd:double"&gt;436.765&lt;/D&gt;&lt;/FQL&gt;&lt;FQL&gt;&lt;Q&gt;CRWV^FE_ESTIMATE(DEFREVENUE_ST,MEAN,ANNUAL_ROLL,2024,45856,,,'')&lt;/Q&gt;&lt;R&gt;1&lt;/R&gt;&lt;C&gt;1&lt;/C&gt;&lt;D xsi:type="xsd:double"&gt;768.9443&lt;/D&gt;&lt;/FQL&gt;&lt;FQL&gt;&lt;Q&gt;CRWV^FE_ESTIMATE(DEFREVENUE_ST,MEAN,QUARTERLY_ROLL,2024/4F,45856,,,'')&lt;/Q&gt;&lt;R&gt;1&lt;/R&gt;&lt;C&gt;1&lt;/C&gt;&lt;D xsi:type="xsd:double"&gt;768.9443&lt;/D&gt;&lt;/FQL&gt;&lt;FQL&gt;&lt;Q&gt;CRWV^FE_ESTIMATE(DEFREVENUE_ST,MEAN,QUARTERLY_ROLL,2024/3F,45856,,,'')&lt;/Q&gt;&lt;R&gt;0&lt;/R&gt;&lt;C&gt;0&lt;/C&gt;&lt;/FQL&gt;&lt;FQL&gt;&lt;Q&gt;CRWV^FE_ESTIMATE(DEFREVENUE_ST,MEAN,QUARTERLY_ROLL,2024/2F,45856,,,'')&lt;/Q&gt;&lt;R&gt;0&lt;/R&gt;&lt;C&gt;0&lt;/C&gt;&lt;/FQL&gt;&lt;FQL&gt;&lt;Q&gt;CRWV^FE_ESTIMATE(DEFREVENUE_ST,MEAN,QUARTERLY_ROLL,2024/1F,45856,,,'')&lt;/Q&gt;&lt;R&gt;0&lt;/R&gt;&lt;C&gt;0&lt;/C&gt;&lt;/FQL&gt;&lt;FQL&gt;&lt;Q&gt;CRWV^FE_ESTIMATE(DEFREVENUE_ST,MEAN,ANNUAL_ROLL,2023,45856,,,'')&lt;/Q&gt;&lt;R&gt;0&lt;/R&gt;&lt;C&gt;0&lt;/C&gt;&lt;/FQL&gt;&lt;FQL&gt;&lt;Q&gt;CRWV^FE_ESTIMATE(DEFREVENUE_ST,MEAN,QUARTERLY_ROLL,2023/4F,45856,,,'')&lt;/Q&gt;&lt;R&gt;0&lt;/R&gt;&lt;C&gt;0&lt;/C&gt;&lt;/FQL&gt;&lt;FQL&gt;&lt;Q&gt;CRWV^FE_ESTIMATE(DEFREVENUE_ST,MEAN,QUARTERLY_ROLL,2023/3F,45856,,,'')&lt;/Q&gt;&lt;R&gt;0&lt;/R&gt;&lt;C&gt;0&lt;/C&gt;&lt;/FQL&gt;&lt;FQL&gt;&lt;Q&gt;CRWV^FE_ESTIMATE(DEFREVENUE_ST,MEAN,QUARTERLY_ROLL,2023/2F,45856,,,'')&lt;/Q&gt;&lt;R&gt;0&lt;/R&gt;&lt;C&gt;0&lt;/C&gt;&lt;/FQL&gt;&lt;FQL&gt;&lt;Q&gt;CRWV^FE_ESTIMATE(DEFREVENUE_ST,MEAN,QUARTERLY_ROLL,2023/1F,45856,,,'')&lt;/Q&gt;&lt;R&gt;0&lt;/R&gt;&lt;C&gt;0&lt;/C&gt;&lt;/FQL&gt;&lt;FQL&gt;&lt;Q&gt;CRWV^FE_ESTIMATE(DEFREVENUE_ST,MEAN,ANNUAL_ROLL,2022,45856,,,'')&lt;/Q&gt;&lt;R&gt;0&lt;/R&gt;&lt;C&gt;0&lt;/C&gt;&lt;/FQL&gt;&lt;FQL&gt;&lt;Q&gt;CRWV^FE_ESTIMATE(DEFREVENUE_ST,MEAN,QUARTERLY_ROLL,2022/4F,45856,,,'')&lt;/Q&gt;&lt;R&gt;0&lt;/R&gt;&lt;C&gt;0&lt;/C&gt;&lt;/FQL&gt;&lt;FQL&gt;&lt;Q&gt;CRWV^FE_ESTIMATE(DEFREVENUE_ST,MEAN,QUARTERLY_ROLL,2022/3F,45856,,,'')&lt;/Q&gt;&lt;R&gt;0&lt;/R&gt;&lt;C&gt;0&lt;/C&gt;&lt;/FQL&gt;&lt;FQL&gt;&lt;Q&gt;CRWV^FE_ESTIMATE(DEFREVENUE_ST,MEAN,QUARTERLY_ROLL,2022/2F,45856,,,'')&lt;/Q&gt;&lt;R&gt;0&lt;/R&gt;&lt;C&gt;0&lt;/C&gt;&lt;/FQL&gt;&lt;FQL&gt;&lt;Q&gt;CRWV^FE_ESTIMATE(DEFREVENUE_ST,MEAN,QUARTERLY_ROLL,2022/1F,45856,,,'')&lt;/Q&gt;&lt;R&gt;0&lt;/R&gt;&lt;C&gt;0&lt;/C&gt;&lt;/FQL&gt;&lt;FQL&gt;&lt;Q&gt;CRWV^FE_ESTIMATE(FCF,MEAN,ANNUAL_ROLL,2029,45856,,,'')&lt;/Q&gt;&lt;R&gt;1&lt;/R&gt;&lt;C&gt;1&lt;/C&gt;&lt;D xsi:type="xsd:double"&gt;827.3&lt;/D&gt;&lt;/FQL&gt;&lt;FQL&gt;&lt;Q&gt;CRWV^FE_ESTIMATE(FCF,MEAN,QUARTERLY_ROLL,2029/4F,45856,,,'')&lt;/Q&gt;&lt;R&gt;0&lt;/R&gt;&lt;C&gt;0&lt;/C&gt;&lt;/FQL&gt;&lt;FQL&gt;&lt;Q&gt;CRWV^FE_ESTIMATE(FCF,MEAN,QUARTERLY_ROLL,2029/3F,45856,,,'')&lt;/Q&gt;&lt;R&gt;0&lt;/R&gt;&lt;C&gt;0&lt;/C&gt;&lt;/FQL&gt;&lt;FQL&gt;&lt;Q&gt;CRWV^FE_ESTIMATE(FCF,MEAN,QUARTERLY_ROLL,2029/2F,45856,,,'')&lt;/Q&gt;&lt;R&gt;0&lt;/R&gt;&lt;C&gt;0&lt;/C&gt;&lt;/FQL&gt;&lt;FQL&gt;&lt;Q&gt;CRWV^FE_ESTIMATE(FCF,MEAN,QUARTERLY_ROLL,2029/1F,45856,,,'')&lt;/Q&gt;&lt;R&gt;0&lt;/R&gt;&lt;C&gt;0&lt;/C&gt;&lt;/FQL&gt;&lt;FQL&gt;&lt;Q&gt;CRWV^FE_ESTIMATE(FCF,MEAN,ANNUAL_ROLL,2028,45856,,,'')&lt;/Q&gt;&lt;R&gt;1&lt;/R&gt;&lt;C&gt;1&lt;/C&gt;&lt;D xsi:type="xsd:double"&gt;-575.25&lt;/D&gt;&lt;/FQL&gt;&lt;FQL&gt;&lt;Q&gt;CRWV^FE_ESTIMATE(FCF,MEAN,QUARTERLY_ROLL,2028/4F,45856,,,'')&lt;/Q&gt;&lt;R&gt;0&lt;/R&gt;&lt;C&gt;0&lt;/C&gt;&lt;/FQL&gt;&lt;FQL&gt;&lt;Q&gt;CRWV^FE_ESTIMATE(FCF,MEAN,QUARTERLY_ROLL,2028/3F,45856,,,'')&lt;/Q&gt;&lt;R&gt;0&lt;/R&gt;&lt;C&gt;0&lt;/C&gt;&lt;/FQL&gt;&lt;FQL&gt;&lt;Q&gt;CRWV^FE_ESTIMATE(FCF,MEAN,QUARTERLY_ROLL,2028/2F,45856,,,'')&lt;/Q&gt;&lt;R&gt;0&lt;/R&gt;&lt;C&gt;0&lt;/C&gt;&lt;/FQL&gt;&lt;FQL&gt;&lt;Q&gt;CRWV^FE_ESTIMATE(FCF,MEAN,QUARTERLY_ROLL,2028/1F,45856,,,'')&lt;/Q&gt;&lt;R&gt;0&lt;/R&gt;&lt;C&gt;0&lt;/C&gt;&lt;/FQL&gt;&lt;FQL&gt;&lt;Q&gt;CRWV^FE_ESTIMATE(FCF,MEAN,ANNUAL_ROLL,2027,45856,,,'')&lt;/Q&gt;&lt;R&gt;1&lt;/R&gt;&lt;C&gt;1&lt;/C&gt;&lt;D xsi:type="xsd:double"&gt;-3029.782&lt;/D&gt;&lt;/FQL&gt;&lt;FQL&gt;&lt;Q&gt;CRWV^FE_ESTIMATE(FCF,MEAN,QUARTERLY_ROLL,2027/4F,45856,,,'')&lt;/Q&gt;&lt;R&gt;0&lt;/R&gt;&lt;C&gt;0&lt;/C&gt;&lt;/FQL&gt;&lt;FQL&gt;&lt;Q&gt;CRWV^FE_ESTIMATE(FCF,MEAN,QUARTERLY_ROLL,2027/3F,45856,,,'')&lt;/Q&gt;&lt;R&gt;0&lt;/R&gt;&lt;C&gt;0&lt;/C&gt;&lt;/FQL&gt;&lt;FQL&gt;&lt;Q&gt;CRWV^FE_ESTIMATE(FCF,MEAN,QUARTERLY_ROLL,2027/2F,45856,,,'')&lt;/Q&gt;&lt;R&gt;0&lt;/R&gt;&lt;C&gt;0&lt;/C&gt;&lt;/FQL&gt;&lt;FQL&gt;&lt;Q&gt;CRWV^FE_ESTIMATE(FCF,MEAN,QUARTERLY_ROLL,2027/1F,45856,,,'')&lt;/Q&gt;&lt;R&gt;0&lt;/R&gt;&lt;C&gt;0&lt;/C&gt;&lt;/FQL&gt;&lt;FQL&gt;&lt;Q&gt;CRWV^FE_ESTIMATE(FCF,MEAN,ANNUAL_ROLL,2026,45856,,,'')&lt;/Q&gt;&lt;R&gt;1&lt;/R&gt;&lt;C&gt;1&lt;/C&gt;&lt;D xsi:type="xsd:double"&gt;-7994.3433&lt;/D&gt;&lt;/FQL&gt;&lt;FQL&gt;&lt;Q&gt;CRWV^FE_ESTIMATE(FCF,MEAN,QUARTERLY_ROLL,2026/4F,45856,,,'')&lt;/Q&gt;&lt;R&gt;1&lt;/R&gt;&lt;C&gt;1&lt;/C&gt;&lt;D xsi:type="xsd:double"&gt;-1054.4&lt;/D&gt;&lt;/FQL&gt;&lt;FQL&gt;&lt;Q&gt;CRWV^FE_ESTIMATE(FCF,MEAN,QUARTERLY_ROLL,2026/3F,45856,,,'')&lt;/Q&gt;&lt;R&gt;1&lt;/R&gt;&lt;C&gt;1&lt;/C&gt;&lt;D xsi:type="xsd:double"&gt;-1850.2&lt;/D&gt;&lt;/FQL&gt;&lt;FQL&gt;&lt;Q&gt;CRWV^FE_ESTIMATE(FCF,MEAN,QUARTERLY_ROLL,2026/2F,45856,,,'')&lt;/Q&gt;&lt;R&gt;1&lt;/R&gt;&lt;C&gt;1&lt;/C&gt;&lt;D xsi:type="xsd:double"&gt;-2066.6&lt;/D&gt;&lt;/FQL&gt;&lt;FQL&gt;&lt;Q&gt;CRWV^FE_ESTIMATE(FCF,MEAN,QUARTERLY_ROLL,2026/1F,45856,,,'')&lt;/Q&gt;&lt;R&gt;1&lt;/R&gt;&lt;C&gt;1&lt;/C&gt;&lt;D xsi:type="xsd:double"&gt;-2197&lt;/D&gt;&lt;/FQL&gt;&lt;FQL&gt;&lt;Q&gt;CRWV^FE_ESTIMATE(FCF,MEAN,ANNUAL_ROLL,2025,45856,,,'')&lt;/Q&gt;&lt;R&gt;1&lt;/R&gt;&lt;C&gt;1&lt;/C&gt;&lt;D xsi:type="xsd:double"&gt;-16858.438&lt;/D&gt;&lt;/FQL&gt;&lt;FQL&gt;&lt;Q&gt;CRWV^FE_ESTIMATE(FCF,MEAN,QUARTERLY_ROLL,2025/4F,45856,,,'')&lt;/Q&gt;&lt;R&gt;1&lt;/R&gt;&lt;C&gt;1&lt;/C&gt;&lt;D xsi:type="xsd:double"&gt;-5861.05&lt;/D&gt;&lt;/FQL&gt;&lt;FQL&gt;&lt;Q&gt;CRWV^FE_ESTIMATE(FCF,MEAN,QUARTERLY_ROLL,2025/3F,45856,,,'')&lt;/Q&gt;&lt;R&gt;1&lt;/R&gt;&lt;C&gt;1&lt;/C&gt;&lt;D xsi:type="xsd:double"&gt;-5685.35&lt;/D&gt;&lt;/FQL&gt;&lt;FQL&gt;&lt;Q&gt;CRWV^FE_ESTIMATE(FCF,MEAN,QUARTERLY_ROLL,2025/2F,45856,,,'')&lt;/Q&gt;&lt;R&gt;1&lt;/R&gt;&lt;C&gt;1&lt;/C&gt;&lt;D xsi:type="xsd:double"&gt;-3131.5&lt;/D&gt;&lt;/FQL&gt;&lt;FQL&gt;&lt;Q&gt;CRWV^FE_ESTIMATE(FCF,MEAN,QUARTERLY_ROLL,2025/1F,45856,,,'')&lt;/Q&gt;&lt;R&gt;1&lt;/R&gt;&lt;C&gt;1&lt;/C&gt;&lt;D xsi:type="xsd:double"&gt;-1346&lt;/D&gt;&lt;/FQL&gt;&lt;FQL&gt;&lt;Q&gt;CRWV^FE_ESTIMATE(FCF,MEAN,ANNUAL_ROLL,2024,45856,,,'')&lt;/Q&gt;&lt;R&gt;1&lt;/R&gt;&lt;C&gt;1&lt;/C&gt;&lt;D xsi:type="xsd:double"&gt;-5952.9443&lt;/D&gt;&lt;/FQL&gt;&lt;FQL&gt;&lt;Q&gt;CRWV^FE_ESTIMATE(FCF,MEAN,QUARTERLY_ROLL,2024/4F,45856,,,'')&lt;/Q&gt;&lt;R&gt;1&lt;/R&gt;&lt;C&gt;1&lt;/C&gt;&lt;D xsi:type="xsd:double"&gt;-3476&lt;/D&gt;&lt;/FQL&gt;&lt;FQL&gt;&lt;Q&gt;CRWV^FE_ESTIMATE(FCF,MEAN,QUARTERLY_ROLL,2024/3F,45856,,,'')&lt;/Q&gt;&lt;R&gt;0&lt;/R&gt;&lt;C&gt;0&lt;/C&gt;&lt;/FQL&gt;&lt;FQL&gt;&lt;Q&gt;CRWV^FE_ESTIMATE(FCF,MEAN,QUARTERLY_ROLL,2024/2F,45856,,,'')&lt;/Q&gt;&lt;R&gt;0&lt;/R&gt;&lt;C&gt;0&lt;/C&gt;&lt;/FQL&gt;&lt;FQL&gt;&lt;Q&gt;CRWV^FE_ESTIMATE(FCF,MEAN,QUARTERLY_ROLL,2024/1F,45856,,,'')&lt;/Q&gt;&lt;R&gt;0&lt;/R&gt;&lt;C&gt;0&lt;/C&gt;&lt;/FQL&gt;&lt;FQL&gt;&lt;Q&gt;CRWV^FE_ESTIMATE(FCF,MEAN,ANNUAL_ROLL,2023,45856,,,'')&lt;/Q&gt;&lt;R&gt;0&lt;/R&gt;&lt;C&gt;0&lt;/C&gt;&lt;/FQL&gt;&lt;FQL&gt;&lt;Q&gt;CRWV^FE_ESTIMATE(FCF,MEAN,QUARTERLY_ROLL,2023/4F,45856,,,'')&lt;/Q&gt;&lt;R&gt;0&lt;/R&gt;&lt;C&gt;0&lt;/C&gt;&lt;/FQL&gt;&lt;FQL&gt;&lt;Q&gt;CRWV^FE_ESTIMATE(FCF,MEAN,QUARTERLY_ROLL,2023/3F,45856,,,'')&lt;/Q&gt;&lt;R&gt;0&lt;/R&gt;&lt;C&gt;0&lt;/C&gt;&lt;/FQL&gt;&lt;FQL&gt;&lt;Q&gt;CRWV^FE_ESTIMATE(FCF,MEAN,QUARTERLY_ROLL,2023/2F,45856,,,'')&lt;/Q&gt;&lt;R&gt;0&lt;/R&gt;&lt;C&gt;0&lt;/C&gt;&lt;/FQL&gt;&lt;FQL&gt;&lt;Q&gt;CRWV^FE_ESTIMATE(FCF,MEAN,QUARTERLY_ROLL,2023/1F,45856,,,'')&lt;/Q&gt;&lt;R&gt;0&lt;/R&gt;&lt;C&gt;0&lt;/C&gt;&lt;/FQL&gt;&lt;FQL&gt;&lt;Q&gt;CRWV^FE_ESTIMATE(FCF,MEAN,ANNUAL_ROLL,2022,45856,,,'')&lt;/Q&gt;&lt;R&gt;0&lt;/R&gt;&lt;C&gt;0&lt;/C&gt;&lt;/FQL&gt;&lt;FQL&gt;&lt;Q&gt;CRWV^FE_ESTIMATE(FCF,MEAN,QUARTERLY_ROLL,2022/4F,45856,,,'')&lt;/Q&gt;&lt;R&gt;0&lt;/R&gt;&lt;C&gt;0&lt;/C&gt;&lt;/FQL&gt;&lt;FQL&gt;&lt;Q&gt;CRWV^FE_ESTIMATE(FCF,MEAN,QUARTERLY_ROLL,2022/3F,45856,,,'')&lt;/Q&gt;&lt;R&gt;0&lt;/R&gt;&lt;C&gt;0&lt;/C&gt;&lt;/FQL&gt;&lt;FQL&gt;&lt;Q&gt;CRWV^FE_ESTIMATE(FCF,MEAN,QUARTERLY_ROLL,2022/2F,45856,,,'')&lt;/Q&gt;&lt;R&gt;0&lt;/R&gt;&lt;C&gt;0&lt;/C&gt;&lt;/FQL&gt;&lt;FQL&gt;&lt;Q&gt;CRWV^FE_ESTIMATE(FCF,MEAN,QUARTERLY_ROLL,2022/1F,45856,,,'')&lt;/Q&gt;&lt;R&gt;0&lt;/R&gt;&lt;C&gt;0&lt;/C&gt;&lt;/FQL&gt;&lt;FQL&gt;&lt;Q&gt;CRWV^FE_ESTIMATE(CAPEX,MEAN,ANNUAL_ROLL,2029,45856,,,'')&lt;/Q&gt;&lt;R&gt;1&lt;/R&gt;&lt;C&gt;1&lt;/C&gt;&lt;D xsi:type="xsd:double"&gt;16146.65&lt;/D&gt;&lt;/FQL&gt;&lt;FQL&gt;&lt;Q&gt;CRWV^FE_ESTIMATE(CAPEX,MEAN,QUARTERLY_ROLL,2029/4F,45856,,,'')&lt;/Q&gt;&lt;R&gt;0&lt;/R&gt;&lt;C&gt;0&lt;/C&gt;&lt;/FQL&gt;&lt;FQL&gt;&lt;Q&gt;CRWV^FE_ESTIMATE(CAPEX,MEAN,QUARTERLY_ROLL,2029/3F,45856,,,'')&lt;/Q&gt;&lt;R&gt;0&lt;/R&gt;&lt;C&gt;0&lt;/C&gt;&lt;/FQL&gt;&lt;FQL&gt;&lt;Q&gt;CRWV^FE_ESTIMATE(CAPEX,MEAN,QUARTERLY_ROLL,2029/2F,45856,,,'')&lt;/Q&gt;&lt;R&gt;0&lt;/R&gt;&lt;C&gt;0&lt;/C&gt;&lt;/FQL&gt;&lt;FQL&gt;&lt;Q&gt;CRWV^FE_ESTIMATE(CAPEX,MEAN,QUARTERLY_ROLL,2029/1F,45856,,,'')&lt;/Q&gt;&lt;R&gt;0&lt;/R&gt;&lt;C&gt;0&lt;/C&gt;&lt;/FQL&gt;&lt;FQL&gt;&lt;Q&gt;CRWV^FE_ESTIMATE(CAPEX,MEAN,ANNUAL_ROLL,2028,45856,,,'')&lt;/Q&gt;&lt;R&gt;1&lt;/R&gt;&lt;C&gt;1&lt;/C&gt;&lt;D xsi:type="xsd:double"&gt;14532&lt;/D&gt;&lt;/FQL&gt;&lt;FQL&gt;&lt;Q&gt;CRWV^FE_ESTIMATE(CAPEX,MEAN,QUARTERLY_ROLL,2028/4F,45856,,,'')&lt;/Q&gt;&lt;R&gt;0&lt;/R&gt;&lt;C&gt;0&lt;/C&gt;&lt;/FQL&gt;&lt;FQL&gt;&lt;Q&gt;CRWV^FE_ESTIMATE(CAPEX,MEAN,QUARTERLY_ROLL,2028/3F,45856,,,'')&lt;/Q&gt;&lt;R&gt;0&lt;/R&gt;&lt;C&gt;0&lt;/C&gt;&lt;/FQL&gt;&lt;FQL&gt;&lt;Q&gt;CRWV^FE_ESTIMATE(CAPEX,MEAN,QUARTERLY_ROLL,2028/2F,45856,,,'')&lt;/Q&gt;&lt;R&gt;0&lt;/R&gt;&lt;C&gt;0&lt;/C&gt;&lt;/FQL&gt;&lt;FQL&gt;&lt;Q&gt;CRWV^FE_ESTIMATE(CAPEX,MEAN,QUARTERLY_ROLL,2028/1F,45856,,,'')&lt;/Q&gt;&lt;R&gt;0&lt;/R&gt;&lt;C&gt;0&lt;/C&gt;&lt;/FQL&gt;&lt;FQL&gt;&lt;Q&gt;CRWV^FE_ESTIMATE(CAPEX,MEAN,ANNUAL_ROLL,2027,45856,,,'')&lt;/Q&gt;&lt;R&gt;1&lt;/R&gt;&lt;C&gt;1&lt;/C&gt;&lt;D xsi:type="xsd:double"&gt;13315.315&lt;/D&gt;&lt;/FQL&gt;&lt;FQL&gt;&lt;Q&gt;CRWV^FE_ESTIMATE(CAPEX,MEAN,QUARTERLY_ROLL,2027/4F,45856,,,'')&lt;/Q&gt;&lt;R&gt;1&lt;/R&gt;&lt;C&gt;1&lt;/C&gt;&lt;D xsi:type="xsd:double"&gt;2642.2654&lt;/D&gt;&lt;/FQL&gt;&lt;FQL&gt;&lt;Q&gt;CRWV^FE_ESTIMATE(CAPEX,MEAN,QUARTERLY_ROLL,2027/3F,45856,,,'')&lt;/Q&gt;&lt;R&gt;1&lt;/R&gt;&lt;C&gt;1&lt;/C&gt;&lt;D xsi:type="xsd:double"&gt;2826.4375&lt;/D&gt;&lt;/FQL&gt;&lt;FQL&gt;&lt;Q&gt;CRWV^FE_ESTIMATE(CAPEX,MEAN,QUARTERLY_ROLL,2027/2F,45856,,,'')&lt;/Q&gt;&lt;R&gt;1&lt;/R&gt;&lt;C&gt;1&lt;/C&gt;&lt;D xsi:type="xsd:double"&gt;3593.939&lt;/D&gt;&lt;/FQL&gt;&lt;FQL&gt;&lt;Q&gt;CRWV^FE_ESTIMATE(CAPEX,MEAN,QUARTERLY_ROLL,2027/1F,45856,,,'')&lt;/Q&gt;&lt;R&gt;1&lt;/R&gt;&lt;C&gt;1&lt;/C&gt;&lt;D xsi:type="xsd:double"&gt;3329.506&lt;/D&gt;&lt;/FQL&gt;&lt;FQL&gt;&lt;Q&gt;CRWV^FE_ESTIMATE(CAPEX,MEAN,ANNUAL_ROLL,2026,45856,,,'')&lt;/Q&gt;&lt;R&gt;1&lt;/R&gt;&lt;C&gt;1&lt;/C&gt;&lt;D xsi:type="xsd:double"&gt;15146.047&lt;/D&gt;&lt;/FQL&gt;&lt;FQL&gt;&lt;Q&gt;CRWV^FE_ESTIMATE(CAPEX,MEAN,QUARTERLY_ROLL,2026/4F,45856,,,'')&lt;/Q&gt;&lt;R&gt;1&lt;/R&gt;&lt;C&gt;1&lt;/C&gt;&lt;D xsi:type="xsd:double"&gt;2876.4995&lt;/D&gt;&lt;/FQL&gt;&lt;FQL&gt;&lt;Q&gt;CRWV^FE_ESTIMATE(CAPEX,MEAN,QUARTERLY_ROLL,2026/3F,45856,,,'')&lt;/Q&gt;&lt;R&gt;1&lt;/R&gt;&lt;C&gt;1&lt;/C&gt;&lt;D xsi:type="xsd:double"&gt;3605.9675&lt;/D&gt;&lt;/FQL&gt;&lt;FQL&gt;&lt;Q&gt;CRWV^FE_ESTIMATE(CAPEX,MEAN,QUARTERLY_ROLL,2026/2F,45856,,,'')&lt;/Q&gt;&lt;R&gt;1&lt;/R&gt;&lt;C&gt;1&lt;/C&gt;&lt;D xsi:type="xsd:double"&gt;3457.1055&lt;/D&gt;&lt;/FQL&gt;&lt;FQL&gt;&lt;Q&gt;CRWV^FE_ESTIMATE(CAPEX,MEAN,QUARTERLY_ROLL,2026/1F,45856,,,'')&lt;/Q&gt;&lt;R&gt;1&lt;/R&gt;&lt;C&gt;1&lt;/C&gt;&lt;D xsi:type="xsd:double"&gt;3810.7886&lt;/D&gt;&lt;/FQL&gt;&lt;FQL&gt;&lt;Q&gt;CRWV^FE_ESTIMATE(CAPEX,MEAN,ANNUAL_ROLL,2025,45856,,,'')&lt;/Q&gt;&lt;R&gt;1&lt;/R&gt;&lt;C&gt;1&lt;/C&gt;&lt;D xsi:type="xsd:double"&gt;20246.24&lt;/D&gt;&lt;/FQL&gt;&lt;FQL&gt;&lt;Q&gt;CRWV^FE_ESTIMATE(CAPEX,MEAN,QUARTERLY_ROLL,2025/4F,45856,,,'')&lt;/Q&gt;&lt;R&gt;1&lt;/R&gt;&lt;C&gt;1&lt;/C&gt;&lt;D xsi:type="xsd:double"&gt;7014.3164&lt;/D&gt;&lt;/FQL&gt;&lt;FQL&gt;&lt;Q&gt;CRWV^FE_ESTIMATE(CAPEX,MEAN,QUARTERLY_ROLL,2025/3F,45856,,,'')&lt;/Q&gt;&lt;R&gt;1&lt;/R&gt;&lt;C&gt;1&lt;/C&gt;&lt;D xsi:type="xsd:double"&gt;6698.636&lt;/D&gt;&lt;/FQL&gt;&lt;FQL&gt;&lt;Q&gt;CRWV^FE_ESTIMATE(CAPEX,MEAN,QUARTERLY_ROLL,2025/2F,45856,,,'')&lt;/Q&gt;&lt;R&gt;1&lt;/R&gt;&lt;C&gt;1&lt;/C&gt;&lt;D xsi:type="xsd:double"&gt;3670.6277&lt;/D&gt;&lt;/FQL&gt;&lt;FQL&gt;&lt;Q&gt;CRWV^FE_ESTIMATE(CAPEX,MEAN,QUARTERLY_ROLL,2025/1F,45856,,,'')&lt;/Q&gt;&lt;R&gt;1&lt;/R&gt;&lt;C&gt;1&lt;/C&gt;&lt;D xsi:type="xsd:double"&gt;1407.359&lt;/D&gt;&lt;/FQL&gt;&lt;FQL&gt;&lt;Q&gt;CRWV^FE_ESTIMATE(CAPEX,MEAN,ANNUAL_ROLL,2024,45856,,,'')&lt;/Q&gt;&lt;R&gt;1&lt;/R&gt;&lt;C&gt;1&lt;/C&gt;&lt;D xsi:type="xsd:double"&gt;8770.176&lt;/D&gt;&lt;/FQL&gt;&lt;FQL&gt;&lt;Q&gt;CRWV^FE_ESTIMATE(CAPEX,MEAN,QUARTERLY_ROLL,20</t>
        </r>
      </text>
    </comment>
    <comment ref="A10" authorId="0" shapeId="0" xr:uid="{53906DDE-D2D1-48AF-9054-8A9941F711A0}">
      <text>
        <r>
          <rPr>
            <b/>
            <sz val="9"/>
            <color indexed="81"/>
            <rFont val="Tahoma"/>
            <charset val="1"/>
          </rPr>
          <t>24/4F,45856,,,'')&lt;/Q&gt;&lt;R&gt;1&lt;/R&gt;&lt;C&gt;1&lt;/C&gt;&lt;D xsi:type="xsd:double"&gt;3151.0667&lt;/D&gt;&lt;/FQL&gt;&lt;FQL&gt;&lt;Q&gt;CRWV^FE_ESTIMATE(CAPEX,MEAN,QUARTERLY_ROLL,2024/3F,45856,,,'')&lt;/Q&gt;&lt;R&gt;0&lt;/R&gt;&lt;C&gt;0&lt;/C&gt;&lt;/FQL&gt;&lt;FQL&gt;&lt;Q&gt;CRWV^FE_ESTIMATE(CAPEX,MEAN,QUARTERLY_ROLL,2024/2F,45856,,,'')&lt;/Q&gt;&lt;R&gt;0&lt;/R&gt;&lt;C&gt;0&lt;/C&gt;&lt;/FQL&gt;&lt;FQL&gt;&lt;Q&gt;CRWV^FE_ESTIMATE(CAPEX,MEAN,QUARTERLY_ROLL,2024/1F,45856,,,'')&lt;/Q&gt;&lt;R&gt;0&lt;/R&gt;&lt;C&gt;0&lt;/C&gt;&lt;/FQL&gt;&lt;FQL&gt;&lt;Q&gt;CRWV^FE_ESTIMATE(CAPEX,MEAN,ANNUAL_ROLL,2023,45856,,,'')&lt;/Q&gt;&lt;R&gt;0&lt;/R&gt;&lt;C&gt;0&lt;/C&gt;&lt;/FQL&gt;&lt;FQL&gt;&lt;Q&gt;CRWV^FE_ESTIMATE(CAPEX,MEAN,QUARTERLY_ROLL,2023/4F,45856,,,'')&lt;/Q&gt;&lt;R&gt;0&lt;/R&gt;&lt;C&gt;0&lt;/C&gt;&lt;/FQL&gt;&lt;FQL&gt;&lt;Q&gt;CRWV^FE_ESTIMATE(CAPEX,MEAN,QUARTERLY_ROLL,2023/3F,45856,,,'')&lt;/Q&gt;&lt;R&gt;0&lt;/R&gt;&lt;C&gt;0&lt;/C&gt;&lt;/FQL&gt;&lt;FQL&gt;&lt;Q&gt;CRWV^FE_ESTIMATE(CAPEX,MEAN,QUARTERLY_ROLL,2023/2F,45856,,,'')&lt;/Q&gt;&lt;R&gt;0&lt;/R&gt;&lt;C&gt;0&lt;/C&gt;&lt;/FQL&gt;&lt;FQL&gt;&lt;Q&gt;CRWV^FE_ESTIMATE(CAPEX,MEAN,QUARTERLY_ROLL,2023/1F,45856,,,'')&lt;/Q&gt;&lt;R&gt;0&lt;/R&gt;&lt;C&gt;0&lt;/C&gt;&lt;/FQL&gt;&lt;FQL&gt;&lt;Q&gt;CRWV^FE_ESTIMATE(CAPEX,MEAN,ANNUAL_ROLL,2022,45856,,,'')&lt;/Q&gt;&lt;R&gt;0&lt;/R&gt;&lt;C&gt;0&lt;/C&gt;&lt;/FQL&gt;&lt;FQL&gt;&lt;Q&gt;CRWV^FE_ESTIMATE(CAPEX,MEAN,QUARTERLY_ROLL,2022/4F,45856,,,'')&lt;/Q&gt;&lt;R&gt;0&lt;/R&gt;&lt;C&gt;0&lt;/C&gt;&lt;/FQL&gt;&lt;FQL&gt;&lt;Q&gt;CRWV^FE_ESTIMATE(CAPEX,MEAN,QUARTERLY_ROLL,2022/3F,45856,,,'')&lt;/Q&gt;&lt;R&gt;0&lt;/R&gt;&lt;C&gt;0&lt;/C&gt;&lt;/FQL&gt;&lt;FQL&gt;&lt;Q&gt;CRWV^FE_ESTIMATE(CAPEX,MEAN,QUARTERLY_ROLL,2022/2F,45856,,,'')&lt;/Q&gt;&lt;R&gt;0&lt;/R&gt;&lt;C&gt;0&lt;/C&gt;&lt;/FQL&gt;&lt;FQL&gt;&lt;Q&gt;CRWV^FE_ESTIMATE(CAPEX,MEAN,QUARTERLY_ROLL,2022/1F,45856,,,'')&lt;/Q&gt;&lt;R&gt;0&lt;/R&gt;&lt;C&gt;0&lt;/C&gt;&lt;/FQL&gt;&lt;FQL&gt;&lt;Q&gt;CRWV^FE_ESTIMATE(CFO,MEAN,ANNUAL_ROLL,2029,45856,,,'')&lt;/Q&gt;&lt;R&gt;0&lt;/R&gt;&lt;C&gt;0&lt;/C&gt;&lt;/FQL&gt;&lt;FQL&gt;&lt;Q&gt;CRWV^FE_ESTIMATE(CFO,MEAN,QUARTERLY_ROLL,2029/4F,45856,,,'')&lt;/Q&gt;&lt;R&gt;0&lt;/R&gt;&lt;C&gt;0&lt;/C&gt;&lt;/FQL&gt;&lt;FQL&gt;&lt;Q&gt;CRWV^FE_ESTIMATE(CFO,MEAN,QUARTERLY_ROLL,2029/3F,45856,,,'')&lt;/Q&gt;&lt;R&gt;0&lt;/R&gt;&lt;C&gt;0&lt;/C&gt;&lt;/FQL&gt;&lt;FQL&gt;&lt;Q&gt;CRWV^FE_ESTIMATE(CFO,MEAN,QUARTERLY_ROLL,2029/2F,45856,,,'')&lt;/Q&gt;&lt;R&gt;0&lt;/R&gt;&lt;C&gt;0&lt;/C&gt;&lt;/FQL&gt;&lt;FQL&gt;&lt;Q&gt;CRWV^FE_ESTIMATE(CFO,MEAN,QUARTERLY_ROLL,2029/1F,45856,,,'')&lt;/Q&gt;&lt;R&gt;0&lt;/R&gt;&lt;C&gt;0&lt;/C&gt;&lt;/FQL&gt;&lt;FQL&gt;&lt;Q&gt;CRWV^FE_ESTIMATE(CFO,MEAN,ANNUAL_ROLL,2028,45856,,,'')&lt;/Q&gt;&lt;R&gt;0&lt;/R&gt;&lt;C&gt;0&lt;/C&gt;&lt;/FQL&gt;&lt;FQL&gt;&lt;Q&gt;CRWV^FE_ESTIMATE(CFO,MEAN,QUARTERLY_ROLL,2028/4F,45856,,,'')&lt;/Q&gt;&lt;R&gt;0&lt;/R&gt;&lt;C&gt;0&lt;/C&gt;&lt;/FQL&gt;&lt;FQL&gt;&lt;Q&gt;CRWV^FE_ESTIMATE(CFO,MEAN,QUARTERLY_ROLL,2028/3F,45856,,,'')&lt;/Q&gt;&lt;R&gt;0&lt;/R&gt;&lt;C&gt;0&lt;/C&gt;&lt;/FQL&gt;&lt;FQL&gt;&lt;Q&gt;CRWV^FE_ESTIMATE(CFO,MEAN,QUARTERLY_ROLL,2028/2F,45856,,,'')&lt;/Q&gt;&lt;R&gt;0&lt;/R&gt;&lt;C&gt;0&lt;/C&gt;&lt;/FQL&gt;&lt;FQL&gt;&lt;Q&gt;CRWV^FE_ESTIMATE(CFO,MEAN,QUARTERLY_ROLL,2028/1F,45856,,,'')&lt;/Q&gt;&lt;R&gt;0&lt;/R&gt;&lt;C&gt;0&lt;/C&gt;&lt;/FQL&gt;&lt;FQL&gt;&lt;Q&gt;CRWV^FE_ESTIMATE(CFO,MEAN,ANNUAL_ROLL,2027,45856,,,'')&lt;/Q&gt;&lt;R&gt;1&lt;/R&gt;&lt;C&gt;1&lt;/C&gt;&lt;D xsi:type="xsd:double"&gt;10705.21&lt;/D&gt;&lt;/FQL&gt;&lt;FQL&gt;&lt;Q&gt;CRWV^FE_ESTIMATE(CFO,MEAN,QUARTERLY_ROLL,2027/4F,45856,,,'')&lt;/Q&gt;&lt;R&gt;1&lt;/R&gt;&lt;C&gt;1&lt;/C&gt;&lt;D xsi:type="xsd:double"&gt;3011.507&lt;/D&gt;&lt;/FQL&gt;&lt;FQL&gt;&lt;Q&gt;CRWV^FE_ESTIMATE(CFO,MEAN,QUARTERLY_ROLL,2027/3F,45856,,,'')&lt;/Q&gt;&lt;R&gt;1&lt;/R&gt;&lt;C&gt;1&lt;/C&gt;&lt;D xsi:type="xsd:double"&gt;2135.7385&lt;/D&gt;&lt;/FQL&gt;&lt;FQL&gt;&lt;Q&gt;CRWV^FE_ESTIMATE(CFO,MEAN,QUARTERLY_ROLL,2027/2F,45856,,,'')&lt;/Q&gt;&lt;R&gt;1&lt;/R&gt;&lt;C&gt;1&lt;/C&gt;&lt;D xsi:type="xsd:double"&gt;2998.324&lt;/D&gt;&lt;/FQL&gt;&lt;FQL&gt;&lt;Q&gt;CRWV^FE_ESTIMATE(CFO,MEAN,QUARTERLY_ROLL,2027/1F,45856,,,'')&lt;/Q&gt;&lt;R&gt;1&lt;/R&gt;&lt;C&gt;1&lt;/C&gt;&lt;D xsi:type="xsd:double"&gt;2527.6316&lt;/D&gt;&lt;/FQL&gt;&lt;FQL&gt;&lt;Q&gt;CRWV^FE_ESTIMATE(CFO,MEAN,ANNUAL_ROLL,2026,45856,,,'')&lt;/Q&gt;&lt;R&gt;1&lt;/R&gt;&lt;C&gt;1&lt;/C&gt;&lt;D xsi:type="xsd:double"&gt;7484.9814&lt;/D&gt;&lt;/FQL&gt;&lt;FQL&gt;&lt;Q&gt;CRWV^FE_ESTIMATE(CFO,MEAN,QUARTERLY_ROLL,2026/4F,45856,,,'')&lt;/Q&gt;&lt;R&gt;1&lt;/R&gt;&lt;C&gt;1&lt;/C&gt;&lt;D xsi:type="xsd:double"&gt;1832.0914&lt;/D&gt;&lt;/FQL&gt;&lt;FQL&gt;&lt;Q&gt;CRWV^FE_ESTIMATE(CFO,MEAN,QUARTERLY_ROLL,2026/3F,45856,,,'')&lt;/Q&gt;&lt;R&gt;1&lt;/R&gt;&lt;C&gt;1&lt;/C&gt;&lt;D xsi:type="xsd:double"&gt;1650.1351&lt;/D&gt;&lt;/FQL&gt;&lt;FQL&gt;&lt;Q&gt;CRWV^FE_ESTIMATE(CFO,MEAN,QUARTERLY_ROLL,2026/2F,45856,,,'')&lt;/Q&gt;&lt;R&gt;1&lt;/R&gt;&lt;C&gt;1&lt;/C&gt;&lt;D xsi:type="xsd:double"&gt;1254.4827&lt;/D&gt;&lt;/FQL&gt;&lt;FQL&gt;&lt;Q&gt;CRWV^FE_ESTIMATE(CFO,MEAN,QUARTERLY_ROLL,2026/1F,45856,,,'')&lt;/Q&gt;&lt;R&gt;1&lt;/R&gt;&lt;C&gt;1&lt;/C&gt;&lt;D xsi:type="xsd:double"&gt;1474.8676&lt;/D&gt;&lt;/FQL&gt;&lt;FQL&gt;&lt;Q&gt;CRWV^FE_ESTIMATE(CFO,MEAN,ANNUAL_ROLL,2025,45856,,,'')&lt;/Q&gt;&lt;R&gt;1&lt;/R&gt;&lt;C&gt;1&lt;/C&gt;&lt;D xsi:type="xsd:double"&gt;3206.4697&lt;/D&gt;&lt;/FQL&gt;&lt;FQL&gt;&lt;Q&gt;CRWV^FE_ESTIMATE(CFO,MEAN,QUARTERLY_ROLL,2025/4F,45856,,,'')&lt;/Q&gt;&lt;R&gt;1&lt;/R&gt;&lt;C&gt;1&lt;/C&gt;&lt;D xsi:type="xsd:double"&gt;1381.17&lt;/D&gt;&lt;/FQL&gt;&lt;FQL&gt;&lt;Q&gt;CRWV^FE_ESTIMATE(CFO,MEAN,QUARTERLY_ROLL,2025/3F,45856,,,'')&lt;/Q&gt;&lt;R&gt;1&lt;/R&gt;&lt;C&gt;1&lt;/C&gt;&lt;D xsi:type="xsd:double"&gt;1212.0577&lt;/D&gt;&lt;/FQL&gt;&lt;FQL&gt;&lt;Q&gt;CRWV^FE_ESTIMATE(CFO,MEAN,QUARTERLY_ROLL,2025/2F,45856,,,'')&lt;/Q&gt;&lt;R&gt;1&lt;/R&gt;&lt;C&gt;1&lt;/C&gt;&lt;D xsi:type="xsd:double"&gt;118.615555&lt;/D&gt;&lt;/FQL&gt;&lt;FQL&gt;&lt;Q&gt;CRWV^FE_ESTIMATE(CFO,MEAN,QUARTERLY_ROLL,2025/1F,45856,,,'')&lt;/Q&gt;&lt;R&gt;1&lt;/R&gt;&lt;C&gt;1&lt;/C&gt;&lt;D xsi:type="xsd:double"&gt;61.04&lt;/D&gt;&lt;/FQL&gt;&lt;FQL&gt;&lt;Q&gt;CRWV^FE_ESTIMATE(CFO,MEAN,ANNUAL_ROLL,2024,45856,,,'')&lt;/Q&gt;&lt;R&gt;1&lt;/R&gt;&lt;C&gt;1&lt;/C&gt;&lt;D xsi:type="xsd:double"&gt;2749.104&lt;/D&gt;&lt;/FQL&gt;&lt;FQL&gt;&lt;Q&gt;CRWV^FE_ESTIMATE(CFO,MEAN,QUARTERLY_ROLL,2024/4F,45856,,,'')&lt;/Q&gt;&lt;R&gt;1&lt;/R&gt;&lt;C&gt;1&lt;/C&gt;&lt;D xsi:type="xsd:double"&gt;-323.43332&lt;/D&gt;&lt;/FQL&gt;&lt;FQL&gt;&lt;Q&gt;CRWV^FE_ESTIMATE(CFO,MEAN,QUARTERLY_ROLL,2024/3F,45856,,,'')&lt;/Q&gt;&lt;R&gt;0&lt;/R&gt;&lt;C&gt;0&lt;/C&gt;&lt;/FQL&gt;&lt;FQL&gt;&lt;Q&gt;CRWV^FE_ESTIMATE(CFO,MEAN,QUARTERLY_ROLL,2024/2F,45856,,,'')&lt;/Q&gt;&lt;R&gt;0&lt;/R&gt;&lt;C&gt;0&lt;/C&gt;&lt;/FQL&gt;&lt;FQL&gt;&lt;Q&gt;CRWV^FE_ESTIMATE(CFO,MEAN,QUARTERLY_ROLL,2024/1F,45856,,,'')&lt;/Q&gt;&lt;R&gt;0&lt;/R&gt;&lt;C&gt;0&lt;/C&gt;&lt;/FQL&gt;&lt;FQL&gt;&lt;Q&gt;CRWV^FE_ESTIMATE(CFO,MEAN,ANNUAL_ROLL,2023,45856,,,'')&lt;/Q&gt;&lt;R&gt;0&lt;/R&gt;&lt;C&gt;0&lt;/C&gt;&lt;/FQL&gt;&lt;FQL&gt;&lt;Q&gt;CRWV^FE_ESTIMATE(CFO,MEAN,QUARTERLY_ROLL,2023/4F,45856,,,'')&lt;/Q&gt;&lt;R&gt;0&lt;/R&gt;&lt;C&gt;0&lt;/C&gt;&lt;/FQL&gt;&lt;FQL&gt;&lt;Q&gt;CRWV^FE_ESTIMATE(CFO,MEAN,QUARTERLY_ROLL,2023/3F,45856,,,'')&lt;/Q&gt;&lt;R&gt;0&lt;/R&gt;&lt;C&gt;0&lt;/C&gt;&lt;/FQL&gt;&lt;FQL&gt;&lt;Q&gt;CRWV^FE_ESTIMATE(CFO,MEAN,QUARTERLY_ROLL,2023/2F,45856,,,'')&lt;/Q&gt;&lt;R&gt;0&lt;/R&gt;&lt;C&gt;0&lt;/C&gt;&lt;/FQL&gt;&lt;FQL&gt;&lt;Q&gt;CRWV^FE_ESTIMATE(CFO,MEAN,QUARTERLY_ROLL,2023/1F,45856,,,'')&lt;/Q&gt;&lt;R&gt;0&lt;/R&gt;&lt;C&gt;0&lt;/C&gt;&lt;/FQL&gt;&lt;FQL&gt;&lt;Q&gt;CRWV^FE_ESTIMATE(CFO,MEAN,ANNUAL_ROLL,2022,45856,,,'')&lt;/Q&gt;&lt;R&gt;0&lt;/R&gt;&lt;C&gt;0&lt;/C&gt;&lt;/FQL&gt;&lt;FQL&gt;&lt;Q&gt;CRWV^FE_ESTIMATE(CFO,MEAN,QUARTERLY_ROLL,2022/4F,45856,,,'')&lt;/Q&gt;&lt;R&gt;0&lt;/R&gt;&lt;C&gt;0&lt;/C&gt;&lt;/FQL&gt;&lt;FQL&gt;&lt;Q&gt;CRWV^FE_ESTIMATE(CFO,MEAN,QUARTERLY_ROLL,2022/3F,45856,,,'')&lt;/Q&gt;&lt;R&gt;0&lt;/R&gt;&lt;C&gt;0&lt;/C&gt;&lt;/FQL&gt;&lt;FQL&gt;&lt;Q&gt;CRWV^FE_ESTIMATE(CFO,MEAN,QUARTERLY_ROLL,2022/2F,45856,,,'')&lt;/Q&gt;&lt;R&gt;0&lt;/R&gt;&lt;C&gt;0&lt;/C&gt;&lt;/FQL&gt;&lt;FQL&gt;&lt;Q&gt;CRWV^FE_ESTIMATE(CFO,MEAN,QUARTERLY_ROLL,2022/1F,45856,,,'')&lt;/Q&gt;&lt;R&gt;0&lt;/R&gt;&lt;C&gt;0&lt;/C&gt;&lt;/FQL&gt;&lt;FQL&gt;&lt;Q&gt;CRWV^FE_ESTIMATE(EPS,MEAN,ANNUAL_ROLL,2029,45856,,,'')&lt;/Q&gt;&lt;R&gt;1&lt;/R&gt;&lt;C&gt;1&lt;/C&gt;&lt;D xsi:type="xsd:double"&gt;5.965&lt;/D&gt;&lt;/FQL&gt;&lt;FQL&gt;&lt;Q&gt;CRWV^FE_ESTIMATE(EPS,MEAN,QUARTERLY_ROLL,2029/4F,45856,,,'')&lt;/Q&gt;&lt;R&gt;0&lt;/R&gt;&lt;C&gt;0&lt;/C&gt;&lt;/FQL&gt;&lt;FQL&gt;&lt;Q&gt;CRWV^FE_ESTIMATE(EPS,MEAN,QUARTERLY_ROLL,2029/3F,45856,,,'')&lt;/Q&gt;&lt;R&gt;0&lt;/R&gt;&lt;C&gt;0&lt;/C&gt;&lt;/FQL&gt;&lt;FQL&gt;&lt;Q&gt;CRWV^FE_ESTIMATE(EPS,MEAN,QUARTERLY_ROLL,2029/2F,45856,,,'')&lt;/Q&gt;&lt;R&gt;0&lt;/R&gt;&lt;C&gt;0&lt;/C&gt;&lt;/FQL&gt;&lt;FQL&gt;&lt;Q&gt;CRWV^FE_ESTIMATE(EPS,MEAN,QUARTERLY_ROLL,2029/1F,45856,,,'')&lt;/Q&gt;&lt;R&gt;0&lt;/R&gt;&lt;C&gt;0&lt;/C&gt;&lt;/FQL&gt;&lt;FQL&gt;&lt;Q&gt;CRWV^FE_ESTIMATE(EPS,MEAN,ANNUAL_ROLL,2028,45856,,,'')&lt;/Q&gt;&lt;R&gt;1&lt;/R&gt;&lt;C&gt;1&lt;/C&gt;&lt;D xsi:type="xsd:double"&gt;3.44&lt;/D&gt;&lt;/FQL&gt;&lt;FQL&gt;&lt;Q&gt;CRWV^FE_ESTIMATE(EPS,MEAN,QUARTERLY_ROLL,2028/4F,45856,,,'')&lt;/Q&gt;&lt;R&gt;0&lt;/R&gt;&lt;C&gt;0&lt;/C&gt;&lt;/FQL&gt;&lt;FQL&gt;&lt;Q&gt;CRWV^FE_ESTIMATE(EPS,MEAN,QUARTERLY_ROLL,2028/3F,45856,,,'')&lt;/Q&gt;&lt;R&gt;0&lt;/R&gt;&lt;C&gt;0&lt;/C&gt;&lt;/FQL&gt;&lt;FQL&gt;&lt;Q&gt;CRWV^FE_ESTIMATE(EPS,MEAN,QUARTERLY_ROLL,2028/2F,45856,,,'')&lt;/Q&gt;&lt;R&gt;0&lt;/R&gt;&lt;C&gt;0&lt;/C&gt;&lt;/FQL&gt;&lt;FQL&gt;&lt;Q&gt;CRWV^FE_ESTIMATE(EPS,MEAN,QUARTERLY_ROLL,2028/1F,45856,,,'')&lt;/Q&gt;&lt;R&gt;0&lt;/R&gt;&lt;C&gt;0&lt;/C&gt;&lt;/FQL&gt;&lt;FQL&gt;&lt;Q&gt;CRWV^FE_ESTIMATE(EPS,MEAN,ANNUAL_ROLL,2027,45856,,,'')&lt;/Q&gt;&lt;R&gt;1&lt;/R&gt;&lt;C&gt;1&lt;/C&gt;&lt;D xsi:type="xsd:double"&gt;2.299851&lt;/D&gt;&lt;/FQL&gt;&lt;FQL&gt;&lt;Q&gt;CRWV^FE_ESTIMATE(EPS,MEAN,QUARTERLY_ROLL,2027/4F,45856,,,'')&lt;/Q&gt;&lt;R&gt;1&lt;/R&gt;&lt;C&gt;1&lt;/C&gt;&lt;D xsi:type="xsd:double"&gt;0.68088454&lt;/D&gt;&lt;/FQL&gt;&lt;FQL&gt;&lt;Q&gt;CRWV^FE_ESTIMATE(EPS,MEAN,QUARTERLY_ROLL,2027/3F,45856,,,'')&lt;/Q&gt;&lt;R&gt;1&lt;/R&gt;&lt;C&gt;1&lt;/C&gt;&lt;D xsi:type="xsd:double"&gt;0.5177665&lt;/D&gt;&lt;/FQL&gt;&lt;FQL&gt;&lt;Q&gt;CRWV^FE_ESTIMATE(EPS,MEAN,QUARTERLY_ROLL,2027/2F,45856,,,'')&lt;/Q&gt;&lt;R&gt;1&lt;/R&gt;&lt;C&gt;1&lt;/C&gt;&lt;D xsi:type="xsd:double"&gt;0.36866057&lt;/D&gt;&lt;/FQL&gt;&lt;FQL&gt;&lt;Q&gt;CRWV^FE_ESTIMATE(EPS,MEAN,QUARTERLY_ROLL,2027/1F,45856,,,'')&lt;/Q&gt;&lt;R&gt;1&lt;/R&gt;&lt;C&gt;1&lt;/C&gt;&lt;D xsi:type="xsd:double"&gt;0.3104559&lt;/D&gt;&lt;/FQL&gt;&lt;FQL&gt;&lt;Q&gt;CRWV^FE_ESTIMATE(EPS,MEAN,ANNUAL_ROLL,2026,45856,,,'')&lt;/Q&gt;&lt;R&gt;1&lt;/R&gt;&lt;C&gt;1&lt;/C&gt;&lt;D xsi:type="xsd:double"&gt;-0.20419207&lt;/D&gt;&lt;/FQL&gt;&lt;FQL&gt;&lt;Q&gt;CRWV^FE_ESTIMATE(EPS,MEAN,QUARTERLY_ROLL,2026/4F,45856,,,'')&lt;/Q&gt;&lt;R&gt;1&lt;/R&gt;&lt;C&gt;1&lt;/C&gt;&lt;D xsi:type="xsd:double"&gt;0.07086163&lt;/D&gt;&lt;/FQL&gt;&lt;FQL&gt;&lt;Q&gt;CRWV^FE_ESTIMATE(EPS,MEAN,QUARTERLY_ROLL,2026/3F,45856,,,'')&lt;/Q&gt;&lt;R&gt;1&lt;/R&gt;&lt;C&gt;1&lt;/C&gt;&lt;D xsi:type="xsd:double"&gt;-0.042986594&lt;/D&gt;&lt;/FQL&gt;&lt;FQL&gt;&lt;Q&gt;CRWV^FE_ESTIMATE(EPS,MEAN,QUARTERLY_ROLL,2026/2F,45856,,,'')&lt;/Q&gt;&lt;R&gt;1&lt;/R&gt;&lt;C&gt;1&lt;/C&gt;&lt;D xsi:type="xsd:double"&gt;-0.032300353&lt;/D&gt;&lt;/FQL&gt;&lt;FQL&gt;&lt;Q&gt;CRWV^FE_ESTIMATE(EPS,MEAN,QUARTERLY_ROLL,2026/1F,45856,,,'')&lt;/Q&gt;&lt;R&gt;1&lt;/R&gt;&lt;C&gt;1&lt;/C&gt;&lt;D xsi:type="xsd:double"&gt;-0.30804422&lt;/D&gt;&lt;/FQL&gt;&lt;FQL&gt;&lt;Q&gt;CRWV^FE_ESTIMATE(EPS,MEAN,ANNUAL_ROLL,2025,45856,,,'')&lt;/Q&gt;&lt;R&gt;1&lt;/R&gt;&lt;C&gt;1&lt;/C&gt;&lt;D xsi:type="xsd:double"&gt;-1.3456051&lt;/D&gt;&lt;/FQL&gt;&lt;FQL&gt;&lt;Q&gt;CRWV^FE_ESTIMATE(EPS,MEAN,QUARTERLY_ROLL,2025/4F,45856,,,'')&lt;/Q&gt;&lt;R&gt;1&lt;/R&gt;&lt;C&gt;1&lt;/C&gt;&lt;D xsi:type="xsd:double"&gt;-0.3392497&lt;/D&gt;&lt;/FQL&gt;&lt;FQL&gt;&lt;Q&gt;CRWV^FE_ESTIMATE(EPS,MEAN,QUARTERLY_ROLL,2025/3F,45856,,,'')&lt;/Q&gt;&lt;R&gt;1&lt;/R&gt;&lt;C&gt;1&lt;/C&gt;&lt;D xsi:type="xsd:double"&gt;-0.2368858&lt;/D&gt;&lt;/FQL&gt;&lt;FQL&gt;&lt;Q&gt;CRWV^FE_ESTIMATE(EPS,MEAN,QUARTERLY_ROLL,2025/2F,45856,,,'')&lt;/Q&gt;&lt;R&gt;1&lt;/R&gt;&lt;C&gt;1&lt;/C&gt;&lt;D xsi:type="xsd:double"&gt;-0.2314586&lt;/D&gt;&lt;/FQL&gt;&lt;FQL&gt;&lt;Q&gt;CRWV^FE_ESTIMATE(EPS,MEAN,QUARTERLY_ROLL,2025/1F,45856,,,'')&lt;/Q&gt;&lt;R&gt;1&lt;/R&gt;&lt;C&gt;1&lt;/C&gt;&lt;D xsi:type="xsd:double"&gt;-0.827782&lt;/D&gt;&lt;/FQL&gt;&lt;FQL&gt;&lt;Q&gt;CRWV^FE_ESTIMATE(EPS,MEAN,ANNUAL_ROLL,2024,45856,,,'')&lt;/Q&gt;&lt;R&gt;1&lt;/R&gt;&lt;C&gt;1&lt;/C&gt;&lt;D xsi:type="xsd:double"&gt;-0.281601&lt;/D&gt;&lt;/FQL&gt;&lt;FQL&gt;&lt;Q&gt;CRWV^FE_ESTIMATE(EPS,MEAN,QUARTERLY_ROLL,2024/4F,45856,,,'')&lt;/Q&gt;&lt;R&gt;1&lt;/R&gt;&lt;C&gt;1&lt;/C&gt;&lt;D xsi:type="xsd:double"&gt;-0.101733334&lt;/D&gt;&lt;/FQL&gt;&lt;FQL&gt;&lt;Q&gt;CRWV^FE_ESTIMATE(EPS,MEAN,QUARTERLY_ROLL,2024/3F,45856,,,'')&lt;/Q&gt;&lt;R&gt;0&lt;/R&gt;&lt;C&gt;0&lt;/C&gt;&lt;/FQL&gt;&lt;FQL&gt;&lt;Q&gt;CRWV^FE_ESTIMATE(EPS,MEAN,QUARTERLY_ROLL,2024/2F,45856,,,'')&lt;/Q&gt;&lt;R&gt;0&lt;/R&gt;&lt;C&gt;0&lt;/C&gt;&lt;/FQL&gt;&lt;FQL&gt;&lt;Q&gt;CRWV^FE_ESTIMATE(EPS,MEAN,QUARTERLY_ROLL,2024/1F,45856,,,'')&lt;/Q&gt;&lt;R&gt;0&lt;/R&gt;&lt;C&gt;0&lt;/C&gt;&lt;/FQL&gt;&lt;FQL&gt;&lt;Q&gt;CRWV^FE_ESTIMATE(EPS,MEAN,ANNUAL_ROLL,2023,45856,,,'')&lt;/Q&gt;&lt;R&gt;0&lt;/R&gt;&lt;C&gt;0&lt;/C&gt;&lt;/FQL&gt;&lt;FQL&gt;&lt;Q&gt;CRWV^FE_ESTIMATE(EPS,MEAN,QUARTERLY_ROLL,2023/4F,45856,,,'')&lt;/Q&gt;&lt;R&gt;0&lt;/R&gt;&lt;C&gt;0&lt;/C&gt;&lt;/FQL&gt;&lt;FQL&gt;&lt;Q&gt;CRWV^FE_ESTIMATE(EPS,MEAN,QUARTERLY_ROLL,2023/3F,45856,,,'')&lt;/Q&gt;&lt;R&gt;0&lt;/R&gt;&lt;C&gt;0&lt;/C&gt;&lt;/FQL&gt;&lt;FQL&gt;&lt;Q&gt;CRWV^FE_ESTIMATE(EPS,MEAN,QUARTERLY_ROLL,2023/2F,45856,,,'')&lt;/Q&gt;&lt;R&gt;0&lt;/R&gt;&lt;C&gt;0&lt;/C&gt;&lt;/FQL&gt;&lt;FQL&gt;&lt;Q&gt;CRWV^FE_ESTIMATE(EPS,MEAN,QUARTERLY_ROLL,2023/1F,45856,,,'')&lt;/Q&gt;&lt;R&gt;0&lt;/R&gt;&lt;C&gt;0&lt;/C&gt;&lt;/FQL&gt;&lt;FQL&gt;&lt;Q&gt;CRWV^FE_ESTIMATE(EPS,MEAN,ANNUAL_ROLL,2022,45856,,,'')&lt;/Q&gt;&lt;R&gt;0&lt;/R&gt;&lt;C&gt;0&lt;/C&gt;&lt;/FQL&gt;&lt;FQL&gt;&lt;Q&gt;CRWV^FE_ESTIMATE(EPS,MEAN,QUARTERLY_ROLL,2022/4F,45856,,,'')&lt;/Q&gt;&lt;R&gt;0&lt;/R&gt;&lt;C&gt;0&lt;/C&gt;&lt;/FQL&gt;&lt;FQL&gt;&lt;Q&gt;CRWV^FE_ESTIMATE(EPS,MEAN,QUARTERLY_ROLL,2022/3F,45856,,,'')&lt;/Q&gt;&lt;R&gt;0&lt;/R&gt;&lt;C&gt;0&lt;/C&gt;&lt;/FQL&gt;&lt;FQL&gt;&lt;Q&gt;CRWV^FE_ESTIMATE(EPS,MEAN,QUARTERLY_ROLL,2022/2F,45856,,,'')&lt;/Q&gt;&lt;R&gt;0&lt;/R&gt;&lt;C&gt;0&lt;/C&gt;&lt;/FQL&gt;&lt;FQL&gt;&lt;Q&gt;CRWV^FE_ESTIMATE(EPS,MEAN,QUARTERLY_ROLL,2022/1F,45856,,,'')&lt;/Q&gt;&lt;R&gt;0&lt;/R&gt;&lt;C&gt;0&lt;/C&gt;&lt;/FQL&gt;&lt;FQL&gt;&lt;Q&gt;CRWV^FE_ESTIMATE(EAG,MEAN,ANNUAL_ROLL,2029,45856,,,'')&lt;/Q&gt;&lt;R&gt;0&lt;/R&gt;&lt;C&gt;0&lt;/C&gt;&lt;/FQL&gt;&lt;FQL&gt;&lt;Q&gt;CRWV^FE_ESTIMATE(EAG,MEAN,QUARTERLY_ROLL,2029/4F,45856,,,'')&lt;/Q&gt;&lt;R&gt;0&lt;/R&gt;&lt;C&gt;0&lt;/C&gt;&lt;/FQL&gt;&lt;FQL&gt;&lt;Q&gt;CRWV^FE_ESTIMATE(EAG,MEAN,QUARTERLY_ROLL,2029/3F,45856,,,'')&lt;/Q&gt;&lt;R&gt;0&lt;/R&gt;&lt;C&gt;0&lt;/C&gt;&lt;/FQL&gt;&lt;FQL&gt;&lt;Q&gt;CRWV^FE_ESTIMATE(EAG,MEAN,QUARTERLY_ROLL,2029/2F,45856,,,'')&lt;/Q&gt;&lt;R&gt;0&lt;/R&gt;&lt;C&gt;0&lt;/C&gt;&lt;/FQL&gt;&lt;FQL&gt;&lt;Q&gt;CRWV^FE_ESTIMATE(EAG,MEAN,QUARTERLY_ROLL,2029/1F,45856,,,'')&lt;/Q&gt;&lt;R&gt;0&lt;/R&gt;&lt;C&gt;0&lt;/C&gt;&lt;/FQL&gt;&lt;FQL&gt;&lt;Q&gt;CRWV^FE_ESTIMATE(EAG,MEAN,ANNUAL_ROLL,2028,45856,,,'')&lt;/Q&gt;&lt;R&gt;0&lt;/R&gt;&lt;C&gt;0&lt;/C&gt;&lt;/FQL&gt;&lt;FQL&gt;&lt;Q&gt;CRWV^FE_ESTIMATE(EAG,MEAN,QUARTERLY_ROLL,2028/4F,45856,,,'')&lt;/Q&gt;&lt;R&gt;0&lt;/R&gt;&lt;C&gt;0&lt;/C&gt;&lt;/FQL&gt;&lt;FQL&gt;&lt;Q&gt;CRWV^FE_ESTIMATE(EAG,MEAN,QUARTERLY_ROLL,2028/3F,45856,,,'')&lt;/Q&gt;&lt;R&gt;0&lt;/R&gt;&lt;C&gt;0&lt;/C&gt;&lt;/FQL&gt;&lt;FQL&gt;&lt;Q&gt;CRWV^FE_ESTIMATE(EAG,MEAN,QUARTERLY_ROLL,2028/2F,45856,,,'')&lt;/Q&gt;&lt;R&gt;0&lt;/R&gt;&lt;C&gt;0&lt;/C&gt;&lt;/FQL&gt;&lt;FQL&gt;&lt;Q&gt;CRWV^FE_ESTIMATE(EAG,MEAN,QUARTERLY_ROLL,2028/1F,45856,,,'')&lt;/Q&gt;&lt;R&gt;0&lt;/R&gt;&lt;C&gt;0&lt;/C&gt;&lt;/FQL&gt;&lt;FQL&gt;&lt;Q&gt;CRWV^FE_ESTIMATE(EAG,MEAN,ANNUAL_ROLL,2027,45856,,,'')&lt;/Q&gt;&lt;R&gt;1&lt;/R&gt;&lt;C&gt;1&lt;/C&gt;&lt;D xsi:type="xsd:double"&gt;1.2848771&lt;/D&gt;&lt;/FQL&gt;&lt;FQL&gt;&lt;Q&gt;CRWV^FE_ESTIMATE(EAG,MEAN,QUARTERLY_ROLL,2027/4F,45856,,,'')&lt;/Q&gt;&lt;R&gt;1&lt;/R&gt;&lt;C&gt;1&lt;/C&gt;&lt;D xsi:type="xsd:double"&gt;0.53989434&lt;/D&gt;&lt;/FQL&gt;&lt;FQL&gt;&lt;Q&gt;CRWV^FE_ESTIMATE(EAG,MEAN,QUARTERLY_ROLL,2027/3F,45856,,,'')&lt;/Q&gt;&lt;R&gt;1&lt;/R&gt;&lt;C&gt;1&lt;/C&gt;&lt;D xsi:type="xsd:double"&gt;0.409344&lt;/D&gt;&lt;/FQL&gt;&lt;FQL&gt;&lt;Q&gt;CRWV^FE_ESTIMATE(EAG,MEAN,QUARTERLY_ROLL,2027/2F,45856,,,'')&lt;/Q&gt;&lt;R&gt;1&lt;/R&gt;&lt;C&gt;1&lt;/C&gt;&lt;D xsi:type="xsd:double"&gt;0.27224734&lt;/D&gt;&lt;/FQL&gt;&lt;FQL&gt;&lt;Q&gt;CRWV^FE_ESTIMATE(EAG,MEAN,QUARTERLY_ROLL,2027/1F,45856,,,'')&lt;/Q&gt;&lt;R&gt;1&lt;/R&gt;&lt;C&gt;1&lt;/C&gt;&lt;D xsi:type="xsd:double"&gt;0.159816&lt;/D&gt;&lt;/FQL&gt;&lt;FQL&gt;&lt;Q&gt;CRWV^FE_ESTIMATE(EAG,MEAN,ANNUAL_ROLL,2026,45856,,,'')&lt;/Q&gt;&lt;R&gt;1&lt;/R&gt;&lt;C&gt;1&lt;/C&gt;&lt;D xsi:type="xsd:double"&gt;-0.7156891&lt;/D&gt;&lt;/FQL&gt;&lt;FQL&gt;&lt;Q&gt;CRWV^FE_ESTIMATE(EAG,MEAN,QUARTERLY_ROLL,2026/4F,45856,,,'')&lt;/Q&gt;&lt;R&gt;1&lt;/R&gt;&lt;C&gt;1&lt;/C&gt;&lt;D xsi:type="xsd:double"&gt;-0.0599425&lt;/D&gt;&lt;/FQL&gt;&lt;FQL&gt;&lt;Q&gt;CRWV^FE_ESTIMATE(EAG,MEAN,QUARTERLY_ROLL,2026/3F,45856,,,'')&lt;/Q&gt;&lt;R&gt;1&lt;/R&gt;&lt;C&gt;1&lt;/C&gt;&lt;D xsi:type="xsd:double"&gt;-0.167668&lt;/D&gt;&lt;/FQL&gt;&lt;FQL&gt;&lt;Q&gt;CRWV^FE_ESTIMATE(EAG,MEAN,QUARTERLY_ROLL,2026/2F,45856,,,'')&lt;/Q&gt;&lt;R&gt;1&lt;/R&gt;&lt;C&gt;1&lt;/C&gt;&lt;D xsi:type="xsd:double"&gt;-0.25173268&lt;/D&gt;&lt;/FQL&gt;&lt;FQL&gt;&lt;Q&gt;CRWV^FE_ESTIMATE(EAG,MEAN,QUARTERLY_ROLL,2026/1F,45856,,,'')&lt;/Q&gt;&lt;R&gt;1&lt;/R&gt;&lt;C&gt;1&lt;/C&gt;&lt;D xsi:type="xsd:double"&gt;-0.51221687&lt;/D&gt;&lt;/FQL&gt;&lt;FQL&gt;&lt;Q&gt;CRWV^FE_ESTIMATE(EAG,MEAN,ANNUAL_ROLL,2025,45856,,,'')&lt;/Q&gt;&lt;R&gt;1&lt;/R&gt;&lt;C&gt;1&lt;/C&gt;&lt;D xsi:type="xsd:double"&gt;-1.9698802&lt;/D&gt;&lt;/FQL&gt;&lt;FQL&gt;&lt;Q&gt;CRWV^FE_ESTIMATE(EAG,MEAN,QUARTERLY_ROLL,2025/4F,45856,,,'')&lt;/Q&gt;&lt;R&gt;1&lt;/R&gt;&lt;C&gt;1&lt;/C&gt;&lt;D xsi:type="xsd:double"&gt;-0.4110309&lt;/D&gt;&lt;/FQL&gt;&lt;FQL&gt;&lt;Q&gt;CRWV^FE_ESTIMATE(EAG,MEAN,QUARTERLY_ROLL,2025/3F,45856,,,'')&lt;/Q&gt;&lt;R&gt;1&lt;/R&gt;&lt;C&gt;1&lt;/C&gt;&lt;D xsi:type="xsd:double"&gt;-0.28170466&lt;/D&gt;&lt;/FQL&gt;&lt;FQL&gt;&lt;Q&gt;CRWV^FE_ESTIMATE(EAG,MEAN,QUARTERLY_ROLL,2025/2F,45856,,,'')&lt;/Q&gt;&lt;R&gt;1&lt;/R&gt;&lt;C&gt;1&lt;/C&gt;&lt;D xsi:type="xsd:double"&gt;-0.48793325&lt;/D&gt;&lt;/FQL&gt;&lt;FQL&gt;&lt;Q&gt;CRWV^FE_ESTIMATE(EAG,MEAN,QUARTERLY_ROLL,2025/1F,45856,,,'')&lt;/Q&gt;&lt;R&gt;1&lt;/R&gt;&lt;C&gt;1&lt;/C&gt;&lt;D xsi:type="xsd:double"&gt;-1.49&lt;/D&gt;&lt;/FQL&gt;&lt;FQL&gt;&lt;Q&gt;CRWV^FE_ESTIMATE(EAG,MEAN,ANNUAL_ROLL,2024,45856,,,'')&lt;/Q&gt;&lt;R&gt;1&lt;/R&gt;&lt;C&gt;1&lt;/C&gt;&lt;D xsi:type="xsd:double"&gt;-2.8925&lt;/D&gt;&lt;/FQL&gt;&lt;FQL&gt;&lt;Q&gt;CRWV^FE_ESTIMATE(EAG,MEAN,QUARTERLY_ROLL,2024/4F,45856,,,'')&lt;/Q&gt;&lt;R&gt;1&lt;/R&gt;&lt;C&gt;1&lt;/C&gt;&lt;D xsi:type="xsd:double"&gt;-0.21&lt;/D&gt;&lt;/FQL&gt;&lt;FQL&gt;&lt;Q&gt;CRWV^FE_ESTIMATE(EAG,MEAN,QUARTERLY_ROLL,2024/3F,45856,,,'')&lt;/Q&gt;&lt;R&gt;0&lt;/R&gt;&lt;C&gt;0&lt;/C&gt;&lt;/FQL&gt;&lt;FQL&gt;&lt;Q&gt;CRWV^FE_ESTIMATE(EAG,MEAN,QUARTERLY_ROLL,2024/2F,45856,,,'')&lt;/Q&gt;&lt;R&gt;0&lt;/R&gt;&lt;C&gt;0&lt;/C&gt;&lt;/FQL&gt;&lt;FQL&gt;&lt;Q&gt;CRWV^FE_ESTIMATE(EAG,MEAN,QUARTERLY_ROLL,2024/1F,45856,,,'')&lt;/Q&gt;&lt;R&gt;0&lt;/R&gt;&lt;C&gt;0&lt;/C&gt;&lt;/FQL&gt;&lt;FQL&gt;&lt;Q&gt;CRWV^FE_ESTIMATE(EAG,MEAN,ANNUAL_ROLL,2023,45856,,,'')&lt;/Q&gt;&lt;R&gt;0&lt;/R&gt;&lt;C&gt;0&lt;/C&gt;&lt;/FQL&gt;&lt;FQL&gt;&lt;Q&gt;CRWV^FE_ESTIMATE(EAG,MEAN,QUARTERLY_ROLL,2023/4F,45856,,,'')&lt;/Q&gt;&lt;R&gt;0&lt;/R&gt;&lt;C&gt;0&lt;/C&gt;&lt;/FQL&gt;&lt;FQL&gt;&lt;Q&gt;CRWV^FE_ESTIMATE(EAG,MEAN,QUARTERLY_ROLL,2023/3F,45856,,,'')&lt;/Q&gt;&lt;R&gt;0&lt;/R&gt;&lt;C&gt;0&lt;/C&gt;&lt;/FQL&gt;&lt;FQL&gt;&lt;Q&gt;CRWV^FE_ESTIMATE(EAG,MEAN,QUARTERLY_ROLL,2023/2F,45856,,,'')&lt;/Q&gt;&lt;R&gt;0&lt;/R&gt;&lt;C&gt;0&lt;/C&gt;&lt;/FQL&gt;&lt;FQL&gt;&lt;Q&gt;CRWV^FE_ESTIMATE(EAG,MEAN,QUARTERLY_ROLL,2023/1F,45856,,,'')&lt;/Q&gt;&lt;R&gt;0&lt;/R&gt;&lt;C&gt;0&lt;/C&gt;&lt;/FQL&gt;&lt;FQL&gt;&lt;Q&gt;CRWV^FE_ESTIMATE(EAG,MEAN,ANNUAL_ROLL,2022,45856,,,'')&lt;/Q&gt;&lt;R&gt;0&lt;/R&gt;&lt;C&gt;0&lt;/C&gt;&lt;/FQL&gt;&lt;FQL&gt;&lt;Q&gt;CRWV^FE_ESTIMATE(EAG,MEAN,QUARTERLY_ROLL,2022/4F,45856,,,'')&lt;/Q&gt;&lt;R&gt;0&lt;/R&gt;&lt;C&gt;0&lt;/C&gt;&lt;/FQL&gt;&lt;FQL&gt;&lt;Q&gt;CRWV^FE_ESTIMATE(EAG,MEAN,QUARTERLY_ROLL,2022/3F,45856,,,'')&lt;/Q&gt;&lt;R&gt;0&lt;/R&gt;&lt;C&gt;0&lt;/C&gt;&lt;/FQL&gt;&lt;FQL&gt;&lt;Q&gt;CRWV^FE_ESTIMATE(EAG,MEAN,QUARTERLY_ROLL,2022/2F,45856,,,'')&lt;/Q&gt;&lt;R&gt;0&lt;/R&gt;&lt;C&gt;0&lt;/C&gt;&lt;/FQL&gt;&lt;FQL&gt;&lt;Q&gt;CRWV^FE_ESTIMATE(EAG,MEAN,QUARTERLY_ROLL,2022/1F,45856,,,'')&lt;/Q&gt;&lt;R&gt;0&lt;/R&gt;&lt;C&gt;0&lt;/C&gt;&lt;/FQL&gt;&lt;FQL&gt;&lt;Q&gt;CRWV^FE_ESTIMATE(EBIT,MEAN,ANNUAL_ROLL,2029,45856,,,'')&lt;/Q&gt;&lt;R&gt;1&lt;/R&gt;&lt;C&gt;1&lt;/C&gt;&lt;D xsi:type="xsd:double"&gt;7855.25&lt;/D&gt;&lt;/FQL&gt;&lt;FQL&gt;&lt;Q&gt;CRWV^FE_ESTIMATE(EBIT,MEAN,QUARTERLY_ROLL,2029/4F,45856,,,'')&lt;/Q&gt;&lt;R&gt;0&lt;/R&gt;&lt;C&gt;0&lt;/C&gt;&lt;/FQL&gt;&lt;FQL&gt;&lt;Q&gt;CRWV^FE_ESTIMATE(EBIT,MEAN,QUARTERLY_ROLL,2029/3F,45856,,,'')&lt;/Q&gt;&lt;R&gt;0&lt;/R&gt;&lt;C&gt;0&lt;/C&gt;&lt;/FQL&gt;&lt;FQL&gt;&lt;Q&gt;CRWV^FE_ESTIMATE(EBIT,MEAN,QUARTERLY_ROLL,2029/2F,45856,,,'')&lt;/Q&gt;&lt;R&gt;0&lt;/R&gt;&lt;C&gt;0&lt;/C&gt;&lt;/FQL&gt;&lt;FQL&gt;&lt;Q&gt;CRWV^FE_ESTIMATE(EBIT,MEAN,QUARTERLY_ROLL,2029/1F,45856,,,'')&lt;/Q&gt;&lt;R&gt;0&lt;/R&gt;&lt;C&gt;0&lt;/C&gt;&lt;/FQL&gt;&lt;FQL&gt;&lt;Q&gt;CRWV^FE_ESTIMATE(EBIT,MEAN,ANNUAL_ROLL,2028,45856,,,'')&lt;/Q&gt;&lt;R&gt;1&lt;/R&gt;&lt;C&gt;1&lt;/C&gt;&lt;D xsi:type="xsd:double"&gt;6086.65&lt;/D&gt;&lt;/FQL&gt;&lt;FQL&gt;&lt;Q&gt;CRWV^FE_ESTIMATE(EBIT,MEAN,QUARTERLY_ROLL,2028/4F,45856,,,'')&lt;/Q&gt;&lt;R&gt;0&lt;/R&gt;&lt;C&gt;0&lt;/C&gt;&lt;/FQL&gt;&lt;FQL&gt;&lt;Q&gt;CRWV^FE_ESTIMATE(EBIT,MEAN,QUARTERLY_ROLL,2028/3F,45856,,,'')&lt;/Q&gt;&lt;R&gt;0&lt;/R&gt;&lt;C&gt;0&lt;/C&gt;&lt;/FQL&gt;&lt;FQL&gt;&lt;Q&gt;CRWV^FE_ESTIMATE(EBIT,MEAN,QUARTERLY_ROLL,2028/2F,45856,,,'')&lt;/Q&gt;&lt;R&gt;0&lt;/R&gt;&lt;C&gt;0&lt;/C&gt;&lt;/FQL&gt;&lt;FQL&gt;&lt;Q&gt;CRWV^FE_ESTIMATE(EBIT,MEAN,QUARTERLY_ROLL,2028/1F,45856,,,'')&lt;/Q&gt;&lt;R&gt;0&lt;/R&gt;&lt;C&gt;0&lt;/C&gt;&lt;/FQL&gt;&lt;FQL&gt;&lt;Q&gt;CRWV^FE_ESTIMATE(EBIT,MEAN,ANNUAL_ROLL,2027,45856,,,'')&lt;/Q&gt;&lt;R&gt;1&lt;/R&gt;&lt;C&gt;1&lt;/C&gt;&lt;D xsi:type="xsd:double"&gt;4411.0186&lt;/D&gt;&lt;/FQL&gt;&lt;FQL&gt;&lt;Q&gt;CRWV^FE_ESTIMATE(EBIT,MEAN,QUARTERLY_ROLL,2027/4F,45856,,,'')&lt;/Q&gt;&lt;R&gt;1&lt;/R&gt;&lt;C&gt;1&lt;/C&gt;&lt;D xsi:type="xsd:double"&gt;1246.9547&lt;/D&gt;&lt;/FQL&gt;&lt;FQL&gt;&lt;Q&gt;CRWV^FE_ESTIMATE(EBIT,MEAN,QUARTERLY_ROLL,2027/3F,45856,,,'')&lt;/Q&gt;&lt;R&gt;1&lt;/R&gt;&lt;C&gt;1&lt;/C&gt;&lt;D xsi:type="xsd:double"&gt;1159.2375&lt;/D&gt;&lt;/FQL&gt;&lt;FQL&gt;&lt;Q&gt;CRWV^FE_ESTIMATE(EBIT,MEAN,QUARTERLY_ROLL,2027/2F,45856,,,'')&lt;/Q&gt;&lt;R&gt;1&lt;/R&gt;&lt;C&gt;1&lt;/C&gt;&lt;D xsi:type="xsd:double"&gt;1041.3024&lt;/D&gt;&lt;/FQL&gt;&lt;FQL&gt;&lt;Q&gt;CRWV^FE_ESTIMATE(EBIT,MEAN,QUARTERLY_ROLL,2027/1F,45856,,,'')&lt;/Q&gt;&lt;R&gt;1&lt;/R&gt;&lt;C&gt;1&lt;/C&gt;&lt;D xsi:type="xsd:double"&gt;988.7472&lt;/D&gt;&lt;/FQL&gt;&lt;FQL&gt;&lt;Q&gt;CRWV^FE_ESTIMATE(EBIT,MEAN,ANNUAL_ROLL,2026,45856,,,'')&lt;/Q&gt;&lt;R&gt;1&lt;/R&gt;&lt;C&gt;1&lt;/C&gt;&lt;D xsi:type="xsd:double"&gt;2663.0857&lt;/D&gt;&lt;/FQL&gt;&lt;FQL&gt;&lt;Q&gt;CRWV^FE_ESTIMATE(EBIT,MEAN,QUARTERLY_ROLL,2026/4F,45856,,,'')&lt;/Q&gt;&lt;R&gt;1&lt;/R&gt;&lt;C&gt;1&lt;/C&gt;&lt;D xsi:type="xsd:double"&gt;817.40137&lt;/D&gt;&lt;/FQL&gt;&lt;FQL&gt;&lt;Q&gt;CRWV^FE_ESTIMATE(EBIT,MEAN,QUARTERLY_ROLL,2026/3F,45856,,,'')&lt;/Q&gt;&lt;R&gt;1&lt;/R&gt;&lt;C&gt;1&lt;/C&gt;&lt;D xsi:type="xsd:double"&gt;717.45807&lt;/D&gt;&lt;/FQL&gt;&lt;FQL&gt;&lt;Q&gt;CRWV^FE_ESTIMATE(EBIT,MEAN,QUARTERLY_ROLL,2026/2F,45856,,,'')&lt;/Q&gt;&lt;R&gt;1&lt;/R&gt;&lt;C&gt;1&lt;/C&gt;&lt;D xsi:type="xsd:double"&gt;622.9186&lt;/D&gt;&lt;/FQL&gt;&lt;FQL&gt;&lt;Q&gt;CRWV^FE_ESTIMATE(EBIT,MEAN,QUARTERLY_ROLL,2026/1F,45856,,,'')&lt;/Q&gt;&lt;R&gt;1&lt;/R&gt;&lt;C&gt;1&lt;/C&gt;&lt;D xsi:type="xsd:double"&gt;480.64734&lt;/D&gt;&lt;/FQL&gt;&lt;FQL&gt;&lt;Q&gt;CRWV^FE_ESTIMATE(EBIT,MEAN,ANNUAL_ROLL,2025,45856,,,'')&lt;/Q&gt;&lt;R&gt;1&lt;/R&gt;&lt;C&gt;1&lt;/C&gt;&lt;D xsi:type="xsd:double"&gt;818.9695&lt;/D&gt;&lt;/FQL&gt;&lt;FQL&gt;&lt;Q&gt;CRWV^FE_ESTIMATE(EBIT,MEAN,QUARTERLY_ROLL,2025/4F,45856,,,'')&lt;/Q&gt;&lt;R&gt;1&lt;/R&gt;&lt;C&gt;1&lt;/C&gt;&lt;D xsi:type="xsd:double"&gt;297.477&lt;/D&gt;&lt;/FQL&gt;&lt;FQL&gt;&lt;Q&gt;CRWV^FE_ESTIMATE(EBIT,MEAN,QUARTERLY_ROLL,2025/3F,45856,,,'')&lt;/Q&gt;&lt;R&gt;1&lt;/R&gt;&lt;C&gt;1&lt;/C&gt;&lt;D xsi:type="xsd:double"&gt;199.4843&lt;/D&gt;&lt;/FQL&gt;&lt;FQL&gt;&lt;Q&gt;CRWV^FE_ESTIMATE(EBIT,MEAN,QUARTERLY_ROLL,2025/2F,45856,,,'')&lt;/Q&gt;&lt;R&gt;1&lt;/R&gt;&lt;C&gt;1&lt;/C&gt;&lt;D xsi:type="xsd:double"&gt;159.47635&lt;/D&gt;&lt;/FQL&gt;&lt;FQL&gt;&lt;Q&gt;CRWV^FE_ESTIMATE(EBIT,MEAN,QUARTERLY_ROLL,2025/1F,45856,,,'')&lt;/Q&gt;&lt;R&gt;1&lt;/R&gt;&lt;C&gt;1&lt;/C&gt;&lt;D xsi:type="xsd:double"&gt;163&lt;/D&gt;&lt;/FQL&gt;&lt;FQL&gt;&lt;Q&gt;CRWV^FE_ESTIMATE(EBIT,MEAN,ANNUAL_ROLL,2024,45856,,,'')&lt;/Q&gt;&lt;R&gt;1&lt;/R&gt;&lt;C&gt;1&lt;/C&gt;&lt;D xsi:type="xsd:double"&gt;355.90543&lt;/D&gt;&lt;/FQL&gt;&lt;FQL&gt;&lt;Q&gt;CRWV^FE_ESTIMATE(EBIT,MEAN,QUARTERLY_ROLL,2024/4F,45856,,,'')&lt;/Q&gt;&lt;R&gt;1&lt;/R&gt;&lt;C&gt;1&lt;/C&gt;&lt;D xsi:type="xsd:double"&gt;119.87622&lt;/D&gt;&lt;/FQL&gt;&lt;FQL&gt;&lt;Q&gt;CRWV^FE_ESTIMATE(EBIT,MEAN,QUARTERLY_ROLL,2024/3F,45856,,,'')&lt;/Q&gt;&lt;R&gt;0&lt;/R&gt;&lt;C&gt;0&lt;/C&gt;&lt;/FQL&gt;&lt;FQL&gt;&lt;Q&gt;CRWV^FE_ESTIMATE(EBIT,MEAN,QUARTERLY_ROLL,2024/2F,45856,,,'')&lt;/Q&gt;&lt;R&gt;0&lt;/R&gt;&lt;C&gt;0&lt;/C&gt;&lt;/FQL&gt;&lt;FQL&gt;&lt;Q&gt;CRWV^FE_ESTIMATE(EBIT,MEAN,QUARTERLY_ROLL,2024/1F,45856,,,'')&lt;/Q&gt;&lt;R&gt;0&lt;/R&gt;&lt;C&gt;0&lt;/C&gt;&lt;/FQL&gt;&lt;FQL&gt;&lt;Q&gt;CRWV^FE_ESTIMATE(EBIT,MEAN,ANNUAL_ROLL,2023,45856,,,'')&lt;/Q&gt;&lt;R&gt;0&lt;/R&gt;&lt;C&gt;0&lt;/C&gt;&lt;/FQL&gt;&lt;FQL&gt;&lt;Q&gt;CRWV^FE_ESTIMATE(EBIT,MEAN,QUARTERLY_ROLL,2023/4F,45856,,,'')&lt;/Q&gt;&lt;R&gt;0&lt;/R&gt;&lt;C&gt;0&lt;/C&gt;&lt;/FQL&gt;&lt;FQL&gt;&lt;Q&gt;CRWV^FE_ESTIMATE(EBIT,MEAN,QUARTERLY_ROLL,2023/3F,45856,,,'')&lt;/Q&gt;&lt;R&gt;0&lt;/R&gt;&lt;C&gt;0&lt;/C&gt;&lt;/FQL&gt;&lt;FQL&gt;&lt;Q&gt;CRWV^FE_ESTIMATE(EBIT,MEAN,QUARTERLY_ROLL,2023/2F,45856,,,'')&lt;/Q&gt;&lt;R&gt;0&lt;/R&gt;&lt;C&gt;0&lt;/C&gt;&lt;/FQL&gt;&lt;FQL&gt;&lt;Q&gt;CRWV^FE_ESTIMATE(EBIT,MEAN,QUARTERLY_ROLL,2023/1F,45856,,,'')&lt;/Q&gt;&lt;R&gt;0&lt;/R&gt;&lt;C&gt;0&lt;/C&gt;&lt;/FQL&gt;&lt;FQL&gt;&lt;Q&gt;CRWV^FE_ESTIMATE(EBIT,MEAN,ANNUAL_ROLL,2022,45856,,,'')&lt;/Q&gt;&lt;R&gt;0&lt;/R&gt;&lt;C&gt;0&lt;/C&gt;&lt;/FQL&gt;&lt;FQL&gt;&lt;Q&gt;CRWV^FE_ESTIMATE(EBIT,MEAN,QUARTERLY_ROLL,2022/4F,45856,,,'')&lt;/Q&gt;&lt;R&gt;0&lt;/R&gt;&lt;C&gt;0&lt;/C&gt;&lt;/FQL&gt;&lt;FQL&gt;&lt;Q&gt;CRWV^FE_ESTIMATE(EBIT,MEAN,QUARTERLY_ROLL,2022/3F,45856,,,'')&lt;/Q&gt;&lt;R&gt;0&lt;/R&gt;&lt;C&gt;0&lt;/C&gt;&lt;/FQL&gt;&lt;FQL&gt;&lt;Q&gt;CRWV^FE_ESTIMATE(EBIT,MEAN,QUARTERLY_ROLL,2022/2F,45856,,,'')&lt;/Q&gt;&lt;R&gt;0&lt;/R&gt;&lt;C&gt;0&lt;/C&gt;&lt;/FQL&gt;&lt;FQL&gt;&lt;Q&gt;CRWV^FE_ESTIMATE(EBIT,MEAN,QUARTERLY_ROLL,2022/1F,45856,,,'')&lt;/Q&gt;&lt;R&gt;0&lt;/R&gt;&lt;C&gt;0&lt;/C&gt;&lt;/FQL&gt;&lt;FQL&gt;&lt;Q&gt;CRWV^FE_ESTIMATE(GROSSINCOME,MEAN,ANNUAL_ROLL,2029,45856,,,'')&lt;/Q&gt;&lt;R&gt;0&lt;/R&gt;&lt;C&gt;0&lt;/C&gt;&lt;/FQL&gt;&lt;FQL&gt;&lt;Q&gt;CRWV^FE_ESTIMATE(GROSSINCOME,MEAN,QUARTERLY_ROLL,2029/4F,45856,,,'')&lt;/Q&gt;&lt;R&gt;0&lt;/R&gt;&lt;C&gt;0&lt;/C&gt;&lt;/FQL&gt;&lt;FQL&gt;&lt;Q&gt;CRWV^FE_ESTIMATE(GROSSINCOME,MEAN,QUARTERLY_ROLL,2029/3F,45856,,,'')&lt;/Q&gt;&lt;R&gt;0&lt;/R&gt;&lt;C&gt;0&lt;/C&gt;&lt;/FQL&gt;&lt;FQL&gt;&lt;Q&gt;CRWV^FE_ESTIMATE(GROSSINCOME,MEAN,QUARTERLY_ROLL,2029/2F,45856,,,'')&lt;/Q&gt;&lt;R&gt;0&lt;/R&gt;&lt;C&gt;0&lt;/C&gt;&lt;/FQL&gt;&lt;FQL&gt;&lt;Q&gt;CRWV^FE_ESTIMATE(GROSSINCOME,MEAN,QUARTERLY_ROLL,2029/1F,45856,,,'')&lt;/Q&gt;&lt;R&gt;0&lt;/R&gt;&lt;C&gt;0&lt;/C&gt;&lt;/FQL&gt;&lt;FQL&gt;&lt;Q&gt;CRWV^FE_ESTIMATE(GROSSINCOME,MEAN,ANNUAL_ROLL,2028,45856,,,'')&lt;/Q&gt;&lt;R&gt;0&lt;/R&gt;&lt;C&gt;0&lt;/C&gt;&lt;/FQL&gt;&lt;FQL&gt;&lt;Q&gt;CRWV^FE_ESTIMATE(GROSSINCOME,MEAN,QUARTERLY_ROLL,2028/4F,45856,,,'')&lt;/Q&gt;&lt;R&gt;0&lt;/R&gt;&lt;C&gt;0&lt;/C&gt;&lt;/FQL&gt;&lt;FQL&gt;&lt;Q&gt;CRWV^FE_ESTIMATE(GROSSINCOME,MEAN,QUARTERLY_ROLL,2028/3F,45856,,,'')&lt;/Q&gt;&lt;R&gt;0&lt;/R&gt;&lt;C&gt;0&lt;/C&gt;&lt;/FQL&gt;&lt;FQL&gt;&lt;Q&gt;CRWV^FE_ESTIMATE(GROSSINCOME,MEAN,QUARTERLY_ROLL,2028/2F,45856,,,'')&lt;/Q&gt;&lt;R&gt;0&lt;/R&gt;&lt;C&gt;0&lt;/C&gt;&lt;/FQL&gt;&lt;FQL&gt;&lt;Q&gt;CRWV^FE_ESTIMATE(GROSSINCOME,MEAN,QUARTERLY_ROLL,2028/1F,45856,,,'')&lt;/Q&gt;&lt;R&gt;0&lt;/R&gt;&lt;C&gt;0&lt;/C&gt;&lt;/FQL&gt;&lt;FQL&gt;&lt;Q&gt;CRWV^FE_ESTIMATE(GROSSINCOME,MEAN,ANNUAL_ROLL,2027,45856,,,'')&lt;/Q&gt;&lt;R&gt;1&lt;/R&gt;&lt;C&gt;1&lt;/C&gt;&lt;D xsi:type="xsd:double"&gt;12381.689&lt;/D&gt;&lt;/FQL&gt;&lt;FQL&gt;&lt;Q&gt;CRWV^FE_ESTIMATE(GROSSINCOME,MEAN,QUARTERLY_ROLL,2027/4F,45856,,,'')&lt;/Q&gt;&lt;R&gt;1&lt;/R&gt;&lt;C&gt;1&lt;/C&gt;&lt;D xsi:type="xsd:double"&gt;3320.697&lt;/D&gt;&lt;/FQL&gt;&lt;FQL&gt;&lt;Q&gt;CRWV^FE_ESTIMATE(GROSSINCOME,MEAN,QUARTERLY_ROLL,2027/3F,45856,,,'')&lt;/Q&gt;&lt;R&gt;1&lt;/R&gt;&lt;C&gt;1&lt;/C&gt;&lt;D xsi:type="xsd:double"&gt;3120.215&lt;/D&gt;&lt;/FQL&gt;&lt;FQL&gt;&lt;Q&gt;CRWV^FE_ESTIMATE(GROSSINCOME,MEAN,QUARTERLY_ROLL,2027/2F,45856,,,'')&lt;/Q&gt;&lt;R&gt;1&lt;/R&gt;&lt;C&gt;1&lt;/C&gt;&lt;D xsi:type="xsd:double"&gt;2875.4885&lt;/D&gt;&lt;/FQL&gt;&lt;FQL&gt;&lt;Q&gt;CRWV^FE_ESTIMATE(GROSSINCOME,MEAN,QUARTERLY_ROLL,2027/1F,45856,,,'')&lt;/Q&gt;&lt;R&gt;1&lt;/R&gt;&lt;C&gt;1&lt;/C&gt;&lt;D xsi:type="xsd:double"&gt;2623.3516&lt;/D&gt;&lt;/FQL&gt;&lt;FQL&gt;&lt;Q&gt;CRWV^FE_ESTIMATE(GROSSINCOME,MEAN,ANNUAL_ROLL,2026,45856,,,'')&lt;/Q&gt;&lt;R&gt;1&lt;/R&gt;&lt;C&gt;1&lt;/C&gt;&lt;D xsi:type="xsd:double"&gt;8533.327&lt;/D&gt;&lt;/FQL&gt;&lt;FQL&gt;&lt;Q&gt;CRWV^FE_ESTIMATE(GROSSINCOME,MEAN,QUARTERLY_ROLL,2026/4F,45856,,,'')&lt;/Q&gt;&lt;R&gt;1&lt;/R&gt;&lt;C&gt;1&lt;/C&gt;&lt;D xsi:type="xsd:double"&gt;2474.5364&lt;/D&gt;&lt;/FQL&gt;&lt;FQL&gt;&lt;Q&gt;CRWV^FE_ESTIMATE(GROSSINCOME,MEAN,QUARTERLY_ROLL,2026/3F,45856,,,'')&lt;/Q&gt;&lt;R&gt;1&lt;/R&gt;&lt;C&gt;1&lt;/C&gt;&lt;D xsi:type="xsd:double"&gt;2227.496&lt;/D&gt;&lt;/FQL&gt;&lt;FQL&gt;&lt;Q&gt;CRWV^FE_ESTIMATE(GROSSINCOME,MEAN,QUARTERLY_ROLL,2026/2F,45856,,,'')&lt;/Q&gt;&lt;R&gt;1&lt;/R&gt;&lt;C&gt;1&lt;/C&gt;&lt;D xsi:type="xsd:double"&gt;2003.0178&lt;/D&gt;&lt;/FQL&gt;&lt;FQL&gt;&lt;Q&gt;CRWV^FE_ESTIMATE(GROSSINCOME,MEAN,QUARTERLY_ROLL,2026/1F,45856,,,'')&lt;/Q&gt;&lt;R&gt;1&lt;/R&gt;&lt;C&gt;1&lt;/C&gt;&lt;D xsi:type="xsd:double"&gt;1728.0353&lt;/D&gt;&lt;/FQL&gt;&lt;FQL&gt;&lt;Q&gt;CRWV^FE_ESTIMATE(GROSSINCOME,MEAN,ANNUAL_ROLL,2025,45856,,,'')&lt;/Q&gt;&lt;R&gt;1&lt;/R&gt;&lt;C&gt;1&lt;/C&gt;&lt;D xsi:type="xsd:double"&gt;3723.7268&lt;/D&gt;&lt;/FQL&gt;&lt;FQL&gt;&lt;Q&gt;CRWV^FE_ESTIMATE(GROSSINCOME,MEAN,QUARTERLY_ROLL,2025/4F,45856,,,'')&lt;/Q&gt;&lt;R&gt;1&lt;/R&gt;&lt;C&gt;1&lt;/C&gt;&lt;D xsi:type="xsd:double"&gt;1271.9935&lt;/D&gt;&lt;/FQL&gt;&lt;FQL&gt;&lt;Q&gt;CRWV^FE_ESTIMATE(GROSSINCOME,MEAN,QUARTERLY_ROLL,2025/3F,45856,,,'')&lt;/Q&gt;&lt;R&gt;1&lt;/R&gt;&lt;C&gt;1&lt;/C&gt;&lt;D xsi:type="xsd:double"&gt;918.4253&lt;/D&gt;&lt;/FQL&gt;&lt;FQL&gt;&lt;Q&gt;CRWV^FE_ESTIMATE(GROSSINCOME,MEAN,QUARTERLY_ROLL,2025/2F,45856,,,'')&lt;/Q&gt;&lt;R&gt;1&lt;/R&gt;&lt;C&gt;1&lt;/C&gt;&lt;D xsi:type="xsd:double"&gt;794.383&lt;/D&gt;&lt;/FQL&gt;&lt;FQL&gt;&lt;Q&gt;CRWV^FE_ESTIMATE(GROSSINCOME,MEAN,QUARTERLY_ROLL,2025/1F,45856,,,'')&lt;/Q&gt;&lt;R&gt;1&lt;/R&gt;&lt;C&gt;1&lt;/C&gt;&lt;D xsi:type="xsd:double"&gt;726.7069&lt;/D&gt;&lt;/FQL&gt;&lt;FQL&gt;&lt;Q&gt;CRWV^FE_ESTIMATE(GROSSINCOME,MEAN,ANNUAL_ROLL,2024,45856,,,'')&lt;/Q&gt;&lt;R&gt;1&lt;/R&gt;&lt;C&gt;1&lt;/C&gt;&lt;D xsi:type="xsd:double"&gt;1422.8593&lt;/D&gt;&lt;/FQL&gt;&lt;FQL&gt;&lt;Q&gt;CRWV^FE_ESTIMATE(GROSSINCOME,MEAN,QUARTERLY_ROLL,2024/4F,45856,,,'')&lt;/Q&gt;&lt;R&gt;1&lt;/R&gt;&lt;C&gt;1&lt;/C&gt;&lt;D xsi:type="xsd:double"&gt;565.6203&lt;/D&gt;&lt;/FQL&gt;&lt;FQL&gt;&lt;Q&gt;CRWV^FE_ESTIMATE(GROSSINCOME,MEAN,QUARTERLY_ROLL,2024/3F,45856,,,'')&lt;/Q&gt;&lt;R&gt;0&lt;/R&gt;&lt;C&gt;0&lt;/C&gt;&lt;/FQL&gt;&lt;FQL&gt;&lt;Q&gt;CRWV^FE_ESTIMATE(GROSSINCOME,MEAN,QUARTERLY_ROLL,2024/2F,45856,,,'')&lt;/Q&gt;&lt;R&gt;0&lt;/R&gt;&lt;C&gt;0&lt;/C&gt;&lt;/FQL&gt;&lt;FQL&gt;&lt;Q&gt;CRWV^FE_ESTIMATE(GROSSINCOME,MEAN,QUARTERLY_ROLL,2024/1F,45856,,,'')&lt;/Q&gt;&lt;R&gt;0&lt;/R&gt;&lt;C&gt;0&lt;/C&gt;&lt;/FQL&gt;&lt;FQL&gt;&lt;Q&gt;CRWV^FE_ESTIMATE(GROSSINCOME,MEAN,ANNUAL_ROLL,2023,45856,,,'')&lt;/Q&gt;&lt;R&gt;0&lt;/R&gt;&lt;C&gt;0&lt;/C&gt;&lt;/FQL&gt;&lt;FQL&gt;&lt;Q&gt;CRWV^FE_ESTIMATE(GROSSINCOME,MEAN,QUARTERLY_ROLL,2023/4F,45856,,,'')&lt;/Q&gt;&lt;R&gt;0&lt;/R&gt;&lt;C&gt;0&lt;/C&gt;&lt;/FQL&gt;&lt;FQL&gt;&lt;Q&gt;CRWV^FE_ESTIMATE(GROSSINCOME,MEAN,QUARTERLY_ROLL,2023/3F,45856,,,'')&lt;/Q&gt;&lt;R&gt;0&lt;/R&gt;&lt;C&gt;0&lt;/C&gt;&lt;/FQL&gt;&lt;FQL&gt;&lt;Q&gt;CRWV^FE_ESTIMATE(GROSSINCOME,MEAN,QUARTERLY_ROLL,2023/2F,45856,,,'')&lt;/Q&gt;&lt;R&gt;0&lt;/R&gt;&lt;C&gt;0&lt;/C&gt;&lt;/FQL&gt;&lt;FQL&gt;&lt;Q&gt;CRWV^FE_ESTIMATE(GROSSINCOME,MEAN,QUARTERLY_ROLL,2023/1F,45856,,,'')&lt;/Q&gt;&lt;R&gt;0&lt;/R&gt;&lt;C&gt;0&lt;/C&gt;&lt;/FQL&gt;&lt;FQL&gt;&lt;Q&gt;CRWV^FE_ESTIMATE(GROSSINCOME,MEAN,ANNUAL_ROLL,2022,45856,,,'')&lt;/Q&gt;&lt;R&gt;0&lt;/R&gt;&lt;C&gt;0&lt;/C&gt;&lt;/FQL&gt;&lt;FQL&gt;&lt;Q&gt;CRWV^FE_ESTIMATE(GROSSINCOME,MEAN,QUARTERLY_ROLL,2022/4F,45856,,,'')&lt;/Q&gt;&lt;R&gt;0&lt;/R&gt;&lt;C&gt;0&lt;/C&gt;&lt;/FQL&gt;&lt;FQL&gt;&lt;Q&gt;CRWV^FE_ESTIMATE(GROSSINCOME,MEAN,QUARTERLY_ROLL,2022/3F,45856,,,'')&lt;/Q&gt;&lt;R&gt;0&lt;/R&gt;&lt;C&gt;0&lt;/C&gt;&lt;/FQL&gt;&lt;FQL&gt;&lt;Q&gt;CRWV^FE_ESTIMATE(GROSSINCOME,MEAN,QUARTERLY_ROLL,2022/2F,45856,,,'')&lt;/Q&gt;&lt;R&gt;0&lt;/R&gt;&lt;C&gt;0&lt;/C&gt;&lt;/FQL&gt;&lt;FQL&gt;&lt;Q&gt;CRWV^FE_ESTIMATE(GROSSINCOME,MEAN,QUARTERLY_ROLL,2022/1F,45856,,,'')&lt;/Q&gt;&lt;R&gt;0&lt;/R&gt;&lt;C&gt;0&lt;/C&gt;&lt;/FQL&gt;&lt;FQL&gt;&lt;Q&gt;CRWV^FE_ESTIMATE(SALES,MEAN,ANNUAL_ROLL,2029,45856,,,'')&lt;/Q&gt;&lt;R&gt;1&lt;/R&gt;&lt;C&gt;1&lt;/C&gt;&lt;D xsi:type="xsd:double"&gt;26454.25&lt;/D&gt;&lt;/FQL&gt;&lt;FQL&gt;&lt;Q&gt;CRWV^FE_ESTIMATE(SALES,MEAN,QUARTERLY_ROLL,2029/4F,45856,,,'')&lt;/Q&gt;&lt;R&gt;0&lt;/R&gt;&lt;C&gt;0&lt;/C&gt;&lt;/FQL&gt;&lt;FQL&gt;&lt;Q&gt;CRWV^FE_ESTIMATE(SALES,MEAN,QUARTERLY_ROLL,2029/3F,45856,,,'')&lt;/Q&gt;&lt;R&gt;0&lt;/R&gt;&lt;C&gt;0&lt;/C&gt;&lt;/FQL&gt;&lt;FQL&gt;&lt;Q&gt;CRWV^FE_ESTIMATE(SALES,MEAN,QUARTERLY_ROLL,2029/2F,45856,,,'')&lt;/Q&gt;&lt;R&gt;0&lt;/R&gt;&lt;C&gt;0&lt;/C&gt;&lt;/FQL&gt;&lt;FQL&gt;&lt;Q&gt;CRWV^FE_ESTIMATE(SALES,MEAN,QUARTERLY_ROLL,2029/1F,45856,,,'')&lt;/Q&gt;&lt;R&gt;0&lt;/R&gt;&lt;C&gt;0&lt;/C&gt;&lt;/FQL&gt;&lt;FQL&gt;&lt;Q&gt;CRWV^FE_ESTIMATE(SALES,MEAN,ANNUAL_ROLL,2028,45856,,,'')&lt;/Q&gt;&lt;R&gt;1&lt;/R&gt;&lt;C&gt;1&lt;/C&gt;&lt;D xsi:type="xsd:double"&gt;21183&lt;/D&gt;&lt;/FQL&gt;&lt;FQL&gt;&lt;Q&gt;CRWV^FE_ESTIMATE(SALES,MEAN,QUARTERLY_ROLL,2028/4F,45856,,,'')&lt;/Q&gt;&lt;R&gt;0&lt;/R&gt;&lt;C&gt;0&lt;/C&gt;&lt;/FQL&gt;&lt;FQL&gt;&lt;Q&gt;CRWV^FE_ESTIMATE(SALES,MEAN,QUARTERLY_ROLL,2028/3F,45856,,,'')&lt;/Q&gt;&lt;R&gt;0&lt;/R&gt;&lt;C&gt;0&lt;/C&gt;&lt;/FQL&gt;&lt;FQL&gt;&lt;Q&gt;CRWV^FE_ESTIMATE(SALES,MEAN,QUARTERLY_ROLL,2028/2F,45856,,,'')&lt;/Q&gt;&lt;R&gt;0&lt;/R&gt;&lt;C&gt;0&lt;/C&gt;&lt;/FQL&gt;&lt;FQL&gt;&lt;Q&gt;CRWV^FE_ESTIMATE(SALES,MEAN,QUARTERLY_ROLL,2028/1F,45856,,,'')&lt;/Q&gt;&lt;R&gt;0&lt;/R&gt;&lt;C&gt;0&lt;/C&gt;&lt;/FQL&gt;&lt;FQL&gt;&lt;Q&gt;CRWV^FE_ESTIMATE(SALES,MEAN,ANNUAL_ROLL,2027,45856,,,'')&lt;/Q&gt;&lt;R&gt;1&lt;/R&gt;&lt;C&gt;1&lt;/C&gt;&lt;D xsi:type="xsd:double"&gt;16577.201&lt;/D&gt;&lt;/FQL&gt;&lt;FQL&gt;&lt;Q&gt;CRWV^FE_ESTIMATE(SALES,MEAN,QUARTERLY_ROLL,2027/4F,45856,,,'')&lt;/Q&gt;&lt;R&gt;1&lt;/R&gt;&lt;C&gt;1&lt;/C&gt;&lt;D xsi:type="xsd:double"&gt;4452.827&lt;/D&gt;&lt;/FQL&gt;&lt;FQL&gt;&lt;Q&gt;CRWV^FE_ESTIMATE(SALES,MEAN,QUARTERLY_ROLL,2027/3F,45856,,,'')&lt;/Q&gt;&lt;R&gt;1&lt;/R&gt;&lt;C&gt;1&lt;/C&gt;&lt;D xsi:type="xsd:double"&gt;4151.545&lt;/D&gt;&lt;/FQL&gt;&lt;FQL&gt;&lt;Q&gt;CRWV^FE_ESTIMATE(SALES,MEAN,QUARTERLY_ROLL,2027/2F,45856,,,'')&lt;/Q&gt;&lt;R&gt;1&lt;/R&gt;&lt;C&gt;1&lt;/C&gt;&lt;D xsi:type="xsd:double"&gt;3824.2808&lt;/D&gt;&lt;/FQL&gt;&lt;FQL&gt;&lt;Q&gt;CRWV^FE_ESTIMATE(SALES,MEAN,QUARTERLY_ROLL,2027/1F,45856,,,'')&lt;/Q&gt;&lt;R&gt;1&lt;/R&gt;&lt;C&gt;1&lt;/C&gt;&lt;D xsi:type="xsd:double"&gt;3553.7107&lt;/D&gt;&lt;/FQL&gt;&lt;FQL&gt;&lt;Q&gt;CRWV^FE_ESTIMATE(SALES,MEAN,ANNUAL_ROLL,2026,45856,,,'')&lt;/Q&gt;&lt;R&gt;1&lt;/R&gt;&lt;C&gt;1&lt;/C&gt;&lt;D xsi:type="xsd:double"&gt;11561.646&lt;/D&gt;&lt;/FQL&gt;&lt;FQL&gt;&lt;Q&gt;CRWV^FE_ESTIMATE(SALES,MEAN,QUARTERLY_ROLL,2026/4F,45856,,,'')&lt;/Q&gt;&lt;R&gt;1&lt;/R&gt;&lt;C&gt;1&lt;/C&gt;&lt;D xsi:type="xsd:double"&gt;3284.0342&lt;/D&gt;&lt;/FQL&gt;&lt;FQL&gt;&lt;Q&gt;CRWV^FE_ESTIMATE(SALES,MEAN,QUARTERLY_ROLL,2026/3F,45856,,,'')&lt;/Q&gt;&lt;R&gt;1&lt;/R&gt;&lt;C&gt;1&lt;/C&gt;&lt;D xsi:type="xsd:double"&gt;2995.2332&lt;/D&gt;&lt;/FQL&gt;&lt;FQL&gt;&lt;Q&gt;CRWV^FE_ESTIMATE(SALES,MEAN,QUARTERLY_ROLL,2026/2F,45856,,,'')&lt;/Q&gt;&lt;R&gt;1&lt;/R&gt;&lt;C&gt;1&lt;/C&gt;&lt;D xsi:type="xsd:double"&gt;2701.6953&lt;/D&gt;&lt;/FQL&gt;&lt;FQL&gt;&lt;Q&gt;CRWV^FE_ESTIMATE(SALES,MEAN,QUARTERLY_ROLL,2026/1F,45856,,,'')&lt;/Q&gt;&lt;R&gt;1&lt;/R&gt;&lt;C&gt;1&lt;/C&gt;&lt;D xsi:type="xsd:double"&gt;2438.0996&lt;/D&gt;&lt;/FQL&gt;&lt;FQL&gt;&lt;Q&gt;CRWV^FE_ESTIMATE(SALES,MEAN,ANNUAL_ROLL,2025,45856,,,'')&lt;/Q&gt;&lt;R&gt;1&lt;/R&gt;&lt;C&gt;1&lt;/C&gt;&lt;D xsi:type="xsd:double"&gt;5046.4663&lt;/D&gt;&lt;/FQL&gt;&lt;FQL&gt;&lt;Q&gt;CRWV^FE_ESTIMATE(SALES,MEAN,QUARTERLY_ROLL,2025/4F,45856,,,'')&lt;/Q&gt;&lt;R&gt;1&lt;/R&gt;&lt;C&gt;1&lt;/C&gt;&lt;D xsi:type="xsd:double"&gt;1725.9857&lt;/D&gt;&lt;/FQL&gt;&lt;FQL&gt;&lt;Q&gt;CRWV^FE_ESTIMATE(SALES,MEAN,QUARTERLY_ROLL,2025/3F,45856,,,'')&lt;/Q&gt;&lt;R&gt;1&lt;/R&gt;&lt;C&gt;1&lt;/C&gt;&lt;D xsi:type="xsd:double"&gt;1251.1481&lt;/D&gt;&lt;/FQL&gt;&lt;FQL&gt;&lt;Q&gt;CRWV^FE_ESTIMATE(SALES,MEAN,QUARTERLY_ROLL,2025/2F,45856,,,'')&lt;/Q&gt;&lt;R&gt;1&lt;/R&gt;&lt;C&gt;1&lt;/C&gt;&lt;D xsi:type="xsd:double"&gt;1081.806&lt;/D&gt;&lt;/FQL&gt;&lt;FQL&gt;&lt;Q&gt;CRWV^FE_ESTIMATE(SALES,MEAN,QUARTERLY_ROLL,2025/1F,45856,,,'')&lt;/Q&gt;&lt;R&gt;1&lt;/R&gt;&lt;C&gt;1&lt;/C&gt;&lt;D xsi:type="xsd:double"&gt;981.632&lt;/D&gt;&lt;/FQL&gt;&lt;FQL&gt;&lt;Q&gt;CRWV^FE_ESTIMATE(SALES,MEAN,ANNUAL_ROLL,2024,45856,,,'')&lt;/Q&gt;&lt;R&gt;1&lt;/R&gt;&lt;C&gt;1&lt;/C&gt;&lt;D xsi:type="xsd:double"&gt;1915.2697&lt;/D&gt;&lt;/FQL&gt;&lt;FQL&gt;&lt;Q&gt;CRWV^FE_ESTIMATE(SALES,MEAN,QUARTERLY_ROLL,2024/4F,45856,,,'')&lt;/Q&gt;&lt;R&gt;1&lt;/R&gt;&lt;C&gt;1&lt;/C&gt;&lt;D xsi:type="xsd:double"&gt;747.2792&lt;/D&gt;&lt;/FQL&gt;&lt;FQL&gt;&lt;Q&gt;CRWV^FE_ESTIMATE(SALES,MEAN,QUARTERLY_ROLL,2024/3F,45856,,,'')&lt;/Q&gt;&lt;R&gt;0&lt;/R&gt;&lt;C&gt;0&lt;/C&gt;&lt;/FQL&gt;&lt;FQL&gt;&lt;Q&gt;CRWV^FE_ESTIMATE(SALES,MEAN,QUARTERLY_ROLL,2024/2F,45856,,,'')&lt;/Q&gt;&lt;R&gt;0&lt;/R&gt;&lt;C&gt;0&lt;/C&gt;&lt;/FQL&gt;&lt;FQL&gt;&lt;Q&gt;CRWV^FE_ESTIMATE(SALES,MEAN,QUARTERLY_ROLL,2024/1F,45856,,,'')&lt;/Q&gt;&lt;R&gt;0&lt;/R&gt;&lt;C&gt;0&lt;/C&gt;&lt;/FQL&gt;&lt;FQL&gt;&lt;Q&gt;CRWV^FE_ESTIMATE(SALES,MEAN,ANNUAL_ROLL,2023,45856,,,'')&lt;/Q&gt;&lt;R&gt;0&lt;/R&gt;&lt;C&gt;0&lt;/C&gt;&lt;/FQL&gt;&lt;FQL&gt;&lt;Q&gt;CRWV^FE_ESTIMATE(SALES,MEAN,QUARTERLY_ROLL,2023/4F,45856,,,'')&lt;/Q&gt;&lt;R&gt;0&lt;/R&gt;&lt;C&gt;0&lt;/C&gt;&lt;/FQL&gt;&lt;FQL&gt;&lt;Q&gt;CRWV^FE_ESTIMATE(SALES,MEAN,QUARTERLY_ROLL,2023/3F,45856,,,'')&lt;/Q&gt;&lt;R&gt;0&lt;/R&gt;&lt;C&gt;0&lt;/C&gt;&lt;/FQL&gt;&lt;FQL&gt;&lt;Q&gt;CRWV^FE_ESTIMATE(SALES,MEAN,QUARTERLY_ROLL,2023/2F,45856,,,'')&lt;/Q&gt;&lt;R&gt;0&lt;/R&gt;&lt;C&gt;0&lt;/C&gt;&lt;/FQL&gt;&lt;FQL&gt;&lt;Q&gt;CRWV^FE_ESTIMATE(SALES,MEAN,QUARTERLY_ROLL,2023/1F,45856,,,'')&lt;/Q&gt;&lt;R&gt;0&lt;/R&gt;&lt;C&gt;0&lt;/C&gt;&lt;/FQL&gt;&lt;FQL&gt;&lt;Q&gt;CRWV^FE_ESTIMATE(SALES,MEAN,ANNUAL_ROLL,2022,45856,,,'')&lt;/Q&gt;&lt;R&gt;0&lt;/R&gt;&lt;C&gt;0&lt;/C&gt;&lt;/FQL&gt;&lt;FQL&gt;&lt;Q&gt;CRWV^FE_ESTIMATE(SALES,MEAN,QUARTERLY_ROLL,2022/4F,45856,,,'')&lt;/Q&gt;&lt;R&gt;0&lt;/R&gt;&lt;C&gt;0&lt;/C&gt;&lt;/FQL&gt;&lt;FQL&gt;&lt;Q&gt;CRWV^FE_ESTIMATE(SALES,MEAN,QUARTERLY_ROLL,2022/3F,45856,,,'')&lt;/Q&gt;&lt;R&gt;0&lt;/R&gt;&lt;C&gt;0&lt;/C&gt;&lt;/FQL&gt;&lt;FQL&gt;&lt;Q&gt;CRWV^FE_ESTIMATE(SALES,MEAN,QUARTERLY_ROLL,2022/2F,45856,,,'')&lt;/Q&gt;&lt;R&gt;0&lt;/R&gt;&lt;C&gt;0&lt;/C&gt;&lt;/FQL&gt;&lt;FQL&gt;&lt;Q&gt;CRWV^FE_ESTIMATE(SALES,MEAN,QUARTERLY_ROLL,2022/1F,45856,,,'')&lt;/Q&gt;&lt;R&gt;0&lt;/R&gt;&lt;C&gt;0&lt;/C&gt;&lt;/FQL&gt;&lt;FQL&gt;&lt;Q&gt;AVT^FE_ESTIMATE(UFCF,MEAN,CALA_ROLL,2027,45866,,,'')&lt;/Q&gt;&lt;R&gt;0&lt;/R&gt;&lt;C&gt;0&lt;/C&gt;&lt;/FQL&gt;&lt;FQL&gt;&lt;Q&gt;AVT^FE_ESTIMATE(UFCF,MEAN,CALA_ROLL,2026,45866,,,'')&lt;/Q&gt;&lt;R&gt;0&lt;/R&gt;&lt;C&gt;0&lt;/C&gt;&lt;/FQL&gt;&lt;FQL&gt;&lt;Q&gt;AVT^FE_ESTIMATE(UFCF,MEAN,CALA_ROLL,2025,45866,,,'')&lt;/Q&gt;&lt;R&gt;0&lt;/R&gt;&lt;C&gt;0&lt;/C&gt;&lt;/FQL&gt;&lt;FQL&gt;&lt;Q&gt;AVT^FE_ESTIMATE(UFCF,MEAN,CALA_ROLL,2024,45866,,,'')&lt;/Q&gt;&lt;R&gt;0&lt;/R&gt;&lt;C&gt;0&lt;/C&gt;&lt;/FQL&gt;&lt;FQL&gt;&lt;Q&gt;AVT^FE_ESTIMATE(UFCF,MEAN,CALA_ROLL,2023,45866,,,'')&lt;/Q&gt;&lt;R&gt;0&lt;/R&gt;&lt;C&gt;0&lt;/C&gt;&lt;/FQL&gt;&lt;FQL&gt;&lt;Q&gt;AVT^FE_ESTIMATE(UFCF,MEAN,NTM4,,45866,,,'')&lt;/Q&gt;&lt;R&gt;0&lt;/R&gt;&lt;C&gt;0&lt;/C&gt;&lt;/FQL&gt;&lt;FQL&gt;&lt;Q&gt;AVT^FE_ESTIMATE(UFCF,MEAN,LTM4,,45866,,,'')&lt;/Q&gt;&lt;R&gt;0&lt;/R&gt;&lt;C&gt;0&lt;/C&gt;&lt;/FQL&gt;&lt;FQL&gt;&lt;Q&gt;ARW^FE_ESTIMATE(UFCF,MEAN,CALA_ROLL,2027,45866,,,'')&lt;/Q&gt;&lt;R&gt;0&lt;/R&gt;&lt;C&gt;0&lt;/C&gt;&lt;/FQL&gt;&lt;FQL&gt;&lt;Q&gt;ARW^FE_ESTIMATE(UFCF,MEAN,CALA_ROLL,2026,45866,,,'')&lt;/Q&gt;&lt;R&gt;0&lt;/R&gt;&lt;C&gt;0&lt;/C&gt;&lt;/FQL&gt;&lt;FQL&gt;&lt;Q&gt;ARW^FE_ESTIMATE(UFCF,MEAN,CALA_ROLL,2025,45866,,,'')&lt;/Q&gt;&lt;R&gt;0&lt;/R&gt;&lt;C&gt;0&lt;/C&gt;&lt;/FQL&gt;&lt;FQL&gt;&lt;Q&gt;ARW^FE_ESTIMATE(UFCF,MEAN,CALA_ROLL,2024,45866,,,'')&lt;/Q&gt;&lt;R&gt;0&lt;/R&gt;&lt;C&gt;0&lt;/C&gt;&lt;/FQL&gt;&lt;FQL&gt;&lt;Q&gt;ARW^FE_ESTIMATE(UFCF,MEAN,CALA_ROLL,2023,45866,,,'')&lt;/Q&gt;&lt;R&gt;0&lt;/R&gt;&lt;C&gt;0&lt;/C&gt;&lt;/FQL&gt;&lt;FQL&gt;&lt;Q&gt;ARW^FE_ESTIMATE(UFCF,MEAN,NTM4,,45866,,,'')&lt;/Q&gt;&lt;R&gt;0&lt;/R&gt;&lt;C&gt;0&lt;/C&gt;&lt;/FQL&gt;&lt;FQL&gt;&lt;Q&gt;ARW^FE_ESTIMATE(UFCF,MEAN,LTM4,,45866,,,'')&lt;/Q&gt;&lt;R&gt;0&lt;/R&gt;&lt;C&gt;0&lt;/C&gt;&lt;/FQL&gt;&lt;FQL&gt;&lt;Q&gt;SNX^FE_ESTIMATE(UFCF,MEAN,CALA_ROLL,2027,45866,,,'')&lt;/Q&gt;&lt;R&gt;0&lt;/R&gt;&lt;C&gt;0&lt;/C&gt;&lt;/FQL&gt;&lt;FQL&gt;&lt;Q&gt;SNX^FE_ESTIMATE(UFCF,MEAN,CALA_ROLL,2026,45866,,,'')&lt;/Q&gt;&lt;R&gt;0&lt;/R&gt;&lt;C&gt;0&lt;/C&gt;&lt;/FQL&gt;&lt;FQL&gt;&lt;Q&gt;SNX^FE_ESTIMATE(UFCF,MEAN,CALA_ROLL,2025,45866,,,'')&lt;/Q&gt;&lt;R&gt;0&lt;/R&gt;&lt;C&gt;0&lt;/C&gt;&lt;/FQL&gt;&lt;FQL&gt;&lt;Q&gt;SNX^FE_ESTIMATE(UFCF,MEAN,CALA_ROLL,2024,45866,,,'')&lt;/Q&gt;&lt;R&gt;0&lt;/R&gt;&lt;C&gt;0&lt;/C&gt;&lt;/FQL&gt;&lt;FQL&gt;&lt;Q&gt;SNX^FE_ESTIMATE(UFCF,MEAN,CALA_ROLL,2023,45866,,,'')&lt;/Q&gt;&lt;R&gt;0&lt;/R&gt;&lt;C&gt;0&lt;/C&gt;&lt;/FQL&gt;&lt;FQL&gt;&lt;Q&gt;SNX^FE_ESTIMATE(UFCF,MEAN,NTM4,,45866,,,'')&lt;/Q&gt;&lt;R&gt;0&lt;/R&gt;&lt;C&gt;0&lt;/C&gt;&lt;/FQL&gt;&lt;FQL&gt;&lt;Q&gt;SNX^FE_ESTIMATE(UFCF,MEAN,LTM4,,45866,,,'')&lt;/Q&gt;&lt;R&gt;0&lt;/R&gt;&lt;C&gt;0&lt;/C&gt;&lt;/FQL&gt;&lt;FQL&gt;&lt;Q&gt;CDW^FE_ESTIMATE(UFCF,MEAN,CALA_ROLL,2027,45866,,,'')&lt;/Q&gt;&lt;R&gt;0&lt;/R&gt;&lt;C&gt;0&lt;/C&gt;&lt;/FQL&gt;&lt;FQL&gt;&lt;Q&gt;CDW^FE_ESTIMATE(UFCF,MEAN,CALA_ROLL,2026,45866,,,'')&lt;/Q&gt;&lt;R&gt;0&lt;/R&gt;&lt;C&gt;0&lt;/C&gt;&lt;/FQL&gt;&lt;FQL&gt;&lt;Q&gt;CDW^FE_ESTIMATE(UFCF,MEAN,CALA_ROLL,2025,45866,,,'')&lt;/Q&gt;&lt;R&gt;0&lt;/R&gt;&lt;C&gt;0&lt;/C&gt;&lt;/FQL&gt;&lt;FQL&gt;&lt;Q&gt;CDW^FE_ESTIMATE(UFCF,MEAN,CALA_ROLL,2024,45866,,,'')&lt;/Q&gt;&lt;R&gt;0&lt;/R&gt;&lt;C&gt;0&lt;/C&gt;&lt;/FQL&gt;&lt;FQL&gt;&lt;Q&gt;CDW^FE_ESTIMATE(UFCF,MEAN,CALA_ROLL,2023,45866,,,'')&lt;/Q&gt;&lt;R&gt;0&lt;/R&gt;&lt;C&gt;0&lt;/C&gt;&lt;/FQL&gt;&lt;FQL&gt;&lt;Q&gt;CDW^FE_ESTIMATE(UFCF,MEAN,NTM4,,45866,,,'')&lt;/Q&gt;&lt;R&gt;0&lt;/R&gt;&lt;C&gt;0&lt;/C&gt;&lt;/FQL&gt;&lt;FQL&gt;&lt;Q&gt;CDW^FE_ESTIMATE(UFCF,MEAN,LTM4,,45866,,,'')&lt;/Q&gt;&lt;R&gt;0&lt;/R&gt;&lt;C&gt;0&lt;/C&gt;&lt;/FQL&gt;&lt;FQL&gt;&lt;Q&gt;INGM^FE_ESTIMATE(UFCF,MEAN,CALA_ROLL,2027,45866,,,'')&lt;/Q&gt;&lt;R&gt;0&lt;/R&gt;&lt;C&gt;0&lt;/C&gt;&lt;/FQL&gt;&lt;FQL&gt;&lt;Q&gt;INGM^FE_ESTIMATE(UFCF,MEAN,CALA_ROLL,2026,45866,,,'')&lt;/Q&gt;&lt;R&gt;0&lt;/R&gt;&lt;C&gt;0&lt;/C&gt;&lt;/FQL&gt;&lt;FQL&gt;&lt;Q&gt;INGM^FE_ESTIMATE(UFCF,MEAN,CALA_ROLL,2025,45866,,,'')&lt;/Q&gt;&lt;R&gt;0&lt;/R&gt;&lt;C&gt;0&lt;/C&gt;&lt;/FQL&gt;&lt;FQL&gt;&lt;Q&gt;INGM^FE_ESTIMATE(UFCF,MEAN,CALA_ROLL,2024,45866,,,'')&lt;/Q&gt;&lt;R&gt;0&lt;/R&gt;&lt;C&gt;0&lt;/C&gt;&lt;/FQL&gt;&lt;FQL&gt;&lt;Q&gt;INGM^FE_ESTIMATE(UFCF,MEAN,CALA_ROLL,2023,45866,,,'')&lt;/Q&gt;&lt;R&gt;0&lt;/R&gt;&lt;C&gt;0&lt;/C&gt;&lt;/FQL&gt;&lt;FQL&gt;&lt;Q&gt;INGM^FE_ESTIMATE(UFCF,MEAN,NTM4,,45866,,,'')&lt;/Q&gt;&lt;R&gt;0&lt;/R&gt;&lt;C&gt;0&lt;/C&gt;&lt;/FQL&gt;&lt;FQL&gt;&lt;Q&gt;INGM^FE_ESTIMATE(UFCF,MEAN,LTM4,,45866,,,'')&lt;/Q&gt;&lt;R&gt;0&lt;/R&gt;&lt;C&gt;0&lt;/C&gt;&lt;/FQL&gt;&lt;FQL&gt;&lt;Q&gt;NBIS^FE_ESTIMATE(UFCF,MEAN,CALA_ROLL,2027,45866,,,'')&lt;/Q&gt;&lt;R&gt;0&lt;/R&gt;&lt;C&gt;0&lt;/C&gt;&lt;/FQL&gt;&lt;FQL&gt;&lt;Q&gt;NBIS^FE_ESTIMATE(UFCF,MEAN,CALA_ROLL,2026,45866,,,'')&lt;/Q&gt;&lt;R&gt;0&lt;/R&gt;&lt;C&gt;0&lt;/C&gt;&lt;/FQL&gt;&lt;FQL&gt;&lt;Q&gt;NBIS^FE_ESTIMATE(UFCF,MEAN,CALA_ROLL,2025,45866,,,'')&lt;/Q&gt;&lt;R&gt;0&lt;/R&gt;&lt;C&gt;0&lt;/C&gt;&lt;/FQL&gt;&lt;FQL&gt;&lt;Q&gt;NBIS^FE_ESTIMATE(UFCF,MEAN,CALA_ROLL,2024,45866,,,'')&lt;/Q&gt;&lt;R&gt;0&lt;/R&gt;&lt;C&gt;0&lt;/C&gt;&lt;/FQL&gt;&lt;FQL&gt;&lt;Q&gt;NBIS^FE_ESTIMATE(UFCF,MEAN,CALA_ROLL,2023,45866,,,'')&lt;/Q&gt;&lt;R&gt;0&lt;/R&gt;&lt;C&gt;0&lt;/C&gt;&lt;/FQL&gt;&lt;FQL&gt;&lt;Q&gt;NBIS^FE_ESTIMATE(UFCF,MEAN,NTM4,,45866,,,'')&lt;/Q&gt;&lt;R&gt;0&lt;/R&gt;&lt;C&gt;0&lt;/C&gt;&lt;/FQL&gt;&lt;FQL&gt;&lt;Q&gt;NBIS^FE_ESTIMATE(UFCF,MEAN,LTM4,,45866,,,'')&lt;/Q&gt;&lt;R&gt;0&lt;/R&gt;&lt;C&gt;0&lt;/C&gt;&lt;/FQL&gt;&lt;FQL&gt;&lt;Q&gt;DOCN^FE_ESTIMATE(UFCF,MEAN,CALA_ROLL,2027,45866,,,'')&lt;/Q&gt;&lt;R&gt;0&lt;/R&gt;&lt;C&gt;0&lt;/C&gt;&lt;/FQL&gt;&lt;FQL&gt;&lt;Q&gt;DOCN^FE_ESTIMATE(UFCF,MEAN,CALA_ROLL,2026,45866,,,'')&lt;/Q&gt;&lt;R&gt;0&lt;/R&gt;&lt;C&gt;0&lt;/C&gt;&lt;/FQL&gt;&lt;FQL&gt;&lt;Q&gt;DOCN^FE_ESTIMATE(UFCF,MEAN,CALA_ROLL,2025,45866,,,'')&lt;/Q&gt;&lt;R&gt;0&lt;/R&gt;&lt;C&gt;0&lt;/C&gt;&lt;/FQL&gt;&lt;FQL&gt;&lt;Q&gt;DOCN^FE_ESTIMATE(UFCF,MEAN,CALA_ROLL,2024,45866,,,'')&lt;/Q&gt;&lt;R&gt;0&lt;/R&gt;&lt;C&gt;0&lt;/C&gt;&lt;/FQL&gt;&lt;FQL&gt;&lt;Q&gt;DOCN^FE_ESTIMATE(UFCF,MEAN,CALA_ROLL,2023,45866,,,'')&lt;/Q&gt;&lt;R&gt;0&lt;/R&gt;&lt;C&gt;0&lt;/C&gt;&lt;/FQL&gt;&lt;FQL&gt;&lt;Q&gt;DOCN^FE_ESTIMATE(UFCF,MEAN,NTM4,,45866,,,'')&lt;/Q&gt;&lt;R&gt;0&lt;/R&gt;&lt;C&gt;0&lt;/C&gt;&lt;/FQL&gt;&lt;FQL&gt;&lt;Q&gt;DOCN^FE_ESTIMATE(UFCF,MEAN,LTM4,,45866,,,'')&lt;/Q&gt;&lt;R&gt;0&lt;/R&gt;&lt;C&gt;0&lt;/C&gt;&lt;/FQL&gt;&lt;FQL&gt;&lt;Q&gt;GOOG^FE_ESTIMATE(UFCF,MEAN,CALA_ROLL,2027,45866,,,'')&lt;/Q&gt;&lt;R&gt;0&lt;/R&gt;&lt;C&gt;0&lt;/C&gt;&lt;/FQL&gt;&lt;FQL&gt;&lt;Q&gt;GOOG^FE_ESTIMATE(UFCF,MEAN,CALA_ROLL,2026,45866,,,'')&lt;/Q&gt;&lt;R&gt;0&lt;/R&gt;&lt;C&gt;0&lt;/C&gt;&lt;/FQL&gt;&lt;FQL&gt;&lt;Q&gt;GOOG^FE_ESTIMATE(UFCF,MEAN,CALA_ROLL,2025,45866,,,'')&lt;/Q&gt;&lt;R&gt;0&lt;/R&gt;&lt;C&gt;0&lt;/C&gt;&lt;/FQL&gt;&lt;FQL&gt;&lt;Q&gt;GOOG^FE_ESTIMATE(UFCF,MEAN,CALA_ROLL,2024,45866,,,'')&lt;/Q&gt;&lt;R&gt;0&lt;/R&gt;&lt;C&gt;0&lt;/C&gt;&lt;/FQL&gt;&lt;FQL&gt;&lt;Q&gt;GOOG^FE_ESTIMATE(UFCF,MEAN,CALA_ROLL,2023,45866,,,'')&lt;/Q&gt;&lt;R&gt;0&lt;/R&gt;&lt;C&gt;0&lt;/C&gt;&lt;/FQL&gt;&lt;FQL&gt;&lt;Q&gt;GOOG^FE_ESTIMATE(UFCF,MEAN,NTM4,,45866,,,'')&lt;/Q&gt;&lt;R&gt;0&lt;/R&gt;&lt;C&gt;0&lt;/C&gt;&lt;/FQL&gt;&lt;FQL&gt;&lt;Q&gt;GOOG^FE_ESTIMATE(UFCF,MEAN,LTM4,,45</t>
        </r>
      </text>
    </comment>
    <comment ref="A11" authorId="0" shapeId="0" xr:uid="{4AACCA95-7EB0-49CB-B963-55516271C25F}">
      <text>
        <r>
          <rPr>
            <b/>
            <sz val="9"/>
            <color indexed="81"/>
            <rFont val="Tahoma"/>
            <charset val="1"/>
          </rPr>
          <t>866,,,'')&lt;/Q&gt;&lt;R&gt;0&lt;/R&gt;&lt;C&gt;0&lt;/C&gt;&lt;/FQL&gt;&lt;FQL&gt;&lt;Q&gt;AMZN^FE_ESTIMATE(UFCF,MEAN,CALA_ROLL,2027,45866,,,'')&lt;/Q&gt;&lt;R&gt;0&lt;/R&gt;&lt;C&gt;0&lt;/C&gt;&lt;/FQL&gt;&lt;FQL&gt;&lt;Q&gt;AMZN^FE_ESTIMATE(UFCF,MEAN,CALA_ROLL,2026,45866,,,'')&lt;/Q&gt;&lt;R&gt;0&lt;/R&gt;&lt;C&gt;0&lt;/C&gt;&lt;/FQL&gt;&lt;FQL&gt;&lt;Q&gt;AMZN^FE_ESTIMATE(UFCF,MEAN,CALA_ROLL,2025,45866,,,'')&lt;/Q&gt;&lt;R&gt;0&lt;/R&gt;&lt;C&gt;0&lt;/C&gt;&lt;/FQL&gt;&lt;FQL&gt;&lt;Q&gt;AMZN^FE_ESTIMATE(UFCF,MEAN,CALA_ROLL,2024,45866,,,'')&lt;/Q&gt;&lt;R&gt;0&lt;/R&gt;&lt;C&gt;0&lt;/C&gt;&lt;/FQL&gt;&lt;FQL&gt;&lt;Q&gt;AMZN^FE_ESTIMATE(UFCF,MEAN,CALA_ROLL,2023,45866,,,'')&lt;/Q&gt;&lt;R&gt;0&lt;/R&gt;&lt;C&gt;0&lt;/C&gt;&lt;/FQL&gt;&lt;FQL&gt;&lt;Q&gt;AMZN^FE_ESTIMATE(UFCF,MEAN,NTM4,,45866,,,'')&lt;/Q&gt;&lt;R&gt;0&lt;/R&gt;&lt;C&gt;0&lt;/C&gt;&lt;/FQL&gt;&lt;FQL&gt;&lt;Q&gt;AMZN^FE_ESTIMATE(UFCF,MEAN,LTM4,,45866,,,'')&lt;/Q&gt;&lt;R&gt;0&lt;/R&gt;&lt;C&gt;0&lt;/C&gt;&lt;/FQL&gt;&lt;FQL&gt;&lt;Q&gt;ORCL^FE_ESTIMATE(UFCF,MEAN,CALA_ROLL,2027,45866,,,'')&lt;/Q&gt;&lt;R&gt;0&lt;/R&gt;&lt;C&gt;0&lt;/C&gt;&lt;/FQL&gt;&lt;FQL&gt;&lt;Q&gt;ORCL^FE_ESTIMATE(UFCF,MEAN,CALA_ROLL,2026,45866,,,'')&lt;/Q&gt;&lt;R&gt;0&lt;/R&gt;&lt;C&gt;0&lt;/C&gt;&lt;/FQL&gt;&lt;FQL&gt;&lt;Q&gt;ORCL^FE_ESTIMATE(UFCF,MEAN,CALA_ROLL,2025,45866,,,'')&lt;/Q&gt;&lt;R&gt;0&lt;/R&gt;&lt;C&gt;0&lt;/C&gt;&lt;/FQL&gt;&lt;FQL&gt;&lt;Q&gt;ORCL^FE_ESTIMATE(UFCF,MEAN,CALA_ROLL,2024,45866,,,'')&lt;/Q&gt;&lt;R&gt;0&lt;/R&gt;&lt;C&gt;0&lt;/C&gt;&lt;/FQL&gt;&lt;FQL&gt;&lt;Q&gt;ORCL^FE_ESTIMATE(UFCF,MEAN,CALA_ROLL,2023,45866,,,'')&lt;/Q&gt;&lt;R&gt;1&lt;/R&gt;&lt;C&gt;1&lt;/C&gt;&lt;D xsi:type="xsd:double"&gt;13482.341&lt;/D&gt;&lt;/FQL&gt;&lt;FQL&gt;&lt;Q&gt;ORCL^FE_ESTIMATE(UFCF,MEAN,NTM4,,45866,,,'')&lt;/Q&gt;&lt;R&gt;0&lt;/R&gt;&lt;C&gt;0&lt;/C&gt;&lt;/FQL&gt;&lt;FQL&gt;&lt;Q&gt;ORCL^FE_ESTIMATE(UFCF,MEAN,LTM4,,45866,,,'')&lt;/Q&gt;&lt;R&gt;0&lt;/R&gt;&lt;C&gt;0&lt;/C&gt;&lt;/FQL&gt;&lt;FQL&gt;&lt;Q&gt;IBM^FE_ESTIMATE(UFCF,MEAN,CALA_ROLL,2027,45866,,,'')&lt;/Q&gt;&lt;R&gt;0&lt;/R&gt;&lt;C&gt;0&lt;/C&gt;&lt;/FQL&gt;&lt;FQL&gt;&lt;Q&gt;IBM^FE_ESTIMATE(UFCF,MEAN,CALA_ROLL,2026,45866,,,'')&lt;/Q&gt;&lt;R&gt;0&lt;/R&gt;&lt;C&gt;0&lt;/C&gt;&lt;/FQL&gt;&lt;FQL&gt;&lt;Q&gt;IBM^FE_ESTIMATE(UFCF,MEAN,CALA_ROLL,2025,45866,,,'')&lt;/Q&gt;&lt;R&gt;0&lt;/R&gt;&lt;C&gt;0&lt;/C&gt;&lt;/FQL&gt;&lt;FQL&gt;&lt;Q&gt;IBM^FE_ESTIMATE(UFCF,MEAN,CALA_ROLL,2024,45866,,,'')&lt;/Q&gt;&lt;R&gt;0&lt;/R&gt;&lt;C&gt;0&lt;/C&gt;&lt;/FQL&gt;&lt;FQL&gt;&lt;Q&gt;IBM^FE_ESTIMATE(UFCF,MEAN,CALA_ROLL,2023,45866,,,'')&lt;/Q&gt;&lt;R&gt;0&lt;/R&gt;&lt;C&gt;0&lt;/C&gt;&lt;/FQL&gt;&lt;FQL&gt;&lt;Q&gt;IBM^FE_ESTIMATE(UFCF,MEAN,NTM4,,45866,,,'')&lt;/Q&gt;&lt;R&gt;0&lt;/R&gt;&lt;C&gt;0&lt;/C&gt;&lt;/FQL&gt;&lt;FQL&gt;&lt;Q&gt;IBM^FE_ESTIMATE(UFCF,MEAN,LTM4,,45866,,,'')&lt;/Q&gt;&lt;R&gt;0&lt;/R&gt;&lt;C&gt;0&lt;/C&gt;&lt;/FQL&gt;&lt;FQL&gt;&lt;Q&gt;EQIX^FE_ESTIMATE(UFCF,MEAN,CALA_ROLL,2027,45866,,,'')&lt;/Q&gt;&lt;R&gt;1&lt;/R&gt;&lt;C&gt;1&lt;/C&gt;&lt;D xsi:type="xsd:double"&gt;733.9&lt;/D&gt;&lt;/FQL&gt;&lt;FQL&gt;&lt;Q&gt;EQIX^FE_ESTIMATE(UFCF,MEAN,CALA_ROLL,2026,45866,,,'')&lt;/Q&gt;&lt;R&gt;1&lt;/R&gt;&lt;C&gt;1&lt;/C&gt;&lt;D xsi:type="xsd:double"&gt;209.9&lt;/D&gt;&lt;/FQL&gt;&lt;FQL&gt;&lt;Q&gt;EQIX^FE_ESTIMATE(UFCF,MEAN,CALA_ROLL,2025,45866,,,'')&lt;/Q&gt;&lt;R&gt;1&lt;/R&gt;&lt;C&gt;1&lt;/C&gt;&lt;D xsi:type="xsd:double"&gt;1268.2&lt;/D&gt;&lt;/FQL&gt;&lt;FQL&gt;&lt;Q&gt;EQIX^FE_ESTIMATE(UFCF,MEAN,CALA_ROLL,2024,45866,,,'')&lt;/Q&gt;&lt;R&gt;0&lt;/R&gt;&lt;C&gt;0&lt;/C&gt;&lt;/FQL&gt;&lt;FQL&gt;&lt;Q&gt;EQIX^FE_ESTIMATE(UFCF,MEAN,CALA_ROLL,2023,45866,,,'')&lt;/Q&gt;&lt;R&gt;0&lt;/R&gt;&lt;C&gt;0&lt;/C&gt;&lt;/FQL&gt;&lt;FQL&gt;&lt;Q&gt;EQIX^FE_ESTIMATE(UFCF,MEAN,NTM4,,45866,,,'')&lt;/Q&gt;&lt;R&gt;0&lt;/R&gt;&lt;C&gt;0&lt;/C&gt;&lt;/FQL&gt;&lt;FQL&gt;&lt;Q&gt;EQIX^FE_ESTIMATE(UFCF,MEAN,LTM4,,45866,,,'')&lt;/Q&gt;&lt;R&gt;0&lt;/R&gt;&lt;C&gt;0&lt;/C&gt;&lt;/FQL&gt;&lt;FQL&gt;&lt;Q&gt;DLR^FE_ESTIMATE(UFCF,MEAN,CALA_ROLL,2027,45866,,,'')&lt;/Q&gt;&lt;R&gt;1&lt;/R&gt;&lt;C&gt;1&lt;/C&gt;&lt;D xsi:type="xsd:double"&gt;9.2&lt;/D&gt;&lt;/FQL&gt;&lt;FQL&gt;&lt;Q&gt;DLR^FE_ESTIMATE(UFCF,MEAN,CALA_ROLL,2026,45866,,,'')&lt;/Q&gt;&lt;R&gt;1&lt;/R&gt;&lt;C&gt;1&lt;/C&gt;&lt;D xsi:type="xsd:double"&gt;-549.7&lt;/D&gt;&lt;/FQL&gt;&lt;FQL&gt;&lt;Q&gt;DLR^FE_ESTIMATE(UFCF,MEAN,CALA_ROLL,2025,45866,,,'')&lt;/Q&gt;&lt;R&gt;1&lt;/R&gt;&lt;C&gt;1&lt;/C&gt;&lt;D xsi:type="xsd:double"&gt;-554.2&lt;/D&gt;&lt;/FQL&gt;&lt;FQL&gt;&lt;Q&gt;DLR^FE_ESTIMATE(UFCF,MEAN,CALA_ROLL,2024,45866,,,'')&lt;/Q&gt;&lt;R&gt;0&lt;/R&gt;&lt;C&gt;0&lt;/C&gt;&lt;/FQL&gt;&lt;FQL&gt;&lt;Q&gt;DLR^FE_ESTIMATE(UFCF,MEAN,CALA_ROLL,2023,45866,,,'')&lt;/Q&gt;&lt;R&gt;1&lt;/R&gt;&lt;C&gt;1&lt;/C&gt;&lt;D xsi:type="xsd:double"&gt;-1479.6&lt;/D&gt;&lt;/FQL&gt;&lt;FQL&gt;&lt;Q&gt;DLR^FE_ESTIMATE(UFCF,MEAN,NTM4,,45866,,,'')&lt;/Q&gt;&lt;R&gt;0&lt;/R&gt;&lt;C&gt;0&lt;/C&gt;&lt;/FQL&gt;&lt;FQL&gt;&lt;Q&gt;DLR^FE_ESTIMATE(UFCF,MEAN,LTM4,,45866,,,'')&lt;/Q&gt;&lt;R&gt;0&lt;/R&gt;&lt;C&gt;0&lt;/C&gt;&lt;/FQL&gt;&lt;FQL&gt;&lt;Q&gt;NVDA^FE_ESTIMATE(UFCF,MEAN,CALA_ROLL,2027,45866,,,'')&lt;/Q&gt;&lt;R&gt;0&lt;/R&gt;&lt;C&gt;0&lt;/C&gt;&lt;/FQL&gt;&lt;FQL&gt;&lt;Q&gt;NVDA^FE_ESTIMATE(UFCF,MEAN,CALA_ROLL,2026,45866,,,'')&lt;/Q&gt;&lt;R&gt;0&lt;/R&gt;&lt;C&gt;0&lt;/C&gt;&lt;/FQL&gt;&lt;FQL&gt;&lt;Q&gt;NVDA^FE_ESTIMATE(UFCF,MEAN,CALA_ROLL,2025,45866,,,'')&lt;/Q&gt;&lt;R&gt;0&lt;/R&gt;&lt;C&gt;0&lt;/C&gt;&lt;/FQL&gt;&lt;FQL&gt;&lt;Q&gt;NVDA^FE_ESTIMATE(UFCF,MEAN,CALA_ROLL,2024,45866,,,'')&lt;/Q&gt;&lt;R&gt;0&lt;/R&gt;&lt;C&gt;0&lt;/C&gt;&lt;/FQL&gt;&lt;FQL&gt;&lt;Q&gt;NVDA^FE_ESTIMATE(UFCF,MEAN,CALA_ROLL,2023,45866,,,'')&lt;/Q&gt;&lt;R&gt;0&lt;/R&gt;&lt;C&gt;0&lt;/C&gt;&lt;/FQL&gt;&lt;FQL&gt;&lt;Q&gt;NVDA^FE_ESTIMATE(UFCF,MEAN,NTM4,,45866,,,'')&lt;/Q&gt;&lt;R&gt;0&lt;/R&gt;&lt;C&gt;0&lt;/C&gt;&lt;/FQL&gt;&lt;FQL&gt;&lt;Q&gt;NVDA^FE_ESTIMATE(UFCF,MEAN,LTM4,,45866,,,'')&lt;/Q&gt;&lt;R&gt;0&lt;/R&gt;&lt;C&gt;0&lt;/C&gt;&lt;/FQL&gt;&lt;FQL&gt;&lt;Q&gt;NVDA^FE_ESTIMATE(FCF,MEAN,CALA_ROLL,2027,45866,,,'')&lt;/Q&gt;&lt;R&gt;1&lt;/R&gt;&lt;C&gt;1&lt;/C&gt;&lt;D xsi:type="xsd:double"&gt;149694.13&lt;/D&gt;&lt;/FQL&gt;&lt;FQL&gt;&lt;Q&gt;NVDA^FE_ESTIMATE(FCF,MEAN,CAL4,2026,45866,,,'')&lt;/Q&gt;&lt;R&gt;1&lt;/R&gt;&lt;C&gt;1&lt;/C&gt;&lt;D xsi:type="xsd:double"&gt;136387.16&lt;/D&gt;&lt;/FQL&gt;&lt;FQL&gt;&lt;Q&gt;NVDA^FE_ESTIMATE(FCF,MEAN,CAL4,2025,45866,,,'')&lt;/Q&gt;&lt;R&gt;1&lt;/R&gt;&lt;C&gt;1&lt;/C&gt;&lt;D xsi:type="xsd:double"&gt;104983.04&lt;/D&gt;&lt;/FQL&gt;&lt;FQL&gt;&lt;Q&gt;NVDA^FE_ESTIMATE(FCF,MEAN,CAL4,2024,45866,,,'')&lt;/Q&gt;&lt;R&gt;1&lt;/R&gt;&lt;C&gt;1&lt;/C&gt;&lt;D xsi:type="xsd:double"&gt;62019.04&lt;/D&gt;&lt;/FQL&gt;&lt;FQL&gt;&lt;Q&gt;NVDA^FE_ESTIMATE(FCF,MEAN,CAL4,2023,45866,,,'')&lt;/Q&gt;&lt;R&gt;1&lt;/R&gt;&lt;C&gt;1&lt;/C&gt;&lt;D xsi:type="xsd:double"&gt;26297.904&lt;/D&gt;&lt;/FQL&gt;&lt;FQL&gt;&lt;Q&gt;NVDA^FE_ESTIMATE(FCF,MEAN,NTM4,,45866,,,'')&lt;/Q&gt;&lt;R&gt;1&lt;/R&gt;&lt;C&gt;1&lt;/C&gt;&lt;D xsi:type="xsd:double"&gt;110938.766&lt;/D&gt;&lt;/FQL&gt;&lt;FQL&gt;&lt;Q&gt;NVDA^FE_ESTIMATE(FCF,MEAN,LTM4,,45866,,,'')&lt;/Q&gt;&lt;R&gt;1&lt;/R&gt;&lt;C&gt;1&lt;/C&gt;&lt;D xsi:type="xsd:double"&gt;72319.914&lt;/D&gt;&lt;/FQL&gt;&lt;FQL&gt;&lt;Q&gt;MSFT^FE_ESTIMATE(FCF,MEAN,CALA_ROLL,2027,45866,,,'')&lt;/Q&gt;&lt;R&gt;1&lt;/R&gt;&lt;C&gt;1&lt;/C&gt;&lt;D xsi:type="xsd:double"&gt;116311.58&lt;/D&gt;&lt;/FQL&gt;&lt;FQL&gt;&lt;Q&gt;MSFT^FE_ESTIMATE(FCF,MEAN,CALA_ROLL,2026,45866,,,'')&lt;/Q&gt;&lt;R&gt;1&lt;/R&gt;&lt;C&gt;1&lt;/C&gt;&lt;D xsi:type="xsd:double"&gt;86920.23&lt;/D&gt;&lt;/FQL&gt;&lt;FQL&gt;&lt;Q&gt;MSFT^FE_ESTIMATE(FCF,MEAN,CAL4,2025,45866,,,'')&lt;/Q&gt;&lt;R&gt;1&lt;/R&gt;&lt;C&gt;1&lt;/C&gt;&lt;D xsi:type="xsd:double"&gt;74893.02&lt;/D&gt;&lt;/FQL&gt;&lt;FQL&gt;&lt;Q&gt;MSFT^FE_ESTIMATE(FCF,MEAN,CAL4,2024,45866,,,'')&lt;/Q&gt;&lt;R&gt;1&lt;/R&gt;&lt;C&gt;1&lt;/C&gt;&lt;D xsi:type="xsd:double"&gt;68042.71&lt;/D&gt;&lt;/FQL&gt;&lt;FQL&gt;&lt;Q&gt;MSFT^FE_ESTIMATE(FCF,MEAN,CAL4,2023,45866,,,'')&lt;/Q&gt;&lt;R&gt;1&lt;/R&gt;&lt;C&gt;1&lt;/C&gt;&lt;D xsi:type="xsd:double"&gt;64571.887&lt;/D&gt;&lt;/FQL&gt;&lt;FQL&gt;&lt;Q&gt;MSFT^FE_ESTIMATE(FCF,MEAN,NTM4,,45866,,,'')&lt;/Q&gt;&lt;R&gt;1&lt;/R&gt;&lt;C&gt;1&lt;/C&gt;&lt;D xsi:type="xsd:double"&gt;74301.5&lt;/D&gt;&lt;/FQL&gt;&lt;FQL&gt;&lt;Q&gt;MSFT^FE_ESTIMATE(FCF,MEAN,LTM4,,45866,,,'')&lt;/Q&gt;&lt;R&gt;1&lt;/R&gt;&lt;C&gt;1&lt;/C&gt;&lt;D xsi:type="xsd:double"&gt;67645.7&lt;/D&gt;&lt;/FQL&gt;&lt;FQL&gt;&lt;Q&gt;AVT^FE_ESTIMATE(FCF,MEAN,CAL4,2027,45866,,,'')&lt;/Q&gt;&lt;R&gt;0&lt;/R&gt;&lt;C&gt;0&lt;/C&gt;&lt;/FQL&gt;&lt;FQL&gt;&lt;Q&gt;AVT^FE_ESTIMATE(FCF,MEAN,CAL4,2026,45866,,,'')&lt;/Q&gt;&lt;R&gt;0&lt;/R&gt;&lt;C&gt;0&lt;/C&gt;&lt;/FQL&gt;&lt;FQL&gt;&lt;Q&gt;AVT^FE_ESTIMATE(FCF,MEAN,CAL4,2025,45866,,,'')&lt;/Q&gt;&lt;R&gt;0&lt;/R&gt;&lt;C&gt;0&lt;/C&gt;&lt;/FQL&gt;&lt;FQL&gt;&lt;Q&gt;AVT^FE_ESTIMATE(FCF,MEAN,CAL4,2024,45866,,,'')&lt;/Q&gt;&lt;R&gt;0&lt;/R&gt;&lt;C&gt;0&lt;/C&gt;&lt;/FQL&gt;&lt;FQL&gt;&lt;Q&gt;AVT^FE_ESTIMATE(FCF,MEAN,CAL4,2023,45866,,,'')&lt;/Q&gt;&lt;R&gt;0&lt;/R&gt;&lt;C&gt;0&lt;/C&gt;&lt;/FQL&gt;&lt;FQL&gt;&lt;Q&gt;AVT^FE_ESTIMATE(FCF,MEAN,NTM4,,45866,,,'')&lt;/Q&gt;&lt;R&gt;0&lt;/R&gt;&lt;C&gt;0&lt;/C&gt;&lt;/FQL&gt;&lt;FQL&gt;&lt;Q&gt;AVT^FE_ESTIMATE(FCF,MEAN,LTM4,,45866,,,'')&lt;/Q&gt;&lt;R&gt;0&lt;/R&gt;&lt;C&gt;0&lt;/C&gt;&lt;/FQL&gt;&lt;FQL&gt;&lt;Q&gt;ARW^FE_ESTIMATE(FCF,MEAN,CAL4,2027,45866,,,'')&lt;/Q&gt;&lt;R&gt;0&lt;/R&gt;&lt;C&gt;0&lt;/C&gt;&lt;/FQL&gt;&lt;FQL&gt;&lt;Q&gt;ARW^FE_ESTIMATE(FCF,MEAN,CAL4,2026,45866,,,'')&lt;/Q&gt;&lt;R&gt;0&lt;/R&gt;&lt;C&gt;0&lt;/C&gt;&lt;/FQL&gt;&lt;FQL&gt;&lt;Q&gt;ARW^FE_ESTIMATE(FCF,MEAN,CAL4,2025,45866,,,'')&lt;/Q&gt;&lt;R&gt;0&lt;/R&gt;&lt;C&gt;0&lt;/C&gt;&lt;/FQL&gt;&lt;FQL&gt;&lt;Q&gt;ARW^FE_ESTIMATE(FCF,MEAN,CAL4,2024,45866,,,'')&lt;/Q&gt;&lt;R&gt;0&lt;/R&gt;&lt;C&gt;0&lt;/C&gt;&lt;/FQL&gt;&lt;FQL&gt;&lt;Q&gt;ARW^FE_ESTIMATE(FCF,MEAN,CAL4,2023,45866,,,'')&lt;/Q&gt;&lt;R&gt;0&lt;/R&gt;&lt;C&gt;0&lt;/C&gt;&lt;/FQL&gt;&lt;FQL&gt;&lt;Q&gt;ARW^FE_ESTIMATE(FCF,MEAN,NTM4,,45866,,,'')&lt;/Q&gt;&lt;R&gt;0&lt;/R&gt;&lt;C&gt;0&lt;/C&gt;&lt;/FQL&gt;&lt;FQL&gt;&lt;Q&gt;ARW^FE_ESTIMATE(FCF,MEAN,LTM4,,45866,,,'')&lt;/Q&gt;&lt;R&gt;0&lt;/R&gt;&lt;C&gt;0&lt;/C&gt;&lt;/FQL&gt;&lt;FQL&gt;&lt;Q&gt;SNX^FE_ESTIMATE(FCF,MEAN,CAL4,2027,45866,,,'')&lt;/Q&gt;&lt;R&gt;0&lt;/R&gt;&lt;C&gt;0&lt;/C&gt;&lt;/FQL&gt;&lt;FQL&gt;&lt;Q&gt;SNX^FE_ESTIMATE(FCF,MEAN,CAL4,2026,45866,,,'')&lt;/Q&gt;&lt;R&gt;1&lt;/R&gt;&lt;C&gt;1&lt;/C&gt;&lt;D xsi:type="xsd:double"&gt;1236.9&lt;/D&gt;&lt;/FQL&gt;&lt;FQL&gt;&lt;Q&gt;SNX^FE_ESTIMATE(FCF,MEAN,CAL4,2025,45866,,,'')&lt;/Q&gt;&lt;R&gt;1&lt;/R&gt;&lt;C&gt;1&lt;/C&gt;&lt;D xsi:type="xsd:double"&gt;1098.517&lt;/D&gt;&lt;/FQL&gt;&lt;FQL&gt;&lt;Q&gt;SNX^FE_ESTIMATE(FCF,MEAN,CAL4,2024,45866,,,'')&lt;/Q&gt;&lt;R&gt;1&lt;/R&gt;&lt;C&gt;1&lt;/C&gt;&lt;D xsi:type="xsd:double"&gt;1042.612&lt;/D&gt;&lt;/FQL&gt;&lt;FQL&gt;&lt;Q&gt;SNX^FE_ESTIMATE(FCF,MEAN,CAL4,2023,45866,,,'')&lt;/Q&gt;&lt;R&gt;1&lt;/R&gt;&lt;C&gt;1&lt;/C&gt;&lt;D xsi:type="xsd:double"&gt;1257.366&lt;/D&gt;&lt;/FQL&gt;&lt;FQL&gt;&lt;Q&gt;SNX^FE_ESTIMATE(FCF,MEAN,NTM4,,45866,,,'')&lt;/Q&gt;&lt;R&gt;1&lt;/R&gt;&lt;C&gt;1&lt;/C&gt;&lt;D xsi:type="xsd:double"&gt;1682.7&lt;/D&gt;&lt;/FQL&gt;&lt;FQL&gt;&lt;Q&gt;SNX^FE_ESTIMATE(FCF,MEAN,LTM4,,45866,,,'')&lt;/Q&gt;&lt;R&gt;1&lt;/R&gt;&lt;C&gt;1&lt;/C&gt;&lt;D xsi:type="xsd:double"&gt;604.938&lt;/D&gt;&lt;/FQL&gt;&lt;FQL&gt;&lt;Q&gt;MSFT^FE_ESTIMATE(UFCF,MEAN,CALA_ROLL,2027,45866,,,'')&lt;/Q&gt;&lt;R&gt;0&lt;/R&gt;&lt;C&gt;0&lt;/C&gt;&lt;/FQL&gt;&lt;FQL&gt;&lt;Q&gt;MSFT^FE_ESTIMATE(UFCF,MEAN,CALA_ROLL,2026,45866,,,'')&lt;/Q&gt;&lt;R&gt;0&lt;/R&gt;&lt;C&gt;0&lt;/C&gt;&lt;/FQL&gt;&lt;FQL&gt;&lt;Q&gt;MSFT^FE_ESTIMATE(UFCF,MEAN,CALA_ROLL,2025,45866,,,'')&lt;/Q&gt;&lt;R&gt;0&lt;/R&gt;&lt;C&gt;0&lt;/C&gt;&lt;/FQL&gt;&lt;FQL&gt;&lt;Q&gt;MSFT^FE_ESTIMATE(UFCF,MEAN,CALA_ROLL,2024,45866,,,'')&lt;/Q&gt;&lt;R&gt;0&lt;/R&gt;&lt;C&gt;0&lt;/C&gt;&lt;/FQL&gt;&lt;FQL&gt;&lt;Q&gt;MSFT^FE_ESTIMATE(UFCF,MEAN,CALA_ROLL,2023,45866,,,'')&lt;/Q&gt;&lt;R&gt;0&lt;/R&gt;&lt;C&gt;0&lt;/C&gt;&lt;/FQL&gt;&lt;FQL&gt;&lt;Q&gt;MSFT^FE_ESTIMATE(UFCF,MEAN,NTM4,,45866,,,'')&lt;/Q&gt;&lt;R&gt;0&lt;/R&gt;&lt;C&gt;0&lt;/C&gt;&lt;/FQL&gt;&lt;FQL&gt;&lt;Q&gt;MSFT^FE_ESTIMATE(UFCF,MEAN,LTM4,,45866,,,'')&lt;/Q&gt;&lt;R&gt;0&lt;/R&gt;&lt;C&gt;0&lt;/C&gt;&lt;/FQL&gt;&lt;FQL&gt;&lt;Q&gt;NBIS^FE_ESTIMATE(FCF,MEAN,CAL4,2027,45866,,,'')&lt;/Q&gt;&lt;R&gt;0&lt;/R&gt;&lt;C&gt;0&lt;/C&gt;&lt;/FQL&gt;&lt;FQL&gt;&lt;Q&gt;NBIS^FE_ESTIMATE(FCF,MEAN,CAL4,2026,45866,,,'')&lt;/Q&gt;&lt;R&gt;0&lt;/R&gt;&lt;C&gt;0&lt;/C&gt;&lt;/FQL&gt;&lt;FQL&gt;&lt;Q&gt;NBIS^FE_ESTIMATE(FCF,MEAN,CAL4,2025,45866,,,'')&lt;/Q&gt;&lt;R&gt;1&lt;/R&gt;&lt;C&gt;1&lt;/C&gt;&lt;D xsi:type="xsd:double"&gt;-1806&lt;/D&gt;&lt;/FQL&gt;&lt;FQL&gt;&lt;Q&gt;NBIS^FE_ESTIMATE(FCF,MEAN,CAL4,2024,45866,,,'')&lt;/Q&gt;&lt;R&gt;0&lt;/R&gt;&lt;C&gt;0&lt;/C&gt;&lt;/FQL&gt;&lt;FQL&gt;&lt;Q&gt;NBIS^FE_ESTIMATE(FCF,MEAN,CAL4,2023,45866,,,'')&lt;/Q&gt;&lt;R&gt;0&lt;/R&gt;&lt;C&gt;0&lt;/C&gt;&lt;/FQL&gt;&lt;FQL&gt;&lt;Q&gt;NBIS^FE_ESTIMATE(FCF,MEAN,NTM4,,45866,,,'')&lt;/Q&gt;&lt;R&gt;0&lt;/R&gt;&lt;C&gt;0&lt;/C&gt;&lt;/FQL&gt;&lt;FQL&gt;&lt;Q&gt;NBIS^FE_ESTIMATE(FCF,MEAN,LTM4,,45866,,,'')&lt;/Q&gt;&lt;R&gt;0&lt;/R&gt;&lt;C&gt;0&lt;/C&gt;&lt;/FQL&gt;&lt;FQL&gt;&lt;Q&gt;DOCN^FE_ESTIMATE(FCF,MEAN,CALA_ROLL,2027,45866,,,'')&lt;/Q&gt;&lt;R&gt;1&lt;/R&gt;&lt;C&gt;1&lt;/C&gt;&lt;D xsi:type="xsd:double"&gt;213.58667&lt;/D&gt;&lt;/FQL&gt;&lt;FQL&gt;&lt;Q&gt;DOCN^FE_ESTIMATE(FCF,MEAN,CAL4,2026,45866,,,'')&lt;/Q&gt;&lt;R&gt;1&lt;/R&gt;&lt;C&gt;1&lt;/C&gt;&lt;D xsi:type="xsd:double"&gt;166.2633&lt;/D&gt;&lt;/FQL&gt;&lt;FQL&gt;&lt;Q&gt;DOCN^FE_ESTIMATE(FCF,MEAN,CAL4,2025,45866,,,'')&lt;/Q&gt;&lt;R&gt;1&lt;/R&gt;&lt;C&gt;1&lt;/C&gt;&lt;D xsi:type="xsd:double"&gt;147.48741&lt;/D&gt;&lt;/FQL&gt;&lt;FQL&gt;&lt;Q&gt;DOCN^FE_ESTIMATE(FCF,MEAN,CAL4,2024,45866,,,'')&lt;/Q&gt;&lt;R&gt;1&lt;/R&gt;&lt;C&gt;1&lt;/C&gt;&lt;D xsi:type="xsd:double"&gt;134.283&lt;/D&gt;&lt;/FQL&gt;&lt;FQL&gt;&lt;Q&gt;DOCN^FE_ESTIMATE(FCF,MEAN,CAL4,2023,45866,,,'')&lt;/Q&gt;&lt;R&gt;1&lt;/R&gt;&lt;C&gt;1&lt;/C&gt;&lt;D xsi:type="xsd:double"&gt;155.752&lt;/D&gt;&lt;/FQL&gt;&lt;FQL&gt;&lt;Q&gt;DOCN^FE_ESTIMATE(FCF,MEAN,NTM4,,45866,,,'')&lt;/Q&gt;&lt;R&gt;1&lt;/R&gt;&lt;C&gt;1&lt;/C&gt;&lt;D xsi:type="xsd:double"&gt;173.35701&lt;/D&gt;&lt;/FQL&gt;&lt;FQL&gt;&lt;Q&gt;DOCN^FE_ESTIMATE(FCF,MEAN,LTM4,,45866,,,'')&lt;/Q&gt;&lt;R&gt;1&lt;/R&gt;&lt;C&gt;1&lt;/C&gt;&lt;D xsi:type="xsd:double"&gt;100.761&lt;/D&gt;&lt;/FQL&gt;&lt;FQL&gt;&lt;Q&gt;GOOG^FE_ESTIMATE(FCF,MEAN,CALA_ROLL,2027,45866,,,'')&lt;/Q&gt;&lt;R&gt;1&lt;/R&gt;&lt;C&gt;1&lt;/C&gt;&lt;D xsi:type="xsd:double"&gt;104076.26&lt;/D&gt;&lt;/FQL&gt;&lt;FQL&gt;&lt;Q&gt;GOOG^FE_ESTIMATE(FCF,MEAN,CAL4,2026,45866,,,'')&lt;/Q&gt;&lt;R&gt;1&lt;/R&gt;&lt;C&gt;1&lt;/C&gt;&lt;D xsi:type="xsd:double"&gt;79035.414&lt;/D&gt;&lt;/FQL&gt;&lt;FQL&gt;&lt;Q&gt;GOOG^FE_ESTIMATE(FCF,MEAN,CAL4,2025,45866,,,'')&lt;/Q&gt;&lt;R&gt;1&lt;/R&gt;&lt;C&gt;1&lt;/C&gt;&lt;D xsi:type="xsd:double"&gt;62967.242&lt;/D&gt;&lt;/FQL&gt;&lt;FQL&gt;&lt;Q&gt;GOOG^FE_ESTIMATE(FCF,MEAN,CAL4,2024,45866,,,'')&lt;/Q&gt;&lt;R&gt;1&lt;/R&gt;&lt;C&gt;1&lt;/C&gt;&lt;D xsi:type="xsd:double"&gt;73062&lt;/D&gt;&lt;/FQL&gt;&lt;FQL&gt;&lt;Q&gt;GOOG^FE_ESTIMATE(FCF,MEAN,CAL4,2023,45866,,,'')&lt;/Q&gt;&lt;R&gt;1&lt;/R&gt;&lt;C&gt;1&lt;/C&gt;&lt;D xsi:type="xsd:double"&gt;69970.21&lt;/D&gt;&lt;/FQL&gt;&lt;FQL&gt;&lt;Q&gt;GOOG^FE_ESTIMATE(FCF,MEAN,NTM4,,45866,,,'')&lt;/Q&gt;&lt;R&gt;1&lt;/R&gt;&lt;C&gt;1&lt;/C&gt;&lt;D xsi:type="xsd:double"&gt;76384.65&lt;/D&gt;&lt;/FQL&gt;&lt;FQL&gt;&lt;Q&gt;GOOG^FE_ESTIMATE(FCF,MEAN,LTM4,,45866,,,'')&lt;/Q&gt;&lt;R&gt;1&lt;/R&gt;&lt;C&gt;1&lt;/C&gt;&lt;D xsi:type="xsd:double"&gt;66766.18&lt;/D&gt;&lt;/FQL&gt;&lt;FQL&gt;&lt;Q&gt;AMZN^FE_ESTIMATE(FCF,MEAN,CALA_ROLL,2027,45866,,,'')&lt;/Q&gt;&lt;R&gt;1&lt;/R&gt;&lt;C&gt;1&lt;/C&gt;&lt;D xsi:type="xsd:double"&gt;97949.234&lt;/D&gt;&lt;/FQL&gt;&lt;FQL&gt;&lt;Q&gt;AMZN^FE_ESTIMATE(FCF,MEAN,CAL4,2026,45866,,,'')&lt;/Q&gt;&lt;R&gt;1&lt;/R&gt;&lt;C&gt;1&lt;/C&gt;&lt;D xsi:type="xsd:double"&gt;41815.977&lt;/D&gt;&lt;/FQL&gt;&lt;FQL&gt;&lt;Q&gt;AMZN^FE_ESTIMATE(FCF,MEAN,CAL4,2025,45866,,,'')&lt;/Q&gt;&lt;R&gt;1&lt;/R&gt;&lt;C&gt;1&lt;/C&gt;&lt;D xsi:type="xsd:double"&gt;33951.24&lt;/D&gt;&lt;/FQL&gt;&lt;FQL&gt;&lt;Q&gt;AMZN^FE_ESTIMATE(FCF,MEAN,CAL4,2024,45866,,,'')&lt;/Q&gt;&lt;R&gt;1&lt;/R&gt;&lt;C&gt;1&lt;/C&gt;&lt;D xsi:type="xsd:double"&gt;37569.48&lt;/D&gt;&lt;/FQL&gt;&lt;FQL&gt;&lt;Q&gt;AMZN^FE_ESTIMATE(FCF,MEAN,CAL4,2023,45866,,,'')&lt;/Q&gt;&lt;R&gt;1&lt;/R&gt;&lt;C&gt;1&lt;/C&gt;&lt;D xsi:type="xsd:double"&gt;38765.21&lt;/D&gt;&lt;/FQL&gt;&lt;FQL&gt;&lt;Q&gt;AMZN^FE_ESTIMATE(FCF,MEAN,NTM4,,45866,,,'')&lt;/Q&gt;&lt;R&gt;1&lt;/R&gt;&lt;C&gt;1&lt;/C&gt;&lt;D xsi:type="xsd:double"&gt;37916.76&lt;/D&gt;&lt;/FQL&gt;&lt;FQL&gt;&lt;Q&gt;AMZN^FE_ESTIMATE(FCF,MEAN,LTM4,,45866,,,'')&lt;/Q&gt;&lt;R&gt;1&lt;/R&gt;&lt;C&gt;1&lt;/C&gt;&lt;D xsi:type="xsd:double"&gt;26185.16&lt;/D&gt;&lt;/FQL&gt;&lt;FQL&gt;&lt;Q&gt;ORCL^FE_ESTIMATE(FCF,MEAN,CALA_ROLL,2027,45866,,,'')&lt;/Q&gt;&lt;R&gt;1&lt;/R&gt;&lt;C&gt;1&lt;/C&gt;&lt;D xsi:type="xsd:double"&gt;4958.21&lt;/D&gt;&lt;/FQL&gt;&lt;FQL&gt;&lt;Q&gt;ORCL^FE_ESTIMATE(FCF,MEAN,CAL4,2026,45866,,,'')&lt;/Q&gt;&lt;R&gt;1&lt;/R&gt;&lt;C&gt;1&lt;/C&gt;&lt;D xsi:type="xsd:double"&gt;364.14505&lt;/D&gt;&lt;/FQL&gt;&lt;FQL&gt;&lt;Q&gt;ORCL^FE_ESTIMATE(FCF,MEAN,CAL4,2025,45866,,,'')&lt;/Q&gt;&lt;R&gt;1&lt;/R&gt;&lt;C&gt;1&lt;/C&gt;&lt;D xsi:type="xsd:double"&gt;-3742.365&lt;/D&gt;&lt;/FQL&gt;&lt;FQL&gt;&lt;Q&gt;ORCL^FE_ESTIMATE(FCF,MEAN,CAL4,2024,45866,,,'')&lt;/Q&gt;&lt;R&gt;1&lt;/R&gt;&lt;C&gt;1&lt;/C&gt;&lt;D xsi:type="xsd:double"&gt;9550.706&lt;/D&gt;&lt;/FQL&gt;&lt;FQL&gt;&lt;Q&gt;ORCL^FE_ESTIMATE(FCF,MEAN,CAL4,2023,45866,,,'')&lt;/Q&gt;&lt;R&gt;1&lt;/R&gt;&lt;C&gt;1&lt;/C&gt;&lt;D xsi:type="xsd:double"&gt;10035.492&lt;/D&gt;&lt;/FQL&gt;&lt;FQL&gt;&lt;Q&gt;ORCL^FE_ESTIMATE(FCF,MEAN,NTM4,,45866,,,'')&lt;/Q&gt;&lt;R&gt;1&lt;/R&gt;&lt;C&gt;1&lt;/C&gt;&lt;D xsi:type="xsd:double"&gt;-1168.7218&lt;/D&gt;&lt;/FQL&gt;&lt;FQL&gt;&lt;Q&gt;ORCL^FE_ESTIMATE(FCF,MEAN,LTM4,,45866,,,'')&lt;/Q&gt;&lt;R&gt;1&lt;/R&gt;&lt;C&gt;1&lt;/C&gt;&lt;D xsi:type="xsd:double"&gt;-394&lt;/D&gt;&lt;/FQL&gt;&lt;FQL&gt;&lt;Q&gt;IBM^FE_ESTIMATE(FCF,MEAN,CALA_ROLL,2027,45866,,,'')&lt;/Q&gt;&lt;R&gt;1&lt;/R&gt;&lt;C&gt;1&lt;/C&gt;&lt;D xsi:type="xsd:double"&gt;15430.75&lt;/D&gt;&lt;/FQL&gt;&lt;FQL&gt;&lt;Q&gt;IBM^FE_ESTIMATE(FCF,MEAN,CAL4,2026,45866,,,'')&lt;/Q&gt;&lt;R&gt;1&lt;/R&gt;&lt;C&gt;1&lt;/C&gt;&lt;D xsi:type="xsd:double"&gt;14573.5&lt;/D&gt;&lt;/FQL&gt;&lt;FQL&gt;&lt;Q&gt;IBM^FE_ESTIMATE(FCF,MEAN,CAL4,2025,45866,,,'')&lt;/Q&gt;&lt;R&gt;1&lt;/R&gt;&lt;C&gt;1&lt;/C&gt;&lt;D xsi:type="xsd:double"&gt;14010.417&lt;/D&gt;&lt;/FQL&gt;&lt;FQL&gt;&lt;Q&gt;IBM^FE_ESTIMATE(FCF,MEAN,CAL4,2024,45866,,,'')&lt;/Q&gt;&lt;R&gt;1&lt;/R&gt;&lt;C&gt;1&lt;/C&gt;&lt;D xsi:type="xsd:double"&gt;12749&lt;/D&gt;&lt;/FQL&gt;&lt;FQL&gt;&lt;Q&gt;IBM^FE_ESTIMATE(FCF,MEAN,CAL4,2023,45866,,,'')&lt;/Q&gt;&lt;R&gt;1&lt;/R&gt;&lt;C&gt;1&lt;/C&gt;&lt;D xsi:type="xsd:double"&gt;11210&lt;/D&gt;&lt;/FQL&gt;&lt;FQL&gt;&lt;Q&gt;IBM^FE_ESTIMATE(FCF,MEAN,NTM4,,45866,,,'')&lt;/Q&gt;&lt;R&gt;1&lt;/R&gt;&lt;C&gt;1&lt;/C&gt;&lt;D xsi:type="xsd:double"&gt;14838.917&lt;/D&gt;&lt;/FQL&gt;&lt;FQL&gt;&lt;Q&gt;IBM^FE_ESTIMATE(FCF,MEAN,LTM4,,45866,,,'')&lt;/Q&gt;&lt;R&gt;1&lt;/R&gt;&lt;C&gt;1&lt;/C&gt;&lt;D xsi:type="xsd:double"&gt;13034&lt;/D&gt;&lt;/FQL&gt;&lt;FQL&gt;&lt;Q&gt;EQIX^FE_ESTIMATE(FCF,MEAN,CALA_ROLL,2027,45866,,,'')&lt;/Q&gt;&lt;R&gt;1&lt;/R&gt;&lt;C&gt;1&lt;/C&gt;&lt;D xsi:type="xsd:double"&gt;48.975&lt;/D&gt;&lt;/FQL&gt;&lt;FQL&gt;&lt;Q&gt;EQIX^FE_ESTIMATE(FCF,MEAN,CAL4,2026,45866,,,'')&lt;/Q&gt;&lt;R&gt;1&lt;/R&gt;&lt;C&gt;1&lt;/C&gt;&lt;D xsi:type="xsd:double"&gt;50.951&lt;/D&gt;&lt;/FQL&gt;&lt;FQL&gt;&lt;Q&gt;EQIX^FE_ESTIMATE(FCF,MEAN,CAL4,2025,45866,,,'')&lt;/Q&gt;&lt;R&gt;1&lt;/R&gt;&lt;C&gt;1&lt;/C&gt;&lt;D xsi:type="xsd:double"&gt;626.3745&lt;/D&gt;&lt;/FQL&gt;&lt;FQL&gt;&lt;Q&gt;EQIX^FE_ESTIMATE(FCF,MEAN,CAL4,2024,45866,,,'')&lt;/Q&gt;&lt;R&gt;1&lt;/R&gt;&lt;C&gt;1&lt;/C&gt;&lt;D xsi:type="xsd:double"&gt;151.449&lt;/D&gt;&lt;/FQL&gt;&lt;FQL&gt;&lt;Q&gt;EQIX^FE_ESTIMATE(FCF,MEAN,CAL4,2023,45866,,,'')&lt;/Q&gt;&lt;R&gt;1&lt;/R&gt;&lt;C&gt;1&lt;/C&gt;&lt;D xsi:type="xsd:double"&gt;1506.067&lt;/D&gt;&lt;/FQL&gt;&lt;FQL&gt;&lt;Q&gt;EQIX^FE_ESTIMATE(FCF,MEAN,NTM4,,45866,,,'')&lt;/Q&gt;&lt;R&gt;1&lt;/R&gt;&lt;C&gt;1&lt;/C&gt;&lt;D xsi:type="xsd:double"&gt;549.081&lt;/D&gt;&lt;/FQL&gt;&lt;FQL&gt;&lt;Q&gt;EQIX^FE_ESTIMATE(FCF,MEAN,LTM4,,45866,,,'')&lt;/Q&gt;&lt;R&gt;1&lt;/R&gt;&lt;C&gt;1&lt;/C&gt;&lt;D xsi:type="xsd:double"&gt;493.98334&lt;/D&gt;&lt;/FQL&gt;&lt;FQL&gt;&lt;Q&gt;DLR^FE_ESTIMATE(FCF,MEAN,CALA_ROLL,2027,45866,,,'')&lt;/Q&gt;&lt;R&gt;1&lt;/R&gt;&lt;C&gt;1&lt;/C&gt;&lt;D xsi:type="xsd:double"&gt;-68.778&lt;/D&gt;&lt;/FQL&gt;&lt;FQL&gt;&lt;Q&gt;DLR^FE_ESTIMATE(FCF,MEAN,CALA_ROLL,2026,45866,,,'')&lt;/Q&gt;&lt;R&gt;1&lt;/R&gt;&lt;C&gt;1&lt;/C&gt;&lt;D xsi:type="xsd:double"&gt;-748.8734&lt;/D&gt;&lt;/FQL&gt;&lt;FQL&gt;&lt;Q&gt;DLR^FE_ESTIMATE(FCF,MEAN,CAL4,2025,45866,,,'')&lt;/Q&gt;&lt;R&gt;1&lt;/R&gt;&lt;C&gt;1&lt;/C&gt;&lt;D xsi:type="xsd:double"&gt;-889.1597&lt;/D&gt;&lt;/FQL&gt;&lt;FQL&gt;&lt;Q&gt;DLR^FE_ESTIMATE(FCF,MEAN,CALA_ROLL,2024,45866,,,'')&lt;/Q&gt;&lt;R&gt;1&lt;/R&gt;&lt;C&gt;1&lt;/C&gt;&lt;D xsi:type="xsd:double"&gt;772.316&lt;/D&gt;&lt;/FQL&gt;&lt;FQL&gt;&lt;Q&gt;DLR^FE_ESTIMATE(FCF,MEAN,CALA_ROLL,2023,45866,,,'')&lt;/Q&gt;&lt;R&gt;1&lt;/R&gt;&lt;C&gt;1&lt;/C&gt;&lt;D xsi:type="xsd:double"&gt;-1867.194&lt;/D&gt;&lt;/FQL&gt;&lt;FQL&gt;&lt;Q&gt;DLR^FE_ESTIMATE(FCF,MEAN,NTM4,,45866,,,'')&lt;/Q&gt;&lt;R&gt;1&lt;/R&gt;&lt;C&gt;1&lt;/C&gt;&lt;D xsi:type="xsd:double"&gt;-1288.6847&lt;/D&gt;&lt;/FQL&gt;&lt;FQL&gt;&lt;Q&gt;DLR^FE_ESTIMATE(FCF,MEAN,LTM4,,45866,,,'')&lt;/Q&gt;&lt;R&gt;1&lt;/R&gt;&lt;C&gt;1&lt;/C&gt;&lt;D xsi:type="xsd:double"&gt;-336.1245&lt;/D&gt;&lt;/FQL&gt;&lt;FQL&gt;&lt;Q&gt;CDW^FE_ESTIMATE(FCF,MEAN,CAL4,2027,45866,,,'')&lt;/Q&gt;&lt;R&gt;0&lt;/R&gt;&lt;C&gt;0&lt;/C&gt;&lt;/FQL&gt;&lt;FQL&gt;&lt;Q&gt;CDW^FE_ESTIMATE(FCF,MEAN,CAL4,2026,45866,,,'')&lt;/Q&gt;&lt;R&gt;0&lt;/R&gt;&lt;C&gt;0&lt;/C&gt;&lt;/FQL&gt;&lt;FQL&gt;&lt;Q&gt;CDW^FE_ESTIMATE(FCF,MEAN,CAL4,2025,45866,,,'')&lt;/Q&gt;&lt;R&gt;0&lt;/R&gt;&lt;C&gt;0&lt;/C&gt;&lt;/FQL&gt;&lt;FQL&gt;&lt;Q&gt;CDW^FE_ESTIMATE(FCF,MEAN,CAL4,2024,45866,,,'')&lt;/Q&gt;&lt;R&gt;0&lt;/R&gt;&lt;C&gt;0&lt;/C&gt;&lt;/FQL&gt;&lt;FQL&gt;&lt;Q&gt;CDW^FE_ESTIMATE(FCF,MEAN,CAL4,2023,45866,,,'')&lt;/Q&gt;&lt;R&gt;0&lt;/R&gt;&lt;C&gt;0&lt;/C&gt;&lt;/FQL&gt;&lt;FQL&gt;&lt;Q&gt;CDW^FE_ESTIMATE(FCF,MEAN,NTM4,,45866,,,'')&lt;/Q&gt;&lt;R&gt;0&lt;/R&gt;&lt;C&gt;0&lt;/C&gt;&lt;/FQL&gt;&lt;FQL&gt;&lt;Q&gt;CDW^FE_ESTIMATE(FCF,MEAN,LTM4,,45866,,,'')&lt;/Q&gt;&lt;R&gt;0&lt;/R&gt;&lt;C&gt;0&lt;/C&gt;&lt;/FQL&gt;&lt;FQL&gt;&lt;Q&gt;INGM^FE_ESTIMATE(FCF,MEAN,CAL4,2027,45866,,,'')&lt;/Q&gt;&lt;R&gt;0&lt;/R&gt;&lt;C&gt;0&lt;/C&gt;&lt;/FQL&gt;&lt;FQL&gt;&lt;Q&gt;INGM^FE_ESTIMATE(FCF,MEAN,CAL4,2026,45866,,,'')&lt;/Q&gt;&lt;R&gt;1&lt;/R&gt;&lt;C&gt;1&lt;/C&gt;&lt;D xsi:type="xsd:double"&gt;467.5&lt;/D&gt;&lt;/FQL&gt;&lt;FQL&gt;&lt;Q&gt;INGM^FE_ESTIMATE(FCF,MEAN,CAL4,2025,45866,,,'')&lt;/Q&gt;&lt;R&gt;1&lt;/R&gt;&lt;C&gt;1&lt;/C&gt;&lt;D xsi:type="xsd:double"&gt;282&lt;/D&gt;&lt;/FQL&gt;&lt;FQL&gt;&lt;Q&gt;INGM^FE_ESTIMATE(FCF,MEAN,CAL4,2024,45866,,,'')&lt;/Q&gt;&lt;R&gt;0&lt;/R&gt;&lt;C&gt;0&lt;/C&gt;&lt;/FQL&gt;&lt;FQL&gt;&lt;Q&gt;INGM^FE_ESTIMATE(FCF,MEAN,CAL4,2023,45866,,,'')&lt;/Q&gt;&lt;R&gt;0&lt;/R&gt;&lt;C&gt;0&lt;/C&gt;&lt;/FQL&gt;&lt;FQL&gt;&lt;Q&gt;INGM^FE_ESTIMATE(FCF,MEAN,NTM4,,45866,,,'')&lt;/Q&gt;&lt;R&gt;1&lt;/R&gt;&lt;C&gt;1&lt;/C&gt;&lt;D xsi:type="xsd:double"&gt;626.5&lt;/D&gt;&lt;/FQL&gt;&lt;FQL&gt;&lt;Q&gt;INGM^FE_ESTIMATE(FCF,MEAN,LTM4,,45866,,,'')&lt;/Q&gt;&lt;R&gt;1&lt;/R&gt;&lt;C&gt;1&lt;/C&gt;&lt;D xsi:type="xsd:double"&gt;288.225&lt;/D&gt;&lt;/FQL&gt;&lt;FQL&gt;&lt;Q&gt;AVT^FE_ESTIMATE(EPS_GAAP,MEAN,CAL4,2027,45866,,,'')&lt;/Q&gt;&lt;R&gt;0&lt;/R&gt;&lt;C&gt;0&lt;/C&gt;&lt;/FQL&gt;&lt;FQL&gt;&lt;Q&gt;AVT^FE_ESTIMATE(EPS_GAAP,MEAN,CAL4,2026,45866,,,'')&lt;/Q&gt;&lt;R&gt;0&lt;/R&gt;&lt;C&gt;0&lt;/C&gt;&lt;/FQL&gt;&lt;FQL&gt;&lt;Q&gt;AVT^FE_ESTIMATE(EPS_GAAP,MEAN,CAL4,2025,45866,,,'')&lt;/Q&gt;&lt;R&gt;1&lt;/R&gt;&lt;C&gt;1&lt;/C&gt;&lt;D xsi:type="xsd:double"&gt;3.4033334&lt;/D&gt;&lt;/FQL&gt;&lt;FQL&gt;&lt;Q&gt;AVT^FE_ESTIMATE(EPS_GAAP,MEAN,CAL4,2024,45866,,,'')&lt;/Q&gt;&lt;R&gt;1&lt;/R&gt;&lt;C&gt;1&lt;/C&gt;&lt;D xsi:type="xsd:double"&gt;3.53&lt;/D&gt;&lt;/FQL&gt;&lt;FQL&gt;&lt;Q&gt;AVT^FE_ESTIMATE(EPS_GAAP,MEAN,CAL4,2023,45866,,,'')&lt;/Q&gt;&lt;R&gt;1&lt;/R&gt;&lt;C&gt;1&lt;/C&gt;&lt;D xsi:type="xsd:double"&gt;7.24&lt;/D&gt;&lt;/FQL&gt;&lt;FQL&gt;&lt;Q&gt;AVT^FE_ESTIMATE(EPS_GAAP,MEAN,NTM4,,45866,,,'')&lt;/Q&gt;&lt;R&gt;1&lt;/R&gt;&lt;C&gt;1&lt;/C&gt;&lt;D xsi:type="xsd:double"&gt;3.6166666&lt;/D&gt;&lt;/FQL&gt;&lt;FQL&gt;&lt;Q&gt;AVT^FE_ESTIMATE(EPS_GAAP,MEAN,LTM4,,45866,,,'')&lt;/Q&gt;&lt;R&gt;1&lt;/R&gt;&lt;C&gt;1&lt;/C&gt;&lt;D xsi:type="xsd:double"&gt;3.57&lt;/D&gt;&lt;/FQL&gt;&lt;FQL&gt;&lt;Q&gt;ARW^FE_ESTIMATE(EPS_GAAP,MEAN,CALA_ROLL,2027,45866,,,'')&lt;/Q&gt;&lt;R&gt;0&lt;/R&gt;&lt;C&gt;0&lt;/C&gt;&lt;/FQL&gt;&lt;FQL&gt;&lt;Q&gt;ARW^FE_ESTIMATE(EPS_GAAP,MEAN,CAL4,2026,45866,,,'')&lt;/Q&gt;&lt;R&gt;1&lt;/R&gt;&lt;C&gt;1&lt;/C&gt;&lt;D xsi:type="xsd:double"&gt;12.07&lt;/D&gt;&lt;/FQL&gt;&lt;FQL&gt;&lt;Q&gt;ARW^FE_ESTIMATE(EPS_GAAP,MEAN,CAL4,2025,45866,,,'')&lt;/Q&gt;&lt;R&gt;1&lt;/R&gt;&lt;C&gt;1&lt;/C&gt;&lt;D xsi:type="xsd:double"&gt;9.676666&lt;/D&gt;&lt;/FQL&gt;&lt;FQL&gt;&lt;Q&gt;ARW^FE_ESTIMATE(EPS_GAAP,MEAN,CAL4,2024,45866,,,'')&lt;/Q&gt;&lt;R&gt;1&lt;/R&gt;&lt;C&gt;1&lt;/C&gt;&lt;D xsi:type="xsd:double"&gt;7.28&lt;/D&gt;&lt;/FQL&gt;&lt;FQL&gt;&lt;Q&gt;ARW^FE_ESTIMATE(EPS_GAAP,MEAN,CAL4,2023,45866,,,'')&lt;/Q&gt;&lt;R&gt;1&lt;/R&gt;&lt;C&gt;1&lt;/C&gt;&lt;D xsi:type="xsd:double"&gt;15.79&lt;/D&gt;&lt;/FQL&gt;&lt;FQL&gt;&lt;Q&gt;ARW^FE_ESTIMATE(EPS_GAAP,MEAN,NTM4,,45866,,,'')&lt;/Q&gt;&lt;R&gt;1&lt;/R&gt;&lt;C&gt;1&lt;/C&gt;&lt;D xsi:type="xsd:double"&gt;10.706667&lt;/D&gt;&lt;/FQL&gt;&lt;FQL&gt;&lt;Q&gt;ARW^FE_ESTIMATE(EPS_GAAP,MEAN,LTM4,,45866,,,'')&lt;/Q&gt;&lt;R&gt;1&lt;/R&gt;&lt;C&gt;1&lt;/C&gt;&lt;D xsi:type="xsd:double"&gt;7.26&lt;/D&gt;&lt;/FQL&gt;&lt;FQL&gt;&lt;Q&gt;SNX^FE_ESTIMATE(EPS_GAAP,MEAN,CAL4,2027,45866,,,'')&lt;/Q&gt;&lt;R&gt;1&lt;/R&gt;&lt;C&gt;1&lt;/C&gt;&lt;D xsi:type="xsd:double"&gt;11.180102&lt;/D&gt;&lt;/FQL&gt;&lt;FQL&gt;&lt;Q&gt;SNX^FE_ESTIMATE(EPS_GAAP,MEAN,CAL4,2026,45866,,,'')&lt;/Q&gt;&lt;R&gt;1&lt;/R&gt;&lt;C&gt;1&lt;/C&gt;&lt;D xsi:type="xsd:double"&gt;10.078528&lt;/D&gt;&lt;/FQL&gt;&lt;FQL&gt;&lt;Q&gt;SNX^FE_ESTIMATE(EPS_GAAP,MEAN,CAL4,2025,45866,,,'')&lt;/Q&gt;&lt;R&gt;1&lt;/R&gt;&lt;C&gt;1&lt;/C&gt;&lt;D xsi:type="xsd:double"&gt;8.895647&lt;/D&gt;&lt;/FQL&gt;&lt;FQL&gt;&lt;Q&gt;SNX^FE_ESTIMATE(EPS_GAAP,MEAN,CAL4,2024,45866,,,'')&lt;/Q&gt;&lt;R&gt;1&lt;/R&gt;&lt;C&gt;1&lt;/C&gt;&lt;D xsi:type="xsd:double"&gt;7.96&lt;/D&gt;&lt;/FQL&gt;&lt;FQL&gt;&lt;Q&gt;SNX^FE_ESTIMATE(EPS_GAAP,MEAN,CAL4,2023,45866,,,'')&lt;/Q&gt;&lt;R&gt;1&lt;/R&gt;&lt;C&gt;1&lt;/C&gt;&lt;D xsi:type="xsd:double"&gt;6.71&lt;/D&gt;&lt;/FQL&gt;&lt;FQL&gt;&lt;Q&gt;SNX^FE_ESTIMATE(EPS_GAAP,MEAN,NTM4,,45866,,,'')&lt;/Q&gt;&lt;R&gt;1&lt;/R&gt;&lt;C&gt;1&lt;/C&gt;&lt;D xsi:type="xsd:double"&gt;9.428537&lt;/D&gt;&lt;/FQL&gt;&lt;FQL&gt;&lt;Q&gt;SNX^FE_ESTIMATE(EPS_GAAP,MEAN,LTM4,,45866,,,'')&lt;/Q&gt;&lt;R&gt;1&lt;/R&gt;&lt;C&gt;1&lt;/C&gt;&lt;D xsi:type="xsd:double"&gt;8.56&lt;/D&gt;&lt;/FQL&gt;&lt;FQL&gt;&lt;Q&gt;CDW^FE_ESTIMATE(EPS_GAAP,MEAN,CALA_ROLL,2027,45866,,,'')&lt;/Q&gt;&lt;R&gt;1&lt;/R&gt;&lt;C&gt;1&lt;/C&gt;&lt;D xsi:type="xsd:double"&gt;10.737014&lt;/D&gt;&lt;/FQL&gt;&lt;FQL&gt;&lt;Q&gt;CDW^FE_ESTIMATE(EPS_GAAP,MEAN,CAL4,2026,45866,,,'')&lt;/Q&gt;&lt;R&gt;1&lt;/R&gt;&lt;C&gt;1&lt;/C&gt;&lt;D xsi:type="xsd:double"&gt;9.006077&lt;/D&gt;&lt;/FQL&gt;&lt;FQL&gt;&lt;Q&gt;CDW^FE_ESTIMATE(EPS_GAAP,MEAN,CAL4,2025,45866,,,'')&lt;/Q&gt;&lt;R&gt;1&lt;/R&gt;&lt;C&gt;1&lt;/C&gt;&lt;D xsi:type="xsd:double"&gt;8.194067&lt;/D&gt;&lt;/FQL&gt;&lt;FQL&gt;&lt;Q&gt;CDW^FE_ESTIMATE(EPS_GAAP,MEAN,CAL4,2024,45866,,,'')&lt;/Q&gt;&lt;R&gt;1&lt;/R&gt;&lt;C&gt;1&lt;/C&gt;&lt;D xsi:type="xsd:double"&gt;7.97&lt;/D&gt;&lt;/FQL&gt;&lt;FQL&gt;&lt;Q&gt;CDW^FE_ESTIMATE(EPS_GAAP,MEAN,CAL4,2023,45866,,,'')&lt;/Q&gt;&lt;R&gt;1&lt;/R&gt;&lt;C&gt;1&lt;/C&gt;&lt;D xsi:type="xsd:double"&gt;8.1&lt;/D&gt;&lt;/FQL&gt;&lt;FQL&gt;&lt;Q&gt;CDW^FE_ESTIMATE(EPS_GAAP,MEAN,NTM4,,45866,,,'')&lt;/Q&gt;&lt;R&gt;1&lt;/R&gt;&lt;C&gt;1&lt;/C&gt;&lt;D xsi:type="xsd:double"&gt;8.387588&lt;/D&gt;&lt;/FQL&gt;&lt;FQL&gt;&lt;Q&gt;CDW^FE_ESTIMATE(EPS_GAAP,MEAN,LTM4,,45866,,,'')&lt;/Q&gt;&lt;R&gt;1&lt;/R&gt;&lt;C&gt;1&lt;/C&gt;&lt;D xsi:type="xsd:double"&gt;8.07&lt;/D&gt;&lt;/FQL&gt;&lt;FQL&gt;&lt;Q&gt;INGM^FE_ESTIMATE(EPS_GAAP,MEAN,CALA_ROLL,2027,45866,,,'')&lt;/Q&gt;&lt;R&gt;1&lt;/R&gt;&lt;C&gt;1&lt;/C&gt;&lt;D xsi:type="xsd:double"&gt;2.8198502&lt;/D&gt;&lt;/FQL&gt;&lt;FQL&gt;&lt;Q&gt;INGM^FE_ESTIMATE(EPS_GAAP,MEAN,CAL4,2026,45866,,,'')&lt;/Q&gt;&lt;R&gt;1&lt;/R&gt;&lt;C&gt;1&lt;/C&gt;&lt;D xsi:type="xsd:double"&gt;2.7113333&lt;/D&gt;&lt;/FQL&gt;&lt;FQL&gt;&lt;Q&gt;INGM^FE_ESTIMATE(EPS_GAAP,MEAN,CAL4,2025,45866,,,'')&lt;/Q&gt;&lt;R&gt;1&lt;/R&gt;&lt;C&gt;1&lt;/C&gt;&lt;D xsi:type="xsd:double"&gt;2.1725361&lt;/D&gt;&lt;/FQL&gt;&lt;FQL&gt;&lt;Q&gt;INGM^FE_ESTIMATE(EPS_GAAP,MEAN,CAL4,2024,45866,,,'')&lt;/Q&gt;&lt;R&gt;0&lt;/R&gt;&lt;C&gt;0&lt;/C&gt;&lt;/FQL&gt;&lt;FQL&gt;&lt;Q&gt;INGM^FE_ESTIMATE(EPS_GAAP,MEAN,CAL4,2023,45866,,,'')&lt;/Q&gt;&lt;R&gt;0&lt;/R&gt;&lt;C&gt;0&lt;/C&gt;&lt;/FQL&gt;&lt;FQL&gt;&lt;Q&gt;INGM^FE_ESTIMATE(EPS_GAAP,MEAN,NTM4,,45866,,,'')&lt;/Q&gt;&lt;R&gt;1&lt;/R&gt;&lt;C&gt;1&lt;/C&gt;&lt;D xsi:type="xsd:double"&gt;2.4205363&lt;/D&gt;&lt;/FQL&gt;&lt;FQL&gt;&lt;Q&gt;INGM^FE_ESTIMATE(EPS_GAAP,MEAN,LTM4,,45866,,,'')&lt;/Q&gt;&lt;R&gt;1&lt;/R&gt;&lt;C&gt;1&lt;/C&gt;&lt;D xsi:type="xsd:double"&gt;1.3451453&lt;/D&gt;&lt;/FQL&gt;&lt;FQL&gt;&lt;Q&gt;NBIS^FE_ESTIMATE(EPS_GAAP,MEAN,CALA_ROLL,2027,45866,,,'')&lt;/Q&gt;&lt;R&gt;0&lt;/R&gt;&lt;C&gt;0&lt;/C&gt;&lt;/FQL&gt;&lt;FQL&gt;&lt;Q&gt;NBIS^FE_ESTIMATE(EPS_GAAP,MEAN,CAL4,2026,45866,,,'')&lt;/Q&gt;&lt;R&gt;1&lt;/R&gt;&lt;C&gt;1&lt;/C&gt;&lt;D xsi:type="xsd:double"&gt;-0.115&lt;/D&gt;&lt;/FQL&gt;&lt;FQL&gt;&lt;Q&gt;NBIS^FE_ESTIMATE(EPS_GAAP,MEAN,CAL4,2025,45866,,,'')&lt;/Q&gt;&lt;R&gt;1&lt;/R&gt;&lt;C&gt;1&lt;/C&gt;&lt;D xsi:type="xsd:double"&gt;-1.26&lt;/D&gt;&lt;/FQL&gt;&lt;FQL&gt;&lt;Q&gt;NBIS^FE_ESTIMATE(EPS_GAAP,MEAN,CAL4,2024,45866,,,'')&lt;/Q&gt;&lt;R&gt;0&lt;/R&gt;&lt;C&gt;0&lt;/C&gt;&lt;/FQL&gt;&lt;FQL&gt;&lt;Q&gt;NBIS^FE_ESTIMATE(EPS_GAAP,MEAN,CAL4,2023,45866,,,'')&lt;/Q&gt;&lt;R&gt;0&lt;/R&gt;&lt;C&gt;0&lt;/C&gt;&lt;/FQL&gt;&lt;FQL&gt;&lt;Q&gt;NBIS^FE_ESTIMATE(EPS_GAAP,MEAN,NTM4,,45866,,,'')&lt;/Q&gt;&lt;R&gt;1&lt;/R&gt;&lt;C&gt;1&lt;/C&gt;&lt;D xsi:type="xsd:double"&gt;-0.86&lt;/D&gt;&lt;/FQL&gt;&lt;FQL&gt;&lt;Q&gt;NBIS^FE_ESTIMATE(EPS_GAAP,MEAN,LTM4,,45866,,,'')&lt;/Q&gt;&lt;R&gt;0&lt;/R&gt;&lt;C&gt;0&lt;/C&gt;&lt;/FQL&gt;&lt;FQL&gt;&lt;Q&gt;DOCN^FE_ESTIMATE(EPS_GAAP,MEAN,CALA_ROLL,2027,45866,,,'')&lt;/Q&gt;&lt;R&gt;1&lt;/R&gt;&lt;C&gt;1&lt;/C&gt;&lt;D xsi:type="xsd:double"&gt;1.38&lt;/D&gt;&lt;/FQL&gt;&lt;FQL&gt;&lt;Q&gt;DOCN^FE_ESTIMATE(EPS_GAAP,MEAN,CAL4,2026,45866,,,'')&lt;/Q&gt;&lt;R&gt;0&lt;/R&gt;&lt;C&gt;0&lt;/C&gt;&lt;/FQL&gt;&lt;FQL&gt;&lt;Q&gt;DOCN^FE_ESTIMATE(EPS_GAAP,MEAN,CAL4,2025,45866,,,'')&lt;/Q&gt;&lt;R&gt;1&lt;/R&gt;&lt;C&gt;1&lt;/C&gt;&lt;D xsi:type="xsd:double"&gt;1&lt;/D&gt;&lt;/FQL&gt;&lt;FQL&gt;&lt;Q&gt;DOCN^FE_ESTIMATE(EPS_GAAP,MEAN,CAL4,2024,45866,,,'')&lt;/Q&gt;&lt;R&gt;1&lt;/R&gt;&lt;C&gt;1&lt;/C&gt;&lt;D xsi:type="xsd:double"&gt;0.87&lt;/D&gt;&lt;/FQL&gt;&lt;FQL&gt;&lt;Q&gt;DOCN^FE_ESTIMATE(EPS_GAAP,MEAN,CAL4,2023,45866,,,'')&lt;/Q&gt;&lt;R&gt;1&lt;/R&gt;&lt;C&gt;1&lt;/C&gt;&lt;D xsi:type="xsd:double"&gt;0.013333334&lt;/D&gt;&lt;/FQL&gt;&lt;FQL&gt;&lt;Q&gt;DOCN^FE_ESTIMATE(EPS_GAAP,MEAN,NTM4,,45866,,,'')&lt;/Q&gt;&lt;R&gt;0&lt;/R&gt;&lt;C&gt;0&lt;/C&gt;&lt;/FQL&gt;&lt;FQL&gt;&lt;Q&gt;DOCN^FE_ESTIMATE(EPS_GAAP,MEAN,LTM4,,45866,,,'')&lt;/Q&gt;&lt;R&gt;1&lt;/R&gt;&lt;C&gt;1&lt;/C&gt;&lt;D xsi:type="xsd:double"&gt;1.11&lt;/D&gt;&lt;/FQL&gt;&lt;FQL&gt;&lt;Q&gt;GOOG^FE_ESTIMATE(EPS_GAAP,MEAN,CALA_ROLL,2027,45866,,,'')&lt;/Q&gt;&lt;R&gt;1&lt;/R&gt;&lt;C&gt;1&lt;/C&gt;&lt;D xsi:type="xsd:double"&gt;11.938481&lt;/D&gt;&lt;/FQL&gt;&lt;FQL&gt;&lt;Q&gt;GOOG^FE_ESTIMATE(EPS_GAAP,MEAN,CAL4,2026,45866,,,'')&lt;/Q&gt;&lt;R&gt;1&lt;/R&gt;&lt;C&gt;1&lt;/C&gt;&lt;D xsi:type="xsd:double"&gt;10.55045&lt;/D&gt;&lt;/FQL&gt;&lt;FQL&gt;&lt;Q&gt;GOOG^FE_ESTIMATE(EPS_GAAP,MEAN,CAL4,2025,45866,,,'')&lt;/Q&gt;&lt;R&gt;1&lt;/R&gt;&lt;C&gt;1&lt;/C&gt;&lt;D xsi:type="xsd:double"&gt;9.9862795&lt;/D&gt;&lt;/FQL&gt;&lt;FQL&gt;&lt;Q&gt;GOOG^FE_ESTIMATE(EPS_GAAP,MEAN,CAL4,2024,45866,,,'')&lt;/Q&gt;&lt;R&gt;1&lt;/R&gt;&lt;C&gt;1&lt;/C&gt;&lt;D xsi:type="xsd:double"&gt;8.05&lt;/D&gt;&lt;/FQL&gt;&lt;FQL&gt;&lt;Q&gt;GOOG^FE_ESTIMATE(EPS_GAAP,MEAN,CAL4,2023,45866,,,'')&lt;/Q&gt;&lt;R&gt;1&lt;/R&gt;&lt;C&gt;1&lt;/C&gt;&lt;D xsi:type="xsd:double"&gt;5.8&lt;/D&gt;&lt;/FQL&gt;&lt;FQL&gt;&lt;Q&gt;GOOG^FE_ESTIMATE(EPS_GAAP,MEAN,NTM4,,45866,,,'')&lt;/Q&gt;&lt;R&gt;1&lt;/R&gt;&lt;C&gt;1&lt;/C&gt;&lt;D xsi:type="xsd:double"&gt;9.874495&lt;/D&gt;&lt;/FQL&gt;&lt;FQL&gt;&lt;Q&gt;GOOG^FE_ESTIMATE(EPS_GAAP,MEAN,LTM4,,45866,,,'')&lt;/Q&gt;&lt;R&gt;1&lt;/R&gt;&lt;C&gt;1&lt;/C&gt;&lt;D xsi:type="xsd:double"&gt;9.39&lt;/D&gt;&lt;/FQL&gt;&lt;FQL&gt;&lt;Q&gt;AMZN^FE_ESTIMATE(EPS_GAAP,MEAN,CALA_ROLL,2027,45866,,,'')&lt;/Q&gt;&lt;R&gt;1&lt;/R&gt;&lt;C&gt;1&lt;/C&gt;&lt;D xsi:type="xsd:double"&gt;9.027406&lt;/D&gt;&lt;/FQL&gt;&lt;FQL&gt;&lt;Q&gt;AMZN^FE_ESTIMATE(EPS_GAAP,MEAN,CAL4,2026,45866,,,'')&lt;/Q&gt;&lt;R&gt;1&lt;/R&gt;&lt;C&gt;1&lt;/C&gt;&lt;D xsi:type="xsd:double"&gt;7.333449&lt;/D&gt;&lt;/FQL&gt;&lt;FQL&gt;&lt;Q&gt;AMZN^FE_ESTIMATE(EPS_GAAP,MEAN,CAL4,2025,45866,,,'')&lt;/Q&gt;&lt;R&gt;1&lt;/R&gt;&lt;C&gt;1&lt;/C&gt;&lt;D xsi:type="xsd:double"&gt;6.240521&lt;/D&gt;&lt;/FQL&gt;&lt;FQL&gt;&lt;Q&gt;AMZN^FE_ESTIMATE(EPS_GAAP,MEAN,CAL4,2024,45866,,,'')&lt;/Q&gt;&lt;R&gt;1&lt;/R&gt;&lt;C&gt;1&lt;/C&gt;&lt;D xsi:type="xsd:double"&gt;5.53&lt;/D&gt;&lt;/FQL&gt;&lt;FQL&gt;&lt;Q&gt;AMZN^FE_ESTIMATE(EPS_GAAP,MEAN,CAL4,2023,45866,,,'')&lt;/Q&gt;&lt;R&gt;1&lt;/R&gt;&lt;C&gt;1&lt;/C&gt;&lt;D xsi:type="xsd:double"&gt;2.9&lt;/D&gt;&lt;/FQL&gt;&lt;FQL&gt;&lt;Q&gt;AMZN^FE_ESTIMATE(EPS_GAAP,MEAN,NTM4,,45866,,,'')&lt;/Q&gt;&lt;R&gt;1&lt;/R&gt;&lt;C&gt;1&lt;/C&gt;&lt;D xsi:type="xsd:double"&gt;6.3375134&lt;/D&gt;&lt;/FQL&gt;&lt;FQL&gt;&lt;Q&gt;AMZN^FE_ESTIMATE(EPS_GAAP,MEAN,LTM4,,45866,,,'')&lt;/Q&gt;&lt;R&gt;1&lt;/R&gt;&lt;C&gt;1&lt;/C&gt;&lt;D xsi:type="xsd:double"&gt;6.14&lt;/D&gt;&lt;/FQL&gt;&lt;FQL&gt;&lt;Q&gt;ORCL^FE_ESTIMATE(EPS_GAAP,MEAN,CALA_ROLL,2027,45866,,,'')&lt;/Q&gt;&lt;R&gt;1&lt;/R&gt;&lt;C&gt;1&lt;/C&gt;&lt;D xsi:type="xsd:double"&gt;7.139203&lt;/D&gt;&lt;/FQL&gt;&lt;FQL&gt;&lt;Q&gt;ORCL^FE_ESTIMATE(EPS_GAAP,MEAN,CAL4,2026,45866,,,'')&lt;/Q&gt;&lt;R&gt;1&lt;/R&gt;&lt;C&gt;1&lt;/C&gt;&lt;D xsi:type="xsd:double"&gt;5.6569524&lt;/D&gt;&lt;/FQL&gt;&lt;FQL&gt;&lt;Q&gt;ORCL^FE_ESTIMATE(EPS_GAAP,MEAN,CAL4,2025,45866,,,'')&lt;/Q&gt;&lt;R&gt;1&lt;/R&gt;&lt;C&gt;1&lt;/C&gt;&lt;D xsi:type="xsd:double"&gt;4.430102&lt;/D&gt;&lt;/FQL&gt;&lt;FQL&gt;&lt;Q&gt;ORCL^FE_ESTIMATE(EPS_GAAP,MEAN,CAL4,2024,45866,,,'')&lt;/Q&gt;&lt;R&gt;1&lt;/R&gt;&lt;C&gt;1&lt;/C&gt;&lt;D xsi:type="xsd:double"&gt;4.09&lt;/D&gt;&lt;/FQL&gt;&lt;FQL&gt;&lt;Q&gt;ORCL^FE_ESTIMATE(EPS_GAAP,MEAN,CAL4,2023,45866,,,'')&lt;/Q&gt;&lt;R&gt;1&lt;/R&gt;&lt;C&gt;1&lt;/C&gt;&lt;D xsi:type="xsd:double"&gt;3.62&lt;/D&gt;&lt;/FQL&gt;&lt;FQL&gt;&lt;Q&gt;ORCL^FE_ESTIMATE(EPS_GAAP,MEAN,NTM4,,45866,,,'')&lt;/Q&gt;&lt;R&gt;1&lt;/R&gt;&lt;C&gt;1&lt;/C&gt;&lt;D xsi:type="xsd:double"&gt;4.9593353&lt;/D&gt;&lt;/FQL&gt;&lt;FQL&gt;&lt;Q&gt;ORCL^FE_ESTIMATE(EPS_GAAP,MEAN,LTM4,,45866,,,'')&lt;/Q&gt;&lt;R&gt;1&lt;/R&gt;&lt;C&gt;1&lt;/C&gt;&lt;D xsi:type="xsd:double"&gt;4.34&lt;/D&gt;&lt;/FQL&gt;&lt;FQL&gt;&lt;Q&gt;IBM^FE_ESTIMATE(EPS_GAAP,MEAN,CALA_ROLL,2027,45866,,,'')&lt;/Q&gt;&lt;R&gt;1&lt;/R&gt;&lt;C&gt;1&lt;/C&gt;&lt;D xsi:type="xsd:double"&gt;10.958709&lt;/D&gt;&lt;/FQL&gt;&lt;FQL&gt;&lt;Q&gt;IBM^FE_ESTIMATE(EPS_GAAP,MEAN,CALA_ROLL,2026,45866,,,'')&lt;/Q&gt;&lt;R&gt;1&lt;/R&gt;&lt;C&gt;1&lt;/C&gt;&lt;D xsi:type="xsd:double"&gt;10.344925&lt;/D&gt;&lt;/FQL&gt;&lt;FQL&gt;&lt;Q&gt;IBM^FE_ESTIMATE(EPS_GAAP,MEAN,CAL4,2025,45866,,,'')&lt;/Q&gt;&lt;R&gt;1&lt;/R&gt;&lt;C&gt;1&lt;/C&gt;&lt;D xsi:type="xsd:double"&gt;9.393333&lt;/D&gt;&lt;/FQL&gt;&lt;FQL&gt;&lt;Q&gt;IBM^FE_ESTIMATE(EPS_GAAP,MEAN,CAL4,2024,45866,,,'')&lt;/Q&gt;&lt;R&gt;1&lt;/R&gt;&lt;C&gt;1&lt;/C&gt;&lt;D xsi:type="xsd:double"&gt;6.42&lt;/D&gt;&lt;/FQL&gt;&lt;FQL&gt;&lt;Q&gt;IBM^FE_ESTIMATE(EPS_GAAP,MEAN,CAL4,2023,45866,,,'')&lt;/Q&gt;&lt;R&gt;1&lt;/R&gt;&lt;C&gt;1&lt;/C&gt;&lt;D xsi:type="xsd:double"&gt;8.14&lt;/D&gt;&lt;/FQL&gt;&lt;FQL&gt;&lt;Q&gt;IBM^FE_ESTIMATE(EPS_GAAP,MEAN,NTM4,,45866,,,'')&lt;/Q&gt;&lt;R&gt;1&lt;/R&gt;&lt;C&gt;1&lt;/C&gt;&lt;D xsi:type="xsd:double"&gt;9.83&lt;/D&gt;&lt;/FQL&gt;&lt;FQL&gt;&lt;Q&gt;IBM^FE_ESTIMATE(EPS_GAAP,MEAN,LTM4,,45866,,,'')&lt;/Q&gt;&lt;R&gt;1&lt;/R&gt;&lt;C&gt;1&lt;/C&gt;&lt;D xsi:type="xsd:double"&gt;6.2&lt;/D&gt;&lt;/FQL&gt;&lt;FQL&gt;&lt;Q&gt;EQIX^FE_ESTIMATE(EPS_GAAP,MEAN,CALA_ROLL,2027,45866,,,'')&lt;/Q&gt;&lt;R&gt;1&lt;/R&gt;&lt;C&gt;1&lt;/C&gt;&lt;D xsi:type="xsd:double"&gt;15.635382&lt;/D&gt;&lt;/FQL&gt;&lt;FQL&gt;&lt;Q&gt;EQIX^FE_ESTIMATE(EPS_GAAP,MEAN,CAL4,2026,45866,,,'')&lt;/Q&gt;&lt;R&gt;1&lt;/R&gt;&lt;C&gt;1&lt;/C&gt;&lt;D xsi:type="xsd:double"&gt;15.784667&lt;/D&gt;&lt;/FQL&gt;&lt;FQL&gt;&lt;Q&gt;EQIX^FE_ESTIMATE(EPS_GAAP,MEAN,CAL4,2025,45866,,,'')&lt;/Q&gt;&lt;R&gt;1&lt;/R&gt;&lt;C&gt;1&lt;/C&gt;&lt;D xsi:type="xsd:double"&gt;14.569813&lt;/D&gt;&lt;/FQL&gt;&lt;FQL&gt;&lt;Q&gt;EQIX^FE_ESTIMATE(EPS_GAAP,MEAN,CAL4,2024,45866,,,'')&lt;/Q&gt;&lt;R&gt;1&lt;/R&gt;&lt;C&gt;1&lt;/C&gt;&lt;D xsi:type="xsd:double"&gt;8.55&lt;/D&gt;&lt;/FQL&gt;&lt;FQL&gt;&lt;Q&gt;EQIX^FE_ESTIMATE(EPS_GAAP,MEAN,CAL4,2023,45866,,,'')&lt;/Q&gt;&lt;R&gt;1&lt;/R&gt;&lt;C&gt;1&lt;/C&gt;&lt;D xsi:type="xsd:double"&gt;10.31&lt;/D&gt;&lt;/FQL&gt;&lt;FQL&gt;&lt;Q&gt;EQIX^FE_ESTIMATE(EPS_GAAP,MEAN,NTM4,,45866,,,'')&lt;/Q&gt;&lt;R&gt;1&lt;/R&gt;&lt;C&gt;1&lt;/C&gt;&lt;D xsi:type="xsd:double"&gt;14.846479&lt;/D&gt;&lt;/FQL&gt;&lt;FQL&gt;&lt;Q&gt;EQIX^FE_ESTIMATE(EPS_GAAP,MEAN,LTM4,,45866,,,'')&lt;/Q&gt;&lt;R&gt;1&lt;/R&gt;&lt;C&gt;1&lt;/C&gt;&lt;D xsi:type="xsd:double"&gt;9.62&lt;/D&gt;&lt;/FQL&gt;&lt;FQL&gt;&lt;Q&gt;SNX^FE_ESTIMATE(EBITDA,MEAN,CAL4,2027,45866,,,'')&lt;/Q&gt;&lt;R&gt;1&lt;/R&gt;&lt;C&gt;1&lt;/C&gt;&lt;D xsi:type="xsd:double"&gt;1956.4778&lt;/D&gt;&lt;/FQL&gt;&lt;FQL&gt;&lt;Q&gt;SNX^FE_ESTIMATE(EBITDA,MEAN,CAL4,2026,45866,,,'')&lt;/Q&gt;&lt;R&gt;1&lt;/R&gt;&lt;C&gt;1&lt;/C&gt;&lt;D xsi:type="xsd:double"&gt;1851.6523&lt;/D&gt;&lt;/FQL&gt;&lt;FQL&gt;&lt;Q&gt;SNX^FE_ESTIMATE(EBITDA,MEAN,CAL4,2025,45866,,,'')&lt;/Q&gt;&lt;R&gt;1&lt;/R&gt;&lt;C&gt;1&lt;/C&gt;&lt;D xsi:type="xsd:double"&gt;1783.9556&lt;/D&gt;&lt;/FQL&gt;&lt;FQL&gt;&lt;Q&gt;SNX^FE_ESTIMATE(EBITDA,MEAN,CAL4,2024,45866,,,'')&lt;/Q&gt;&lt;R&gt;1&lt;/R&gt;&lt;C&gt;1&lt;/C&gt;&lt;D xsi:type="xsd:double"&gt;1739.1866&lt;/D&gt;&lt;/FQL&gt;&lt;FQL&gt;&lt;Q&gt;SNX^FE_ESTIMATE(EBITDA,MEAN,CAL4,2023,45866,,,'')&lt;/Q&gt;&lt;R&gt;1&lt;/R&gt;&lt;C&gt;1&lt;/C&gt;&lt;D xsi:type="xsd:double"&gt;1753.0847&lt;/D&gt;&lt;/FQL&gt;&lt;FQL&gt;&lt;Q&gt;SNX^FE_ESTIMATE(EBITDA,MEAN,NTM4,,45866,,,'')&lt;/Q&gt;&lt;R&gt;1&lt;/R&gt;&lt;C&gt;1&lt;/C&gt;&lt;D xsi:type="xsd:double"&gt;1811.9269&lt;/D&gt;&lt;/FQL&gt;&lt;FQL&gt;&lt;Q&gt;SNX^FE_ESTIMATE(EBITDA,MEAN,LTM4,,45866,,,'')&lt;/Q&gt;&lt;R&gt;1&lt;/R&gt;&lt;C&gt;1&lt;/C&gt;&lt;D xsi:type="xsd:double"&gt;1740.8976&lt;/D&gt;&lt;/FQL&gt;&lt;FQL&gt;&lt;Q&gt;CDW^FE_ESTIMATE(EBITDA,MEAN,CALA_ROLL,2027,45866,,,'')&lt;/Q&gt;&lt;R&gt;1&lt;/R&gt;&lt;C&gt;1&lt;/C&gt;&lt;D xsi:type="xsd:double"&gt;2319.6973&lt;/D&gt;&lt;/FQL&gt;&lt;FQL&gt;&lt;Q&gt;CDW^FE_ESTIMATE(EBITDA,MEAN,CAL4,2026,45866,,,'')&lt;/Q&gt;&lt;R&gt;1&lt;/R&gt;&lt;C&gt;1&lt;/C&gt;&lt;D xsi:type="xsd:double"&gt;2326.862&lt;/D&gt;&lt;/FQL&gt;&lt;FQL&gt;&lt;Q&gt;CDW^FE_ESTIMATE(EBITDA,MEAN,CAL4,2025,45866,,,'')&lt;/Q&gt;&lt;R&gt;1&lt;/R&gt;&lt;C&gt;1&lt;/C&gt;&lt;D xsi:type="xsd:double"&gt;2138.7087&lt;/D&gt;&lt;/FQL&gt;&lt;FQL&gt;&lt;Q&gt;CDW^FE_ESTIMATE(EBITDA,MEAN,CAL4,2024,45866,,,'')&lt;/Q&gt;&lt;R&gt;1&lt;/R&gt;&lt;C&gt;1&lt;/C&gt;&lt;D xsi:type="xsd:double"&gt;2122.4346&lt;/D&gt;&lt;/FQL&gt;&lt;FQL&gt;&lt;Q&gt;CDW^FE_ESTIMATE(EBITDA,MEAN,CAL4,2023,45866,,,'')&lt;/Q&gt;&lt;R&gt;1&lt;/R&gt;&lt;C&gt;1&lt;/C&gt;&lt;D xsi:type="xsd:double"&gt;2175.6484&lt;/D&gt;&lt;/FQL&gt;&lt;FQL&gt;&lt;Q&gt;CDW^FE_ESTIMATE(EBITDA,MEAN,NTM4,,45866,,,'')&lt;/Q&gt;&lt;R&gt;1&lt;/R&gt;&lt;C&gt;1&lt;/C&gt;&lt;D xsi:type="xsd:double"&gt;2156.4204&lt;/D&gt;&lt;/FQL&gt;&lt;FQL&gt;&lt;Q&gt;CDW^FE_ESTIMATE(EBITDA,MEAN,LTM4,,45866,,,'')&lt;/Q&gt;&lt;R&gt;1&lt;/R&gt;&lt;C&gt;1&lt;/C&gt;&lt;D xsi:type="xsd:double"&gt;2172.3796&lt;/D&gt;&lt;/FQL&gt;&lt;FQL&gt;&lt;Q&gt;INGM^FE_ESTIMATE(EBITDA,MEAN,CALA_ROLL,2027,45866,,,'')&lt;/Q&gt;&lt;R&gt;1&lt;/R&gt;&lt;C&gt;1&lt;/C&gt;&lt;D xsi:type="xsd:double"&gt;1552.1091&lt;/D&gt;&lt;/FQL&gt;&lt;FQL&gt;&lt;Q&gt;INGM^FE_ESTIMATE(EBITDA,MEAN,CAL4,2026,45866,,,'')&lt;/Q&gt;&lt;R&gt;1&lt;/R&gt;&lt;C&gt;1&lt;/C&gt;&lt;D xsi:type="xsd:double"&gt;1410.5713&lt;/D&gt;&lt;/FQL&gt;&lt;FQL&gt;&lt;Q&gt;INGM^FE_ESTIMATE(EBITDA,MEAN,CAL4,2025,45866,,,'')&lt;/Q&gt;&lt;R&gt;1&lt;/R&gt;&lt;C&gt;1&lt;/C&gt;&lt;D xsi:type="xsd:double"&gt;1302.9095&lt;/D&gt;&lt;/FQL&gt;&lt;FQL&gt;&lt;Q&gt;INGM^FE_ESTIMATE(EBITDA,MEAN,CAL4,2024,45866,,,'')&lt;/Q&gt;&lt;R&gt;0&lt;/R&gt;&lt;C&gt;0&lt;/C&gt;&lt;/FQL&gt;&lt;FQL&gt;&lt;Q&gt;INGM^FE_ESTIMATE(EBITDA,MEAN,CAL4,2023,45866,,,'')&lt;/Q&gt;&lt;R&gt;0&lt;/R&gt;&lt;C&gt;0&lt;/C&gt;&lt;/FQL&gt;&lt;FQL&gt;&lt;Q&gt;INGM^FE_ESTIMATE(EBITDA,MEAN,NTM4,,45866,,,'')&lt;/Q&gt;&lt;R&gt;1&lt;/R&gt;&lt;C&gt;1&lt;/C&gt;&lt;D xsi:type="xsd:double"&gt;1328.6653&lt;/D&gt;&lt;/FQL&gt;&lt;FQL&gt;&lt;Q&gt;INGM^FE_ESTIMATE(EBITDA,MEAN,LTM4,,45866,,,'')&lt;/Q&gt;&lt;R&gt;1&lt;/R&gt;&lt;C&gt;1&lt;/C&gt;&lt;D xsi:type="xsd:double"&gt;1310.5848&lt;/D&gt;&lt;/FQL&gt;&lt;FQL&gt;&lt;Q&gt;NBIS^FE_ESTIMATE(EBITDA,MEAN,CALA_ROLL,2027,45866,,,'')&lt;/Q&gt;&lt;R&gt;1&lt;/R&gt;&lt;C&gt;1&lt;/C&gt;&lt;D xsi:type="xsd:double"&gt;1071.8126&lt;/D&gt;&lt;/FQL&gt;&lt;FQL&gt;&lt;Q&gt;NBIS^FE_ESTIMATE(EBITDA,MEAN,CAL4,2026,45866,,,'')&lt;/Q&gt;&lt;R&gt;1&lt;/R&gt;&lt;C&gt;1&lt;/C&gt;&lt;D xsi:type="xsd:double"&gt;200.7&lt;/D&gt;&lt;/FQL&gt;&lt;FQL&gt;&lt;Q&gt;NBIS^FE_ESTIMATE(EBITDA,MEAN,CAL4,2025,45866,,,'')&lt;/Q&gt;&lt;R&gt;1&lt;/R&gt;&lt;C&gt;1&lt;/C&gt;&lt;D xsi:type="xsd:double"&gt;-113.166664&lt;/D&gt;&lt;/FQL&gt;&lt;FQL&gt;&lt;Q&gt;NBIS^FE_ESTIMATE(EBITDA,MEAN,CAL4,2024,45866,,,'')&lt;/Q&gt;&lt;R&gt;0&lt;/R&gt;&lt;C&gt;0&lt;/C&gt;&lt;/FQL&gt;&lt;FQL&gt;&lt;Q&gt;NBIS^FE_ESTIMATE(EBITDA,MEAN,CAL4,2023,45866,,,'')&lt;/Q&gt;&lt;R&gt;0&lt;/R&gt;&lt;C&gt;0&lt;/C&gt;&lt;/FQL&gt;&lt;FQL&gt;&lt;Q&gt;NBIS^FE_ESTIMATE(EBITDA,MEAN,NTM4,,45866,,,'')&lt;/Q&gt;&lt;R&gt;1&lt;/R&gt;&lt;C&gt;1&lt;/C&gt;&lt;D xsi:type="xsd:double"&gt;-24.7&lt;/D&gt;&lt;/FQL&gt;&lt;FQL&gt;&lt;Q&gt;NBIS^FE_ESTIMATE(EBITDA,MEAN,LTM4,,45866,,,'')&lt;/Q&gt;&lt;R&gt;0&lt;/R&gt;&lt;C&gt;0&lt;/C&gt;&lt;/FQL&gt;&lt;FQL&gt;&lt;Q&gt;DOCN^FE_ESTIMATE(EBITDA,MEAN,CALA_ROLL,2027,45866,,,'')&lt;/Q&gt;&lt;R&gt;1&lt;/R&gt;&lt;C&gt;1&lt;/C&gt;&lt;D xsi:type="xsd:double"&gt;477.94974&lt;/D&gt;&lt;/FQL&gt;&lt;FQL&gt;&lt;Q&gt;DOCN^FE_ESTIMATE(EBITDA,MEAN,CAL4,2026,45866,,,'')&lt;/Q&gt;&lt;R&gt;1&lt;/R&gt;&lt;C&gt;1&lt;/C&gt;&lt;D xsi:type="xsd:double"&gt;376.0869&lt;/D&gt;&lt;/FQL&gt;&lt;FQL&gt;&lt;Q&gt;DOCN^FE_ESTIMATE(EBITDA,MEAN,CAL4,2025,45866,,,'')&lt;/Q&gt;&lt;R&gt;1&lt;/R&gt;&lt;C&gt;1&lt;/C&gt;&lt;D xsi:type="xsd:double"&gt;346.75366&lt;/D&gt;&lt;/FQL&gt;&lt;FQL&gt;&lt;Q&gt;DOCN^FE_ESTIMATE(EBITDA,MEAN,CAL4,2024,45866,,,'')&lt;/Q&gt;&lt;R&gt;1&lt;/R&gt;&lt;C&gt;1&lt;/C&gt;&lt;D xsi:type="xsd:double"&gt;328.5&lt;/D&gt;&lt;/FQL&gt;&lt;FQL&gt;&lt;Q&gt;DOCN^FE_ESTIMATE(EBITDA,MEAN,CAL4,2023,45866,,,'')&lt;/Q&gt;&lt;R&gt;1&lt;/R&gt;&lt;C&gt;1&lt;/C&gt;&lt;D xsi:type="xsd:double"&gt;277.703&lt;/D&gt;&lt;/FQL&gt;&lt;FQL&gt;&lt;Q&gt;DOCN^FE_ESTIMATE(EBITDA,MEAN,NTM4,,45866,,,'')&lt;/Q&gt;&lt;R&gt;1&lt;/R&gt;&lt;C&gt;1&lt;/C&gt;&lt;D xsi:type="xsd:double"&gt;350.2006&lt;/D&gt;&lt;/FQL&gt;&lt;FQL&gt;&lt;Q&gt;DOCN^FE_ESTIMATE(EBITDA,MEAN,LTM4,,45866,,,'')&lt;/Q&gt;&lt;R&gt;1&lt;/R&gt;&lt;C&gt;1&lt;/C&gt;&lt;D xsi:type="xsd:double"&gt;340.46&lt;/D&gt;&lt;/FQL&gt;&lt;FQL&gt;&lt;Q&gt;GOOG^FE_ESTIMATE(EBITDA,MEAN,CALA_ROLL,2027,45866,,,'')&lt;/Q&gt;&lt;R&gt;1&lt;/R&gt;&lt;C&gt;1&lt;/C&gt;&lt;D xsi:type="xsd:double"&gt;229457.22&lt;/D&gt;&lt;/FQL&gt;&lt;FQL&gt;&lt;Q&gt;GOOG^FE_ESTIMATE(EBITDA,MEAN,CAL4,2026,45866,,,'')&lt;/Q&gt;&lt;R&gt;1&lt;/R&gt;&lt;C&gt;1&lt;/C&gt;&lt;D xsi:type="xsd:double"&gt;204315.77&lt;/D&gt;&lt;/FQL&gt;&lt;FQL&gt;&lt;Q&gt;GOOG^FE_ESTIMATE(EBITDA,MEAN,CAL4,2025,45866,,,'')&lt;/Q&gt;&lt;R&gt;1&lt;/R&gt;&lt;C&gt;1&lt;/C&gt;&lt;D xsi:type="xsd:double"&gt;176380.78&lt;/D&gt;&lt;/FQL&gt;&lt;FQL&gt;&lt;Q&gt;GOOG^FE_ESTIMATE(EBITDA,MEAN,CAL4,2024,45866,,,'')&lt;/Q&gt;&lt;R&gt;1&lt;/R&gt;&lt;C&gt;1&lt;/C&gt;&lt;D xsi:type="xsd:double"&gt;150907.6&lt;/D&gt;&lt;/FQL&gt;&lt;FQL&gt;&lt;Q&gt;GOOG^FE_ESTIMATE(EBITDA,MEAN,CAL4,2023,45866,,,'')&lt;/Q&gt;&lt;R&gt;1&lt;/R&gt;&lt;C&gt;1&lt;/C&gt;&lt;D xsi:type="xsd:double"&gt;122063.59&lt;/D&gt;&lt;/FQL&gt;&lt;FQL&gt;&lt;Q&gt;GOOG^FE_ESTIMATE(EBITDA,MEAN,NTM4,,45866,,,'')&lt;/Q&gt;&lt;R&gt;1&lt;/R&gt;&lt;C&gt;1&lt;/C&gt;&lt;D xsi:type="xsd:double"&gt;189974.2&lt;/D&gt;&lt;/FQL&gt;&lt;FQL&gt;&lt;Q&gt;GOOG^FE_ESTIMATE(EBITDA,MEAN,LTM4,,45866,,,'')&lt;/Q&gt;&lt;R&gt;1&lt;/R&gt;&lt;C&gt;1&lt;/C&gt;&lt;D xsi:type="xsd:double"&gt;162606.33&lt;/D&gt;&lt;/FQL&gt;&lt;FQL&gt;&lt;Q&gt;AMZN^FE_ESTIMATE(EBITDA,MEAN,CALA_ROLL,2027,45866,,,'')&lt;/Q&gt;&lt;R&gt;1&lt;/R&gt;&lt;C&gt;1&lt;/C&gt;&lt;D xsi:type="xsd:double"&gt;228179.17&lt;/D&gt;&lt;/FQL&gt;&lt;FQL&gt;&lt;Q&gt;AMZN^FE_ESTIMATE(EBITDA,MEAN,CAL4,2026,45866,,,'')&lt;/Q&gt;&lt;R&gt;1&lt;/R&gt;&lt;C&gt;1&lt;/C&gt;&lt;D xsi:type="xsd:double"&gt;190371.42&lt;/D&gt;&lt;/FQL&gt;&lt;FQL&gt;&lt;Q&gt;AMZN^FE_ESTIMATE(EBITDA,MEAN,CAL4,2025,45866,,,'')&lt;/Q&gt;&lt;R&gt;1&lt;/R&gt;&lt;C&gt;1&lt;/C&gt;&lt;D xsi:type="xsd:double"&gt;161881.02&lt;/D&gt;&lt;/FQL&gt;&lt;FQL&gt;&lt;Q&gt;AMZN^FE_ESTIMATE(EBITDA,MEAN,CAL4,2024,45866,,,'')&lt;/Q&gt;&lt;R&gt;1&lt;/R&gt;&lt;C&gt;1&lt;/C&gt;&lt;D xsi:type="xsd:double"&gt;143476.78&lt;/D&gt;&lt;/FQL&gt;&lt;FQL&gt;&lt;Q&gt;AMZN^FE_ESTIMATE(EBITDA,MEAN,CAL4,2023,45866,,,'')&lt;/Q&gt;&lt;R&gt;1&lt;/R&gt;&lt;C&gt;1&lt;/C&gt;&lt;D xsi:type="xsd:double"&gt;109513.47&lt;/D&gt;&lt;/FQL&gt;&lt;FQL&gt;&lt;Q&gt;AMZN^FE_ESTIMATE(EBITDA,MEAN,NTM4,,45866,,,'')&lt;/Q&gt;&lt;R&gt;1&lt;/R&gt;&lt;C&gt;1&lt;/C&gt;&lt;D xsi:type="xsd:double"&gt;168488.83&lt;/D&gt;&lt;/FQL&gt;&lt;FQL&gt;&lt;Q&gt;AMZN^FE_ESTIMATE(EBITDA,MEAN,LTM4,,45866,,,'')&lt;/Q&gt;&lt;R&gt;1&lt;/R&gt;&lt;C&gt;1&lt;/C&gt;&lt;D xsi:type="xsd:double"&gt;147794.33&lt;/D&gt;&lt;/FQL&gt;&lt;FQL&gt;&lt;Q&gt;ORCL^FE_ESTIMATE(EBITDA,MEAN,CALA_ROLL,2027,45866,,,'')&lt;/Q&gt;&lt;R&gt;1&lt;/R&gt;&lt;C&gt;1&lt;/C&gt;&lt;D xsi:type="xsd:double"&gt;46338.605&lt;/D&gt;&lt;/FQL&gt;&lt;FQL&gt;&lt;Q&gt;ORCL^FE_ESTIMATE(EBITDA,MEAN,CAL4,2026,45866,,,'')&lt;/Q&gt;&lt;R&gt;1&lt;/R&gt;&lt;C&gt;1&lt;/C&gt;&lt;D xsi:type="xsd:double"&gt;38832.34&lt;/D&gt;&lt;/FQL&gt;&lt;FQL&gt;&lt;Q&gt;ORCL^FE_ESTIMATE(EBITDA,MEAN,CAL4,2025,45866,,,'')&lt;/Q&gt;&lt;R&gt;1&lt;/R&gt;&lt;C&gt;1&lt;/C&gt;&lt;D xsi:type="xsd:double"&gt;32368.682&lt;/D&gt;&lt;/FQL&gt;&lt;FQL&gt;&lt;Q&gt;ORCL^FE_ESTIMATE(EBITDA,MEAN,CAL4,2024,45866,,,'')&lt;/Q&gt;&lt;R&gt;1&lt;/R&gt;&lt;C&gt;1&lt;/C&gt;&lt;D xsi:type="xsd:double"&gt;29480.475&lt;/D&gt;&lt;/FQL&gt;&lt;FQL&gt;&lt;Q&gt;ORCL^FE_ESTIMATE(EBITDA,MEAN,CAL4,2023,45866,,,'')&lt;/Q&gt;&lt;R&gt;1&lt;/R&gt;&lt;C&gt;1&lt;/C&gt;&lt;D xsi:type="xsd:double"&gt;27439.04&lt;/D&gt;&lt;/FQL&gt;&lt;FQL&gt;&lt;Q&gt;ORCL^FE_ESTIMATE(EBITDA,MEAN,NTM4,,45866,,,'')&lt;/Q&gt;&lt;R&gt;1&lt;/R&gt;&lt;C&gt;1&lt;/C&gt;&lt;D xsi:type="xsd:double"&gt;35006.88&lt;/D&gt;&lt;/FQL&gt;&lt;FQL&gt;&lt;Q&gt;ORCL^FE_ESTIMATE(EBITDA,MEAN,LTM4,,45866,,,'')&lt;/Q&gt;&lt;R&gt;1&lt;/R&gt;&lt;C&gt;1&lt;/C&gt;&lt;D xsi:type="xsd:double"&gt;30598.133&lt;/D&gt;&lt;/FQL&gt;&lt;FQL&gt;&lt;Q&gt;IBM^FE_ESTIMATE(EBITDA,MEAN,CALA_ROLL,2027,45866,,,'')&lt;/Q&gt;&lt;R&gt;1&lt;/R&gt;&lt;C&gt;1&lt;/C&gt;&lt;D xsi:type="xsd:double"&gt;19673.346&lt;/D&gt;&lt;/FQL&gt;&lt;FQL&gt;&lt;Q&gt;IBM^FE_ESTIMATE(EBITDA,MEAN,CAL4,2026,45866,,,'')&lt;/Q&gt;&lt;R&gt;1&lt;/R&gt;&lt;C&gt;1&lt;/C&gt;&lt;D xsi:type="xsd:double"&gt;19278.828&lt;/D&gt;&lt;/FQL&gt;&lt;FQL&gt;&lt;Q&gt;IBM^FE_ESTIMATE(EBITDA,MEAN,CAL4,2025,45866,,,'')&lt;/Q&gt;&lt;R&gt;1&lt;/R&gt;&lt;C&gt;1&lt;/C&gt;&lt;D xsi:type="xsd:double"&gt;18318.035&lt;/D&gt;&lt;/FQL&gt;&lt;FQL&gt;&lt;Q&gt;IBM^FE_ESTIMATE(EBITDA,MEAN,CAL4,2024,45866,,,'')&lt;/Q&gt;&lt;R&gt;1&lt;/R&gt;&lt;C&gt;1&lt;/C&gt;&lt;D xsi:type="xsd:double"&gt;15966&lt;/D&gt;&lt;/FQL&gt;&lt;FQL&gt;&lt;Q&gt;IBM^FE_ESTIMATE(EBITDA,MEAN,CAL4,2023,45866,,,'')&lt;/Q&gt;&lt;R&gt;1&lt;/R&gt;&lt;C&gt;1&lt;/C&gt;&lt;D xsi:type="xsd:double"&gt;14568.502&lt;/D&gt;&lt;/FQL&gt;&lt;FQL&gt;&lt;Q&gt;IBM^FE_ESTIMATE(EBITDA,MEAN,NTM4,,45866,,,'')&lt;/Q&gt;&lt;R&gt;1&lt;/R&gt;&lt;C&gt;1&lt;/C&gt;&lt;D xsi:type="xsd:double"&gt;18670.447&lt;/D&gt;&lt;/FQL&gt;&lt;FQL&gt;&lt;Q&gt;IBM^FE_ESTIMATE(EBITDA,MEAN,LTM4,,45866,,,'')&lt;/Q&gt;&lt;R&gt;1&lt;/R&gt;&lt;C&gt;1&lt;/C&gt;&lt;D xsi:type="xsd:double"&gt;17540.8&lt;/D&gt;&lt;/FQL&gt;&lt;FQL&gt;&lt;Q&gt;DLR^FE_ESTIMATE(EPS_GAAP,MEAN,CALA_ROLL,2027,45866,</t>
        </r>
      </text>
    </comment>
    <comment ref="A12" authorId="0" shapeId="0" xr:uid="{810127F6-10A6-4688-B35B-F710BBD6BB4D}">
      <text>
        <r>
          <rPr>
            <b/>
            <sz val="9"/>
            <color indexed="81"/>
            <rFont val="Tahoma"/>
            <charset val="1"/>
          </rPr>
          <t>,,'')&lt;/Q&gt;&lt;R&gt;1&lt;/R&gt;&lt;C&gt;1&lt;/C&gt;&lt;D xsi:type="xsd:double"&gt;2.208815&lt;/D&gt;&lt;/FQL&gt;&lt;FQL&gt;&lt;Q&gt;DLR^FE_ESTIMATE(EPS_GAAP,MEAN,CAL4,2026,45866,,,'')&lt;/Q&gt;&lt;R&gt;1&lt;/R&gt;&lt;C&gt;1&lt;/C&gt;&lt;D xsi:type="xsd:double"&gt;1.5264647&lt;/D&gt;&lt;/FQL&gt;&lt;FQL&gt;&lt;Q&gt;DLR^FE_ESTIMATE(EPS_GAAP,MEAN,CAL4,2025,45866,,,'')&lt;/Q&gt;&lt;R&gt;1&lt;/R&gt;&lt;C&gt;1&lt;/C&gt;&lt;D xsi:type="xsd:double"&gt;3.9306657&lt;/D&gt;&lt;/FQL&gt;&lt;FQL&gt;&lt;Q&gt;DLR^FE_ESTIMATE(EPS_GAAP,MEAN,CAL4,2024,45866,,,'')&lt;/Q&gt;&lt;R&gt;1&lt;/R&gt;&lt;C&gt;1&lt;/C&gt;&lt;D xsi:type="xsd:double"&gt;1.649787&lt;/D&gt;&lt;/FQL&gt;&lt;FQL&gt;&lt;Q&gt;DLR^FE_ESTIMATE(EPS_GAAP,MEAN,CAL4,2023,45866,,,'')&lt;/Q&gt;&lt;R&gt;1&lt;/R&gt;&lt;C&gt;1&lt;/C&gt;&lt;D xsi:type="xsd:double"&gt;2.97&lt;/D&gt;&lt;/FQL&gt;&lt;FQL&gt;&lt;Q&gt;DLR^FE_ESTIMATE(EPS_GAAP,MEAN,NTM4,,45866,,,'')&lt;/Q&gt;&lt;R&gt;1&lt;/R&gt;&lt;C&gt;1&lt;/C&gt;&lt;D xsi:type="xsd:double"&gt;1.4415748&lt;/D&gt;&lt;/FQL&gt;&lt;FQL&gt;&lt;Q&gt;DLR^FE_ESTIMATE(EPS_GAAP,MEAN,LTM4,,45866,,,'')&lt;/Q&gt;&lt;R&gt;1&lt;/R&gt;&lt;C&gt;1&lt;/C&gt;&lt;D xsi:type="xsd:double"&gt;3.839787&lt;/D&gt;&lt;/FQL&gt;&lt;FQL&gt;&lt;Q&gt;NVDA^FE_ESTIMATE(EPS_GAAP,MEAN,CALA_ROLL,2027,45866,,,'')&lt;/Q&gt;&lt;R&gt;1&lt;/R&gt;&lt;C&gt;1&lt;/C&gt;&lt;D xsi:type="xsd:double"&gt;6.4503517&lt;/D&gt;&lt;/FQL&gt;&lt;FQL&gt;&lt;Q&gt;NVDA^FE_ESTIMATE(EPS_GAAP,MEAN,CAL4,2026,45866,,,'')&lt;/Q&gt;&lt;R&gt;1&lt;/R&gt;&lt;C&gt;1&lt;/C&gt;&lt;D xsi:type="xsd:double"&gt;5.596036&lt;/D&gt;&lt;/FQL&gt;&lt;FQL&gt;&lt;Q&gt;NVDA^FE_ESTIMATE(EPS_GAAP,MEAN,CAL4,2025,45866,,,'')&lt;/Q&gt;&lt;R&gt;1&lt;/R&gt;&lt;C&gt;1&lt;/C&gt;&lt;D xsi:type="xsd:double"&gt;4.0904083&lt;/D&gt;&lt;/FQL&gt;&lt;FQL&gt;&lt;Q&gt;NVDA^FE_ESTIMATE(EPS_GAAP,MEAN,CAL4,2024,45866,,,'')&lt;/Q&gt;&lt;R&gt;1&lt;/R&gt;&lt;C&gt;1&lt;/C&gt;&lt;D xsi:type="xsd:double"&gt;2.938&lt;/D&gt;&lt;/FQL&gt;&lt;FQL&gt;&lt;Q&gt;NVDA^FE_ESTIMATE(EPS_GAAP,MEAN,CAL4,2023,45866,,,'')&lt;/Q&gt;&lt;R&gt;1&lt;/R&gt;&lt;C&gt;1&lt;/C&gt;&lt;D xsi:type="xsd:double"&gt;1.194&lt;/D&gt;&lt;/FQL&gt;&lt;FQL&gt;&lt;Q&gt;NVDA^FE_ESTIMATE(EPS_GAAP,MEAN,NTM4,,45866,,,'')&lt;/Q&gt;&lt;R&gt;1&lt;/R&gt;&lt;C&gt;1&lt;/C&gt;&lt;D xsi:type="xsd:double"&gt;4.6518703&lt;/D&gt;&lt;/FQL&gt;&lt;FQL&gt;&lt;Q&gt;NVDA^FE_ESTIMATE(EPS_GAAP,MEAN,LTM4,,45866,,,'')&lt;/Q&gt;&lt;R&gt;1&lt;/R&gt;&lt;C&gt;1&lt;/C&gt;&lt;D xsi:type="xsd:double"&gt;3.1&lt;/D&gt;&lt;/FQL&gt;&lt;FQL&gt;&lt;Q&gt;MSFT^FE_ESTIMATE(EPS_GAAP,MEAN,CALA_ROLL,2027,45866,,,'')&lt;/Q&gt;&lt;R&gt;1&lt;/R&gt;&lt;C&gt;1&lt;/C&gt;&lt;D xsi:type="xsd:double"&gt;19.572454&lt;/D&gt;&lt;/FQL&gt;&lt;FQL&gt;&lt;Q&gt;MSFT^FE_ESTIMATE(EPS_GAAP,MEAN,CAL4,2026,45866,,,'')&lt;/Q&gt;&lt;R&gt;1&lt;/R&gt;&lt;C&gt;1&lt;/C&gt;&lt;D xsi:type="xsd:double"&gt;16.19257&lt;/D&gt;&lt;/FQL&gt;&lt;FQL&gt;&lt;Q&gt;MSFT^FE_ESTIMATE(EPS_GAAP,MEAN,CAL4,2025,45866,,,'')&lt;/Q&gt;&lt;R&gt;1&lt;/R&gt;&lt;C&gt;1&lt;/C&gt;&lt;D xsi:type="xsd:double"&gt;14.175657&lt;/D&gt;&lt;/FQL&gt;&lt;FQL&gt;&lt;Q&gt;MSFT^FE_ESTIMATE(EPS_GAAP,MEAN,CAL4,2024,45866,,,'')&lt;/Q&gt;&lt;R&gt;1&lt;/R&gt;&lt;C&gt;1&lt;/C&gt;&lt;D xsi:type="xsd:double"&gt;12.42&lt;/D&gt;&lt;/FQL&gt;&lt;FQL&gt;&lt;Q&gt;MSFT^FE_ESTIMATE(EPS_GAAP,MEAN,CAL4,2023,45866,,,'')&lt;/Q&gt;&lt;R&gt;1&lt;/R&gt;&lt;C&gt;1&lt;/C&gt;&lt;D xsi:type="xsd:double"&gt;11.060136&lt;/D&gt;&lt;/FQL&gt;&lt;FQL&gt;&lt;Q&gt;MSFT^FE_ESTIMATE(EPS_GAAP,MEAN,NTM4,,45866,,,'')&lt;/Q&gt;&lt;R&gt;1&lt;/R&gt;&lt;C&gt;1&lt;/C&gt;&lt;D xsi:type="xsd:double"&gt;14.52673&lt;/D&gt;&lt;/FQL&gt;&lt;FQL&gt;&lt;Q&gt;MSFT^FE_ESTIMATE(EPS_GAAP,MEAN,LTM4,,45866,,,'')&lt;/Q&gt;&lt;R&gt;1&lt;/R&gt;&lt;C&gt;1&lt;/C&gt;&lt;D xsi:type="xsd:double"&gt;12.94&lt;/D&gt;&lt;/FQL&gt;&lt;FQL&gt;&lt;Q&gt;AVT^FE_ESTIMATE(EBITDA,MEAN,CAL4,2027,45866,,,'')&lt;/Q&gt;&lt;R&gt;1&lt;/R&gt;&lt;C&gt;1&lt;/C&gt;&lt;D xsi:type="xsd:double"&gt;1037&lt;/D&gt;&lt;/FQL&gt;&lt;FQL&gt;&lt;Q&gt;AVT^FE_ESTIMATE(EBITDA,MEAN,CAL4,2026,45866,,,'')&lt;/Q&gt;&lt;R&gt;1&lt;/R&gt;&lt;C&gt;1&lt;/C&gt;&lt;D xsi:type="xsd:double"&gt;968.0013&lt;/D&gt;&lt;/FQL&gt;&lt;FQL&gt;&lt;Q&gt;AVT^FE_ESTIMATE(EBITDA,MEAN,CAL4,2025,45866,,,'')&lt;/Q&gt;&lt;R&gt;1&lt;/R&gt;&lt;C&gt;1&lt;/C&gt;&lt;D xsi:type="xsd:double"&gt;739.7664&lt;/D&gt;&lt;/FQL&gt;&lt;FQL&gt;&lt;Q&gt;AVT^FE_ESTIMATE(EBITDA,MEAN,CAL4,2024,45866,,,'')&lt;/Q&gt;&lt;R&gt;1&lt;/R&gt;&lt;C&gt;1&lt;/C&gt;&lt;D xsi:type="xsd:double"&gt;813.0833&lt;/D&gt;&lt;/FQL&gt;&lt;FQL&gt;&lt;Q&gt;AVT^FE_ESTIMATE(EBITDA,MEAN,CAL4,2023,45866,,,'')&lt;/Q&gt;&lt;R&gt;1&lt;/R&gt;&lt;C&gt;1&lt;/C&gt;&lt;D xsi:type="xsd:double"&gt;1230.6333&lt;/D&gt;&lt;/FQL&gt;&lt;FQL&gt;&lt;Q&gt;AVT^FE_ESTIMATE(EBITDA,MEAN,NTM4,,45866,,,'')&lt;/Q&gt;&lt;R&gt;1&lt;/R&gt;&lt;C&gt;1&lt;/C&gt;&lt;D xsi:type="xsd:double"&gt;809.6677&lt;/D&gt;&lt;/FQL&gt;&lt;FQL&gt;&lt;Q&gt;AVT^FE_ESTIMATE(EBITDA,MEAN,LTM4,,45866,,,'')&lt;/Q&gt;&lt;R&gt;1&lt;/R&gt;&lt;C&gt;1&lt;/C&gt;&lt;D xsi:type="xsd:double"&gt;753.13336&lt;/D&gt;&lt;/FQL&gt;&lt;FQL&gt;&lt;Q&gt;ARW^FE_ESTIMATE(EBITDA,MEAN,CALA_ROLL,2027,45866,,,'')&lt;/Q&gt;&lt;R&gt;1&lt;/R&gt;&lt;C&gt;1&lt;/C&gt;&lt;D xsi:type="xsd:double"&gt;1654.2404&lt;/D&gt;&lt;/FQL&gt;&lt;FQL&gt;&lt;Q&gt;ARW^FE_ESTIMATE(EBITDA,MEAN,CAL4,2026,45866,,,'')&lt;/Q&gt;&lt;R&gt;1&lt;/R&gt;&lt;C&gt;1&lt;/C&gt;&lt;D xsi:type="xsd:double"&gt;1430.3&lt;/D&gt;&lt;/FQL&gt;&lt;FQL&gt;&lt;Q&gt;ARW^FE_ESTIMATE(EBITDA,MEAN,CAL4,2025,45866,,,'')&lt;/Q&gt;&lt;R&gt;1&lt;/R&gt;&lt;C&gt;1&lt;/C&gt;&lt;D xsi:type="xsd:double"&gt;1107.3228&lt;/D&gt;&lt;/FQL&gt;&lt;FQL&gt;&lt;Q&gt;ARW^FE_ESTIMATE(EBITDA,MEAN,CAL4,2024,45866,,,'')&lt;/Q&gt;&lt;R&gt;1&lt;/R&gt;&lt;C&gt;1&lt;/C&gt;&lt;D xsi:type="xsd:double"&gt;1151.0667&lt;/D&gt;&lt;/FQL&gt;&lt;FQL&gt;&lt;Q&gt;ARW^FE_ESTIMATE(EBITDA,MEAN,CAL4,2023,45866,,,'')&lt;/Q&gt;&lt;R&gt;1&lt;/R&gt;&lt;C&gt;1&lt;/C&gt;&lt;D xsi:type="xsd:double"&gt;1749.7667&lt;/D&gt;&lt;/FQL&gt;&lt;FQL&gt;&lt;Q&gt;ARW^FE_ESTIMATE(EBITDA,MEAN,NTM4,,45866,,,'')&lt;/Q&gt;&lt;R&gt;1&lt;/R&gt;&lt;C&gt;1&lt;/C&gt;&lt;D xsi:type="xsd:double"&gt;1205.5228&lt;/D&gt;&lt;/FQL&gt;&lt;FQL&gt;&lt;Q&gt;ARW^FE_ESTIMATE(EBITDA,MEAN,LTM4,,45866,,,'')&lt;/Q&gt;&lt;R&gt;1&lt;/R&gt;&lt;C&gt;1&lt;/C&gt;&lt;D xsi:type="xsd:double"&gt;1074.1167&lt;/D&gt;&lt;/FQL&gt;&lt;FQL&gt;&lt;Q&gt;EQIX^FE_ESTIMATE(EBITDA,MEAN,CALA_ROLL,2027,45866,,,'')&lt;/Q&gt;&lt;R&gt;1&lt;/R&gt;&lt;C&gt;1&lt;/C&gt;&lt;D xsi:type="xsd:double"&gt;5421.8296&lt;/D&gt;&lt;/FQL&gt;&lt;FQL&gt;&lt;Q&gt;EQIX^FE_ESTIMATE(EBITDA,MEAN,CAL4,2026,45866,,,'')&lt;/Q&gt;&lt;R&gt;1&lt;/R&gt;&lt;C&gt;1&lt;/C&gt;&lt;D xsi:type="xsd:double"&gt;4972.4165&lt;/D&gt;&lt;/FQL&gt;&lt;FQL&gt;&lt;Q&gt;EQIX^FE_ESTIMATE(EBITDA,MEAN,CAL4,2025,45866,,,'')&lt;/Q&gt;&lt;R&gt;1&lt;/R&gt;&lt;C&gt;1&lt;/C&gt;&lt;D xsi:type="xsd:double"&gt;4513.002&lt;/D&gt;&lt;/FQL&gt;&lt;FQL&gt;&lt;Q&gt;EQIX^FE_ESTIMATE(EBITDA,MEAN,CAL4,2024,45866,,,'')&lt;/Q&gt;&lt;R&gt;1&lt;/R&gt;&lt;C&gt;1&lt;/C&gt;&lt;D xsi:type="xsd:double"&gt;4097&lt;/D&gt;&lt;/FQL&gt;&lt;FQL&gt;&lt;Q&gt;EQIX^FE_ESTIMATE(EBITDA,MEAN,CAL4,2023,45866,,,'')&lt;/Q&gt;&lt;R&gt;1&lt;/R&gt;&lt;C&gt;1&lt;/C&gt;&lt;D xsi:type="xsd:double"&gt;3701.841&lt;/D&gt;&lt;/FQL&gt;&lt;FQL&gt;&lt;Q&gt;EQIX^FE_ESTIMATE(EBITDA,MEAN,NTM4,,45866,,,'')&lt;/Q&gt;&lt;R&gt;1&lt;/R&gt;&lt;C&gt;1&lt;/C&gt;&lt;D xsi:type="xsd:double"&gt;4632.2686&lt;/D&gt;&lt;/FQL&gt;&lt;FQL&gt;&lt;Q&gt;EQIX^FE_ESTIMATE(EBITDA,MEAN,LTM4,,45866,,,'')&lt;/Q&gt;&lt;R&gt;1&lt;/R&gt;&lt;C&gt;1&lt;/C&gt;&lt;D xsi:type="xsd:double"&gt;4172&lt;/D&gt;&lt;/FQL&gt;&lt;FQL&gt;&lt;Q&gt;DLR^FE_ESTIMATE(EBITDA,MEAN,CALA_ROLL,2027,45866,,,'')&lt;/Q&gt;&lt;R&gt;1&lt;/R&gt;&lt;C&gt;1&lt;/C&gt;&lt;D xsi:type="xsd:double"&gt;4036.362&lt;/D&gt;&lt;/FQL&gt;&lt;FQL&gt;&lt;Q&gt;DLR^FE_ESTIMATE(EBITDA,MEAN,CAL4,2026,45866,,,'')&lt;/Q&gt;&lt;R&gt;1&lt;/R&gt;&lt;C&gt;1&lt;/C&gt;&lt;D xsi:type="xsd:double"&gt;3514.9702&lt;/D&gt;&lt;/FQL&gt;&lt;FQL&gt;&lt;Q&gt;DLR^FE_ESTIMATE(EBITDA,MEAN,CAL4,2025,45866,,,'')&lt;/Q&gt;&lt;R&gt;1&lt;/R&gt;&lt;C&gt;1&lt;/C&gt;&lt;D xsi:type="xsd:double"&gt;3244.4949&lt;/D&gt;&lt;/FQL&gt;&lt;FQL&gt;&lt;Q&gt;DLR^FE_ESTIMATE(EBITDA,MEAN,CAL4,2024,45866,,,'')&lt;/Q&gt;&lt;R&gt;1&lt;/R&gt;&lt;C&gt;1&lt;/C&gt;&lt;D xsi:type="xsd:double"&gt;2947.002&lt;/D&gt;&lt;/FQL&gt;&lt;FQL&gt;&lt;Q&gt;DLR^FE_ESTIMATE(EBITDA,MEAN,CAL4,2023,45866,,,'')&lt;/Q&gt;&lt;R&gt;1&lt;/R&gt;&lt;C&gt;1&lt;/C&gt;&lt;D xsi:type="xsd:double"&gt;2750.256&lt;/D&gt;&lt;/FQL&gt;&lt;FQL&gt;&lt;Q&gt;DLR^FE_ESTIMATE(EBITDA,MEAN,NTM4,,45866,,,'')&lt;/Q&gt;&lt;R&gt;1&lt;/R&gt;&lt;C&gt;1&lt;/C&gt;&lt;D xsi:type="xsd:double"&gt;3351.468&lt;/D&gt;&lt;/FQL&gt;&lt;FQL&gt;&lt;Q&gt;DLR^FE_ESTIMATE(EBITDA,MEAN,LTM4,,45866,,,'')&lt;/Q&gt;&lt;R&gt;1&lt;/R&gt;&lt;C&gt;1&lt;/C&gt;&lt;D xsi:type="xsd:double"&gt;3124.047&lt;/D&gt;&lt;/FQL&gt;&lt;FQL&gt;&lt;Q&gt;NVDA^FE_ESTIMATE(EBITDA,MEAN,CALA_ROLL,2027,45866,,,'')&lt;/Q&gt;&lt;R&gt;1&lt;/R&gt;&lt;C&gt;1&lt;/C&gt;&lt;D xsi:type="xsd:double"&gt;194163.73&lt;/D&gt;&lt;/FQL&gt;&lt;FQL&gt;&lt;Q&gt;NVDA^FE_ESTIMATE(EBITDA,MEAN,CAL4,2026,45866,,,'')&lt;/Q&gt;&lt;R&gt;1&lt;/R&gt;&lt;C&gt;1&lt;/C&gt;&lt;D xsi:type="xsd:double"&gt;177466.08&lt;/D&gt;&lt;/FQL&gt;&lt;FQL&gt;&lt;Q&gt;NVDA^FE_ESTIMATE(EBITDA,MEAN,CAL4,2025,45866,,,'')&lt;/Q&gt;&lt;R&gt;1&lt;/R&gt;&lt;C&gt;1&lt;/C&gt;&lt;D xsi:type="xsd:double"&gt;128138.72&lt;/D&gt;&lt;/FQL&gt;&lt;FQL&gt;&lt;Q&gt;NVDA^FE_ESTIMATE(EBITDA,MEAN,CAL4,2024,45866,,,'')&lt;/Q&gt;&lt;R&gt;1&lt;/R&gt;&lt;C&gt;1&lt;/C&gt;&lt;D xsi:type="xsd:double"&gt;88417.375&lt;/D&gt;&lt;/FQL&gt;&lt;FQL&gt;&lt;Q&gt;NVDA^FE_ESTIMATE(EBITDA,MEAN,CAL4,2023,45866,,,'')&lt;/Q&gt;&lt;R&gt;1&lt;/R&gt;&lt;C&gt;1&lt;/C&gt;&lt;D xsi:type="xsd:double"&gt;37642.035&lt;/D&gt;&lt;/FQL&gt;&lt;FQL&gt;&lt;Q&gt;NVDA^FE_ESTIMATE(EBITDA,MEAN,NTM4,,45866,,,'')&lt;/Q&gt;&lt;R&gt;1&lt;/R&gt;&lt;C&gt;1&lt;/C&gt;&lt;D xsi:type="xsd:double"&gt;146623.5&lt;/D&gt;&lt;/FQL&gt;&lt;FQL&gt;&lt;Q&gt;NVDA^FE_ESTIMATE(EBITDA,MEAN,LTM4,,45866,,,'')&lt;/Q&gt;&lt;R&gt;1&lt;/R&gt;&lt;C&gt;1&lt;/C&gt;&lt;D xsi:type="xsd:double"&gt;93953.47&lt;/D&gt;&lt;/FQL&gt;&lt;FQL&gt;&lt;Q&gt;MSFT^FE_ESTIMATE(EBITDA,MEAN,CALA_ROLL,2027,45866,,,'')&lt;/Q&gt;&lt;R&gt;1&lt;/R&gt;&lt;C&gt;1&lt;/C&gt;&lt;D xsi:type="xsd:double"&gt;225442.39&lt;/D&gt;&lt;/FQL&gt;&lt;FQL&gt;&lt;Q&gt;MSFT^FE_ESTIMATE(EBITDA,MEAN,CAL4,2026,45866,,,'')&lt;/Q&gt;&lt;R&gt;1&lt;/R&gt;&lt;C&gt;1&lt;/C&gt;&lt;D xsi:type="xsd:double"&gt;197318.42&lt;/D&gt;&lt;/FQL&gt;&lt;FQL&gt;&lt;Q&gt;MSFT^FE_ESTIMATE(EBITDA,MEAN,CAL4,2025,45866,,,'')&lt;/Q&gt;&lt;R&gt;1&lt;/R&gt;&lt;C&gt;1&lt;/C&gt;&lt;D xsi:type="xsd:double"&gt;168389.86&lt;/D&gt;&lt;/FQL&gt;&lt;FQL&gt;&lt;Q&gt;MSFT^FE_ESTIMATE(EBITDA,MEAN,CAL4,2024,45866,,,'')&lt;/Q&gt;&lt;R&gt;1&lt;/R&gt;&lt;C&gt;1&lt;/C&gt;&lt;D xsi:type="xsd:double"&gt;145924.3&lt;/D&gt;&lt;/FQL&gt;&lt;FQL&gt;&lt;Q&gt;MSFT^FE_ESTIMATE(EBITDA,MEAN,CAL4,2023,45866,,,'')&lt;/Q&gt;&lt;R&gt;1&lt;/R&gt;&lt;C&gt;1&lt;/C&gt;&lt;D xsi:type="xsd:double"&gt;119708.5&lt;/D&gt;&lt;/FQL&gt;&lt;FQL&gt;&lt;Q&gt;MSFT^FE_ESTIMATE(EBITDA,MEAN,NTM4,,45866,,,'')&lt;/Q&gt;&lt;R&gt;1&lt;/R&gt;&lt;C&gt;1&lt;/C&gt;&lt;D xsi:type="xsd:double"&gt;173238.28&lt;/D&gt;&lt;/FQL&gt;&lt;FQL&gt;&lt;Q&gt;MSFT^FE_ESTIMATE(EBITDA,MEAN,LTM4,,45866,,,'')&lt;/Q&gt;&lt;R&gt;1&lt;/R&gt;&lt;C&gt;1&lt;/C&gt;&lt;D xsi:type="xsd:double"&gt;152954.55&lt;/D&gt;&lt;/FQL&gt;&lt;FQL&gt;&lt;Q&gt;NBIS^FE_ESTIMATE(EBIT,MEAN,CALA_ROLL,2027,45866,,,'')&lt;/Q&gt;&lt;R&gt;1&lt;/R&gt;&lt;C&gt;1&lt;/C&gt;&lt;D xsi:type="xsd:double"&gt;-514.1325&lt;/D&gt;&lt;/FQL&gt;&lt;FQL&gt;&lt;Q&gt;NBIS^FE_ESTIMATE(EBIT,MEAN,CAL4,2026,45866,,,'')&lt;/Q&gt;&lt;R&gt;1&lt;/R&gt;&lt;C&gt;1&lt;/C&gt;&lt;D xsi:type="xsd:double"&gt;-104.46&lt;/D&gt;&lt;/FQL&gt;&lt;FQL&gt;&lt;Q&gt;NBIS^FE_ESTIMATE(EBIT,MEAN,CAL4,2025,45866,,,'')&lt;/Q&gt;&lt;R&gt;1&lt;/R&gt;&lt;C&gt;1&lt;/C&gt;&lt;D xsi:type="xsd:double"&gt;-457.121&lt;/D&gt;&lt;/FQL&gt;&lt;FQL&gt;&lt;Q&gt;NBIS^FE_ESTIMATE(EBIT,MEAN,CAL4,2024,45866,,,'')&lt;/Q&gt;&lt;R&gt;0&lt;/R&gt;&lt;C&gt;0&lt;/C&gt;&lt;/FQL&gt;&lt;FQL&gt;&lt;Q&gt;NBIS^FE_ESTIMATE(EBIT,MEAN,CAL4,2023,45866,,,'')&lt;/Q&gt;&lt;R&gt;0&lt;/R&gt;&lt;C&gt;0&lt;/C&gt;&lt;/FQL&gt;&lt;FQL&gt;&lt;Q&gt;NBIS^FE_ESTIMATE(EBIT,MEAN,NTM4,,45866,,,'')&lt;/Q&gt;&lt;R&gt;1&lt;/R&gt;&lt;C&gt;1&lt;/C&gt;&lt;D xsi:type="xsd:double"&gt;-400.806&lt;/D&gt;&lt;/FQL&gt;&lt;FQL&gt;&lt;Q&gt;NBIS^FE_ESTIMATE(EBIT,MEAN,LTM4,,45866,,,'')&lt;/Q&gt;&lt;R&gt;0&lt;/R&gt;&lt;C&gt;0&lt;/C&gt;&lt;/FQL&gt;&lt;FQL&gt;&lt;Q&gt;AVT^FE_ESTIMATE(EBIT,MEAN,CAL4,2027,45866,,,'')&lt;/Q&gt;&lt;R&gt;1&lt;/R&gt;&lt;C&gt;1&lt;/C&gt;&lt;D xsi:type="xsd:double"&gt;960&lt;/D&gt;&lt;/FQL&gt;&lt;FQL&gt;&lt;Q&gt;AVT^FE_ESTIMATE(EBIT,MEAN,CAL4,2026,45866,,,'')&lt;/Q&gt;&lt;R&gt;1&lt;/R&gt;&lt;C&gt;1&lt;/C&gt;&lt;D xsi:type="xsd:double"&gt;836.22906&lt;/D&gt;&lt;/FQL&gt;&lt;FQL&gt;&lt;Q&gt;AVT^FE_ESTIMATE(EBIT,MEAN,CAL4,2025,45866,,,'')&lt;/Q&gt;&lt;R&gt;1&lt;/R&gt;&lt;C&gt;1&lt;/C&gt;&lt;D xsi:type="xsd:double"&gt;651.36865&lt;/D&gt;&lt;/FQL&gt;&lt;FQL&gt;&lt;Q&gt;AVT^FE_ESTIMATE(EBIT,MEAN,CAL4,2024,45866,,,'')&lt;/Q&gt;&lt;R&gt;1&lt;/R&gt;&lt;C&gt;1&lt;/C&gt;&lt;D xsi:type="xsd:double"&gt;724.5228&lt;/D&gt;&lt;/FQL&gt;&lt;FQL&gt;&lt;Q&gt;AVT^FE_ESTIMATE(EBIT,MEAN,CAL4,2023,45866,,,'')&lt;/Q&gt;&lt;R&gt;1&lt;/R&gt;&lt;C&gt;1&lt;/C&gt;&lt;D xsi:type="xsd:double"&gt;1131.8362&lt;/D&gt;&lt;/FQL&gt;&lt;FQL&gt;&lt;Q&gt;AVT^FE_ESTIMATE(EBIT,MEAN,NTM4,,45866,,,'')&lt;/Q&gt;&lt;R&gt;1&lt;/R&gt;&lt;C&gt;1&lt;/C&gt;&lt;D xsi:type="xsd:double"&gt;709.7727&lt;/D&gt;&lt;/FQL&gt;&lt;FQL&gt;&lt;Q&gt;AVT^FE_ESTIMATE(EBIT,MEAN,LTM4,,45866,,,'')&lt;/Q&gt;&lt;R&gt;1&lt;/R&gt;&lt;C&gt;1&lt;/C&gt;&lt;D xsi:type="xsd:double"&gt;674.5711&lt;/D&gt;&lt;/FQL&gt;&lt;FQL&gt;&lt;Q&gt;ARW^FE_ESTIMATE(EBIT,MEAN,CALA_ROLL,2027,45866,,,'')&lt;/Q&gt;&lt;R&gt;1&lt;/R&gt;&lt;C&gt;1&lt;/C&gt;&lt;D xsi:type="xsd:double"&gt;1510.3021&lt;/D&gt;&lt;/FQL&gt;&lt;FQL&gt;&lt;Q&gt;ARW^FE_ESTIMATE(EBIT,MEAN,CAL4,2026,45866,,,'')&lt;/Q&gt;&lt;R&gt;1&lt;/R&gt;&lt;C&gt;1&lt;/C&gt;&lt;D xsi:type="xsd:double"&gt;1232.2&lt;/D&gt;&lt;/FQL&gt;&lt;FQL&gt;&lt;Q&gt;ARW^FE_ESTIMATE(EBIT,MEAN,CAL4,2025,45866,,,'')&lt;/Q&gt;&lt;R&gt;1&lt;/R&gt;&lt;C&gt;1&lt;/C&gt;&lt;D xsi:type="xsd:double"&gt;951.60364&lt;/D&gt;&lt;/FQL&gt;&lt;FQL&gt;&lt;Q&gt;ARW^FE_ESTIMATE(EBIT,MEAN,CAL4,2024,45866,,,'')&lt;/Q&gt;&lt;R&gt;1&lt;/R&gt;&lt;C&gt;1&lt;/C&gt;&lt;D xsi:type="xsd:double"&gt;1001.7478&lt;/D&gt;&lt;/FQL&gt;&lt;FQL&gt;&lt;Q&gt;ARW^FE_ESTIMATE(EBIT,MEAN,CAL4,2023,45866,,,'')&lt;/Q&gt;&lt;R&gt;1&lt;/R&gt;&lt;C&gt;1&lt;/C&gt;&lt;D xsi:type="xsd:double"&gt;1584.7036&lt;/D&gt;&lt;/FQL&gt;&lt;FQL&gt;&lt;Q&gt;ARW^FE_ESTIMATE(EBIT,MEAN,NTM4,,45866,,,'')&lt;/Q&gt;&lt;R&gt;1&lt;/R&gt;&lt;C&gt;1&lt;/C&gt;&lt;D xsi:type="xsd:double"&gt;1032.1703&lt;/D&gt;&lt;/FQL&gt;&lt;FQL&gt;&lt;Q&gt;ARW^FE_ESTIMATE(EBIT,MEAN,LTM4,,45866,,,'')&lt;/Q&gt;&lt;R&gt;1&lt;/R&gt;&lt;C&gt;1&lt;/C&gt;&lt;D xsi:type="xsd:double"&gt;929.7848&lt;/D&gt;&lt;/FQL&gt;&lt;FQL&gt;&lt;Q&gt;SNX^FE_ESTIMATE(EBIT,MEAN,CAL4,2027,45866,,,'')&lt;/Q&gt;&lt;R&gt;1&lt;/R&gt;&lt;C&gt;1&lt;/C&gt;&lt;D xsi:type="xsd:double"&gt;1822.8379&lt;/D&gt;&lt;/FQL&gt;&lt;FQL&gt;&lt;Q&gt;SNX^FE_ESTIMATE(EBIT,MEAN,CAL4,2026,45866,,,'')&lt;/Q&gt;&lt;R&gt;1&lt;/R&gt;&lt;C&gt;1&lt;/C&gt;&lt;D xsi:type="xsd:double"&gt;1731.9514&lt;/D&gt;&lt;/FQL&gt;&lt;FQL&gt;&lt;Q&gt;SNX^FE_ESTIMATE(EBIT,MEAN,CAL4,2025,45866,,,'')&lt;/Q&gt;&lt;R&gt;1&lt;/R&gt;&lt;C&gt;1&lt;/C&gt;&lt;D xsi:type="xsd:double"&gt;1654.2377&lt;/D&gt;&lt;/FQL&gt;&lt;FQL&gt;&lt;Q&gt;SNX^FE_ESTIMATE(EBIT,MEAN,CAL4,2024,45866,,,'')&lt;/Q&gt;&lt;R&gt;1&lt;/R&gt;&lt;C&gt;1&lt;/C&gt;&lt;D xsi:type="xsd:double"&gt;1621.3727&lt;/D&gt;&lt;/FQL&gt;&lt;FQL&gt;&lt;Q&gt;SNX^FE_ESTIMATE(EBIT,MEAN,CAL4,2023,45866,,,'')&lt;/Q&gt;&lt;R&gt;1&lt;/R&gt;&lt;C&gt;1&lt;/C&gt;&lt;D xsi:type="xsd:double"&gt;1636.843&lt;/D&gt;&lt;/FQL&gt;&lt;FQL&gt;&lt;Q&gt;SNX^FE_ESTIMATE(EBIT,MEAN,NTM4,,45866,,,'')&lt;/Q&gt;&lt;R&gt;1&lt;/R&gt;&lt;C&gt;1&lt;/C&gt;&lt;D xsi:type="xsd:double"&gt;1683.1808&lt;/D&gt;&lt;/FQL&gt;&lt;FQL&gt;&lt;Q&gt;SNX^FE_ESTIMATE(EBIT,MEAN,LTM4,,45866,,,'')&lt;/Q&gt;&lt;R&gt;1&lt;/R&gt;&lt;C&gt;1&lt;/C&gt;&lt;D xsi:type="xsd:double"&gt;1619.8843&lt;/D&gt;&lt;/FQL&gt;&lt;FQL&gt;&lt;Q&gt;CDW^FE_ESTIMATE(EBIT,MEAN,CALA_ROLL,2027,45866,,,'')&lt;/Q&gt;&lt;R&gt;1&lt;/R&gt;&lt;C&gt;1&lt;/C&gt;&lt;D xsi:type="xsd:double"&gt;2257.8752&lt;/D&gt;&lt;/FQL&gt;&lt;FQL&gt;&lt;Q&gt;CDW^FE_ESTIMATE(EBIT,MEAN,CAL4,2026,45866,,,'')&lt;/Q&gt;&lt;R&gt;1&lt;/R&gt;&lt;C&gt;1&lt;/C&gt;&lt;D xsi:type="xsd:double"&gt;2064.8616&lt;/D&gt;&lt;/FQL&gt;&lt;FQL&gt;&lt;Q&gt;CDW^FE_ESTIMATE(EBIT,MEAN,CAL4,2025,45866,,,'')&lt;/Q&gt;&lt;R&gt;1&lt;/R&gt;&lt;C&gt;1&lt;/C&gt;&lt;D xsi:type="xsd:double"&gt;1975.6772&lt;/D&gt;&lt;/FQL&gt;&lt;FQL&gt;&lt;Q&gt;CDW^FE_ESTIMATE(EBIT,MEAN,CAL4,2024,45866,,,'')&lt;/Q&gt;&lt;R&gt;1&lt;/R&gt;&lt;C&gt;1&lt;/C&gt;&lt;D xsi:type="xsd:double"&gt;1952.63&lt;/D&gt;&lt;/FQL&gt;&lt;FQL&gt;&lt;Q&gt;CDW^FE_ESTIMATE(EBIT,MEAN,CAL4,2023,45866,,,'')&lt;/Q&gt;&lt;R&gt;1&lt;/R&gt;&lt;C&gt;1&lt;/C&gt;&lt;D xsi:type="xsd:double"&gt;2025.8167&lt;/D&gt;&lt;/FQL&gt;&lt;FQL&gt;&lt;Q&gt;CDW^FE_ESTIMATE(EBIT,MEAN,NTM4,,45866,,,'')&lt;/Q&gt;&lt;R&gt;1&lt;/R&gt;&lt;C&gt;1&lt;/C&gt;&lt;D xsi:type="xsd:double"&gt;1976.4869&lt;/D&gt;&lt;/FQL&gt;&lt;FQL&gt;&lt;Q&gt;CDW^FE_ESTIMATE(EBIT,MEAN,LTM4,,45866,,,'')&lt;/Q&gt;&lt;R&gt;1&lt;/R&gt;&lt;C&gt;1&lt;/C&gt;&lt;D xsi:type="xsd:double"&gt;1987.45&lt;/D&gt;&lt;/FQL&gt;&lt;FQL&gt;&lt;Q&gt;INGM^FE_ESTIMATE(EBIT,MEAN,CALA_ROLL,2027,45866,,,'')&lt;/Q&gt;&lt;R&gt;1&lt;/R&gt;&lt;C&gt;1&lt;/C&gt;&lt;D xsi:type="xsd:double"&gt;1304.3807&lt;/D&gt;&lt;/FQL&gt;&lt;FQL&gt;&lt;Q&gt;INGM^FE_ESTIMATE(EBIT,MEAN,CAL4,2026,45866,,,'')&lt;/Q&gt;&lt;R&gt;1&lt;/R&gt;&lt;C&gt;1&lt;/C&gt;&lt;D xsi:type="xsd:double"&gt;1178.2355&lt;/D&gt;&lt;/FQL&gt;&lt;FQL&gt;&lt;Q&gt;INGM^FE_ESTIMATE(EBIT,MEAN,CAL4,2025,45866,,,'')&lt;/Q&gt;&lt;R&gt;1&lt;/R&gt;&lt;C&gt;1&lt;/C&gt;&lt;D xsi:type="xsd:double"&gt;1030.2626&lt;/D&gt;&lt;/FQL&gt;&lt;FQL&gt;&lt;Q&gt;INGM^FE_ESTIMATE(EBIT,MEAN,CAL4,2024,45866,,,'')&lt;/Q&gt;&lt;R&gt;0&lt;/R&gt;&lt;C&gt;0&lt;/C&gt;&lt;/FQL&gt;&lt;FQL&gt;&lt;Q&gt;INGM^FE_ESTIMATE(EBIT,MEAN,CAL4,2023,45866,,,'')&lt;/Q&gt;&lt;R&gt;0&lt;/R&gt;&lt;C&gt;0&lt;/C&gt;&lt;/FQL&gt;&lt;FQL&gt;&lt;Q&gt;INGM^FE_ESTIMATE(EBIT,MEAN,NTM4,,45866,,,'')&lt;/Q&gt;&lt;R&gt;1&lt;/R&gt;&lt;C&gt;1&lt;/C&gt;&lt;D xsi:type="xsd:double"&gt;1067.5538&lt;/D&gt;&lt;/FQL&gt;&lt;FQL&gt;&lt;Q&gt;INGM^FE_ESTIMATE(EBIT,MEAN,LTM4,,45866,,,'')&lt;/Q&gt;&lt;R&gt;1&lt;/R&gt;&lt;C&gt;1&lt;/C&gt;&lt;D xsi:type="xsd:double"&gt;1000.0097&lt;/D&gt;&lt;/FQL&gt;&lt;FQL&gt;&lt;Q&gt;DOCN^FE_ESTIMATE(EBIT,MEAN,CALA_ROLL,2027,45866,,,'')&lt;/Q&gt;&lt;R&gt;1&lt;/R&gt;&lt;C&gt;1&lt;/C&gt;&lt;D xsi:type="xsd:double"&gt;347.16965&lt;/D&gt;&lt;/FQL&gt;&lt;FQL&gt;&lt;Q&gt;DOCN^FE_ESTIMATE(EBIT,MEAN,CAL4,2026,45866,,,'')&lt;/Q&gt;&lt;R&gt;1&lt;/R&gt;&lt;C&gt;1&lt;/C&gt;&lt;D xsi:type="xsd:double"&gt;279.7376&lt;/D&gt;&lt;/FQL&gt;&lt;FQL&gt;&lt;Q&gt;DOCN^FE_ESTIMATE(EBIT,MEAN,CAL4,2025,45866,,,'')&lt;/Q&gt;&lt;R&gt;1&lt;/R&gt;&lt;C&gt;1&lt;/C&gt;&lt;D xsi:type="xsd:double"&gt;238.11806&lt;/D&gt;&lt;/FQL&gt;&lt;FQL&gt;&lt;Q&gt;DOCN^FE_ESTIMATE(EBIT,MEAN,CAL4,2024,45866,,,'')&lt;/Q&gt;&lt;R&gt;1&lt;/R&gt;&lt;C&gt;1&lt;/C&gt;&lt;D xsi:type="xsd:double"&gt;183.90977&lt;/D&gt;&lt;/FQL&gt;&lt;FQL&gt;&lt;Q&gt;DOCN^FE_ESTIMATE(EBIT,MEAN,CAL4,2023,45866,,,'')&lt;/Q&gt;&lt;R&gt;1&lt;/R&gt;&lt;C&gt;1&lt;/C&gt;&lt;D xsi:type="xsd:double"&gt;159.31778&lt;/D&gt;&lt;/FQL&gt;&lt;FQL&gt;&lt;Q&gt;DOCN^FE_ESTIMATE(EBIT,MEAN,NTM4,,45866,,,'')&lt;/Q&gt;&lt;R&gt;1&lt;/R&gt;&lt;C&gt;1&lt;/C&gt;&lt;D xsi:type="xsd:double"&gt;240.99915&lt;/D&gt;&lt;/FQL&gt;&lt;FQL&gt;&lt;Q&gt;DOCN^FE_ESTIMATE(EBIT,MEAN,LTM4,,45866,,,'')&lt;/Q&gt;&lt;R&gt;1&lt;/R&gt;&lt;C&gt;1&lt;/C&gt;&lt;D xsi:type="xsd:double"&gt;234.65727&lt;/D&gt;&lt;/FQL&gt;&lt;FQL&gt;&lt;Q&gt;GOOG^FE_ESTIMATE(EBIT,MEAN,CALA_ROLL,2027,45866,,,'')&lt;/Q&gt;&lt;R&gt;1&lt;/R&gt;&lt;C&gt;1&lt;/C&gt;&lt;D xsi:type="xsd:double"&gt;163022.5&lt;/D&gt;&lt;/FQL&gt;&lt;FQL&gt;&lt;Q&gt;GOOG^FE_ESTIMATE(EBIT,MEAN,CAL4,2026,45866,,,'')&lt;/Q&gt;&lt;R&gt;1&lt;/R&gt;&lt;C&gt;1&lt;/C&gt;&lt;D xsi:type="xsd:double"&gt;146128.05&lt;/D&gt;&lt;/FQL&gt;&lt;FQL&gt;&lt;Q&gt;GOOG^FE_ESTIMATE(EBIT,MEAN,CAL4,2025,45866,,,'')&lt;/Q&gt;&lt;R&gt;1&lt;/R&gt;&lt;C&gt;1&lt;/C&gt;&lt;D xsi:type="xsd:double"&gt;130301.12&lt;/D&gt;&lt;/FQL&gt;&lt;FQL&gt;&lt;Q&gt;GOOG^FE_ESTIMATE(EBIT,MEAN,CAL4,2024,45866,,,'')&lt;/Q&gt;&lt;R&gt;1&lt;/R&gt;&lt;C&gt;1&lt;/C&gt;&lt;D xsi:type="xsd:double"&gt;112401.06&lt;/D&gt;&lt;/FQL&gt;&lt;FQL&gt;&lt;Q&gt;GOOG^FE_ESTIMATE(EBIT,MEAN,CAL4,2023,45866,,,'')&lt;/Q&gt;&lt;R&gt;1&lt;/R&gt;&lt;C&gt;1&lt;/C&gt;&lt;D xsi:type="xsd:double"&gt;84280.03&lt;/D&gt;&lt;/FQL&gt;&lt;FQL&gt;&lt;Q&gt;GOOG^FE_ESTIMATE(EBIT,MEAN,NTM4,,45866,,,'')&lt;/Q&gt;&lt;R&gt;1&lt;/R&gt;&lt;C&gt;1&lt;/C&gt;&lt;D xsi:type="xsd:double"&gt;138186.72&lt;/D&gt;&lt;/FQL&gt;&lt;FQL&gt;&lt;Q&gt;GOOG^FE_ESTIMATE(EBIT,MEAN,LTM4,,45866,,,'')&lt;/Q&gt;&lt;R&gt;1&lt;/R&gt;&lt;C&gt;1&lt;/C&gt;&lt;D xsi:type="xsd:double"&gt;121391.4&lt;/D&gt;&lt;/FQL&gt;&lt;FQL&gt;&lt;Q&gt;AMZN^FE_ESTIMATE(EBIT,MEAN,CALA_ROLL,2027,45866,,,'')&lt;/Q&gt;&lt;R&gt;1&lt;/R&gt;&lt;C&gt;1&lt;/C&gt;&lt;D xsi:type="xsd:double"&gt;117238.45&lt;/D&gt;&lt;/FQL&gt;&lt;FQL&gt;&lt;Q&gt;AMZN^FE_ESTIMATE(EBIT,MEAN,CAL4,2026,45866,,,'')&lt;/Q&gt;&lt;R&gt;1&lt;/R&gt;&lt;C&gt;1&lt;/C&gt;&lt;D xsi:type="xsd:double"&gt;93612.22&lt;/D&gt;&lt;/FQL&gt;&lt;FQL&gt;&lt;Q&gt;AMZN^FE_ESTIMATE(EBIT,MEAN,CAL4,2025,45866,,,'')&lt;/Q&gt;&lt;R&gt;1&lt;/R&gt;&lt;C&gt;1&lt;/C&gt;&lt;D xsi:type="xsd:double"&gt;78260.18&lt;/D&gt;&lt;/FQL&gt;&lt;FQL&gt;&lt;Q&gt;AMZN^FE_ESTIMATE(EBIT,MEAN,CAL4,2024,45866,,,'')&lt;/Q&gt;&lt;R&gt;1&lt;/R&gt;&lt;C&gt;1&lt;/C&gt;&lt;D xsi:type="xsd:double"&gt;68593&lt;/D&gt;&lt;/FQL&gt;&lt;FQL&gt;&lt;Q&gt;AMZN^FE_ESTIMATE(EBIT,MEAN,CAL4,2023,45866,,,'')&lt;/Q&gt;&lt;R&gt;1&lt;/R&gt;&lt;C&gt;1&lt;/C&gt;&lt;D xsi:type="xsd:double"&gt;36852&lt;/D&gt;&lt;/FQL&gt;&lt;FQL&gt;&lt;Q&gt;AMZN^FE_ESTIMATE(EBIT,MEAN,NTM4,,45866,,,'')&lt;/Q&gt;&lt;R&gt;1&lt;/R&gt;&lt;C&gt;1&lt;/C&gt;&lt;D xsi:type="xsd:double"&gt;81446.836&lt;/D&gt;&lt;/FQL&gt;&lt;FQL&gt;&lt;Q&gt;AMZN^FE_ESTIMATE(EBIT,MEAN,LTM4,,45866,,,'')&lt;/Q&gt;&lt;R&gt;1&lt;/R&gt;&lt;C&gt;1&lt;/C&gt;&lt;D xsi:type="xsd:double"&gt;71691&lt;/D&gt;&lt;/FQL&gt;&lt;FQL&gt;&lt;Q&gt;ORCL^FE_ESTIMATE(EBIT,MEAN,CALA_ROLL,2027,45866,,,'')&lt;/Q&gt;&lt;R&gt;1&lt;/R&gt;&lt;C&gt;1&lt;/C&gt;&lt;D xsi:type="xsd:double"&gt;37273.56&lt;/D&gt;&lt;/FQL&gt;&lt;FQL&gt;&lt;Q&gt;ORCL^FE_ESTIMATE(EBIT,MEAN,CAL4,2026,45866,,,'')&lt;/Q&gt;&lt;R&gt;1&lt;/R&gt;&lt;C&gt;1&lt;/C&gt;&lt;D xsi:type="xsd:double"&gt;30577.176&lt;/D&gt;&lt;/FQL&gt;&lt;FQL&gt;&lt;Q&gt;ORCL^FE_ESTIMATE(EBIT,MEAN,CAL4,2025,45866,,,'')&lt;/Q&gt;&lt;R&gt;1&lt;/R&gt;&lt;C&gt;1&lt;/C&gt;&lt;D xsi:type="xsd:double"&gt;26143.893&lt;/D&gt;&lt;/FQL&gt;&lt;FQL&gt;&lt;Q&gt;ORCL^FE_ESTIMATE(EBIT,MEAN,CAL4,2024,45866,,,'')&lt;/Q&gt;&lt;R&gt;1&lt;/R&gt;&lt;C&gt;1&lt;/C&gt;&lt;D xsi:type="xsd:double"&gt;24264.9&lt;/D&gt;&lt;/FQL&gt;&lt;FQL&gt;&lt;Q&gt;ORCL^FE_ESTIMATE(EBIT,MEAN,CAL4,2023,45866,,,'')&lt;/Q&gt;&lt;R&gt;1&lt;/R&gt;&lt;C&gt;1&lt;/C&gt;&lt;D xsi:type="xsd:double"&gt;21846.732&lt;/D&gt;&lt;/FQL&gt;&lt;FQL&gt;&lt;Q&gt;ORCL^FE_ESTIMATE(EBIT,MEAN,NTM4,,45866,,,'')&lt;/Q&gt;&lt;R&gt;1&lt;/R&gt;&lt;C&gt;1&lt;/C&gt;&lt;D xsi:type="xsd:double"&gt;28002.295&lt;/D&gt;&lt;/FQL&gt;&lt;FQL&gt;&lt;Q&gt;ORCL^FE_ESTIMATE(EBIT,MEAN,LTM4,,45866,,,'')&lt;/Q&gt;&lt;R&gt;1&lt;/R&gt;&lt;C&gt;1&lt;/C&gt;&lt;D xsi:type="xsd:double"&gt;25033.926&lt;/D&gt;&lt;/FQL&gt;&lt;FQL&gt;&lt;Q&gt;IBM^FE_ESTIMATE(EBIT,MEAN,CALA_ROLL,2027,45866,,,'')&lt;/Q&gt;&lt;R&gt;1&lt;/R&gt;&lt;C&gt;1&lt;/C&gt;&lt;D xsi:type="xsd:double"&gt;14981.076&lt;/D&gt;&lt;/FQL&gt;&lt;FQL&gt;&lt;Q&gt;IBM^FE_ESTIMATE(EBIT,MEAN,CAL4,2026,45866,,,'')&lt;/Q&gt;&lt;R&gt;1&lt;/R&gt;&lt;C&gt;1&lt;/C&gt;&lt;D xsi:type="xsd:double"&gt;13981.202&lt;/D&gt;&lt;/FQL&gt;&lt;FQL&gt;&lt;Q&gt;IBM^FE_ESTIMATE(EBIT,MEAN,CAL4,2025,45866,,,'')&lt;/Q&gt;&lt;R&gt;1&lt;/R&gt;&lt;C&gt;1&lt;/C&gt;&lt;D xsi:type="xsd:double"&gt;12921.503&lt;/D&gt;&lt;/FQL&gt;&lt;FQL&gt;&lt;Q&gt;IBM^FE_ESTIMATE(EBIT,MEAN,CAL4,2024,45866,,,'')&lt;/Q&gt;&lt;R&gt;1&lt;/R&gt;&lt;C&gt;1&lt;/C&gt;&lt;D xsi:type="xsd:double"&gt;11312.172&lt;/D&gt;&lt;/FQL&gt;&lt;FQL&gt;&lt;Q&gt;IBM^FE_ESTIMATE(EBIT,MEAN,CAL4,2023,45866,,,'')&lt;/Q&gt;&lt;R&gt;1&lt;/R&gt;&lt;C&gt;1&lt;/C&gt;&lt;D xsi:type="xsd:double"&gt;10434.986&lt;/D&gt;&lt;/FQL&gt;&lt;FQL&gt;&lt;Q&gt;IBM^FE_ESTIMATE(EBIT,MEAN,NTM4,,45866,,,'')&lt;/Q&gt;&lt;R&gt;1&lt;/R&gt;&lt;C&gt;1&lt;/C&gt;&lt;D xsi:type="xsd:double"&gt;13522.903&lt;/D&gt;&lt;/FQL&gt;&lt;FQL&gt;&lt;Q&gt;IBM^FE_ESTIMATE(EBIT,MEAN,LTM4,,45866,,,'')&lt;/Q&gt;&lt;R&gt;1&lt;/R&gt;&lt;C&gt;1&lt;/C&gt;&lt;D xsi:type="xsd:double"&gt;12063.65&lt;/D&gt;&lt;/FQL&gt;&lt;FQL&gt;&lt;Q&gt;EQIX^FE_ESTIMATE(EBIT,MEAN,CALA_ROLL,2027,45866,,,'')&lt;/Q&gt;&lt;R&gt;1&lt;/R&gt;&lt;C&gt;1&lt;/C&gt;&lt;D xsi:type="xsd:double"&gt;2458.523&lt;/D&gt;&lt;/FQL&gt;&lt;FQL&gt;&lt;Q&gt;EQIX^FE_ESTIMATE(EBIT,MEAN,CAL4,2026,45866,,,'')&lt;/Q&gt;&lt;R&gt;1&lt;/R&gt;&lt;C&gt;1&lt;/C&gt;&lt;D xsi:type="xsd:double"&gt;2254.692&lt;/D&gt;&lt;/FQL&gt;&lt;FQL&gt;&lt;Q&gt;EQIX^FE_ESTIMATE(EBIT,MEAN,CAL4,2025,45866,,,'')&lt;/Q&gt;&lt;R&gt;1&lt;/R&gt;&lt;C&gt;1&lt;/C&gt;&lt;D xsi:type="xsd:double"&gt;1988.9249&lt;/D&gt;&lt;/FQL&gt;&lt;FQL&gt;&lt;Q&gt;EQIX^FE_ESTIMATE(EBIT,MEAN,CAL4,2024,45866,,,'')&lt;/Q&gt;&lt;R&gt;1&lt;/R&gt;&lt;C&gt;1&lt;/C&gt;&lt;D xsi:type="xsd:double"&gt;1688.5778&lt;/D&gt;&lt;/FQL&gt;&lt;FQL&gt;&lt;Q&gt;EQIX^FE_ESTIMATE(EBIT,MEAN,CAL4,2023,45866,,,'')&lt;/Q&gt;&lt;R&gt;1&lt;/R&gt;&lt;C&gt;1&lt;/C&gt;&lt;D xsi:type="xsd:double"&gt;1442.8859&lt;/D&gt;&lt;/FQL&gt;&lt;FQL&gt;&lt;Q&gt;EQIX^FE_ESTIMATE(EBIT,MEAN,NTM4,,45866,,,'')&lt;/Q&gt;&lt;R&gt;1&lt;/R&gt;&lt;C&gt;1&lt;/C&gt;&lt;D xsi:type="xsd:double"&gt;2077.8447&lt;/D&gt;&lt;/FQL&gt;&lt;FQL&gt;&lt;Q&gt;EQIX^FE_ESTIMATE(EBIT,MEAN,LTM4,,45866,,,'')&lt;/Q&gt;&lt;R&gt;1&lt;/R&gt;&lt;C&gt;1&lt;/C&gt;&lt;D xsi:type="xsd:double"&gt;1785.6333&lt;/D&gt;&lt;/FQL&gt;&lt;FQL&gt;&lt;Q&gt;DLR^FE_ESTIMATE(EBIT,MEAN,CALA_ROLL,2027,45866,,,'')&lt;/Q&gt;&lt;R&gt;1&lt;/R&gt;&lt;C&gt;1&lt;/C&gt;&lt;D xsi:type="xsd:double"&gt;1384.1514&lt;/D&gt;&lt;/FQL&gt;&lt;FQL&gt;&lt;Q&gt;DLR^FE_ESTIMATE(EBIT,MEAN,CAL4,2026,45866,,,'')&lt;/Q&gt;&lt;R&gt;1&lt;/R&gt;&lt;C&gt;1&lt;/C&gt;&lt;D xsi:type="xsd:double"&gt;1092.7994&lt;/D&gt;&lt;/FQL&gt;&lt;FQL&gt;&lt;Q&gt;DLR^FE_ESTIMATE(EBIT,MEAN,CAL4,2025,45866,,,'')&lt;/Q&gt;&lt;R&gt;1&lt;/R&gt;&lt;C&gt;1&lt;/C&gt;&lt;D xsi:type="xsd:double"&gt;854.7524&lt;/D&gt;&lt;/FQL&gt;&lt;FQL&gt;&lt;Q&gt;DLR^FE_ESTIMATE(EBIT,MEAN,CAL4,2024,45866,,,'')&lt;/Q&gt;&lt;R&gt;1&lt;/R&gt;&lt;C&gt;1&lt;/C&gt;&lt;D xsi:type="xsd:double"&gt;484.77356&lt;/D&gt;&lt;/FQL&gt;&lt;FQL&gt;&lt;Q&gt;DLR^FE_ESTIMATE(EBIT,MEAN,CAL4,2023,45866,,,'')&lt;/Q&gt;&lt;R&gt;1&lt;/R&gt;&lt;C&gt;1&lt;/C&gt;&lt;D xsi:type="xsd:double"&gt;524.37494&lt;/D&gt;&lt;/FQL&gt;&lt;FQL&gt;&lt;Q&gt;DLR^FE_ESTIMATE(EBIT,MEAN,NTM4,,45866,,,'')&lt;/Q&gt;&lt;R&gt;1&lt;/R&gt;&lt;C&gt;1&lt;/C&gt;&lt;D xsi:type="xsd:double"&gt;973.10767&lt;/D&gt;&lt;/FQL&gt;&lt;FQL&gt;&lt;Q&gt;DLR^FE_ESTIMATE(EBIT,MEAN,LTM4,,45866,,,'')&lt;/Q&gt;&lt;R&gt;1&lt;/R&gt;&lt;C&gt;1&lt;/C&gt;&lt;D xsi:type="xsd:double"&gt;722.31494&lt;/D&gt;&lt;/FQL&gt;&lt;FQL&gt;&lt;Q&gt;NVDA^FE_ESTIMATE(EBIT,MEAN,CALA_ROLL,2027,45866,,,'')&lt;/Q&gt;&lt;R&gt;1&lt;/R&gt;&lt;C&gt;1&lt;/C&gt;&lt;D xsi:type="xsd:double"&gt;190397.16&lt;/D&gt;&lt;/FQL&gt;&lt;FQL&gt;&lt;Q&gt;NVDA^FE_ESTIMATE(EBIT,MEAN,CAL4,2026,45866,,,'')&lt;/Q&gt;&lt;R&gt;1&lt;/R&gt;&lt;C&gt;1&lt;/C&gt;&lt;D xsi:type="xsd:double"&gt;169036.13&lt;/D&gt;&lt;/FQL&gt;&lt;FQL&gt;&lt;Q&gt;NVDA^FE_ESTIMATE(EBIT,MEAN,CAL4,2025,45866,,,'')&lt;/Q&gt;&lt;R&gt;1&lt;/R&gt;&lt;C&gt;1&lt;/C&gt;&lt;D xsi:type="xsd:double"&gt;124943.11&lt;/D&gt;&lt;/FQL&gt;&lt;FQL&gt;&lt;Q&gt;NVDA^FE_ESTIMATE(EBIT,MEAN,CAL4,2024,45866,,,'')&lt;/Q&gt;&lt;R&gt;1&lt;/R&gt;&lt;C&gt;1&lt;/C&gt;&lt;D xsi:type="xsd:double"&gt;86538.56&lt;/D&gt;&lt;/FQL&gt;&lt;FQL&gt;&lt;Q&gt;NVDA^FE_ESTIMATE(EBIT,MEAN,CAL4,2023,45866,,,'')&lt;/Q&gt;&lt;R&gt;1&lt;/R&gt;&lt;C&gt;1&lt;/C&gt;&lt;D xsi:type="xsd:double"&gt;37133.996&lt;/D&gt;&lt;/FQL&gt;&lt;FQL&gt;&lt;Q&gt;NVDA^FE_ESTIMATE(EBIT,MEAN,NTM4,,45866,,,'')&lt;/Q&gt;&lt;R&gt;1&lt;/R&gt;&lt;C&gt;1&lt;/C&gt;&lt;D xsi:type="xsd:double"&gt;141423.77&lt;/D&gt;&lt;/FQL&gt;&lt;FQL&gt;&lt;Q&gt;NVDA^FE_ESTIMATE(EBIT,MEAN,LTM4,,45866,,,'')&lt;/Q&gt;&lt;R&gt;1&lt;/R&gt;&lt;C&gt;1&lt;/C&gt;&lt;D xsi:type="xsd:double"&gt;91720.18&lt;/D&gt;&lt;/FQL&gt;&lt;FQL&gt;&lt;Q&gt;MSFT^FE_ESTIMATE(EBIT,MEAN,CALA_ROLL,2027,45866,,,'')&lt;/Q&gt;&lt;R&gt;1&lt;/R&gt;&lt;C&gt;1&lt;/C&gt;&lt;D xsi:type="xsd:double"&gt;178025.03&lt;/D&gt;&lt;/FQL&gt;&lt;FQL&gt;&lt;Q&gt;MSFT^FE_ESTIMATE(EBIT,MEAN,CAL4,2026,45866,,,'')&lt;/Q&gt;&lt;R&gt;1&lt;/R&gt;&lt;C&gt;1&lt;/C&gt;&lt;D xsi:type="xsd:double"&gt;152008.81&lt;/D&gt;&lt;/FQL&gt;&lt;FQL&gt;&lt;Q&gt;MSFT^FE_ESTIMATE(EBIT,MEAN,CAL4,2025,45866,,,'')&lt;/Q&gt;&lt;R&gt;1&lt;/R&gt;&lt;C&gt;1&lt;/C&gt;&lt;D xsi:type="xsd:double"&gt;133620.73&lt;/D&gt;&lt;/FQL&gt;&lt;FQL&gt;&lt;Q&gt;MSFT^FE_ESTIMATE(EBIT,MEAN,CAL4,2024,45866,,,'')&lt;/Q&gt;&lt;R&gt;1&lt;/R&gt;&lt;C&gt;1&lt;/C&gt;&lt;D xsi:type="xsd:double"&gt;117698.59&lt;/D&gt;&lt;/FQL&gt;&lt;FQL&gt;&lt;Q&gt;MSFT^FE_ESTIMATE(EBIT,MEAN,CAL4,2023,45866,,,'')&lt;/Q&gt;&lt;R&gt;1&lt;/R&gt;&lt;C&gt;1&lt;/C&gt;&lt;D xsi:type="xsd:double"&gt;100451.96&lt;/D&gt;&lt;/FQL&gt;&lt;FQL&gt;&lt;Q&gt;MSFT^FE_ESTIMATE(EBIT,MEAN,NTM4,,45866,,,'')&lt;/Q&gt;&lt;R&gt;1&lt;/R&gt;&lt;C&gt;1&lt;/C&gt;&lt;D xsi:type="xsd:double"&gt;137667.25&lt;/D&gt;&lt;/FQL&gt;&lt;FQL&gt;&lt;Q&gt;MSFT^FE_ESTIMATE(EBIT,MEAN,LTM4,,45866,,,'')&lt;/Q&gt;&lt;R&gt;1&lt;/R&gt;&lt;C&gt;1&lt;/C&gt;&lt;D xsi:type="xsd:double"&gt;122116.195&lt;/D&gt;&lt;/FQL&gt;&lt;FQL&gt;&lt;Q&gt;AVT^FE_ESTIMATE(SALES,MEAN,CALA_ROLL,2027,45866,,,'')&lt;/Q&gt;&lt;R&gt;0&lt;/R&gt;&lt;C&gt;0&lt;/C&gt;&lt;/FQL&gt;&lt;FQL&gt;&lt;Q&gt;AVT^FE_ESTIMATE(SALES,MEAN,CAL4,2026,45866,,,'')&lt;/Q&gt;&lt;R&gt;1&lt;/R&gt;&lt;C&gt;1&lt;/C&gt;&lt;D xsi:type="xsd:double"&gt;23477.775&lt;/D&gt;&lt;/FQL&gt;&lt;FQL&gt;&lt;Q&gt;AVT^FE_ESTIMATE(SALES,MEAN,CAL4,2025,45866,,,'')&lt;/Q&gt;&lt;R&gt;1&lt;/R&gt;&lt;C&gt;1&lt;/C&gt;&lt;D xsi:type="xsd:double"&gt;21905.229&lt;/D&gt;&lt;/FQL&gt;&lt;FQL&gt;&lt;Q&gt;AVT^FE_ESTIMATE(SALES,MEAN,CAL4,2024,45866,,,'')&lt;/Q&gt;&lt;R&gt;1&lt;/R&gt;&lt;C&gt;1&lt;/C&gt;&lt;D xsi:type="xsd:double"&gt;22484.129&lt;/D&gt;&lt;/FQL&gt;&lt;FQL&gt;&lt;Q&gt;AVT^FE_ESTIMATE(SALES,MEAN,CAL4,2023,45866,,,'')&lt;/Q&gt;&lt;R&gt;1&lt;/R&gt;&lt;C&gt;1&lt;/C&gt;&lt;D xsi:type="xsd:double"&gt;25609.723&lt;/D&gt;&lt;/FQL&gt;&lt;FQL&gt;&lt;Q&gt;AVT^FE_ESTIMATE(SALES,MEAN,NTM4,,45866,,,'')&lt;/Q&gt;&lt;R&gt;1&lt;/R&gt;&lt;C&gt;1&lt;/C&gt;&lt;D xsi:type="xsd:double"&gt;22235.248&lt;/D&gt;&lt;/FQL&gt;&lt;FQL&gt;&lt;Q&gt;AVT^FE_ESTIMATE(SALES,MEAN,LTM4,,45866,,,'')&lt;/Q&gt;&lt;R&gt;1&lt;/R&gt;&lt;C&gt;1&lt;/C&gt;&lt;D xsi:type="xsd:double"&gt;22145.951&lt;/D&gt;&lt;/FQL&gt;&lt;FQL&gt;&lt;Q&gt;AVT^FG_PRICE(45866)&lt;/Q&gt;&lt;R&gt;1&lt;/R&gt;&lt;C&gt;1&lt;/C&gt;&lt;D xsi:type="xsd:double"&gt;54.12&lt;/D&gt;&lt;/FQL&gt;&lt;FQL&gt;&lt;Q&gt;AVT^FF_ENTRPR_VAL_DAILY(45866,,,,,"DIL")&lt;/Q&gt;&lt;R&gt;1&lt;/R&gt;&lt;C&gt;1&lt;/C&gt;&lt;D xsi:type="xsd:double"&gt;7345.08912&lt;/D&gt;&lt;/FQL&gt;&lt;FQL&gt;&lt;Q&gt;AVT^FREF_MARKET_VALUE_COMPANY(45866,,,,,0,,"LEGACY")&lt;/Q&gt;&lt;R&gt;1&lt;/R&gt;&lt;C&gt;1&lt;/C&gt;&lt;D xsi:type="xsd:double"&gt;4538.35791015625&lt;/D&gt;&lt;/FQL&gt;&lt;FQL&gt;&lt;Q&gt;ARW^FE_ESTIMATE(SALES,MEAN,CALA_ROLL,2027,45866,,,'')&lt;/Q&gt;&lt;R&gt;1&lt;/R&gt;&lt;C&gt;1&lt;/C&gt;&lt;D xsi:type="xsd:double"&gt;34074.42&lt;/D&gt;&lt;/FQL&gt;&lt;FQL&gt;&lt;Q&gt;ARW^FE_ESTIMATE(SALES,MEAN,CAL4,2026,45866,,,'')&lt;/Q&gt;&lt;R&gt;1&lt;/R&gt;&lt;C&gt;1&lt;/C&gt;&lt;D xsi:type="xsd:double"&gt;30970.732&lt;/D&gt;&lt;/FQL&gt;&lt;FQL&gt;&lt;Q&gt;ARW^FE_ESTIMATE(SALES,MEAN,CAL4,2025,45866,,,'')&lt;/Q&gt;&lt;R&gt;1&lt;/R&gt;&lt;C&gt;1&lt;/C&gt;&lt;D xsi:type="xsd:double"&gt;29308.266&lt;/D&gt;&lt;/FQL&gt;&lt;FQL&gt;&lt;Q&gt;ARW^FE_ESTIMATE(SALES,MEAN,CAL4,2024,45866,,,'')&lt;/Q&gt;&lt;R&gt;1&lt;/R&gt;&lt;C&gt;1&lt;/C&gt;&lt;D xsi:type="xsd:double"&gt;27923.324&lt;/D&gt;&lt;/FQL&gt;&lt;FQL&gt;&lt;Q&gt;ARW^FE_ESTIMATE(SALES,MEAN,CAL4,2023,45866,,,'')&lt;/Q&gt;&lt;R&gt;1&lt;/R&gt;&lt;C&gt;1&lt;/C&gt;&lt;D xsi:type="xsd:double"&gt;33107.12&lt;/D&gt;&lt;/FQL&gt;&lt;FQL&gt;&lt;Q&gt;ARW^FE_ESTIMATE(SALES,MEAN,NTM4,,45866,,,'')&lt;/Q&gt;&lt;R&gt;1&lt;/R&gt;&lt;C&gt;1&lt;/C&gt;&lt;D xsi:type="xsd:double"&gt;29784.848&lt;/D&gt;&lt;/FQL&gt;&lt;FQL&gt;&lt;Q&gt;ARW^FE_ESTIMATE(SALES,MEAN,LTM4,,45866,,,'')&lt;/Q&gt;&lt;R&gt;1&lt;/R&gt;&lt;C&gt;1&lt;/C&gt;&lt;D xsi:type="xsd:double"&gt;27813.08&lt;/D&gt;&lt;/FQL&gt;&lt;FQL&gt;&lt;Q&gt;ARW^FG_PRICE(45866)&lt;/Q&gt;&lt;R&gt;1&lt;/R&gt;&lt;C&gt;1&lt;/C&gt;&lt;D xsi:type="xsd:double"&gt;128.71&lt;/D&gt;&lt;/FQL&gt;&lt;FQL&gt;&lt;Q&gt;ARW^FF_ENTRPR_VAL_DAILY(45866,,,,,"DIL")&lt;/Q&gt;&lt;R&gt;1&lt;/R&gt;&lt;C&gt;1&lt;/C&gt;&lt;D xsi:type="xsd:double"&gt;9463.68854&lt;/D&gt;&lt;/FQL&gt;&lt;FQL&gt;&lt;Q&gt;ARW^FREF_MARKET_VALUE_COMPANY(45866,,,,,0,,"LEGACY")&lt;/Q&gt;&lt;R&gt;1&lt;/R&gt;&lt;C&gt;1&lt;/C&gt;&lt;D xsi:type="xsd:double"&gt;6676.701171875&lt;/D&gt;&lt;/FQL&gt;&lt;FQL&gt;&lt;Q&gt;SNX^FE_ESTIMATE(SALES,MEAN,CALA_ROLL,2027,45866,,,'')&lt;/Q&gt;&lt;R&gt;0&lt;/R&gt;&lt;C&gt;0&lt;/C&gt;&lt;/FQL&gt;&lt;FQL&gt;&lt;Q&gt;SNX^FE_ESTIMATE(SALES,MEAN,CAL4,2026,45866,,,'')&lt;/Q&gt;&lt;R&gt;1&lt;/R&gt;&lt;C&gt;1&lt;/C&gt;&lt;D xsi:type="xsd:double"&gt;62998.043&lt;/D&gt;&lt;/FQL&gt;&lt;FQL&gt;&lt;Q&gt;SNX^FE_ESTIMATE(SALES,MEAN,CAL4,2025,45866,,,'')&lt;/Q&gt;&lt;R&gt;1&lt;/R&gt;&lt;C&gt;1&lt;/C&gt;&lt;D xsi:type="xsd:double"&gt;60601.17&lt;/D&gt;&lt;/FQL&gt;&lt;FQL&gt;&lt;Q&gt;SNX^FE_ESTIMATE(SALES,MEAN,CAL4,2024,45866,,,'')&lt;/Q&gt;&lt;R&gt;1&lt;/R&gt;&lt;C&gt;1&lt;/C&gt;&lt;D xsi:type="xsd:double"&gt;58452.438&lt;/D&gt;&lt;/FQL&gt;&lt;FQL&gt;&lt;Q&gt;SNX^FE_ESTIMATE(SALES,MEAN,CAL4,2023,45866,,,'')&lt;/Q&gt;&lt;R&gt;1&lt;/R&gt;&lt;C&gt;1&lt;/C&gt;&lt;D xsi:type="xsd:double"&gt;57555.414&lt;/D&gt;&lt;/FQL&gt;&lt;FQL&gt;&lt;Q&gt;SNX^FE_ESTIMATE(SALES,MEAN,NTM4,,45866,,,'')&lt;/Q&gt;&lt;R&gt;1&lt;/R&gt;&lt;C&gt;1&lt;/C&gt;&lt;D xsi:type="xsd:double"&gt;61677.785&lt;/D&gt;&lt;/FQL&gt;&lt;FQL&gt;&lt;Q&gt;SNX^FE_ESTIMATE(SALES,MEAN,LTM4,,45866,,,'')&lt;/Q&gt;&lt;R&gt;1&lt;/R&gt;&lt;C&gt;1&lt;/C&gt;&lt;D xsi:type="xsd:double"&gt;60007.28&lt;/D&gt;&lt;/FQL&gt;&lt;FQL&gt;&lt;Q&gt;SNX^FG_PRICE(45866)&lt;/Q&gt;&lt;R&gt;1&lt;/R&gt;&lt;C&gt;1&lt;/C&gt;&lt;D xsi:type="xsd:double"&gt;148.15&lt;/D&gt;&lt;/FQL&gt;&lt;FQL&gt;&lt;Q&gt;SNX^FF_ENTRPR_VAL_DAILY(45866,,,,,"DIL")&lt;/Q&gt;&lt;R&gt;1&lt;/R&gt;&lt;C&gt;1&lt;/C&gt;&lt;D xsi:type="xsd:double"&gt;15625.42625&lt;/D&gt;&lt;/FQL&gt;&lt;FQL&gt;&lt;Q&gt;SNX^FREF_MARKET_VALUE_COMPANY(45866,,,,,0,,"LEGACY")&lt;/Q&gt;&lt;R&gt;1&lt;/R&gt;&lt;C&gt;1&lt;/C&gt;&lt;D xsi:type="xsd:double"&gt;12217.4970703125&lt;/D&gt;&lt;/FQL&gt;&lt;FQL&gt;&lt;Q&gt;CDW^FE_ESTIMATE(SALES,MEAN,CALA_ROLL,2027,45866,,,'')&lt;/Q&gt;&lt;R&gt;1&lt;/R&gt;&lt;C&gt;1&lt;/C&gt;&lt;D xsi:type="xsd:double"&gt;23734.23&lt;/D&gt;&lt;/FQL&gt;&lt;FQL&gt;&lt;Q&gt;CDW^FE_ESTIMATE(SALES,MEAN,CAL4,2026,45866,,,'')&lt;/Q&gt;&lt;R&gt;1&lt;/R&gt;&lt;C&gt;1&lt;/C&gt;&lt;D xsi:type="xsd:double"&gt;22481.066&lt;/D&gt;&lt;/FQL&gt;&lt;FQL&gt;&lt;Q&gt;CDW^FE_ESTIMATE(SALES,MEAN,CAL4,2025,45866,,,'')&lt;/Q&gt;&lt;R&gt;1&lt;/R&gt;&lt;C&gt;1&lt;/C&gt;&lt;D xsi:type="xsd:double"&gt;21618.578&lt;/D&gt;&lt;/FQL&gt;&lt;FQL&gt;&lt;Q&gt;CDW^FE_ESTIMATE(SALES,MEAN,CAL4,2024,45866,,,'')&lt;/Q&gt;&lt;R&gt;1&lt;/R&gt;&lt;C&gt;1&lt;/C&gt;&lt;D xsi:type="xsd:double"&gt;20998.7&lt;/D&gt;&lt;/FQL&gt;&lt;FQL&gt;&lt;Q&gt;CDW^FE_ESTIMATE(SALES,MEAN,CAL4,2023,45866,,,'')&lt;/Q&gt;&lt;R&gt;1&lt;/R&gt;&lt;C&gt;1&lt;/C&gt;&lt;D xsi:type="xsd:double"&gt;21376&lt;/D&gt;&lt;/FQL&gt;&lt;FQL&gt;&lt;Q&gt;CDW^FE_ESTIMATE(SALES,MEAN,NTM4,,45866,,,'')&lt;/Q&gt;&lt;R&gt;1&lt;/R&gt;&lt;C&gt;1&lt;/C&gt;&lt;D xsi:type="xsd:double"&gt;21711.68&lt;/D&gt;&lt;/FQL&gt;&lt;FQL&gt;&lt;Q&gt;CDW^FE_ESTIMATE(SALES,MEAN,LTM4,,45866,,,'')&lt;/Q&gt;&lt;R&gt;1&lt;/R&gt;&lt;C&gt;1&lt;/C&gt;&lt;D xsi:type="xsd:double"&gt;21325.1&lt;/D&gt;&lt;/FQL&gt;&lt;FQL&gt;&lt;Q&gt;CDW^FG_PRICE(45866)&lt;/Q&gt;&lt;R&gt;1&lt;/R&gt;&lt;C&gt;1&lt;/C&gt;&lt;D xsi:type="xsd:double"&gt;181.78&lt;/D&gt;&lt;/FQL&gt;&lt;FQL&gt;&lt;Q&gt;CDW^FF_ENTRPR_VAL_DAILY(45866,,,,,"DIL")&lt;/Q&gt;&lt;R&gt;1&lt;/R&gt;&lt;C&gt;1&lt;/C&gt;&lt;D xsi:type="xsd:double"&gt;29916.83&lt;/D&gt;&lt;/FQL&gt;&lt;FQL&gt;&lt;Q&gt;CDW^FREF_MARKET_VALUE_COMPANY(45866,,,,,0,,"LEGACY")&lt;/Q&gt;&lt;R&gt;1&lt;/R&gt;&lt;C&gt;1&lt;/C&gt;&lt;D xsi:type="xsd:double"&gt;23937.7265625&lt;/D&gt;&lt;/FQL&gt;&lt;FQL&gt;&lt;Q&gt;INGM^FE_ESTIMATE(SALES,MEAN,CALA_ROLL,2027,45866,,,'')&lt;/Q&gt;&lt;R&gt;1&lt;/R&gt;&lt;C&gt;1&lt;/C&gt;&lt;D xsi:type="xsd:double"&gt;53455.813&lt;/D&gt;&lt;/FQL&gt;&lt;FQL&gt;&lt;Q&gt;INGM^FE_ESTIMATE(SALES,MEAN,CAL4,2026,45866,,,'')&lt;/Q&gt;&lt;R&gt;1&lt;/R&gt;&lt;C&gt;1&lt;/C&gt;&lt;D xsi:type="xsd:double"&gt;51714.504&lt;/D&gt;&lt;/FQL&gt;&lt;FQL&gt;&lt;Q&gt;INGM^FE_ESTIMATE(SALES,MEAN,CAL4,2025,45866,,,'')&lt;/Q&gt;&lt;R&gt;1&lt;/R&gt;&lt;C&gt;1&lt;/C&gt;&lt;D xsi:type="xsd:double"&gt;50084.223&lt;/D&gt;&lt;/FQL&gt;&lt;FQL&gt;&lt;Q&gt;INGM^FE_ESTIMATE(SALES,MEAN,CAL4,2024,45866,,,'')&lt;/Q&gt;&lt;R&gt;0&lt;/R&gt;&lt;C&gt;0&lt;/C&gt;&lt;/FQL&gt;&lt;FQL&gt;&lt;Q&gt;INGM^FE_ESTIMATE(SALES,MEAN,CAL4,2023,45866,,,'')&lt;/Q&gt;&lt;R&gt;0&lt;/R&gt;&lt;C&gt;0&lt;/C&gt;&lt;/FQL&gt;&lt;FQL&gt;&lt;Q&gt;INGM^FE_ESTIMATE(SALES,MEAN,NTM4,,45866,,,'')&lt;/Q&gt;&lt;R&gt;1&lt;/R&gt;&lt;C&gt;1&lt;/C&gt;&lt;D xsi:type="xsd:double"&gt;50253.367&lt;/D&gt;&lt;/FQL&gt;&lt;FQL&gt;&lt;Q&gt;INGM^FE_ESTIMATE(SALES,MEAN,LTM4,,45866,,,'')&lt;/Q&gt;&lt;R&gt;1&lt;/R&gt;&lt;C&gt;1&lt;/C&gt;&lt;D xsi:type="xsd:double"&gt;48929.313&lt;/D&gt;&lt;/FQL&gt;&lt;FQL&gt;&lt;Q&gt;INGM^FG_PRICE(45866)&lt;/Q&gt;&lt;R&gt;1&lt;/R&gt;&lt;C&gt;1&lt;/C&gt;&lt;D xsi:type="xsd:double"&gt;21&lt;/D&gt;&lt;/FQL&gt;&lt;FQL&gt;&lt;Q&gt;INGM^FF_ENTRPR_VAL_DAILY(45866,,,,,"DIL")&lt;/Q&gt;&lt;R&gt;1&lt;/R&gt;&lt;C&gt;1&lt;/C&gt;&lt;D xsi:type="xsd:double"&gt;8013.739918&lt;/D&gt;&lt;/FQL&gt;&lt;FQL&gt;&lt;Q&gt;INGM^FREF_MARKET_VALUE_COMPANY(45866,,,,,0,,"LEGACY")&lt;/Q&gt;&lt;R&gt;1&lt;/R&gt;&lt;C&gt;1&lt;/C&gt;&lt;D xsi:type="xsd:double"&gt;4931.5771484375&lt;/D&gt;&lt;/FQL&gt;&lt;FQL&gt;&lt;Q&gt;NBIS^FE_ESTIMATE(SALES,MEAN,CALA_ROLL,2027,45866,,,'')&lt;/Q&gt;&lt;R&gt;1&lt;/R&gt;&lt;C&gt;1&lt;/C&gt;&lt;D xsi:type="xsd:double"&gt;2474.2197&lt;/D&gt;&lt;/FQL&gt;&lt;FQL&gt;&lt;Q&gt;NBIS^FE_ESTIMATE(SALES,MEAN,CAL4,2026,45866,,,'')&lt;/Q&gt;&lt;R&gt;1&lt;/R&gt;&lt;C&gt;1&lt;/C&gt;&lt;D xsi:type="xsd:double"&gt;1387.8977&lt;/D&gt;&lt;/FQL&gt;&lt;FQL&gt;&lt;Q&gt;NBIS^FE_ESTIMATE(SALES,MEAN,CAL4,2025,45866,,,'')&lt;/Q&gt;&lt;R&gt;1&lt;/R&gt;&lt;C&gt;1&lt;/C&gt;&lt;D xsi:type="xsd:double"&gt;583.3625&lt;/D&gt;&lt;/FQL&gt;&lt;FQL&gt;&lt;Q&gt;NBIS^FE_ESTIMATE(SALES,MEAN,CAL4,2024,45866,,,'')&lt;/Q&gt;&lt;R&gt;1&lt;/R&gt;&lt;C&gt;1&lt;/C&gt;&lt;D xsi:type="xsd:double"&gt;2559.1375&lt;/D&gt;&lt;/FQL&gt;&lt;FQL&gt;&lt;Q&gt;NBIS^FE_ESTIMATE(SALES,MEAN,CAL4,2023,45866,,,'')&lt;/Q&gt;&lt;R&gt;1&lt;/R&gt;&lt;C&gt;1&lt;/C&gt;&lt;D xsi:type="xsd:double"&gt;8777.168&lt;/D&gt;&lt;/FQL&gt;&lt;FQL&gt;&lt;Q&gt;NBIS^FE_ESTIMATE(SALES,MEAN,NTM4,,45866,,,'')&lt;/Q&gt;&lt;R&gt;1&lt;/R&gt;&lt;C&gt;1&lt;/C&gt;&lt;D xsi:type="xsd:double"&gt;795.56024&lt;/D&gt;&lt;/FQL&gt;&lt;FQL&gt;&lt;Q&gt;NBIS^FE_ESTIMATE(SALES,MEAN,LTM4,,45866,,,'')&lt;/Q&gt;&lt;R&gt;1&lt;/R&gt;&lt;C&gt;1&lt;/C&gt;&lt;D xsi:type="xsd:double"&gt;161.4&lt;/D&gt;&lt;/FQL&gt;&lt;FQL&gt;&lt;Q&gt;NBIS^FG_PRICE(45866)&lt;/Q&gt;&lt;R&gt;1&lt;/R&gt;&lt;C&gt;1&lt;/C&gt;&lt;D xsi:type="xsd:double"&gt;52.75&lt;/D&gt;&lt;/FQL&gt;&lt;FQL&gt;&lt;Q&gt;NBIS^FF_ENTRPR_VAL_DAILY(45866,,,,,"DIL")&lt;/Q&gt;&lt;R&gt;1&lt;/R&gt;&lt;C&gt;1&lt;/C&gt;&lt;D xsi:type="xsd:double"&gt;11220.44083525&lt;/D&gt;&lt;/FQL&gt;&lt;FQL&gt;&lt;Q&gt;NBIS^FREF_MARKET_VALUE_COMPANY(45866,,,,,0,,"LEGACY")&lt;/Q&gt;&lt;R&gt;1&lt;/R&gt;&lt;C&gt;1&lt;/C&gt;&lt;D xsi:type="xsd:double"&gt;10688.466796875&lt;/D&gt;&lt;/FQL&gt;&lt;FQL&gt;&lt;Q&gt;DOCN^FE_ESTIMATE(SALES,MEAN,CALA_ROLL,2027,45866,,,'')&lt;/Q&gt;&lt;R&gt;1&lt;/R&gt;&lt;C&gt;1&lt;/C&gt;&lt;D xsi:type="xsd:double"&gt;1161.9253&lt;/D&gt;&lt;/FQL&gt;&lt;FQL&gt;&lt;Q&gt;DOCN^FE_ESTIMATE(SALES,MEAN,CAL4,2026,45866,,,'')&lt;/Q&gt;&lt;R&gt;1&lt;/R&gt;&lt;C&gt;1&lt;/C&gt;&lt;D xsi:type="xsd:double"&gt;1006.8868&lt;/D&gt;&lt;/FQL&gt;&lt;FQL&gt;&lt;Q&gt;DOCN^FE_ESTIMATE(SALES,MEAN,CAL4,2025,45866,,,'')&lt;/Q&gt;&lt;R&gt;1&lt;/R&gt;&lt;C&gt;1&lt;/C&gt;&lt;D xsi:type="xsd:double"&gt;882.4221&lt;/D&gt;&lt;/FQL&gt;&lt;FQL&gt;&lt;Q&gt;DOCN^FE_ESTIMATE(SALES,MEAN,CAL4,2024,45866,,,'')&lt;/Q&gt;&lt;R&gt;1&lt;/R&gt;&lt;C&gt;1&lt;/C&gt;&lt;D xsi:type="xsd:double"&gt;780.615&lt;/D&gt;&lt;/FQL&gt;&lt;FQL&gt;&lt;Q&gt;DOCN^FE_ESTIMATE(SALES,MEAN,CAL4,2023,45866,,,'')&lt;/Q&gt;&lt;R&gt;1&lt;/R&gt;&lt;C&gt;1&lt;/C&gt;&lt;D xsi:type="xsd:double"&gt;692.884&lt;/D&gt;&lt;/FQL&gt;&lt;FQL&gt;&lt;Q&gt;DOCN^FE_ESTIMATE(SALES,MEAN,NTM4,,45866,,,'')&lt;/Q&gt;&lt;R&gt;1&lt;/R&gt;&lt;C&gt;1&lt;/C&gt;&lt;D xsi:type="xsd:double"&gt;912.18604&lt;/D&gt;&lt;/FQL&gt;&lt;FQL&gt;&lt;Q&gt;DOCN^FE_ESTIMATE(SALES,MEAN,LTM4,,45866,,,'')&lt;/Q&gt;&lt;R&gt;1&lt;/R&gt;&lt;C&gt;1&lt;/C&gt;&lt;D xsi:type="xsd:double"&gt;806.588&lt;/D&gt;&lt;/FQL&gt;&lt;FQL&gt;&lt;Q&gt;DOCN^FG_PRICE(45866)&lt;/Q&gt;&lt;R&gt;1&lt;/R&gt;&lt;C&gt;1&lt;/C&gt;&lt;D xsi:type="xsd:double"&gt;29.15&lt;/D&gt;&lt;/FQL&gt;&lt;FQL&gt;&lt;Q&gt;DOCN^FF_ENTRPR_VAL_DAILY(45866,,,,,"DIL")&lt;/Q&gt;&lt;R&gt;1&lt;/R&gt;&lt;C&gt;1&lt;/C&gt;&lt;D xsi:type="xsd:double"&gt;4364.0933&lt;/D&gt;&lt;/FQL&gt;&lt;FQL&gt;&lt;Q&gt;DOCN^FREF_MARKET_VALUE_COMPANY(45866,,,,,0,,"LEGACY")&lt;/Q&gt;&lt;R&gt;1&lt;/R&gt;&lt;C&gt;1&lt;/C&gt;&lt;D xsi:type="xsd:double"&gt;2653.62744140625&lt;/D&gt;&lt;/FQL&gt;&lt;FQL&gt;&lt;Q&gt;GOOG^FE_ESTIMATE(SALES,MEAN,CALA_ROLL,2027,45866,,,'')&lt;/Q&gt;&lt;R&gt;1&lt;/R&gt;&lt;C&gt;1&lt;/C&gt;&lt;D xsi:type="xsd:double"&gt;483991.6&lt;/D&gt;&lt;/FQL&gt;&lt;FQL&gt;&lt;Q&gt;GOOG^FE_ESTIMATE(SALES,MEAN,CAL4,2026,45866,,,'')&lt;/Q&gt;&lt;R&gt;1&lt;/R&gt;&lt;C&gt;1&lt;/C&gt;&lt;D xsi:type="xsd:double"&gt;439161.34&lt;/D&gt;&lt;/FQL&gt;&lt;FQL&gt;&lt;Q&gt;GOOG^FE_ESTIMATE(SALES,MEAN,CAL4,2025,45866,,,'')&lt;/Q&gt;&lt;R&gt;1&lt;/R&gt;&lt;C&gt;1&lt;/C&gt;&lt;D xsi:type="xsd:double"&gt;394421.75&lt;/D&gt;&lt;/FQL&gt;&lt;FQL&gt;&lt;Q&gt;GOOG^FE_ESTIMATE(SALES,MEAN,CAL4,2024,45866,,,'')&lt;/Q&gt;&lt;R&gt;1&lt;/R&gt;&lt;C&gt;1&lt;/C&gt;&lt;D xsi:type="xsd:double"&gt;350018&lt;/D&gt;&lt;/FQL&gt;&lt;FQL&gt;&lt;Q&gt;GOOG^FE_ESTIMATE(SALES,MEAN,CAL4,2023,45866,,,'')&lt;/Q&gt;&lt;R&gt;1&lt;/R&gt;&lt;C&gt;1&lt;/C&gt;&lt;D xsi:type="xsd:double"&gt;307394&lt;/D&gt;&lt;/FQL&gt;&lt;FQL&gt;&lt;Q&gt;GOOG^FE_ESTIMATE(SALES,MEAN,NTM4,,45866,,,'')&lt;/Q&gt;&lt;R&gt;1&lt;/R&gt;&lt;C&gt;1&lt;/C&gt;&lt;D xsi:type="xsd:double"&gt;415834.7&lt;/D&gt;&lt;/FQL&gt;&lt;FQL&gt;&lt;Q&gt;GOOG^FE_ESTIMATE(SALES,MEAN,LTM4,,45866,,,'')&lt;/Q&gt;&lt;R&gt;1&lt;/R&gt;&lt;C&gt;1&lt;/C&gt;&lt;D xsi:type="xsd:double"&gt;371399&lt;/D&gt;&lt;/FQL&gt;&lt;FQL&gt;&lt;Q&gt;GOOG^FG_PRICE(45866)&lt;/Q&gt;&lt;R&gt;1&lt;/R&gt;&lt;C&gt;1&lt;/C&gt;&lt;D xsi:type="xsd:double"&gt;193.42&lt;/D&gt;&lt;/FQL&gt;&lt;FQL&gt;&lt;Q&gt;GOOG^FF_ENTRPR_VAL_DAILY(45866,,,,,"DIL")&lt;/Q&gt;&lt;R&gt;1&lt;/R&gt;&lt;C&gt;1&lt;/C&gt;&lt;D xsi:type="xsd:double"&gt;2295610.84&lt;/D&gt;&lt;/FQL&gt;&lt;FQL&gt;&lt;Q&gt;GOOG^FREF_MARKET_VALUE_COMPANY(45866,,,,,0,,"LEGACY")&lt;/Q&gt;&lt;R&gt;1&lt;/R&gt;&lt;C&gt;1&lt;/C&gt;&lt;D xsi:type="xsd:double"&gt;2170508.5&lt;/D&gt;&lt;/FQL&gt;&lt;FQL&gt;&lt;Q&gt;AMZN^FE_ESTIMATE(SALES,MEAN,CALA_ROLL,2027,45866,,,'')&lt;/Q&gt;&lt;R&gt;1&lt;/R&gt;&lt;C&gt;1&lt;/C&gt;&lt;D xsi:type="xsd:double"&gt;840713.3&lt;/D&gt;&lt;/FQL&gt;&lt;FQL&gt;&lt;Q&gt;AMZN^FE_ESTIMATE(SALES,MEAN,CAL4,2026,45866,,,'')&lt;/Q&gt;&lt;R&gt;1&lt;/R&gt;&lt;C&gt;1&lt;/C&gt;&lt;D xsi:type="xsd:double"&gt;762353.06&lt;/D&gt;&lt;/FQL&gt;&lt;FQL&gt;&lt;Q&gt;AMZN^FE_ESTIMATE(SALES,MEAN,CAL4,2025,45866,,,'')&lt;/Q&gt;&lt;R&gt;1&lt;/R&gt;&lt;C&gt;1&lt;/C&gt;&lt;D xsi:type="xsd:double"&gt;695881.75&lt;/D&gt;&lt;/FQL&gt;&lt;FQL&gt;&lt;Q&gt;AMZN^FE_ESTIMATE(SALES,MEAN,CAL4,2024,45866,,,'')&lt;/Q&gt;&lt;R&gt;1&lt;/R&gt;&lt;C&gt;1&lt;/C&gt;&lt;D xsi:type="xsd:double"&gt;637959&lt;/D&gt;&lt;/FQL&gt;&lt;FQL&gt;&lt;Q&gt;AMZN^FE_ESTIMATE(SALES,MEAN,CAL4,2023,45866,,,'')&lt;/Q&gt;&lt;R&gt;1&lt;/R&gt;&lt;C&gt;1&lt;/C&gt;&lt;D xsi:type="xsd:double"&gt;574785&lt;/D&gt;&lt;/FQL&gt;&lt;FQL&gt;&lt;Q&gt;AMZN^FE_ESTIMATE(SALES,MEAN,NTM4,,45866,,,'')&lt;/Q&gt;&lt;R&gt;1&lt;/R&gt;&lt;C&gt;1&lt;/C&gt;&lt;D xsi:type="xsd:double"&gt;711580.6&lt;/D&gt;&lt;/FQL&gt;&lt;FQL&gt;&lt;Q&gt;AMZN^FE_ESTIMATE(SALES,MEAN,LTM4,,45866,,,'')&lt;/Q&gt;&lt;R&gt;1&lt;/R&gt;&lt;C&gt;1&lt;/C&gt;&lt;D xsi:type="xsd:double"&gt;650313&lt;/D&gt;&lt;/FQL&gt;&lt;FQL&gt;&lt;Q&gt;AMZN^FG_PRICE(45866)&lt;/Q&gt;&lt;R&gt;1&lt;/R&gt;&lt;C&gt;1&lt;/C&gt;&lt;D xsi:type="xsd:double"&gt;232.79&lt;/D&gt;&lt;/FQL&gt;&lt;FQL&gt;&lt;Q&gt;AMZN^FF_ENTRPR_VAL_DAILY(45866,,,,,"DIL")&lt;/Q&gt;&lt;R&gt;1&lt;/R&gt;&lt;C&gt;1&lt;/C&gt;&lt;D xsi:type="xsd:double"&gt;2564753.47&lt;/D&gt;&lt;/FQL&gt;&lt;FQL&gt;&lt;Q&gt;AMZN^FREF_MARKET_VALUE_COMPANY(45866,,,,,0,,"LEGACY")&lt;/Q&gt;&lt;R&gt;1&lt;/R&gt;&lt;C&gt;1&lt;/C&gt;&lt;D xsi:type="xsd:double"&gt;2471380.75&lt;/D&gt;&lt;/FQL&gt;&lt;FQL&gt;&lt;Q&gt;ORCL^FE_ESTIMATE(SALES,MEAN,CALA_ROLL,2027,45866,,,'')&lt;/Q&gt;&lt;R&gt;1&lt;/R&gt;&lt;C&gt;1&lt;/C&gt;&lt;D xsi:type="xsd:double"&gt;88131.07&lt;/D&gt;&lt;/FQL&gt;&lt;FQL&gt;&lt;Q&gt;ORCL^FE_ESTIMATE(SALES,MEAN,CAL4,2026,45866,,,'')&lt;/Q&gt;&lt;R&gt;1&lt;/R&gt;&lt;C&gt;1&lt;/C&gt;&lt;D xsi:type="xsd:double"&gt;73069.58&lt;/D&gt;&lt;/FQL&gt;&lt;FQL&gt;&lt;Q&gt;ORCL^FE_ESTIMATE(SALES,MEAN,CAL4,2025,45866,,,'')&lt;/Q&gt;&lt;R&gt;1&lt;/R&gt;&lt;C&gt;1&lt;/C&gt;&lt;D xsi:type="xsd:double"&gt;61273.92&lt;/D&gt;&lt;/FQL&gt;&lt;FQL&gt;&lt;Q&gt;ORCL^FE_ESTIMATE(SALES,MEAN,CAL4,2024,45866,,,'')&lt;/Q&gt;&lt;R&gt;1&lt;/R&gt;&lt;C&gt;1&lt;/C&gt;&lt;D xsi:type="xsd:double"&gt;54933&lt;/D&gt;&lt;/FQL&gt;&lt;FQL&gt;&lt;Q&gt;ORCL^FE_ESTIMATE(SALES,MEAN,CAL4,2023,45866,,,'')&lt;/Q&gt;&lt;R&gt;1&lt;/R&gt;&lt;C&gt;1&lt;/C&gt;&lt;D xsi:type="xsd:double"&gt;51629&lt;/D&gt;&lt;/FQL&gt;&lt;FQL&gt;&lt;Q&gt;ORCL^FE_ESTIMATE(SALES,MEAN,NTM4,,45866,,,'')&lt;/Q&gt;&lt;R&gt;1&lt;/R&gt;&lt;C&gt;1&lt;/C&gt;&lt;D xsi:type="xsd:double"&gt;66822.875&lt;/D&gt;&lt;/FQL&gt;&lt;FQL&gt;&lt;Q&gt;ORCL^FE_ESTIMATE(SALES,MEAN,LTM4,,45866,,,'')&lt;/Q&gt;&lt;R&gt;1&lt;/R&gt;&lt;C&gt;1&lt;/C&gt;&lt;D xsi:type="xsd:double"&gt;57399&lt;/D&gt;&lt;/FQL&gt;&lt;FQL&gt;&lt;Q&gt;ORCL^FG_PRICE(45866)&lt;/Q&gt;&lt;R&gt;1&lt;/R&gt;&lt;C&gt;1&lt;/C&gt;&lt;D xsi:type="xsd:double"&gt;247.71&lt;/D&gt;&lt;/FQL&gt;&lt;FQL&gt;&lt;Q&gt;ORCL^FF_ENTRPR_VAL_DAILY(45866,,,,,"DIL")&lt;/Q&gt;&lt;R&gt;1&lt;/R&gt;&lt;C&gt;1&lt;/C&gt;&lt;D xsi:type="xsd:double"&gt;808203.86&lt;/D&gt;&lt;/FQL&gt;&lt;FQL&gt;&lt;Q&gt;ORCL^FREF_MARKET_VALUE_COMPANY(45866,,,,,0,,"LEGACY")&lt;/Q&gt;&lt;R&gt;1&lt;/R&gt;&lt;C&gt;1&lt;/C&gt;&lt;D xsi:type="xsd:double"&gt;695776.0625&lt;/D&gt;&lt;/FQL&gt;&lt;FQL&gt;&lt;Q&gt;IBM^FE_ESTIMATE(SALES,MEAN,CALA_ROLL,2027,45866,,,'')&lt;/Q&gt;&lt;R&gt;1&lt;/R&gt;&lt;C&gt;1&lt;/C&gt;&lt;D xsi:type="xsd:double"&gt;72605.57&lt;/D&gt;&lt;/FQL&gt;&lt;FQL&gt;&lt;Q&gt;IBM^FE_ESTIMATE(SALES,MEAN,CAL4,2026,45866,,,'')&lt;/Q&gt;&lt;R&gt;1&lt;/R&gt;&lt;C&gt;1&lt;/C&gt;&lt;D xsi:type="xsd:double"&gt;69211.35&lt;/D&gt;&lt;/FQL&gt;&lt;FQL&gt;&lt;Q&gt;IBM^FE_ESTIMATE(SALES,MEAN,CAL4,2025,45866,,,'')&lt;/Q&gt;&lt;R&gt;1&lt;/R&gt;&lt;C&gt;1&lt;/C&gt;&lt;D xsi:type="xsd:double"&gt;66790.56&lt;/D&gt;&lt;/FQL&gt;&lt;FQL&gt;&lt;Q&gt;IBM^FE_ESTIMATE(SALES,MEAN,CAL4,2024,45866,,,'')&lt;/Q&gt;&lt;R&gt;1&lt;/R&gt;&lt;C&gt;1&lt;/C&gt;&lt;D xsi:type="xsd:double"&gt;62753&lt;/D&gt;&lt;/FQL&gt;&lt;FQL&gt;&lt;Q&gt;IBM^FE_ESTIMATE(SALES,MEAN,CAL4,2023,45866,,,'')&lt;/Q&gt;&lt;R&gt;1&lt;/R&gt;&lt;C&gt;1&lt;/C&gt;&lt;D xsi:type="xsd:double"&gt;61860&lt;/D&gt;&lt;/FQL&gt;&lt;FQL&gt;&lt;Q&gt;IBM^FE_ESTIMATE(SALES,MEAN,NTM4,,45866,,,'')&lt;/Q&gt;&lt;R&gt;1&lt;/R&gt;&lt;C&gt;1&lt;/C&gt;&lt;D xsi:type="xsd:double"&gt;68122.79&lt;/D&gt;&lt;/FQL&gt;&lt;FQL&gt;&lt;Q&gt;IBM^FE_ESTIMATE(SALES,MEAN,LTM4,,45866,,,'')&lt;/Q&gt;&lt;R&gt;1&lt;/R&gt;&lt;C&gt;1&lt;/C&gt;&lt;D xsi:type="xsd:double"&gt;64039&lt;/D&gt;&lt;/FQL&gt;&lt;FQL&gt;&lt;Q&gt;IBM^FG_PRICE(45866)&lt;/Q&gt;&lt;R&gt;1&lt;/R&gt;&lt;C&gt;1&lt;/C&gt;&lt;D xsi:type="xsd:double"&gt;263.21&lt;/D&gt;&lt;/FQL&gt;&lt;FQL&gt;&lt;Q&gt;IBM^FF_ENTRPR_VAL_DAILY(45866,,,,,"DIL")&lt;/Q&gt;&lt;R&gt;1&lt;/R&gt;&lt;C&gt;1&lt;/C&gt;&lt;D xsi:type="xsd:double"&gt;301781.05617357&lt;/D&gt;&lt;/FQL&gt;&lt;FQL&gt;&lt;Q&gt;IBM^FREF_MARKET_VALUE_COMPANY(45866,,,,,0,,"LEGACY")&lt;/Q&gt;&lt;R&gt;1&lt;/R&gt;&lt;C&gt;1&lt;/C&gt;&lt;D xsi:type="xsd:double"&gt;245185.171875&lt;/D&gt;&lt;/FQL&gt;&lt;FQL&gt;&lt;Q&gt;EQIX^FE_ESTIMATE(SALES,MEAN,CALA_ROLL,2027,45866,,,'')&lt;/Q&gt;&lt;R&gt;1&lt;/R&gt;&lt;C&gt;1&lt;/C&gt;&lt;D xsi:type="xsd:double"&gt;10778.426&lt;/D&gt;&lt;/FQL&gt;&lt;FQL&gt;&lt;Q&gt;EQIX^FE_ESTIMATE(SALES,MEAN,CAL4,2026,45866,,,'')&lt;/Q&gt;&lt;R&gt;1&lt;/R&gt;&lt;C&gt;1&lt;/C&gt;&lt;D xsi:type="xsd:double"&gt;9971.194&lt;/D&gt;&lt;/FQL&gt;&lt;FQL&gt;&lt;Q&gt;EQIX^FE_ESTIMATE(SALES,MEAN,CAL4,2025,45866,,,</t>
        </r>
      </text>
    </comment>
    <comment ref="A13" authorId="0" shapeId="0" xr:uid="{ED11945C-114D-4D36-A19A-D5077A96B9E3}">
      <text>
        <r>
          <rPr>
            <b/>
            <sz val="9"/>
            <color indexed="81"/>
            <rFont val="Tahoma"/>
            <charset val="1"/>
          </rPr>
          <t>'')&lt;/Q&gt;&lt;R&gt;1&lt;/R&gt;&lt;C&gt;1&lt;/C&gt;&lt;D xsi:type="xsd:double"&gt;9225.388&lt;/D&gt;&lt;/FQL&gt;&lt;FQL&gt;&lt;Q&gt;EQIX^FE_ESTIMATE(SALES,MEAN,CAL4,2024,45866,,,'')&lt;/Q&gt;&lt;R&gt;1&lt;/R&gt;&lt;C&gt;1&lt;/C&gt;&lt;D xsi:type="xsd:double"&gt;8748&lt;/D&gt;&lt;/FQL&gt;&lt;FQL&gt;&lt;Q&gt;EQIX^FE_ESTIMATE(SALES,MEAN,CAL4,2023,45866,,,'')&lt;/Q&gt;&lt;R&gt;1&lt;/R&gt;&lt;C&gt;1&lt;/C&gt;&lt;D xsi:type="xsd:double"&gt;8188.136&lt;/D&gt;&lt;/FQL&gt;&lt;FQL&gt;&lt;Q&gt;EQIX^FE_ESTIMATE(SALES,MEAN,NTM4,,45866,,,'')&lt;/Q&gt;&lt;R&gt;1&lt;/R&gt;&lt;C&gt;1&lt;/C&gt;&lt;D xsi:type="xsd:double"&gt;9421.926&lt;/D&gt;&lt;/FQL&gt;&lt;FQL&gt;&lt;Q&gt;EQIX^FE_ESTIMATE(SALES,MEAN,LTM4,,45866,,,'')&lt;/Q&gt;&lt;R&gt;1&lt;/R&gt;&lt;C&gt;1&lt;/C&gt;&lt;D xsi:type="xsd:double"&gt;8846&lt;/D&gt;&lt;/FQL&gt;&lt;FQL&gt;&lt;Q&gt;EQIX^FG_PRICE(45866)&lt;/Q&gt;&lt;R&gt;1&lt;/R&gt;&lt;C&gt;1&lt;/C&gt;&lt;D xsi:type="xsd:double"&gt;793.62&lt;/D&gt;&lt;/FQL&gt;&lt;FQL&gt;&lt;Q&gt;EQIX^FF_ENTRPR_VAL_DAILY(45866,,,,,"DIL")&lt;/Q&gt;&lt;R&gt;1&lt;/R&gt;&lt;C&gt;1&lt;/C&gt;&lt;D xsi:type="xsd:double"&gt;93674.08094&lt;/D&gt;&lt;/FQL&gt;&lt;FQL&gt;&lt;Q&gt;EQIX^FREF_MARKET_VALUE_COMPANY(45866,,,,,0,,"LEGACY")&lt;/Q&gt;&lt;R&gt;1&lt;/R&gt;&lt;C&gt;1&lt;/C&gt;&lt;D xsi:type="xsd:double"&gt;77631.109375&lt;/D&gt;&lt;/FQL&gt;&lt;FQL&gt;&lt;Q&gt;DLR^FE_ESTIMATE(SALES,MEAN,CALA_ROLL,2027,45866,,,'')&lt;/Q&gt;&lt;R&gt;1&lt;/R&gt;&lt;C&gt;1&lt;/C&gt;&lt;D xsi:type="xsd:double"&gt;7414.7495&lt;/D&gt;&lt;/FQL&gt;&lt;FQL&gt;&lt;Q&gt;DLR^FE_ESTIMATE(SALES,MEAN,CAL4,2026,45866,,,'')&lt;/Q&gt;&lt;R&gt;1&lt;/R&gt;&lt;C&gt;1&lt;/C&gt;&lt;D xsi:type="xsd:double"&gt;6547.423&lt;/D&gt;&lt;/FQL&gt;&lt;FQL&gt;&lt;Q&gt;DLR^FE_ESTIMATE(SALES,MEAN,CAL4,2025,45866,,,'')&lt;/Q&gt;&lt;R&gt;1&lt;/R&gt;&lt;C&gt;1&lt;/C&gt;&lt;D xsi:type="xsd:double"&gt;5969.978&lt;/D&gt;&lt;/FQL&gt;&lt;FQL&gt;&lt;Q&gt;DLR^FE_ESTIMATE(SALES,MEAN,CAL4,2024,45866,,,'')&lt;/Q&gt;&lt;R&gt;1&lt;/R&gt;&lt;C&gt;1&lt;/C&gt;&lt;D xsi:type="xsd:double"&gt;5554.968&lt;/D&gt;&lt;/FQL&gt;&lt;FQL&gt;&lt;Q&gt;DLR^FE_ESTIMATE(SALES,MEAN,CAL4,2023,45866,,,'')&lt;/Q&gt;&lt;R&gt;1&lt;/R&gt;&lt;C&gt;1&lt;/C&gt;&lt;D xsi:type="xsd:double"&gt;5477.061&lt;/D&gt;&lt;/FQL&gt;&lt;FQL&gt;&lt;Q&gt;DLR^FE_ESTIMATE(SALES,MEAN,NTM4,,45866,,,'')&lt;/Q&gt;&lt;R&gt;1&lt;/R&gt;&lt;C&gt;1&lt;/C&gt;&lt;D xsi:type="xsd:double"&gt;6252.5464&lt;/D&gt;&lt;/FQL&gt;&lt;FQL&gt;&lt;Q&gt;DLR^FE_ESTIMATE(SALES,MEAN,LTM4,,45866,,,'')&lt;/Q&gt;&lt;R&gt;1&lt;/R&gt;&lt;C&gt;1&lt;/C&gt;&lt;D xsi:type="xsd:double"&gt;5767.863&lt;/D&gt;&lt;/FQL&gt;&lt;FQL&gt;&lt;Q&gt;DLR^FG_PRICE(45866)&lt;/Q&gt;&lt;R&gt;1&lt;/R&gt;&lt;C&gt;1&lt;/C&gt;&lt;D xsi:type="xsd:double"&gt;175.72&lt;/D&gt;&lt;/FQL&gt;&lt;FQL&gt;&lt;Q&gt;DLR^FF_ENTRPR_VAL_DAILY(45866,,,,,"DIL")&lt;/Q&gt;&lt;R&gt;1&lt;/R&gt;&lt;C&gt;1&lt;/C&gt;&lt;D xsi:type="xsd:double"&gt;79627.49448&lt;/D&gt;&lt;/FQL&gt;&lt;FQL&gt;&lt;Q&gt;DLR^FREF_MARKET_VALUE_COMPANY(45866,,,,,0,,"LEGACY")&lt;/Q&gt;&lt;R&gt;1&lt;/R&gt;&lt;C&gt;1&lt;/C&gt;&lt;D xsi:type="xsd:double"&gt;59181.00390625&lt;/D&gt;&lt;/FQL&gt;&lt;FQL&gt;&lt;Q&gt;NVDA^FE_ESTIMATE(SALES,MEAN,CALA_ROLL,2027,45866,,,'')&lt;/Q&gt;&lt;R&gt;1&lt;/R&gt;&lt;C&gt;1&lt;/C&gt;&lt;D xsi:type="xsd:double"&gt;293302.28&lt;/D&gt;&lt;/FQL&gt;&lt;FQL&gt;&lt;Q&gt;NVDA^FE_ESTIMATE(SALES,MEAN,CAL4,2026,45866,,,'')&lt;/Q&gt;&lt;R&gt;1&lt;/R&gt;&lt;C&gt;1&lt;/C&gt;&lt;D xsi:type="xsd:double"&gt;256051.3&lt;/D&gt;&lt;/FQL&gt;&lt;FQL&gt;&lt;Q&gt;NVDA^FE_ESTIMATE(SALES,MEAN,CAL4,2025,45866,,,'')&lt;/Q&gt;&lt;R&gt;1&lt;/R&gt;&lt;C&gt;1&lt;/C&gt;&lt;D xsi:type="xsd:double"&gt;200088.86&lt;/D&gt;&lt;/FQL&gt;&lt;FQL&gt;&lt;Q&gt;NVDA^FE_ESTIMATE(SALES,MEAN,CAL4,2024,45866,,,'')&lt;/Q&gt;&lt;R&gt;1&lt;/R&gt;&lt;C&gt;1&lt;/C&gt;&lt;D xsi:type="xsd:double"&gt;130497&lt;/D&gt;&lt;/FQL&gt;&lt;FQL&gt;&lt;Q&gt;NVDA^FE_ESTIMATE(SALES,MEAN,CAL4,2023,45866,,,'')&lt;/Q&gt;&lt;R&gt;1&lt;/R&gt;&lt;C&gt;1&lt;/C&gt;&lt;D xsi:type="xsd:double"&gt;60922&lt;/D&gt;&lt;/FQL&gt;&lt;FQL&gt;&lt;Q&gt;NVDA^FE_ESTIMATE(SALES,MEAN,NTM4,,45866,,,'')&lt;/Q&gt;&lt;R&gt;1&lt;/R&gt;&lt;C&gt;1&lt;/C&gt;&lt;D xsi:type="xsd:double"&gt;216333.17&lt;/D&gt;&lt;/FQL&gt;&lt;FQL&gt;&lt;Q&gt;NVDA^FE_ESTIMATE(SALES,MEAN,LTM4,,45866,,,'')&lt;/Q&gt;&lt;R&gt;1&lt;/R&gt;&lt;C&gt;1&lt;/C&gt;&lt;D xsi:type="xsd:double"&gt;148515&lt;/D&gt;&lt;/FQL&gt;&lt;FQL&gt;&lt;Q&gt;NVDA^FG_PRICE(45866)&lt;/Q&gt;&lt;R&gt;1&lt;/R&gt;&lt;C&gt;1&lt;/C&gt;&lt;D xsi:type="xsd:double"&gt;176.75&lt;/D&gt;&lt;/FQL&gt;&lt;FQL&gt;&lt;Q&gt;NVDA^FF_ENTRPR_VAL_DAILY(45866,,,,,"DIL")&lt;/Q&gt;&lt;R&gt;1&lt;/R&gt;&lt;C&gt;1&lt;/C&gt;&lt;D xsi:type="xsd:double"&gt;4306588.25&lt;/D&gt;&lt;/FQL&gt;&lt;FQL&gt;&lt;Q&gt;NVDA^FREF_MARKET_VALUE_COMPANY(45866,,,,,0,,"LEGACY")&lt;/Q&gt;&lt;R&gt;1&lt;/R&gt;&lt;C&gt;1&lt;/C&gt;&lt;D xsi:type="xsd:double"&gt;4312700&lt;/D&gt;&lt;/FQL&gt;&lt;FQL&gt;&lt;Q&gt;MSFT^FE_ESTIMATE(SALES,MEAN,CALA_ROLL,2027,45866,,,'')&lt;/Q&gt;&lt;R&gt;1&lt;/R&gt;&lt;C&gt;1&lt;/C&gt;&lt;D xsi:type="xsd:double"&gt;390983.94&lt;/D&gt;&lt;/FQL&gt;&lt;FQL&gt;&lt;Q&gt;MSFT^FE_ESTIMATE(SALES,MEAN,CAL4,2026,45866,,,'')&lt;/Q&gt;&lt;R&gt;1&lt;/R&gt;&lt;C&gt;1&lt;/C&gt;&lt;D xsi:type="xsd:double"&gt;336849.3&lt;/D&gt;&lt;/FQL&gt;&lt;FQL&gt;&lt;Q&gt;MSFT^FE_ESTIMATE(SALES,MEAN,CAL4,2025,45866,,,'')&lt;/Q&gt;&lt;R&gt;1&lt;/R&gt;&lt;C&gt;1&lt;/C&gt;&lt;D xsi:type="xsd:double"&gt;296743.16&lt;/D&gt;&lt;/FQL&gt;&lt;FQL&gt;&lt;Q&gt;MSFT^FE_ESTIMATE(SALES,MEAN,CAL4,2024,45866,,,'')&lt;/Q&gt;&lt;R&gt;1&lt;/R&gt;&lt;C&gt;1&lt;/C&gt;&lt;D xsi:type="xsd:double"&gt;261802&lt;/D&gt;&lt;/FQL&gt;&lt;FQL&gt;&lt;Q&gt;MSFT^FE_ESTIMATE(SALES,MEAN,CAL4,2023,45866,,,'')&lt;/Q&gt;&lt;R&gt;1&lt;/R&gt;&lt;C&gt;1&lt;/C&gt;&lt;D xsi:type="xsd:double"&gt;227583&lt;/D&gt;&lt;/FQL&gt;&lt;FQL&gt;&lt;Q&gt;MSFT^FE_ESTIMATE(SALES,MEAN,NTM4,,45866,,,'')&lt;/Q&gt;&lt;R&gt;1&lt;/R&gt;&lt;C&gt;1&lt;/C&gt;&lt;D xsi:type="xsd:double"&gt;306072.6&lt;/D&gt;&lt;/FQL&gt;&lt;FQL&gt;&lt;Q&gt;MSFT^FE_ESTIMATE(SALES,MEAN,LTM4,,45866,,,'')&lt;/Q&gt;&lt;R&gt;1&lt;/R&gt;&lt;C&gt;1&lt;/C&gt;&lt;D xsi:type="xsd:double"&gt;270010&lt;/D&gt;&lt;/FQL&gt;&lt;FQL&gt;&lt;Q&gt;MSFT^FG_PRICE(45866)&lt;/Q&gt;&lt;R&gt;1&lt;/R&gt;&lt;C&gt;1&lt;/C&gt;&lt;D xsi:type="xsd:double"&gt;512.5&lt;/D&gt;&lt;/FQL&gt;&lt;FQL&gt;&lt;Q&gt;MSFT^FF_ENTRPR_VAL_DAILY(45866,,,,,"DIL")&lt;/Q&gt;&lt;R&gt;1&lt;/R&gt;&lt;C&gt;1&lt;/C&gt;&lt;D xsi:type="xsd:double"&gt;3849163.5&lt;/D&gt;&lt;/FQL&gt;&lt;FQL&gt;&lt;Q&gt;MSFT^FREF_MARKET_VALUE_COMPANY(45866,,,,,0,,"LEGACY")&lt;/Q&gt;&lt;R&gt;1&lt;/R&gt;&lt;C&gt;1&lt;/C&gt;&lt;D xsi:type="xsd:double"&gt;3809178.75&lt;/D&gt;&lt;/FQL&gt;&lt;FQL&gt;&lt;Q&gt;CRWV^FG_PRICE(45866)&lt;/Q&gt;&lt;R&gt;1&lt;/R&gt;&lt;C&gt;1&lt;/C&gt;&lt;D xsi:type="xsd:double"&gt;110.28&lt;/D&gt;&lt;/FQL&gt;&lt;FQL&gt;&lt;Q&gt;CRWV^FE_ESTIMATE(TOTAL_RPO,MEAN,ANNUAL_ROLL,2029,45881,,,'')&lt;/Q&gt;&lt;R&gt;1&lt;/R&gt;&lt;C&gt;1&lt;/C&gt;&lt;D xsi:type="xsd:double"&gt;46954.9&lt;/D&gt;&lt;/FQL&gt;&lt;FQL&gt;&lt;Q&gt;CRWV^FE_ESTIMATE(TOTAL_RPO,MEAN,QUARTERLY_ROLL,2029/4F,45881,,,'')&lt;/Q&gt;&lt;R&gt;0&lt;/R&gt;&lt;C&gt;0&lt;/C&gt;&lt;/FQL&gt;&lt;FQL&gt;&lt;Q&gt;CRWV^FE_ESTIMATE(TOTAL_RPO,MEAN,QUARTERLY_ROLL,2029/3F,45881,,,'')&lt;/Q&gt;&lt;R&gt;0&lt;/R&gt;&lt;C&gt;0&lt;/C&gt;&lt;/FQL&gt;&lt;FQL&gt;&lt;Q&gt;CRWV^FE_ESTIMATE(TOTAL_RPO,MEAN,QUARTERLY_ROLL,2029/2F,45881,,,'')&lt;/Q&gt;&lt;R&gt;0&lt;/R&gt;&lt;C&gt;0&lt;/C&gt;&lt;/FQL&gt;&lt;FQL&gt;&lt;Q&gt;CRWV^FE_ESTIMATE(TOTAL_RPO,MEAN,QUARTERLY_ROLL,2029/1F,45881,,,'')&lt;/Q&gt;&lt;R&gt;0&lt;/R&gt;&lt;C&gt;0&lt;/C&gt;&lt;/FQL&gt;&lt;FQL&gt;&lt;Q&gt;CRWV^FE_ESTIMATE(TOTAL_RPO,MEAN,ANNUAL_ROLL,2028,45881,,,'')&lt;/Q&gt;&lt;R&gt;1&lt;/R&gt;&lt;C&gt;1&lt;/C&gt;&lt;D xsi:type="xsd:double"&gt;47970.9&lt;/D&gt;&lt;/FQL&gt;&lt;FQL&gt;&lt;Q&gt;CRWV^FE_ESTIMATE(TOTAL_RPO,MEAN,QUARTERLY_ROLL,2028/4F,45881,,,'')&lt;/Q&gt;&lt;R&gt;0&lt;/R&gt;&lt;C&gt;0&lt;/C&gt;&lt;/FQL&gt;&lt;FQL&gt;&lt;Q&gt;CRWV^FE_ESTIMATE(TOTAL_RPO,MEAN,QUARTERLY_ROLL,2028/3F,45881,,,'')&lt;/Q&gt;&lt;R&gt;0&lt;/R&gt;&lt;C&gt;0&lt;/C&gt;&lt;/FQL&gt;&lt;FQL&gt;&lt;Q&gt;CRWV^FE_ESTIMATE(TOTAL_RPO,MEAN,QUARTERLY_ROLL,2028/2F,45881,,,'')&lt;/Q&gt;&lt;R&gt;0&lt;/R&gt;&lt;C&gt;0&lt;/C&gt;&lt;/FQL&gt;&lt;FQL&gt;&lt;Q&gt;CRWV^FE_ESTIMATE(TOTAL_RPO,MEAN,QUARTERLY_ROLL,2028/1F,45881,,,'')&lt;/Q&gt;&lt;R&gt;0&lt;/R&gt;&lt;C&gt;0&lt;/C&gt;&lt;/FQL&gt;&lt;FQL&gt;&lt;Q&gt;CRWV^FE_ESTIMATE(TOTAL_RPO,MEAN,ANNUAL_ROLL,2027,45881,,,'')&lt;/Q&gt;&lt;R&gt;1&lt;/R&gt;&lt;C&gt;1&lt;/C&gt;&lt;D xsi:type="xsd:double"&gt;46228.1&lt;/D&gt;&lt;/FQL&gt;&lt;FQL&gt;&lt;Q&gt;CRWV^FE_ESTIMATE(TOTAL_RPO,MEAN,QUARTERLY_ROLL,2027/4F,45881,,,'')&lt;/Q&gt;&lt;R&gt;0&lt;/R&gt;&lt;C&gt;0&lt;/C&gt;&lt;/FQL&gt;&lt;FQL&gt;&lt;Q&gt;CRWV^FE_ESTIMATE(TOTAL_RPO,MEAN,QUARTERLY_ROLL,2027/3F,45881,,,'')&lt;/Q&gt;&lt;R&gt;0&lt;/R&gt;&lt;C&gt;0&lt;/C&gt;&lt;/FQL&gt;&lt;FQL&gt;&lt;Q&gt;CRWV^FE_ESTIMATE(TOTAL_RPO,MEAN,QUARTERLY_ROLL,2027/2F,45881,,,'')&lt;/Q&gt;&lt;R&gt;0&lt;/R&gt;&lt;C&gt;0&lt;/C&gt;&lt;/FQL&gt;&lt;FQL&gt;&lt;Q&gt;CRWV^FE_ESTIMATE(TOTAL_RPO,MEAN,QUARTERLY_ROLL,2027/1F,45881,,,'')&lt;/Q&gt;&lt;R&gt;0&lt;/R&gt;&lt;C&gt;0&lt;/C&gt;&lt;/FQL&gt;&lt;FQL&gt;&lt;Q&gt;CRWV^FE_ESTIMATE(TOTAL_RPO,MEAN,ANNUAL_ROLL,2026,45881,,,'')&lt;/Q&gt;&lt;R&gt;1&lt;/R&gt;&lt;C&gt;1&lt;/C&gt;&lt;D xsi:type="xsd:double"&gt;40635.5&lt;/D&gt;&lt;/FQL&gt;&lt;FQL&gt;&lt;Q&gt;CRWV^FE_ESTIMATE(TOTAL_RPO,MEAN,QUARTERLY_ROLL,2026/4F,45881,,,'')&lt;/Q&gt;&lt;R&gt;0&lt;/R&gt;&lt;C&gt;0&lt;/C&gt;&lt;/FQL&gt;&lt;FQL&gt;&lt;Q&gt;CRWV^FE_ESTIMATE(TOTAL_RPO,MEAN,QUARTERLY_ROLL,2026/3F,45881,,,'')&lt;/Q&gt;&lt;R&gt;0&lt;/R&gt;&lt;C&gt;0&lt;/C&gt;&lt;/FQL&gt;&lt;FQL&gt;&lt;Q&gt;CRWV^FE_ESTIMATE(TOTAL_RPO,MEAN,QUARTERLY_ROLL,2026/2F,45881,,,'')&lt;/Q&gt;&lt;R&gt;0&lt;/R&gt;&lt;C&gt;0&lt;/C&gt;&lt;/FQL&gt;&lt;FQL&gt;&lt;Q&gt;CRWV^FE_ESTIMATE(TOTAL_RPO,MEAN,QUARTERLY_ROLL,2026/1F,45881,,,'')&lt;/Q&gt;&lt;R&gt;0&lt;/R&gt;&lt;C&gt;0&lt;/C&gt;&lt;/FQL&gt;&lt;FQL&gt;&lt;Q&gt;CRWV^FE_ESTIMATE(TOTAL_RPO,MEAN,ANNUAL_ROLL,2025,45881,,,'')&lt;/Q&gt;&lt;R&gt;1&lt;/R&gt;&lt;C&gt;1&lt;/C&gt;&lt;D xsi:type="xsd:double"&gt;31824.8&lt;/D&gt;&lt;/FQL&gt;&lt;FQL&gt;&lt;Q&gt;CRWV^FE_ESTIMATE(TOTAL_RPO,MEAN,QUARTERLY_ROLL,2025/4F,45881,,,'')&lt;/Q&gt;&lt;R&gt;1&lt;/R&gt;&lt;C&gt;1&lt;/C&gt;&lt;D xsi:type="xsd:double"&gt;31824.8&lt;/D&gt;&lt;/FQL&gt;&lt;FQL&gt;&lt;Q&gt;CRWV^FE_ESTIMATE(TOTAL_RPO,MEAN,QUARTERLY_ROLL,2025/3F,45881,,,'')&lt;/Q&gt;&lt;R&gt;1&lt;/R&gt;&lt;C&gt;1&lt;/C&gt;&lt;D xsi:type="xsd:double"&gt;30020.4&lt;/D&gt;&lt;/FQL&gt;&lt;FQL&gt;&lt;Q&gt;CRWV^FE_ESTIMATE(TOTAL_RPO,MEAN,QUARTERLY_ROLL,2025/2F,45881,,,'')&lt;/Q&gt;&lt;R&gt;1&lt;/R&gt;&lt;C&gt;1&lt;/C&gt;&lt;D xsi:type="xsd:double"&gt;29341&lt;/D&gt;&lt;/FQL&gt;&lt;FQL&gt;&lt;Q&gt;CRWV^FE_ESTIMATE(TOTAL_RPO,MEAN,QUARTERLY_ROLL,2025/1F,45881,,,'')&lt;/Q&gt;&lt;R&gt;0&lt;/R&gt;&lt;C&gt;0&lt;/C&gt;&lt;/FQL&gt;&lt;FQL&gt;&lt;Q&gt;CRWV^FE_ESTIMATE(TOTAL_RPO,MEAN,ANNUAL_ROLL,2024,45881,,,'')&lt;/Q&gt;&lt;R&gt;1&lt;/R&gt;&lt;C&gt;1&lt;/C&gt;&lt;D xsi:type="xsd:double"&gt;15100&lt;/D&gt;&lt;/FQL&gt;&lt;FQL&gt;&lt;Q&gt;CRWV^FE_ESTIMATE(TOTAL_RPO,MEAN,QUARTERLY_ROLL,2024/4F,45881,,,'')&lt;/Q&gt;&lt;R&gt;1&lt;/R&gt;&lt;C&gt;1&lt;/C&gt;&lt;D xsi:type="xsd:double"&gt;15100&lt;/D&gt;&lt;/FQL&gt;&lt;FQL&gt;&lt;Q&gt;CRWV^FE_ESTIMATE(TOTAL_RPO,MEAN,QUARTERLY_ROLL,2024/3F,45881,,,'')&lt;/Q&gt;&lt;R&gt;0&lt;/R&gt;&lt;C&gt;0&lt;/C&gt;&lt;/FQL&gt;&lt;FQL&gt;&lt;Q&gt;CRWV^FE_ESTIMATE(TOTAL_RPO,MEAN,QUARTERLY_ROLL,2024/2F,45881,,,'')&lt;/Q&gt;&lt;R&gt;0&lt;/R&gt;&lt;C&gt;0&lt;/C&gt;&lt;/FQL&gt;&lt;FQL&gt;&lt;Q&gt;CRWV^FE_ESTIMATE(TOTAL_RPO,MEAN,QUARTERLY_ROLL,2024/1F,45881,,,'')&lt;/Q&gt;&lt;R&gt;0&lt;/R&gt;&lt;C&gt;0&lt;/C&gt;&lt;/FQL&gt;&lt;FQL&gt;&lt;Q&gt;CRWV^FE_ESTIMATE(TOTAL_RPO,MEAN,ANNUAL_ROLL,2023,45881,,,'')&lt;/Q&gt;&lt;R&gt;0&lt;/R&gt;&lt;C&gt;0&lt;/C&gt;&lt;/FQL&gt;&lt;FQL&gt;&lt;Q&gt;CRWV^FE_ESTIMATE(TOTAL_RPO,MEAN,QUARTERLY_ROLL,2023/4F,45881,,,'')&lt;/Q&gt;&lt;R&gt;0&lt;/R&gt;&lt;C&gt;0&lt;/C&gt;&lt;/FQL&gt;&lt;FQL&gt;&lt;Q&gt;CRWV^FE_ESTIMATE(TOTAL_RPO,MEAN,QUARTERLY_ROLL,2023/3F,45881,,,'')&lt;/Q&gt;&lt;R&gt;0&lt;/R&gt;&lt;C&gt;0&lt;/C&gt;&lt;/FQL&gt;&lt;FQL&gt;&lt;Q&gt;CRWV^FE_ESTIMATE(TOTAL_RPO,MEAN,QUARTERLY_ROLL,2023/2F,45881,,,'')&lt;/Q&gt;&lt;R&gt;0&lt;/R&gt;&lt;C&gt;0&lt;/C&gt;&lt;/FQL&gt;&lt;FQL&gt;&lt;Q&gt;CRWV^FE_ESTIMATE(TOTAL_RPO,MEAN,QUARTERLY_ROLL,2023/1F,45881,,,'')&lt;/Q&gt;&lt;R&gt;0&lt;/R&gt;&lt;C&gt;0&lt;/C&gt;&lt;/FQL&gt;&lt;FQL&gt;&lt;Q&gt;CRWV^FE_ESTIMATE(TOTAL_RPO,MEAN,ANNUAL_ROLL,2022,45881,,,'')&lt;/Q&gt;&lt;R&gt;0&lt;/R&gt;&lt;C&gt;0&lt;/C&gt;&lt;/FQL&gt;&lt;FQL&gt;&lt;Q&gt;CRWV^FE_ESTIMATE(TOTAL_RPO,MEAN,QUARTERLY_ROLL,2022/4F,45881,,,'')&lt;/Q&gt;&lt;R&gt;0&lt;/R&gt;&lt;C&gt;0&lt;/C&gt;&lt;/FQL&gt;&lt;FQL&gt;&lt;Q&gt;CRWV^FE_ESTIMATE(TOTAL_RPO,MEAN,QUARTERLY_ROLL,2022/3F,45881,,,'')&lt;/Q&gt;&lt;R&gt;0&lt;/R&gt;&lt;C&gt;0&lt;/C&gt;&lt;/FQL&gt;&lt;FQL&gt;&lt;Q&gt;CRWV^FE_ESTIMATE(TOTAL_RPO,MEAN,QUARTERLY_ROLL,2022/2F,45881,,,'')&lt;/Q&gt;&lt;R&gt;0&lt;/R&gt;&lt;C&gt;0&lt;/C&gt;&lt;/FQL&gt;&lt;FQL&gt;&lt;Q&gt;CRWV^FE_ESTIMATE(TOTAL_RPO,MEAN,QUARTERLY_ROLL,2022/1F,45881,,,'')&lt;/Q&gt;&lt;R&gt;0&lt;/R&gt;&lt;C&gt;0&lt;/C&gt;&lt;/FQL&gt;&lt;FQL&gt;&lt;Q&gt;CRWV^FE_ESTIMATE(ARR,MEAN,ANNUAL_ROLL,2029,45881,,,'')&lt;/Q&gt;&lt;R&gt;0&lt;/R&gt;&lt;C&gt;0&lt;/C&gt;&lt;/FQL&gt;&lt;FQL&gt;&lt;Q&gt;CRWV^FE_ESTIMATE(ARR,MEAN,QUARTERLY_ROLL,2029/4F,45881,,,'')&lt;/Q&gt;&lt;R&gt;0&lt;/R&gt;&lt;C&gt;0&lt;/C&gt;&lt;/FQL&gt;&lt;FQL&gt;&lt;Q&gt;CRWV^FE_ESTIMATE(ARR,MEAN,QUARTERLY_ROLL,2029/3F,45881,,,'')&lt;/Q&gt;&lt;R&gt;0&lt;/R&gt;&lt;C&gt;0&lt;/C&gt;&lt;/FQL&gt;&lt;FQL&gt;&lt;Q&gt;CRWV^FE_ESTIMATE(ARR,MEAN,QUARTERLY_ROLL,2029/2F,45881,,,'')&lt;/Q&gt;&lt;R&gt;0&lt;/R&gt;&lt;C&gt;0&lt;/C&gt;&lt;/FQL&gt;&lt;FQL&gt;&lt;Q&gt;CRWV^FE_ESTIMATE(ARR,MEAN,QUARTERLY_ROLL,2029/1F,45881,,,'')&lt;/Q&gt;&lt;R&gt;0&lt;/R&gt;&lt;C&gt;0&lt;/C&gt;&lt;/FQL&gt;&lt;FQL&gt;&lt;Q&gt;CRWV^FE_ESTIMATE(ARR,MEAN,ANNUAL_ROLL,2028,45881,,,'')&lt;/Q&gt;&lt;R&gt;0&lt;/R&gt;&lt;C&gt;0&lt;/C&gt;&lt;/FQL&gt;&lt;FQL&gt;&lt;Q&gt;CRWV^FE_ESTIMATE(ARR,MEAN,QUARTERLY_ROLL,2028/4F,45881,,,'')&lt;/Q&gt;&lt;R&gt;0&lt;/R&gt;&lt;C&gt;0&lt;/C&gt;&lt;/FQL&gt;&lt;FQL&gt;&lt;Q&gt;CRWV^FE_ESTIMATE(ARR,MEAN,QUARTERLY_ROLL,2028/3F,45881,,,'')&lt;/Q&gt;&lt;R&gt;0&lt;/R&gt;&lt;C&gt;0&lt;/C&gt;&lt;/FQL&gt;&lt;FQL&gt;&lt;Q&gt;CRWV^FE_ESTIMATE(ARR,MEAN,QUARTERLY_ROLL,2028/2F,45881,,,'')&lt;/Q&gt;&lt;R&gt;0&lt;/R&gt;&lt;C&gt;0&lt;/C&gt;&lt;/FQL&gt;&lt;FQL&gt;&lt;Q&gt;CRWV^FE_ESTIMATE(ARR,MEAN,QUARTERLY_ROLL,2028/1F,45881,,,'')&lt;/Q&gt;&lt;R&gt;0&lt;/R&gt;&lt;C&gt;0&lt;/C&gt;&lt;/FQL&gt;&lt;FQL&gt;&lt;Q&gt;CRWV^FE_ESTIMATE(ARR,MEAN,ANNUAL_ROLL,2027,45881,,,'')&lt;/Q&gt;&lt;R&gt;1&lt;/R&gt;&lt;C&gt;1&lt;/C&gt;&lt;D xsi:type="xsd:double"&gt;16800&lt;/D&gt;&lt;/FQL&gt;&lt;FQL&gt;&lt;Q&gt;CRWV^FE_ESTIMATE(ARR,MEAN,QUARTERLY_ROLL,2027/4F,45881,,,'')&lt;/Q&gt;&lt;R&gt;0&lt;/R&gt;&lt;C&gt;0&lt;/C&gt;&lt;/FQL&gt;&lt;FQL&gt;&lt;Q&gt;CRWV^FE_ESTIMATE(ARR,MEAN,QUARTERLY_ROLL,2027/3F,45881,,,'')&lt;/Q&gt;&lt;R&gt;0&lt;/R&gt;&lt;C&gt;0&lt;/C&gt;&lt;/FQL&gt;&lt;FQL&gt;&lt;Q&gt;CRWV^FE_ESTIMATE(ARR,MEAN,QUARTERLY_ROLL,2027/2F,45881,,,'')&lt;/Q&gt;&lt;R&gt;0&lt;/R&gt;&lt;C&gt;0&lt;/C&gt;&lt;/FQL&gt;&lt;FQL&gt;&lt;Q&gt;CRWV^FE_ESTIMATE(ARR,MEAN,QUARTERLY_ROLL,2027/1F,45881,,,'')&lt;/Q&gt;&lt;R&gt;0&lt;/R&gt;&lt;C&gt;0&lt;/C&gt;&lt;/FQL&gt;&lt;FQL&gt;&lt;Q&gt;CRWV^FE_ESTIMATE(ARR,MEAN,ANNUAL_ROLL,2026,45881,,,'')&lt;/Q&gt;&lt;R&gt;1&lt;/R&gt;&lt;C&gt;1&lt;/C&gt;&lt;D xsi:type="xsd:double"&gt;12400&lt;/D&gt;&lt;/FQL&gt;&lt;FQL&gt;&lt;Q&gt;CRWV^FE_ESTIMATE(ARR,MEAN,QUARTERLY_ROLL,2026/4F,45881,,,'')&lt;/Q&gt;&lt;R&gt;0&lt;/R&gt;&lt;C&gt;0&lt;/C&gt;&lt;/FQL&gt;&lt;FQL&gt;&lt;Q&gt;CRWV^FE_ESTIMATE(ARR,MEAN,QUARTERLY_ROLL,2026/3F,45881,,,'')&lt;/Q&gt;&lt;R&gt;0&lt;/R&gt;&lt;C&gt;0&lt;/C&gt;&lt;/FQL&gt;&lt;FQL&gt;&lt;Q&gt;CRWV^FE_ESTIMATE(ARR,MEAN,QUARTERLY_ROLL,2026/2F,45881,,,'')&lt;/Q&gt;&lt;R&gt;0&lt;/R&gt;&lt;C&gt;0&lt;/C&gt;&lt;/FQL&gt;&lt;FQL&gt;&lt;Q&gt;CRWV^FE_ESTIMATE(ARR,MEAN,QUARTERLY_ROLL,2026/1F,45881,,,'')&lt;/Q&gt;&lt;R&gt;0&lt;/R&gt;&lt;C&gt;0&lt;/C&gt;&lt;/FQL&gt;&lt;FQL&gt;&lt;Q&gt;CRWV^FE_ESTIMATE(ARR,MEAN,ANNUAL_ROLL,2025,45881,,,'')&lt;/Q&gt;&lt;R&gt;1&lt;/R&gt;&lt;C&gt;1&lt;/C&gt;&lt;D xsi:type="xsd:double"&gt;6800&lt;/D&gt;&lt;/FQL&gt;&lt;FQL&gt;&lt;Q&gt;CRWV^FE_ESTIMATE(ARR,MEAN,QUARTERLY_ROLL,2025/4F,45881,,,'')&lt;/Q&gt;&lt;R&gt;0&lt;/R&gt;&lt;C&gt;0&lt;/C&gt;&lt;/FQL&gt;&lt;FQL&gt;&lt;Q&gt;CRWV^FE_ESTIMATE(ARR,MEAN,QUARTERLY_ROLL,2025/3F,45881,,,'')&lt;/Q&gt;&lt;R&gt;0&lt;/R&gt;&lt;C&gt;0&lt;/C&gt;&lt;/FQL&gt;&lt;FQL&gt;&lt;Q&gt;CRWV^FE_ESTIMATE(ARR,MEAN,QUARTERLY_ROLL,2025/2F,45881,,,'')&lt;/Q&gt;&lt;R&gt;0&lt;/R&gt;&lt;C&gt;0&lt;/C&gt;&lt;/FQL&gt;&lt;FQL&gt;&lt;Q&gt;CRWV^FE_ESTIMATE(ARR,MEAN,QUARTERLY_ROLL,2025/1F,45881,,,'')&lt;/Q&gt;&lt;R&gt;0&lt;/R&gt;&lt;C&gt;0&lt;/C&gt;&lt;/FQL&gt;&lt;FQL&gt;&lt;Q&gt;CRWV^FE_ESTIMATE(ARR,MEAN,ANNUAL_ROLL,2024,45881,,,'')&lt;/Q&gt;&lt;R&gt;1&lt;/R&gt;&lt;C&gt;1&lt;/C&gt;&lt;D xsi:type="xsd:double"&gt;3000&lt;/D&gt;&lt;/FQL&gt;&lt;FQL&gt;&lt;Q&gt;CRWV^FE_ESTIMATE(ARR,MEAN,QUARTERLY_ROLL,2024/4F,45881,,,'')&lt;/Q&gt;&lt;R&gt;0&lt;/R&gt;&lt;C&gt;0&lt;/C&gt;&lt;/FQL&gt;&lt;FQL&gt;&lt;Q&gt;CRWV^FE_ESTIMATE(ARR,MEAN,QUARTERLY_ROLL,2024/3F,45881,,,'')&lt;/Q&gt;&lt;R&gt;0&lt;/R&gt;&lt;C&gt;0&lt;/C&gt;&lt;/FQL&gt;&lt;FQL&gt;&lt;Q&gt;CRWV^FE_ESTIMATE(ARR,MEAN,QUARTERLY_ROLL,2024/2F,45881,,,'')&lt;/Q&gt;&lt;R&gt;0&lt;/R&gt;&lt;C&gt;0&lt;/C&gt;&lt;/FQL&gt;&lt;FQL&gt;&lt;Q&gt;CRWV^FE_ESTIMATE(ARR,MEAN,QUARTERLY_ROLL,2024/1F,45881,,,'')&lt;/Q&gt;&lt;R&gt;0&lt;/R&gt;&lt;C&gt;0&lt;/C&gt;&lt;/FQL&gt;&lt;FQL&gt;&lt;Q&gt;CRWV^FE_ESTIMATE(ARR,MEAN,ANNUAL_ROLL,2023,45881,,,'')&lt;/Q&gt;&lt;R&gt;0&lt;/R&gt;&lt;C&gt;0&lt;/C&gt;&lt;/FQL&gt;&lt;FQL&gt;&lt;Q&gt;CRWV^FE_ESTIMATE(ARR,MEAN,QUARTERLY_ROLL,2023/4F,45881,,,'')&lt;/Q&gt;&lt;R&gt;0&lt;/R&gt;&lt;C&gt;0&lt;/C&gt;&lt;/FQL&gt;&lt;FQL&gt;&lt;Q&gt;CRWV^FE_ESTIMATE(ARR,MEAN,QUARTERLY_ROLL,2023/3F,45881,,,'')&lt;/Q&gt;&lt;R&gt;0&lt;/R&gt;&lt;C&gt;0&lt;/C&gt;&lt;/FQL&gt;&lt;FQL&gt;&lt;Q&gt;CRWV^FE_ESTIMATE(ARR,MEAN,QUARTERLY_ROLL,2023/2F,45881,,,'')&lt;/Q&gt;&lt;R&gt;0&lt;/R&gt;&lt;C&gt;0&lt;/C&gt;&lt;/FQL&gt;&lt;FQL&gt;&lt;Q&gt;CRWV^FE_ESTIMATE(ARR,MEAN,QUARTERLY_ROLL,2023/1F,45881,,,'')&lt;/Q&gt;&lt;R&gt;0&lt;/R&gt;&lt;C&gt;0&lt;/C&gt;&lt;/FQL&gt;&lt;FQL&gt;&lt;Q&gt;CRWV^FE_ESTIMATE(ARR,MEAN,ANNUAL_ROLL,2022,45881,,,'')&lt;/Q&gt;&lt;R&gt;0&lt;/R&gt;&lt;C&gt;0&lt;/C&gt;&lt;/FQL&gt;&lt;FQL&gt;&lt;Q&gt;CRWV^FE_ESTIMATE(ARR,MEAN,QUARTERLY_ROLL,2022/4F,45881,,,'')&lt;/Q&gt;&lt;R&gt;0&lt;/R&gt;&lt;C&gt;0&lt;/C&gt;&lt;/FQL&gt;&lt;FQL&gt;&lt;Q&gt;CRWV^FE_ESTIMATE(ARR,MEAN,QUARTERLY_ROLL,2022/3F,45881,,,'')&lt;/Q&gt;&lt;R&gt;0&lt;/R&gt;&lt;C&gt;0&lt;/C&gt;&lt;/FQL&gt;&lt;FQL&gt;&lt;Q&gt;CRWV^FE_ESTIMATE(ARR,MEAN,QUARTERLY_ROLL,2022/2F,45881,,,'')&lt;/Q&gt;&lt;R&gt;0&lt;/R&gt;&lt;C&gt;0&lt;/C&gt;&lt;/FQL&gt;&lt;FQL&gt;&lt;Q&gt;CRWV^FE_ESTIMATE(ARR,MEAN,QUARTERLY_ROLL,2022/1F,45881,,,'')&lt;/Q&gt;&lt;R&gt;0&lt;/R&gt;&lt;C&gt;0&lt;/C&gt;&lt;/FQL&gt;&lt;FQL&gt;&lt;Q&gt;CRWV^FE_ESTIMATE(NEW_ORDERS_VALUE,MEAN,ANNUAL_ROLL,2029,45881,,,'')&lt;/Q&gt;&lt;R&gt;0&lt;/R&gt;&lt;C&gt;0&lt;/C&gt;&lt;/FQL&gt;&lt;FQL&gt;&lt;Q&gt;CRWV^FE_ESTIMATE(NEW_ORDERS_VALUE,MEAN,QUARTERLY_ROLL,2029/4F,45881,,,'')&lt;/Q&gt;&lt;R&gt;0&lt;/R&gt;&lt;C&gt;0&lt;/C&gt;&lt;/FQL&gt;&lt;FQL&gt;&lt;Q&gt;CRWV^FE_ESTIMATE(NEW_ORDERS_VALUE,MEAN,QUARTERLY_ROLL,2029/3F,45881,,,'')&lt;/Q&gt;&lt;R&gt;0&lt;/R&gt;&lt;C&gt;0&lt;/C&gt;&lt;/FQL&gt;&lt;FQL&gt;&lt;Q&gt;CRWV^FE_ESTIMATE(NEW_ORDERS_VALUE,MEAN,QUARTERLY_ROLL,2029/2F,45881,,,'')&lt;/Q&gt;&lt;R&gt;0&lt;/R&gt;&lt;C&gt;0&lt;/C&gt;&lt;/FQL&gt;&lt;FQL&gt;&lt;Q&gt;CRWV^FE_ESTIMATE(NEW_ORDERS_VALUE,MEAN,QUARTERLY_ROLL,2029/1F,45881,,,'')&lt;/Q&gt;&lt;R&gt;0&lt;/R&gt;&lt;C&gt;0&lt;/C&gt;&lt;/FQL&gt;&lt;FQL&gt;&lt;Q&gt;CRWV^FE_ESTIMATE(NEW_ORDERS_VALUE,MEAN,ANNUAL_ROLL,2028,45881,,,'')&lt;/Q&gt;&lt;R&gt;0&lt;/R&gt;&lt;C&gt;0&lt;/C&gt;&lt;/FQL&gt;&lt;FQL&gt;&lt;Q&gt;CRWV^FE_ESTIMATE(NEW_ORDERS_VALUE,MEAN,QUARTERLY_ROLL,2028/4F,45881,,,'')&lt;/Q&gt;&lt;R&gt;0&lt;/R&gt;&lt;C&gt;0&lt;/C&gt;&lt;/FQL&gt;&lt;FQL&gt;&lt;Q&gt;CRWV^FE_ESTIMATE(NEW_ORDERS_VALUE,MEAN,QUARTERLY_ROLL,2028/3F,45881,,,'')&lt;/Q&gt;&lt;R&gt;0&lt;/R&gt;&lt;C&gt;0&lt;/C&gt;&lt;/FQL&gt;&lt;FQL&gt;&lt;Q&gt;CRWV^FE_ESTIMATE(NEW_ORDERS_VALUE,MEAN,QUARTERLY_ROLL,2028/2F,45881,,,'')&lt;/Q&gt;&lt;R&gt;0&lt;/R&gt;&lt;C&gt;0&lt;/C&gt;&lt;/FQL&gt;&lt;FQL&gt;&lt;Q&gt;CRWV^FE_ESTIMATE(NEW_ORDERS_VALUE,MEAN,QUARTERLY_ROLL,2028/1F,45881,,,'')&lt;/Q&gt;&lt;R&gt;0&lt;/R&gt;&lt;C&gt;0&lt;/C&gt;&lt;/FQL&gt;&lt;FQL&gt;&lt;Q&gt;CRWV^FE_ESTIMATE(NEW_ORDERS_VALUE,MEAN,ANNUAL_ROLL,2027,45881,,,'')&lt;/Q&gt;&lt;R&gt;0&lt;/R&gt;&lt;C&gt;0&lt;/C&gt;&lt;/FQL&gt;&lt;FQL&gt;&lt;Q&gt;CRWV^FE_ESTIMATE(NEW_ORDERS_VALUE,MEAN,QUARTERLY_ROLL,2027/4F,45881,,,'')&lt;/Q&gt;&lt;R&gt;0&lt;/R&gt;&lt;C&gt;0&lt;/C&gt;&lt;/FQL&gt;&lt;FQL&gt;&lt;Q&gt;CRWV^FE_ESTIMATE(NEW_ORDERS_VALUE,MEAN,QUARTERLY_ROLL,2027/3F,45881,,,'')&lt;/Q&gt;&lt;R&gt;0&lt;/R&gt;&lt;C&gt;0&lt;/C&gt;&lt;/FQL&gt;&lt;FQL&gt;&lt;Q&gt;CRWV^FE_ESTIMATE(NEW_ORDERS_VALUE,MEAN,QUARTERLY_ROLL,2027/2F,45881,,,'')&lt;/Q&gt;&lt;R&gt;0&lt;/R&gt;&lt;C&gt;0&lt;/C&gt;&lt;/FQL&gt;&lt;FQL&gt;&lt;Q&gt;CRWV^FE_ESTIMATE(NEW_ORDERS_VALUE,MEAN,QUARTERLY_ROLL,2027/1F,45881,,,'')&lt;/Q&gt;&lt;R&gt;0&lt;/R&gt;&lt;C&gt;0&lt;/C&gt;&lt;/FQL&gt;&lt;FQL&gt;&lt;Q&gt;CRWV^FE_ESTIMATE(NEW_ORDERS_VALUE,MEAN,ANNUAL_ROLL,2026,45881,,,'')&lt;/Q&gt;&lt;R&gt;0&lt;/R&gt;&lt;C&gt;0&lt;/C&gt;&lt;/FQL&gt;&lt;FQL&gt;&lt;Q&gt;CRWV^FE_ESTIMATE(NEW_ORDERS_VALUE,MEAN,QUARTERLY_ROLL,2026/4F,45881,,,'')&lt;/Q&gt;&lt;R&gt;0&lt;/R&gt;&lt;C&gt;0&lt;/C&gt;&lt;/FQL&gt;&lt;FQL&gt;&lt;Q&gt;CRWV^FE_ESTIMATE(NEW_ORDERS_VALUE,MEAN,QUARTERLY_ROLL,2026/3F,45881,,,'')&lt;/Q&gt;&lt;R&gt;0&lt;/R&gt;&lt;C&gt;0&lt;/C&gt;&lt;/FQL&gt;&lt;FQL&gt;&lt;Q&gt;CRWV^FE_ESTIMATE(NEW_ORDERS_VALUE,MEAN,QUARTERLY_ROLL,2026/2F,45881,,,'')&lt;/Q&gt;&lt;R&gt;0&lt;/R&gt;&lt;C&gt;0&lt;/C&gt;&lt;/FQL&gt;&lt;FQL&gt;&lt;Q&gt;CRWV^FE_ESTIMATE(NEW_ORDERS_VALUE,MEAN,QUARTERLY_ROLL,2026/1F,45881,,,'')&lt;/Q&gt;&lt;R&gt;0&lt;/R&gt;&lt;C&gt;0&lt;/C&gt;&lt;/FQL&gt;&lt;FQL&gt;&lt;Q&gt;CRWV^FE_ESTIMATE(NEW_ORDERS_VALUE,MEAN,ANNUAL_ROLL,2025,45881,,,'')&lt;/Q&gt;&lt;R&gt;0&lt;/R&gt;&lt;C&gt;0&lt;/C&gt;&lt;/FQL&gt;&lt;FQL&gt;&lt;Q&gt;CRWV^FE_ESTIMATE(NEW_ORDERS_VALUE,MEAN,QUARTERLY_ROLL,2025/4F,45881,,,'')&lt;/Q&gt;&lt;R&gt;0&lt;/R&gt;&lt;C&gt;0&lt;/C&gt;&lt;/FQL&gt;&lt;FQL&gt;&lt;Q&gt;CRWV^FE_ESTIMATE(NEW_ORDERS_VALUE,MEAN,QUARTERLY_ROLL,2025/3F,45881,,,'')&lt;/Q&gt;&lt;R&gt;0&lt;/R&gt;&lt;C&gt;0&lt;/C&gt;&lt;/FQL&gt;&lt;FQL&gt;&lt;Q&gt;CRWV^FE_ESTIMATE(NEW_ORDERS_VALUE,MEAN,QUARTERLY_ROLL,2025/2F,45881,,,'')&lt;/Q&gt;&lt;R&gt;0&lt;/R&gt;&lt;C&gt;0&lt;/C&gt;&lt;/FQL&gt;&lt;FQL&gt;&lt;Q&gt;CRWV^FE_ESTIMATE(NEW_ORDERS_VALUE,MEAN,QUARTERLY_ROLL,2025/1F,45881,,,'')&lt;/Q&gt;&lt;R&gt;0&lt;/R&gt;&lt;C&gt;0&lt;/C&gt;&lt;/FQL&gt;&lt;FQL&gt;&lt;Q&gt;CRWV^FE_ESTIMATE(NEW_ORDERS_VALUE,MEAN,ANNUAL_ROLL,2024,45881,,,'')&lt;/Q&gt;&lt;R&gt;0&lt;/R&gt;&lt;C&gt;0&lt;/C&gt;&lt;/FQL&gt;&lt;FQL&gt;&lt;Q&gt;CRWV^FE_ESTIMATE(NEW_ORDERS_VALUE,MEAN,QUARTERLY_ROLL,2024/4F,45881,,,'')&lt;/Q&gt;&lt;R&gt;1&lt;/R&gt;&lt;C&gt;1&lt;/C&gt;&lt;D xsi:type="xsd:double"&gt;382&lt;/D&gt;&lt;/FQL&gt;&lt;FQL&gt;&lt;Q&gt;CRWV^FE_ESTIMATE(NEW_ORDERS_VALUE,MEAN,QUARTERLY_ROLL,2024/3F,45881,,,'')&lt;/Q&gt;&lt;R&gt;0&lt;/R&gt;&lt;C&gt;0&lt;/C&gt;&lt;/FQL&gt;&lt;FQL&gt;&lt;Q&gt;CRWV^FE_ESTIMATE(NEW_ORDERS_VALUE,MEAN,QUARTERLY_ROLL,2024/2F,45881,,,'')&lt;/Q&gt;&lt;R&gt;0&lt;/R&gt;&lt;C&gt;0&lt;/C&gt;&lt;/FQL&gt;&lt;FQL&gt;&lt;Q&gt;CRWV^FE_ESTIMATE(NEW_ORDERS_VALUE,MEAN,QUARTERLY_ROLL,2024/1F,45881,,,'')&lt;/Q&gt;&lt;R&gt;0&lt;/R&gt;&lt;C&gt;0&lt;/C&gt;&lt;/FQL&gt;&lt;FQL&gt;&lt;Q&gt;CRWV^FE_ESTIMATE(NEW_ORDERS_VALUE,MEAN,ANNUAL_ROLL,2023,45881,,,'')&lt;/Q&gt;&lt;R&gt;0&lt;/R&gt;&lt;C&gt;0&lt;/C&gt;&lt;/FQL&gt;&lt;FQL&gt;&lt;Q&gt;CRWV^FE_ESTIMATE(NEW_ORDERS_VALUE,MEAN,QUARTERLY_ROLL,2023/4F,45881,,,'')&lt;/Q&gt;&lt;R&gt;0&lt;/R&gt;&lt;C&gt;0&lt;/C&gt;&lt;/FQL&gt;&lt;FQL&gt;&lt;Q&gt;CRWV^FE_ESTIMATE(NEW_ORDERS_VALUE,MEAN,QUARTERLY_ROLL,2023/3F,45881,,,'')&lt;/Q&gt;&lt;R&gt;0&lt;/R&gt;&lt;C&gt;0&lt;/C&gt;&lt;/FQL&gt;&lt;FQL&gt;&lt;Q&gt;CRWV^FE_ESTIMATE(NEW_ORDERS_VALUE,MEAN,QUARTERLY_ROLL,2023/2F,45881,,,'')&lt;/Q&gt;&lt;R&gt;0&lt;/R&gt;&lt;C&gt;0&lt;/C&gt;&lt;/FQL&gt;&lt;FQL&gt;&lt;Q&gt;CRWV^FE_ESTIMATE(NEW_ORDERS_VALUE,MEAN,QUARTERLY_ROLL,2023/1F,45881,,,'')&lt;/Q&gt;&lt;R&gt;0&lt;/R&gt;&lt;C&gt;0&lt;/C&gt;&lt;/FQL&gt;&lt;FQL&gt;&lt;Q&gt;CRWV^FE_ESTIMATE(NEW_ORDERS_VALUE,MEAN,ANNUAL_ROLL,2022,45881,,,'')&lt;/Q&gt;&lt;R&gt;0&lt;/R&gt;&lt;C&gt;0&lt;/C&gt;&lt;/FQL&gt;&lt;FQL&gt;&lt;Q&gt;CRWV^FE_ESTIMATE(NEW_ORDERS_VALUE,MEAN,QUARTERLY_ROLL,2022/4F,45881,,,'')&lt;/Q&gt;&lt;R&gt;0&lt;/R&gt;&lt;C&gt;0&lt;/C&gt;&lt;/FQL&gt;&lt;FQL&gt;&lt;Q&gt;CRWV^FE_ESTIMATE(NEW_ORDERS_VALUE,MEAN,QUARTERLY_ROLL,2022/3F,45881,,,'')&lt;/Q&gt;&lt;R&gt;0&lt;/R&gt;&lt;C&gt;0&lt;/C&gt;&lt;/FQL&gt;&lt;FQL&gt;&lt;Q&gt;CRWV^FE_ESTIMATE(NEW_ORDERS_VALUE,MEAN,QUARTERLY_ROLL,2022/2F,45881,,,'')&lt;/Q&gt;&lt;R&gt;0&lt;/R&gt;&lt;C&gt;0&lt;/C&gt;&lt;/FQL&gt;&lt;FQL&gt;&lt;Q&gt;CRWV^FE_ESTIMATE(NEW_ORDERS_VALUE,MEAN,QUARTERLY_ROLL,2022/1F,45881,,,'')&lt;/Q&gt;&lt;R&gt;0&lt;/R&gt;&lt;C&gt;0&lt;/C&gt;&lt;/FQL&gt;&lt;FQL&gt;&lt;Q&gt;CRWV^FE_ESTIMATE(TOTALDEBT,MEAN,ANNUAL_ROLL,2029,45881,,,'')&lt;/Q&gt;&lt;R&gt;1&lt;/R&gt;&lt;C&gt;1&lt;/C&gt;&lt;D xsi:type="xsd:double"&gt;35657.7&lt;/D&gt;&lt;/FQL&gt;&lt;FQL&gt;&lt;Q&gt;CRWV^FE_ESTIMATE(TOTALDEBT,MEAN,QUARTERLY_ROLL,2029/4F,45881,,,'')&lt;/Q&gt;&lt;R&gt;0&lt;/R&gt;&lt;C&gt;0&lt;/C&gt;&lt;/FQL&gt;&lt;FQL&gt;&lt;Q&gt;CRWV^FE_ESTIMATE(TOTALDEBT,MEAN,QUARTERLY_ROLL,2029/3F,45881,,,'')&lt;/Q&gt;&lt;R&gt;0&lt;/R&gt;&lt;C&gt;0&lt;/C&gt;&lt;/FQL&gt;&lt;FQL&gt;&lt;Q&gt;CRWV^FE_ESTIMATE(TOTALDEBT,MEAN,QUARTERLY_ROLL,2029/2F,45881,,,'')&lt;/Q&gt;&lt;R&gt;0&lt;/R&gt;&lt;C&gt;0&lt;/C&gt;&lt;/FQL&gt;&lt;FQL&gt;&lt;Q&gt;CRWV^FE_ESTIMATE(TOTALDEBT,MEAN,QUARTERLY_ROLL,2029/1F,45881,,,'')&lt;/Q&gt;&lt;R&gt;0&lt;/R&gt;&lt;C&gt;0&lt;/C&gt;&lt;/FQL&gt;&lt;FQL&gt;&lt;Q&gt;CRWV^FE_ESTIMATE(TOTALDEBT,MEAN,ANNUAL_ROLL,2028,45881,,,'')&lt;/Q&gt;&lt;R&gt;1&lt;/R&gt;&lt;C&gt;1&lt;/C&gt;&lt;D xsi:type="xsd:double"&gt;35584.7&lt;/D&gt;&lt;/FQL&gt;&lt;FQL&gt;&lt;Q&gt;CRWV^FE_ESTIMATE(TOTALDEBT,MEAN,QUARTERLY_ROLL,2028/4F,45881,,,'')&lt;/Q&gt;&lt;R&gt;0&lt;/R&gt;&lt;C&gt;0&lt;/C&gt;&lt;/FQL&gt;&lt;FQL&gt;&lt;Q&gt;CRWV^FE_ESTIMATE(TOTALDEBT,MEAN,QUARTERLY_ROLL,2028/3F,45881,,,'')&lt;/Q&gt;&lt;R&gt;0&lt;/R&gt;&lt;C&gt;0&lt;/C&gt;&lt;/FQL&gt;&lt;FQL&gt;&lt;Q&gt;CRWV^FE_ESTIMATE(TOTALDEBT,MEAN,QUARTERLY_ROLL,2028/2F,45881,,,'')&lt;/Q&gt;&lt;R&gt;0&lt;/R&gt;&lt;C&gt;0&lt;/C&gt;&lt;/FQL&gt;&lt;FQL&gt;&lt;Q&gt;CRWV^FE_ESTIMATE(TOTALDEBT,MEAN,QUARTERLY_ROLL,2028/1F,45881,,,'')&lt;/Q&gt;&lt;R&gt;0&lt;/R&gt;&lt;C&gt;0&lt;/C&gt;&lt;/FQL&gt;&lt;FQL&gt;&lt;Q&gt;CRWV^FE_ESTIMATE(TOTALDEBT,MEAN,ANNUAL_ROLL,2027,45881,,,'')&lt;/Q&gt;&lt;R&gt;1&lt;/R&gt;&lt;C&gt;1&lt;/C&gt;&lt;D xsi:type="xsd:double"&gt;34721.984&lt;/D&gt;&lt;/FQL&gt;&lt;FQL&gt;&lt;Q&gt;CRWV^FE_ESTIMATE(TOTALDEBT,MEAN,QUARTERLY_ROLL,2027/4F,45881,,,'')&lt;/Q&gt;&lt;R&gt;0&lt;/R&gt;&lt;C&gt;0&lt;/C&gt;&lt;/FQL&gt;&lt;FQL&gt;&lt;Q&gt;CRWV^FE_ESTIMATE(TOTALDEBT,MEAN,QUARTERLY_ROLL,2027/3F,45881,,,'')&lt;/Q&gt;&lt;R&gt;0&lt;/R&gt;&lt;C&gt;0&lt;/C&gt;&lt;/FQL&gt;&lt;FQL&gt;&lt;Q&gt;CRWV^FE_ESTIMATE(TOTALDEBT,MEAN,QUARTERLY_ROLL,2027/2F,45881,,,'')&lt;/Q&gt;&lt;R&gt;0&lt;/R&gt;&lt;C&gt;0&lt;/C&gt;&lt;/FQL&gt;&lt;FQL&gt;&lt;Q&gt;CRWV^FE_ESTIMATE(TOTALDEBT,MEAN,QUARTERLY_ROLL,2027/1F,45881,,,'')&lt;/Q&gt;&lt;R&gt;0&lt;/R&gt;&lt;C&gt;0&lt;/C&gt;&lt;/FQL&gt;&lt;FQL&gt;&lt;Q&gt;CRWV^FE_ESTIMATE(TOTALDEBT,MEAN,ANNUAL_ROLL,2026,45881,,,'')&lt;/Q&gt;&lt;R&gt;1&lt;/R&gt;&lt;C&gt;1&lt;/C&gt;&lt;D xsi:type="xsd:double"&gt;31767.49&lt;/D&gt;&lt;/FQL&gt;&lt;FQL&gt;&lt;Q&gt;CRWV^FE_ESTIMATE(TOTALDEBT,MEAN,QUARTERLY_ROLL,2026/4F,45881,,,'')&lt;/Q&gt;&lt;R&gt;1&lt;/R&gt;&lt;C&gt;1&lt;/C&gt;&lt;D xsi:type="xsd:double"&gt;32153.85&lt;/D&gt;&lt;/FQL&gt;&lt;FQL&gt;&lt;Q&gt;CRWV^FE_ESTIMATE(TOTALDEBT,MEAN,QUARTERLY_ROLL,2026/3F,45881,,,'')&lt;/Q&gt;&lt;R&gt;1&lt;/R&gt;&lt;C&gt;1&lt;/C&gt;&lt;D xsi:type="xsd:double"&gt;31002.85&lt;/D&gt;&lt;/FQL&gt;&lt;FQL&gt;&lt;Q&gt;CRWV^FE_ESTIMATE(TOTALDEBT,MEAN,QUARTERLY_ROLL,2026/2F,45881,,,'')&lt;/Q&gt;&lt;R&gt;1&lt;/R&gt;&lt;C&gt;1&lt;/C&gt;&lt;D xsi:type="xsd:double"&gt;29248.35&lt;/D&gt;&lt;/FQL&gt;&lt;FQL&gt;&lt;Q&gt;CRWV^FE_ESTIMATE(TOTALDEBT,MEAN,QUARTERLY_ROLL,2026/1F,45881,,,'')&lt;/Q&gt;&lt;R&gt;1&lt;/R&gt;&lt;C&gt;1&lt;/C&gt;&lt;D xsi:type="xsd:double"&gt;27612.85&lt;/D&gt;&lt;/FQL&gt;&lt;FQL&gt;&lt;Q&gt;CRWV^FE_ESTIMATE(TOTALDEBT,MEAN,ANNUAL_ROLL,2025,45881,,,'')&lt;/Q&gt;&lt;R&gt;1&lt;/R&gt;&lt;C&gt;1&lt;/C&gt;&lt;D xsi:type="xsd:double"&gt;23564.967&lt;/D&gt;&lt;/FQL&gt;&lt;FQL&gt;&lt;Q&gt;CRWV^FE_ESTIMATE(TOTALDEBT,MEAN,QUARTERLY_ROLL,2025/4F,45881,,,'')&lt;/Q&gt;&lt;R&gt;1&lt;/R&gt;&lt;C&gt;1&lt;/C&gt;&lt;D xsi:type="xsd:double"&gt;23527.3&lt;/D&gt;&lt;/FQL&gt;&lt;FQL&gt;&lt;Q&gt;CRWV^FE_ESTIMATE(TOTALDEBT,MEAN,QUARTERLY_ROLL,2025/3F,45881,,,'')&lt;/Q&gt;&lt;R&gt;1&lt;/R&gt;&lt;C&gt;1&lt;/C&gt;&lt;D xsi:type="xsd:double"&gt;17654&lt;/D&gt;&lt;/FQL&gt;&lt;FQL&gt;&lt;Q&gt;CRWV^FE_ESTIMATE(TOTALDEBT,MEAN,QUARTERLY_ROLL,2025/2F,45881,,,'')&lt;/Q&gt;&lt;R&gt;1&lt;/R&gt;&lt;C&gt;1&lt;/C&gt;&lt;D xsi:type="xsd:double"&gt;11054.533&lt;/D&gt;&lt;/FQL&gt;&lt;FQL&gt;&lt;Q&gt;CRWV^FE_ESTIMATE(TOTALDEBT,MEAN,QUARTERLY_ROLL,2025/1F,45881,,,'')&lt;/Q&gt;&lt;R&gt;1&lt;/R&gt;&lt;C&gt;1&lt;/C&gt;&lt;D xsi:type="xsd:double"&gt;8711.85&lt;/D&gt;&lt;/FQL&gt;&lt;FQL&gt;&lt;Q&gt;CRWV^FE_ESTIMATE(TOTALDEBT,MEAN,ANNUAL_ROLL,2024,45881,,,'')&lt;/Q&gt;&lt;R&gt;1&lt;/R&gt;&lt;C&gt;1&lt;/C&gt;&lt;D xsi:type="xsd:double"&gt;7944.588&lt;/D&gt;&lt;/FQL&gt;&lt;FQL&gt;&lt;Q&gt;CRWV^FE_ESTIMATE(TOTALDEBT,MEAN,QUARTERLY_ROLL,2024/4F,45881,,,'')&lt;/Q&gt;&lt;R&gt;1&lt;/R&gt;&lt;C&gt;1&lt;/C&gt;&lt;D xsi:type="xsd:double"&gt;7949.15&lt;/D&gt;&lt;/FQL&gt;&lt;FQL&gt;&lt;Q&gt;CRWV^FE_ESTIMATE(TOTALDEBT,MEAN,QUARTERLY_ROLL,2024/3F,45881,,,'')&lt;/Q&gt;&lt;R&gt;0&lt;/R&gt;&lt;C&gt;0&lt;/C&gt;&lt;/FQL&gt;&lt;FQL&gt;&lt;Q&gt;CRWV^FE_ESTIMATE(TOTALDEBT,MEAN,QUARTERLY_ROLL,2024/2F,45881,,,'')&lt;/Q&gt;&lt;R&gt;0&lt;/R&gt;&lt;C&gt;0&lt;/C&gt;&lt;/FQL&gt;&lt;FQL&gt;&lt;Q&gt;CRWV^FE_ESTIMATE(TOTALDEBT,MEAN,QUARTERLY_ROLL,2024/1F,45881,,,'')&lt;/Q&gt;&lt;R&gt;0&lt;/R&gt;&lt;C&gt;0&lt;/C&gt;&lt;/FQL&gt;&lt;FQL&gt;&lt;Q&gt;CRWV^FE_ESTIMATE(TOTALDEBT,MEAN,ANNUAL_ROLL,2023,45881,,,'')&lt;/Q&gt;&lt;R&gt;0&lt;/R&gt;&lt;C&gt;0&lt;/C&gt;&lt;/FQL&gt;&lt;FQL&gt;&lt;Q&gt;CRWV^FE_ESTIMATE(TOTALDEBT,MEAN,QUARTERLY_ROLL,2023/4F,45881,,,'')&lt;/Q&gt;&lt;R&gt;0&lt;/R&gt;&lt;C&gt;0&lt;/C&gt;&lt;/FQL&gt;&lt;FQL&gt;&lt;Q&gt;CRWV^FE_ESTIMATE(TOTALDEBT,MEAN,QUARTERLY_ROLL,2023/3F,45881,,,'')&lt;/Q&gt;&lt;R&gt;0&lt;/R&gt;&lt;C&gt;0&lt;/C&gt;&lt;/FQL&gt;&lt;FQL&gt;&lt;Q&gt;CRWV^FE_ESTIMATE(TOTALDEBT,MEAN,QUARTERLY_ROLL,2023/2F,45881,,,'')&lt;/Q&gt;&lt;R&gt;0&lt;/R&gt;&lt;C&gt;0&lt;/C&gt;&lt;/FQL&gt;&lt;FQL&gt;&lt;Q&gt;CRWV^FE_ESTIMATE(TOTALDEBT,MEAN,QUARTERLY_ROLL,2023/1F,45881,,,'')&lt;/Q&gt;&lt;R&gt;0&lt;/R&gt;&lt;C&gt;0&lt;/C&gt;&lt;/FQL&gt;&lt;FQL&gt;&lt;Q&gt;CRWV^FE_ESTIMATE(TOTALDEBT,MEAN,ANNUAL_ROLL,2022,45881,,,'')&lt;/Q&gt;&lt;R&gt;0&lt;/R&gt;&lt;C&gt;0&lt;/C&gt;&lt;/FQL&gt;&lt;FQL&gt;&lt;Q&gt;CRWV^FE_ESTIMATE(TOTALDEBT,MEAN,QUARTERLY_ROLL,2022/4F,45881,,,'')&lt;/Q&gt;&lt;R&gt;0&lt;/R&gt;&lt;C&gt;0&lt;/C&gt;&lt;/FQL&gt;&lt;FQL&gt;&lt;Q&gt;CRWV^FE_ESTIMATE(TOTALDEBT,MEAN,QUARTERLY_ROLL,2022/3F,45881,,,'')&lt;/Q&gt;&lt;R&gt;0&lt;/R&gt;&lt;C&gt;0&lt;/C&gt;&lt;/FQL&gt;&lt;FQL&gt;&lt;Q&gt;CRWV^FE_ESTIMATE(TOTALDEBT,MEAN,QUARTERLY_ROLL,2022/2F,45881,,,'')&lt;/Q&gt;&lt;R&gt;0&lt;/R&gt;&lt;C&gt;0&lt;/C&gt;&lt;/FQL&gt;&lt;FQL&gt;&lt;Q&gt;CRWV^FE_ESTIMATE(TOTALDEBT,MEAN,QUARTERLY_ROLL,2022/1F,45881,,,'')&lt;/Q&gt;&lt;R&gt;0&lt;/R&gt;&lt;C&gt;0&lt;/C&gt;&lt;/FQL&gt;&lt;FQL&gt;&lt;Q&gt;CRWV^FE_ESTIMATE(DEFREVENUE,MEAN,ANNUAL_ROLL,2029,45881,,,'')&lt;/Q&gt;&lt;R&gt;1&lt;/R&gt;&lt;C&gt;1&lt;/C&gt;&lt;D xsi:type="xsd:double"&gt;18857.5&lt;/D&gt;&lt;/FQL&gt;&lt;FQL&gt;&lt;Q&gt;CRWV^FE_ESTIMATE(DEFREVENUE,MEAN,QUARTERLY_ROLL,2029/4F,45881,,,'')&lt;/Q&gt;&lt;R&gt;0&lt;/R&gt;&lt;C&gt;0&lt;/C&gt;&lt;/FQL&gt;&lt;FQL&gt;&lt;Q&gt;CRWV^FE_ESTIMATE(DEFREVENUE,MEAN,QUARTERLY_ROLL,2029/3F,45881,,,'')&lt;/Q&gt;&lt;R&gt;0&lt;/R&gt;&lt;C&gt;0&lt;/C&gt;&lt;/FQL&gt;&lt;FQL&gt;&lt;Q&gt;CRWV^FE_ESTIMATE(DEFREVENUE,MEAN,QUARTERLY_ROLL,2029/2F,45881,,,'')&lt;/Q&gt;&lt;R&gt;0&lt;/R&gt;&lt;C&gt;0&lt;/C&gt;&lt;/FQL&gt;&lt;FQL&gt;&lt;Q&gt;CRWV^FE_ESTIMATE(DEFREVENUE,MEAN,QUARTERLY_ROLL,2029/1F,45881,,,'')&lt;/Q&gt;&lt;R&gt;0&lt;/R&gt;&lt;C&gt;0&lt;/C&gt;&lt;/FQL&gt;&lt;FQL&gt;&lt;Q&gt;CRWV^FE_ESTIMATE(DEFREVENUE,MEAN,ANNUAL_ROLL,2028,45881,,,'')&lt;/Q&gt;&lt;R&gt;1&lt;/R&gt;&lt;C&gt;1&lt;/C&gt;&lt;D xsi:type="xsd:double"&gt;16126.3&lt;/D&gt;&lt;/FQL&gt;&lt;FQL&gt;&lt;Q&gt;CRWV^FE_ESTIMATE(DEFREVENUE,MEAN,QUARTERLY_ROLL,2028/4F,45881,,,'')&lt;/Q&gt;&lt;R&gt;0&lt;/R&gt;&lt;C&gt;0&lt;/C&gt;&lt;/FQL&gt;&lt;FQL&gt;&lt;Q&gt;CRWV^FE_ESTIMATE(DEFREVENUE,MEAN,QUARTERLY_ROLL,2028/3F,45881,,,'')&lt;/Q&gt;&lt;R&gt;0&lt;/R&gt;&lt;C&gt;0&lt;/C&gt;&lt;/FQL&gt;&lt;FQL&gt;&lt;Q&gt;CRWV^FE_ESTIMATE(DEFREVENUE,MEAN,QUARTERLY_ROLL,2028/2F,45881,,,'')&lt;/Q&gt;&lt;R&gt;0&lt;/R&gt;&lt;C&gt;0&lt;/C&gt;&lt;/FQL&gt;&lt;FQL&gt;&lt;Q&gt;CRWV^FE_ESTIMATE(DEFREVENUE,MEAN,QUARTERLY_ROLL,2028/1F,45881,,,'')&lt;/Q&gt;&lt;R&gt;0&lt;/R&gt;&lt;C&gt;0&lt;/C&gt;&lt;/FQL&gt;&lt;FQL&gt;&lt;Q&gt;CRWV^FE_ESTIMATE(DEFREVENUE,MEAN,ANNUAL_ROLL,2027,45881,,,'')&lt;/Q&gt;&lt;R&gt;1&lt;/R&gt;&lt;C&gt;1&lt;/C&gt;&lt;D xsi:type="xsd:double"&gt;12871.033&lt;/D&gt;&lt;/FQL&gt;&lt;FQL&gt;&lt;Q&gt;CRWV^FE_ESTIMATE(DEFREVENUE,MEAN,QUARTERLY_ROLL,2027/4F,45881,,,'')&lt;/Q&gt;&lt;R&gt;0&lt;/R&gt;&lt;C&gt;0&lt;/C&gt;&lt;/FQL&gt;&lt;FQL&gt;&lt;Q&gt;CRWV^FE_ESTIMATE(DEFREVENUE,MEAN,QUARTERLY_ROLL,2027/3F,45881,,,'')&lt;/Q&gt;&lt;R&gt;0&lt;/R&gt;&lt;C&gt;0&lt;/C&gt;&lt;/FQL&gt;&lt;FQL&gt;&lt;Q&gt;CRWV^FE_ESTIMATE(DEFREVENUE,MEAN,QUARTERLY_ROLL,2027/2F,45881,,,'')&lt;/Q&gt;&lt;R&gt;0&lt;/R&gt;&lt;C&gt;0&lt;/C&gt;&lt;/FQL&gt;&lt;FQL&gt;&lt;Q&gt;CRWV^FE_ESTIMATE(DEFREVENUE,MEAN,QUARTERLY_ROLL,2027/1F,45881,,,'')&lt;/Q&gt;&lt;R&gt;0&lt;/R&gt;&lt;C&gt;0&lt;/C&gt;&lt;/FQL&gt;&lt;FQL&gt;&lt;Q&gt;CRWV^FE_ESTIMATE(DEFREVENUE,MEAN,ANNUAL_ROLL,2026,45881,,,'')&lt;/Q&gt;&lt;R&gt;1&lt;/R&gt;&lt;C&gt;1&lt;/C&gt;&lt;D xsi:type="xsd:double"&gt;10412.056&lt;/D&gt;&lt;/FQL&gt;&lt;FQL&gt;&lt;Q&gt;CRWV^FE_ESTIMATE(DEFREVENUE,MEAN,QUARTERLY_ROLL,2026/4F,45881,,,'')&lt;/Q&gt;&lt;R&gt;1&lt;/R&gt;&lt;C&gt;1&lt;/C&gt;&lt;D xsi:type="xsd:double"&gt;10266.741&lt;/D&gt;&lt;/FQL&gt;&lt;FQL&gt;&lt;Q&gt;CRWV^FE_ESTIMATE(DEFREVENUE,MEAN,QUARTERLY_ROLL,2026/3F,45881,,,'')&lt;/Q&gt;&lt;R&gt;1&lt;/R&gt;&lt;C&gt;1&lt;/C&gt;&lt;D xsi:type="xsd:double"&gt;9451.919&lt;/D&gt;&lt;/FQL&gt;&lt;FQL&gt;&lt;Q&gt;CRWV^FE_ESTIMATE(DEFREVENUE,MEAN,QUARTERLY_ROLL,2026/2F,45881,,,'')&lt;/Q&gt;&lt;R&gt;1&lt;/R&gt;&lt;C&gt;1&lt;/C&gt;&lt;D xsi:type="xsd:double"&gt;8620.621&lt;/D&gt;&lt;/FQL&gt;&lt;FQL&gt;&lt;Q&gt;CRWV^FE_ESTIMATE(DEFREVENUE,MEAN,QUARTERLY_ROLL,2026/1F,45881,,,'')&lt;/Q&gt;&lt;R&gt;1&lt;/R&gt;&lt;C&gt;1&lt;/C&gt;&lt;D xsi:type="xsd:double"&gt;7112.471&lt;/D&gt;&lt;/FQL&gt;&lt;FQL&gt;&lt;Q&gt;CRWV^FE_ESTIMATE(DEFREVENUE,MEAN,ANNUAL_ROLL,2025,45881,,,'')&lt;/Q&gt;&lt;R&gt;1&lt;/R&gt;&lt;C&gt;1&lt;/C&gt;&lt;D xsi:type="xsd:double"&gt;6734.8174&lt;/D&gt;&lt;/FQL&gt;&lt;FQL&gt;&lt;Q&gt;CRWV^FE_ESTIMATE(DEFREVENUE,MEAN,QUARTERLY_ROLL,2025/4F,45881,,,'')&lt;/Q&gt;&lt;R&gt;1&lt;/R&gt;&lt;C&gt;1&lt;/C&gt;&lt;D xsi:type="xsd:double"&gt;6734.8174&lt;/D&gt;&lt;/FQL&gt;&lt;FQL&gt;&lt;Q&gt;CRWV^FE_ESTIMATE(DEFREVENUE,MEAN,QUARTERLY_ROLL,2025/3F,45881,,,'')&lt;/Q&gt;&lt;R&gt;1&lt;/R&gt;&lt;C&gt;1&lt;/C&gt;&lt;D xsi:type="xsd:double"&gt;5787.299&lt;/D&gt;&lt;/FQL&gt;&lt;FQL&gt;&lt;Q&gt;CRWV^FE_ESTIMATE(DEFREVENUE,MEAN,QUARTERLY_ROLL,2025/2F,45881,,,'')&lt;/Q&gt;&lt;R&gt;1&lt;/R&gt;&lt;C&gt;1&lt;/C&gt;&lt;D xsi:type="xsd:double"&gt;5517.349&lt;/D&gt;&lt;/FQL&gt;&lt;FQL&gt;&lt;Q&gt;CRWV^FE_ESTIMATE(DEFREVENUE,MEAN,QUARTERLY_ROLL,2025/1F,45881,,,'')&lt;/Q&gt;&lt;R&gt;1&lt;/R&gt;&lt;C&gt;1&lt;/C&gt;&lt;D xsi:type="xsd:double"&gt;4047.9998&lt;/D&gt;&lt;/FQL&gt;&lt;FQL&gt;&lt;Q&gt;CRWV^FE_ESTIMATE(DEFREVENUE,MEAN,ANNUAL_ROLL,2024,45881,,,'')&lt;/Q&gt;&lt;R&gt;1&lt;/R&gt;&lt;C&gt;1&lt;/C&gt;&lt;D xsi:type="xsd:double"&gt;4063.9565&lt;/D&gt;&lt;/FQL&gt;&lt;FQL&gt;&lt;Q&gt;CRWV^FE_ESTIMATE(DEFREVENUE,MEAN,QUARTERLY_ROLL,2024/4F,45881,,,'')&lt;/Q&gt;&lt;R&gt;1&lt;/R&gt;&lt;C&gt;1&lt;/C&gt;&lt;D xsi:type="xsd:double"&gt;4063.9565&lt;/D&gt;&lt;/FQL&gt;&lt;FQL&gt;&lt;Q&gt;CRWV^FE_ESTIMATE(DEFREVENUE,MEAN,QUARTERLY_ROLL,2024/3F,45881,,,'')&lt;/Q&gt;&lt;R&gt;0&lt;/R&gt;&lt;C&gt;0&lt;/C&gt;&lt;/FQL&gt;&lt;FQL&gt;&lt;Q&gt;CRWV^FE_ESTIMATE(DEFREVENUE,MEAN,QUARTERLY_ROLL,2024/2F,45881,,,'')&lt;/Q&gt;&lt;R&gt;0&lt;/R&gt;&lt;C&gt;0&lt;/C&gt;&lt;/FQL&gt;&lt;FQL&gt;&lt;Q&gt;CRWV^FE_ESTIMATE(DEFREVENUE,MEAN,QUARTERLY_ROLL,2024/1F,45881,,,'')&lt;/Q&gt;&lt;R&gt;0&lt;/R&gt;&lt;C&gt;0&lt;/C&gt;&lt;/FQL&gt;&lt;FQL&gt;&lt;Q&gt;CRWV^FE_ESTIMATE(DEFREVENUE,MEAN,ANNUAL_ROLL,2023,45881,,,'')&lt;/Q&gt;&lt;R&gt;0&lt;/R&gt;&lt;C&gt;0&lt;/C&gt;&lt;/FQL&gt;&lt;FQL&gt;&lt;Q&gt;CRWV^FE_ESTIMATE(DEFREVENUE,MEAN,QUARTERLY_ROLL,2023/4F,45881,,,'')&lt;/Q&gt;&lt;R&gt;0&lt;/R&gt;&lt;C&gt;0&lt;/C&gt;&lt;/FQL&gt;&lt;FQL&gt;&lt;Q&gt;CRWV^FE_ESTIMATE(DEFREVENUE,MEAN,QUARTERLY_ROLL,2023/3F,45881,,,'')&lt;/Q&gt;&lt;R&gt;0&lt;/R&gt;&lt;C&gt;0&lt;/C&gt;&lt;/FQL&gt;&lt;FQL&gt;&lt;Q&gt;CRWV^FE_ESTIMATE(DEFREVENUE,MEAN,QUARTERLY_ROLL,2023/2F,45881,,,'')&lt;/Q&gt;&lt;R&gt;0&lt;/R&gt;&lt;C&gt;0&lt;/C&gt;&lt;/FQL&gt;&lt;FQL&gt;&lt;Q&gt;CRWV^FE_ESTIMATE(DEFREVENUE,MEAN,QUARTERLY_ROLL,2023/1F,45881,,,'')&lt;/Q&gt;&lt;R&gt;0&lt;/R&gt;&lt;C&gt;0&lt;/C&gt;&lt;/FQL&gt;&lt;FQL&gt;&lt;Q&gt;CRWV^FE_ESTIMATE(DEFREVENUE,MEAN,ANNUAL_ROLL,2022,45881,,,'')&lt;/Q&gt;&lt;R&gt;0&lt;/R&gt;&lt;C&gt;0&lt;/C&gt;&lt;/FQL&gt;&lt;FQL&gt;&lt;Q&gt;CRWV^FE_ESTIMATE(DEFREVENUE,MEAN,QUARTERLY_ROLL,2022/4F,45881,,,'')&lt;/Q&gt;&lt;R&gt;0&lt;/R&gt;&lt;C&gt;0&lt;/C&gt;&lt;/FQL&gt;&lt;FQL&gt;&lt;Q&gt;CRWV^FE_ESTIMATE(DEFREVENUE,MEAN,QUARTERLY_ROLL,2022/3F,45881,,,'')&lt;/Q&gt;&lt;R&gt;0&lt;/R&gt;&lt;C&gt;0&lt;/C&gt;&lt;/FQL&gt;&lt;FQL&gt;&lt;Q&gt;CRWV^FE_ESTIMATE(DEFREVENUE,MEAN,QUARTERLY_ROLL,2022/2F,45881,,,'')&lt;/Q&gt;&lt;R&gt;0&lt;/R&gt;&lt;C&gt;0&lt;/C&gt;&lt;/FQL&gt;&lt;FQL&gt;&lt;Q&gt;CRWV^FE_ESTIMATE(DEFREVENUE,MEAN,QUARTERLY_ROLL,2022/1F,45881,,,'')&lt;/Q&gt;&lt;R&gt;0&lt;/R&gt;&lt;C&gt;0&lt;/C&gt;&lt;/FQL&gt;&lt;FQL&gt;&lt;Q&gt;CRWV^FE_ESTIMATE(DEFREVENUE_LT,MEAN,ANNUAL_ROLL,2029,45881,,,'')&lt;/Q&gt;&lt;R&gt;0&lt;/R&gt;&lt;C&gt;0&lt;/C&gt;&lt;/FQL&gt;&lt;FQL&gt;&lt;Q&gt;CRWV^FE_ESTIMATE(DEFREVENUE_LT,MEAN,QUARTERLY_ROLL,2029/4F,45881,,,'')&lt;/Q&gt;&lt;R&gt;0&lt;/R&gt;&lt;C&gt;0&lt;/C&gt;&lt;/FQL&gt;&lt;FQL&gt;&lt;Q&gt;CRWV^FE_ESTIMATE(DEFREVENUE_LT,MEAN,QUARTERLY_ROLL,2029/3F,45881,,,'')&lt;/Q&gt;&lt;R&gt;0&lt;/R&gt;&lt;C&gt;0&lt;/C&gt;&lt;/FQL&gt;&lt;FQL&gt;&lt;Q&gt;CRWV^FE_ESTIMATE(DEFREVENUE_LT,MEAN,QUARTERLY_ROLL,2029/2F,45881,,,'')&lt;/Q&gt;&lt;R&gt;0&lt;/R&gt;&lt;C&gt;0&lt;/C&gt;&lt;/FQL&gt;&lt;FQL&gt;&lt;Q&gt;CRWV^FE_ESTIMATE(DEFREVENUE_LT,MEAN,QUARTERLY_ROLL,2029/1F,45881,,,'')&lt;/Q&gt;&lt;R&gt;0&lt;/R&gt;&lt;C&gt;0&lt;/C&gt;&lt;/FQL&gt;&lt;FQL&gt;&lt;Q&gt;CRWV^FE_ESTIMATE(DEFREVENUE_LT,MEAN,ANNUAL_ROLL,2028,45881,,,'')&lt;/Q&gt;&lt;R&gt;0&lt;/R&gt;&lt;C&gt;0&lt;/C&gt;&lt;/FQL&gt;&lt;FQL&gt;&lt;Q&gt;CRWV^FE_ESTIMATE(DEFREVENUE_LT,MEAN,QUARTERLY_ROLL,2028/4F,45881,,,'')&lt;/Q&gt;&lt;R&gt;0&lt;/R&gt;&lt;C&gt;0&lt;/C&gt;&lt;/FQL&gt;&lt;FQL&gt;&lt;Q&gt;CRWV^FE_ESTIMATE(DEFREVENUE_LT,MEAN,QUARTERLY_ROLL,2028/3F,45881,,,'')&lt;/Q&gt;&lt;R&gt;0&lt;/R&gt;&lt;C&gt;0&lt;/C&gt;&lt;/FQL&gt;&lt;FQL&gt;&lt;Q&gt;CRWV^FE_ESTIMATE(DEFREVENUE_LT,MEAN,QUARTERLY_ROLL,2028/2F,45881,,,'')&lt;/Q&gt;&lt;R&gt;0&lt;/R&gt;&lt;C&gt;0&lt;/C&gt;&lt;/FQL&gt;&lt;FQL&gt;&lt;Q&gt;CRWV^FE_ESTIMATE(DEFREVENUE_LT,MEAN,QUARTERLY_ROLL,2028/1F,45881,,,'')&lt;/Q&gt;&lt;R&gt;0&lt;/R&gt;&lt;C&gt;0&lt;/C&gt;&lt;/FQL&gt;&lt;FQL&gt;&lt;Q&gt;CRWV^FE_ESTIMATE(DEFREVENUE_LT,MEAN,ANNUAL_ROLL,2027,45881,,,'')&lt;/Q&gt;&lt;R&gt;1&lt;/R&gt;&lt;C&gt;1&lt;/C&gt;&lt;D xsi:type="xsd:double"&gt;9787.1&lt;/D&gt;&lt;/FQL&gt;&lt;FQL&gt;&lt;Q&gt;CRWV^FE_ESTIMATE(DEFREVENUE_LT,MEAN,QUARTERLY_ROLL,2027/4F,45881,,,'')&lt;/Q&gt;&lt;R&gt;0&lt;/R&gt;&lt;C&gt;0&lt;/C&gt;&lt;/FQL&gt;&lt;FQL&gt;&lt;Q&gt;CRWV^FE_ESTIMATE(DEFREVENUE_LT,MEAN,QUARTERLY_ROLL,2027/3F,45881,,,'')&lt;/Q&gt;&lt;R&gt;0&lt;/R&gt;&lt;C&gt;0&lt;/C&gt;&lt;/FQL&gt;&lt;FQL&gt;&lt;Q&gt;CRWV^FE_ESTIMATE(DEFREVENUE_LT,MEAN,QUARTERLY_ROLL,2027/2F,45881,,,'')&lt;/Q&gt;&lt;R&gt;0&lt;/R&gt;&lt;C&gt;0&lt;/C&gt;&lt;/FQL&gt;&lt;FQL&gt;&lt;Q&gt;CRWV^FE_ESTIMATE(DEFREVENUE_LT,MEAN,QUARTERLY_ROLL,2027/1F,45881,,,'')&lt;/Q&gt;&lt;R&gt;0&lt;/R&gt;&lt;C&gt;0&lt;/C&gt;&lt;/FQL&gt;&lt;FQL&gt;&lt;Q&gt;CRWV^FE_ESTIMATE(DEFREVENUE_LT,MEAN,ANNUAL_ROLL,2026,45881,,,'')&lt;/Q&gt;&lt;R&gt;1&lt;/R&gt;&lt;C&gt;1&lt;/C&gt;&lt;D xsi:type="xsd:double"&gt;8295.097&lt;/D&gt;&lt;/FQL&gt;&lt;FQL&gt;&lt;Q&gt;CRWV^FE_ESTIMATE(DEFREVENUE_LT,MEAN,QUARTERLY_ROLL,2026/4F,45881,,,'')&lt;/Q&gt;&lt;R&gt;1&lt;/R&gt;&lt;C&gt;1&lt;/C&gt;&lt;D xsi:type="xsd:double"&gt;7892.045&lt;/D&gt;&lt;/FQL&gt;&lt;FQL&gt;&lt;Q&gt;CRWV^FE_ESTIMATE(DEFREVENUE_LT,MEAN,QUARTERLY_ROLL,2026/3F,45881,,,'')&lt;/Q&gt;&lt;R&gt;1&lt;/R&gt;&lt;C&gt;1&lt;/C&gt;&lt;D xsi:type="xsd:double"&gt;7244.585&lt;/D&gt;&lt;/FQL&gt;&lt;FQL&gt;&lt;Q&gt;CRWV^FE_ESTIMATE(DEFREVENUE_LT,MEAN,QUARTERLY_ROLL,2026/2F,45881,,,'')&lt;/Q&gt;&lt;R&gt;1&lt;/R&gt;&lt;C&gt;1&lt;/C&gt;&lt;D xsi:type="xsd:double"&gt;6648.769&lt;/D&gt;&lt;/FQL&gt;&lt;FQL&gt;&lt;Q&gt;CRWV^FE_ESTIMATE(DEFREVENUE_LT,MEAN,QUARTERLY_ROLL,2026/1F,45881,,,'')&lt;/Q&gt;&lt;R&gt;1&lt;/R&gt;&lt;C&gt;1&lt;/C&gt;&lt;D xsi:type="xsd:double"&gt;5054.9023&lt;/D&gt;&lt;/FQL&gt;&lt;FQL&gt;&lt;Q&gt;CRWV^FE_ESTIMATE(DEFREVENUE_LT,MEAN,ANNUAL_ROLL,2025,45881,,,'')&lt;/Q&gt;&lt;R&gt;1&lt;/R&gt;&lt;C&gt;1&lt;/C&gt;&lt;D xsi:type="xsd:double"&gt;5526.4805&lt;/D&gt;&lt;/FQL&gt;&lt;FQL&gt;&lt;Q&gt;CRWV^FE_ESTIMATE(DEFREVENUE_LT,MEAN,QUARTERLY_ROLL,2025/4F,45881,,,'')&lt;/Q&gt;&lt;R&gt;1&lt;/R&gt;&lt;C&gt;1&lt;/C&gt;&lt;D xsi:type="xsd:double"&gt;5526.4805&lt;/D&gt;&lt;/FQL&gt;&lt;FQL&gt;&lt;Q&gt;CRWV^FE_ESTIMATE(DEFREVENUE_LT,MEAN,QUARTERLY_ROLL,2025/3F,45881,,,'')&lt;/Q&gt;&lt;R&gt;1&lt;/R&gt;&lt;C&gt;1&lt;/C&gt;&lt;D xsi:type="xsd:double"&gt;4705.6753&lt;/D&gt;&lt;/FQL&gt;&lt;FQL&gt;&lt;Q&gt;CRWV^FE_ESTIMATE(DEFREVENUE_LT,MEAN,QUARTERLY_ROLL,2025/2F,45881,,,'')&lt;/Q&gt;&lt;R&gt;1&lt;/R&gt;&lt;C&gt;1&lt;/C&gt;&lt;D xsi:type="xsd:double"&gt;4506.0957&lt;/D&gt;&lt;/FQL&gt;&lt;FQL&gt;&lt;Q&gt;CRWV^FE_ESTIMATE(DEFREVENUE_LT,MEAN,QUARTERLY_ROLL,2025/1F,45881,,,'')&lt;/Q&gt;&lt;R&gt;1&lt;/R&gt;&lt;C&gt;1&lt;/C&gt;&lt;D xsi:type="xsd:double"&gt;3611.2346&lt;/D&gt;&lt;/FQL&gt;&lt;FQL&gt;&lt;Q&gt;CRWV^FE_ESTIMATE(DEFREVENUE_LT,MEAN,ANNUAL_ROLL,2024,45881,,,'')&lt;/Q&gt;&lt;R&gt;1&lt;/R&gt;&lt;C&gt;1&lt;/C&gt;&lt;D xsi:type="xsd:double"&gt;3294.9941&lt;/D&gt;&lt;/FQL&gt;&lt;FQL&gt;&lt;Q&gt;CRWV^FE_ESTIMATE(DEFREVENUE_LT,MEAN,QUARTERLY_ROLL,2024/4F,45881,,,'')&lt;/Q&gt;&lt;R&gt;1&lt;/R&gt;&lt;C&gt;1&lt;/C&gt;&lt;D xsi:type="xsd:double"&gt;3294.9941&lt;/D&gt;&lt;/FQL&gt;&lt;FQL&gt;&lt;Q&gt;CRWV^FE_ESTIMATE(DEFREVENUE_LT,MEAN,QUARTERLY_ROLL,2024/3F,45881,,,'')&lt;/Q&gt;&lt;R&gt;0&lt;/R&gt;&lt;C&gt;0&lt;/C&gt;&lt;/FQL&gt;&lt;FQL&gt;&lt;Q&gt;CRWV^FE_ESTIMATE(DEFREVENUE_LT,MEAN,QUARTERLY_ROLL,2024/2F,45881,,,'')&lt;/Q&gt;&lt;R&gt;0&lt;/R&gt;&lt;C&gt;0&lt;/C&gt;&lt;/FQL&gt;&lt;FQL&gt;&lt;Q&gt;CRWV^FE_ESTIMATE(DEFREVENUE_LT,MEAN,QUARTERLY_ROLL,2024/1F,45881,,,'')&lt;/Q&gt;&lt;R&gt;0&lt;/R&gt;&lt;C&gt;0&lt;/C&gt;&lt;/FQL&gt;&lt;FQL&gt;&lt;Q&gt;CRWV^FE_ESTIMATE(DEFREVENUE_LT,MEAN,ANNUAL_ROLL,2023,45881,,,'')&lt;/Q&gt;&lt;R&gt;0&lt;/R&gt;&lt;C&gt;0&lt;/C&gt;&lt;/FQL&gt;&lt;FQL&gt;&lt;Q&gt;CRWV^FE_ESTIMATE(DEFREVENUE_LT,MEAN,QUARTERLY_ROLL,2023/4F,45881,,,'')&lt;/Q&gt;&lt;R&gt;0&lt;/R&gt;&lt;C&gt;0&lt;/C&gt;&lt;/FQL&gt;&lt;FQL&gt;&lt;Q&gt;CRWV^FE_ESTIMATE(DEFREVENUE_LT,MEAN,QUARTERLY_ROLL,2023/3F,45881,,,'')&lt;/Q&gt;&lt;R&gt;0&lt;/R&gt;&lt;C&gt;0&lt;/C&gt;&lt;/FQL&gt;&lt;FQL&gt;&lt;Q&gt;CRWV^FE_ESTIMATE(DEFREVENUE_LT,MEAN,QUARTERLY_ROLL,2023/2F,45881,,,'')&lt;/Q&gt;&lt;R&gt;0&lt;/R&gt;&lt;C&gt;0&lt;/C&gt;&lt;/FQL&gt;&lt;FQL&gt;&lt;Q&gt;CRWV^FE_ESTIMATE(DEFREVENUE_LT,MEAN,QUARTERLY_ROLL,2023/1F,45881,,,'')&lt;/Q&gt;&lt;R&gt;0&lt;/R&gt;&lt;C&gt;0&lt;/C&gt;&lt;/FQL&gt;&lt;FQL&gt;&lt;Q&gt;CRWV^FE_ESTIMATE(DEFREVENUE_LT,MEAN,ANNUAL_ROLL,2022,45881,,,'')&lt;/Q&gt;&lt;R&gt;0&lt;/R&gt;&lt;C&gt;0&lt;/C&gt;&lt;/FQL&gt;&lt;FQL&gt;&lt;Q&gt;CRWV^FE_ESTIMATE(DEFREVENUE_LT,MEAN,QUARTERLY_ROLL,2022/4F,45881,,,'')&lt;/Q&gt;&lt;R&gt;0&lt;/R&gt;&lt;C&gt;0&lt;/C&gt;&lt;/FQL&gt;&lt;FQL&gt;&lt;Q&gt;CRWV^FE_ESTIMATE(DEFREVENUE_LT,MEAN,QUARTERLY_ROLL,2022/3F,45881,,,'')&lt;/Q&gt;&lt;R&gt;0&lt;/R&gt;&lt;C&gt;0&lt;/C&gt;&lt;/FQL&gt;&lt;FQL&gt;&lt;Q&gt;CRWV^FE_ESTIMATE(DEFREVENUE_LT,MEAN,QUARTERLY_ROLL,2022/2F,45881,,,'')&lt;/Q&gt;&lt;R&gt;0&lt;/R&gt;&lt;C&gt;0&lt;/C&gt;&lt;/FQL&gt;&lt;FQL&gt;&lt;Q&gt;CRWV^FE_ESTIMATE(DEFREVENUE_LT,MEAN,QUARTERLY_ROLL,2022/1F,45881,,,'')&lt;/Q&gt;&lt;R&gt;0&lt;/R&gt;&lt;C&gt;0&lt;/C&gt;&lt;/FQL&gt;&lt;FQL&gt;&lt;Q&gt;CRWV^FE_ESTIMATE(DEFREVENUE_ST,MEAN,ANNUAL_ROLL,2029,45881,,,'')&lt;/Q&gt;&lt;R&gt;0&lt;/R&gt;&lt;C&gt;0&lt;/C&gt;&lt;/FQL&gt;&lt;FQL&gt;&lt;Q&gt;CRWV^FE_ESTIMATE(DEFREVENUE_ST,MEAN,QUARTERLY_ROLL,2029/4F,45881,,,'')&lt;/Q&gt;&lt;R&gt;0&lt;/R&gt;&lt;C&gt;0&lt;/C&gt;&lt;/FQL&gt;&lt;FQL&gt;&lt;Q&gt;CRWV^FE_ESTIMATE(DEFREVENUE_ST,MEAN,QUARTERLY_ROLL,2029/3F,45881,,,'')&lt;/Q&gt;&lt;R&gt;0&lt;/R&gt;&lt;C&gt;0&lt;/C&gt;&lt;/FQL&gt;&lt;FQL&gt;&lt;Q&gt;CRWV^FE_ESTIMATE(DEFREVENUE_ST,MEAN,QUARTERLY_ROLL,2029/2F,45881,,,'')&lt;/Q&gt;&lt;R&gt;0&lt;/R&gt;&lt;C&gt;0&lt;/C&gt;&lt;/FQL&gt;&lt;FQL&gt;&lt;Q&gt;CRWV^FE_ESTIMATE(DEFREVENUE_ST,MEAN,QUARTERLY_ROLL,2029/1F,45881,,,'')&lt;/Q&gt;&lt;R&gt;0&lt;/R&gt;&lt;C&gt;0&lt;/C&gt;&lt;/FQL&gt;&lt;FQL&gt;&lt;Q&gt;CRWV^FE_ESTIMATE(DEFREVENUE_ST,MEAN,ANNUAL_ROLL,2028,45881,,,'')&lt;/Q&gt;&lt;R&gt;0&lt;/R&gt;&lt;C&gt;0&lt;/C&gt;&lt;/FQL&gt;&lt;FQL&gt;&lt;Q&gt;CRWV^FE_ESTIMATE(DEFREVENUE_ST,MEAN,QUARTERLY_ROLL,2028/4F,45881,,,'')&lt;/Q&gt;&lt;R&gt;0&lt;/R&gt;&lt;C&gt;0&lt;/C&gt;&lt;/FQL&gt;&lt;FQL&gt;&lt;Q&gt;CRWV^FE_ESTIMATE(DEFREVENUE_ST,MEAN,QUARTERLY_ROLL,2028/3F,45881,,,'')&lt;/Q&gt;&lt;R&gt;0&lt;/R&gt;&lt;C&gt;0&lt;/C&gt;&lt;/FQL&gt;&lt;FQL&gt;&lt;Q&gt;CRWV^FE_ESTIMATE(DEFREVENUE_ST,MEAN,QUARTERLY_ROLL,2028/2F,45881,,,'')&lt;/Q&gt;&lt;R&gt;0&lt;/R&gt;&lt;C&gt;0&lt;/C&gt;&lt;/FQL&gt;&lt;FQL&gt;&lt;Q&gt;CRWV^FE_ESTIMATE(DEFREVENUE_ST,MEAN,QUARTERLY_ROLL,2028/1F,45881,,,'')&lt;/Q&gt;&lt;R&gt;0&lt;/R&gt;&lt;C&gt;0&lt;/C&gt;&lt;/FQL&gt;&lt;FQL&gt;&lt;Q&gt;CRWV^FE_ESTIMATE(DEFREVENUE_ST,MEAN,ANNUAL_ROLL,2027,45881,,,'')&lt;/Q&gt;&lt;R&gt;1&lt;/R&gt;&lt;C&gt;1&lt;/C&gt;&lt;D xsi:type="xsd:double"&gt;2554.7&lt;/D&gt;&lt;/FQL&gt;&lt;FQL&gt;&lt;Q&gt;CRWV^FE_ESTIMATE(DEFREVENUE_ST,MEAN,QUARTERLY_ROLL,2027/4F,45881,,,'')&lt;/Q&gt;&lt;R&gt;0&lt;/R&gt;&lt;C&gt;0&lt;/C&gt;&lt;/FQL&gt;&lt;FQL&gt;&lt;Q&gt;CRWV^FE_ESTIMATE(DEFREVENUE_ST,MEAN,QUARTERLY_ROLL,2027/3F,45881,,,'')&lt;/Q&gt;&lt;R&gt;0&lt;/R&gt;&lt;C&gt;0&lt;/C&gt;&lt;/FQL&gt;&lt;FQL&gt;&lt;Q&gt;CRWV^FE_ESTIMATE(DEFREVENUE_ST,MEAN,QUARTERLY_ROLL,2027/2F,45881,,,'')&lt;/Q&gt;&lt;R&gt;0&lt;/R&gt;&lt;C&gt;0&lt;/C&gt;&lt;/FQL&gt;&lt;FQL&gt;&lt;Q&gt;CRWV^FE_ESTIMATE(DEFREVENUE_ST,MEAN,QUARTERLY_ROLL,2027/1F,45881,,,'')&lt;/Q&gt;&lt;R&gt;0&lt;/R&gt;&lt;C&gt;0&lt;/C&gt;&lt;/FQL&gt;&lt;FQL&gt;&lt;Q&gt;CRWV^FE_ESTIMATE(DEFREVENUE_ST,MEAN,ANNUAL_ROLL,2026,45881,,,'')&lt;/Q&gt;&lt;R&gt;1&lt;/R&gt;&lt;C&gt;1&lt;/C&gt;&lt;D xsi:type="xsd:double"&gt;1839.6113&lt;/D&gt;&lt;/FQL&gt;&lt;FQL&gt;&lt;Q&gt;CRWV^FE_ESTIMATE(DEFREVENUE_ST,MEAN,QUARTERLY_ROLL,2026/4F,45881,,,'')&lt;/Q&gt;&lt;R&gt;1&lt;/R&gt;&lt;C&gt;1&lt;/C&gt;&lt;D xsi:type="xsd:double"&gt;1242.567&lt;/D&gt;&lt;/FQL&gt;&lt;FQL&gt;&lt;Q&gt;CRWV^FE_ESTIMATE(DEFREVENUE_ST,MEAN,QUARTERLY_ROLL,2026/3F,45881,,,'')&lt;/Q&gt;&lt;R&gt;1&lt;/R&gt;&lt;C&gt;1&lt;/C&gt;&lt;D xsi:type="xsd:double"&gt;1140.2935&lt;/D&gt;&lt;/FQL&gt;&lt;FQL&gt;&lt;Q&gt;CRWV^FE_ESTIMATE(DEFREVENUE_ST,MEAN,QUARTERLY_ROLL,2026/2F,45881,,,'')&lt;/Q&gt;&lt;R&gt;1&lt;/R&gt;&lt;C&gt;1&lt;/C&gt;&lt;D xsi:type="xsd:double"&gt;1045.663&lt;/D&gt;&lt;/FQL&gt;&lt;FQL&gt;&lt;Q&gt;CRWV^FE_ESTIMATE(DEFREVENUE_ST,MEAN,QUARTERLY_ROLL,2026/1F,45881,,,'')&lt;/Q&gt;&lt;R&gt;1&lt;/R&gt;&lt;C&gt;1&lt;/C&gt;&lt;D xsi:type="xsd:double"&gt;790</t>
        </r>
      </text>
    </comment>
    <comment ref="A14" authorId="0" shapeId="0" xr:uid="{D7BB3FB9-97A0-458A-9CD0-762559B6F476}">
      <text>
        <r>
          <rPr>
            <b/>
            <sz val="9"/>
            <color indexed="81"/>
            <rFont val="Tahoma"/>
            <charset val="1"/>
          </rPr>
          <t>.8045&lt;/D&gt;&lt;/FQL&gt;&lt;FQL&gt;&lt;Q&gt;CRWV^FE_ESTIMATE(DEFREVENUE_ST,MEAN,ANNUAL_ROLL,2025,45881,,,'')&lt;/Q&gt;&lt;R&gt;1&lt;/R&gt;&lt;C&gt;1&lt;/C&gt;&lt;D xsi:type="xsd:double"&gt;1110.676&lt;/D&gt;&lt;/FQL&gt;&lt;FQL&gt;&lt;Q&gt;CRWV^FE_ESTIMATE(DEFREVENUE_ST,MEAN,QUARTERLY_ROLL,2025/4F,45881,,,'')&lt;/Q&gt;&lt;R&gt;1&lt;/R&gt;&lt;C&gt;1&lt;/C&gt;&lt;D xsi:type="xsd:double"&gt;1110.676&lt;/D&gt;&lt;/FQL&gt;&lt;FQL&gt;&lt;Q&gt;CRWV^FE_ESTIMATE(DEFREVENUE_ST,MEAN,QUARTERLY_ROLL,2025/3F,45881,,,'')&lt;/Q&gt;&lt;R&gt;1&lt;/R&gt;&lt;C&gt;1&lt;/C&gt;&lt;D xsi:type="xsd:double"&gt;895.49&lt;/D&gt;&lt;/FQL&gt;&lt;FQL&gt;&lt;Q&gt;CRWV^FE_ESTIMATE(DEFREVENUE_ST,MEAN,QUARTERLY_ROLL,2025/2F,45881,,,'')&lt;/Q&gt;&lt;R&gt;1&lt;/R&gt;&lt;C&gt;1&lt;/C&gt;&lt;D xsi:type="xsd:double"&gt;817.17&lt;/D&gt;&lt;/FQL&gt;&lt;FQL&gt;&lt;Q&gt;CRWV^FE_ESTIMATE(DEFREVENUE_ST,MEAN,QUARTERLY_ROLL,2025/1F,45881,,,'')&lt;/Q&gt;&lt;R&gt;1&lt;/R&gt;&lt;C&gt;1&lt;/C&gt;&lt;D xsi:type="xsd:double"&gt;436.765&lt;/D&gt;&lt;/FQL&gt;&lt;FQL&gt;&lt;Q&gt;CRWV^FE_ESTIMATE(DEFREVENUE_ST,MEAN,ANNUAL_ROLL,2024,45881,,,'')&lt;/Q&gt;&lt;R&gt;1&lt;/R&gt;&lt;C&gt;1&lt;/C&gt;&lt;D xsi:type="xsd:double"&gt;768.9443&lt;/D&gt;&lt;/FQL&gt;&lt;FQL&gt;&lt;Q&gt;CRWV^FE_ESTIMATE(DEFREVENUE_ST,MEAN,QUARTERLY_ROLL,2024/4F,45881,,,'')&lt;/Q&gt;&lt;R&gt;1&lt;/R&gt;&lt;C&gt;1&lt;/C&gt;&lt;D xsi:type="xsd:double"&gt;768.9443&lt;/D&gt;&lt;/FQL&gt;&lt;FQL&gt;&lt;Q&gt;CRWV^FE_ESTIMATE(DEFREVENUE_ST,MEAN,QUARTERLY_ROLL,2024/3F,45881,,,'')&lt;/Q&gt;&lt;R&gt;0&lt;/R&gt;&lt;C&gt;0&lt;/C&gt;&lt;/FQL&gt;&lt;FQL&gt;&lt;Q&gt;CRWV^FE_ESTIMATE(DEFREVENUE_ST,MEAN,QUARTERLY_ROLL,2024/2F,45881,,,'')&lt;/Q&gt;&lt;R&gt;0&lt;/R&gt;&lt;C&gt;0&lt;/C&gt;&lt;/FQL&gt;&lt;FQL&gt;&lt;Q&gt;CRWV^FE_ESTIMATE(DEFREVENUE_ST,MEAN,QUARTERLY_ROLL,2024/1F,45881,,,'')&lt;/Q&gt;&lt;R&gt;0&lt;/R&gt;&lt;C&gt;0&lt;/C&gt;&lt;/FQL&gt;&lt;FQL&gt;&lt;Q&gt;CRWV^FE_ESTIMATE(DEFREVENUE_ST,MEAN,ANNUAL_ROLL,2023,45881,,,'')&lt;/Q&gt;&lt;R&gt;0&lt;/R&gt;&lt;C&gt;0&lt;/C&gt;&lt;/FQL&gt;&lt;FQL&gt;&lt;Q&gt;CRWV^FE_ESTIMATE(DEFREVENUE_ST,MEAN,QUARTERLY_ROLL,2023/4F,45881,,,'')&lt;/Q&gt;&lt;R&gt;0&lt;/R&gt;&lt;C&gt;0&lt;/C&gt;&lt;/FQL&gt;&lt;FQL&gt;&lt;Q&gt;CRWV^FE_ESTIMATE(DEFREVENUE_ST,MEAN,QUARTERLY_ROLL,2023/3F,45881,,,'')&lt;/Q&gt;&lt;R&gt;0&lt;/R&gt;&lt;C&gt;0&lt;/C&gt;&lt;/FQL&gt;&lt;FQL&gt;&lt;Q&gt;CRWV^FE_ESTIMATE(DEFREVENUE_ST,MEAN,QUARTERLY_ROLL,2023/2F,45881,,,'')&lt;/Q&gt;&lt;R&gt;0&lt;/R&gt;&lt;C&gt;0&lt;/C&gt;&lt;/FQL&gt;&lt;FQL&gt;&lt;Q&gt;CRWV^FE_ESTIMATE(DEFREVENUE_ST,MEAN,QUARTERLY_ROLL,2023/1F,45881,,,'')&lt;/Q&gt;&lt;R&gt;0&lt;/R&gt;&lt;C&gt;0&lt;/C&gt;&lt;/FQL&gt;&lt;FQL&gt;&lt;Q&gt;CRWV^FE_ESTIMATE(DEFREVENUE_ST,MEAN,ANNUAL_ROLL,2022,45881,,,'')&lt;/Q&gt;&lt;R&gt;0&lt;/R&gt;&lt;C&gt;0&lt;/C&gt;&lt;/FQL&gt;&lt;FQL&gt;&lt;Q&gt;CRWV^FE_ESTIMATE(DEFREVENUE_ST,MEAN,QUARTERLY_ROLL,2022/4F,45881,,,'')&lt;/Q&gt;&lt;R&gt;0&lt;/R&gt;&lt;C&gt;0&lt;/C&gt;&lt;/FQL&gt;&lt;FQL&gt;&lt;Q&gt;CRWV^FE_ESTIMATE(DEFREVENUE_ST,MEAN,QUARTERLY_ROLL,2022/3F,45881,,,'')&lt;/Q&gt;&lt;R&gt;0&lt;/R&gt;&lt;C&gt;0&lt;/C&gt;&lt;/FQL&gt;&lt;FQL&gt;&lt;Q&gt;CRWV^FE_ESTIMATE(DEFREVENUE_ST,MEAN,QUARTERLY_ROLL,2022/2F,45881,,,'')&lt;/Q&gt;&lt;R&gt;0&lt;/R&gt;&lt;C&gt;0&lt;/C&gt;&lt;/FQL&gt;&lt;FQL&gt;&lt;Q&gt;CRWV^FE_ESTIMATE(DEFREVENUE_ST,MEAN,QUARTERLY_ROLL,2022/1F,45881,,,'')&lt;/Q&gt;&lt;R&gt;0&lt;/R&gt;&lt;C&gt;0&lt;/C&gt;&lt;/FQL&gt;&lt;FQL&gt;&lt;Q&gt;CRWV^FE_ESTIMATE(FCF,MEAN,ANNUAL_ROLL,2029,45881,,,'')&lt;/Q&gt;&lt;R&gt;1&lt;/R&gt;&lt;C&gt;1&lt;/C&gt;&lt;D xsi:type="xsd:double"&gt;3622.35&lt;/D&gt;&lt;/FQL&gt;&lt;FQL&gt;&lt;Q&gt;CRWV^FE_ESTIMATE(FCF,MEAN,QUARTERLY_ROLL,2029/4F,45881,,,'')&lt;/Q&gt;&lt;R&gt;0&lt;/R&gt;&lt;C&gt;0&lt;/C&gt;&lt;/FQL&gt;&lt;FQL&gt;&lt;Q&gt;CRWV^FE_ESTIMATE(FCF,MEAN,QUARTERLY_ROLL,2029/3F,45881,,,'')&lt;/Q&gt;&lt;R&gt;0&lt;/R&gt;&lt;C&gt;0&lt;/C&gt;&lt;/FQL&gt;&lt;FQL&gt;&lt;Q&gt;CRWV^FE_ESTIMATE(FCF,MEAN,QUARTERLY_ROLL,2029/2F,45881,,,'')&lt;/Q&gt;&lt;R&gt;0&lt;/R&gt;&lt;C&gt;0&lt;/C&gt;&lt;/FQL&gt;&lt;FQL&gt;&lt;Q&gt;CRWV^FE_ESTIMATE(FCF,MEAN,QUARTERLY_ROLL,2029/1F,45881,,,'')&lt;/Q&gt;&lt;R&gt;0&lt;/R&gt;&lt;C&gt;0&lt;/C&gt;&lt;/FQL&gt;&lt;FQL&gt;&lt;Q&gt;CRWV^FE_ESTIMATE(FCF,MEAN,ANNUAL_ROLL,2028,45881,,,'')&lt;/Q&gt;&lt;R&gt;1&lt;/R&gt;&lt;C&gt;1&lt;/C&gt;&lt;D xsi:type="xsd:double"&gt;-775.75&lt;/D&gt;&lt;/FQL&gt;&lt;FQL&gt;&lt;Q&gt;CRWV^FE_ESTIMATE(FCF,MEAN,QUARTERLY_ROLL,2028/4F,45881,,,'')&lt;/Q&gt;&lt;R&gt;0&lt;/R&gt;&lt;C&gt;0&lt;/C&gt;&lt;/FQL&gt;&lt;FQL&gt;&lt;Q&gt;CRWV^FE_ESTIMATE(FCF,MEAN,QUARTERLY_ROLL,2028/3F,45881,,,'')&lt;/Q&gt;&lt;R&gt;0&lt;/R&gt;&lt;C&gt;0&lt;/C&gt;&lt;/FQL&gt;&lt;FQL&gt;&lt;Q&gt;CRWV^FE_ESTIMATE(FCF,MEAN,QUARTERLY_ROLL,2028/2F,45881,,,'')&lt;/Q&gt;&lt;R&gt;0&lt;/R&gt;&lt;C&gt;0&lt;/C&gt;&lt;/FQL&gt;&lt;FQL&gt;&lt;Q&gt;CRWV^FE_ESTIMATE(FCF,MEAN,QUARTERLY_ROLL,2028/1F,45881,,,'')&lt;/Q&gt;&lt;R&gt;0&lt;/R&gt;&lt;C&gt;0&lt;/C&gt;&lt;/FQL&gt;&lt;FQL&gt;&lt;Q&gt;CRWV^FE_ESTIMATE(FCF,MEAN,ANNUAL_ROLL,2027,45881,,,'')&lt;/Q&gt;&lt;R&gt;1&lt;/R&gt;&lt;C&gt;1&lt;/C&gt;&lt;D xsi:type="xsd:double"&gt;-3212.8774&lt;/D&gt;&lt;/FQL&gt;&lt;FQL&gt;&lt;Q&gt;CRWV^FE_ESTIMATE(FCF,MEAN,QUARTERLY_ROLL,2027/4F,45881,,,'')&lt;/Q&gt;&lt;R&gt;0&lt;/R&gt;&lt;C&gt;0&lt;/C&gt;&lt;/FQL&gt;&lt;FQL&gt;&lt;Q&gt;CRWV^FE_ESTIMATE(FCF,MEAN,QUARTERLY_ROLL,2027/3F,45881,,,'')&lt;/Q&gt;&lt;R&gt;0&lt;/R&gt;&lt;C&gt;0&lt;/C&gt;&lt;/FQL&gt;&lt;FQL&gt;&lt;Q&gt;CRWV^FE_ESTIMATE(FCF,MEAN,QUARTERLY_ROLL,2027/2F,45881,,,'')&lt;/Q&gt;&lt;R&gt;0&lt;/R&gt;&lt;C&gt;0&lt;/C&gt;&lt;/FQL&gt;&lt;FQL&gt;&lt;Q&gt;CRWV^FE_ESTIMATE(FCF,MEAN,QUARTERLY_ROLL,2027/1F,45881,,,'')&lt;/Q&gt;&lt;R&gt;0&lt;/R&gt;&lt;C&gt;0&lt;/C&gt;&lt;/FQL&gt;&lt;FQL&gt;&lt;Q&gt;CRWV^FE_ESTIMATE(FCF,MEAN,ANNUAL_ROLL,2026,45881,,,'')&lt;/Q&gt;&lt;R&gt;1&lt;/R&gt;&lt;C&gt;1&lt;/C&gt;&lt;D xsi:type="xsd:double"&gt;-7948.3145&lt;/D&gt;&lt;/FQL&gt;&lt;FQL&gt;&lt;Q&gt;CRWV^FE_ESTIMATE(FCF,MEAN,QUARTERLY_ROLL,2026/4F,45881,,,'')&lt;/Q&gt;&lt;R&gt;1&lt;/R&gt;&lt;C&gt;1&lt;/C&gt;&lt;D xsi:type="xsd:double"&gt;-1019.6667&lt;/D&gt;&lt;/FQL&gt;&lt;FQL&gt;&lt;Q&gt;CRWV^FE_ESTIMATE(FCF,MEAN,QUARTERLY_ROLL,2026/3F,45881,,,'')&lt;/Q&gt;&lt;R&gt;1&lt;/R&gt;&lt;C&gt;1&lt;/C&gt;&lt;D xsi:type="xsd:double"&gt;-1797.6666&lt;/D&gt;&lt;/FQL&gt;&lt;FQL&gt;&lt;Q&gt;CRWV^FE_ESTIMATE(FCF,MEAN,QUARTERLY_ROLL,2026/2F,45881,,,'')&lt;/Q&gt;&lt;R&gt;1&lt;/R&gt;&lt;C&gt;1&lt;/C&gt;&lt;D xsi:type="xsd:double"&gt;-1771.3334&lt;/D&gt;&lt;/FQL&gt;&lt;FQL&gt;&lt;Q&gt;CRWV^FE_ESTIMATE(FCF,MEAN,QUARTERLY_ROLL,2026/1F,45881,,,'')&lt;/Q&gt;&lt;R&gt;1&lt;/R&gt;&lt;C&gt;1&lt;/C&gt;&lt;D xsi:type="xsd:double"&gt;-1908.6666&lt;/D&gt;&lt;/FQL&gt;&lt;FQL&gt;&lt;Q&gt;CRWV^FE_ESTIMATE(FCF,MEAN,ANNUAL_ROLL,2025,45881,,,'')&lt;/Q&gt;&lt;R&gt;1&lt;/R&gt;&lt;C&gt;1&lt;/C&gt;&lt;D xsi:type="xsd:double"&gt;-17045.752&lt;/D&gt;&lt;/FQL&gt;&lt;FQL&gt;&lt;Q&gt;CRWV^FE_ESTIMATE(FCF,MEAN,QUARTERLY_ROLL,2025/4F,45881,,,'')&lt;/Q&gt;&lt;R&gt;1&lt;/R&gt;&lt;C&gt;1&lt;/C&gt;&lt;D xsi:type="xsd:double"&gt;-6562.94&lt;/D&gt;&lt;/FQL&gt;&lt;FQL&gt;&lt;Q&gt;CRWV^FE_ESTIMATE(FCF,MEAN,QUARTERLY_ROLL,2025/3F,45881,,,'')&lt;/Q&gt;&lt;R&gt;1&lt;/R&gt;&lt;C&gt;1&lt;/C&gt;&lt;D xsi:type="xsd:double"&gt;-6484.45&lt;/D&gt;&lt;/FQL&gt;&lt;FQL&gt;&lt;Q&gt;CRWV^FE_ESTIMATE(FCF,MEAN,QUARTERLY_ROLL,2025/2F,45881,,,'')&lt;/Q&gt;&lt;R&gt;1&lt;/R&gt;&lt;C&gt;1&lt;/C&gt;&lt;D xsi:type="xsd:double"&gt;-3091.3333&lt;/D&gt;&lt;/FQL&gt;&lt;FQL&gt;&lt;Q&gt;CRWV^FE_ESTIMATE(FCF,MEAN,QUARTERLY_ROLL,2025/1F,45881,,,'')&lt;/Q&gt;&lt;R&gt;1&lt;/R&gt;&lt;C&gt;1&lt;/C&gt;&lt;D xsi:type="xsd:double"&gt;-1346&lt;/D&gt;&lt;/FQL&gt;&lt;FQL&gt;&lt;Q&gt;CRWV^FE_ESTIMATE(FCF,MEAN,ANNUAL_ROLL,2024,45881,,,'')&lt;/Q&gt;&lt;R&gt;1&lt;/R&gt;&lt;C&gt;1&lt;/C&gt;&lt;D xsi:type="xsd:double"&gt;-5952.9443&lt;/D&gt;&lt;/FQL&gt;&lt;FQL&gt;&lt;Q&gt;CRWV^FE_ESTIMATE(FCF,MEAN,QUARTERLY_ROLL,2024/4F,45881,,,'')&lt;/Q&gt;&lt;R&gt;1&lt;/R&gt;&lt;C&gt;1&lt;/C&gt;&lt;D xsi:type="xsd:double"&gt;-3476&lt;/D&gt;&lt;/FQL&gt;&lt;FQL&gt;&lt;Q&gt;CRWV^FE_ESTIMATE(FCF,MEAN,QUARTERLY_ROLL,2024/3F,45881,,,'')&lt;/Q&gt;&lt;R&gt;0&lt;/R&gt;&lt;C&gt;0&lt;/C&gt;&lt;/FQL&gt;&lt;FQL&gt;&lt;Q&gt;CRWV^FE_ESTIMATE(FCF,MEAN,QUARTERLY_ROLL,2024/2F,45881,,,'')&lt;/Q&gt;&lt;R&gt;0&lt;/R&gt;&lt;C&gt;0&lt;/C&gt;&lt;/FQL&gt;&lt;FQL&gt;&lt;Q&gt;CRWV^FE_ESTIMATE(FCF,MEAN,QUARTERLY_ROLL,2024/1F,45881,,,'')&lt;/Q&gt;&lt;R&gt;0&lt;/R&gt;&lt;C&gt;0&lt;/C&gt;&lt;/FQL&gt;&lt;FQL&gt;&lt;Q&gt;CRWV^FE_ESTIMATE(FCF,MEAN,ANNUAL_ROLL,2023,45881,,,'')&lt;/Q&gt;&lt;R&gt;0&lt;/R&gt;&lt;C&gt;0&lt;/C&gt;&lt;/FQL&gt;&lt;FQL&gt;&lt;Q&gt;CRWV^FE_ESTIMATE(FCF,MEAN,QUARTERLY_ROLL,2023/4F,45881,,,'')&lt;/Q&gt;&lt;R&gt;0&lt;/R&gt;&lt;C&gt;0&lt;/C&gt;&lt;/FQL&gt;&lt;FQL&gt;&lt;Q&gt;CRWV^FE_ESTIMATE(FCF,MEAN,QUARTERLY_ROLL,2023/3F,45881,,,'')&lt;/Q&gt;&lt;R&gt;0&lt;/R&gt;&lt;C&gt;0&lt;/C&gt;&lt;/FQL&gt;&lt;FQL&gt;&lt;Q&gt;CRWV^FE_ESTIMATE(FCF,MEAN,QUARTERLY_ROLL,2023/2F,45881,,,'')&lt;/Q&gt;&lt;R&gt;0&lt;/R&gt;&lt;C&gt;0&lt;/C&gt;&lt;/FQL&gt;&lt;FQL&gt;&lt;Q&gt;CRWV^FE_ESTIMATE(FCF,MEAN,QUARTERLY_ROLL,2023/1F,45881,,,'')&lt;/Q&gt;&lt;R&gt;0&lt;/R&gt;&lt;C&gt;0&lt;/C&gt;&lt;/FQL&gt;&lt;FQL&gt;&lt;Q&gt;CRWV^FE_ESTIMATE(FCF,MEAN,ANNUAL_ROLL,2022,45881,,,'')&lt;/Q&gt;&lt;R&gt;0&lt;/R&gt;&lt;C&gt;0&lt;/C&gt;&lt;/FQL&gt;&lt;FQL&gt;&lt;Q&gt;CRWV^FE_ESTIMATE(FCF,MEAN,QUARTERLY_ROLL,2022/4F,45881,,,'')&lt;/Q&gt;&lt;R&gt;0&lt;/R&gt;&lt;C&gt;0&lt;/C&gt;&lt;/FQL&gt;&lt;FQL&gt;&lt;Q&gt;CRWV^FE_ESTIMATE(FCF,MEAN,QUARTERLY_ROLL,2022/3F,45881,,,'')&lt;/Q&gt;&lt;R&gt;0&lt;/R&gt;&lt;C&gt;0&lt;/C&gt;&lt;/FQL&gt;&lt;FQL&gt;&lt;Q&gt;CRWV^FE_ESTIMATE(FCF,MEAN,QUARTERLY_ROLL,2022/2F,45881,,,'')&lt;/Q&gt;&lt;R&gt;0&lt;/R&gt;&lt;C&gt;0&lt;/C&gt;&lt;/FQL&gt;&lt;FQL&gt;&lt;Q&gt;CRWV^FE_ESTIMATE(FCF,MEAN,QUARTERLY_ROLL,2022/1F,45881,,,'')&lt;/Q&gt;&lt;R&gt;0&lt;/R&gt;&lt;C&gt;0&lt;/C&gt;&lt;/FQL&gt;&lt;FQL&gt;&lt;Q&gt;CRWV^FE_ESTIMATE(CAPEX,MEAN,ANNUAL_ROLL,2029,45881,,,'')&lt;/Q&gt;&lt;R&gt;1&lt;/R&gt;&lt;C&gt;1&lt;/C&gt;&lt;D xsi:type="xsd:double"&gt;13776.65&lt;/D&gt;&lt;/FQL&gt;&lt;FQL&gt;&lt;Q&gt;CRWV^FE_ESTIMATE(CAPEX,MEAN,QUARTERLY_ROLL,2029/4F,45881,,,'')&lt;/Q&gt;&lt;R&gt;0&lt;/R&gt;&lt;C&gt;0&lt;/C&gt;&lt;/FQL&gt;&lt;FQL&gt;&lt;Q&gt;CRWV^FE_ESTIMATE(CAPEX,MEAN,QUARTERLY_ROLL,2029/3F,45881,,,'')&lt;/Q&gt;&lt;R&gt;0&lt;/R&gt;&lt;C&gt;0&lt;/C&gt;&lt;/FQL&gt;&lt;FQL&gt;&lt;Q&gt;CRWV^FE_ESTIMATE(CAPEX,MEAN,QUARTERLY_ROLL,2029/2F,45881,,,'')&lt;/Q&gt;&lt;R&gt;0&lt;/R&gt;&lt;C&gt;0&lt;/C&gt;&lt;/FQL&gt;&lt;FQL&gt;&lt;Q&gt;CRWV^FE_ESTIMATE(CAPEX,MEAN,QUARTERLY_ROLL,2029/1F,45881,,,'')&lt;/Q&gt;&lt;R&gt;0&lt;/R&gt;&lt;C&gt;0&lt;/C&gt;&lt;/FQL&gt;&lt;FQL&gt;&lt;Q&gt;CRWV^FE_ESTIMATE(CAPEX,MEAN,ANNUAL_ROLL,2028,45881,,,'')&lt;/Q&gt;&lt;R&gt;1&lt;/R&gt;&lt;C&gt;1&lt;/C&gt;&lt;D xsi:type="xsd:double"&gt;15142&lt;/D&gt;&lt;/FQL&gt;&lt;FQL&gt;&lt;Q&gt;CRWV^FE_ESTIMATE(CAPEX,MEAN,QUARTERLY_ROLL,2028/4F,45881,,,'')&lt;/Q&gt;&lt;R&gt;0&lt;/R&gt;&lt;C&gt;0&lt;/C&gt;&lt;/FQL&gt;&lt;FQL&gt;&lt;Q&gt;CRWV^FE_ESTIMATE(CAPEX,MEAN,QUARTERLY_ROLL,2028/3F,45881,,,'')&lt;/Q&gt;&lt;R&gt;0&lt;/R&gt;&lt;C&gt;0&lt;/C&gt;&lt;/FQL&gt;&lt;FQL&gt;&lt;Q&gt;CRWV^FE_ESTIMATE(CAPEX,MEAN,QUARTERLY_ROLL,2028/2F,45881,,,'')&lt;/Q&gt;&lt;R&gt;0&lt;/R&gt;&lt;C&gt;0&lt;/C&gt;&lt;/FQL&gt;&lt;FQL&gt;&lt;Q&gt;CRWV^FE_ESTIMATE(CAPEX,MEAN,QUARTERLY_ROLL,2028/1F,45881,,,'')&lt;/Q&gt;&lt;R&gt;0&lt;/R&gt;&lt;C&gt;0&lt;/C&gt;&lt;/FQL&gt;&lt;FQL&gt;&lt;Q&gt;CRWV^FE_ESTIMATE(CAPEX,MEAN,ANNUAL_ROLL,2027,45881,,,'')&lt;/Q&gt;&lt;R&gt;1&lt;/R&gt;&lt;C&gt;1&lt;/C&gt;&lt;D xsi:type="xsd:double"&gt;13688.744&lt;/D&gt;&lt;/FQL&gt;&lt;FQL&gt;&lt;Q&gt;CRWV^FE_ESTIMATE(CAPEX,MEAN,QUARTERLY_ROLL,2027/4F,45881,,,'')&lt;/Q&gt;&lt;R&gt;0&lt;/R&gt;&lt;C&gt;0&lt;/C&gt;&lt;/FQL&gt;&lt;FQL&gt;&lt;Q&gt;CRWV^FE_ESTIMATE(CAPEX,MEAN,QUARTERLY_ROLL,2027/3F,45881,,,'')&lt;/Q&gt;&lt;R&gt;0&lt;/R&gt;&lt;C&gt;0&lt;/C&gt;&lt;/FQL&gt;&lt;FQL&gt;&lt;Q&gt;CRWV^FE_ESTIMATE(CAPEX,MEAN,QUARTERLY_ROLL,2027/2F,45881,,,'')&lt;/Q&gt;&lt;R&gt;0&lt;/R&gt;&lt;C&gt;0&lt;/C&gt;&lt;/FQL&gt;&lt;FQL&gt;&lt;Q&gt;CRWV^FE_ESTIMATE(CAPEX,MEAN,QUARTERLY_ROLL,2027/1F,45881,,,'')&lt;/Q&gt;&lt;R&gt;0&lt;/R&gt;&lt;C&gt;0&lt;/C&gt;&lt;/FQL&gt;&lt;FQL&gt;&lt;Q&gt;CRWV^FE_ESTIMATE(CAPEX,MEAN,ANNUAL_ROLL,2026,45881,,,'')&lt;/Q&gt;&lt;R&gt;1&lt;/R&gt;&lt;C&gt;1&lt;/C&gt;&lt;D xsi:type="xsd:double"&gt;15563.123&lt;/D&gt;&lt;/FQL&gt;&lt;FQL&gt;&lt;Q&gt;CRWV^FE_ESTIMATE(CAPEX,MEAN,QUARTERLY_ROLL,2026/4F,45881,,,'')&lt;/Q&gt;&lt;R&gt;1&lt;/R&gt;&lt;C&gt;1&lt;/C&gt;&lt;D xsi:type="xsd:double"&gt;3142.3333&lt;/D&gt;&lt;/FQL&gt;&lt;FQL&gt;&lt;Q&gt;CRWV^FE_ESTIMATE(CAPEX,MEAN,QUARTERLY_ROLL,2026/3F,45881,,,'')&lt;/Q&gt;&lt;R&gt;1&lt;/R&gt;&lt;C&gt;1&lt;/C&gt;&lt;D xsi:type="xsd:double"&gt;3574.3333&lt;/D&gt;&lt;/FQL&gt;&lt;FQL&gt;&lt;Q&gt;CRWV^FE_ESTIMATE(CAPEX,MEAN,QUARTERLY_ROLL,2026/2F,45881,,,'')&lt;/Q&gt;&lt;R&gt;1&lt;/R&gt;&lt;C&gt;1&lt;/C&gt;&lt;D xsi:type="xsd:double"&gt;3488&lt;/D&gt;&lt;/FQL&gt;&lt;FQL&gt;&lt;Q&gt;CRWV^FE_ESTIMATE(CAPEX,MEAN,QUARTERLY_ROLL,2026/1F,45881,,,'')&lt;/Q&gt;&lt;R&gt;1&lt;/R&gt;&lt;C&gt;1&lt;/C&gt;&lt;D xsi:type="xsd:double"&gt;3291.6667&lt;/D&gt;&lt;/FQL&gt;&lt;FQL&gt;&lt;Q&gt;CRWV^FE_ESTIMATE(CAPEX,MEAN,ANNUAL_ROLL,2025,45881,,,'')&lt;/Q&gt;&lt;R&gt;1&lt;/R&gt;&lt;C&gt;1&lt;/C&gt;&lt;D xsi:type="xsd:double"&gt;21018.68&lt;/D&gt;&lt;/FQL&gt;&lt;FQL&gt;&lt;Q&gt;CRWV^FE_ESTIMATE(CAPEX,MEAN,QUARTERLY_ROLL,2025/4F,45881,,,'')&lt;/Q&gt;&lt;R&gt;1&lt;/R&gt;&lt;C&gt;1&lt;/C&gt;&lt;D xsi:type="xsd:double"&gt;8555.2&lt;/D&gt;&lt;/FQL&gt;&lt;FQL&gt;&lt;Q&gt;CRWV^FE_ESTIMATE(CAPEX,MEAN,QUARTERLY_ROLL,2025/3F,45881,,,'')&lt;/Q&gt;&lt;R&gt;1&lt;/R&gt;&lt;C&gt;1&lt;/C&gt;&lt;D xsi:type="xsd:double"&gt;7041.3335&lt;/D&gt;&lt;/FQL&gt;&lt;FQL&gt;&lt;Q&gt;CRWV^FE_ESTIMATE(CAPEX,MEAN,QUARTERLY_ROLL,2025/2F,45881,,,'')&lt;/Q&gt;&lt;R&gt;1&lt;/R&gt;&lt;C&gt;1&lt;/C&gt;&lt;D xsi:type="xsd:double"&gt;3363.4333&lt;/D&gt;&lt;/FQL&gt;&lt;FQL&gt;&lt;Q&gt;CRWV^FE_ESTIMATE(CAPEX,MEAN,QUARTERLY_ROLL,2025/1F,45881,,,'')&lt;/Q&gt;&lt;R&gt;1&lt;/R&gt;&lt;C&gt;1&lt;/C&gt;&lt;D xsi:type="xsd:double"&gt;1407.359&lt;/D&gt;&lt;/FQL&gt;&lt;FQL&gt;&lt;Q&gt;CRWV^FE_ESTIMATE(CAPEX,MEAN,ANNUAL_ROLL,2024,45881,,,'')&lt;/Q&gt;&lt;R&gt;1&lt;/R&gt;&lt;C&gt;1&lt;/C&gt;&lt;D xsi:type="xsd:double"&gt;8770.176&lt;/D&gt;&lt;/FQL&gt;&lt;FQL&gt;&lt;Q&gt;CRWV^FE_ESTIMATE(CAPEX,MEAN,QUARTERLY_ROLL,2024/4F,45881,,,'')&lt;/Q&gt;&lt;R&gt;1&lt;/R&gt;&lt;C&gt;1&lt;/C&gt;&lt;D xsi:type="xsd:double"&gt;3151.0667&lt;/D&gt;&lt;/FQL&gt;&lt;FQL&gt;&lt;Q&gt;CRWV^FE_ESTIMATE(CAPEX,MEAN,QUARTERLY_ROLL,2024/3F,45881,,,'')&lt;/Q&gt;&lt;R&gt;0&lt;/R&gt;&lt;C&gt;0&lt;/C&gt;&lt;/FQL&gt;&lt;FQL&gt;&lt;Q&gt;CRWV^FE_ESTIMATE(CAPEX,MEAN,QUARTERLY_ROLL,2024/2F,45881,,,'')&lt;/Q&gt;&lt;R&gt;0&lt;/R&gt;&lt;C&gt;0&lt;/C&gt;&lt;/FQL&gt;&lt;FQL&gt;&lt;Q&gt;CRWV^FE_ESTIMATE(CAPEX,MEAN,QUARTERLY_ROLL,2024/1F,45881,,,'')&lt;/Q&gt;&lt;R&gt;0&lt;/R&gt;&lt;C&gt;0&lt;/C&gt;&lt;/FQL&gt;&lt;FQL&gt;&lt;Q&gt;CRWV^FE_ESTIMATE(CAPEX,MEAN,ANNUAL_ROLL,2023,45881,,,'')&lt;/Q&gt;&lt;R&gt;0&lt;/R&gt;&lt;C&gt;0&lt;/C&gt;&lt;/FQL&gt;&lt;FQL&gt;&lt;Q&gt;CRWV^FE_ESTIMATE(CAPEX,MEAN,QUARTERLY_ROLL,2023/4F,45881,,,'')&lt;/Q&gt;&lt;R&gt;0&lt;/R&gt;&lt;C&gt;0&lt;/C&gt;&lt;/FQL&gt;&lt;FQL&gt;&lt;Q&gt;CRWV^FE_ESTIMATE(CAPEX,MEAN,QUARTERLY_ROLL,2023/3F,45881,,,'')&lt;/Q&gt;&lt;R&gt;0&lt;/R&gt;&lt;C&gt;0&lt;/C&gt;&lt;/FQL&gt;&lt;FQL&gt;&lt;Q&gt;CRWV^FE_ESTIMATE(CAPEX,MEAN,QUARTERLY_ROLL,2023/2F,45881,,,'')&lt;/Q&gt;&lt;R&gt;0&lt;/R&gt;&lt;C&gt;0&lt;/C&gt;&lt;/FQL&gt;&lt;FQL&gt;&lt;Q&gt;CRWV^FE_ESTIMATE(CAPEX,MEAN,QUARTERLY_ROLL,2023/1F,45881,,,'')&lt;/Q&gt;&lt;R&gt;0&lt;/R&gt;&lt;C&gt;0&lt;/C&gt;&lt;/FQL&gt;&lt;FQL&gt;&lt;Q&gt;CRWV^FE_ESTIMATE(CAPEX,MEAN,ANNUAL_ROLL,2022,45881,,,'')&lt;/Q&gt;&lt;R&gt;0&lt;/R&gt;&lt;C&gt;0&lt;/C&gt;&lt;/FQL&gt;&lt;FQL&gt;&lt;Q&gt;CRWV^FE_ESTIMATE(CAPEX,MEAN,QUARTERLY_ROLL,2022/4F,45881,,,'')&lt;/Q&gt;&lt;R&gt;0&lt;/R&gt;&lt;C&gt;0&lt;/C&gt;&lt;/FQL&gt;&lt;FQL&gt;&lt;Q&gt;CRWV^FE_ESTIMATE(CAPEX,MEAN,QUARTERLY_ROLL,2022/3F,45881,,,'')&lt;/Q&gt;&lt;R&gt;0&lt;/R&gt;&lt;C&gt;0&lt;/C&gt;&lt;/FQL&gt;&lt;FQL&gt;&lt;Q&gt;CRWV^FE_ESTIMATE(CAPEX,MEAN,QUARTERLY_ROLL,2022/2F,45881,,,'')&lt;/Q&gt;&lt;R&gt;0&lt;/R&gt;&lt;C&gt;0&lt;/C&gt;&lt;/FQL&gt;&lt;FQL&gt;&lt;Q&gt;CRWV^FE_ESTIMATE(CAPEX,MEAN,QUARTERLY_ROLL,2022/1F,45881,,,'')&lt;/Q&gt;&lt;R&gt;0&lt;/R&gt;&lt;C&gt;0&lt;/C&gt;&lt;/FQL&gt;&lt;FQL&gt;&lt;Q&gt;CRWV^FE_ESTIMATE(CFO,MEAN,ANNUAL_ROLL,2029,45881,,,'')&lt;/Q&gt;&lt;R&gt;0&lt;/R&gt;&lt;C&gt;0&lt;/C&gt;&lt;/FQL&gt;&lt;FQL&gt;&lt;Q&gt;CRWV^FE_ESTIMATE(CFO,MEAN,QUARTERLY_ROLL,2029/4F,45881,,,'')&lt;/Q&gt;&lt;R&gt;0&lt;/R&gt;&lt;C&gt;0&lt;/C&gt;&lt;/FQL&gt;&lt;FQL&gt;&lt;Q&gt;CRWV^FE_ESTIMATE(CFO,MEAN,QUARTERLY_ROLL,2029/3F,45881,,,'')&lt;/Q&gt;&lt;R&gt;0&lt;/R&gt;&lt;C&gt;0&lt;/C&gt;&lt;/FQL&gt;&lt;FQL&gt;&lt;Q&gt;CRWV^FE_ESTIMATE(CFO,MEAN,QUARTERLY_ROLL,2029/2F,45881,,,'')&lt;/Q&gt;&lt;R&gt;0&lt;/R&gt;&lt;C&gt;0&lt;/C&gt;&lt;/FQL&gt;&lt;FQL&gt;&lt;Q&gt;CRWV^FE_ESTIMATE(CFO,MEAN,QUARTERLY_ROLL,2029/1F,45881,,,'')&lt;/Q&gt;&lt;R&gt;0&lt;/R&gt;&lt;C&gt;0&lt;/C&gt;&lt;/FQL&gt;&lt;FQL&gt;&lt;Q&gt;CRWV^FE_ESTIMATE(CFO,MEAN,ANNUAL_ROLL,2028,45881,,,'')&lt;/Q&gt;&lt;R&gt;0&lt;/R&gt;&lt;C&gt;0&lt;/C&gt;&lt;/FQL&gt;&lt;FQL&gt;&lt;Q&gt;CRWV^FE_ESTIMATE(CFO,MEAN,QUARTERLY_ROLL,2028/4F,45881,,,'')&lt;/Q&gt;&lt;R&gt;0&lt;/R&gt;&lt;C&gt;0&lt;/C&gt;&lt;/FQL&gt;&lt;FQL&gt;&lt;Q&gt;CRWV^FE_ESTIMATE(CFO,MEAN,QUARTERLY_ROLL,2028/3F,45881,,,'')&lt;/Q&gt;&lt;R&gt;0&lt;/R&gt;&lt;C&gt;0&lt;/C&gt;&lt;/FQL&gt;&lt;FQL&gt;&lt;Q&gt;CRWV^FE_ESTIMATE(CFO,MEAN,QUARTERLY_ROLL,2028/2F,45881,,,'')&lt;/Q&gt;&lt;R&gt;0&lt;/R&gt;&lt;C&gt;0&lt;/C&gt;&lt;/FQL&gt;&lt;FQL&gt;&lt;Q&gt;CRWV^FE_ESTIMATE(CFO,MEAN,QUARTERLY_ROLL,2028/1F,45881,,,'')&lt;/Q&gt;&lt;R&gt;0&lt;/R&gt;&lt;C&gt;0&lt;/C&gt;&lt;/FQL&gt;&lt;FQL&gt;&lt;Q&gt;CRWV^FE_ESTIMATE(CFO,MEAN,ANNUAL_ROLL,2027,45881,,,'')&lt;/Q&gt;&lt;R&gt;1&lt;/R&gt;&lt;C&gt;1&lt;/C&gt;&lt;D xsi:type="xsd:double"&gt;10855.04&lt;/D&gt;&lt;/FQL&gt;&lt;FQL&gt;&lt;Q&gt;CRWV^FE_ESTIMATE(CFO,MEAN,QUARTERLY_ROLL,2027/4F,45881,,,'')&lt;/Q&gt;&lt;R&gt;0&lt;/R&gt;&lt;C&gt;0&lt;/C&gt;&lt;/FQL&gt;&lt;FQL&gt;&lt;Q&gt;CRWV^FE_ESTIMATE(CFO,MEAN,QUARTERLY_ROLL,2027/3F,45881,,,'')&lt;/Q&gt;&lt;R&gt;0&lt;/R&gt;&lt;C&gt;0&lt;/C&gt;&lt;/FQL&gt;&lt;FQL&gt;&lt;Q&gt;CRWV^FE_ESTIMATE(CFO,MEAN,QUARTERLY_ROLL,2027/2F,45881,,,'')&lt;/Q&gt;&lt;R&gt;0&lt;/R&gt;&lt;C&gt;0&lt;/C&gt;&lt;/FQL&gt;&lt;FQL&gt;&lt;Q&gt;CRWV^FE_ESTIMATE(CFO,MEAN,QUARTERLY_ROLL,2027/1F,45881,,,'')&lt;/Q&gt;&lt;R&gt;0&lt;/R&gt;&lt;C&gt;0&lt;/C&gt;&lt;/FQL&gt;&lt;FQL&gt;&lt;Q&gt;CRWV^FE_ESTIMATE(CFO,MEAN,ANNUAL_ROLL,2026,45881,,,'')&lt;/Q&gt;&lt;R&gt;1&lt;/R&gt;&lt;C&gt;1&lt;/C&gt;&lt;D xsi:type="xsd:double"&gt;8549.251&lt;/D&gt;&lt;/FQL&gt;&lt;FQL&gt;&lt;Q&gt;CRWV^FE_ESTIMATE(CFO,MEAN,QUARTERLY_ROLL,2026/4F,45881,,,'')&lt;/Q&gt;&lt;R&gt;1&lt;/R&gt;&lt;C&gt;1&lt;/C&gt;&lt;D xsi:type="xsd:double"&gt;2122.3333&lt;/D&gt;&lt;/FQL&gt;&lt;FQL&gt;&lt;Q&gt;CRWV^FE_ESTIMATE(CFO,MEAN,QUARTERLY_ROLL,2026/3F,45881,,,'')&lt;/Q&gt;&lt;R&gt;1&lt;/R&gt;&lt;C&gt;1&lt;/C&gt;&lt;D xsi:type="xsd:double"&gt;1776.2333&lt;/D&gt;&lt;/FQL&gt;&lt;FQL&gt;&lt;Q&gt;CRWV^FE_ESTIMATE(CFO,MEAN,QUARTERLY_ROLL,2026/2F,45881,,,'')&lt;/Q&gt;&lt;R&gt;1&lt;/R&gt;&lt;C&gt;1&lt;/C&gt;&lt;D xsi:type="xsd:double"&gt;1716.8&lt;/D&gt;&lt;/FQL&gt;&lt;FQL&gt;&lt;Q&gt;CRWV^FE_ESTIMATE(CFO,MEAN,QUARTERLY_ROLL,2026/1F,45881,,,'')&lt;/Q&gt;&lt;R&gt;1&lt;/R&gt;&lt;C&gt;1&lt;/C&gt;&lt;D xsi:type="xsd:double"&gt;1382.6666&lt;/D&gt;&lt;/FQL&gt;&lt;FQL&gt;&lt;Q&gt;CRWV^FE_ESTIMATE(CFO,MEAN,ANNUAL_ROLL,2025,45881,,,'')&lt;/Q&gt;&lt;R&gt;1&lt;/R&gt;&lt;C&gt;1&lt;/C&gt;&lt;D xsi:type="xsd:double"&gt;3361.0508&lt;/D&gt;&lt;/FQL&gt;&lt;FQL&gt;&lt;Q&gt;CRWV^FE_ESTIMATE(CFO,MEAN,QUARTERLY_ROLL,2025/4F,45881,,,'')&lt;/Q&gt;&lt;R&gt;1&lt;/R&gt;&lt;C&gt;1&lt;/C&gt;&lt;D xsi:type="xsd:double"&gt;2117.95&lt;/D&gt;&lt;/FQL&gt;&lt;FQL&gt;&lt;Q&gt;CRWV^FE_ESTIMATE(CFO,MEAN,QUARTERLY_ROLL,2025/3F,45881,,,'')&lt;/Q&gt;&lt;R&gt;1&lt;/R&gt;&lt;C&gt;1&lt;/C&gt;&lt;D xsi:type="xsd:double"&gt;1004.18&lt;/D&gt;&lt;/FQL&gt;&lt;FQL&gt;&lt;Q&gt;CRWV^FE_ESTIMATE(CFO,MEAN,QUARTERLY_ROLL,2025/2F,45881,,,'')&lt;/Q&gt;&lt;R&gt;1&lt;/R&gt;&lt;C&gt;1&lt;/C&gt;&lt;D xsi:type="xsd:double"&gt;399.3&lt;/D&gt;&lt;/FQL&gt;&lt;FQL&gt;&lt;Q&gt;CRWV^FE_ESTIMATE(CFO,MEAN,QUARTERLY_ROLL,2025/1F,45881,,,'')&lt;/Q&gt;&lt;R&gt;1&lt;/R&gt;&lt;C&gt;1&lt;/C&gt;&lt;D xsi:type="xsd:double"&gt;61.04&lt;/D&gt;&lt;/FQL&gt;&lt;FQL&gt;&lt;Q&gt;CRWV^FE_ESTIMATE(CFO,MEAN,ANNUAL_ROLL,2024,45881,,,'')&lt;/Q&gt;&lt;R&gt;1&lt;/R&gt;&lt;C&gt;1&lt;/C&gt;&lt;D xsi:type="xsd:double"&gt;2749.104&lt;/D&gt;&lt;/FQL&gt;&lt;FQL&gt;&lt;Q&gt;CRWV^FE_ESTIMATE(CFO,MEAN,QUARTERLY_ROLL,2024/4F,45881,,,'')&lt;/Q&gt;&lt;R&gt;1&lt;/R&gt;&lt;C&gt;1&lt;/C&gt;&lt;D xsi:type="xsd:double"&gt;-323.43332&lt;/D&gt;&lt;/FQL&gt;&lt;FQL&gt;&lt;Q&gt;CRWV^FE_ESTIMATE(CFO,MEAN,QUARTERLY_ROLL,2024/3F,45881,,,'')&lt;/Q&gt;&lt;R&gt;0&lt;/R&gt;&lt;C&gt;0&lt;/C&gt;&lt;/FQL&gt;&lt;FQL&gt;&lt;Q&gt;CRWV^FE_ESTIMATE(CFO,MEAN,QUARTERLY_ROLL,2024/2F,45881,,,'')&lt;/Q&gt;&lt;R&gt;0&lt;/R&gt;&lt;C&gt;0&lt;/C&gt;&lt;/FQL&gt;&lt;FQL&gt;&lt;Q&gt;CRWV^FE_ESTIMATE(CFO,MEAN,QUARTERLY_ROLL,2024/1F,45881,,,'')&lt;/Q&gt;&lt;R&gt;0&lt;/R&gt;&lt;C&gt;0&lt;/C&gt;&lt;/FQL&gt;&lt;FQL&gt;&lt;Q&gt;CRWV^FE_ESTIMATE(CFO,MEAN,ANNUAL_ROLL,2023,45881,,,'')&lt;/Q&gt;&lt;R&gt;0&lt;/R&gt;&lt;C&gt;0&lt;/C&gt;&lt;/FQL&gt;&lt;FQL&gt;&lt;Q&gt;CRWV^FE_ESTIMATE(CFO,MEAN,QUARTERLY_ROLL,2023/4F,45881,,,'')&lt;/Q&gt;&lt;R&gt;0&lt;/R&gt;&lt;C&gt;0&lt;/C&gt;&lt;/FQL&gt;&lt;FQL&gt;&lt;Q&gt;CRWV^FE_ESTIMATE(CFO,MEAN,QUARTERLY_ROLL,2023/3F,45881,,,'')&lt;/Q&gt;&lt;R&gt;0&lt;/R&gt;&lt;C&gt;0&lt;/C&gt;&lt;/FQL&gt;&lt;FQL&gt;&lt;Q&gt;CRWV^FE_ESTIMATE(CFO,MEAN,QUARTERLY_ROLL,2023/2F,45881,,,'')&lt;/Q&gt;&lt;R&gt;0&lt;/R&gt;&lt;C&gt;0&lt;/C&gt;&lt;/FQL&gt;&lt;FQL&gt;&lt;Q&gt;CRWV^FE_ESTIMATE(CFO,MEAN,QUARTERLY_ROLL,2023/1F,45881,,,'')&lt;/Q&gt;&lt;R&gt;0&lt;/R&gt;&lt;C&gt;0&lt;/C&gt;&lt;/FQL&gt;&lt;FQL&gt;&lt;Q&gt;CRWV^FE_ESTIMATE(CFO,MEAN,ANNUAL_ROLL,2022,45881,,,'')&lt;/Q&gt;&lt;R&gt;0&lt;/R&gt;&lt;C&gt;0&lt;/C&gt;&lt;/FQL&gt;&lt;FQL&gt;&lt;Q&gt;CRWV^FE_ESTIMATE(CFO,MEAN,QUARTERLY_ROLL,2022/4F,45881,,,'')&lt;/Q&gt;&lt;R&gt;0&lt;/R&gt;&lt;C&gt;0&lt;/C&gt;&lt;/FQL&gt;&lt;FQL&gt;&lt;Q&gt;CRWV^FE_ESTIMATE(CFO,MEAN,QUARTERLY_ROLL,2022/3F,45881,,,'')&lt;/Q&gt;&lt;R&gt;0&lt;/R&gt;&lt;C&gt;0&lt;/C&gt;&lt;/FQL&gt;&lt;FQL&gt;&lt;Q&gt;CRWV^FE_ESTIMATE(CFO,MEAN,QUARTERLY_ROLL,2022/2F,45881,,,'')&lt;/Q&gt;&lt;R&gt;0&lt;/R&gt;&lt;C&gt;0&lt;/C&gt;&lt;/FQL&gt;&lt;FQL&gt;&lt;Q&gt;CRWV^FE_ESTIMATE(CFO,MEAN,QUARTERLY_ROLL,2022/1F,45881,,,'')&lt;/Q&gt;&lt;R&gt;0&lt;/R&gt;&lt;C&gt;0&lt;/C&gt;&lt;/FQL&gt;&lt;FQL&gt;&lt;Q&gt;CRWV^FE_ESTIMATE(EPS,MEAN,ANNUAL_ROLL,2029,45881,,,'')&lt;/Q&gt;&lt;R&gt;1&lt;/R&gt;&lt;C&gt;1&lt;/C&gt;&lt;D xsi:type="xsd:double"&gt;5.965&lt;/D&gt;&lt;/FQL&gt;&lt;FQL&gt;&lt;Q&gt;CRWV^FE_ESTIMATE(EPS,MEAN,QUARTERLY_ROLL,2029/4F,45881,,,'')&lt;/Q&gt;&lt;R&gt;0&lt;/R&gt;&lt;C&gt;0&lt;/C&gt;&lt;/FQL&gt;&lt;FQL&gt;&lt;Q&gt;CRWV^FE_ESTIMATE(EPS,MEAN,QUARTERLY_ROLL,2029/3F,45881,,,'')&lt;/Q&gt;&lt;R&gt;0&lt;/R&gt;&lt;C&gt;0&lt;/C&gt;&lt;/FQL&gt;&lt;FQL&gt;&lt;Q&gt;CRWV^FE_ESTIMATE(EPS,MEAN,QUARTERLY_ROLL,2029/2F,45881,,,'')&lt;/Q&gt;&lt;R&gt;0&lt;/R&gt;&lt;C&gt;0&lt;/C&gt;&lt;/FQL&gt;&lt;FQL&gt;&lt;Q&gt;CRWV^FE_ESTIMATE(EPS,MEAN,QUARTERLY_ROLL,2029/1F,45881,,,'')&lt;/Q&gt;&lt;R&gt;0&lt;/R&gt;&lt;C&gt;0&lt;/C&gt;&lt;/FQL&gt;&lt;FQL&gt;&lt;Q&gt;CRWV^FE_ESTIMATE(EPS,MEAN,ANNUAL_ROLL,2028,45881,,,'')&lt;/Q&gt;&lt;R&gt;1&lt;/R&gt;&lt;C&gt;1&lt;/C&gt;&lt;D xsi:type="xsd:double"&gt;3.44&lt;/D&gt;&lt;/FQL&gt;&lt;FQL&gt;&lt;Q&gt;CRWV^FE_ESTIMATE(EPS,MEAN,QUARTERLY_ROLL,2028/4F,45881,,,'')&lt;/Q&gt;&lt;R&gt;0&lt;/R&gt;&lt;C&gt;0&lt;/C&gt;&lt;/FQL&gt;&lt;FQL&gt;&lt;Q&gt;CRWV^FE_ESTIMATE(EPS,MEAN,QUARTERLY_ROLL,2028/3F,45881,,,'')&lt;/Q&gt;&lt;R&gt;0&lt;/R&gt;&lt;C&gt;0&lt;/C&gt;&lt;/FQL&gt;&lt;FQL&gt;&lt;Q&gt;CRWV^FE_ESTIMATE(EPS,MEAN,QUARTERLY_ROLL,2028/2F,45881,,,'')&lt;/Q&gt;&lt;R&gt;0&lt;/R&gt;&lt;C&gt;0&lt;/C&gt;&lt;/FQL&gt;&lt;FQL&gt;&lt;Q&gt;CRWV^FE_ESTIMATE(EPS,MEAN,QUARTERLY_ROLL,2028/1F,45881,,,'')&lt;/Q&gt;&lt;R&gt;0&lt;/R&gt;&lt;C&gt;0&lt;/C&gt;&lt;/FQL&gt;&lt;FQL&gt;&lt;Q&gt;CRWV^FE_ESTIMATE(EPS,MEAN,ANNUAL_ROLL,2027,45881,,,'')&lt;/Q&gt;&lt;R&gt;1&lt;/R&gt;&lt;C&gt;1&lt;/C&gt;&lt;D xsi:type="xsd:double"&gt;2.299851&lt;/D&gt;&lt;/FQL&gt;&lt;FQL&gt;&lt;Q&gt;CRWV^FE_ESTIMATE(EPS,MEAN,QUARTERLY_ROLL,2027/4F,45881,,,'')&lt;/Q&gt;&lt;R&gt;1&lt;/R&gt;&lt;C&gt;1&lt;/C&gt;&lt;D xsi:type="xsd:double"&gt;0.68088454&lt;/D&gt;&lt;/FQL&gt;&lt;FQL&gt;&lt;Q&gt;CRWV^FE_ESTIMATE(EPS,MEAN,QUARTERLY_ROLL,2027/3F,45881,,,'')&lt;/Q&gt;&lt;R&gt;1&lt;/R&gt;&lt;C&gt;1&lt;/C&gt;&lt;D xsi:type="xsd:double"&gt;0.5177665&lt;/D&gt;&lt;/FQL&gt;&lt;FQL&gt;&lt;Q&gt;CRWV^FE_ESTIMATE(EPS,MEAN,QUARTERLY_ROLL,2027/2F,45881,,,'')&lt;/Q&gt;&lt;R&gt;1&lt;/R&gt;&lt;C&gt;1&lt;/C&gt;&lt;D xsi:type="xsd:double"&gt;0.36866057&lt;/D&gt;&lt;/FQL&gt;&lt;FQL&gt;&lt;Q&gt;CRWV^FE_ESTIMATE(EPS,MEAN,QUARTERLY_ROLL,2027/1F,45881,,,'')&lt;/Q&gt;&lt;R&gt;1&lt;/R&gt;&lt;C&gt;1&lt;/C&gt;&lt;D xsi:type="xsd:double"&gt;0.3104559&lt;/D&gt;&lt;/FQL&gt;&lt;FQL&gt;&lt;Q&gt;CRWV^FE_ESTIMATE(EPS,MEAN,ANNUAL_ROLL,2026,45881,,,'')&lt;/Q&gt;&lt;R&gt;1&lt;/R&gt;&lt;C&gt;1&lt;/C&gt;&lt;D xsi:type="xsd:double"&gt;-0.18636598&lt;/D&gt;&lt;/FQL&gt;&lt;FQL&gt;&lt;Q&gt;CRWV^FE_ESTIMATE(EPS,MEAN,QUARTERLY_ROLL,2026/4F,45881,,,'')&lt;/Q&gt;&lt;R&gt;1&lt;/R&gt;&lt;C&gt;1&lt;/C&gt;&lt;D xsi:type="xsd:double"&gt;0.07086163&lt;/D&gt;&lt;/FQL&gt;&lt;FQL&gt;&lt;Q&gt;CRWV^FE_ESTIMATE(EPS,MEAN,QUARTERLY_ROLL,2026/3F,45881,,,'')&lt;/Q&gt;&lt;R&gt;1&lt;/R&gt;&lt;C&gt;1&lt;/C&gt;&lt;D xsi:type="xsd:double"&gt;-0.042986594&lt;/D&gt;&lt;/FQL&gt;&lt;FQL&gt;&lt;Q&gt;CRWV^FE_ESTIMATE(EPS,MEAN,QUARTERLY_ROLL,2026/2F,45881,,,'')&lt;/Q&gt;&lt;R&gt;1&lt;/R&gt;&lt;C&gt;1&lt;/C&gt;&lt;D xsi:type="xsd:double"&gt;-0.032300353&lt;/D&gt;&lt;/FQL&gt;&lt;FQL&gt;&lt;Q&gt;CRWV^FE_ESTIMATE(EPS,MEAN,QUARTERLY_ROLL,2026/1F,45881,,,'')&lt;/Q&gt;&lt;R&gt;1&lt;/R&gt;&lt;C&gt;1&lt;/C&gt;&lt;D xsi:type="xsd:double"&gt;-0.27929422&lt;/D&gt;&lt;/FQL&gt;&lt;FQL&gt;&lt;Q&gt;CRWV^FE_ESTIMATE(EPS,MEAN,ANNUAL_ROLL,2025,45881,,,'')&lt;/Q&gt;&lt;R&gt;1&lt;/R&gt;&lt;C&gt;1&lt;/C&gt;&lt;D xsi:type="xsd:double"&gt;-1.349696&lt;/D&gt;&lt;/FQL&gt;&lt;FQL&gt;&lt;Q&gt;CRWV^FE_ESTIMATE(EPS,MEAN,QUARTERLY_ROLL,2025/4F,45881,,,'')&lt;/Q&gt;&lt;R&gt;1&lt;/R&gt;&lt;C&gt;1&lt;/C&gt;&lt;D xsi:type="xsd:double"&gt;-0.3424076&lt;/D&gt;&lt;/FQL&gt;&lt;FQL&gt;&lt;Q&gt;CRWV^FE_ESTIMATE(EPS,MEAN,QUARTERLY_ROLL,2025/3F,45881,,,'')&lt;/Q&gt;&lt;R&gt;1&lt;/R&gt;&lt;C&gt;1&lt;/C&gt;&lt;D xsi:type="xsd:double"&gt;-0.2382608&lt;/D&gt;&lt;/FQL&gt;&lt;FQL&gt;&lt;Q&gt;CRWV^FE_ESTIMATE(EPS,MEAN,QUARTERLY_ROLL,2025/2F,45881,,,'')&lt;/Q&gt;&lt;R&gt;1&lt;/R&gt;&lt;C&gt;1&lt;/C&gt;&lt;D xsi:type="xsd:double"&gt;-0.23196198&lt;/D&gt;&lt;/FQL&gt;&lt;FQL&gt;&lt;Q&gt;CRWV^FE_ESTIMATE(EPS,MEAN,QUARTERLY_ROLL,2025/1F,45881,,,'')&lt;/Q&gt;&lt;R&gt;1&lt;/R&gt;&lt;C&gt;1&lt;/C&gt;&lt;D xsi:type="xsd:double"&gt;-0.827782&lt;/D&gt;&lt;/FQL&gt;&lt;FQL&gt;&lt;Q&gt;CRWV^FE_ESTIMATE(EPS,MEAN,ANNUAL_ROLL,2024,45881,,,'')&lt;/Q&gt;&lt;R&gt;1&lt;/R&gt;&lt;C&gt;1&lt;/C&gt;&lt;D xsi:type="xsd:double"&gt;-0.281601&lt;/D&gt;&lt;/FQL&gt;&lt;FQL&gt;&lt;Q&gt;CRWV^FE_ESTIMATE(EPS,MEAN,QUARTERLY_ROLL,2024/4F,45881,,,'')&lt;/Q&gt;&lt;R&gt;1&lt;/R&gt;&lt;C&gt;1&lt;/C&gt;&lt;D xsi:type="xsd:double"&gt;-0.101733334&lt;/D&gt;&lt;/FQL&gt;&lt;FQL&gt;&lt;Q&gt;CRWV^FE_ESTIMATE(EPS,MEAN,QUARTERLY_ROLL,2024/3F,45881,,,'')&lt;/Q&gt;&lt;R&gt;0&lt;/R&gt;&lt;C&gt;0&lt;/C&gt;&lt;/FQL&gt;&lt;FQL&gt;&lt;Q&gt;CRWV^FE_ESTIMATE(EPS,MEAN,QUARTERLY_ROLL,2024/2F,45881,,,'')&lt;/Q&gt;&lt;R&gt;0&lt;/R&gt;&lt;C&gt;0&lt;/C&gt;&lt;/FQL&gt;&lt;FQL&gt;&lt;Q&gt;CRWV^FE_ESTIMATE(EPS,MEAN,QUARTERLY_ROLL,2024/1F,45881,,,'')&lt;/Q&gt;&lt;R&gt;0&lt;/R&gt;&lt;C&gt;0&lt;/C&gt;&lt;/FQL&gt;&lt;FQL&gt;&lt;Q&gt;CRWV^FE_ESTIMATE(EPS,MEAN,ANNUAL_ROLL,2023,45881,,,'')&lt;/Q&gt;&lt;R&gt;0&lt;/R&gt;&lt;C&gt;0&lt;/C&gt;&lt;/FQL&gt;&lt;FQL&gt;&lt;Q&gt;CRWV^FE_ESTIMATE(EPS,MEAN,QUARTERLY_ROLL,2023/4F,45881,,,'')&lt;/Q&gt;&lt;R&gt;0&lt;/R&gt;&lt;C&gt;0&lt;/C&gt;&lt;/FQL&gt;&lt;FQL&gt;&lt;Q&gt;CRWV^FE_ESTIMATE(EPS,MEAN,QUARTERLY_ROLL,2023/3F,45881,,,'')&lt;/Q&gt;&lt;R&gt;0&lt;/R&gt;&lt;C&gt;0&lt;/C&gt;&lt;/FQL&gt;&lt;FQL&gt;&lt;Q&gt;CRWV^FE_ESTIMATE(EPS,MEAN,QUARTERLY_ROLL,2023/2F,45881,,,'')&lt;/Q&gt;&lt;R&gt;0&lt;/R&gt;&lt;C&gt;0&lt;/C&gt;&lt;/FQL&gt;&lt;FQL&gt;&lt;Q&gt;CRWV^FE_ESTIMATE(EPS,MEAN,QUARTERLY_ROLL,2023/1F,45881,,,'')&lt;/Q&gt;&lt;R&gt;0&lt;/R&gt;&lt;C&gt;0&lt;/C&gt;&lt;/FQL&gt;&lt;FQL&gt;&lt;Q&gt;CRWV^FE_ESTIMATE(EPS,MEAN,ANNUAL_ROLL,2022,45881,,,'')&lt;/Q&gt;&lt;R&gt;0&lt;/R&gt;&lt;C&gt;0&lt;/C&gt;&lt;/FQL&gt;&lt;FQL&gt;&lt;Q&gt;CRWV^FE_ESTIMATE(EPS,MEAN,QUARTERLY_ROLL,2022/4F,45881,,,'')&lt;/Q&gt;&lt;R&gt;0&lt;/R&gt;&lt;C&gt;0&lt;/C&gt;&lt;/FQL&gt;&lt;FQL&gt;&lt;Q&gt;CRWV^FE_ESTIMATE(EPS,MEAN,QUARTERLY_ROLL,2022/3F,45881,,,'')&lt;/Q&gt;&lt;R&gt;0&lt;/R&gt;&lt;C&gt;0&lt;/C&gt;&lt;/FQL&gt;&lt;FQL&gt;&lt;Q&gt;CRWV^FE_ESTIMATE(EPS,MEAN,QUARTERLY_ROLL,2022/2F,45881,,,'')&lt;/Q&gt;&lt;R&gt;0&lt;/R&gt;&lt;C&gt;0&lt;/C&gt;&lt;/FQL&gt;&lt;FQL&gt;&lt;Q&gt;CRWV^FE_ESTIMATE(EPS,MEAN,QUARTERLY_ROLL,2022/1F,45881,,,'')&lt;/Q&gt;&lt;R&gt;0&lt;/R&gt;&lt;C&gt;0&lt;/C&gt;&lt;/FQL&gt;&lt;FQL&gt;&lt;Q&gt;CRWV^FE_ESTIMATE(EAG,MEAN,ANNUAL_ROLL,2029,45881,,,'')&lt;/Q&gt;&lt;R&gt;0&lt;/R&gt;&lt;C&gt;0&lt;/C&gt;&lt;/FQL&gt;&lt;FQL&gt;&lt;Q&gt;CRWV^FE_ESTIMATE(EAG,MEAN,QUARTERLY_ROLL,2029/4F,45881,,,'')&lt;/Q&gt;&lt;R&gt;0&lt;/R&gt;&lt;C&gt;0&lt;/C&gt;&lt;/FQL&gt;&lt;FQL&gt;&lt;Q&gt;CRWV^FE_ESTIMATE(EAG,MEAN,QUARTERLY_ROLL,2029/3F,45881,,,'')&lt;/Q&gt;&lt;R&gt;0&lt;/R&gt;&lt;C&gt;0&lt;/C&gt;&lt;/FQL&gt;&lt;FQL&gt;&lt;Q&gt;CRWV^FE_ESTIMATE(EAG,MEAN,QUARTERLY_ROLL,2029/2F,45881,,,'')&lt;/Q&gt;&lt;R&gt;0&lt;/R&gt;&lt;C&gt;0&lt;/C&gt;&lt;/FQL&gt;&lt;FQL&gt;&lt;Q&gt;CRWV^FE_ESTIMATE(EAG,MEAN,QUARTERLY_ROLL,2029/1F,45881,,,'')&lt;/Q&gt;&lt;R&gt;0&lt;/R&gt;&lt;C&gt;0&lt;/C&gt;&lt;/FQL&gt;&lt;FQL&gt;&lt;Q&gt;CRWV^FE_ESTIMATE(EAG,MEAN,ANNUAL_ROLL,2028,45881,,,'')&lt;/Q&gt;&lt;R&gt;0&lt;/R&gt;&lt;C&gt;0&lt;/C&gt;&lt;/FQL&gt;&lt;FQL&gt;&lt;Q&gt;CRWV^FE_ESTIMATE(EAG,MEAN,QUARTERLY_ROLL,2028/4F,45881,,,'')&lt;/Q&gt;&lt;R&gt;0&lt;/R&gt;&lt;C&gt;0&lt;/C&gt;&lt;/FQL&gt;&lt;FQL&gt;&lt;Q&gt;CRWV^FE_ESTIMATE(EAG,MEAN,QUARTERLY_ROLL,2028/3F,45881,,,'')&lt;/Q&gt;&lt;R&gt;0&lt;/R&gt;&lt;C&gt;0&lt;/C&gt;&lt;/FQL&gt;&lt;FQL&gt;&lt;Q&gt;CRWV^FE_ESTIMATE(EAG,MEAN,QUARTERLY_ROLL,2028/2F,45881,,,'')&lt;/Q&gt;&lt;R&gt;0&lt;/R&gt;&lt;C&gt;0&lt;/C&gt;&lt;/FQL&gt;&lt;FQL&gt;&lt;Q&gt;CRWV^FE_ESTIMATE(EAG,MEAN,QUARTERLY_ROLL,2028/1F,45881,,,'')&lt;/Q&gt;&lt;R&gt;0&lt;/R&gt;&lt;C&gt;0&lt;/C&gt;&lt;/FQL&gt;&lt;FQL&gt;&lt;Q&gt;CRWV^FE_ESTIMATE(EAG,MEAN,ANNUAL_ROLL,2027,45881,,,'')&lt;/Q&gt;&lt;R&gt;1&lt;/R&gt;&lt;C&gt;1&lt;/C&gt;&lt;D xsi:type="xsd:double"&gt;1.2123566&lt;/D&gt;&lt;/FQL&gt;&lt;FQL&gt;&lt;Q&gt;CRWV^FE_ESTIMATE(EAG,MEAN,QUARTERLY_ROLL,2027/4F,45881,,,'')&lt;/Q&gt;&lt;R&gt;1&lt;/R&gt;&lt;C&gt;1&lt;/C&gt;&lt;D xsi:type="xsd:double"&gt;0.4898415&lt;/D&gt;&lt;/FQL&gt;&lt;FQL&gt;&lt;Q&gt;CRWV^FE_ESTIMATE(EAG,MEAN,QUARTERLY_ROLL,2027/3F,45881,,,'')&lt;/Q&gt;&lt;R&gt;1&lt;/R&gt;&lt;C&gt;1&lt;/C&gt;&lt;D xsi:type="xsd:double"&gt;0.374016&lt;/D&gt;&lt;/FQL&gt;&lt;FQL&gt;&lt;Q&gt;CRWV^FE_ESTIMATE(EAG,MEAN,QUARTERLY_ROLL,2027/2F,45881,,,'')&lt;/Q&gt;&lt;R&gt;1&lt;/R&gt;&lt;C&gt;1&lt;/C&gt;&lt;D xsi:type="xsd:double"&gt;0.238371&lt;/D&gt;&lt;/FQL&gt;&lt;FQL&gt;&lt;Q&gt;CRWV^FE_ESTIMATE(EAG,MEAN,QUARTERLY_ROLL,2027/1F,45881,,,'')&lt;/Q&gt;&lt;R&gt;1&lt;/R&gt;&lt;C&gt;1&lt;/C&gt;&lt;D xsi:type="xsd:double"&gt;0.104724&lt;/D&gt;&lt;/FQL&gt;&lt;FQL&gt;&lt;Q&gt;CRWV^FE_ESTIMATE(EAG,MEAN,ANNUAL_ROLL,2026,45881,,,'')&lt;/Q&gt;&lt;R&gt;1&lt;/R&gt;&lt;C&gt;1&lt;/C&gt;&lt;D xsi:type="xsd:double"&gt;-0.7352101&lt;/D&gt;&lt;/FQL&gt;&lt;FQL&gt;&lt;Q&gt;CRWV^FE_ESTIMATE(EAG,MEAN,QUARTERLY_ROLL,2026/4F,45881,,,'')&lt;/Q&gt;&lt;R&gt;1&lt;/R&gt;&lt;C&gt;1&lt;/C&gt;&lt;D xsi:type="xsd:double"&gt;-0.079931&lt;/D&gt;&lt;/FQL&gt;&lt;FQL&gt;&lt;Q&gt;CRWV^FE_ESTIMATE(EAG,MEAN,QUARTERLY_ROLL,2026/3F,45881,,,'')&lt;/Q&gt;&lt;R&gt;1&lt;/R&gt;&lt;C&gt;1&lt;/C&gt;&lt;D xsi:type="xsd:double"&gt;-0.1872016&lt;/D&gt;&lt;/FQL&gt;&lt;FQL&gt;&lt;Q&gt;CRWV^FE_ESTIMATE(EAG,MEAN,QUARTERLY_ROLL,2026/2F,45881,,,'')&lt;/Q&gt;&lt;R&gt;1&lt;/R&gt;&lt;C&gt;1&lt;/C&gt;&lt;D xsi:type="xsd:double"&gt;-0.2760792&lt;/D&gt;&lt;/FQL&gt;&lt;FQL&gt;&lt;Q&gt;CRWV^FE_ESTIMATE(EAG,MEAN,QUARTERLY_ROLL,2026/1F,45881,,,'')&lt;/Q&gt;&lt;R&gt;1&lt;/R&gt;&lt;C&gt;1&lt;/C&gt;&lt;D xsi:type="xsd:double"&gt;-0.534253&lt;/D&gt;&lt;/FQL&gt;&lt;FQL&gt;&lt;Q&gt;CRWV^FE_ESTIMATE(EAG,MEAN,ANNUAL_ROLL,2025,45881,,,'')&lt;/Q&gt;&lt;R&gt;1&lt;/R&gt;&lt;C&gt;1&lt;/C&gt;&lt;D xsi:type="xsd:double"&gt;-2.0898669&lt;/D&gt;&lt;/FQL&gt;&lt;FQL&gt;&lt;Q&gt;CRWV^FE_ESTIMATE(EAG,MEAN,QUARTERLY_ROLL,2025/4F,45881,,,'')&lt;/Q&gt;&lt;R&gt;1&lt;/R&gt;&lt;C&gt;1&lt;/C&gt;&lt;D xsi:type="xsd:double"&gt;-0.42490974&lt;/D&gt;&lt;/FQL&gt;&lt;FQL&gt;&lt;Q&gt;CRWV^FE_ESTIMATE(EAG,MEAN,QUARTERLY_ROLL,2025/3F,45881,,,'')&lt;/Q&gt;&lt;R&gt;1&lt;/R&gt;&lt;C&gt;1&lt;/C&gt;&lt;D xsi:type="xsd:double"&gt;-0.30441776&lt;/D&gt;&lt;/FQL&gt;&lt;FQL&gt;&lt;Q&gt;CRWV^FE_ESTIMATE(EAG,MEAN,QUARTERLY_ROLL,2025/2F,45881,,,'')&lt;/Q&gt;&lt;R&gt;1&lt;/R&gt;&lt;C&gt;1&lt;/C&gt;&lt;D xsi:type="xsd:double"&gt;-0.5204951&lt;/D&gt;&lt;/FQL&gt;&lt;FQL&gt;&lt;Q&gt;CRWV^FE_ESTIMATE(EAG,MEAN,QUARTERLY_ROLL,2025/1F,45881,,,'')&lt;/Q&gt;&lt;R&gt;1&lt;/R&gt;&lt;C&gt;1&lt;/C&gt;&lt;D xsi:type="xsd:double"&gt;-1.49&lt;/D&gt;&lt;/FQL&gt;&lt;FQL&gt;&lt;Q&gt;CRWV^FE_ESTIMATE(EAG,MEAN,ANNUAL_ROLL,2024,45881,,,'')&lt;/Q&gt;&lt;R&gt;1&lt;/R&gt;&lt;C&gt;1&lt;/C&gt;&lt;D xsi:type="xsd:double"&gt;-2.8925&lt;/D&gt;&lt;/FQL&gt;&lt;FQL&gt;&lt;Q&gt;CRWV^FE_ESTIMATE(EAG,MEAN,QUARTERLY_ROLL,2024/4F,45881,,,'')&lt;/Q&gt;&lt;R&gt;1&lt;/R&gt;&lt;C&gt;1&lt;/C&gt;&lt;D xsi:type="xsd:double"&gt;-0.21&lt;/D&gt;&lt;/FQL&gt;&lt;FQL&gt;&lt;Q&gt;CRWV^FE_ESTIMATE(EAG,MEAN,QUARTERLY_ROLL,2024/3F,45881,,,'')&lt;/Q&gt;&lt;R&gt;0&lt;/R&gt;&lt;C&gt;0&lt;/C&gt;&lt;/FQL&gt;&lt;FQL&gt;&lt;Q&gt;CRWV^FE_ESTIMATE(EAG,MEAN,QUARTERLY_ROLL,2024/2F,45881,,,'')&lt;/Q&gt;&lt;R&gt;0&lt;/R&gt;&lt;C&gt;0&lt;/C&gt;&lt;/FQL&gt;&lt;FQL&gt;&lt;Q&gt;CRWV^FE_ESTIMATE(EAG,MEAN,QUARTERLY_ROLL,2024/1F,45881,,,'')&lt;/Q&gt;&lt;R&gt;0&lt;/R&gt;&lt;C&gt;0&lt;/C&gt;&lt;/FQL&gt;&lt;FQL&gt;&lt;Q&gt;CRWV^FE_ESTIMATE(EAG,MEAN,ANNUAL_ROLL,2023,45881,,,'')&lt;/Q&gt;&lt;R&gt;0&lt;/R&gt;&lt;C&gt;0&lt;/C&gt;&lt;/FQL&gt;&lt;FQL&gt;&lt;Q&gt;CRWV^FE_ESTIMATE(EAG,MEAN,QUARTERLY_ROLL,2023/4F,45881,,,'')&lt;/Q&gt;&lt;R&gt;0&lt;/R&gt;&lt;C&gt;0&lt;/C&gt;&lt;/FQL&gt;&lt;FQL&gt;&lt;Q&gt;CRWV^FE_ESTIMATE(EAG,MEAN,QUARTERLY_ROLL,2023/3F,45881,,,'')&lt;/Q&gt;&lt;R&gt;0&lt;/R&gt;&lt;C&gt;0&lt;/C&gt;&lt;/FQL&gt;&lt;FQL&gt;&lt;Q&gt;CRWV^FE_ESTIMATE(EAG,MEAN,QUARTERLY_ROLL,2023/2F,45881,,,'')&lt;/Q&gt;&lt;R&gt;0&lt;/R&gt;&lt;C&gt;0&lt;/C&gt;&lt;/FQL&gt;&lt;FQL&gt;&lt;Q&gt;CRWV^FE_ESTIMATE(EAG,MEAN,QUARTERLY_ROLL,2023/1F,45881,,,'')&lt;/Q&gt;&lt;R&gt;0&lt;/R&gt;&lt;C&gt;0&lt;/C&gt;&lt;/FQL&gt;&lt;FQL&gt;&lt;Q&gt;CRWV^FE_ESTIMATE(EAG,MEAN,ANNUAL_ROLL,2022,45881,,,'')&lt;/Q&gt;&lt;R&gt;0&lt;/R&gt;&lt;C&gt;0&lt;/C&gt;&lt;/FQL&gt;&lt;FQL&gt;&lt;Q&gt;CRWV^FE_ESTIMATE(EAG,MEAN,QUARTERLY_ROLL,2022/4F,45881,,,'')&lt;/Q&gt;&lt;R&gt;0&lt;/R&gt;&lt;C&gt;0&lt;/C&gt;&lt;/FQL&gt;&lt;FQL&gt;&lt;Q&gt;CRWV^FE_ESTIMATE(EAG,MEAN,QUARTERLY_ROLL,2022/3F,45881,,,'')&lt;/Q&gt;&lt;R&gt;0&lt;/R&gt;&lt;C&gt;0&lt;/C&gt;&lt;/FQL&gt;&lt;FQL&gt;&lt;Q&gt;CRWV^FE_ESTIMATE(EAG,MEAN,QUARTERLY_ROLL,2022/2F,45881,,,'')&lt;/Q&gt;&lt;R&gt;0&lt;/R&gt;&lt;C&gt;0&lt;/C&gt;&lt;/FQL&gt;&lt;FQL&gt;&lt;Q&gt;CRWV^FE_ESTIMATE(EAG,MEAN,QUARTERLY_ROLL,2022/1F,45881,,,'')&lt;/Q&gt;&lt;R&gt;0&lt;/R&gt;&lt;C&gt;0&lt;/C&gt;&lt;/FQL&gt;&lt;FQL&gt;&lt;Q&gt;CRWV^FE_ESTIMATE(EBIT,MEAN,ANNUAL_ROLL,2029,45881,,,'')&lt;/Q&gt;&lt;R&gt;1&lt;/R&gt;&lt;C&gt;1&lt;/C&gt;&lt;D xsi:type="xsd:double"&gt;7322.05&lt;/D&gt;&lt;/FQL&gt;&lt;FQL&gt;&lt;Q&gt;CRWV^FE_ESTIMATE(EBIT,MEAN,QUARTERLY_ROLL,2029/4F,45881,,,'')&lt;/Q&gt;&lt;R&gt;0&lt;/R&gt;&lt;C&gt;0&lt;/C&gt;&lt;/FQL&gt;&lt;FQL&gt;&lt;Q&gt;CRWV^FE_ESTIMATE(EBIT,MEAN,QUARTERLY_ROLL,2029/3F,45881,,,'')&lt;/Q&gt;&lt;R&gt;0&lt;/R&gt;&lt;C&gt;0&lt;/C&gt;&lt;/FQL&gt;&lt;FQL&gt;&lt;Q&gt;CRWV^FE_ESTIMATE(EBIT,MEAN,QUARTERLY_ROLL,2029/2F,45881,,,'')&lt;/Q&gt;&lt;R&gt;0&lt;/R&gt;&lt;C&gt;0&lt;/C&gt;&lt;/FQL&gt;&lt;FQL&gt;&lt;Q&gt;CRWV^FE_ESTIMATE(EBIT,MEAN,QUARTERLY_ROLL,2029/1F,45881,,,'')&lt;/Q&gt;&lt;R&gt;0&lt;/R&gt;&lt;C&gt;0&lt;/C&gt;&lt;/FQL&gt;&lt;FQL&gt;&lt;Q&gt;CRWV^FE_ESTIMATE(EBIT,MEAN,ANNUAL_ROLL,2028,45881,,,'')&lt;/Q&gt;&lt;R&gt;1&lt;/R&gt;&lt;C&gt;1&lt;/C&gt;&lt;D xsi:type="xsd:double"&gt;5723.3&lt;/D&gt;&lt;/FQL&gt;&lt;FQL&gt;&lt;Q&gt;CRWV^FE_ESTIMATE(EBIT,MEAN,QUARTERLY_ROLL,2028/4F,45881,,,'')&lt;/Q&gt;&lt;R&gt;0&lt;/R&gt;&lt;C&gt;0&lt;/C&gt;&lt;/FQL&gt;&lt;FQL&gt;&lt;Q&gt;CRWV^FE_ESTIMATE(EBIT,MEAN,QUARTERLY_ROLL,2028/3F,45881,,,'')&lt;/Q&gt;&lt;R&gt;0&lt;/R&gt;&lt;C&gt;0&lt;/C&gt;&lt;/FQL&gt;&lt;FQL&gt;&lt;Q&gt;CRWV^FE_ESTIMATE(EBIT,MEAN,QUARTERLY_ROLL,2028/2F,45881,,,'')&lt;/Q&gt;&lt;R&gt;0&lt;/R&gt;&lt;C&gt;0&lt;/C&gt;&lt;/FQL&gt;&lt;FQL&gt;&lt;Q&gt;CRWV^FE_ESTIMATE(EBIT,MEAN,QUARTERLY_ROLL,2028/1F,45881,,,'')&lt;/Q&gt;&lt;R&gt;0&lt;/R&gt;&lt;C&gt;0&lt;/C&gt;&lt;/FQL&gt;&lt;FQL&gt;&lt;Q&gt;CRWV^FE_ESTIMATE(EBIT,MEAN,ANNUAL_ROLL,2027,45881,,,'')&lt;/Q&gt;&lt;R&gt;1&lt;/R&gt;&lt;C&gt;1&lt;/C&gt;&lt;D xsi:type="xsd:double"&gt;4355.979&lt;/D&gt;&lt;/FQL&gt;&lt;FQL&gt;&lt;Q&gt;CRWV^FE_ESTIMATE(EBIT,MEAN,QUARTERLY_ROLL,2027/4F,45881,,,'')&lt;/Q&gt;&lt;R&gt;1&lt;/R&gt;&lt;C&gt;1&lt;/C&gt;&lt;D xsi:type="xsd:double"&gt;1246.9547&lt;/D&gt;&lt;/FQL&gt;&lt;FQL&gt;&lt;Q&gt;CRWV^FE_ESTIMATE(EBIT,MEAN,QUARTERLY_ROLL,2027/3F,45881,,,'')&lt;/Q&gt;&lt;R&gt;1&lt;/R&gt;&lt;C&gt;1&lt;/C&gt;&lt;D xsi:type="xsd:double"&gt;1159.2375&lt;/D&gt;&lt;/FQL&gt;&lt;FQL&gt;&lt;Q&gt;CRWV^FE_ESTIMATE(EBIT,MEAN,QUARTERLY_ROLL,2027/2F,45881,,,'')&lt;/Q&gt;&lt;R&gt;1&lt;/R&gt;&lt;C&gt;1&lt;/C&gt;&lt;D xsi:type="xsd:double"&gt;1041.3024&lt;/D&gt;&lt;/FQL&gt;&lt;FQL&gt;&lt;Q&gt;CRWV^FE_ESTIMATE(EBIT,MEAN,QUARTERLY_ROLL,2027/1F,45881,,,'')&lt;/Q&gt;&lt;R&gt;1&lt;/R&gt;&lt;C&gt;1&lt;/C&gt;&lt;D xsi:type="xsd:double"&gt;988.7472&lt;/D&gt;&lt;/FQL&gt;&lt;FQL&gt;&lt;Q&gt;CRWV^FE_ESTIMATE(EBIT,MEAN,ANNUAL_ROLL,2026,45881,,,'')&lt;/Q&gt;&lt;R&gt;1&lt;/R&gt;&lt;C&gt;1&lt;/C&gt;&lt;D xsi:type="xsd:double"&gt;2642.8591&lt;/D&gt;&lt;/FQL&gt;&lt;FQL&gt;&lt;Q&gt;CRWV^FE_ESTIMATE(EBIT,MEAN,QUARTERLY_ROLL,2026/4F,45881,,,'')&lt;/Q&gt;&lt;R&gt;1&lt;/R&gt;&lt;C&gt;1&lt;/C&gt;&lt;D xsi:type="xsd:double"&gt;817.40137&lt;/D&gt;&lt;/FQL&gt;&lt;FQL&gt;&lt;Q&gt;CRWV^FE_ESTIMATE(EBIT,MEAN,QUARTERLY_ROLL,2026/3F,45881,,,'')&lt;/Q&gt;&lt;R&gt;1&lt;/R&gt;&lt;C&gt;1&lt;/C&gt;&lt;D xsi:type="xsd:double"&gt;717.45807&lt;/D&gt;&lt;/FQL&gt;&lt;FQL&gt;&lt;Q&gt;CRWV^FE_ESTIMATE(EBIT,MEAN,QUARTERLY_ROLL,2026/2F,45881,,,'')&lt;/Q&gt;&lt;R&gt;1&lt;/R&gt;&lt;C&gt;1&lt;/C&gt;&lt;D xsi:type="xsd:double"&gt;622.9186&lt;/D&gt;&lt;/FQL&gt;&lt;FQL&gt;&lt;Q&gt;CRWV^FE_ESTIMATE(EBIT,MEAN,QUARTERLY_ROLL,2026/1F,45881,,,'')&lt;/Q&gt;&lt;R&gt;1&lt;/R&gt;&lt;C&gt;1&lt;/C&gt;&lt;D xsi:type="xsd:double"&gt;494.74268&lt;/D&gt;&lt;/FQL&gt;&lt;FQL&gt;&lt;Q&gt;CRWV^FE_ESTIMATE(EBIT,MEAN,ANNUAL_ROLL,2025,45881,,,'')&lt;/Q&gt;&lt;R&gt;1&lt;/R&gt;&lt;C&gt;1&lt;/C&gt;&lt;D xsi:type="xsd:double"&gt;818.989&lt;/D&gt;&lt;/FQL&gt;&lt;FQL&gt;&lt;Q&gt;CRWV^FE_ESTIMATE(EBIT,MEAN,QUARTERLY_ROLL,2025/4F,45881,,,'')&lt;/Q&gt;&lt;R&gt;1&lt;/R&gt;&lt;C&gt;1&lt;/C&gt;&lt;D xsi:type="xsd:double"&gt;297.199&lt;/D&gt;&lt;/FQL&gt;&lt;FQL&gt;&lt;Q&gt;CRWV^FE_ESTIMATE(EBIT,MEAN,QUARTERLY_ROLL,2025/3F,45881,,,'')&lt;/Q&gt;&lt;R&gt;1&lt;/R&gt;&lt;C&gt;1&lt;/C&gt;&lt;D xsi:type="xsd:double"&gt;199.38242&lt;/D&gt;&lt;/FQL&gt;&lt;FQL&gt;&lt;Q&gt;CRWV^FE_ESTIMATE(EBIT,MEAN,QUARTERLY_ROLL,2025/2F,45881,,,'')&lt;/Q&gt;&lt;R&gt;1&lt;/R&gt;&lt;C&gt;1&lt;/C&gt;&lt;D xsi:type="xsd:double"&gt;159.43073&lt;/D&gt;&lt;/FQL&gt;&lt;FQL&gt;&lt;Q&gt;CRWV^FE_ESTIMATE(EBIT,MEAN,QUARTERLY_ROLL,2025/1F,45881,,,'')&lt;/Q&gt;&lt;R&gt;1&lt;/R&gt;&lt;C&gt;1&lt;/C&gt;&lt;D xsi:type="xsd:double"&gt;163&lt;/D&gt;&lt;/FQL&gt;&lt;FQL&gt;&lt;Q&gt;CRWV^FE_ESTIMATE(EBIT,MEAN,ANNUAL_ROLL,2024,45881,,,'')&lt;/Q&gt;&lt;R&gt;1&lt;/R&gt;&lt;C&gt;1&lt;/C&gt;&lt;D xsi:type="xsd:double"&gt;355.90543&lt;/D&gt;&lt;/FQL&gt;&lt;FQL&gt;&lt;Q&gt;CRWV^FE_ESTIMATE(EBIT,MEAN,QUARTERLY_ROLL,2024/4F,45881,,,'')&lt;/Q&gt;&lt;R&gt;1&lt;/R&gt;&lt;C&gt;1&lt;/C&gt;&lt;D xsi:type="xsd:double"&gt;119.87622&lt;/D&gt;&lt;/FQL&gt;&lt;FQL&gt;&lt;Q&gt;CRWV^FE_ESTIMATE(EBIT,MEAN,QUARTERLY_ROLL,2024/3F,45881,,,'')&lt;/Q&gt;&lt;R&gt;0&lt;/R&gt;&lt;C&gt;0&lt;/C&gt;&lt;/FQL&gt;&lt;FQL&gt;&lt;Q&gt;CRWV^FE_ESTIMATE(EBIT,MEAN,QUARTERLY_ROLL,2024/2F,45881,,,'')&lt;/Q&gt;&lt;R&gt;0&lt;/R&gt;&lt;C&gt;0&lt;/C&gt;&lt;/FQL&gt;&lt;FQL&gt;&lt;Q&gt;CRWV^FE_ESTIMATE(EBIT,MEAN,QUARTERLY_ROLL,2024/1F,45881,,,'')&lt;/Q&gt;&lt;R&gt;0&lt;/R&gt;&lt;C&gt;0&lt;/C&gt;&lt;/FQL&gt;&lt;FQL&gt;&lt;Q&gt;CRWV^FE_ESTIMATE(EBIT,MEAN,ANNUAL_ROLL,2023,45881,,,'')&lt;/Q&gt;&lt;R&gt;0&lt;/R&gt;&lt;C&gt;0&lt;/C&gt;&lt;/FQL&gt;&lt;FQL&gt;&lt;Q&gt;CRWV^FE_ESTIMATE(EBIT,MEAN,QUARTERLY_ROLL,2023/4F,45881,,,'')&lt;/Q&gt;&lt;R&gt;0&lt;/R&gt;&lt;C&gt;0&lt;/C&gt;&lt;/FQL&gt;&lt;FQL&gt;&lt;Q&gt;CRWV^FE_ESTIMATE(EBIT,MEAN,QUARTERLY_ROLL,2023/3F,45881,,,'')&lt;/Q&gt;&lt;R&gt;0&lt;/R&gt;&lt;C&gt;0&lt;/C&gt;&lt;/FQL&gt;&lt;FQL&gt;&lt;Q&gt;CRWV^FE_ESTIMATE(EBIT,MEAN,QUARTERLY_ROLL,2023/2F,45881,,,'')&lt;/Q&gt;&lt;R&gt;0&lt;/R&gt;&lt;C&gt;0&lt;/C&gt;&lt;/FQL&gt;&lt;FQL&gt;&lt;Q&gt;CRWV^FE_ESTIMATE(EBIT,MEAN,QUARTERLY_ROLL,2023/1F,45881,,,'')&lt;/Q&gt;&lt;R&gt;0&lt;/R&gt;&lt;C&gt;0&lt;/C&gt;&lt;/FQL&gt;&lt;FQL&gt;&lt;Q&gt;CRWV^FE_ESTIMATE(EBIT,MEAN,ANNUAL_ROLL,2022,45881,,,'')&lt;/Q&gt;&lt;R&gt;0&lt;/R&gt;&lt;C&gt;0&lt;/C&gt;&lt;/FQL&gt;&lt;FQL&gt;&lt;Q&gt;CRWV^FE_ESTIMATE(EBIT,MEAN,QUARTERLY_ROLL,2022/4F,45881,,,'')&lt;/Q&gt;&lt;R&gt;0&lt;/R&gt;&lt;C&gt;0&lt;/C&gt;&lt;/FQL&gt;&lt;FQL&gt;&lt;Q&gt;CRWV^FE_ESTIMATE(EBIT,MEAN,QUARTERLY_ROLL,2022/3F,45881,,,'')&lt;/Q&gt;&lt;R&gt;0&lt;/R&gt;&lt;C&gt;0&lt;/C&gt;&lt;/FQL&gt;&lt;FQL&gt;&lt;Q&gt;CRWV^FE_ESTIMATE(EBIT,MEAN,QUARTERLY_ROLL,2022/2F,45881,,,'')&lt;/Q&gt;&lt;R&gt;0&lt;/R&gt;&lt;C&gt;0&lt;/C&gt;&lt;/FQL&gt;&lt;FQL&gt;&lt;Q&gt;CRWV^FE_ESTIMATE(EBIT,MEAN,QUARTERLY_ROLL,2022/1F,45881,,,'')&lt;/Q&gt;&lt;R&gt;0&lt;/R&gt;&lt;C&gt;0&lt;/C&gt;&lt;/FQL&gt;&lt;FQL&gt;&lt;Q&gt;CRWV^FE_ESTIMATE(GROSSINCOME,MEAN,ANNUAL_ROLL,2029,45881,,,'')&lt;/Q&gt;&lt;R&gt;0&lt;/R&gt;&lt;C&gt;0&lt;/C&gt;&lt;/FQL&gt;&lt;FQL&gt;&lt;Q&gt;CRWV^FE_ESTIMATE(GROSSINCOME,MEAN,QUARTERLY_ROLL,2029/4F,45881,,,'')&lt;/Q&gt;&lt;R&gt;0&lt;/R&gt;&lt;C&gt;0&lt;/C&gt;&lt;/FQL&gt;&lt;FQL&gt;&lt;Q&gt;CRWV^FE_ESTIMATE(GROSSINCOME,MEAN,QUARTERLY_ROLL,2029/3F,45881,,,'')&lt;/Q&gt;&lt;R&gt;0&lt;/R&gt;&lt;C&gt;0&lt;/C&gt;&lt;/FQL&gt;&lt;FQL&gt;&lt;Q&gt;CRWV^FE_ESTIMATE(GROSSINCOME,MEAN,QUARTERLY_ROLL,2029/2F,45881,,,'')&lt;/Q&gt;&lt;R&gt;0&lt;/R&gt;&lt;C&gt;0&lt;/C&gt;&lt;/FQL&gt;&lt;FQL&gt;&lt;Q&gt;CRWV^FE_ESTIMATE(GROSSINCOME,MEAN,QUARTERLY_ROLL,2029/1F,45881,,,'')&lt;/Q&gt;&lt;R&gt;0&lt;/R&gt;&lt;C&gt;0&lt;/C&gt;&lt;/FQL&gt;&lt;FQL&gt;&lt;Q&gt;CRWV^FE_ESTIMATE(GROSSINCOME,MEAN,ANNUAL_ROLL,2028,45881,,,'')&lt;/Q&gt;&lt;R&gt;0&lt;/R&gt;&lt;C&gt;0&lt;/C&gt;&lt;/FQL&gt;&lt;FQL&gt;&lt;Q&gt;CRWV^FE_ESTIMATE(GROSSINCOME,MEAN,QUARTERLY_ROLL,2028/4F,45881,,,'')&lt;/Q&gt;&lt;R&gt;0&lt;/R&gt;&lt;C&gt;0&lt;/C&gt;&lt;/FQL&gt;&lt;FQL&gt;&lt;Q&gt;CRWV^FE_ESTIMATE(GROSSINCOME,MEAN,QUARTERLY_ROLL,2028/3F,45881,,,'')&lt;/Q&gt;&lt;R&gt;0&lt;/R&gt;&lt;C&gt;0&lt;/C&gt;&lt;/FQL&gt;&lt;FQL&gt;&lt;Q&gt;CRWV^FE_ESTIMATE(GROSSINCOME,MEAN,QUARTERLY_ROLL,2028/2F,45881,,,'')&lt;/Q&gt;&lt;R&gt;0&lt;/R&gt;&lt;C&gt;0&lt;/C&gt;&lt;/FQL&gt;&lt;FQL&gt;&lt;Q&gt;CRWV^FE_ESTIMATE(GROSSINCOME,MEAN,QUARTERLY_ROLL,2028/1F,45881,,,'')&lt;/Q&gt;&lt;R&gt;0&lt;/R&gt;&lt;C&gt;0&lt;/C&gt;&lt;/FQL&gt;&lt;FQL&gt;&lt;Q&gt;CRWV^FE_ESTIMATE(GROSSINCOME,MEAN,ANNUAL_ROLL,2027,45881,,,'')&lt;/Q&gt;&lt;R&gt;1&lt;/R&gt;&lt;C&gt;1&lt;/C&gt;&lt;D xsi:type="xsd:double"&gt;12462.338&lt;/D&gt;&lt;/FQL&gt;&lt;FQL&gt;&lt;Q&gt;CRWV^FE_ESTIMATE(GROSSINCOME,MEAN,QUARTERLY_ROLL,2027/4F,45881,,,'')&lt;/Q&gt;&lt;R&gt;1&lt;/R&gt;&lt;C&gt;1&lt;/C&gt;&lt;D xsi:type="xsd:double"&gt;3320.697&lt;/D&gt;&lt;/FQL&gt;&lt;FQL&gt;&lt;Q&gt;CRWV^FE_ESTIMATE(GROSSINCOME,MEAN,QUARTERLY_ROLL,2027/3F,45881,,,'')&lt;/Q&gt;&lt;R&gt;1&lt;/R&gt;&lt;C&gt;1&lt;/C&gt;&lt;D xsi:type="xsd:double"&gt;3120.215&lt;/D&gt;&lt;/FQL&gt;&lt;FQL&gt;&lt;Q&gt;CRWV^FE_ESTIMATE(GROSSINCOME,MEAN,QUARTERLY_ROLL,2027/2F,45881,,,'')&lt;/Q&gt;&lt;R&gt;1&lt;/R&gt;&lt;C&gt;1&lt;/C&gt;&lt;D xsi:type="xsd:double"&gt;2875.4885&lt;/D&gt;&lt;/FQL&gt;&lt;FQL&gt;&lt;Q&gt;CRWV^FE_ESTIMATE(GROSSINCOME,MEAN,QUARTERLY_ROLL,2027/1F,45881,,,'')&lt;/Q&gt;&lt;R&gt;1&lt;/R&gt;&lt;C&gt;1&lt;/C&gt;&lt;D xsi:type="xsd:double"&gt;2623.3516&lt;/D&gt;&lt;/FQL&gt;&lt;FQL&gt;&lt;Q&gt;CRWV^FE_ESTIMATE(GROSSINCOME,MEAN,ANNUAL_ROLL,2026,45881,,,'')&lt;/Q&gt;&lt;R&gt;1&lt;/R&gt;&lt;C&gt;1&lt;/C&gt;&lt;D xsi:type="xsd:double"&gt;8533.873&lt;/D&gt;&lt;/FQL&gt;&lt;FQL&gt;&lt;Q&gt;CRWV^FE_ESTIMATE(GROSSINCOME,MEAN,QUARTERLY_ROLL,2026/4F,45881,,,'')&lt;/Q&gt;&lt;R&gt;1&lt;/R&gt;&lt;C&gt;1&lt;/C&gt;&lt;D xsi:type="xsd:double"&gt;2474.5364&lt;/D&gt;&lt;/FQL&gt;&lt;FQL&gt;&lt;Q&gt;CRWV^FE_ESTIMATE(GROSSINCOME,MEAN,QUARTERLY_ROLL,2026/3F,45881,,,'')&lt;/Q&gt;&lt;R&gt;1&lt;/R&gt;&lt;C&gt;1&lt;/C&gt;&lt;D xsi:type="xsd:double"&gt;2227.496&lt;/D&gt;&lt;/FQL&gt;&lt;FQL&gt;&lt;Q&gt;CRWV^FE_ESTIMATE(GROSSINCOME,MEAN,QUARTERLY_ROLL,2026/2F,45881,,,'')&lt;/Q&gt;&lt;R&gt;1&lt;/R&gt;&lt;C&gt;1&lt;/C&gt;&lt;D xsi:type="xsd:double"&gt;2003.0178&lt;/D&gt;&lt;/FQL&gt;&lt;FQL&gt;&lt;Q&gt;CRWV^FE_ESTIMATE(GROSSINCOME,MEAN,QUARTERLY_ROLL,2026/1F,45881,,,'')&lt;/Q&gt;&lt;R&gt;1&lt;/R&gt;&lt;C&gt;1&lt;/C&gt;&lt;D xsi:type="xsd:double"&gt;1728.0353&lt;/D&gt;&lt;/FQL&gt;&lt;FQL&gt;&lt;Q&gt;CRWV^FE_ESTIMATE(GROSSINCOME,MEAN,ANNUAL_ROLL,2025,45881,,,'')&lt;/Q&gt;&lt;R&gt;1&lt;/R&gt;&lt;C&gt;1&lt;/C&gt;&lt;D xsi:type="xsd:double"&gt;3723.9995&lt;/D&gt;&lt;/FQL&gt;&lt;FQL&gt;&lt;Q&gt;CRWV^FE_ESTIMATE(GROSSINCOME,MEAN,QUARTERLY_ROLL,2025/4F,45881,,,'')&lt;/Q&gt;&lt;R&gt;1&lt;/R&gt;&lt;C&gt;1&lt;/C&gt;&lt;D xsi:type="xsd:double"&gt;1281.1129&lt;/D&gt;&lt;/FQL&gt;&lt;FQL&gt;&lt;Q&gt;CRWV^FE_ESTIMATE(GROSSINCOME,MEAN,QUARTERLY_ROLL,2025/3F,45881,,,'')&lt;/Q&gt;&lt;R&gt;1&lt;/R&gt;&lt;C&gt;1&lt;/C&gt;&lt;D xsi:type="xsd:double"&gt;925.2344&lt;/D&gt;&lt;/FQL&gt;&lt;FQL&gt;&lt;Q&gt;CRWV^FE_ESTIMATE(GROSSINCOME,MEAN,QUARTERLY_ROLL,2025/2F,45881,,,'')&lt;/Q&gt;&lt;R&gt;1&lt;/R&gt;&lt;C&gt;1&lt;/C&gt;&lt;D xsi:type="xsd:double"&gt;797.94666&lt;/D&gt;&lt;/FQL&gt;&lt;FQL&gt;&lt;Q&gt;CRWV^FE_ESTIMATE(GROSSINCOME,MEAN,QUARTERLY_ROLL,2025/1F,45881,,,'')&lt;/Q&gt;&lt;R&gt;1&lt;/R&gt;&lt;C&gt;1&lt;/C&gt;&lt;D xsi:type="xsd:double"&gt;726.7069&lt;/D&gt;&lt;/FQL&gt;&lt;FQL&gt;&lt;Q&gt;CRWV^FE_ESTIMATE(GROSSINCOME,MEAN,ANNUAL_ROLL,2024,45881,,,'')&lt;/Q&gt;&lt;R&gt;1&lt;/R&gt;&lt;C&gt;1&lt;/C&gt;&lt;D xsi:type="xsd:double"&gt;1422.8593&lt;/D&gt;&lt;/FQL&gt;&lt;FQL&gt;&lt;Q&gt;CRWV^FE_ESTIMATE(GROSSINCOME,MEAN,QUARTERLY_ROLL,2024/4F,45881,,,'')&lt;/Q&gt;&lt;R&gt;1&lt;/R&gt;&lt;C&gt;1&lt;/C&gt;&lt;D xsi:type="xsd:double"&gt;565.6203&lt;/D&gt;&lt;/FQL&gt;&lt;FQL&gt;&lt;Q&gt;CRWV^FE_ESTIMATE(GROSSINCOME,MEAN,QUARTERLY_ROLL,2024/3F,45881,,,'')&lt;/Q&gt;&lt;R&gt;0&lt;/R&gt;&lt;C&gt;0&lt;/C&gt;&lt;/FQL&gt;&lt;FQL&gt;&lt;Q&gt;CRWV^FE_ESTIMATE(GROSSINCOME,MEAN,QUARTERLY_ROLL,2024/2F,45881,,,'')&lt;/Q&gt;&lt;R&gt;0&lt;/R&gt;&lt;C&gt;0&lt;/C&gt;&lt;/FQL&gt;&lt;FQL&gt;&lt;Q&gt;CRWV^FE_ESTIMATE(GROSSINCOME,MEAN,QUARTERLY_ROLL,2024/1F,45881,,,'')&lt;/Q&gt;&lt;R&gt;0&lt;/R&gt;&lt;C&gt;0&lt;/C&gt;&lt;/FQL&gt;&lt;FQL&gt;&lt;Q&gt;CRWV^FE_ESTIMATE(GROSSINCOME,MEAN,ANNUAL_ROLL,2023,45881,,,'')&lt;/Q&gt;&lt;R&gt;0&lt;/R&gt;&lt;C&gt;0&lt;/C&gt;&lt;/FQL&gt;&lt;FQL&gt;&lt;Q&gt;CRWV^FE_ESTIMATE(GROSSINCOME,MEAN,QUARTERLY_ROLL,2023/4F,45881,,,'')&lt;/Q&gt;&lt;R&gt;0&lt;/R&gt;&lt;C&gt;0&lt;/C&gt;&lt;/FQL&gt;&lt;FQL&gt;&lt;Q&gt;CRWV^FE_ESTIMATE(GROSSINCOME,MEAN,QUARTERLY_ROLL,2023/3F,45881,,,'')&lt;/Q&gt;&lt;R&gt;0&lt;/R&gt;&lt;C&gt;0&lt;/C&gt;&lt;/FQL&gt;&lt;FQL&gt;&lt;Q&gt;CRWV^FE_ESTIMATE(GROSSINCOME,MEAN,QUARTERLY_ROLL,2023/2F,45881,,,'')&lt;/Q&gt;&lt;R&gt;0&lt;/R&gt;&lt;C&gt;0&lt;/C&gt;&lt;/FQL&gt;&lt;FQL&gt;&lt;Q&gt;CRWV^FE_ESTIMATE(GROSSINCOME,MEAN,QUARTERLY_ROLL,2023/1F,45881,,,'')&lt;/Q&gt;&lt;R&gt;0&lt;/R&gt;&lt;C&gt;0&lt;/C&gt;&lt;/FQL&gt;&lt;FQL&gt;&lt;Q&gt;CRWV^FE_ESTIMATE(GROSSINCOME,MEAN,ANNUAL_ROLL,2022,45881,,,'')&lt;/Q&gt;&lt;R&gt;0&lt;/R&gt;&lt;C&gt;0&lt;/C&gt;&lt;/FQL&gt;&lt;FQL&gt;&lt;Q&gt;CRWV^FE_ESTIMATE(GROSSINCOME,MEAN,QUARTERLY_ROLL,2022/4F,45881,,,'')&lt;/Q&gt;&lt;R&gt;0&lt;/R&gt;&lt;C&gt;0&lt;/C&gt;&lt;/FQL&gt;&lt;FQL&gt;&lt;Q&gt;CR</t>
        </r>
      </text>
    </comment>
    <comment ref="A15" authorId="0" shapeId="0" xr:uid="{502B60AF-B4A4-41C1-935E-D5CC75E454B1}">
      <text>
        <r>
          <rPr>
            <b/>
            <sz val="9"/>
            <color indexed="81"/>
            <rFont val="Tahoma"/>
            <charset val="1"/>
          </rPr>
          <t>WV^FE_ESTIMATE(GROSSINCOME,MEAN,QUARTERLY_ROLL,2022/3F,45881,,,'')&lt;/Q&gt;&lt;R&gt;0&lt;/R&gt;&lt;C&gt;0&lt;/C&gt;&lt;/FQL&gt;&lt;FQL&gt;&lt;Q&gt;CRWV^FE_ESTIMATE(GROSSINCOME,MEAN,QUARTERLY_ROLL,2022/2F,45881,,,'')&lt;/Q&gt;&lt;R&gt;0&lt;/R&gt;&lt;C&gt;0&lt;/C&gt;&lt;/FQL&gt;&lt;FQL&gt;&lt;Q&gt;CRWV^FE_ESTIMATE(GROSSINCOME,MEAN,QUARTERLY_ROLL,2022/1F,45881,,,'')&lt;/Q&gt;&lt;R&gt;0&lt;/R&gt;&lt;C&gt;0&lt;/C&gt;&lt;/FQL&gt;&lt;FQL&gt;&lt;Q&gt;CRWV^FE_ESTIMATE(SALES,MEAN,ANNUAL_ROLL,2029,45881,,,'')&lt;/Q&gt;&lt;R&gt;1&lt;/R&gt;&lt;C&gt;1&lt;/C&gt;&lt;D xsi:type="xsd:double"&gt;26460.35&lt;/D&gt;&lt;/FQL&gt;&lt;FQL&gt;&lt;Q&gt;CRWV^FE_ESTIMATE(SALES,MEAN,QUARTERLY_ROLL,2029/4F,45881,,,'')&lt;/Q&gt;&lt;R&gt;0&lt;/R&gt;&lt;C&gt;0&lt;/C&gt;&lt;/FQL&gt;&lt;FQL&gt;&lt;Q&gt;CRWV^FE_ESTIMATE(SALES,MEAN,QUARTERLY_ROLL,2029/3F,45881,,,'')&lt;/Q&gt;&lt;R&gt;0&lt;/R&gt;&lt;C&gt;0&lt;/C&gt;&lt;/FQL&gt;&lt;FQL&gt;&lt;Q&gt;CRWV^FE_ESTIMATE(SALES,MEAN,QUARTERLY_ROLL,2029/2F,45881,,,'')&lt;/Q&gt;&lt;R&gt;0&lt;/R&gt;&lt;C&gt;0&lt;/C&gt;&lt;/FQL&gt;&lt;FQL&gt;&lt;Q&gt;CRWV^FE_ESTIMATE(SALES,MEAN,QUARTERLY_ROLL,2029/1F,45881,,,'')&lt;/Q&gt;&lt;R&gt;0&lt;/R&gt;&lt;C&gt;0&lt;/C&gt;&lt;/FQL&gt;&lt;FQL&gt;&lt;Q&gt;CRWV^FE_ESTIMATE(SALES,MEAN,ANNUAL_ROLL,2028,45881,,,'')&lt;/Q&gt;&lt;R&gt;1&lt;/R&gt;&lt;C&gt;1&lt;/C&gt;&lt;D xsi:type="xsd:double"&gt;21319.033&lt;/D&gt;&lt;/FQL&gt;&lt;FQL&gt;&lt;Q&gt;CRWV^FE_ESTIMATE(SALES,MEAN,QUARTERLY_ROLL,2028/4F,45881,,,'')&lt;/Q&gt;&lt;R&gt;0&lt;/R&gt;&lt;C&gt;0&lt;/C&gt;&lt;/FQL&gt;&lt;FQL&gt;&lt;Q&gt;CRWV^FE_ESTIMATE(SALES,MEAN,QUARTERLY_ROLL,2028/3F,45881,,,'')&lt;/Q&gt;&lt;R&gt;0&lt;/R&gt;&lt;C&gt;0&lt;/C&gt;&lt;/FQL&gt;&lt;FQL&gt;&lt;Q&gt;CRWV^FE_ESTIMATE(SALES,MEAN,QUARTERLY_ROLL,2028/2F,45881,,,'')&lt;/Q&gt;&lt;R&gt;0&lt;/R&gt;&lt;C&gt;0&lt;/C&gt;&lt;/FQL&gt;&lt;FQL&gt;&lt;Q&gt;CRWV^FE_ESTIMATE(SALES,MEAN,QUARTERLY_ROLL,2028/1F,45881,,,'')&lt;/Q&gt;&lt;R&gt;0&lt;/R&gt;&lt;C&gt;0&lt;/C&gt;&lt;/FQL&gt;&lt;FQL&gt;&lt;Q&gt;CRWV^FE_ESTIMATE(SALES,MEAN,ANNUAL_ROLL,2027,45881,,,'')&lt;/Q&gt;&lt;R&gt;1&lt;/R&gt;&lt;C&gt;1&lt;/C&gt;&lt;D xsi:type="xsd:double"&gt;16592.887&lt;/D&gt;&lt;/FQL&gt;&lt;FQL&gt;&lt;Q&gt;CRWV^FE_ESTIMATE(SALES,MEAN,QUARTERLY_ROLL,2027/4F,45881,,,'')&lt;/Q&gt;&lt;R&gt;1&lt;/R&gt;&lt;C&gt;1&lt;/C&gt;&lt;D xsi:type="xsd:double"&gt;4452.827&lt;/D&gt;&lt;/FQL&gt;&lt;FQL&gt;&lt;Q&gt;CRWV^FE_ESTIMATE(SALES,MEAN,QUARTERLY_ROLL,2027/3F,45881,,,'')&lt;/Q&gt;&lt;R&gt;1&lt;/R&gt;&lt;C&gt;1&lt;/C&gt;&lt;D xsi:type="xsd:double"&gt;4151.545&lt;/D&gt;&lt;/FQL&gt;&lt;FQL&gt;&lt;Q&gt;CRWV^FE_ESTIMATE(SALES,MEAN,QUARTERLY_ROLL,2027/2F,45881,,,'')&lt;/Q&gt;&lt;R&gt;1&lt;/R&gt;&lt;C&gt;1&lt;/C&gt;&lt;D xsi:type="xsd:double"&gt;3824.2808&lt;/D&gt;&lt;/FQL&gt;&lt;FQL&gt;&lt;Q&gt;CRWV^FE_ESTIMATE(SALES,MEAN,QUARTERLY_ROLL,2027/1F,45881,,,'')&lt;/Q&gt;&lt;R&gt;1&lt;/R&gt;&lt;C&gt;1&lt;/C&gt;&lt;D xsi:type="xsd:double"&gt;3553.7107&lt;/D&gt;&lt;/FQL&gt;&lt;FQL&gt;&lt;Q&gt;CRWV^FE_ESTIMATE(SALES,MEAN,ANNUAL_ROLL,2026,45881,,,'')&lt;/Q&gt;&lt;R&gt;1&lt;/R&gt;&lt;C&gt;1&lt;/C&gt;&lt;D xsi:type="xsd:double"&gt;11578.45&lt;/D&gt;&lt;/FQL&gt;&lt;FQL&gt;&lt;Q&gt;CRWV^FE_ESTIMATE(SALES,MEAN,QUARTERLY_ROLL,2026/4F,45881,,,'')&lt;/Q&gt;&lt;R&gt;1&lt;/R&gt;&lt;C&gt;1&lt;/C&gt;&lt;D xsi:type="xsd:double"&gt;3284.0342&lt;/D&gt;&lt;/FQL&gt;&lt;FQL&gt;&lt;Q&gt;CRWV^FE_ESTIMATE(SALES,MEAN,QUARTERLY_ROLL,2026/3F,45881,,,'')&lt;/Q&gt;&lt;R&gt;1&lt;/R&gt;&lt;C&gt;1&lt;/C&gt;&lt;D xsi:type="xsd:double"&gt;2995.2332&lt;/D&gt;&lt;/FQL&gt;&lt;FQL&gt;&lt;Q&gt;CRWV^FE_ESTIMATE(SALES,MEAN,QUARTERLY_ROLL,2026/2F,45881,,,'')&lt;/Q&gt;&lt;R&gt;1&lt;/R&gt;&lt;C&gt;1&lt;/C&gt;&lt;D xsi:type="xsd:double"&gt;2701.6953&lt;/D&gt;&lt;/FQL&gt;&lt;FQL&gt;&lt;Q&gt;CRWV^FE_ESTIMATE(SALES,MEAN,QUARTERLY_ROLL,2026/1F,45881,,,'')&lt;/Q&gt;&lt;R&gt;1&lt;/R&gt;&lt;C&gt;1&lt;/C&gt;&lt;D xsi:type="xsd:double"&gt;2438.32&lt;/D&gt;&lt;/FQL&gt;&lt;FQL&gt;&lt;Q&gt;CRWV^FE_ESTIMATE(SALES,MEAN,ANNUAL_ROLL,2025,45881,,,'')&lt;/Q&gt;&lt;R&gt;1&lt;/R&gt;&lt;C&gt;1&lt;/C&gt;&lt;D xsi:type="xsd:double"&gt;5046.7056&lt;/D&gt;&lt;/FQL&gt;&lt;FQL&gt;&lt;Q&gt;CRWV^FE_ESTIMATE(SALES,MEAN,QUARTERLY_ROLL,2025/4F,45881,,,'')&lt;/Q&gt;&lt;R&gt;1&lt;/R&gt;&lt;C&gt;1&lt;/C&gt;&lt;D xsi:type="xsd:double"&gt;1725.6135&lt;/D&gt;&lt;/FQL&gt;&lt;FQL&gt;&lt;Q&gt;CRWV^FE_ESTIMATE(SALES,MEAN,QUARTERLY_ROLL,2025/3F,45881,,,'')&lt;/Q&gt;&lt;R&gt;1&lt;/R&gt;&lt;C&gt;1&lt;/C&gt;&lt;D xsi:type="xsd:double"&gt;1251.8073&lt;/D&gt;&lt;/FQL&gt;&lt;FQL&gt;&lt;Q&gt;CRWV^FE_ESTIMATE(SALES,MEAN,QUARTERLY_ROLL,2025/2F,45881,,,'')&lt;/Q&gt;&lt;R&gt;1&lt;/R&gt;&lt;C&gt;1&lt;/C&gt;&lt;D xsi:type="xsd:double"&gt;1081.8046&lt;/D&gt;&lt;/FQL&gt;&lt;FQL&gt;&lt;Q&gt;CRWV^FE_ESTIMATE(SALES,MEAN,QUARTERLY_ROLL,2025/1F,45881,,,'')&lt;/Q&gt;&lt;R&gt;1&lt;/R&gt;&lt;C&gt;1&lt;/C&gt;&lt;D xsi:type="xsd:double"&gt;981.632&lt;/D&gt;&lt;/FQL&gt;&lt;FQL&gt;&lt;Q&gt;CRWV^FE_ESTIMATE(SALES,MEAN,ANNUAL_ROLL,2024,45881,,,'')&lt;/Q&gt;&lt;R&gt;1&lt;/R&gt;&lt;C&gt;1&lt;/C&gt;&lt;D xsi:type="xsd:double"&gt;1915.2697&lt;/D&gt;&lt;/FQL&gt;&lt;FQL&gt;&lt;Q&gt;CRWV^FE_ESTIMATE(SALES,MEAN,QUARTERLY_ROLL,2024/4F,45881,,,'')&lt;/Q&gt;&lt;R&gt;1&lt;/R&gt;&lt;C&gt;1&lt;/C&gt;&lt;D xsi:type="xsd:double"&gt;747.2792&lt;/D&gt;&lt;/FQL&gt;&lt;FQL&gt;&lt;Q&gt;CRWV^FE_ESTIMATE(SALES,MEAN,QUARTERLY_ROLL,2024/3F,45881,,,'')&lt;/Q&gt;&lt;R&gt;0&lt;/R&gt;&lt;C&gt;0&lt;/C&gt;&lt;/FQL&gt;&lt;FQL&gt;&lt;Q&gt;CRWV^FE_ESTIMATE(SALES,MEAN,QUARTERLY_ROLL,2024/2F,45881,,,'')&lt;/Q&gt;&lt;R&gt;0&lt;/R&gt;&lt;C&gt;0&lt;/C&gt;&lt;/FQL&gt;&lt;FQL&gt;&lt;Q&gt;CRWV^FE_ESTIMATE(SALES,MEAN,QUARTERLY_ROLL,2024/1F,45881,,,'')&lt;/Q&gt;&lt;R&gt;0&lt;/R&gt;&lt;C&gt;0&lt;/C&gt;&lt;/FQL&gt;&lt;FQL&gt;&lt;Q&gt;CRWV^FE_ESTIMATE(SALES,MEAN,ANNUAL_ROLL,2023,45881,,,'')&lt;/Q&gt;&lt;R&gt;0&lt;/R&gt;&lt;C&gt;0&lt;/C&gt;&lt;/FQL&gt;&lt;FQL&gt;&lt;Q&gt;CRWV^FE_ESTIMATE(SALES,MEAN,QUARTERLY_ROLL,2023/4F,45881,,,'')&lt;/Q&gt;&lt;R&gt;0&lt;/R&gt;&lt;C&gt;0&lt;/C&gt;&lt;/FQL&gt;&lt;FQL&gt;&lt;Q&gt;CRWV^FE_ESTIMATE(SALES,MEAN,QUARTERLY_ROLL,2023/3F,45881,,,'')&lt;/Q&gt;&lt;R&gt;0&lt;/R&gt;&lt;C&gt;0&lt;/C&gt;&lt;/FQL&gt;&lt;FQL&gt;&lt;Q&gt;CRWV^FE_ESTIMATE(SALES,MEAN,QUARTERLY_ROLL,2023/2F,45881,,,'')&lt;/Q&gt;&lt;R&gt;0&lt;/R&gt;&lt;C&gt;0&lt;/C&gt;&lt;/FQL&gt;&lt;FQL&gt;&lt;Q&gt;CRWV^FE_ESTIMATE(SALES,MEAN,QUARTERLY_ROLL,2023/1F,45881,,,'')&lt;/Q&gt;&lt;R&gt;0&lt;/R&gt;&lt;C&gt;0&lt;/C&gt;&lt;/FQL&gt;&lt;FQL&gt;&lt;Q&gt;CRWV^FE_ESTIMATE(SALES,MEAN,ANNUAL_ROLL,2022,45881,,,'')&lt;/Q&gt;&lt;R&gt;0&lt;/R&gt;&lt;C&gt;0&lt;/C&gt;&lt;/FQL&gt;&lt;FQL&gt;&lt;Q&gt;CRWV^FE_ESTIMATE(SALES,MEAN,QUARTERLY_ROLL,2022/4F,45881,,,'')&lt;/Q&gt;&lt;R&gt;0&lt;/R&gt;&lt;C&gt;0&lt;/C&gt;&lt;/FQL&gt;&lt;FQL&gt;&lt;Q&gt;CRWV^FE_ESTIMATE(SALES,MEAN,QUARTERLY_ROLL,2022/3F,45881,,,'')&lt;/Q&gt;&lt;R&gt;0&lt;/R&gt;&lt;C&gt;0&lt;/C&gt;&lt;/FQL&gt;&lt;FQL&gt;&lt;Q&gt;CRWV^FE_ESTIMATE(SALES,MEAN,QUARTERLY_ROLL,2022/2F,45881,,,'')&lt;/Q&gt;&lt;R&gt;0&lt;/R&gt;&lt;C&gt;0&lt;/C&gt;&lt;/FQL&gt;&lt;FQL&gt;&lt;Q&gt;CRWV^FE_ESTIMATE(SALES,MEAN,QUARTERLY_ROLL,2022/1F,45881,,,'')&lt;/Q&gt;&lt;R&gt;0&lt;/R&gt;&lt;C&gt;0&lt;/C&gt;&lt;/FQL&gt;&lt;FQL&gt;&lt;Q&gt;CRWV^FE_ESTIMATE(TOTAL_RPO,MEAN,ANNUAL_ROLL,2029,45970,,,'')&lt;/Q&gt;&lt;R&gt;0&lt;/R&gt;&lt;C&gt;0&lt;/C&gt;&lt;/FQL&gt;&lt;FQL&gt;&lt;Q&gt;CRWV^FE_ESTIMATE(TOTAL_RPO,MEAN,QUARTERLY_ROLL,2029/4F,45970,,,'')&lt;/Q&gt;&lt;R&gt;0&lt;/R&gt;&lt;C&gt;0&lt;/C&gt;&lt;/FQL&gt;&lt;FQL&gt;&lt;Q&gt;CRWV^FE_ESTIMATE(TOTAL_RPO,MEAN,QUARTERLY_ROLL,2029/3F,45970,,,'')&lt;/Q&gt;&lt;R&gt;0&lt;/R&gt;&lt;C&gt;0&lt;/C&gt;&lt;/FQL&gt;&lt;FQL&gt;&lt;Q&gt;CRWV^FE_ESTIMATE(TOTAL_RPO,MEAN,QUARTERLY_ROLL,2029/2F,45970,,,'')&lt;/Q&gt;&lt;R&gt;0&lt;/R&gt;&lt;C&gt;0&lt;/C&gt;&lt;/FQL&gt;&lt;FQL&gt;&lt;Q&gt;CRWV^FE_ESTIMATE(TOTAL_RPO,MEAN,QUARTERLY_ROLL,2029/1F,45970,,,'')&lt;/Q&gt;&lt;R&gt;0&lt;/R&gt;&lt;C&gt;0&lt;/C&gt;&lt;/FQL&gt;&lt;FQL&gt;&lt;Q&gt;CRWV^FE_ESTIMATE(TOTAL_RPO,MEAN,ANNUAL_ROLL,2028,45970,,,'')&lt;/Q&gt;&lt;R&gt;0&lt;/R&gt;&lt;C&gt;0&lt;/C&gt;&lt;/FQL&gt;&lt;FQL&gt;&lt;Q&gt;CRWV^FE_ESTIMATE(TOTAL_RPO,MEAN,QUARTERLY_ROLL,2028/4F,45970,,,'')&lt;/Q&gt;&lt;R&gt;0&lt;/R&gt;&lt;C&gt;0&lt;/C&gt;&lt;/FQL&gt;&lt;FQL&gt;&lt;Q&gt;CRWV^FE_ESTIMATE(TOTAL_RPO,MEAN,QUARTERLY_ROLL,2028/3F,45970,,,'')&lt;/Q&gt;&lt;R&gt;0&lt;/R&gt;&lt;C&gt;0&lt;/C&gt;&lt;/FQL&gt;&lt;FQL&gt;&lt;Q&gt;CRWV^FE_ESTIMATE(TOTAL_RPO,MEAN,QUARTERLY_ROLL,2028/2F,45970,,,'')&lt;/Q&gt;&lt;R&gt;0&lt;/R&gt;&lt;C&gt;0&lt;/C&gt;&lt;/FQL&gt;&lt;FQL&gt;&lt;Q&gt;CRWV^FE_ESTIMATE(TOTAL_RPO,MEAN,QUARTERLY_ROLL,2028/1F,45970,,,'')&lt;/Q&gt;&lt;R&gt;0&lt;/R&gt;&lt;C&gt;0&lt;/C&gt;&lt;/FQL&gt;&lt;FQL&gt;&lt;Q&gt;CRWV^FE_ESTIMATE(TOTAL_RPO,MEAN,ANNUAL_ROLL,2027,45970,,,'')&lt;/Q&gt;&lt;R&gt;0&lt;/R&gt;&lt;C&gt;0&lt;/C&gt;&lt;/FQL&gt;&lt;FQL&gt;&lt;Q&gt;CRWV^FE_ESTIMATE(TOTAL_RPO,MEAN,QUARTERLY_ROLL,2027/4F,45970,,,'')&lt;/Q&gt;&lt;R&gt;0&lt;/R&gt;&lt;C&gt;0&lt;/C&gt;&lt;/FQL&gt;&lt;FQL&gt;&lt;Q&gt;CRWV^FE_ESTIMATE(TOTAL_RPO,MEAN,QUARTERLY_ROLL,2027/3F,45970,,,'')&lt;/Q&gt;&lt;R&gt;0&lt;/R&gt;&lt;C&gt;0&lt;/C&gt;&lt;/FQL&gt;&lt;FQL&gt;&lt;Q&gt;CRWV^FE_ESTIMATE(TOTAL_RPO,MEAN,QUARTERLY_ROLL,2027/2F,45970,,,'')&lt;/Q&gt;&lt;R&gt;0&lt;/R&gt;&lt;C&gt;0&lt;/C&gt;&lt;/FQL&gt;&lt;FQL&gt;&lt;Q&gt;CRWV^FE_ESTIMATE(TOTAL_RPO,MEAN,QUARTERLY_ROLL,2027/1F,45970,,,'')&lt;/Q&gt;&lt;R&gt;0&lt;/R&gt;&lt;C&gt;0&lt;/C&gt;&lt;/FQL&gt;&lt;FQL&gt;&lt;Q&gt;CRWV^FE_ESTIMATE(TOTAL_RPO,MEAN,ANNUAL_ROLL,2026,45970,,,'')&lt;/Q&gt;&lt;R&gt;0&lt;/R&gt;&lt;C&gt;0&lt;/C&gt;&lt;/FQL&gt;&lt;FQL&gt;&lt;Q&gt;CRWV^FE_ESTIMATE(TOTAL_RPO,MEAN,QUARTERLY_ROLL,2026/4F,45970,,,'')&lt;/Q&gt;&lt;R&gt;0&lt;/R&gt;&lt;C&gt;0&lt;/C&gt;&lt;/FQL&gt;&lt;FQL&gt;&lt;Q&gt;CRWV^FE_ESTIMATE(TOTAL_RPO,MEAN,QUARTERLY_ROLL,2026/3F,45970,,,'')&lt;/Q&gt;&lt;R&gt;0&lt;/R&gt;&lt;C&gt;0&lt;/C&gt;&lt;/FQL&gt;&lt;FQL&gt;&lt;Q&gt;CRWV^FE_ESTIMATE(TOTAL_RPO,MEAN,QUARTERLY_ROLL,2026/2F,45970,,,'')&lt;/Q&gt;&lt;R&gt;0&lt;/R&gt;&lt;C&gt;0&lt;/C&gt;&lt;/FQL&gt;&lt;FQL&gt;&lt;Q&gt;CRWV^FE_ESTIMATE(TOTAL_RPO,MEAN,QUARTERLY_ROLL,2026/1F,45970,,,'')&lt;/Q&gt;&lt;R&gt;0&lt;/R&gt;&lt;C&gt;0&lt;/C&gt;&lt;/FQL&gt;&lt;FQL&gt;&lt;Q&gt;CRWV^FE_ESTIMATE(TOTAL_RPO,MEAN,ANNUAL_ROLL,2025,45970,,,'')&lt;/Q&gt;&lt;R&gt;0&lt;/R&gt;&lt;C&gt;0&lt;/C&gt;&lt;/FQL&gt;&lt;FQL&gt;&lt;Q&gt;CRWV^FE_ESTIMATE(TOTAL_RPO,MEAN,QUARTERLY_ROLL,2025/4F,45970,,,'')&lt;/Q&gt;&lt;R&gt;0&lt;/R&gt;&lt;C&gt;0&lt;/C&gt;&lt;/FQL&gt;&lt;FQL&gt;&lt;Q&gt;CRWV^FE_ESTIMATE(TOTAL_RPO,MEAN,QUARTERLY_ROLL,2025/3F,45970,,,'')&lt;/Q&gt;&lt;R&gt;0&lt;/R&gt;&lt;C&gt;0&lt;/C&gt;&lt;/FQL&gt;&lt;FQL&gt;&lt;Q&gt;CRWV^FE_ESTIMATE(TOTAL_RPO,MEAN,QUARTERLY_ROLL,2025/2F,45970,,,'')&lt;/Q&gt;&lt;R&gt;0&lt;/R&gt;&lt;C&gt;0&lt;/C&gt;&lt;/FQL&gt;&lt;FQL&gt;&lt;Q&gt;CRWV^FE_ESTIMATE(TOTAL_RPO,MEAN,QUARTERLY_ROLL,2025/1F,45970,,,'')&lt;/Q&gt;&lt;R&gt;0&lt;/R&gt;&lt;C&gt;0&lt;/C&gt;&lt;/FQL&gt;&lt;FQL&gt;&lt;Q&gt;CRWV^FE_ESTIMATE(TOTAL_RPO,MEAN,ANNUAL_ROLL,2024,45970,,,'')&lt;/Q&gt;&lt;R&gt;1&lt;/R&gt;&lt;C&gt;1&lt;/C&gt;&lt;D xsi:type="xsd:double"&gt;15100&lt;/D&gt;&lt;/FQL&gt;&lt;FQL&gt;&lt;Q&gt;CRWV^FE_ESTIMATE(TOTAL_RPO,MEAN,QUARTERLY_ROLL,2024/4F,45970,,,'')&lt;/Q&gt;&lt;R&gt;1&lt;/R&gt;&lt;C&gt;1&lt;/C&gt;&lt;D xsi:type="xsd:double"&gt;15100&lt;/D&gt;&lt;/FQL&gt;&lt;FQL&gt;&lt;Q&gt;CRWV^FE_ESTIMATE(TOTAL_RPO,MEAN,QUARTERLY_ROLL,2024/3F,45970,,,'')&lt;/Q&gt;&lt;R&gt;0&lt;/R&gt;&lt;C&gt;0&lt;/C&gt;&lt;/FQL&gt;&lt;FQL&gt;&lt;Q&gt;CRWV^FE_ESTIMATE(TOTAL_RPO,MEAN,QUARTERLY_ROLL,2024/2F,45970,,,'')&lt;/Q&gt;&lt;R&gt;0&lt;/R&gt;&lt;C&gt;0&lt;/C&gt;&lt;/FQL&gt;&lt;FQL&gt;&lt;Q&gt;CRWV^FE_ESTIMATE(TOTAL_RPO,MEAN,QUARTERLY_ROLL,2024/1F,45970,,,'')&lt;/Q&gt;&lt;R&gt;0&lt;/R&gt;&lt;C&gt;0&lt;/C&gt;&lt;/FQL&gt;&lt;FQL&gt;&lt;Q&gt;CRWV^FE_ESTIMATE(TOTAL_RPO,MEAN,ANNUAL_ROLL,2023,45970,,,'')&lt;/Q&gt;&lt;R&gt;0&lt;/R&gt;&lt;C&gt;0&lt;/C&gt;&lt;/FQL&gt;&lt;FQL&gt;&lt;Q&gt;CRWV^FE_ESTIMATE(TOTAL_RPO,MEAN,QUARTERLY_ROLL,2023/4F,45970,,,'')&lt;/Q&gt;&lt;R&gt;0&lt;/R&gt;&lt;C&gt;0&lt;/C&gt;&lt;/FQL&gt;&lt;FQL&gt;&lt;Q&gt;CRWV^FE_ESTIMATE(TOTAL_RPO,MEAN,QUARTERLY_ROLL,2023/3F,45970,,,'')&lt;/Q&gt;&lt;R&gt;0&lt;/R&gt;&lt;C&gt;0&lt;/C&gt;&lt;/FQL&gt;&lt;FQL&gt;&lt;Q&gt;CRWV^FE_ESTIMATE(TOTAL_RPO,MEAN,QUARTERLY_ROLL,2023/2F,45970,,,'')&lt;/Q&gt;&lt;R&gt;0&lt;/R&gt;&lt;C&gt;0&lt;/C&gt;&lt;/FQL&gt;&lt;FQL&gt;&lt;Q&gt;CRWV^FE_ESTIMATE(TOTAL_RPO,MEAN,QUARTERLY_ROLL,2023/1F,45970,,,'')&lt;/Q&gt;&lt;R&gt;0&lt;/R&gt;&lt;C&gt;0&lt;/C&gt;&lt;/FQL&gt;&lt;FQL&gt;&lt;Q&gt;CRWV^FE_ESTIMATE(TOTAL_RPO,MEAN,ANNUAL_ROLL,2022,45970,,,'')&lt;/Q&gt;&lt;R&gt;0&lt;/R&gt;&lt;C&gt;0&lt;/C&gt;&lt;/FQL&gt;&lt;FQL&gt;&lt;Q&gt;CRWV^FE_ESTIMATE(TOTAL_RPO,MEAN,QUARTERLY_ROLL,2022/4F,45970,,,'')&lt;/Q&gt;&lt;R&gt;0&lt;/R&gt;&lt;C&gt;0&lt;/C&gt;&lt;/FQL&gt;&lt;FQL&gt;&lt;Q&gt;CRWV^FE_ESTIMATE(TOTAL_RPO,MEAN,QUARTERLY_ROLL,2022/3F,45970,,,'')&lt;/Q&gt;&lt;R&gt;0&lt;/R&gt;&lt;C&gt;0&lt;/C&gt;&lt;/FQL&gt;&lt;FQL&gt;&lt;Q&gt;CRWV^FE_ESTIMATE(TOTAL_RPO,MEAN,QUARTERLY_ROLL,2022/2F,45970,,,'')&lt;/Q&gt;&lt;R&gt;0&lt;/R&gt;&lt;C&gt;0&lt;/C&gt;&lt;/FQL&gt;&lt;FQL&gt;&lt;Q&gt;CRWV^FE_ESTIMATE(TOTAL_RPO,MEAN,QUARTERLY_ROLL,2022/1F,45970,,,'')&lt;/Q&gt;&lt;R&gt;0&lt;/R&gt;&lt;C&gt;0&lt;/C&gt;&lt;/FQL&gt;&lt;FQL&gt;&lt;Q&gt;CRWV^FE_ESTIMATE(ARR,MEAN,ANNUAL_ROLL,2029,45970,,,'')&lt;/Q&gt;&lt;R&gt;0&lt;/R&gt;&lt;C&gt;0&lt;/C&gt;&lt;/FQL&gt;&lt;FQL&gt;&lt;Q&gt;CRWV^FE_ESTIMATE(ARR,MEAN,QUARTERLY_ROLL,2029/4F,45970,,,'')&lt;/Q&gt;&lt;R&gt;0&lt;/R&gt;&lt;C&gt;0&lt;/C&gt;&lt;/FQL&gt;&lt;FQL&gt;&lt;Q&gt;CRWV^FE_ESTIMATE(ARR,MEAN,QUARTERLY_ROLL,2029/3F,45970,,,'')&lt;/Q&gt;&lt;R&gt;0&lt;/R&gt;&lt;C&gt;0&lt;/C&gt;&lt;/FQL&gt;&lt;FQL&gt;&lt;Q&gt;CRWV^FE_ESTIMATE(ARR,MEAN,QUARTERLY_ROLL,2029/2F,45970,,,'')&lt;/Q&gt;&lt;R&gt;0&lt;/R&gt;&lt;C&gt;0&lt;/C&gt;&lt;/FQL&gt;&lt;FQL&gt;&lt;Q&gt;CRWV^FE_ESTIMATE(ARR,MEAN,QUARTERLY_ROLL,2029/1F,45970,,,'')&lt;/Q&gt;&lt;R&gt;0&lt;/R&gt;&lt;C&gt;0&lt;/C&gt;&lt;/FQL&gt;&lt;FQL&gt;&lt;Q&gt;CRWV^FE_ESTIMATE(ARR,MEAN,ANNUAL_ROLL,2028,45970,,,'')&lt;/Q&gt;&lt;R&gt;1&lt;/R&gt;&lt;C&gt;1&lt;/C&gt;&lt;D xsi:type="xsd:double"&gt;26577&lt;/D&gt;&lt;/FQL&gt;&lt;FQL&gt;&lt;Q&gt;CRWV^FE_ESTIMATE(ARR,MEAN,QUARTERLY_ROLL,2028/4F,45970,,,'')&lt;/Q&gt;&lt;R&gt;0&lt;/R&gt;&lt;C&gt;0&lt;/C&gt;&lt;/FQL&gt;&lt;FQL&gt;&lt;Q&gt;CRWV^FE_ESTIMATE(ARR,MEAN,QUARTERLY_ROLL,2028/3F,45970,,,'')&lt;/Q&gt;&lt;R&gt;0&lt;/R&gt;&lt;C&gt;0&lt;/C&gt;&lt;/FQL&gt;&lt;FQL&gt;&lt;Q&gt;CRWV^FE_ESTIMATE(ARR,MEAN,QUARTERLY_ROLL,2028/2F,45970,,,'')&lt;/Q&gt;&lt;R&gt;0&lt;/R&gt;&lt;C&gt;0&lt;/C&gt;&lt;/FQL&gt;&lt;FQL&gt;&lt;Q&gt;CRWV^FE_ESTIMATE(ARR,MEAN,QUARTERLY_ROLL,2028/1F,45970,,,'')&lt;/Q&gt;&lt;R&gt;0&lt;/R&gt;&lt;C&gt;0&lt;/C&gt;&lt;/FQL&gt;&lt;FQL&gt;&lt;Q&gt;CRWV^FE_ESTIMATE(ARR,MEAN,ANNUAL_ROLL,2027,45970,,,'')&lt;/Q&gt;&lt;R&gt;1&lt;/R&gt;&lt;C&gt;1&lt;/C&gt;&lt;D xsi:type="xsd:double"&gt;20677&lt;/D&gt;&lt;/FQL&gt;&lt;FQL&gt;&lt;Q&gt;CRWV^FE_ESTIMATE(ARR,MEAN,QUARTERLY_ROLL,2027/4F,45970,,,'')&lt;/Q&gt;&lt;R&gt;0&lt;/R&gt;&lt;C&gt;0&lt;/C&gt;&lt;/FQL&gt;&lt;FQL&gt;&lt;Q&gt;CRWV^FE_ESTIMATE(ARR,MEAN,QUARTERLY_ROLL,2027/3F,45970,,,'')&lt;/Q&gt;&lt;R&gt;0&lt;/R&gt;&lt;C&gt;0&lt;/C&gt;&lt;/FQL&gt;&lt;FQL&gt;&lt;Q&gt;CRWV^FE_ESTIMATE(ARR,MEAN,QUARTERLY_ROLL,2027/2F,45970,,,'')&lt;/Q&gt;&lt;R&gt;0&lt;/R&gt;&lt;C&gt;0&lt;/C&gt;&lt;/FQL&gt;&lt;FQL&gt;&lt;Q&gt;CRWV^FE_ESTIMATE(ARR,MEAN,QUARTERLY_ROLL,2027/1F,45970,,,'')&lt;/Q&gt;&lt;R&gt;0&lt;/R&gt;&lt;C&gt;0&lt;/C&gt;&lt;/FQL&gt;&lt;FQL&gt;&lt;Q&gt;CRWV^FE_ESTIMATE(ARR,MEAN,ANNUAL_ROLL,2026,45970,,,'')&lt;/Q&gt;&lt;R&gt;1&lt;/R&gt;&lt;C&gt;1&lt;/C&gt;&lt;D xsi:type="xsd:double"&gt;14401&lt;/D&gt;&lt;/FQL&gt;&lt;FQL&gt;&lt;Q&gt;CRWV^FE_ESTIMATE(ARR,MEAN,QUARTERLY_ROLL,2026/4F,45970,,,'')&lt;/Q&gt;&lt;R&gt;1&lt;/R&gt;&lt;C&gt;1&lt;/C&gt;&lt;D xsi:type="xsd:double"&gt;14401&lt;/D&gt;&lt;/FQL&gt;&lt;FQL&gt;&lt;Q&gt;CRWV^FE_ESTIMATE(ARR,MEAN,QUARTERLY_ROLL,2026/3F,45970,,,'')&lt;/Q&gt;&lt;R&gt;1&lt;/R&gt;&lt;C&gt;1&lt;/C&gt;&lt;D xsi:type="xsd:double"&gt;13196&lt;/D&gt;&lt;/FQL&gt;&lt;FQL&gt;&lt;Q&gt;CRWV^FE_ESTIMATE(ARR,MEAN,QUARTERLY_ROLL,2026/2F,45970,,,'')&lt;/Q&gt;&lt;R&gt;1&lt;/R&gt;&lt;C&gt;1&lt;/C&gt;&lt;D xsi:type="xsd:double"&gt;11639&lt;/D&gt;&lt;/FQL&gt;&lt;FQL&gt;&lt;Q&gt;CRWV^FE_ESTIMATE(ARR,MEAN,QUARTERLY_ROLL,2026/1F,45970,,,'')&lt;/Q&gt;&lt;R&gt;1&lt;/R&gt;&lt;C&gt;1&lt;/C&gt;&lt;D xsi:type="xsd:double"&gt;9853&lt;/D&gt;&lt;/FQL&gt;&lt;FQL&gt;&lt;Q&gt;CRWV^FE_ESTIMATE(ARR,MEAN,ANNUAL_ROLL,2025,45970,,,'')&lt;/Q&gt;&lt;R&gt;1&lt;/R&gt;&lt;C&gt;1&lt;/C&gt;&lt;D xsi:type="xsd:double"&gt;7101&lt;/D&gt;&lt;/FQL&gt;&lt;FQL&gt;&lt;Q&gt;CRWV^FE_ESTIMATE(ARR,MEAN,QUARTERLY_ROLL,2025/4F,45970,,,'')&lt;/Q&gt;&lt;R&gt;1&lt;/R&gt;&lt;C&gt;1&lt;/C&gt;&lt;D xsi:type="xsd:double"&gt;7101&lt;/D&gt;&lt;/FQL&gt;&lt;FQL&gt;&lt;Q&gt;CRWV^FE_ESTIMATE(ARR,MEAN,QUARTERLY_ROLL,2025/3F,45970,,,'')&lt;/Q&gt;&lt;R&gt;1&lt;/R&gt;&lt;C&gt;1&lt;/C&gt;&lt;D xsi:type="xsd:double"&gt;5121&lt;/D&gt;&lt;/FQL&gt;&lt;FQL&gt;&lt;Q&gt;CRWV^FE_ESTIMATE(ARR,MEAN,QUARTERLY_ROLL,2025/2F,45970,,,'')&lt;/Q&gt;&lt;R&gt;1&lt;/R&gt;&lt;C&gt;1&lt;/C&gt;&lt;D xsi:type="xsd:double"&gt;4851&lt;/D&gt;&lt;/FQL&gt;&lt;FQL&gt;&lt;Q&gt;CRWV^FE_ESTIMATE(ARR,MEAN,QUARTERLY_ROLL,2025/1F,45970,,,'')&lt;/Q&gt;&lt;R&gt;0&lt;/R&gt;&lt;C&gt;0&lt;/C&gt;&lt;/FQL&gt;&lt;FQL&gt;&lt;Q&gt;CRWV^FE_ESTIMATE(ARR,MEAN,ANNUAL_ROLL,2024,45970,,,'')&lt;/Q&gt;&lt;R&gt;1&lt;/R&gt;&lt;C&gt;1&lt;/C&gt;&lt;D xsi:type="xsd:double"&gt;3000&lt;/D&gt;&lt;/FQL&gt;&lt;FQL&gt;&lt;Q&gt;CRWV^FE_ESTIMATE(ARR,MEAN,QUARTERLY_ROLL,2024/4F,45970,,,'')&lt;/Q&gt;&lt;R&gt;0&lt;/R&gt;&lt;C&gt;0&lt;/C&gt;&lt;/FQL&gt;&lt;FQL&gt;&lt;Q&gt;CRWV^FE_ESTIMATE(ARR,MEAN,QUARTERLY_ROLL,2024/3F,45970,,,'')&lt;/Q&gt;&lt;R&gt;0&lt;/R&gt;&lt;C&gt;0&lt;/C&gt;&lt;/FQL&gt;&lt;FQL&gt;&lt;Q&gt;CRWV^FE_ESTIMATE(ARR,MEAN,QUARTERLY_ROLL,2024/2F,45970,,,'')&lt;/Q&gt;&lt;R&gt;0&lt;/R&gt;&lt;C&gt;0&lt;/C&gt;&lt;/FQL&gt;&lt;FQL&gt;&lt;Q&gt;CRWV^FE_ESTIMATE(ARR,MEAN,QUARTERLY_ROLL,2024/1F,45970,,,'')&lt;/Q&gt;&lt;R&gt;0&lt;/R&gt;&lt;C&gt;0&lt;/C&gt;&lt;/FQL&gt;&lt;FQL&gt;&lt;Q&gt;CRWV^FE_ESTIMATE(ARR,MEAN,ANNUAL_ROLL,2023,45970,,,'')&lt;/Q&gt;&lt;R&gt;0&lt;/R&gt;&lt;C&gt;0&lt;/C&gt;&lt;/FQL&gt;&lt;FQL&gt;&lt;Q&gt;CRWV^FE_ESTIMATE(ARR,MEAN,QUARTERLY_ROLL,2023/4F,45970,,,'')&lt;/Q&gt;&lt;R&gt;0&lt;/R&gt;&lt;C&gt;0&lt;/C&gt;&lt;/FQL&gt;&lt;FQL&gt;&lt;Q&gt;CRWV^FE_ESTIMATE(ARR,MEAN,QUARTERLY_ROLL,2023/3F,45970,,,'')&lt;/Q&gt;&lt;R&gt;0&lt;/R&gt;&lt;C&gt;0&lt;/C&gt;&lt;/FQL&gt;&lt;FQL&gt;&lt;Q&gt;CRWV^FE_ESTIMATE(ARR,MEAN,QUARTERLY_ROLL,2023/2F,45970,,,'')&lt;/Q&gt;&lt;R&gt;0&lt;/R&gt;&lt;C&gt;0&lt;/C&gt;&lt;/FQL&gt;&lt;FQL&gt;&lt;Q&gt;CRWV^FE_ESTIMATE(ARR,MEAN,QUARTERLY_ROLL,2023/1F,45970,,,'')&lt;/Q&gt;&lt;R&gt;0&lt;/R&gt;&lt;C&gt;0&lt;/C&gt;&lt;/FQL&gt;&lt;FQL&gt;&lt;Q&gt;CRWV^FE_ESTIMATE(ARR,MEAN,ANNUAL_ROLL,2022,45970,,,'')&lt;/Q&gt;&lt;R&gt;0&lt;/R&gt;&lt;C&gt;0&lt;/C&gt;&lt;/FQL&gt;&lt;FQL&gt;&lt;Q&gt;CRWV^FE_ESTIMATE(ARR,MEAN,QUARTERLY_ROLL,2022/4F,45970,,,'')&lt;/Q&gt;&lt;R&gt;0&lt;/R&gt;&lt;C&gt;0&lt;/C&gt;&lt;/FQL&gt;&lt;FQL&gt;&lt;Q&gt;CRWV^FE_ESTIMATE(ARR,MEAN,QUARTERLY_ROLL,2022/3F,45970,,,'')&lt;/Q&gt;&lt;R&gt;0&lt;/R&gt;&lt;C&gt;0&lt;/C&gt;&lt;/FQL&gt;&lt;FQL&gt;&lt;Q&gt;CRWV^FE_ESTIMATE(ARR,MEAN,QUARTERLY_ROLL,2022/2F,45970,,,'')&lt;/Q&gt;&lt;R&gt;0&lt;/R&gt;&lt;C&gt;0&lt;/C&gt;&lt;/FQL&gt;&lt;FQL&gt;&lt;Q&gt;CRWV^FE_ESTIMATE(ARR,MEAN,QUARTERLY_ROLL,2022/1F,45970,,,'')&lt;/Q&gt;&lt;R&gt;0&lt;/R&gt;&lt;C&gt;0&lt;/C&gt;&lt;/FQL&gt;&lt;FQL&gt;&lt;Q&gt;CRWV^FE_ESTIMATE(NEW_ORDERS_VALUE,MEAN,ANNUAL_ROLL,2029,45970,,,'')&lt;/Q&gt;&lt;R&gt;0&lt;/R&gt;&lt;C&gt;0&lt;/C&gt;&lt;/FQL&gt;&lt;FQL&gt;&lt;Q&gt;CRWV^FE_ESTIMATE(NEW_ORDERS_VALUE,MEAN,QUARTERLY_ROLL,2029/4F,45970,,,'')&lt;/Q&gt;&lt;R&gt;0&lt;/R&gt;&lt;C&gt;0&lt;/C&gt;&lt;/FQL&gt;&lt;FQL&gt;&lt;Q&gt;CRWV^FE_ESTIMATE(NEW_ORDERS_VALUE,MEAN,QUARTERLY_ROLL,2029/3F,45970,,,'')&lt;/Q&gt;&lt;R&gt;0&lt;/R&gt;&lt;C&gt;0&lt;/C&gt;&lt;/FQL&gt;&lt;FQL&gt;&lt;Q&gt;CRWV^FE_ESTIMATE(NEW_ORDERS_VALUE,MEAN,QUARTERLY_ROLL,2029/2F,45970,,,'')&lt;/Q&gt;&lt;R&gt;0&lt;/R&gt;&lt;C&gt;0&lt;/C&gt;&lt;/FQL&gt;&lt;FQL&gt;&lt;Q&gt;CRWV^FE_ESTIMATE(NEW_ORDERS_VALUE,MEAN,QUARTERLY_ROLL,2029/1F,45970,,,'')&lt;/Q&gt;&lt;R&gt;0&lt;/R&gt;&lt;C&gt;0&lt;/C&gt;&lt;/FQL&gt;&lt;FQL&gt;&lt;Q&gt;CRWV^FE_ESTIMATE(NEW_ORDERS_VALUE,MEAN,ANNUAL_ROLL,2028,45970,,,'')&lt;/Q&gt;&lt;R&gt;0&lt;/R&gt;&lt;C&gt;0&lt;/C&gt;&lt;/FQL&gt;&lt;FQL&gt;&lt;Q&gt;CRWV^FE_ESTIMATE(NEW_ORDERS_VALUE,MEAN,QUARTERLY_ROLL,2028/4F,45970,,,'')&lt;/Q&gt;&lt;R&gt;0&lt;/R&gt;&lt;C&gt;0&lt;/C&gt;&lt;/FQL&gt;&lt;FQL&gt;&lt;Q&gt;CRWV^FE_ESTIMATE(NEW_ORDERS_VALUE,MEAN,QUARTERLY_ROLL,2028/3F,45970,,,'')&lt;/Q&gt;&lt;R&gt;0&lt;/R&gt;&lt;C&gt;0&lt;/C&gt;&lt;/FQL&gt;&lt;FQL&gt;&lt;Q&gt;CRWV^FE_ESTIMATE(NEW_ORDERS_VALUE,MEAN,QUARTERLY_ROLL,2028/2F,45970,,,'')&lt;/Q&gt;&lt;R&gt;0&lt;/R&gt;&lt;C&gt;0&lt;/C&gt;&lt;/FQL&gt;&lt;FQL&gt;&lt;Q&gt;CRWV^FE_ESTIMATE(NEW_ORDERS_VALUE,MEAN,QUARTERLY_ROLL,2028/1F,45970,,,'')&lt;/Q&gt;&lt;R&gt;0&lt;/R&gt;&lt;C&gt;0&lt;/C&gt;&lt;/FQL&gt;&lt;FQL&gt;&lt;Q&gt;CRWV^FE_ESTIMATE(NEW_ORDERS_VALUE,MEAN,ANNUAL_ROLL,2027,45970,,,'')&lt;/Q&gt;&lt;R&gt;0&lt;/R&gt;&lt;C&gt;0&lt;/C&gt;&lt;/FQL&gt;&lt;FQL&gt;&lt;Q&gt;CRWV^FE_ESTIMATE(NEW_ORDERS_VALUE,MEAN,QUARTERLY_ROLL,2027/4F,45970,,,'')&lt;/Q&gt;&lt;R&gt;0&lt;/R&gt;&lt;C&gt;0&lt;/C&gt;&lt;/FQL&gt;&lt;FQL&gt;&lt;Q&gt;CRWV^FE_ESTIMATE(NEW_ORDERS_VALUE,MEAN,QUARTERLY_ROLL,2027/3F,45970,,,'')&lt;/Q&gt;&lt;R&gt;0&lt;/R&gt;&lt;C&gt;0&lt;/C&gt;&lt;/FQL&gt;&lt;FQL&gt;&lt;Q&gt;CRWV^FE_ESTIMATE(NEW_ORDERS_VALUE,MEAN,QUARTERLY_ROLL,2027/2F,45970,,,'')&lt;/Q&gt;&lt;R&gt;0&lt;/R&gt;&lt;C&gt;0&lt;/C&gt;&lt;/FQL&gt;&lt;FQL&gt;&lt;Q&gt;CRWV^FE_ESTIMATE(NEW_ORDERS_VALUE,MEAN,QUARTERLY_ROLL,2027/1F,45970,,,'')&lt;/Q&gt;&lt;R&gt;0&lt;/R&gt;&lt;C&gt;0&lt;/C&gt;&lt;/FQL&gt;&lt;FQL&gt;&lt;Q&gt;CRWV^FE_ESTIMATE(NEW_ORDERS_VALUE,MEAN,ANNUAL_ROLL,2026,45970,,,'')&lt;/Q&gt;&lt;R&gt;0&lt;/R&gt;&lt;C&gt;0&lt;/C&gt;&lt;/FQL&gt;&lt;FQL&gt;&lt;Q&gt;CRWV^FE_ESTIMATE(NEW_ORDERS_VALUE,MEAN,QUARTERLY_ROLL,2026/4F,45970,,,'')&lt;/Q&gt;&lt;R&gt;0&lt;/R&gt;&lt;C&gt;0&lt;/C&gt;&lt;/FQL&gt;&lt;FQL&gt;&lt;Q&gt;CRWV^FE_ESTIMATE(NEW_ORDERS_VALUE,MEAN,QUARTERLY_ROLL,2026/3F,45970,,,'')&lt;/Q&gt;&lt;R&gt;0&lt;/R&gt;&lt;C&gt;0&lt;/C&gt;&lt;/FQL&gt;&lt;FQL&gt;&lt;Q&gt;CRWV^FE_ESTIMATE(NEW_ORDERS_VALUE,MEAN,QUARTERLY_ROLL,2026/2F,45970,,,'')&lt;/Q&gt;&lt;R&gt;0&lt;/R&gt;&lt;C&gt;0&lt;/C&gt;&lt;/FQL&gt;&lt;FQL&gt;&lt;Q&gt;CRWV^FE_ESTIMATE(NEW_ORDERS_VALUE,MEAN,QUARTERLY_ROLL,2026/1F,45970,,,'')&lt;/Q&gt;&lt;R&gt;0&lt;/R&gt;&lt;C&gt;0&lt;/C&gt;&lt;/FQL&gt;&lt;FQL&gt;&lt;Q&gt;CRWV^FE_ESTIMATE(NEW_ORDERS_VALUE,MEAN,ANNUAL_ROLL,2025,45970,,,'')&lt;/Q&gt;&lt;R&gt;0&lt;/R&gt;&lt;C&gt;0&lt;/C&gt;&lt;/FQL&gt;&lt;FQL&gt;&lt;Q&gt;CRWV^FE_ESTIMATE(NEW_ORDERS_VALUE,MEAN,QUARTERLY_ROLL,2025/4F,45970,,,'')&lt;/Q&gt;&lt;R&gt;0&lt;/R&gt;&lt;C&gt;0&lt;/C&gt;&lt;/FQL&gt;&lt;FQL&gt;&lt;Q&gt;CRWV^FE_ESTIMATE(NEW_ORDERS_VALUE,MEAN,QUARTERLY_ROLL,2025/3F,45970,,,'')&lt;/Q&gt;&lt;R&gt;0&lt;/R&gt;&lt;C&gt;0&lt;/C&gt;&lt;/FQL&gt;&lt;FQL&gt;&lt;Q&gt;CRWV^FE_ESTIMATE(NEW_ORDERS_VALUE,MEAN,QUARTERLY_ROLL,2025/2F,45970,,,'')&lt;/Q&gt;&lt;R&gt;0&lt;/R&gt;&lt;C&gt;0&lt;/C&gt;&lt;/FQL&gt;&lt;FQL&gt;&lt;Q&gt;CRWV^FE_ESTIMATE(NEW_ORDERS_VALUE,MEAN,QUARTERLY_ROLL,2025/1F,45970,,,'')&lt;/Q&gt;&lt;R&gt;0&lt;/R&gt;&lt;C&gt;0&lt;/C&gt;&lt;/FQL&gt;&lt;FQL&gt;&lt;Q&gt;CRWV^FE_ESTIMATE(NEW_ORDERS_VALUE,MEAN,ANNUAL_ROLL,2024,45970,,,'')&lt;/Q&gt;&lt;R&gt;0&lt;/R&gt;&lt;C&gt;0&lt;/C&gt;&lt;/FQL&gt;&lt;FQL&gt;&lt;Q&gt;CRWV^FE_ESTIMATE(NEW_ORDERS_VALUE,MEAN,QUARTERLY_ROLL,2024/4F,45970,,,'')&lt;/Q&gt;&lt;R&gt;1&lt;/R&gt;&lt;C&gt;1&lt;/C&gt;&lt;D xsi:type="xsd:double"&gt;382&lt;/D&gt;&lt;/FQL&gt;&lt;FQL&gt;&lt;Q&gt;CRWV^FE_ESTIMATE(NEW_ORDERS_VALUE,MEAN,QUARTERLY_ROLL,2024/3F,45970,,,'')&lt;/Q&gt;&lt;R&gt;0&lt;/R&gt;&lt;C&gt;0&lt;/C&gt;&lt;/FQL&gt;&lt;FQL&gt;&lt;Q&gt;CRWV^FE_ESTIMATE(NEW_ORDERS_VALUE,MEAN,QUARTERLY_ROLL,2024/2F,45970,,,'')&lt;/Q&gt;&lt;R&gt;0&lt;/R&gt;&lt;C&gt;0&lt;/C&gt;&lt;/FQL&gt;&lt;FQL&gt;&lt;Q&gt;CRWV^FE_ESTIMATE(NEW_ORDERS_VALUE,MEAN,QUARTERLY_ROLL,2024/1F,45970,,,'')&lt;/Q&gt;&lt;R&gt;0&lt;/R&gt;&lt;C&gt;0&lt;/C&gt;&lt;/FQL&gt;&lt;FQL&gt;&lt;Q&gt;CRWV^FE_ESTIMATE(NEW_ORDERS_VALUE,MEAN,ANNUAL_ROLL,2023,45970,,,'')&lt;/Q&gt;&lt;R&gt;0&lt;/R&gt;&lt;C&gt;0&lt;/C&gt;&lt;/FQL&gt;&lt;FQL&gt;&lt;Q&gt;CRWV^FE_ESTIMATE(NEW_ORDERS_VALUE,MEAN,QUARTERLY_ROLL,2023/4F,45970,,,'')&lt;/Q&gt;&lt;R&gt;0&lt;/R&gt;&lt;C&gt;0&lt;/C&gt;&lt;/FQL&gt;&lt;FQL&gt;&lt;Q&gt;CRWV^FE_ESTIMATE(NEW_ORDERS_VALUE,MEAN,QUARTERLY_ROLL,2023/3F,45970,,,'')&lt;/Q&gt;&lt;R&gt;0&lt;/R&gt;&lt;C&gt;0&lt;/C&gt;&lt;/FQL&gt;&lt;FQL&gt;&lt;Q&gt;CRWV^FE_ESTIMATE(NEW_ORDERS_VALUE,MEAN,QUARTERLY_ROLL,2023/2F,45970,,,'')&lt;/Q&gt;&lt;R&gt;0&lt;/R&gt;&lt;C&gt;0&lt;/C&gt;&lt;/FQL&gt;&lt;FQL&gt;&lt;Q&gt;CRWV^FE_ESTIMATE(NEW_ORDERS_VALUE,MEAN,QUARTERLY_ROLL,2023/1F,45970,,,'')&lt;/Q&gt;&lt;R&gt;0&lt;/R&gt;&lt;C&gt;0&lt;/C&gt;&lt;/FQL&gt;&lt;FQL&gt;&lt;Q&gt;CRWV^FE_ESTIMATE(NEW_ORDERS_VALUE,MEAN,ANNUAL_ROLL,2022,45970,,,'')&lt;/Q&gt;&lt;R&gt;0&lt;/R&gt;&lt;C&gt;0&lt;/C&gt;&lt;/FQL&gt;&lt;FQL&gt;&lt;Q&gt;CRWV^FE_ESTIMATE(NEW_ORDERS_VALUE,MEAN,QUARTERLY_ROLL,2022/4F,45970,,,'')&lt;/Q&gt;&lt;R&gt;0&lt;/R&gt;&lt;C&gt;0&lt;/C&gt;&lt;/FQL&gt;&lt;FQL&gt;&lt;Q&gt;CRWV^FE_ESTIMATE(NEW_ORDERS_VALUE,MEAN,QUARTERLY_ROLL,2022/3F,45970,,,'')&lt;/Q&gt;&lt;R&gt;0&lt;/R&gt;&lt;C&gt;0&lt;/C&gt;&lt;/FQL&gt;&lt;FQL&gt;&lt;Q&gt;CRWV^FE_ESTIMATE(NEW_ORDERS_VALUE,MEAN,QUARTERLY_ROLL,2022/2F,45970,,,'')&lt;/Q&gt;&lt;R&gt;0&lt;/R&gt;&lt;C&gt;0&lt;/C&gt;&lt;/FQL&gt;&lt;FQL&gt;&lt;Q&gt;CRWV^FE_ESTIMATE(NEW_ORDERS_VALUE,MEAN,QUARTERLY_ROLL,2022/1F,45970,,,'')&lt;/Q&gt;&lt;R&gt;0&lt;/R&gt;&lt;C&gt;0&lt;/C&gt;&lt;/FQL&gt;&lt;FQL&gt;&lt;Q&gt;CRWV^FE_ESTIMATE(TOTALDEBT,MEAN,ANNUAL_ROLL,2029,45970,,,'')&lt;/Q&gt;&lt;R&gt;1&lt;/R&gt;&lt;C&gt;1&lt;/C&gt;&lt;D xsi:type="xsd:double"&gt;42499.4&lt;/D&gt;&lt;/FQL&gt;&lt;FQL&gt;&lt;Q&gt;CRWV^FE_ESTIMATE(TOTALDEBT,MEAN,QUARTERLY_ROLL,2029/4F,45970,,,'')&lt;/Q&gt;&lt;R&gt;0&lt;/R&gt;&lt;C&gt;0&lt;/C&gt;&lt;/FQL&gt;&lt;FQL&gt;&lt;Q&gt;CRWV^FE_ESTIMATE(TOTALDEBT,MEAN,QUARTERLY_ROLL,2029/3F,45970,,,'')&lt;/Q&gt;&lt;R&gt;0&lt;/R&gt;&lt;C&gt;0&lt;/C&gt;&lt;/FQL&gt;&lt;FQL&gt;&lt;Q&gt;CRWV^FE_ESTIMATE(TOTALDEBT,MEAN,QUARTERLY_ROLL,2029/2F,45970,,,'')&lt;/Q&gt;&lt;R&gt;0&lt;/R&gt;&lt;C&gt;0&lt;/C&gt;&lt;/FQL&gt;&lt;FQL&gt;&lt;Q&gt;CRWV^FE_ESTIMATE(TOTALDEBT,MEAN,QUARTERLY_ROLL,2029/1F,45970,,,'')&lt;/Q&gt;&lt;R&gt;0&lt;/R&gt;&lt;C&gt;0&lt;/C&gt;&lt;/FQL&gt;&lt;FQL&gt;&lt;Q&gt;CRWV^FE_ESTIMATE(TOTALDEBT,MEAN,ANNUAL_ROLL,2028,45970,,,'')&lt;/Q&gt;&lt;R&gt;1&lt;/R&gt;&lt;C&gt;1&lt;/C&gt;&lt;D xsi:type="xsd:double"&gt;42425.3&lt;/D&gt;&lt;/FQL&gt;&lt;FQL&gt;&lt;Q&gt;CRWV^FE_ESTIMATE(TOTALDEBT,MEAN,QUARTERLY_ROLL,2028/4F,45970,,,'')&lt;/Q&gt;&lt;R&gt;0&lt;/R&gt;&lt;C&gt;0&lt;/C&gt;&lt;/FQL&gt;&lt;FQL&gt;&lt;Q&gt;CRWV^FE_ESTIMATE(TOTALDEBT,MEAN,QUARTERLY_ROLL,2028/3F,45970,,,'')&lt;/Q&gt;&lt;R&gt;0&lt;/R&gt;&lt;C&gt;0&lt;/C&gt;&lt;/FQL&gt;&lt;FQL&gt;&lt;Q&gt;CRWV^FE_ESTIMATE(TOTALDEBT,MEAN,QUARTERLY_ROLL,2028/2F,45970,,,'')&lt;/Q&gt;&lt;R&gt;0&lt;/R&gt;&lt;C&gt;0&lt;/C&gt;&lt;/FQL&gt;&lt;FQL&gt;&lt;Q&gt;CRWV^FE_ESTIMATE(TOTALDEBT,MEAN,QUARTERLY_ROLL,2028/1F,45970,,,'')&lt;/Q&gt;&lt;R&gt;0&lt;/R&gt;&lt;C&gt;0&lt;/C&gt;&lt;/FQL&gt;&lt;FQL&gt;&lt;Q&gt;CRWV^FE_ESTIMATE(TOTALDEBT,MEAN,ANNUAL_ROLL,2027,45970,,,'')&lt;/Q&gt;&lt;R&gt;1&lt;/R&gt;&lt;C&gt;1&lt;/C&gt;&lt;D xsi:type="xsd:double"&gt;38028.918&lt;/D&gt;&lt;/FQL&gt;&lt;FQL&gt;&lt;Q&gt;CRWV^FE_ESTIMATE(TOTALDEBT,MEAN,QUARTERLY_ROLL,2027/4F,45970,,,'')&lt;/Q&gt;&lt;R&gt;0&lt;/R&gt;&lt;C&gt;0&lt;/C&gt;&lt;/FQL&gt;&lt;FQL&gt;&lt;Q&gt;CRWV^FE_ESTIMATE(TOTALDEBT,MEAN,QUARTERLY_ROLL,2027/3F,45970,,,'')&lt;/Q&gt;&lt;R&gt;0&lt;/R&gt;&lt;C&gt;0&lt;/C&gt;&lt;/FQL&gt;&lt;FQL&gt;&lt;Q&gt;CRWV^FE_ESTIMATE(TOTALDEBT,MEAN,QUARTERLY_ROLL,2027/2F,45970,,,'')&lt;/Q&gt;&lt;R&gt;0&lt;/R&gt;&lt;C&gt;0&lt;/C&gt;&lt;/FQL&gt;&lt;FQL&gt;&lt;Q&gt;CRWV^FE_ESTIMATE(TOTALDEBT,MEAN,QUARTERLY_ROLL,2027/1F,45970,,,'')&lt;/Q&gt;&lt;R&gt;0&lt;/R&gt;&lt;C&gt;0&lt;/C&gt;&lt;/FQL&gt;&lt;FQL&gt;&lt;Q&gt;CRWV^FE_ESTIMATE(TOTALDEBT,MEAN,ANNUAL_ROLL,2026,45970,,,'')&lt;/Q&gt;&lt;R&gt;1&lt;/R&gt;&lt;C&gt;1&lt;/C&gt;&lt;D xsi:type="xsd:double"&gt;36424.887&lt;/D&gt;&lt;/FQL&gt;&lt;FQL&gt;&lt;Q&gt;CRWV^FE_ESTIMATE(TOTALDEBT,MEAN,QUARTERLY_ROLL,2026/4F,45970,,,'')&lt;/Q&gt;&lt;R&gt;1&lt;/R&gt;&lt;C&gt;1&lt;/C&gt;&lt;D xsi:type="xsd:double"&gt;34728&lt;/D&gt;&lt;/FQL&gt;&lt;FQL&gt;&lt;Q&gt;CRWV^FE_ESTIMATE(TOTALDEBT,MEAN,QUARTERLY_ROLL,2026/3F,45970,,,'')&lt;/Q&gt;&lt;R&gt;1&lt;/R&gt;&lt;C&gt;1&lt;/C&gt;&lt;D xsi:type="xsd:double"&gt;33749&lt;/D&gt;&lt;/FQL&gt;&lt;FQL&gt;&lt;Q&gt;CRWV^FE_ESTIMATE(TOTALDEBT,MEAN,QUARTERLY_ROLL,2026/2F,45970,,,'')&lt;/Q&gt;&lt;R&gt;1&lt;/R&gt;&lt;C&gt;1&lt;/C&gt;&lt;D xsi:type="xsd:double"&gt;31664&lt;/D&gt;&lt;/FQL&gt;&lt;FQL&gt;&lt;Q&gt;CRWV^FE_ESTIMATE(TOTALDEBT,MEAN,QUARTERLY_ROLL,2026/1F,45970,,,'')&lt;/Q&gt;&lt;R&gt;1&lt;/R&gt;&lt;C&gt;1&lt;/C&gt;&lt;D xsi:type="xsd:double"&gt;29668&lt;/D&gt;&lt;/FQL&gt;&lt;FQL&gt;&lt;Q&gt;CRWV^FE_ESTIMATE(TOTALDEBT,MEAN,ANNUAL_ROLL,2025,45970,,,'')&lt;/Q&gt;&lt;R&gt;1&lt;/R&gt;&lt;C&gt;1&lt;/C&gt;&lt;D xsi:type="xsd:double"&gt;25172.957&lt;/D&gt;&lt;/FQL&gt;&lt;FQL&gt;&lt;Q&gt;CRWV^FE_ESTIMATE(TOTALDEBT,MEAN,QUARTERLY_ROLL,2025/4F,45970,,,'')&lt;/Q&gt;&lt;R&gt;1&lt;/R&gt;&lt;C&gt;1&lt;/C&gt;&lt;D xsi:type="xsd:double"&gt;25920.45&lt;/D&gt;&lt;/FQL&gt;&lt;FQL&gt;&lt;Q&gt;CRWV^FE_ESTIMATE(TOTALDEBT,MEAN,QUARTERLY_ROLL,2025/3F,45970,,,'')&lt;/Q&gt;&lt;R&gt;1&lt;/R&gt;&lt;C&gt;1&lt;/C&gt;&lt;D xsi:type="xsd:double"&gt;15457.35&lt;/D&gt;&lt;/FQL&gt;&lt;FQL&gt;&lt;Q&gt;CRWV^FE_ESTIMATE(TOTALDEBT,MEAN,QUARTERLY_ROLL,2025/2F,45970,,,'')&lt;/Q&gt;&lt;R&gt;1&lt;/R&gt;&lt;C&gt;1&lt;/C&gt;&lt;D xsi:type="xsd:double"&gt;11083.5&lt;/D&gt;&lt;/FQL&gt;&lt;FQL&gt;&lt;Q&gt;CRWV^FE_ESTIMATE(TOTALDEBT,MEAN,QUARTERLY_ROLL,2025/1F,45970,,,'')&lt;/Q&gt;&lt;R&gt;1&lt;/R&gt;&lt;C&gt;1&lt;/C&gt;&lt;D xsi:type="xsd:double"&gt;8711.85&lt;/D&gt;&lt;/FQL&gt;&lt;FQL&gt;&lt;Q&gt;CRWV^FE_ESTIMATE(TOTALDEBT,MEAN,ANNUAL_ROLL,2024,45970,,,'')&lt;/Q&gt;&lt;R&gt;1&lt;/R&gt;&lt;C&gt;1&lt;/C&gt;&lt;D xsi:type="xsd:double"&gt;7944.588&lt;/D&gt;&lt;/FQL&gt;&lt;FQL&gt;&lt;Q&gt;CRWV^FE_ESTIMATE(TOTALDEBT,MEAN,QUARTERLY_ROLL,2024/4F,45970,,,'')&lt;/Q&gt;&lt;R&gt;1&lt;/R&gt;&lt;C&gt;1&lt;/C&gt;&lt;D xsi:type="xsd:double"&gt;7949.15&lt;/D&gt;&lt;/FQL&gt;&lt;FQL&gt;&lt;Q&gt;CRWV^FE_ESTIMATE(TOTALDEBT,MEAN,QUARTERLY_ROLL,2024/3F,45970,,,'')&lt;/Q&gt;&lt;R&gt;0&lt;/R&gt;&lt;C&gt;0&lt;/C&gt;&lt;/FQL&gt;&lt;FQL&gt;&lt;Q&gt;CRWV^FE_ESTIMATE(TOTALDEBT,MEAN,QUARTERLY_ROLL,2024/2F,45970,,,'')&lt;/Q&gt;&lt;R&gt;0&lt;/R&gt;&lt;C&gt;0&lt;/C&gt;&lt;/FQL&gt;&lt;FQL&gt;&lt;Q&gt;CRWV^FE_ESTIMATE(TOTALDEBT,MEAN,QUARTERLY_ROLL,2024/1F,45970,,,'')&lt;/Q&gt;&lt;R&gt;0&lt;/R&gt;&lt;C&gt;0&lt;/C&gt;&lt;/FQL&gt;&lt;FQL&gt;&lt;Q&gt;CRWV^FE_ESTIMATE(TOTALDEBT,MEAN,ANNUAL_ROLL,2023,45970,,,'')&lt;/Q&gt;&lt;R&gt;0&lt;/R&gt;&lt;C&gt;0&lt;/C&gt;&lt;/FQL&gt;&lt;FQL&gt;&lt;Q&gt;CRWV^FE_ESTIMATE(TOTALDEBT,MEAN,QUARTERLY_ROLL,2023/4F,45970,,,'')&lt;/Q&gt;&lt;R&gt;0&lt;/R&gt;&lt;C&gt;0&lt;/C&gt;&lt;/FQL&gt;&lt;FQL&gt;&lt;Q&gt;CRWV^FE_ESTIMATE(TOTALDEBT,MEAN,QUARTERLY_ROLL,2023/3F,45970,,,'')&lt;/Q&gt;&lt;R&gt;0&lt;/R&gt;&lt;C&gt;0&lt;/C&gt;&lt;/FQL&gt;&lt;FQL&gt;&lt;Q&gt;CRWV^FE_ESTIMATE(TOTALDEBT,MEAN,QUARTERLY_ROLL,2023/2F,45970,,,'')&lt;/Q&gt;&lt;R&gt;0&lt;/R&gt;&lt;C&gt;0&lt;/C&gt;&lt;/FQL&gt;&lt;FQL&gt;&lt;Q&gt;CRWV^FE_ESTIMATE(TOTALDEBT,MEAN,QUARTERLY_ROLL,2023/1F,45970,,,'')&lt;/Q&gt;&lt;R&gt;0&lt;/R&gt;&lt;C&gt;0&lt;/C&gt;&lt;/FQL&gt;&lt;FQL&gt;&lt;Q&gt;CRWV^FE_ESTIMATE(TOTALDEBT,MEAN,ANNUAL_ROLL,2022,45970,,,'')&lt;/Q&gt;&lt;R&gt;0&lt;/R&gt;&lt;C&gt;0&lt;/C&gt;&lt;/FQL&gt;&lt;FQL&gt;&lt;Q&gt;CRWV^FE_ESTIMATE(TOTALDEBT,MEAN,QUARTERLY_ROLL,2022/4F,45970,,,'')&lt;/Q&gt;&lt;R&gt;0&lt;/R&gt;&lt;C&gt;0&lt;/C&gt;&lt;/FQL&gt;&lt;FQL&gt;&lt;Q&gt;CRWV^FE_ESTIMATE(TOTALDEBT,MEAN,QUARTERLY_ROLL,2022/3F,45970,,,'')&lt;/Q&gt;&lt;R&gt;0&lt;/R&gt;&lt;C&gt;0&lt;/C&gt;&lt;/FQL&gt;&lt;FQL&gt;&lt;Q&gt;CRWV^FE_ESTIMATE(TOTALDEBT,MEAN,QUARTERLY_ROLL,2022/2F,45970,,,'')&lt;/Q&gt;&lt;R&gt;0&lt;/R&gt;&lt;C&gt;0&lt;/C&gt;&lt;/FQL&gt;&lt;FQL&gt;&lt;Q&gt;CRWV^FE_ESTIMATE(TOTALDEBT,MEAN,QUARTERLY_ROLL,2022/1F,45970,,,'')&lt;/Q&gt;&lt;R&gt;0&lt;/R&gt;&lt;C&gt;0&lt;/C&gt;&lt;/FQL&gt;&lt;FQL&gt;&lt;Q&gt;CRWV^FE_ESTIMATE(DEFREVENUE,MEAN,ANNUAL_ROLL,2029,45970,,,'')&lt;/Q&gt;&lt;R&gt;1&lt;/R&gt;&lt;C&gt;1&lt;/C&gt;&lt;D xsi:type="xsd:double"&gt;21537.4&lt;/D&gt;&lt;/FQL&gt;&lt;FQL&gt;&lt;Q&gt;CRWV^FE_ESTIMATE(DEFREVENUE,MEAN,QUARTERLY_ROLL,2029/4F,45970,,,'')&lt;/Q&gt;&lt;R&gt;0&lt;/R&gt;&lt;C&gt;0&lt;/C&gt;&lt;/FQL&gt;&lt;FQL&gt;&lt;Q&gt;CRWV^FE_ESTIMATE(DEFREVENUE,MEAN,QUARTERLY_ROLL,2029/3F,45970,,,'')&lt;/Q&gt;&lt;R&gt;0&lt;/R&gt;&lt;C&gt;0&lt;/C&gt;&lt;/FQL&gt;&lt;FQL&gt;&lt;Q&gt;CRWV^FE_ESTIMATE(DEFREVENUE,MEAN,QUARTERLY_ROLL,2029/2F,45970,,,'')&lt;/Q&gt;&lt;R&gt;0&lt;/R&gt;&lt;C&gt;0&lt;/C&gt;&lt;/FQL&gt;&lt;FQL&gt;&lt;Q&gt;CRWV^FE_ESTIMATE(DEFREVENUE,MEAN,QUARTERLY_ROLL,2029/1F,45970,,,'')&lt;/Q&gt;&lt;R&gt;0&lt;/R&gt;&lt;C&gt;0&lt;/C&gt;&lt;/FQL&gt;&lt;FQL&gt;&lt;Q&gt;CRWV^FE_ESTIMATE(DEFREVENUE,MEAN,ANNUAL_ROLL,2028,45970,,,'')&lt;/Q&gt;&lt;R&gt;1&lt;/R&gt;&lt;C&gt;1&lt;/C&gt;&lt;D xsi:type="xsd:double"&gt;18524.1&lt;/D&gt;&lt;/FQL&gt;&lt;FQL&gt;&lt;Q&gt;CRWV^FE_ESTIMATE(DEFREVENUE,MEAN,QUARTERLY_ROLL,2028/4F,45970,,,'')&lt;/Q&gt;&lt;R&gt;0&lt;/R&gt;&lt;C&gt;0&lt;/C&gt;&lt;/FQL&gt;&lt;FQL&gt;&lt;Q&gt;CRWV^FE_ESTIMATE(DEFREVENUE,MEAN,QUARTERLY_ROLL,2028/3F,45970,,,'')&lt;/Q&gt;&lt;R&gt;0&lt;/R&gt;&lt;C&gt;0&lt;/C&gt;&lt;/FQL&gt;&lt;FQL&gt;&lt;Q&gt;CRWV^FE_ESTIMATE(DEFREVENUE,MEAN,QUARTERLY_ROLL,2028/2F,45970,,,'')&lt;/Q&gt;&lt;R&gt;0&lt;/R&gt;&lt;C&gt;0&lt;/C&gt;&lt;/FQL&gt;&lt;FQL&gt;&lt;Q&gt;CRWV^FE_ESTIMATE(DEFREVENUE,MEAN,QUARTERLY_ROLL,2028/1F,45970,,,'')&lt;/Q&gt;&lt;R&gt;0&lt;/R&gt;&lt;C&gt;0&lt;/C&gt;&lt;/FQL&gt;&lt;FQL&gt;&lt;Q&gt;CRWV^FE_ESTIMATE(DEFREVENUE,MEAN,ANNUAL_ROLL,2027,45970,,,'')&lt;/Q&gt;&lt;R&gt;1&lt;/R&gt;&lt;C&gt;1&lt;/C&gt;&lt;D xsi:type="xsd:double"&gt;13612&lt;/D&gt;&lt;/FQL&gt;&lt;FQL&gt;&lt;Q&gt;CRWV^FE_ESTIMATE(DEFREVENUE,MEAN,QUARTERLY_ROLL,2027/4F,45970,,,'')&lt;/Q&gt;&lt;R&gt;1&lt;/R&gt;&lt;C&gt;1&lt;/C&gt;&lt;D xsi:type="xsd:double"&gt;8811.1&lt;/D&gt;&lt;/FQL&gt;&lt;FQL&gt;&lt;Q&gt;CRWV^FE_ESTIMATE(DEFREVENUE,MEAN,QUARTERLY_ROLL,2027/3F,45970,,,'')&lt;/Q&gt;&lt;R&gt;1&lt;/R&gt;&lt;C&gt;1&lt;/C&gt;&lt;D xsi:type="xsd:double"&gt;8329.1&lt;/D&gt;&lt;/FQL&gt;&lt;FQL&gt;&lt;Q&gt;CRWV^FE_ESTIMATE(DEFREVENUE,MEAN,QUARTERLY_ROLL,2027/2F,45970,,,'')&lt;/Q&gt;&lt;R&gt;1&lt;/R&gt;&lt;C&gt;1&lt;/C&gt;&lt;D xsi:type="xsd:double"&gt;7847.1&lt;/D&gt;&lt;/FQL&gt;&lt;FQL&gt;&lt;Q&gt;CRWV^FE_ESTIMATE(DEFREVENUE,MEAN,QUARTERLY_ROLL,2027/1F,45970,,,'')&lt;/Q&gt;&lt;R&gt;1&lt;/R&gt;&lt;C&gt;1&lt;/C&gt;&lt;D xsi:type="xsd:double"&gt;7365.2&lt;/D&gt;&lt;/FQL&gt;&lt;FQL&gt;&lt;Q&gt;CRWV^FE_ESTIMATE(DEFREVENUE,MEAN,ANNUAL_ROLL,2026,45970,,,'')&lt;/Q&gt;&lt;R&gt;1&lt;/R&gt;&lt;C&gt;1&lt;/C&gt;&lt;D xsi:type="xsd:double"&gt;11063.989&lt;/D&gt;&lt;/FQL&gt;&lt;FQL&gt;&lt;Q&gt;CRWV^FE_ESTIMATE(DEFREVENUE,MEAN,QUARTERLY_ROLL,2026/4F,45970,,,'')&lt;/Q&gt;&lt;R&gt;1&lt;/R&gt;&lt;C&gt;1&lt;/C&gt;&lt;D xsi:type="xsd:double"&gt;10808.621&lt;/D&gt;&lt;/FQL&gt;&lt;FQL&gt;&lt;Q&gt;CRWV^FE_ESTIMATE(DEFREVENUE,MEAN,QUARTERLY_ROLL,2026/3F,45970,,,'')&lt;/Q&gt;&lt;R&gt;1&lt;/R&gt;&lt;C&gt;1&lt;/C&gt;&lt;D xsi:type="xsd:double"&gt;9815.022&lt;/D&gt;&lt;/FQL&gt;&lt;FQL&gt;&lt;Q&gt;CRWV^FE_ESTIMATE(DEFREVENUE,MEAN,QUARTERLY_ROLL,2026/2F,45970,,,'')&lt;/Q&gt;&lt;R&gt;1&lt;/R&gt;&lt;C&gt;1&lt;/C&gt;&lt;D xsi:type="xsd:double"&gt;8721.537&lt;/D&gt;&lt;/FQL&gt;&lt;FQL&gt;&lt;Q&gt;CRWV^FE_ESTIMATE(DEFREVENUE,MEAN,QUARTERLY_ROLL,2026/1F,45970,,,'')&lt;/Q&gt;&lt;R&gt;1&lt;/R&gt;&lt;C&gt;1&lt;/C&gt;&lt;D xsi:type="xsd:double"&gt;7667.1543&lt;/D&gt;&lt;/FQL&gt;&lt;FQL&gt;&lt;Q&gt;CRWV^FE_ESTIMATE(DEFREVENUE,MEAN,ANNUAL_ROLL,2025,45970,,,'')&lt;/Q&gt;&lt;R&gt;1&lt;/R&gt;&lt;C&gt;1&lt;/C&gt;&lt;D xsi:type="xsd:double"&gt;6822.199&lt;/D&gt;&lt;/FQL&gt;&lt;FQL&gt;&lt;Q&gt;CRWV^FE_ESTIMATE(DEFREVENUE,MEAN,QUARTERLY_ROLL,2025/4F,45970,,,'')&lt;/Q&gt;&lt;R&gt;1&lt;/R&gt;&lt;C&gt;1&lt;/C&gt;&lt;D xsi:type="xsd:double"&gt;6822.199&lt;/D&gt;&lt;/FQL&gt;&lt;FQL&gt;&lt;Q&gt;CRWV^FE_ESTIMATE(DEFREVENUE,MEAN,QUARTERLY_ROLL,2025/3F,45970,,,'')&lt;/Q&gt;&lt;R&gt;1&lt;/R&gt;&lt;C&gt;1&lt;/C&gt;&lt;D xsi:type="xsd:double"&gt;5819.648&lt;/D&gt;&lt;/FQL&gt;&lt;FQL&gt;&lt;Q&gt;CRWV^FE_ESTIMATE(DEFREVENUE,MEAN,QUARTERLY_ROLL,2025/2F,45970,,,'')&lt;/Q&gt;&lt;R&gt;1&lt;/R&gt;&lt;C&gt;1&lt;/C&gt;&lt;D xsi:type="xsd:double"&gt;4847.431&lt;/D&gt;&lt;/FQL&gt;&lt;FQL&gt;&lt;Q&gt;CRWV^FE_ESTIMATE(DEFREVENUE,MEAN,QUARTERLY_ROLL,2025/1F,45970,,,'')&lt;/Q&gt;&lt;R&gt;1&lt;/R&gt;&lt;C&gt;1&lt;/C&gt;&lt;D xsi:type="xsd:double"&gt;4047.9998&lt;/D&gt;&lt;/FQL&gt;&lt;FQL&gt;&lt;Q&gt;CRWV^FE_ESTIMATE(DEFREVENUE,MEAN,ANNUAL_ROLL,2024,45970,,,'')&lt;/Q&gt;&lt;R&gt;1&lt;/R&gt;&lt;C&gt;1&lt;/C&gt;&lt;D xsi:type="xsd:double"&gt;4063.9565&lt;/D&gt;&lt;/FQL&gt;&lt;FQL&gt;&lt;Q&gt;CRWV^FE_ESTIMATE(DEFREVENUE,MEAN,QUARTERLY_ROLL,2024/4F,45970,,,'')&lt;/Q&gt;&lt;R&gt;1&lt;/R&gt;&lt;C&gt;1&lt;/C&gt;&lt;D xsi:type="xsd:double"&gt;4063.9565&lt;/D&gt;&lt;/FQL&gt;&lt;FQL&gt;&lt;Q&gt;CRWV^FE_ESTIMATE(DEFREVENUE,MEAN,QUARTERLY_ROLL,2024/3F,45970,,,'')&lt;/Q&gt;&lt;R&gt;0&lt;/R&gt;&lt;C&gt;0&lt;/C&gt;&lt;/FQL&gt;&lt;FQL&gt;&lt;Q&gt;CRWV^FE_ESTIMATE(DEFREVENUE,MEAN,QUARTERLY_ROLL,2024/2F,45970,,,'')&lt;/Q&gt;&lt;R&gt;0&lt;/R&gt;&lt;C&gt;0&lt;/C&gt;&lt;/FQL&gt;&lt;FQL&gt;&lt;Q&gt;CRWV^FE_ESTIMATE(DEFREVENUE,MEAN,QUARTERLY_ROLL,2024/1F,45970,,,'')&lt;/Q&gt;&lt;R&gt;0&lt;/R&gt;&lt;C&gt;0&lt;/C&gt;&lt;/FQL&gt;&lt;FQL&gt;&lt;Q&gt;CRWV^FE_ESTIMATE(DEFREVENUE,MEAN,ANNUAL_ROLL,2023,45970,,,'')&lt;/Q&gt;&lt;R&gt;0&lt;/R&gt;&lt;C&gt;0&lt;/C&gt;&lt;/FQL&gt;&lt;FQL&gt;&lt;Q&gt;CRWV^FE_ESTIMATE(DEFREVENUE,MEAN,QUARTERLY_ROLL,2023/4F,45970,,,'')&lt;/Q&gt;&lt;R&gt;0&lt;/R&gt;&lt;C&gt;0&lt;/C&gt;&lt;/FQL&gt;&lt;FQL&gt;&lt;Q&gt;CRWV^FE_ESTIMATE(DEFREVENUE,MEAN,QUARTERLY_ROLL,2023/3F,45970,,,'')&lt;/Q&gt;&lt;R&gt;0&lt;/R&gt;&lt;C&gt;0&lt;/C&gt;&lt;/FQL&gt;&lt;FQL&gt;&lt;Q&gt;CRWV^FE_ESTIMATE(DEFREVENUE,MEAN,QUARTERLY_ROLL,2023/2F,45970,,,'')&lt;/Q&gt;&lt;R&gt;0&lt;/R&gt;&lt;C&gt;0&lt;/C&gt;&lt;/FQL&gt;&lt;FQL&gt;&lt;Q&gt;CRWV^FE_ESTIMATE(DEFREVENUE,MEAN,QUARTERLY_ROLL,2023/1F,45970,,,'')&lt;/Q&gt;&lt;R&gt;0&lt;/R&gt;&lt;C&gt;0&lt;/C&gt;&lt;/FQL&gt;&lt;FQL&gt;&lt;Q&gt;CRWV^FE_ESTIMATE(DEFREVENUE,MEAN,ANNUAL_ROLL,2022,45970,,,'')&lt;/Q&gt;&lt;R&gt;0&lt;/R&gt;&lt;C&gt;0&lt;/C&gt;&lt;/FQL&gt;&lt;FQL&gt;&lt;Q&gt;CRWV^FE_ESTIMATE(DEFREVENUE,MEAN,QUARTERLY_ROLL,2022/4F,45970,,,'')&lt;/Q&gt;&lt;R&gt;0&lt;/R&gt;&lt;C&gt;0&lt;/C&gt;&lt;/FQL&gt;&lt;FQL&gt;&lt;Q&gt;CRWV^FE_ESTIMATE(DEFREVENUE,MEAN,QUARTERLY_ROLL,2022/3F,45970,,,'')&lt;/Q&gt;&lt;R&gt;0&lt;/R&gt;&lt;C&gt;0&lt;/C&gt;&lt;/FQL&gt;&lt;FQL&gt;&lt;Q&gt;CRWV^FE_ESTIMATE(DEFREVENUE,MEAN,QUARTERLY_ROLL,2022/2F,45970,,,'')&lt;/Q&gt;&lt;R&gt;0&lt;/R&gt;&lt;C&gt;0&lt;/C&gt;&lt;/FQL&gt;&lt;FQL&gt;&lt;Q&gt;CRWV^FE_ESTIMATE(DEFREVENUE,MEAN,QUARTERLY_ROLL,2022/1F,45970,,,'')&lt;/Q&gt;&lt;R&gt;0&lt;/R&gt;&lt;C&gt;0&lt;/C&gt;&lt;/FQL&gt;&lt;FQL&gt;&lt;Q&gt;CRWV^FE_ESTIMATE(DEFREVENUE_LT,MEAN,ANNUAL_ROLL,2029,45970,,,'')&lt;/Q&gt;&lt;R&gt;0&lt;/R&gt;&lt;C&gt;0&lt;/C&gt;&lt;/FQL&gt;&lt;FQL&gt;&lt;Q&gt;CRWV^FE_ESTIMATE(DEFREVENUE_LT,MEAN,QUARTERLY_ROLL,2029/4F,45970,,,'')&lt;/Q&gt;&lt;R&gt;0&lt;/R&gt;&lt;C&gt;0&lt;/C&gt;&lt;/FQL&gt;&lt;FQL&gt;&lt;Q&gt;CRWV^FE_ESTIMATE(DEFREVENUE_LT,MEAN,QUARTERLY_ROLL,2029/3F,45970,,,'')&lt;/Q&gt;&lt;R&gt;0&lt;/R&gt;&lt;C&gt;0&lt;/C&gt;&lt;/FQL&gt;&lt;FQL&gt;&lt;Q&gt;CRWV^FE_ESTIMATE(DEFREVENUE_LT,MEAN,QUARTERLY_ROLL,2029/2F,45970,,,'')&lt;/Q&gt;&lt;R&gt;0&lt;/R&gt;&lt;C&gt;0&lt;/C&gt;&lt;/FQL&gt;&lt;FQL&gt;&lt;Q&gt;CRWV^FE_ESTIMATE(DEFREVENUE_LT,MEAN,QUARTERLY_ROLL,2029/1F,45970,,,'')&lt;/Q&gt;&lt;R&gt;0&lt;/R&gt;&lt;C&gt;0&lt;/C&gt;&lt;/FQL&gt;&lt;FQL&gt;&lt;Q&gt;CRWV^FE_ESTIMATE(DEFREVENUE_LT,MEAN,ANNUAL_ROLL,2028,45970,,,'')&lt;/Q&gt;&lt;R&gt;0&lt;/R&gt;&lt;C&gt;0&lt;/C&gt;&lt;/FQL&gt;&lt;FQL&gt;&lt;Q&gt;CRWV^FE_ESTIMATE(DEFREVENUE_LT,MEAN,QUARTERLY_ROLL,2028/4F,45970,,,'')&lt;/Q&gt;&lt;R&gt;0&lt;/R&gt;&lt;C&gt;0&lt;/C&gt;&lt;/FQL&gt;&lt;FQL&gt;&lt;Q&gt;CRWV^FE_ESTIMATE(DEFREVENUE_LT,MEAN,QUARTERLY_ROLL,2028/3F,45970,,,'')&lt;/Q&gt;&lt;R&gt;0&lt;/R&gt;&lt;C&gt;0&lt;/C&gt;&lt;/FQL&gt;&lt;FQL&gt;&lt;Q&gt;CRWV^FE_ESTIMATE(DEFREVENUE_LT,MEAN,QUARTERLY_ROLL,2028/2F,45970,,,'')&lt;/Q&gt;&lt;R&gt;0&lt;/R&gt;&lt;C&gt;0&lt;/C&gt;&lt;/FQL&gt;&lt;FQL&gt;&lt;Q&gt;CRWV^FE_ESTIMATE(DEFREVENUE_LT,MEAN,QUARTERLY_ROLL,2028/1F,45970,,,'')&lt;/Q&gt;&lt;R&gt;0&lt;/R&gt;&lt;C&gt;0&lt;/C&gt;&lt;/FQL&gt;&lt;FQL&gt;&lt;Q&gt;CRWV^FE_ESTIMATE(DEFREVENUE_LT,MEAN,ANNUAL_ROLL,2027,45970,,,'')&lt;/Q&gt;&lt;R&gt;1&lt;/R&gt;&lt;C&gt;1&lt;/C&gt;&lt;D xsi:type="xsd:double"&gt;10469.467&lt;/D&gt;&lt;/FQL&gt;&lt;FQL&gt;&lt;Q&gt;CRWV^FE_ESTIMATE(DEFREVENUE_LT,MEAN,QUARTERLY_ROLL,2027/4F,45970,,,'')&lt;/Q&gt;&lt;R&gt;1&lt;/R&gt;&lt;C&gt;1&lt;/C&gt;&lt;D xsi:type="xsd:double"&gt;6960.8&lt;/D&gt;&lt;/FQL&gt;&lt;FQL&gt;&lt;Q&gt;CRWV^FE_ESTIMATE(DEFREVENUE_LT,MEAN,QUARTERLY_ROLL,2027/3F,45970,,,'')&lt;/Q&gt;&lt;R&gt;1&lt;/R&gt;&lt;C&gt;1&lt;/C&gt;&lt;D xsi:type="xsd:double"&gt;6580&lt;/D&gt;&lt;/FQL&gt;&lt;FQL&gt;&lt;Q&gt;CRWV^FE_ESTIMATE(DEFREVENUE_LT,MEAN,QUARTERLY_ROLL,2027/2F,45970,,,'')&lt;/Q&gt;&lt;R&gt;1&lt;/R&gt;&lt;C&gt;1&lt;/C&gt;&lt;D xsi:type="xsd:double"&gt;6199.2&lt;/D&gt;&lt;/FQL&gt;&lt;FQL&gt;&lt;Q&gt;CRWV^FE_ESTIMATE(DEFREVENUE_LT,MEAN,QUARTERLY_ROLL,2027/1F,45970,,,'')&lt;/Q&gt;&lt;R&gt;1&lt;/R&gt;&lt;C&gt;1&lt;/C&gt;&lt;D xsi:type="xsd:double"&gt;5818.5&lt;/D&gt;&lt;/FQL&gt;&lt;FQL&gt;&lt;Q&gt;CRWV^FE_ESTIMATE(DEFREVENUE_LT,MEAN,ANNUAL_ROLL,2026,45970,,,'')&lt;/Q&gt;&lt;R&gt;1&lt;/R&gt;&lt;C&gt;1&lt;/C&gt;&lt;D xsi:type="xsd:double"&gt;8239.944&lt;/D&gt;&lt;/FQL&gt;&lt;FQL&gt;&lt;Q&gt;CRWV^FE_ESTIMATE(DEFREVENUE_LT,MEAN,QUARTERLY_ROLL,2026/4F,45970,,,'')&lt;/Q&gt;&lt;R&gt;1&lt;/R&gt;&lt;C&gt;1&lt;/C&gt;&lt;D xsi:type="xsd:double"&gt;8239.944&lt;/D&gt;&lt;/FQL&gt;&lt;FQL&gt;&lt;Q&gt;CRWV^FE_ESTIMATE(DEFREVENUE_LT,MEAN,QUARTERLY_ROLL,2026/3F,45970,,,'')&lt;/Q&gt;&lt;R&gt;1&lt;/R&gt;&lt;C&gt;1&lt;/C&gt;&lt;D xsi:type="xsd:double"&gt;7447.9663&lt;/D&gt;&lt;/FQL&gt;&lt;FQL&gt;&lt;Q&gt;CRWV^FE_ESTIMATE(DEFREVENUE_LT,MEAN,QUARTERLY_ROLL,2026/2F,45970,,,'')&lt;/Q&gt;&lt;R&gt;1&lt;/R&gt;&lt;C&gt;1&lt;/C&gt;&lt;D xsi:type="xsd:double"&gt;6585.881&lt;/D&gt;&lt;/FQL&gt;&lt;FQL&gt;&lt;Q&gt;CRWV^FE_ESTIMATE(DEFREVENUE_LT,MEAN,QUARTERLY_ROLL,2026/1F,45970,,,'')&lt;/Q&gt;&lt;R&gt;1&lt;/R&gt;&lt;C&gt;1&lt;/C&gt;&lt;D xsi:type="xsd:double"&gt;5728.915&lt;/D&gt;&lt;/FQL&gt;&lt;FQL&gt;&lt;Q&gt;CRWV^FE_ESTIMATE(DEFREVENUE_LT,MEAN,ANNUAL_ROLL,2025,45970,,,'')&lt;/Q&gt;&lt;R&gt;1&lt;/R&gt;&lt;C&gt;1&lt;/C&gt;&lt;D xsi:type="xsd:double"&gt;5065.6777&lt;/D&gt;&lt;/FQL&gt;&lt;FQL&gt;&lt;Q&gt;CRWV^FE_ESTIMATE(DEFREVENUE_LT,MEAN,QUARTERLY_ROLL,2025/4F,45970,,,'')&lt;/Q&gt;&lt;R&gt;1&lt;/R&gt;&lt;C&gt;1&lt;/C&gt;&lt;D xsi:type="xsd:double"&gt;5065.6777&lt;/D&gt;&lt;/FQL&gt;&lt;FQL&gt;&lt;Q&gt;CRWV^FE_ESTIMATE(DEFREVENUE_LT,MEAN,QUARTERLY_ROLL,2025/3F,45970,,,'')&lt;/Q&gt;&lt;R&gt;1&lt;/R&gt;&lt;C&gt;1&lt;/C&gt;&lt;D xsi:type="xsd:double"&gt;4334.885&lt;/D&gt;&lt;/FQL&gt;&lt;FQL&gt;&lt;Q&gt;CRWV^FE_ESTIMATE(DEFREVENUE_LT,MEAN,QUARTERLY_ROLL,2025/2F,45970,,,'')&lt;/Q&gt;&lt;R&gt;1&lt;/R&gt;&lt;C&gt;1&lt;/C&gt;&lt;D xsi:type="xsd:double"&gt;3896.1145&lt;/D&gt;&lt;/FQL&gt;&lt;FQL&gt;&lt;Q&gt;CRWV^FE_ESTIMATE(DEFREVENUE_LT,MEAN,QUARTERLY_ROLL,2025/1F,45970,,,'')&lt;/Q&gt;&lt;R&gt;1&lt;/R&gt;&lt;C&gt;1&lt;/C&gt;&lt;D xsi:type="xsd:double"&gt;3611.2346&lt;/D&gt;&lt;/FQL&gt;&lt;FQL&gt;&lt;Q&gt;CRWV^FE_ESTIMATE(DEFREVENUE_LT,MEAN,ANNUAL_ROLL,2024,45970,,,'')&lt;/Q&gt;&lt;R&gt;1&lt;/R&gt;&lt;C&gt;1&lt;/C&gt;&lt;D xsi:type="xsd:double"&gt;3294.9941&lt;/D&gt;&lt;/FQL&gt;&lt;FQL&gt;&lt;Q&gt;CRWV^FE_ESTIMATE(DEFREVENUE_LT,MEAN,QUARTERLY_ROLL,2024/4F,45970,,,'')&lt;/Q&gt;&lt;R&gt;1&lt;/R&gt;&lt;C&gt;1&lt;/C&gt;&lt;D xsi:type="xsd:double"&gt;3294.9941&lt;/D&gt;&lt;/FQL&gt;&lt;FQL&gt;&lt;Q&gt;CRWV^FE_ESTIMATE(DEFREVENUE_LT,MEAN,QUARTERLY_ROLL,2024/3F,45970,,,'')&lt;/Q&gt;&lt;R&gt;0&lt;/R&gt;&lt;C&gt;0&lt;/C&gt;&lt;/FQL&gt;&lt;FQL&gt;&lt;Q&gt;CRWV^FE_ESTIMATE(DEFREVENUE_LT,MEAN,QUARTERLY_ROLL,2024/2F,45970,,,'')&lt;/Q&gt;&lt;R&gt;0&lt;/R&gt;&lt;C&gt;0&lt;/C&gt;&lt;/FQL&gt;&lt;FQL&gt;&lt;Q&gt;CRWV^FE_ESTIMATE(DEFREVENUE_LT,MEAN,QUARTERLY_ROLL,2024/1F,45970,,,'')&lt;/Q&gt;&lt;R&gt;0&lt;/R&gt;&lt;C&gt;0&lt;/C&gt;&lt;/FQL&gt;&lt;FQL&gt;&lt;Q&gt;CRWV^FE_ESTIMATE(DEFREVENUE_LT,MEAN,ANNUAL_ROLL,2023,45970,,,'')&lt;/Q&gt;&lt;R&gt;0&lt;/R&gt;&lt;C&gt;0&lt;/C&gt;&lt;/FQL&gt;&lt;FQL&gt;&lt;Q&gt;CRWV^FE_ESTIMATE(DEFREVENUE_LT,MEAN,QUARTERLY_ROLL,2023/4F,45970,,,'')&lt;/Q&gt;&lt;R&gt;0&lt;/R&gt;&lt;C&gt;0&lt;/C&gt;&lt;/FQL&gt;&lt;FQL&gt;&lt;Q&gt;CRWV^FE_ESTIMATE(DEFREVENUE_LT,MEAN,QUARTERLY_ROLL,2023/3F,45970,,,'')&lt;/Q&gt;&lt;R&gt;0&lt;/R&gt;&lt;C&gt;0&lt;/C&gt;&lt;/FQL&gt;&lt;FQL&gt;&lt;Q&gt;CRWV^FE_ESTIMATE(DEFREVENUE_LT,MEAN,QUARTERLY_ROLL,2023/2F,45970,,,'')&lt;/Q&gt;&lt;R&gt;0&lt;/R&gt;&lt;C&gt;0&lt;/C&gt;&lt;/FQL&gt;&lt;FQL&gt;&lt;Q&gt;CRWV^FE_ESTIMATE(DEFREVENUE_LT,MEAN,QUARTERLY_ROLL,2023/1F,45970,,,'')&lt;/Q&gt;&lt;R&gt;0&lt;/R&gt;&lt;C&gt;0&lt;/C&gt;&lt;/FQL&gt;&lt;FQL&gt;&lt;Q&gt;CRWV^FE_ESTIMATE(DEFREVENUE_LT,MEAN,ANNUAL_ROLL,2022,45970,,,'')&lt;/Q&gt;&lt;R&gt;0&lt;/R&gt;&lt;C&gt;0&lt;/C&gt;&lt;/FQL&gt;&lt;FQL&gt;&lt;Q&gt;CRWV^FE_ESTIMATE(DEFREVENUE_LT,MEAN,QUARTERLY_ROLL,2022/4F,45970,,,'')&lt;/Q&gt;&lt;R&gt;0&lt;/R&gt;&lt;C&gt;0&lt;/C&gt;&lt;/FQL&gt;&lt;FQL&gt;&lt;Q&gt;CRWV^FE_ESTIMATE(DEFREVENUE_LT,MEAN,QUARTERLY_ROLL,2022/3F,45970,,,'')&lt;/Q&gt;&lt;R&gt;0&lt;/R&gt;&lt;C&gt;0&lt;/C&gt;&lt;/FQL&gt;&lt;FQL&gt;&lt;Q&gt;CRWV^FE_ESTIMATE(DEFREVENUE_LT,MEAN,QUARTERLY_ROLL,2022/2F,45970,,,'')&lt;/Q&gt;&lt;R&gt;0&lt;/R&gt;&lt;C&gt;0&lt;/C&gt;&lt;/FQL&gt;&lt;FQL&gt;&lt;Q&gt;CRWV^FE_ESTIMATE(DEFREVENUE_LT,MEAN,QUARTERLY_ROLL,2022/1F,45970,,,'')&lt;/Q&gt;&lt;R&gt;0&lt;/R&gt;&lt;C&gt;0&lt;/C&gt;&lt;/FQL&gt;&lt;FQL&gt;&lt;Q&gt;CRWV^FE_ESTIMATE(DEFREVENUE_ST,MEAN,ANNUAL_ROLL,2029,45970,,,'')&lt;/Q&gt;&lt;R&gt;0&lt;/R&gt;&lt;C&gt;0&lt;/C&gt;&lt;/FQL&gt;&lt;FQL&gt;&lt;Q&gt;CRWV^FE_ESTIMATE(DEFREVENUE_ST,MEAN,QUARTERLY_ROLL,2029/4F,45970,,,'')&lt;/Q&gt;&lt;R&gt;0&lt;/R&gt;&lt;C&gt;0&lt;/C&gt;&lt;/FQL&gt;&lt;FQL&gt;&lt;Q&gt;CRWV^FE_ESTIMATE(DEFREVENUE_ST,MEAN,QUARTERLY_ROLL,2029/3F,45970,,,'')&lt;/Q&gt;&lt;R&gt;0&lt;/R&gt;&lt;C&gt;0&lt;/C&gt;&lt;/FQL&gt;&lt;FQL&gt;&lt;Q&gt;CRWV^FE_ESTIMATE(DEFREVENUE_ST,MEAN,QUARTERLY_ROLL,2029/2F,45970,,,'')&lt;/Q&gt;&lt;R&gt;0&lt;/R&gt;&lt;C&gt;0&lt;/C&gt;&lt;/FQL&gt;&lt;FQL&gt;&lt;Q&gt;CRWV^FE_ESTIMATE(DEFREVENUE_ST,MEAN,QUARTERLY_ROLL,2029/1F,45970,,,'')&lt;/Q&gt;&lt;R&gt;0&lt;/R&gt;&lt;C&gt;0&lt;/C&gt;&lt;/FQL&gt;&lt;FQL&gt;&lt;Q&gt;CRWV^FE_ESTIMATE(DEFREVENUE_ST,MEAN,ANNUAL_ROLL,2028,45970,,,'')&lt;/Q&gt;&lt;R&gt;0&lt;/R&gt;&lt;C&gt;0&lt;/C&gt;&lt;/FQL&gt;&lt;FQL&gt;&lt;Q&gt;CRWV^FE_ESTIMATE(DEFREVENUE_ST,MEAN,QUARTERLY_ROLL,2028/4F,45970,,,'')&lt;/Q&gt;&lt;R&gt;0&lt;/R&gt;&lt;C&gt;0&lt;/C&gt;&lt;/FQL&gt;&lt;FQL&gt;&lt;Q&gt;CRWV^FE_ESTIMATE(DEFREVENUE_ST,MEAN,QUARTERLY_ROLL,2028/3F,45970,,,'')&lt;/Q&gt;&lt;R&gt;0&lt;/R&gt;&lt;C&gt;0&lt;/C&gt;&lt;/FQL&gt;&lt;FQL&gt;&lt;Q&gt;CRWV^FE_ESTIMATE(DEFREVENUE_ST,MEAN,QUARTERLY_ROLL,2028/2F,45970,,,'')&lt;/Q&gt;&lt;R&gt;0&lt;/R&gt;&lt;C&gt;0&lt;/C&gt;&lt;/FQL&gt;&lt;FQL&gt;&lt;Q&gt;CRWV^FE_ESTIMATE(DEFREVENUE_ST,MEAN,QUARTERLY_ROLL,2028/1F,45970,,,'')&lt;/Q&gt;&lt;R&gt;0&lt;/R&gt;&lt;C&gt;0&lt;/C&gt;&lt;/FQL&gt;&lt;FQL&gt;&lt;Q&gt;CRWV^FE_ESTIMATE(DEFREVENUE_ST,MEAN,ANNUAL_ROLL,2027,45970,,,'')&lt;/Q&gt;&lt;R&gt;1&lt;/R&gt;&lt;C&gt;1&lt;/C&gt;&lt;D xsi:type="xsd:double"&gt;2370.9&lt;/D&gt;&lt;/FQL&gt;&lt;FQL&gt;&lt;Q&gt;CRWV^FE_ESTIMATE(DEFREVENUE_ST,MEAN,QUARTERLY_ROLL,2027/4F,45970,,,'')&lt;/Q&gt;&lt;R&gt;1&lt;/R&gt;&lt;C&gt;1&lt;/C&gt;&lt;D xsi:type="xsd:double"&gt;1850.3&lt;/D&gt;&lt;/FQL&gt;&lt;FQL&gt;&lt;Q&gt;CRWV^FE_ESTIMATE(DEFREVENUE_ST,MEAN,QUARTERLY_ROLL,2027/3F,45970,,,'')&lt;/Q&gt;&lt;R&gt;1&lt;/R&gt;&lt;C&gt;1&lt;/C&gt;&lt;D xsi:type="xsd:double"&gt;1749.1&lt;/D&gt;&lt;/FQL&gt;&lt;FQL&gt;&lt;Q&gt;CRWV^FE_ESTIMATE(DEFREVENUE_ST,MEAN,QUARTERLY_ROLL,2027/2F,45970,,,'')&lt;/Q&gt;&lt;R&gt;1&lt;/R&gt;&lt;C&gt;1&lt;/C&gt;&lt;D xsi:type="xsd:double"&gt;1647.9&lt;/D&gt;&lt;/FQL&gt;&lt;FQL&gt;&lt;Q&gt;CRWV^FE_ESTIMATE(DEFREVENUE_ST,MEAN,QUARTERLY_ROLL,2027/1F,45</t>
        </r>
      </text>
    </comment>
    <comment ref="A16" authorId="0" shapeId="0" xr:uid="{C104D444-C704-4E63-A892-D79DD831881D}">
      <text>
        <r>
          <rPr>
            <b/>
            <sz val="9"/>
            <color indexed="81"/>
            <rFont val="Tahoma"/>
            <charset val="1"/>
          </rPr>
          <t>970,,,'')&lt;/Q&gt;&lt;R&gt;1&lt;/R&gt;&lt;C&gt;1&lt;/C&gt;&lt;D xsi:type="xsd:double"&gt;1546.7&lt;/D&gt;&lt;/FQL&gt;&lt;FQL&gt;&lt;Q&gt;CRWV^FE_ESTIMATE(DEFREVENUE_ST,MEAN,ANNUAL_ROLL,2026,45970,,,'')&lt;/Q&gt;&lt;R&gt;1&lt;/R&gt;&lt;C&gt;1&lt;/C&gt;&lt;D xsi:type="xsd:double"&gt;2224.2014&lt;/D&gt;&lt;/FQL&gt;&lt;FQL&gt;&lt;Q&gt;CRWV^FE_ESTIMATE(DEFREVENUE_ST,MEAN,QUARTERLY_ROLL,2026/4F,45970,,,'')&lt;/Q&gt;&lt;R&gt;1&lt;/R&gt;&lt;C&gt;1&lt;/C&gt;&lt;D xsi:type="xsd:double"&gt;2224.2014&lt;/D&gt;&lt;/FQL&gt;&lt;FQL&gt;&lt;Q&gt;CRWV^FE_ESTIMATE(DEFREVENUE_ST,MEAN,QUARTERLY_ROLL,2026/3F,45970,,,'')&lt;/Q&gt;&lt;R&gt;1&lt;/R&gt;&lt;C&gt;1&lt;/C&gt;&lt;D xsi:type="xsd:double"&gt;2012.8602&lt;/D&gt;&lt;/FQL&gt;&lt;FQL&gt;&lt;Q&gt;CRWV^FE_ESTIMATE(DEFREVENUE_ST,MEAN,QUARTERLY_ROLL,2026/2F,45970,,,'')&lt;/Q&gt;&lt;R&gt;1&lt;/R&gt;&lt;C&gt;1&lt;/C&gt;&lt;D xsi:type="xsd:double"&gt;1776.3634&lt;/D&gt;&lt;/FQL&gt;&lt;FQL&gt;&lt;Q&gt;CRWV^FE_ESTIMATE(DEFREVENUE_ST,MEAN,QUARTERLY_ROLL,2026/1F,45970,,,'')&lt;/Q&gt;&lt;R&gt;1&lt;/R&gt;&lt;C&gt;1&lt;/C&gt;&lt;D xsi:type="xsd:double"&gt;1532.4705&lt;/D&gt;&lt;/FQL&gt;&lt;FQL&gt;&lt;Q&gt;CRWV^FE_ESTIMATE(DEFREVENUE_ST,MEAN,ANNUAL_ROLL,2025,45970,,,'')&lt;/Q&gt;&lt;R&gt;1&lt;/R&gt;&lt;C&gt;1&lt;/C&gt;&lt;D xsi:type="xsd:double"&gt;1110.041&lt;/D&gt;&lt;/FQL&gt;&lt;FQL&gt;&lt;Q&gt;CRWV^FE_ESTIMATE(DEFREVENUE_ST,MEAN,QUARTERLY_ROLL,2025/4F,45970,,,'')&lt;/Q&gt;&lt;R&gt;1&lt;/R&gt;&lt;C&gt;1&lt;/C&gt;&lt;D xsi:type="xsd:double"&gt;1110.041&lt;/D&gt;&lt;/FQL&gt;&lt;FQL&gt;&lt;Q&gt;CRWV^FE_ESTIMATE(DEFREVENUE_ST,MEAN,QUARTERLY_ROLL,2025/3F,45970,,,'')&lt;/Q&gt;&lt;R&gt;1&lt;/R&gt;&lt;C&gt;1&lt;/C&gt;&lt;D xsi:type="xsd:double"&gt;925.4826&lt;/D&gt;&lt;/FQL&gt;&lt;FQL&gt;&lt;Q&gt;CRWV^FE_ESTIMATE(DEFREVENUE_ST,MEAN,QUARTERLY_ROLL,2025/2F,45970,,,'')&lt;/Q&gt;&lt;R&gt;1&lt;/R&gt;&lt;C&gt;1&lt;/C&gt;&lt;D xsi:type="xsd:double"&gt;951.1892&lt;/D&gt;&lt;/FQL&gt;&lt;FQL&gt;&lt;Q&gt;CRWV^FE_ESTIMATE(DEFREVENUE_ST,MEAN,QUARTERLY_ROLL,2025/1F,45970,,,'')&lt;/Q&gt;&lt;R&gt;1&lt;/R&gt;&lt;C&gt;1&lt;/C&gt;&lt;D xsi:type="xsd:double"&gt;436.765&lt;/D&gt;&lt;/FQL&gt;&lt;FQL&gt;&lt;Q&gt;CRWV^FE_ESTIMATE(DEFREVENUE_ST,MEAN,ANNUAL_ROLL,2024,45970,,,'')&lt;/Q&gt;&lt;R&gt;1&lt;/R&gt;&lt;C&gt;1&lt;/C&gt;&lt;D xsi:type="xsd:double"&gt;768.9443&lt;/D&gt;&lt;/FQL&gt;&lt;FQL&gt;&lt;Q&gt;CRWV^FE_ESTIMATE(DEFREVENUE_ST,MEAN,QUARTERLY_ROLL,2024/4F,45970,,,'')&lt;/Q&gt;&lt;R&gt;1&lt;/R&gt;&lt;C&gt;1&lt;/C&gt;&lt;D xsi:type="xsd:double"&gt;768.9443&lt;/D&gt;&lt;/FQL&gt;&lt;FQL&gt;&lt;Q&gt;CRWV^FE_ESTIMATE(DEFREVENUE_ST,MEAN,QUARTERLY_ROLL,2024/3F,45970,,,'')&lt;/Q&gt;&lt;R&gt;0&lt;/R&gt;&lt;C&gt;0&lt;/C&gt;&lt;/FQL&gt;&lt;FQL&gt;&lt;Q&gt;CRWV^FE_ESTIMATE(DEFREVENUE_ST,MEAN,QUARTERLY_ROLL,2024/2F,45970,,,'')&lt;/Q&gt;&lt;R&gt;0&lt;/R&gt;&lt;C&gt;0&lt;/C&gt;&lt;/FQL&gt;&lt;FQL&gt;&lt;Q&gt;CRWV^FE_ESTIMATE(DEFREVENUE_ST,MEAN,QUARTERLY_ROLL,2024/1F,45970,,,'')&lt;/Q&gt;&lt;R&gt;0&lt;/R&gt;&lt;C&gt;0&lt;/C&gt;&lt;/FQL&gt;&lt;FQL&gt;&lt;Q&gt;CRWV^FE_ESTIMATE(DEFREVENUE_ST,MEAN,ANNUAL_ROLL,2023,45970,,,'')&lt;/Q&gt;&lt;R&gt;0&lt;/R&gt;&lt;C&gt;0&lt;/C&gt;&lt;/FQL&gt;&lt;FQL&gt;&lt;Q&gt;CRWV^FE_ESTIMATE(DEFREVENUE_ST,MEAN,QUARTERLY_ROLL,2023/4F,45970,,,'')&lt;/Q&gt;&lt;R&gt;0&lt;/R&gt;&lt;C&gt;0&lt;/C&gt;&lt;/FQL&gt;&lt;FQL&gt;&lt;Q&gt;CRWV^FE_ESTIMATE(DEFREVENUE_ST,MEAN,QUARTERLY_ROLL,2023/3F,45970,,,'')&lt;/Q&gt;&lt;R&gt;0&lt;/R&gt;&lt;C&gt;0&lt;/C&gt;&lt;/FQL&gt;&lt;FQL&gt;&lt;Q&gt;CRWV^FE_ESTIMATE(DEFREVENUE_ST,MEAN,QUARTERLY_ROLL,2023/2F,45970,,,'')&lt;/Q&gt;&lt;R&gt;0&lt;/R&gt;&lt;C&gt;0&lt;/C&gt;&lt;/FQL&gt;&lt;FQL&gt;&lt;Q&gt;CRWV^FE_ESTIMATE(DEFREVENUE_ST,MEAN,QUARTERLY_ROLL,2023/1F,45970,,,'')&lt;/Q&gt;&lt;R&gt;0&lt;/R&gt;&lt;C&gt;0&lt;/C&gt;&lt;/FQL&gt;&lt;FQL&gt;&lt;Q&gt;CRWV^FE_ESTIMATE(DEFREVENUE_ST,MEAN,ANNUAL_ROLL,2022,45970,,,'')&lt;/Q&gt;&lt;R&gt;0&lt;/R&gt;&lt;C&gt;0&lt;/C&gt;&lt;/FQL&gt;&lt;FQL&gt;&lt;Q&gt;CRWV^FE_ESTIMATE(DEFREVENUE_ST,MEAN,QUARTERLY_ROLL,2022/4F,45970,,,'')&lt;/Q&gt;&lt;R&gt;0&lt;/R&gt;&lt;C&gt;0&lt;/C&gt;&lt;/FQL&gt;&lt;FQL&gt;&lt;Q&gt;CRWV^FE_ESTIMATE(DEFREVENUE_ST,MEAN,QUARTERLY_ROLL,2022/3F,45970,,,'')&lt;/Q&gt;&lt;R&gt;0&lt;/R&gt;&lt;C&gt;0&lt;/C&gt;&lt;/FQL&gt;&lt;FQL&gt;&lt;Q&gt;CRWV^FE_ESTIMATE(DEFREVENUE_ST,MEAN,QUARTERLY_ROLL,2022/2F,45970,,,'')&lt;/Q&gt;&lt;R&gt;0&lt;/R&gt;&lt;C&gt;0&lt;/C&gt;&lt;/FQL&gt;&lt;FQL&gt;&lt;Q&gt;CRWV^FE_ESTIMATE(DEFREVENUE_ST,MEAN,QUARTERLY_ROLL,2022/1F,45970,,,'')&lt;/Q&gt;&lt;R&gt;0&lt;/R&gt;&lt;C&gt;0&lt;/C&gt;&lt;/FQL&gt;&lt;FQL&gt;&lt;Q&gt;CRWV^FE_ESTIMATE(FCF,MEAN,ANNUAL_ROLL,2029,45970,,,'')&lt;/Q&gt;&lt;R&gt;1&lt;/R&gt;&lt;C&gt;1&lt;/C&gt;&lt;D xsi:type="xsd:double"&gt;4661.55&lt;/D&gt;&lt;/FQL&gt;&lt;FQL&gt;&lt;Q&gt;CRWV^FE_ESTIMATE(FCF,MEAN,QUARTERLY_ROLL,2029/4F,45970,,,'')&lt;/Q&gt;&lt;R&gt;0&lt;/R&gt;&lt;C&gt;0&lt;/C&gt;&lt;/FQL&gt;&lt;FQL&gt;&lt;Q&gt;CRWV^FE_ESTIMATE(FCF,MEAN,QUARTERLY_ROLL,2029/3F,45970,,,'')&lt;/Q&gt;&lt;R&gt;0&lt;/R&gt;&lt;C&gt;0&lt;/C&gt;&lt;/FQL&gt;&lt;FQL&gt;&lt;Q&gt;CRWV^FE_ESTIMATE(FCF,MEAN,QUARTERLY_ROLL,2029/2F,45970,,,'')&lt;/Q&gt;&lt;R&gt;0&lt;/R&gt;&lt;C&gt;0&lt;/C&gt;&lt;/FQL&gt;&lt;FQL&gt;&lt;Q&gt;CRWV^FE_ESTIMATE(FCF,MEAN,QUARTERLY_ROLL,2029/1F,45970,,,'')&lt;/Q&gt;&lt;R&gt;0&lt;/R&gt;&lt;C&gt;0&lt;/C&gt;&lt;/FQL&gt;&lt;FQL&gt;&lt;Q&gt;CRWV^FE_ESTIMATE(FCF,MEAN,ANNUAL_ROLL,2028,45970,,,'')&lt;/Q&gt;&lt;R&gt;1&lt;/R&gt;&lt;C&gt;1&lt;/C&gt;&lt;D xsi:type="xsd:double"&gt;-1840.0042&lt;/D&gt;&lt;/FQL&gt;&lt;FQL&gt;&lt;Q&gt;CRWV^FE_ESTIMATE(FCF,MEAN,QUARTERLY_ROLL,2028/4F,45970,,,'')&lt;/Q&gt;&lt;R&gt;0&lt;/R&gt;&lt;C&gt;0&lt;/C&gt;&lt;/FQL&gt;&lt;FQL&gt;&lt;Q&gt;CRWV^FE_ESTIMATE(FCF,MEAN,QUARTERLY_ROLL,2028/3F,45970,,,'')&lt;/Q&gt;&lt;R&gt;0&lt;/R&gt;&lt;C&gt;0&lt;/C&gt;&lt;/FQL&gt;&lt;FQL&gt;&lt;Q&gt;CRWV^FE_ESTIMATE(FCF,MEAN,QUARTERLY_ROLL,2028/2F,45970,,,'')&lt;/Q&gt;&lt;R&gt;0&lt;/R&gt;&lt;C&gt;0&lt;/C&gt;&lt;/FQL&gt;&lt;FQL&gt;&lt;Q&gt;CRWV^FE_ESTIMATE(FCF,MEAN,QUARTERLY_ROLL,2028/1F,45970,,,'')&lt;/Q&gt;&lt;R&gt;0&lt;/R&gt;&lt;C&gt;0&lt;/C&gt;&lt;/FQL&gt;&lt;FQL&gt;&lt;Q&gt;CRWV^FE_ESTIMATE(FCF,MEAN,ANNUAL_ROLL,2027,45970,,,'')&lt;/Q&gt;&lt;R&gt;1&lt;/R&gt;&lt;C&gt;1&lt;/C&gt;&lt;D xsi:type="xsd:double"&gt;-4798.221&lt;/D&gt;&lt;/FQL&gt;&lt;FQL&gt;&lt;Q&gt;CRWV^FE_ESTIMATE(FCF,MEAN,QUARTERLY_ROLL,2027/4F,45970,,,'')&lt;/Q&gt;&lt;R&gt;0&lt;/R&gt;&lt;C&gt;0&lt;/C&gt;&lt;/FQL&gt;&lt;FQL&gt;&lt;Q&gt;CRWV^FE_ESTIMATE(FCF,MEAN,QUARTERLY_ROLL,2027/3F,45970,,,'')&lt;/Q&gt;&lt;R&gt;0&lt;/R&gt;&lt;C&gt;0&lt;/C&gt;&lt;/FQL&gt;&lt;FQL&gt;&lt;Q&gt;CRWV^FE_ESTIMATE(FCF,MEAN,QUARTERLY_ROLL,2027/2F,45970,,,'')&lt;/Q&gt;&lt;R&gt;0&lt;/R&gt;&lt;C&gt;0&lt;/C&gt;&lt;/FQL&gt;&lt;FQL&gt;&lt;Q&gt;CRWV^FE_ESTIMATE(FCF,MEAN,QUARTERLY_ROLL,2027/1F,45970,,,'')&lt;/Q&gt;&lt;R&gt;0&lt;/R&gt;&lt;C&gt;0&lt;/C&gt;&lt;/FQL&gt;&lt;FQL&gt;&lt;Q&gt;CRWV^FE_ESTIMATE(FCF,MEAN,ANNUAL_ROLL,2026,45970,,,'')&lt;/Q&gt;&lt;R&gt;1&lt;/R&gt;&lt;C&gt;1&lt;/C&gt;&lt;D xsi:type="xsd:double"&gt;-10561.946&lt;/D&gt;&lt;/FQL&gt;&lt;FQL&gt;&lt;Q&gt;CRWV^FE_ESTIMATE(FCF,MEAN,QUARTERLY_ROLL,2026/4F,45970,,,'')&lt;/Q&gt;&lt;R&gt;1&lt;/R&gt;&lt;C&gt;1&lt;/C&gt;&lt;D xsi:type="xsd:double"&gt;-1296&lt;/D&gt;&lt;/FQL&gt;&lt;FQL&gt;&lt;Q&gt;CRWV^FE_ESTIMATE(FCF,MEAN,QUARTERLY_ROLL,2026/3F,45970,,,'')&lt;/Q&gt;&lt;R&gt;1&lt;/R&gt;&lt;C&gt;1&lt;/C&gt;&lt;D xsi:type="xsd:double"&gt;-1733.3334&lt;/D&gt;&lt;/FQL&gt;&lt;FQL&gt;&lt;Q&gt;CRWV^FE_ESTIMATE(FCF,MEAN,QUARTERLY_ROLL,2026/2F,45970,,,'')&lt;/Q&gt;&lt;R&gt;1&lt;/R&gt;&lt;C&gt;1&lt;/C&gt;&lt;D xsi:type="xsd:double"&gt;-2359&lt;/D&gt;&lt;/FQL&gt;&lt;FQL&gt;&lt;Q&gt;CRWV^FE_ESTIMATE(FCF,MEAN,QUARTERLY_ROLL,2026/1F,45970,,,'')&lt;/Q&gt;&lt;R&gt;1&lt;/R&gt;&lt;C&gt;1&lt;/C&gt;&lt;D xsi:type="xsd:double"&gt;-2747&lt;/D&gt;&lt;/FQL&gt;&lt;FQL&gt;&lt;Q&gt;CRWV^FE_ESTIMATE(FCF,MEAN,ANNUAL_ROLL,2025,45970,,,'')&lt;/Q&gt;&lt;R&gt;1&lt;/R&gt;&lt;C&gt;1&lt;/C&gt;&lt;D xsi:type="xsd:double"&gt;-16617.94&lt;/D&gt;&lt;/FQL&gt;&lt;FQL&gt;&lt;Q&gt;CRWV^FE_ESTIMATE(FCF,MEAN,QUARTERLY_ROLL,2025/4F,45970,,,'')&lt;/Q&gt;&lt;R&gt;1&lt;/R&gt;&lt;C&gt;1&lt;/C&gt;&lt;D xsi:type="xsd:double"&gt;-9329&lt;/D&gt;&lt;/FQL&gt;&lt;FQL&gt;&lt;Q&gt;CRWV^FE_ESTIMATE(FCF,MEAN,QUARTERLY_ROLL,2025/3F,45970,,,'')&lt;/Q&gt;&lt;R&gt;1&lt;/R&gt;&lt;C&gt;1&lt;/C&gt;&lt;D xsi:type="xsd:double"&gt;-2438.6287&lt;/D&gt;&lt;/FQL&gt;&lt;FQL&gt;&lt;Q&gt;CRWV^FE_ESTIMATE(FCF,MEAN,QUARTERLY_ROLL,2025/2F,45970,,,'')&lt;/Q&gt;&lt;R&gt;1&lt;/R&gt;&lt;C&gt;1&lt;/C&gt;&lt;D xsi:type="xsd:double"&gt;-2783.9143&lt;/D&gt;&lt;/FQL&gt;&lt;FQL&gt;&lt;Q&gt;CRWV^FE_ESTIMATE(FCF,MEAN,QUARTERLY_ROLL,2025/1F,45970,,,'')&lt;/Q&gt;&lt;R&gt;1&lt;/R&gt;&lt;C&gt;1&lt;/C&gt;&lt;D xsi:type="xsd:double"&gt;-1346&lt;/D&gt;&lt;/FQL&gt;&lt;FQL&gt;&lt;Q&gt;CRWV^FE_ESTIMATE(FCF,MEAN,ANNUAL_ROLL,2024,45970,,,'')&lt;/Q&gt;&lt;R&gt;1&lt;/R&gt;&lt;C&gt;1&lt;/C&gt;&lt;D xsi:type="xsd:double"&gt;-5952.9443&lt;/D&gt;&lt;/FQL&gt;&lt;FQL&gt;&lt;Q&gt;CRWV^FE_ESTIMATE(FCF,MEAN,QUARTERLY_ROLL,2024/4F,45970,,,'')&lt;/Q&gt;&lt;R&gt;1&lt;/R&gt;&lt;C&gt;1&lt;/C&gt;&lt;D xsi:type="xsd:double"&gt;-3476&lt;/D&gt;&lt;/FQL&gt;&lt;FQL&gt;&lt;Q&gt;CRWV^FE_ESTIMATE(FCF,MEAN,QUARTERLY_ROLL,2024/3F,45970,,,'')&lt;/Q&gt;&lt;R&gt;0&lt;/R&gt;&lt;C&gt;0&lt;/C&gt;&lt;/FQL&gt;&lt;FQL&gt;&lt;Q&gt;CRWV^FE_ESTIMATE(FCF,MEAN,QUARTERLY_ROLL,2024/2F,45970,,,'')&lt;/Q&gt;&lt;R&gt;0&lt;/R&gt;&lt;C&gt;0&lt;/C&gt;&lt;/FQL&gt;&lt;FQL&gt;&lt;Q&gt;CRWV^FE_ESTIMATE(FCF,MEAN,QUARTERLY_ROLL,2024/1F,45970,,,'')&lt;/Q&gt;&lt;R&gt;0&lt;/R&gt;&lt;C&gt;0&lt;/C&gt;&lt;/FQL&gt;&lt;FQL&gt;&lt;Q&gt;CRWV^FE_ESTIMATE(FCF,MEAN,ANNUAL_ROLL,2023,45970,,,'')&lt;/Q&gt;&lt;R&gt;0&lt;/R&gt;&lt;C&gt;0&lt;/C&gt;&lt;/FQL&gt;&lt;FQL&gt;&lt;Q&gt;CRWV^FE_ESTIMATE(FCF,MEAN,QUARTERLY_ROLL,2023/4F,45970,,,'')&lt;/Q&gt;&lt;R&gt;0&lt;/R&gt;&lt;C&gt;0&lt;/C&gt;&lt;/FQL&gt;&lt;FQL&gt;&lt;Q&gt;CRWV^FE_ESTIMATE(FCF,MEAN,QUARTERLY_ROLL,2023/3F,45970,,,'')&lt;/Q&gt;&lt;R&gt;0&lt;/R&gt;&lt;C&gt;0&lt;/C&gt;&lt;/FQL&gt;&lt;FQL&gt;&lt;Q&gt;CRWV^FE_ESTIMATE(FCF,MEAN,QUARTERLY_ROLL,2023/2F,45970,,,'')&lt;/Q&gt;&lt;R&gt;0&lt;/R&gt;&lt;C&gt;0&lt;/C&gt;&lt;/FQL&gt;&lt;FQL&gt;&lt;Q&gt;CRWV^FE_ESTIMATE(FCF,MEAN,QUARTERLY_ROLL,2023/1F,45970,,,'')&lt;/Q&gt;&lt;R&gt;0&lt;/R&gt;&lt;C&gt;0&lt;/C&gt;&lt;/FQL&gt;&lt;FQL&gt;&lt;Q&gt;CRWV^FE_ESTIMATE(FCF,MEAN,ANNUAL_ROLL,2022,45970,,,'')&lt;/Q&gt;&lt;R&gt;0&lt;/R&gt;&lt;C&gt;0&lt;/C&gt;&lt;/FQL&gt;&lt;FQL&gt;&lt;Q&gt;CRWV^FE_ESTIMATE(FCF,MEAN,QUARTERLY_ROLL,2022/4F,45970,,,'')&lt;/Q&gt;&lt;R&gt;0&lt;/R&gt;&lt;C&gt;0&lt;/C&gt;&lt;/FQL&gt;&lt;FQL&gt;&lt;Q&gt;CRWV^FE_ESTIMATE(FCF,MEAN,QUARTERLY_ROLL,2022/3F,45970,,,'')&lt;/Q&gt;&lt;R&gt;0&lt;/R&gt;&lt;C&gt;0&lt;/C&gt;&lt;/FQL&gt;&lt;FQL&gt;&lt;Q&gt;CRWV^FE_ESTIMATE(FCF,MEAN,QUARTERLY_ROLL,2022/2F,45970,,,'')&lt;/Q&gt;&lt;R&gt;0&lt;/R&gt;&lt;C&gt;0&lt;/C&gt;&lt;/FQL&gt;&lt;FQL&gt;&lt;Q&gt;CRWV^FE_ESTIMATE(FCF,MEAN,QUARTERLY_ROLL,2022/1F,45970,,,'')&lt;/Q&gt;&lt;R&gt;0&lt;/R&gt;&lt;C&gt;0&lt;/C&gt;&lt;/FQL&gt;&lt;FQL&gt;&lt;Q&gt;CRWV^FE_ESTIMATE(CAPEX,MEAN,ANNUAL_ROLL,2029,45970,,,'')&lt;/Q&gt;&lt;R&gt;1&lt;/R&gt;&lt;C&gt;1&lt;/C&gt;&lt;D xsi:type="xsd:double"&gt;15975.85&lt;/D&gt;&lt;/FQL&gt;&lt;FQL&gt;&lt;Q&gt;CRWV^FE_ESTIMATE(CAPEX,MEAN,QUARTERLY_ROLL,2029/4F,45970,,,'')&lt;/Q&gt;&lt;R&gt;0&lt;/R&gt;&lt;C&gt;0&lt;/C&gt;&lt;/FQL&gt;&lt;FQL&gt;&lt;Q&gt;CRWV^FE_ESTIMATE(CAPEX,MEAN,QUARTERLY_ROLL,2029/3F,45970,,,'')&lt;/Q&gt;&lt;R&gt;0&lt;/R&gt;&lt;C&gt;0&lt;/C&gt;&lt;/FQL&gt;&lt;FQL&gt;&lt;Q&gt;CRWV^FE_ESTIMATE(CAPEX,MEAN,QUARTERLY_ROLL,2029/2F,45970,,,'')&lt;/Q&gt;&lt;R&gt;0&lt;/R&gt;&lt;C&gt;0&lt;/C&gt;&lt;/FQL&gt;&lt;FQL&gt;&lt;Q&gt;CRWV^FE_ESTIMATE(CAPEX,MEAN,QUARTERLY_ROLL,2029/1F,45970,,,'')&lt;/Q&gt;&lt;R&gt;0&lt;/R&gt;&lt;C&gt;0&lt;/C&gt;&lt;/FQL&gt;&lt;FQL&gt;&lt;Q&gt;CRWV^FE_ESTIMATE(CAPEX,MEAN,ANNUAL_ROLL,2028,45970,,,'')&lt;/Q&gt;&lt;R&gt;1&lt;/R&gt;&lt;C&gt;1&lt;/C&gt;&lt;D xsi:type="xsd:double"&gt;18605.6&lt;/D&gt;&lt;/FQL&gt;&lt;FQL&gt;&lt;Q&gt;CRWV^FE_ESTIMATE(CAPEX,MEAN,QUARTERLY_ROLL,2028/4F,45970,,,'')&lt;/Q&gt;&lt;R&gt;0&lt;/R&gt;&lt;C&gt;0&lt;/C&gt;&lt;/FQL&gt;&lt;FQL&gt;&lt;Q&gt;CRWV^FE_ESTIMATE(CAPEX,MEAN,QUARTERLY_ROLL,2028/3F,45970,,,'')&lt;/Q&gt;&lt;R&gt;0&lt;/R&gt;&lt;C&gt;0&lt;/C&gt;&lt;/FQL&gt;&lt;FQL&gt;&lt;Q&gt;CRWV^FE_ESTIMATE(CAPEX,MEAN,QUARTERLY_ROLL,2028/2F,45970,,,'')&lt;/Q&gt;&lt;R&gt;0&lt;/R&gt;&lt;C&gt;0&lt;/C&gt;&lt;/FQL&gt;&lt;FQL&gt;&lt;Q&gt;CRWV^FE_ESTIMATE(CAPEX,MEAN,QUARTERLY_ROLL,2028/1F,45970,,,'')&lt;/Q&gt;&lt;R&gt;0&lt;/R&gt;&lt;C&gt;0&lt;/C&gt;&lt;/FQL&gt;&lt;FQL&gt;&lt;Q&gt;CRWV^FE_ESTIMATE(CAPEX,MEAN,ANNUAL_ROLL,2027,45970,,,'')&lt;/Q&gt;&lt;R&gt;1&lt;/R&gt;&lt;C&gt;1&lt;/C&gt;&lt;D xsi:type="xsd:double"&gt;16330.655&lt;/D&gt;&lt;/FQL&gt;&lt;FQL&gt;&lt;Q&gt;CRWV^FE_ESTIMATE(CAPEX,MEAN,QUARTERLY_ROLL,2027/4F,45970,,,'')&lt;/Q&gt;&lt;R&gt;1&lt;/R&gt;&lt;C&gt;1&lt;/C&gt;&lt;D xsi:type="xsd:double"&gt;5300.1&lt;/D&gt;&lt;/FQL&gt;&lt;FQL&gt;&lt;Q&gt;CRWV^FE_ESTIMATE(CAPEX,MEAN,QUARTERLY_ROLL,2027/3F,45970,,,'')&lt;/Q&gt;&lt;R&gt;1&lt;/R&gt;&lt;C&gt;1&lt;/C&gt;&lt;D xsi:type="xsd:double"&gt;5300.1&lt;/D&gt;&lt;/FQL&gt;&lt;FQL&gt;&lt;Q&gt;CRWV^FE_ESTIMATE(CAPEX,MEAN,QUARTERLY_ROLL,2027/2F,45970,,,'')&lt;/Q&gt;&lt;R&gt;1&lt;/R&gt;&lt;C&gt;1&lt;/C&gt;&lt;D xsi:type="xsd:double"&gt;5300.1&lt;/D&gt;&lt;/FQL&gt;&lt;FQL&gt;&lt;Q&gt;CRWV^FE_ESTIMATE(CAPEX,MEAN,QUARTERLY_ROLL,2027/1F,45970,,,'')&lt;/Q&gt;&lt;R&gt;1&lt;/R&gt;&lt;C&gt;1&lt;/C&gt;&lt;D xsi:type="xsd:double"&gt;5300.1&lt;/D&gt;&lt;/FQL&gt;&lt;FQL&gt;&lt;Q&gt;CRWV^FE_ESTIMATE(CAPEX,MEAN,ANNUAL_ROLL,2026,45970,,,'')&lt;/Q&gt;&lt;R&gt;1&lt;/R&gt;&lt;C&gt;1&lt;/C&gt;&lt;D xsi:type="xsd:double"&gt;17992.283&lt;/D&gt;&lt;/FQL&gt;&lt;FQL&gt;&lt;Q&gt;CRWV^FE_ESTIMATE(CAPEX,MEAN,QUARTERLY_ROLL,2026/4F,45970,,,'')&lt;/Q&gt;&lt;R&gt;1&lt;/R&gt;&lt;C&gt;1&lt;/C&gt;&lt;D xsi:type="xsd:double"&gt;3844.84&lt;/D&gt;&lt;/FQL&gt;&lt;FQL&gt;&lt;Q&gt;CRWV^FE_ESTIMATE(CAPEX,MEAN,QUARTERLY_ROLL,2026/3F,45970,,,'')&lt;/Q&gt;&lt;R&gt;1&lt;/R&gt;&lt;C&gt;1&lt;/C&gt;&lt;D xsi:type="xsd:double"&gt;3855.04&lt;/D&gt;&lt;/FQL&gt;&lt;FQL&gt;&lt;Q&gt;CRWV^FE_ESTIMATE(CAPEX,MEAN,QUARTERLY_ROLL,2026/2F,45970,,,'')&lt;/Q&gt;&lt;R&gt;1&lt;/R&gt;&lt;C&gt;1&lt;/C&gt;&lt;D xsi:type="xsd:double"&gt;4008.86&lt;/D&gt;&lt;/FQL&gt;&lt;FQL&gt;&lt;Q&gt;CRWV^FE_ESTIMATE(CAPEX,MEAN,QUARTERLY_ROLL,2026/1F,45970,,,'')&lt;/Q&gt;&lt;R&gt;1&lt;/R&gt;&lt;C&gt;1&lt;/C&gt;&lt;D xsi:type="xsd:double"&gt;4275.1&lt;/D&gt;&lt;/FQL&gt;&lt;FQL&gt;&lt;Q&gt;CRWV^FE_ESTIMATE(CAPEX,MEAN,ANNUAL_ROLL,2025,45970,,,'')&lt;/Q&gt;&lt;R&gt;1&lt;/R&gt;&lt;C&gt;1&lt;/C&gt;&lt;D xsi:type="xsd:double"&gt;20849.693&lt;/D&gt;&lt;/FQL&gt;&lt;FQL&gt;&lt;Q&gt;CRWV^FE_ESTIMATE(CAPEX,MEAN,QUARTERLY_ROLL,2025/4F,45970,,,'')&lt;/Q&gt;&lt;R&gt;1&lt;/R&gt;&lt;C&gt;1&lt;/C&gt;&lt;D xsi:type="xsd:double"&gt;13295.45&lt;/D&gt;&lt;/FQL&gt;&lt;FQL&gt;&lt;Q&gt;CRWV^FE_ESTIMATE(CAPEX,MEAN,QUARTERLY_ROLL,2025/3F,45970,,,'')&lt;/Q&gt;&lt;R&gt;1&lt;/R&gt;&lt;C&gt;1&lt;/C&gt;&lt;D xsi:type="xsd:double"&gt;3709.189&lt;/D&gt;&lt;/FQL&gt;&lt;FQL&gt;&lt;Q&gt;CRWV^FE_ESTIMATE(CAPEX,MEAN,QUARTERLY_ROLL,2025/2F,45970,,,'')&lt;/Q&gt;&lt;R&gt;1&lt;/R&gt;&lt;C&gt;1&lt;/C&gt;&lt;D xsi:type="xsd:double"&gt;2452.992&lt;/D&gt;&lt;/FQL&gt;&lt;FQL&gt;&lt;Q&gt;CRWV^FE_ESTIMATE(CAPEX,MEAN,QUARTERLY_ROLL,2025/1F,45970,,,'')&lt;/Q&gt;&lt;R&gt;1&lt;/R&gt;&lt;C&gt;1&lt;/C&gt;&lt;D xsi:type="xsd:double"&gt;1407.359&lt;/D&gt;&lt;/FQL&gt;&lt;FQL&gt;&lt;Q&gt;CRWV^FE_ESTIMATE(CAPEX,MEAN,ANNUAL_ROLL,2024,45970,,,'')&lt;/Q&gt;&lt;R&gt;1&lt;/R&gt;&lt;C&gt;1&lt;/C&gt;&lt;D xsi:type="xsd:double"&gt;8770.176&lt;/D&gt;&lt;/FQL&gt;&lt;FQL&gt;&lt;Q&gt;CRWV^FE_ESTIMATE(CAPEX,MEAN,QUARTERLY_ROLL,2024/4F,45970,,,'')&lt;/Q&gt;&lt;R&gt;1&lt;/R&gt;&lt;C&gt;1&lt;/C&gt;&lt;D xsi:type="xsd:double"&gt;3151.0667&lt;/D&gt;&lt;/FQL&gt;&lt;FQL&gt;&lt;Q&gt;CRWV^FE_ESTIMATE(CAPEX,MEAN,QUARTERLY_ROLL,2024/3F,45970,,,'')&lt;/Q&gt;&lt;R&gt;0&lt;/R&gt;&lt;C&gt;0&lt;/C&gt;&lt;/FQL&gt;&lt;FQL&gt;&lt;Q&gt;CRWV^FE_ESTIMATE(CAPEX,MEAN,QUARTERLY_ROLL,2024/2F,45970,,,'')&lt;/Q&gt;&lt;R&gt;0&lt;/R&gt;&lt;C&gt;0&lt;/C&gt;&lt;/FQL&gt;&lt;FQL&gt;&lt;Q&gt;CRWV^FE_ESTIMATE(CAPEX,MEAN,QUARTERLY_ROLL,2024/1F,45970,,,'')&lt;/Q&gt;&lt;R&gt;0&lt;/R&gt;&lt;C&gt;0&lt;/C&gt;&lt;/FQL&gt;&lt;FQL&gt;&lt;Q&gt;CRWV^FE_ESTIMATE(CAPEX,MEAN,ANNUAL_ROLL,2023,45970,,,'')&lt;/Q&gt;&lt;R&gt;0&lt;/R&gt;&lt;C&gt;0&lt;/C&gt;&lt;/FQL&gt;&lt;FQL&gt;&lt;Q&gt;CRWV^FE_ESTIMATE(CAPEX,MEAN,QUARTERLY_ROLL,2023/4F,45970,,,'')&lt;/Q&gt;&lt;R&gt;0&lt;/R&gt;&lt;C&gt;0&lt;/C&gt;&lt;/FQL&gt;&lt;FQL&gt;&lt;Q&gt;CRWV^FE_ESTIMATE(CAPEX,MEAN,QUARTERLY_ROLL,2023/3F,45970,,,'')&lt;/Q&gt;&lt;R&gt;0&lt;/R&gt;&lt;C&gt;0&lt;/C&gt;&lt;/FQL&gt;&lt;FQL&gt;&lt;Q&gt;CRWV^FE_ESTIMATE(CAPEX,MEAN,QUARTERLY_ROLL,2023/2F,45970,,,'')&lt;/Q&gt;&lt;R&gt;0&lt;/R&gt;&lt;C&gt;0&lt;/C&gt;&lt;/FQL&gt;&lt;FQL&gt;&lt;Q&gt;CRWV^FE_ESTIMATE(CAPEX,MEAN,QUARTERLY_ROLL,2023/1F,45970,,,'')&lt;/Q&gt;&lt;R&gt;0&lt;/R&gt;&lt;C&gt;0&lt;/C&gt;&lt;/FQL&gt;&lt;FQL&gt;&lt;Q&gt;CRWV^FE_ESTIMATE(CAPEX,MEAN,ANNUAL_ROLL,2022,45970,,,'')&lt;/Q&gt;&lt;R&gt;0&lt;/R&gt;&lt;C&gt;0&lt;/C&gt;&lt;/FQL&gt;&lt;FQL&gt;&lt;Q&gt;CRWV^FE_ESTIMATE(CAPEX,MEAN,QUARTERLY_ROLL,2022/4F,45970,,,'')&lt;/Q&gt;&lt;R&gt;0&lt;/R&gt;&lt;C&gt;0&lt;/C&gt;&lt;/FQL&gt;&lt;FQL&gt;&lt;Q&gt;CRWV^FE_ESTIMATE(CAPEX,MEAN,QUARTERLY_ROLL,2022/3F,45970,,,'')&lt;/Q&gt;&lt;R&gt;0&lt;/R&gt;&lt;C&gt;0&lt;/C&gt;&lt;/FQL&gt;&lt;FQL&gt;&lt;Q&gt;CRWV^FE_ESTIMATE(CAPEX,MEAN,QUARTERLY_ROLL,2022/2F,45970,,,'')&lt;/Q&gt;&lt;R&gt;0&lt;/R&gt;&lt;C&gt;0&lt;/C&gt;&lt;/FQL&gt;&lt;FQL&gt;&lt;Q&gt;CRWV^FE_ESTIMATE(CAPEX,MEAN,QUARTERLY_ROLL,2022/1F,45970,,,'')&lt;/Q&gt;&lt;R&gt;0&lt;/R&gt;&lt;C&gt;0&lt;/C&gt;&lt;/FQL&gt;&lt;FQL&gt;&lt;Q&gt;CRWV^FE_ESTIMATE(CFO,MEAN,ANNUAL_ROLL,2029,45970,,,'')&lt;/Q&gt;&lt;R&gt;0&lt;/R&gt;&lt;C&gt;0&lt;/C&gt;&lt;/FQL&gt;&lt;FQL&gt;&lt;Q&gt;CRWV^FE_ESTIMATE(CFO,MEAN,QUARTERLY_ROLL,2029/4F,45970,,,'')&lt;/Q&gt;&lt;R&gt;0&lt;/R&gt;&lt;C&gt;0&lt;/C&gt;&lt;/FQL&gt;&lt;FQL&gt;&lt;Q&gt;CRWV^FE_ESTIMATE(CFO,MEAN,QUARTERLY_ROLL,2029/3F,45970,,,'')&lt;/Q&gt;&lt;R&gt;0&lt;/R&gt;&lt;C&gt;0&lt;/C&gt;&lt;/FQL&gt;&lt;FQL&gt;&lt;Q&gt;CRWV^FE_ESTIMATE(CFO,MEAN,QUARTERLY_ROLL,2029/2F,45970,,,'')&lt;/Q&gt;&lt;R&gt;0&lt;/R&gt;&lt;C&gt;0&lt;/C&gt;&lt;/FQL&gt;&lt;FQL&gt;&lt;Q&gt;CRWV^FE_ESTIMATE(CFO,MEAN,QUARTERLY_ROLL,2029/1F,45970,,,'')&lt;/Q&gt;&lt;R&gt;0&lt;/R&gt;&lt;C&gt;0&lt;/C&gt;&lt;/FQL&gt;&lt;FQL&gt;&lt;Q&gt;CRWV^FE_ESTIMATE(CFO,MEAN,ANNUAL_ROLL,2028,45970,,,'')&lt;/Q&gt;&lt;R&gt;0&lt;/R&gt;&lt;C&gt;0&lt;/C&gt;&lt;/FQL&gt;&lt;FQL&gt;&lt;Q&gt;CRWV^FE_ESTIMATE(CFO,MEAN,QUARTERLY_ROLL,2028/4F,45970,,,'')&lt;/Q&gt;&lt;R&gt;0&lt;/R&gt;&lt;C&gt;0&lt;/C&gt;&lt;/FQL&gt;&lt;FQL&gt;&lt;Q&gt;CRWV^FE_ESTIMATE(CFO,MEAN,QUARTERLY_ROLL,2028/3F,45970,,,'')&lt;/Q&gt;&lt;R&gt;0&lt;/R&gt;&lt;C&gt;0&lt;/C&gt;&lt;/FQL&gt;&lt;FQL&gt;&lt;Q&gt;CRWV^FE_ESTIMATE(CFO,MEAN,QUARTERLY_ROLL,2028/2F,45970,,,'')&lt;/Q&gt;&lt;R&gt;0&lt;/R&gt;&lt;C&gt;0&lt;/C&gt;&lt;/FQL&gt;&lt;FQL&gt;&lt;Q&gt;CRWV^FE_ESTIMATE(CFO,MEAN,QUARTERLY_ROLL,2028/1F,45970,,,'')&lt;/Q&gt;&lt;R&gt;0&lt;/R&gt;&lt;C&gt;0&lt;/C&gt;&lt;/FQL&gt;&lt;FQL&gt;&lt;Q&gt;CRWV^FE_ESTIMATE(CFO,MEAN,ANNUAL_ROLL,2027,45970,,,'')&lt;/Q&gt;&lt;R&gt;1&lt;/R&gt;&lt;C&gt;1&lt;/C&gt;&lt;D xsi:type="xsd:double"&gt;11356.98&lt;/D&gt;&lt;/FQL&gt;&lt;FQL&gt;&lt;Q&gt;CRWV^FE_ESTIMATE(CFO,MEAN,QUARTERLY_ROLL,2027/4F,45970,,,'')&lt;/Q&gt;&lt;R&gt;1&lt;/R&gt;&lt;C&gt;1&lt;/C&gt;&lt;D xsi:type="xsd:double"&gt;3531.1&lt;/D&gt;&lt;/FQL&gt;&lt;FQL&gt;&lt;Q&gt;CRWV^FE_ESTIMATE(CFO,MEAN,QUARTERLY_ROLL,2027/3F,45970,,,'')&lt;/Q&gt;&lt;R&gt;1&lt;/R&gt;&lt;C&gt;1&lt;/C&gt;&lt;D xsi:type="xsd:double"&gt;2803.7&lt;/D&gt;&lt;/FQL&gt;&lt;FQL&gt;&lt;Q&gt;CRWV^FE_ESTIMATE(CFO,MEAN,QUARTERLY_ROLL,2027/2F,45970,,,'')&lt;/Q&gt;&lt;R&gt;1&lt;/R&gt;&lt;C&gt;1&lt;/C&gt;&lt;D xsi:type="xsd:double"&gt;2630.8&lt;/D&gt;&lt;/FQL&gt;&lt;FQL&gt;&lt;Q&gt;CRWV^FE_ESTIMATE(CFO,MEAN,QUARTERLY_ROLL,2027/1F,45970,,,'')&lt;/Q&gt;&lt;R&gt;1&lt;/R&gt;&lt;C&gt;1&lt;/C&gt;&lt;D xsi:type="xsd:double"&gt;1918.9&lt;/D&gt;&lt;/FQL&gt;&lt;FQL&gt;&lt;Q&gt;CRWV^FE_ESTIMATE(CFO,MEAN,ANNUAL_ROLL,2026,45970,,,'')&lt;/Q&gt;&lt;R&gt;1&lt;/R&gt;&lt;C&gt;1&lt;/C&gt;&lt;D xsi:type="xsd:double"&gt;8721.087&lt;/D&gt;&lt;/FQL&gt;&lt;FQL&gt;&lt;Q&gt;CRWV^FE_ESTIMATE(CFO,MEAN,QUARTERLY_ROLL,2026/4F,45970,,,'')&lt;/Q&gt;&lt;R&gt;1&lt;/R&gt;&lt;C&gt;1&lt;/C&gt;&lt;D xsi:type="xsd:double"&gt;2162.58&lt;/D&gt;&lt;/FQL&gt;&lt;FQL&gt;&lt;Q&gt;CRWV^FE_ESTIMATE(CFO,MEAN,QUARTERLY_ROLL,2026/3F,45970,,,'')&lt;/Q&gt;&lt;R&gt;1&lt;/R&gt;&lt;C&gt;1&lt;/C&gt;&lt;D xsi:type="xsd:double"&gt;2187.6&lt;/D&gt;&lt;/FQL&gt;&lt;FQL&gt;&lt;Q&gt;CRWV^FE_ESTIMATE(CFO,MEAN,QUARTERLY_ROLL,2026/2F,45970,,,'')&lt;/Q&gt;&lt;R&gt;1&lt;/R&gt;&lt;C&gt;1&lt;/C&gt;&lt;D xsi:type="xsd:double"&gt;1941.54&lt;/D&gt;&lt;/FQL&gt;&lt;FQL&gt;&lt;Q&gt;CRWV^FE_ESTIMATE(CFO,MEAN,QUARTERLY_ROLL,2026/1F,45970,,,'')&lt;/Q&gt;&lt;R&gt;1&lt;/R&gt;&lt;C&gt;1&lt;/C&gt;&lt;D xsi:type="xsd:double"&gt;1832.44&lt;/D&gt;&lt;/FQL&gt;&lt;FQL&gt;&lt;Q&gt;CRWV^FE_ESTIMATE(CFO,MEAN,ANNUAL_ROLL,2025,45970,,,'')&lt;/Q&gt;&lt;R&gt;1&lt;/R&gt;&lt;C&gt;1&lt;/C&gt;&lt;D xsi:type="xsd:double"&gt;3081.7092&lt;/D&gt;&lt;/FQL&gt;&lt;FQL&gt;&lt;Q&gt;CRWV^FE_ESTIMATE(CFO,MEAN,QUARTERLY_ROLL,2025/4F,45970,,,'')&lt;/Q&gt;&lt;R&gt;1&lt;/R&gt;&lt;C&gt;1&lt;/C&gt;&lt;D xsi:type="xsd:double"&gt;2542.5&lt;/D&gt;&lt;/FQL&gt;&lt;FQL&gt;&lt;Q&gt;CRWV^FE_ESTIMATE(CFO,MEAN,QUARTERLY_ROLL,2025/3F,45970,,,'')&lt;/Q&gt;&lt;R&gt;1&lt;/R&gt;&lt;C&gt;1&lt;/C&gt;&lt;D xsi:type="xsd:double"&gt;917.24286&lt;/D&gt;&lt;/FQL&gt;&lt;FQL&gt;&lt;Q&gt;CRWV^FE_ESTIMATE(CFO,MEAN,QUARTERLY_ROLL,2025/2F,45970,,,'')&lt;/Q&gt;&lt;R&gt;1&lt;/R&gt;&lt;C&gt;1&lt;/C&gt;&lt;D xsi:type="xsd:double"&gt;-251.8&lt;/D&gt;&lt;/FQL&gt;&lt;FQL&gt;&lt;Q&gt;CRWV^FE_ESTIMATE(CFO,MEAN,QUARTERLY_ROLL,2025/1F,45970,,,'')&lt;/Q&gt;&lt;R&gt;1&lt;/R&gt;&lt;C&gt;1&lt;/C&gt;&lt;D xsi:type="xsd:double"&gt;61.04&lt;/D&gt;&lt;/FQL&gt;&lt;FQL&gt;&lt;Q&gt;CRWV^FE_ESTIMATE(CFO,MEAN,ANNUAL_ROLL,2024,45970,,,'')&lt;/Q&gt;&lt;R&gt;1&lt;/R&gt;&lt;C&gt;1&lt;/C&gt;&lt;D xsi:type="xsd:double"&gt;2749.104&lt;/D&gt;&lt;/FQL&gt;&lt;FQL&gt;&lt;Q&gt;CRWV^FE_ESTIMATE(CFO,MEAN,QUARTERLY_ROLL,2024/4F,45970,,,'')&lt;/Q&gt;&lt;R&gt;1&lt;/R&gt;&lt;C&gt;1&lt;/C&gt;&lt;D xsi:type="xsd:double"&gt;-323.43332&lt;/D&gt;&lt;/FQL&gt;&lt;FQL&gt;&lt;Q&gt;CRWV^FE_ESTIMATE(CFO,MEAN,QUARTERLY_ROLL,2024/3F,45970,,,'')&lt;/Q&gt;&lt;R&gt;0&lt;/R&gt;&lt;C&gt;0&lt;/C&gt;&lt;/FQL&gt;&lt;FQL&gt;&lt;Q&gt;CRWV^FE_ESTIMATE(CFO,MEAN,QUARTERLY_ROLL,2024/2F,45970,,,'')&lt;/Q&gt;&lt;R&gt;0&lt;/R&gt;&lt;C&gt;0&lt;/C&gt;&lt;/FQL&gt;&lt;FQL&gt;&lt;Q&gt;CRWV^FE_ESTIMATE(CFO,MEAN,QUARTERLY_ROLL,2024/1F,45970,,,'')&lt;/Q&gt;&lt;R&gt;0&lt;/R&gt;&lt;C&gt;0&lt;/C&gt;&lt;/FQL&gt;&lt;FQL&gt;&lt;Q&gt;CRWV^FE_ESTIMATE(CFO,MEAN,ANNUAL_ROLL,2023,45970,,,'')&lt;/Q&gt;&lt;R&gt;0&lt;/R&gt;&lt;C&gt;0&lt;/C&gt;&lt;/FQL&gt;&lt;FQL&gt;&lt;Q&gt;CRWV^FE_ESTIMATE(CFO,MEAN,QUARTERLY_ROLL,2023/4F,45970,,,'')&lt;/Q&gt;&lt;R&gt;0&lt;/R&gt;&lt;C&gt;0&lt;/C&gt;&lt;/FQL&gt;&lt;FQL&gt;&lt;Q&gt;CRWV^FE_ESTIMATE(CFO,MEAN,QUARTERLY_ROLL,2023/3F,45970,,,'')&lt;/Q&gt;&lt;R&gt;0&lt;/R&gt;&lt;C&gt;0&lt;/C&gt;&lt;/FQL&gt;&lt;FQL&gt;&lt;Q&gt;CRWV^FE_ESTIMATE(CFO,MEAN,QUARTERLY_ROLL,2023/2F,45970,,,'')&lt;/Q&gt;&lt;R&gt;0&lt;/R&gt;&lt;C&gt;0&lt;/C&gt;&lt;/FQL&gt;&lt;FQL&gt;&lt;Q&gt;CRWV^FE_ESTIMATE(CFO,MEAN,QUARTERLY_ROLL,2023/1F,45970,,,'')&lt;/Q&gt;&lt;R&gt;0&lt;/R&gt;&lt;C&gt;0&lt;/C&gt;&lt;/FQL&gt;&lt;FQL&gt;&lt;Q&gt;CRWV^FE_ESTIMATE(CFO,MEAN,ANNUAL_ROLL,2022,45970,,,'')&lt;/Q&gt;&lt;R&gt;0&lt;/R&gt;&lt;C&gt;0&lt;/C&gt;&lt;/FQL&gt;&lt;FQL&gt;&lt;Q&gt;CRWV^FE_ESTIMATE(CFO,MEAN,QUARTERLY_ROLL,2022/4F,45970,,,'')&lt;/Q&gt;&lt;R&gt;0&lt;/R&gt;&lt;C&gt;0&lt;/C&gt;&lt;/FQL&gt;&lt;FQL&gt;&lt;Q&gt;CRWV^FE_ESTIMATE(CFO,MEAN,QUARTERLY_ROLL,2022/3F,45970,,,'')&lt;/Q&gt;&lt;R&gt;0&lt;/R&gt;&lt;C&gt;0&lt;/C&gt;&lt;/FQL&gt;&lt;FQL&gt;&lt;Q&gt;CRWV^FE_ESTIMATE(CFO,MEAN,QUARTERLY_ROLL,2022/2F,45970,,,'')&lt;/Q&gt;&lt;R&gt;0&lt;/R&gt;&lt;C&gt;0&lt;/C&gt;&lt;/FQL&gt;&lt;FQL&gt;&lt;Q&gt;CRWV^FE_ESTIMATE(CFO,MEAN,QUARTERLY_ROLL,2022/1F,45970,,,'')&lt;/Q&gt;&lt;R&gt;0&lt;/R&gt;&lt;C&gt;0&lt;/C&gt;&lt;/FQL&gt;&lt;FQL&gt;&lt;Q&gt;CRWV^FE_ESTIMATE(EPS,MEAN,ANNUAL_ROLL,2029,45970,,,'')&lt;/Q&gt;&lt;R&gt;1&lt;/R&gt;&lt;C&gt;1&lt;/C&gt;&lt;D xsi:type="xsd:double"&gt;4.84&lt;/D&gt;&lt;/FQL&gt;&lt;FQL&gt;&lt;Q&gt;CRWV^FE_ESTIMATE(EPS,MEAN,QUARTERLY_ROLL,2029/4F,45970,,,'')&lt;/Q&gt;&lt;R&gt;0&lt;/R&gt;&lt;C&gt;0&lt;/C&gt;&lt;/FQL&gt;&lt;FQL&gt;&lt;Q&gt;CRWV^FE_ESTIMATE(EPS,MEAN,QUARTERLY_ROLL,2029/3F,45970,,,'')&lt;/Q&gt;&lt;R&gt;0&lt;/R&gt;&lt;C&gt;0&lt;/C&gt;&lt;/FQL&gt;&lt;FQL&gt;&lt;Q&gt;CRWV^FE_ESTIMATE(EPS,MEAN,QUARTERLY_ROLL,2029/2F,45970,,,'')&lt;/Q&gt;&lt;R&gt;0&lt;/R&gt;&lt;C&gt;0&lt;/C&gt;&lt;/FQL&gt;&lt;FQL&gt;&lt;Q&gt;CRWV^FE_ESTIMATE(EPS,MEAN,QUARTERLY_ROLL,2029/1F,45970,,,'')&lt;/Q&gt;&lt;R&gt;0&lt;/R&gt;&lt;C&gt;0&lt;/C&gt;&lt;/FQL&gt;&lt;FQL&gt;&lt;Q&gt;CRWV^FE_ESTIMATE(EPS,MEAN,ANNUAL_ROLL,2028,45970,,,'')&lt;/Q&gt;&lt;R&gt;1&lt;/R&gt;&lt;C&gt;1&lt;/C&gt;&lt;D xsi:type="xsd:double"&gt;3.57668&lt;/D&gt;&lt;/FQL&gt;&lt;FQL&gt;&lt;Q&gt;CRWV^FE_ESTIMATE(EPS,MEAN,QUARTERLY_ROLL,2028/4F,45970,,,'')&lt;/Q&gt;&lt;R&gt;1&lt;/R&gt;&lt;C&gt;1&lt;/C&gt;&lt;D xsi:type="xsd:double"&gt;1.4727&lt;/D&gt;&lt;/FQL&gt;&lt;FQL&gt;&lt;Q&gt;CRWV^FE_ESTIMATE(EPS,MEAN,QUARTERLY_ROLL,2028/3F,45970,,,'')&lt;/Q&gt;&lt;R&gt;1&lt;/R&gt;&lt;C&gt;1&lt;/C&gt;&lt;D xsi:type="xsd:double"&gt;1.2884&lt;/D&gt;&lt;/FQL&gt;&lt;FQL&gt;&lt;Q&gt;CRWV^FE_ESTIMATE(EPS,MEAN,QUARTERLY_ROLL,2028/2F,45970,,,'')&lt;/Q&gt;&lt;R&gt;1&lt;/R&gt;&lt;C&gt;1&lt;/C&gt;&lt;D xsi:type="xsd:double"&gt;1.1317&lt;/D&gt;&lt;/FQL&gt;&lt;FQL&gt;&lt;Q&gt;CRWV^FE_ESTIMATE(EPS,MEAN,QUARTERLY_ROLL,2028/1F,45970,,,'')&lt;/Q&gt;&lt;R&gt;1&lt;/R&gt;&lt;C&gt;1&lt;/C&gt;&lt;D xsi:type="xsd:double"&gt;0.9555&lt;/D&gt;&lt;/FQL&gt;&lt;FQL&gt;&lt;Q&gt;CRWV^FE_ESTIMATE(EPS,MEAN,ANNUAL_ROLL,2027,45970,,,'')&lt;/Q&gt;&lt;R&gt;1&lt;/R&gt;&lt;C&gt;1&lt;/C&gt;&lt;D xsi:type="xsd:double"&gt;2.2121487&lt;/D&gt;&lt;/FQL&gt;&lt;FQL&gt;&lt;Q&gt;CRWV^FE_ESTIMATE(EPS,MEAN,QUARTERLY_ROLL,2027/4F,45970,,,'')&lt;/Q&gt;&lt;R&gt;1&lt;/R&gt;&lt;C&gt;1&lt;/C&gt;&lt;D xsi:type="xsd:double"&gt;0.75191885&lt;/D&gt;&lt;/FQL&gt;&lt;FQL&gt;&lt;Q&gt;CRWV^FE_ESTIMATE(EPS,MEAN,QUARTERLY_ROLL,2027/3F,45970,,,'')&lt;/Q&gt;&lt;R&gt;1&lt;/R&gt;&lt;C&gt;1&lt;/C&gt;&lt;D xsi:type="xsd:double"&gt;0.5806941&lt;/D&gt;&lt;/FQL&gt;&lt;FQL&gt;&lt;Q&gt;CRWV^FE_ESTIMATE(EPS,MEAN,QUARTERLY_ROLL,2027/2F,45970,,,'')&lt;/Q&gt;&lt;R&gt;1&lt;/R&gt;&lt;C&gt;1&lt;/C&gt;&lt;D xsi:type="xsd:double"&gt;0.43361503&lt;/D&gt;&lt;/FQL&gt;&lt;FQL&gt;&lt;Q&gt;CRWV^FE_ESTIMATE(EPS,MEAN,QUARTERLY_ROLL,2027/1F,45970,,,'')&lt;/Q&gt;&lt;R&gt;1&lt;/R&gt;&lt;C&gt;1&lt;/C&gt;&lt;D xsi:type="xsd:double"&gt;0.29571232&lt;/D&gt;&lt;/FQL&gt;&lt;FQL&gt;&lt;Q&gt;CRWV^FE_ESTIMATE(EPS,MEAN,ANNUAL_ROLL,2026,45970,,,'')&lt;/Q&gt;&lt;R&gt;1&lt;/R&gt;&lt;C&gt;1&lt;/C&gt;&lt;D xsi:type="xsd:double"&gt;-0.42042065&lt;/D&gt;&lt;/FQL&gt;&lt;FQL&gt;&lt;Q&gt;CRWV^FE_ESTIMATE(EPS,MEAN,QUARTERLY_ROLL,2026/4F,45970,,,'')&lt;/Q&gt;&lt;R&gt;1&lt;/R&gt;&lt;C&gt;1&lt;/C&gt;&lt;D xsi:type="xsd:double"&gt;0.0778683&lt;/D&gt;&lt;/FQL&gt;&lt;FQL&gt;&lt;Q&gt;CRWV^FE_ESTIMATE(EPS,MEAN,QUARTERLY_ROLL,2026/3F,45970,,,'')&lt;/Q&gt;&lt;R&gt;1&lt;/R&gt;&lt;C&gt;1&lt;/C&gt;&lt;D xsi:type="xsd:double"&gt;-0.086208194&lt;/D&gt;&lt;/FQL&gt;&lt;FQL&gt;&lt;Q&gt;CRWV^FE_ESTIMATE(EPS,MEAN,QUARTERLY_ROLL,2026/2F,45970,,,'')&lt;/Q&gt;&lt;R&gt;1&lt;/R&gt;&lt;C&gt;1&lt;/C&gt;&lt;D xsi:type="xsd:double"&gt;-0.10337503&lt;/D&gt;&lt;/FQL&gt;&lt;FQL&gt;&lt;Q&gt;CRWV^FE_ESTIMATE(EPS,MEAN,QUARTERLY_ROLL,2026/1F,45970,,,'')&lt;/Q&gt;&lt;R&gt;1&lt;/R&gt;&lt;C&gt;1&lt;/C&gt;&lt;D xsi:type="xsd:double"&gt;-0.33845505&lt;/D&gt;&lt;/FQL&gt;&lt;FQL&gt;&lt;Q&gt;CRWV^FE_ESTIMATE(EPS,MEAN,ANNUAL_ROLL,2025,45970,,,'')&lt;/Q&gt;&lt;R&gt;1&lt;/R&gt;&lt;C&gt;1&lt;/C&gt;&lt;D xsi:type="xsd:double"&gt;-1.7698483&lt;/D&gt;&lt;/FQL&gt;&lt;FQL&gt;&lt;Q&gt;CRWV^FE_ESTIMATE(EPS,MEAN,QUARTERLY_ROLL,2025/4F,45970,,,'')&lt;/Q&gt;&lt;R&gt;1&lt;/R&gt;&lt;C&gt;1&lt;/C&gt;&lt;D xsi:type="xsd:double"&gt;-0.39520195&lt;/D&gt;&lt;/FQL&gt;&lt;FQL&gt;&lt;Q&gt;CRWV^FE_ESTIMATE(EPS,MEAN,QUARTERLY_ROLL,2025/3F,45970,,,'')&lt;/Q&gt;&lt;R&gt;1&lt;/R&gt;&lt;C&gt;1&lt;/C&gt;&lt;D xsi:type="xsd:double"&gt;-0.39620164&lt;/D&gt;&lt;/FQL&gt;&lt;FQL&gt;&lt;Q&gt;CRWV^FE_ESTIMATE(EPS,MEAN,QUARTERLY_ROLL,2025/2F,45970,,,'')&lt;/Q&gt;&lt;R&gt;1&lt;/R&gt;&lt;C&gt;1&lt;/C&gt;&lt;D xsi:type="xsd:double"&gt;-0.271792&lt;/D&gt;&lt;/FQL&gt;&lt;FQL&gt;&lt;Q&gt;CRWV^FE_ESTIMATE(EPS,MEAN,QUARTERLY_ROLL,2025/1F,45970,,,'')&lt;/Q&gt;&lt;R&gt;1&lt;/R&gt;&lt;C&gt;1&lt;/C&gt;&lt;D xsi:type="xsd:double"&gt;-0.827782&lt;/D&gt;&lt;/FQL&gt;&lt;FQL&gt;&lt;Q&gt;CRWV^FE_ESTIMATE(EPS,MEAN,ANNUAL_ROLL,2024,45970,,,'')&lt;/Q&gt;&lt;R&gt;1&lt;/R&gt;&lt;C&gt;1&lt;/C&gt;&lt;D xsi:type="xsd:double"&gt;-0.281601&lt;/D&gt;&lt;/FQL&gt;&lt;FQL&gt;&lt;Q&gt;CRWV^FE_ESTIMATE(EPS,MEAN,QUARTERLY_ROLL,2024/4F,45970,,,'')&lt;/Q&gt;&lt;R&gt;1&lt;/R&gt;&lt;C&gt;1&lt;/C&gt;&lt;D xsi:type="xsd:double"&gt;-0.101733334&lt;/D&gt;&lt;/FQL&gt;&lt;FQL&gt;&lt;Q&gt;CRWV^FE_ESTIMATE(EPS,MEAN,QUARTERLY_ROLL,2024/3F,45970,,,'')&lt;/Q&gt;&lt;R&gt;0&lt;/R&gt;&lt;C&gt;0&lt;/C&gt;&lt;/FQL&gt;&lt;FQL&gt;&lt;Q&gt;CRWV^FE_ESTIMATE(EPS,MEAN,QUARTERLY_ROLL,2024/2F,45970,,,'')&lt;/Q&gt;&lt;R&gt;0&lt;/R&gt;&lt;C&gt;0&lt;/C&gt;&lt;/FQL&gt;&lt;FQL&gt;&lt;Q&gt;CRWV^FE_ESTIMATE(EPS,MEAN,QUARTERLY_ROLL,2024/1F,45970,,,'')&lt;/Q&gt;&lt;R&gt;0&lt;/R&gt;&lt;C&gt;0&lt;/C&gt;&lt;/FQL&gt;&lt;FQL&gt;&lt;Q&gt;CRWV^FE_ESTIMATE(EPS,MEAN,ANNUAL_ROLL,2023,45970,,,'')&lt;/Q&gt;&lt;R&gt;0&lt;/R&gt;&lt;C&gt;0&lt;/C&gt;&lt;/FQL&gt;&lt;FQL&gt;&lt;Q&gt;CRWV^FE_ESTIMATE(EPS,MEAN,QUARTERLY_ROLL,2023/4F,45970,,,'')&lt;/Q&gt;&lt;R&gt;0&lt;/R&gt;&lt;C&gt;0&lt;/C&gt;&lt;/FQL&gt;&lt;FQL&gt;&lt;Q&gt;CRWV^FE_ESTIMATE(EPS,MEAN,QUARTERLY_ROLL,2023/3F,45970,,,'')&lt;/Q&gt;&lt;R&gt;0&lt;/R&gt;&lt;C&gt;0&lt;/C&gt;&lt;/FQL&gt;&lt;FQL&gt;&lt;Q&gt;CRWV^FE_ESTIMATE(EPS,MEAN,QUARTERLY_ROLL,2023/2F,45970,,,'')&lt;/Q&gt;&lt;R&gt;0&lt;/R&gt;&lt;C&gt;0&lt;/C&gt;&lt;/FQL&gt;&lt;FQL&gt;&lt;Q&gt;CRWV^FE_ESTIMATE(EPS,MEAN,QUARTERLY_ROLL,2023/1F,45970,,,'')&lt;/Q&gt;&lt;R&gt;0&lt;/R&gt;&lt;C&gt;0&lt;/C&gt;&lt;/FQL&gt;&lt;FQL&gt;&lt;Q&gt;CRWV^FE_ESTIMATE(EPS,MEAN,ANNUAL_ROLL,2022,45970,,,'')&lt;/Q&gt;&lt;R&gt;0&lt;/R&gt;&lt;C&gt;0&lt;/C&gt;&lt;/FQL&gt;&lt;FQL&gt;&lt;Q&gt;CRWV^FE_ESTIMATE(EPS,MEAN,QUARTERLY_ROLL,2022/4F,45970,,,'')&lt;/Q&gt;&lt;R&gt;0&lt;/R&gt;&lt;C&gt;0&lt;/C&gt;&lt;/FQL&gt;&lt;FQL&gt;&lt;Q&gt;CRWV^FE_ESTIMATE(EPS,MEAN,QUARTERLY_ROLL,2022/3F,45970,,,'')&lt;/Q&gt;&lt;R&gt;0&lt;/R&gt;&lt;C&gt;0&lt;/C&gt;&lt;/FQL&gt;&lt;FQL&gt;&lt;Q&gt;CRWV^FE_ESTIMATE(EPS,MEAN,QUARTERLY_ROLL,2022/2F,45970,,,'')&lt;/Q&gt;&lt;R&gt;0&lt;/R&gt;&lt;C&gt;0&lt;/C&gt;&lt;/FQL&gt;&lt;FQL&gt;&lt;Q&gt;CRWV^FE_ESTIMATE(EPS,MEAN,QUARTERLY_ROLL,2022/1F,45970,,,'')&lt;/Q&gt;&lt;R&gt;0&lt;/R&gt;&lt;C&gt;0&lt;/C&gt;&lt;/FQL&gt;&lt;FQL&gt;&lt;Q&gt;CRWV^FE_ESTIMATE(EAG,MEAN,ANNUAL_ROLL,2029,45970,,,'')&lt;/Q&gt;&lt;R&gt;1&lt;/R&gt;&lt;C&gt;1&lt;/C&gt;&lt;D xsi:type="xsd:double"&gt;2.92&lt;/D&gt;&lt;/FQL&gt;&lt;FQL&gt;&lt;Q&gt;CRWV^FE_ESTIMATE(EAG,MEAN,QUARTERLY_ROLL,2029/4F,45970,,,'')&lt;/Q&gt;&lt;R&gt;0&lt;/R&gt;&lt;C&gt;0&lt;/C&gt;&lt;/FQL&gt;&lt;FQL&gt;&lt;Q&gt;CRWV^FE_ESTIMATE(EAG,MEAN,QUARTERLY_ROLL,2029/3F,45970,,,'')&lt;/Q&gt;&lt;R&gt;0&lt;/R&gt;&lt;C&gt;0&lt;/C&gt;&lt;/FQL&gt;&lt;FQL&gt;&lt;Q&gt;CRWV^FE_ESTIMATE(EAG,MEAN,QUARTERLY_ROLL,2029/2F,45970,,,'')&lt;/Q&gt;&lt;R&gt;0&lt;/R&gt;&lt;C&gt;0&lt;/C&gt;&lt;/FQL&gt;&lt;FQL&gt;&lt;Q&gt;CRWV^FE_ESTIMATE(EAG,MEAN,QUARTERLY_ROLL,2029/1F,45970,,,'')&lt;/Q&gt;&lt;R&gt;0&lt;/R&gt;&lt;C&gt;0&lt;/C&gt;&lt;/FQL&gt;&lt;FQL&gt;&lt;Q&gt;CRWV^FE_ESTIMATE(EAG,MEAN,ANNUAL_ROLL,2028,45970,,,'')&lt;/Q&gt;&lt;R&gt;1&lt;/R&gt;&lt;C&gt;1&lt;/C&gt;&lt;D xsi:type="xsd:double"&gt;2.50145&lt;/D&gt;&lt;/FQL&gt;&lt;FQL&gt;&lt;Q&gt;CRWV^FE_ESTIMATE(EAG,MEAN,QUARTERLY_ROLL,2028/4F,45970,,,'')&lt;/Q&gt;&lt;R&gt;1&lt;/R&gt;&lt;C&gt;1&lt;/C&gt;&lt;D xsi:type="xsd:double"&gt;1.0882&lt;/D&gt;&lt;/FQL&gt;&lt;FQL&gt;&lt;Q&gt;CRWV^FE_ESTIMATE(EAG,MEAN,QUARTERLY_ROLL,2028/3F,45970,,,'')&lt;/Q&gt;&lt;R&gt;1&lt;/R&gt;&lt;C&gt;1&lt;/C&gt;&lt;D xsi:type="xsd:double"&gt;0.9261&lt;/D&gt;&lt;/FQL&gt;&lt;FQL&gt;&lt;Q&gt;CRWV^FE_ESTIMATE(EAG,MEAN,QUARTERLY_ROLL,2028/2F,45970,,,'')&lt;/Q&gt;&lt;R&gt;1&lt;/R&gt;&lt;C&gt;1&lt;/C&gt;&lt;D xsi:type="xsd:double"&gt;0.6555&lt;/D&gt;&lt;/FQL&gt;&lt;FQL&gt;&lt;Q&gt;CRWV^FE_ESTIMATE(EAG,MEAN,QUARTERLY_ROLL,2028/1F,45970,,,'')&lt;/Q&gt;&lt;R&gt;1&lt;/R&gt;&lt;C&gt;1&lt;/C&gt;&lt;D xsi:type="xsd:double"&gt;0.4031&lt;/D&gt;&lt;/FQL&gt;&lt;FQL&gt;&lt;Q&gt;CRWV^FE_ESTIMATE(EAG,MEAN,ANNUAL_ROLL,2027,45970,,,'')&lt;/Q&gt;&lt;R&gt;1&lt;/R&gt;&lt;C&gt;1&lt;/C&gt;&lt;D xsi:type="xsd:double"&gt;1.336672&lt;/D&gt;&lt;/FQL&gt;&lt;FQL&gt;&lt;Q&gt;CRWV^FE_ESTIMATE(EAG,MEAN,QUARTERLY_ROLL,2027/4F,45970,,,'')&lt;/Q&gt;&lt;R&gt;1&lt;/R&gt;&lt;C&gt;1&lt;/C&gt;&lt;D xsi:type="xsd:double"&gt;0.650479&lt;/D&gt;&lt;/FQL&gt;&lt;FQL&gt;&lt;Q&gt;CRWV^FE_ESTIMATE(EAG,MEAN,QUARTERLY_ROLL,2027/3F,45970,,,'')&lt;/Q&gt;&lt;R&gt;1&lt;/R&gt;&lt;C&gt;1&lt;/C&gt;&lt;D xsi:type="xsd:double"&gt;0.44811332&lt;/D&gt;&lt;/FQL&gt;&lt;FQL&gt;&lt;Q&gt;CRWV^FE_ESTIMATE(EAG,MEAN,QUARTERLY_ROLL,2027/2F,45970,,,'')&lt;/Q&gt;&lt;R&gt;1&lt;/R&gt;&lt;C&gt;1&lt;/C&gt;&lt;D xsi:type="xsd:double"&gt;0.28012568&lt;/D&gt;&lt;/FQL&gt;&lt;FQL&gt;&lt;Q&gt;CRWV^FE_ESTIMATE(EAG,MEAN,QUARTERLY_ROLL,2027/1F,45970,,,'')&lt;/Q&gt;&lt;R&gt;1&lt;/R&gt;&lt;C&gt;1&lt;/C&gt;&lt;D xsi:type="xsd:double"&gt;0.047834&lt;/D&gt;&lt;/FQL&gt;&lt;FQL&gt;&lt;Q&gt;CRWV^FE_ESTIMATE(EAG,MEAN,ANNUAL_ROLL,2026,45970,,,'')&lt;/Q&gt;&lt;R&gt;1&lt;/R&gt;&lt;C&gt;1&lt;/C&gt;&lt;D xsi:type="xsd:double"&gt;-0.96072&lt;/D&gt;&lt;/FQL&gt;&lt;FQL&gt;&lt;Q&gt;CRWV^FE_ESTIMATE(EAG,MEAN,QUARTERLY_ROLL,2026/4F,45970,,,'')&lt;/Q&gt;&lt;R&gt;1&lt;/R&gt;&lt;C&gt;1&lt;/C&gt;&lt;D xsi:type="xsd:double"&gt;0.038856335&lt;/D&gt;&lt;/FQL&gt;&lt;FQL&gt;&lt;Q&gt;CRWV^FE_ESTIMATE(EAG,MEAN,QUARTERLY_ROLL,2026/3F,45970,,,'')&lt;/Q&gt;&lt;R&gt;1&lt;/R&gt;&lt;C&gt;1&lt;/C&gt;&lt;D xsi:type="xsd:double"&gt;-0.14614917&lt;/D&gt;&lt;/FQL&gt;&lt;FQL&gt;&lt;Q&gt;CRWV^FE_ESTIMATE(EAG,MEAN,QUARTERLY_ROLL,2026/2F,45970,,,'')&lt;/Q&gt;&lt;R&gt;1&lt;/R&gt;&lt;C&gt;1&lt;/C&gt;&lt;D xsi:type="xsd:double"&gt;-0.22438315&lt;/D&gt;&lt;/FQL&gt;&lt;FQL&gt;&lt;Q&gt;CRWV^FE_ESTIMATE(EAG,MEAN,QUARTERLY_ROLL,2026/1F,45970,,,'')&lt;/Q&gt;&lt;R&gt;1&lt;/R&gt;&lt;C&gt;1&lt;/C&gt;&lt;D xsi:type="xsd:double"&gt;-0.5718596&lt;/D&gt;&lt;/FQL&gt;&lt;FQL&gt;&lt;Q&gt;CRWV^FE_ESTIMATE(EAG,MEAN,ANNUAL_ROLL,2025,45970,,,'')&lt;/Q&gt;&lt;R&gt;1&lt;/R&gt;&lt;C&gt;1&lt;/C&gt;&lt;D xsi:type="xsd:double"&gt;-2.7166703&lt;/D&gt;&lt;/FQL&gt;&lt;FQL&gt;&lt;Q&gt;CRWV^FE_ESTIMATE(EAG,MEAN,QUARTERLY_ROLL,2025/4F,45970,,,'')&lt;/Q&gt;&lt;R&gt;1&lt;/R&gt;&lt;C&gt;1&lt;/C&gt;&lt;D xsi:type="xsd:double"&gt;-0.5015791&lt;/D&gt;&lt;/FQL&gt;&lt;FQL&gt;&lt;Q&gt;CRWV^FE_ESTIMATE(EAG,MEAN,QUARTERLY_ROLL,2025/3F,45970,,,'')&lt;/Q&gt;&lt;R&gt;1&lt;/R&gt;&lt;C&gt;1&lt;/C&gt;&lt;D xsi:type="xsd:double"&gt;-0.5364669&lt;/D&gt;&lt;/FQL&gt;&lt;FQL&gt;&lt;Q&gt;CRWV^FE_ESTIMATE(EAG,MEAN,QUARTERLY_ROLL,2025/2F,45970,,,'')&lt;/Q&gt;&lt;R&gt;1&lt;/R&gt;&lt;C&gt;1&lt;/C&gt;&lt;D xsi:type="xsd:double"&gt;-0.6&lt;/D&gt;&lt;/FQL&gt;&lt;FQL&gt;&lt;Q&gt;CRWV^FE_ESTIMATE(EAG,MEAN,QUARTERLY_ROLL,2025/1F,45970,,,'')&lt;/Q&gt;&lt;R&gt;1&lt;/R&gt;&lt;C&gt;1&lt;/C&gt;&lt;D xsi:type="xsd:double"&gt;-1.49&lt;/D&gt;&lt;/FQL&gt;&lt;FQL&gt;&lt;Q&gt;CRWV^FE_ESTIMATE(EAG,MEAN,ANNUAL_ROLL,2024,45970,,,'')&lt;/Q&gt;&lt;R&gt;1&lt;/R&gt;&lt;C&gt;1&lt;/C&gt;&lt;D xsi:type="xsd:double"&gt;-2.8925&lt;/D&gt;&lt;/FQL&gt;&lt;FQL&gt;&lt;Q&gt;CRWV^FE_ESTIMATE(EAG,MEAN,QUARTERLY_ROLL,2024/4F,45970,,,'')&lt;/Q&gt;&lt;R&gt;1&lt;/R&gt;&lt;C&gt;1&lt;/C&gt;&lt;D xsi:type="xsd:double"&gt;-0.21&lt;/D&gt;&lt;/FQL&gt;&lt;FQL&gt;&lt;Q&gt;CRWV^FE_ESTIMATE(EAG,MEAN,QUARTERLY_ROLL,2024/3F,45970,,,'')&lt;/Q&gt;&lt;R&gt;0&lt;/R&gt;&lt;C&gt;0&lt;/C&gt;&lt;/FQL&gt;&lt;FQL&gt;&lt;Q&gt;CRWV^FE_ESTIMATE(EAG,MEAN,QUARTERLY_ROLL,2024/2F,45970,,,'')&lt;/Q&gt;&lt;R&gt;0&lt;/R&gt;&lt;C&gt;0&lt;/C&gt;&lt;/FQL&gt;&lt;FQL&gt;&lt;Q&gt;CRWV^FE_ESTIMATE(EAG,MEAN,QUARTERLY_ROLL,2024/1F,45970,,,'')&lt;/Q&gt;&lt;R&gt;0&lt;/R&gt;&lt;C&gt;0&lt;/C&gt;&lt;/FQL&gt;&lt;FQL&gt;&lt;Q&gt;CRWV^FE_ESTIMATE(EAG,MEAN,ANNUAL_ROLL,2023,45970,,,'')&lt;/Q&gt;&lt;R&gt;0&lt;/R&gt;&lt;C&gt;0&lt;/C&gt;&lt;/FQL&gt;&lt;FQL&gt;&lt;Q&gt;CRWV^FE_ESTIMATE(EAG,MEAN,QUARTERLY_ROLL,2023/4F,45970,,,'')&lt;/Q&gt;&lt;R&gt;0&lt;/R&gt;&lt;C&gt;0&lt;/C&gt;&lt;/FQL&gt;&lt;FQL&gt;&lt;Q&gt;CRWV^FE_ESTIMATE(EAG,MEAN,QUARTERLY_ROLL,2023/3F,45970,,,'')&lt;/Q&gt;&lt;R&gt;0&lt;/R&gt;&lt;C&gt;0&lt;/C&gt;&lt;/FQL&gt;&lt;FQL&gt;&lt;Q&gt;CRWV^FE_ESTIMATE(EAG,MEAN,QUARTERLY_ROLL,2023/2F,45970,,,'')&lt;/Q&gt;&lt;R&gt;0&lt;/R&gt;&lt;C&gt;0&lt;/C&gt;&lt;/FQL&gt;&lt;FQL&gt;&lt;Q&gt;CRWV^FE_ESTIMATE(EAG,MEAN,QUARTERLY_ROLL,2023/1F,45970,,,'')&lt;/Q&gt;&lt;R&gt;0&lt;/R&gt;&lt;C&gt;0&lt;/C&gt;&lt;/FQL&gt;&lt;FQL&gt;&lt;Q&gt;CRWV^FE_ESTIMATE(EAG,MEAN,ANNUAL_ROLL,2022,45970,,,'')&lt;/Q&gt;&lt;R&gt;0&lt;/R&gt;&lt;C&gt;0&lt;/C&gt;&lt;/FQL&gt;&lt;FQL&gt;&lt;Q&gt;CRWV^FE_ESTIMATE(EAG,MEAN,QUARTERLY_ROLL,2022/4F,45970,,,'')&lt;/Q&gt;&lt;R&gt;0&lt;/R&gt;&lt;C&gt;0&lt;/C&gt;&lt;/FQL&gt;&lt;FQL&gt;&lt;Q&gt;CRWV^FE_ESTIMATE(EAG,MEAN,QUARTERLY_ROLL,2022/3F,45970,,,'')&lt;/Q&gt;&lt;R&gt;0&lt;/R&gt;&lt;C&gt;0&lt;/C&gt;&lt;/FQL&gt;&lt;FQL&gt;&lt;Q&gt;CRWV^FE_ESTIMATE(EAG,MEAN,QUARTERLY_ROLL,2022/2F,45970,,,'')&lt;/Q&gt;&lt;R&gt;0&lt;/R&gt;&lt;C&gt;0&lt;/C&gt;&lt;/FQL&gt;&lt;FQL&gt;&lt;Q&gt;CRWV^FE_ESTIMATE(EAG,MEAN,QUARTERLY_ROLL,2022/1F,45970,,,'')&lt;/Q&gt;&lt;R&gt;0&lt;/R&gt;&lt;C&gt;0&lt;/C&gt;&lt;/FQL&gt;&lt;FQL&gt;&lt;Q&gt;CRWV^FE_ESTIMATE(EBIT,MEAN,ANNUAL_ROLL,2029,45970,,,'')&lt;/Q&gt;&lt;R&gt;1&lt;/R&gt;&lt;C&gt;1&lt;/C&gt;&lt;D xsi:type="xsd:double"&gt;8592.767&lt;/D&gt;&lt;/FQL&gt;&lt;FQL&gt;&lt;Q&gt;CRWV^FE_ESTIMATE(EBIT,MEAN,QUARTERLY_ROLL,2029/4F,45970,,,'')&lt;/Q&gt;&lt;R&gt;0&lt;/R&gt;&lt;C&gt;0&lt;/C&gt;&lt;/FQL&gt;&lt;FQL&gt;&lt;Q&gt;CRWV^FE_ESTIMATE(EBIT,MEAN,QUARTERLY_ROLL,2029/3F,45970,,,'')&lt;/Q&gt;&lt;R&gt;0&lt;/R&gt;&lt;C&gt;0&lt;/C&gt;&lt;/FQL&gt;&lt;FQL&gt;&lt;Q&gt;CRWV^FE_ESTIMATE(EBIT,MEAN,QUARTERLY_ROLL,2029/2F,45970,,,'')&lt;/Q&gt;&lt;R&gt;0&lt;/R&gt;&lt;C&gt;0&lt;/C&gt;&lt;/FQL&gt;&lt;FQL&gt;&lt;Q&gt;CRWV^FE_ESTIMATE(EBIT,MEAN,QUARTERLY_ROLL,2029/1F,45970,,,'')&lt;/Q&gt;&lt;R&gt;0&lt;/R&gt;&lt;C&gt;0&lt;/C&gt;&lt;/FQL&gt;&lt;FQL&gt;&lt;Q&gt;CRWV^FE_ESTIMATE(EBIT,MEAN,ANNUAL_ROLL,2028,45970,,,'')&lt;/Q&gt;&lt;R&gt;1&lt;/R&gt;&lt;C&gt;1&lt;/C&gt;&lt;D xsi:type="xsd:double"&gt;6812.187&lt;/D&gt;&lt;/FQL&gt;&lt;FQL&gt;&lt;Q&gt;CRWV^FE_ESTIMATE(EBIT,MEAN,QUARTERLY_ROLL,2028/4F,45970,,,'')&lt;/Q&gt;&lt;R&gt;0&lt;/R&gt;&lt;C&gt;0&lt;/C&gt;&lt;/FQL&gt;&lt;FQL&gt;&lt;Q&gt;CRWV^FE_ESTIMATE(EBIT,MEAN,QUARTERLY_ROLL,2028/3F,45970,,,'')&lt;/Q&gt;&lt;R&gt;0&lt;/R&gt;&lt;C&gt;0&lt;/C&gt;&lt;/FQL&gt;&lt;FQL&gt;&lt;Q&gt;CRWV^FE_ESTIMATE(EBIT,MEAN,QUARTERLY_ROLL,2028/2F,45970,,,'')&lt;/Q&gt;&lt;R&gt;0&lt;/R&gt;&lt;C&gt;0&lt;/C&gt;&lt;/FQL&gt;&lt;FQL&gt;&lt;Q&gt;CRWV^FE_ESTIMATE(EBIT,MEAN,QUARTERLY_ROLL,2028/1F,45970,,,'')&lt;/Q&gt;&lt;R&gt;0&lt;/R&gt;&lt;C&gt;0&lt;/C&gt;&lt;/FQL&gt;&lt;FQL&gt;&lt;Q&gt;CRWV^FE_ESTIMATE(EBIT,MEAN,ANNUAL_ROLL,2027,45970,,,'')&lt;/Q&gt;&lt;R&gt;1&lt;/R&gt;&lt;C&gt;1&lt;/C&gt;&lt;D xsi:type="xsd:double"&gt;4634.881&lt;/D&gt;&lt;/FQL&gt;&lt;FQL&gt;&lt;Q&gt;CRWV^FE_ESTIMATE(EBIT,MEAN,QUARTERLY_ROLL,2027/4F,45970,,,'')&lt;/Q&gt;&lt;R&gt;1&lt;/R&gt;&lt;C&gt;1&lt;/C&gt;&lt;D xsi:type="xsd:double"&gt;1254.4479&lt;/D&gt;&lt;/FQL&gt;&lt;FQL&gt;&lt;Q&gt;CRWV^FE_ESTIMATE(EBIT,MEAN,QUARTERLY_ROLL,2027/3F,45970,,,'')&lt;/Q&gt;&lt;R&gt;1&lt;/R&gt;&lt;C&gt;1&lt;/C&gt;&lt;D xsi:type="xsd:double"&gt;1147.2551&lt;/D&gt;&lt;/FQL&gt;&lt;FQL&gt;&lt;Q&gt;CRWV^FE_ESTIMATE(EBIT,MEAN,QUARTERLY_ROLL,2027/2F,45970,,,'')&lt;/Q&gt;&lt;R&gt;1&lt;/R&gt;&lt;C&gt;1&lt;/C&gt;&lt;D xsi:type="xsd:double"&gt;1068.1716&lt;/D&gt;&lt;/FQL&gt;&lt;FQL&gt;&lt;Q&gt;CRWV^FE_ESTIMATE(EBIT,MEAN,QUARTERLY_ROLL,2027/1F,45970,,,'')&lt;/Q&gt;&lt;R&gt;1&lt;/R&gt;&lt;C&gt;1&lt;/C&gt;&lt;D xsi:type="xsd:double"&gt;970.4211&lt;/D&gt;&lt;/FQL&gt;&lt;FQL&gt;&lt;Q&gt;CRWV^FE_ESTIMATE(EBIT,MEAN,ANNUAL_ROLL,2026,45970,,,'')&lt;/Q&gt;&lt;R&gt;1&lt;/R&gt;&lt;C&gt;1&lt;/C&gt;&lt;D xsi:type="xsd:double"&gt;2669.06&lt;/D&gt;&lt;/FQL&gt;&lt;FQL&gt;&lt;Q&gt;CRWV^FE_ESTIMATE(EBIT,MEAN,QUARTERLY_ROLL,2026/4F,45970,,,'')&lt;/Q&gt;&lt;R&gt;1&lt;/R&gt;&lt;C&gt;1&lt;/C&gt;&lt;D xsi:type="xsd:double"&gt;836.5447&lt;/D&gt;&lt;/FQL&gt;&lt;FQL&gt;&lt;Q&gt;CRWV^FE_ESTIMATE(EBIT,MEAN,QUARTERLY_ROLL,2026/3F,45970,,,'')&lt;/Q&gt;&lt;R&gt;1&lt;/R&gt;&lt;C&gt;1&lt;/C&gt;&lt;D xsi:type="xsd:double"&gt;701.5654&lt;/D&gt;&lt;/FQL&gt;&lt;FQL&gt;&lt;Q&gt;CRWV^FE_ESTIMATE(EBIT,MEAN,QUARTERLY_ROLL,2026/2F,45970,,,'')&lt;/Q&gt;&lt;R&gt;1&lt;/R&gt;&lt;C&gt;1&lt;/C&gt;&lt;D xsi:type="xsd:double"&gt;633.5307&lt;/D&gt;&lt;/FQL&gt;&lt;FQL&gt;&lt;Q&gt;CRWV^FE_ESTIMATE(EBIT,MEAN,QUARTERLY_ROLL,2026/1F,45970,,,'')&lt;/Q&gt;&lt;R&gt;1&lt;/R&gt;&lt;C&gt;1&lt;/C&gt;&lt;D xsi:type="xsd:double"&gt;475.87506&lt;/D&gt;&lt;/FQL&gt;&lt;FQL&gt;&lt;Q&gt;CRWV^FE_ESTIMATE(EBIT,MEAN,ANNUAL_ROLL,2025,45970,,,'')&lt;/Q&gt;&lt;R&gt;1&lt;/R&gt;&lt;C&gt;1&lt;/C&gt;&lt;D xsi:type="xsd:double"&gt;802.7664&lt;/D&gt;&lt;/FQL&gt;&lt;FQL&gt;&lt;Q&gt;CRWV^FE_ESTIMATE(EBIT,MEAN,QUARTERLY_ROLL,2025/4F,45970,,,'')&lt;/Q&gt;&lt;R&gt;1&lt;/R&gt;&lt;C&gt;1&lt;/C&gt;&lt;D xsi:type="xsd:double"&gt;277.91998&lt;/D&gt;&lt;/FQL&gt;&lt;FQL&gt;&lt;Q&gt;CRWV^FE_ESTIMATE(EBIT,MEAN,QUARTERLY_ROLL,2025/3F,45970,,,'')&lt;/Q&gt;&lt;R&gt;1&lt;/R&gt;&lt;C&gt;1&lt;/C&gt;&lt;D xsi:type="xsd:double"&gt;181.01628&lt;/D&gt;&lt;/FQL&gt;&lt;FQL&gt;&lt;Q&gt;CRWV^FE_ESTIMATE(EBIT,MEAN,QUARTERLY_ROLL,2025/2F,45970,,,'')&lt;/Q&gt;&lt;R&gt;1&lt;/R&gt;&lt;C&gt;1&lt;/C&gt;&lt;D xsi:type="xsd:double"&gt;199.788&lt;/D&gt;&lt;/FQL&gt;&lt;FQL&gt;&lt;Q&gt;CRWV^FE_ESTIMATE(EBIT,MEAN,QUARTERLY_ROLL,2025/1F,45970,,,'')&lt;/Q&gt;&lt;R&gt;1&lt;/R&gt;&lt;C&gt;1&lt;/C&gt;&lt;D xsi:type="xsd:double"&gt;163&lt;/D&gt;&lt;/FQL&gt;&lt;FQL&gt;&lt;Q&gt;CRWV^FE_ESTIMATE(EBIT,MEAN,ANNUAL_ROLL,2024,45970,,,'')&lt;/Q&gt;&lt;R&gt;1&lt;/R&gt;&lt;C&gt;1&lt;/C&gt;&lt;D xsi:type="xsd:double"&gt;355.90543&lt;/D&gt;&lt;/FQL&gt;&lt;FQL&gt;&lt;Q&gt;CRWV^FE_ESTIMATE(EBIT,MEAN,QUARTERLY_ROLL,2024/4F,45970,,,'')&lt;/Q&gt;&lt;R&gt;1&lt;/R&gt;&lt;C&gt;1&lt;/C&gt;&lt;D xsi:type="xsd:double"&gt;119.87622&lt;/D&gt;&lt;/FQL&gt;&lt;FQL&gt;&lt;Q&gt;CRWV^FE_ESTIMATE(EBIT,MEAN,QUARTERLY_ROLL,2024/3F,45970,,,'')&lt;/Q&gt;&lt;R&gt;0&lt;/R&gt;&lt;C&gt;0&lt;/C&gt;&lt;/FQL&gt;&lt;FQL&gt;&lt;Q&gt;CRWV^FE_ESTIMATE(EBIT,MEAN,QUARTERLY_ROLL,2024/2F,45970,,,'')&lt;/Q&gt;&lt;R&gt;0&lt;/R&gt;&lt;C&gt;0&lt;/C&gt;&lt;/FQL&gt;&lt;FQL&gt;&lt;Q&gt;CRWV^FE_ESTIMATE(EBIT,MEAN,QUARTERLY_ROLL,2024/1F,45970,,,'')&lt;/Q&gt;&lt;R&gt;0&lt;/R&gt;&lt;C&gt;0&lt;/C&gt;&lt;/FQL&gt;&lt;FQL&gt;&lt;Q&gt;CRWV^FE_ESTIMATE(EBIT,MEAN,ANNUAL_ROLL,2023,45970,,,'')&lt;/Q&gt;&lt;R&gt;0&lt;/R&gt;&lt;C&gt;0&lt;/C&gt;&lt;/FQL&gt;&lt;FQL&gt;&lt;Q&gt;CRWV^FE_ESTIMATE(EBIT,MEAN,QUARTERLY_ROLL,2023/4F,45970,,,'')&lt;/Q&gt;&lt;R&gt;0&lt;/R&gt;&lt;C&gt;0&lt;/C&gt;&lt;/FQL&gt;&lt;FQL&gt;&lt;Q&gt;CRWV^FE_ESTIMATE(EBIT,MEAN,QUARTERLY_ROLL,2023/3F,45970,,,'')&lt;/Q&gt;&lt;R&gt;0&lt;/R&gt;&lt;C&gt;0&lt;/C&gt;&lt;/FQL&gt;&lt;FQL&gt;&lt;Q&gt;CRWV^FE_ESTIMATE(EBIT,MEAN,QUARTERLY_ROLL,2023/2F,45970,,,'')&lt;/Q&gt;&lt;R&gt;0&lt;/R&gt;&lt;C&gt;0&lt;/C&gt;&lt;/FQL&gt;&lt;FQL&gt;&lt;Q&gt;CRWV^FE_ESTIMATE(EBIT,MEAN,QUARTERLY_ROLL,2023/1F,45970,,,'')&lt;/Q&gt;&lt;R&gt;0&lt;/R&gt;&lt;C&gt;0&lt;/C&gt;&lt;/FQL&gt;&lt;FQL&gt;&lt;Q&gt;CRWV^FE_ESTIMATE(EBIT,MEAN,ANNUAL_ROLL,2022,45970,,,'')&lt;/Q&gt;&lt;R&gt;0&lt;/R&gt;&lt;C&gt;0&lt;/C&gt;&lt;/FQL&gt;&lt;FQL&gt;&lt;Q&gt;CRWV^FE_ESTIMATE(EBIT,MEAN,QUARTERLY_ROLL,2022/4F,45970,,,'')&lt;/Q&gt;&lt;R&gt;0&lt;/R&gt;&lt;C&gt;0&lt;/C&gt;&lt;/FQL&gt;&lt;FQL&gt;&lt;Q&gt;CRWV^FE_ESTIMATE(EBIT,MEAN,QUARTERLY_ROLL,2022/3F,45970,,,'')&lt;/Q&gt;&lt;R&gt;0&lt;/R&gt;&lt;C&gt;0&lt;/C&gt;&lt;/FQL&gt;&lt;FQL&gt;&lt;Q&gt;CRWV^FE_ESTIMATE(EBIT,MEAN,QUARTERLY_ROLL,2022/2F,45970,,,'')&lt;/Q&gt;&lt;R&gt;0&lt;/R&gt;&lt;C&gt;0&lt;/C&gt;&lt;/FQL&gt;&lt;FQL&gt;&lt;Q&gt;CRWV^FE_ESTIMATE(EBIT,MEAN,QUARTERLY_ROLL,2022/1F,45970,,,'')&lt;/Q&gt;&lt;R&gt;0&lt;/R&gt;&lt;C&gt;0&lt;/C&gt;&lt;/FQL&gt;&lt;FQL&gt;&lt;Q&gt;CRWV^FE_ESTIMATE(GROSSINCOME,MEAN,ANNUAL_ROLL,2029,45970,,,'')&lt;/Q&gt;&lt;R&gt;0&lt;/R&gt;&lt;C&gt;0&lt;/C&gt;&lt;/FQL&gt;&lt;FQL&gt;&lt;Q&gt;CRWV^FE_ESTIMATE(GROSSINCOME,MEAN,QUARTERLY_ROLL,2029/4F,45970,,,'')&lt;/Q&gt;&lt;R&gt;0&lt;/R&gt;&lt;C&gt;0&lt;/C&gt;&lt;/FQL&gt;&lt;FQL&gt;&lt;Q&gt;CRWV^FE_ESTIMATE(GROSSINCOME,MEAN,QUARTERLY_ROLL,2029/3F,45970,,,'')&lt;/Q&gt;&lt;R&gt;0&lt;/R&gt;&lt;C&gt;0&lt;/C&gt;&lt;/FQL&gt;&lt;FQL&gt;&lt;Q&gt;CRWV^FE_ESTIMATE(GROSSINCOME,MEAN,QUARTERLY_ROLL,2029/2F,45970,,,'')&lt;/Q&gt;&lt;R&gt;0&lt;/R&gt;&lt;C&gt;0&lt;/C&gt;&lt;/FQL&gt;&lt;FQL&gt;&lt;Q&gt;CRWV^FE_ESTIMATE(GROSSINCOME,MEAN,QUARTERLY_ROLL,2029/1F,45970,,,'')&lt;/Q&gt;&lt;R&gt;0&lt;/R&gt;&lt;C&gt;0&lt;/C&gt;&lt;/FQL&gt;&lt;FQL&gt;&lt;Q&gt;CRWV^FE_ESTIMATE(GROSSINCOME,MEAN,ANNUAL_ROLL,2028,45970,,,'')&lt;/Q&gt;&lt;R&gt;1&lt;/R&gt;&lt;C&gt;1&lt;/C&gt;&lt;D xsi:type="xsd:double"&gt;18971&lt;/D&gt;&lt;/FQL&gt;&lt;FQL&gt;&lt;Q&gt;CRWV^FE_ESTIMATE(GROSSINCOME,MEAN,QUARTERLY_ROLL,2028/4F,45970,,,'')&lt;/Q&gt;&lt;R&gt;0&lt;/R&gt;&lt;C&gt;0&lt;/C&gt;&lt;/FQL&gt;&lt;FQL&gt;&lt;Q&gt;CRWV^FE_ESTIMATE(GROSSINCOME,MEAN,QUARTERLY_ROLL,2028/3F,45970,,,'')&lt;/Q&gt;&lt;R&gt;0&lt;/R&gt;&lt;C&gt;0&lt;/C&gt;&lt;/FQL&gt;&lt;FQL&gt;&lt;Q&gt;CRWV^FE_ESTIMATE(GROSSINCOME,MEAN,QUARTERLY_ROLL,2028/2F,45970,,,'')&lt;/Q&gt;&lt;R&gt;0&lt;/R&gt;&lt;C&gt;0&lt;/C&gt;&lt;/FQL&gt;&lt;FQL&gt;&lt;Q&gt;CRWV^FE_ESTIMATE(GROSSINCOME,MEAN,QUARTERLY_ROLL,2028/1F,45970,,,'')&lt;/Q&gt;&lt;R&gt;0&lt;/R&gt;&lt;C&gt;0&lt;/C&gt;&lt;/FQL&gt;&lt;FQL&gt;&lt;Q&gt;CRWV^FE_ESTIMATE(GROSSINCOME,MEAN,ANNUAL_ROLL,2027,45970,,,'')&lt;/Q&gt;&lt;R&gt;1&lt;/R&gt;&lt;C&gt;1&lt;/C&gt;&lt;D xsi:type="xsd:double"&gt;14391.44&lt;/D&gt;&lt;/FQL&gt;&lt;FQL&gt;&lt;Q&gt;CRWV^FE_ESTIMATE(GROSSINCOME,MEAN,QUARTERLY_ROLL,2027/4F,45970,,,'')&lt;/Q&gt;&lt;R&gt;1&lt;/R&gt;&lt;C&gt;1&lt;/C&gt;&lt;D xsi:type="xsd:double"&gt;3550.03&lt;/D&gt;&lt;/FQL&gt;&lt;FQL&gt;&lt;Q&gt;CRWV^FE_ESTIMATE(GROSSINCOME,MEAN,QUARTERLY_ROLL,2027/3F,45970,,,'')&lt;/Q&gt;&lt;R&gt;1&lt;/R&gt;&lt;C&gt;1&lt;/C&gt;&lt;D xsi:type="xsd:double"&gt;3349.208&lt;/D&gt;&lt;/FQL&gt;&lt;FQL&gt;&lt;Q&gt;CRWV^FE_ESTIMATE(GROSSINCOME,MEAN,QUARTERLY_ROLL,2027/2F,45970,,,'')&lt;/Q&gt;&lt;R&gt;1&lt;/R&gt;&lt;C&gt;1&lt;/C&gt;&lt;D xsi:type="xsd:double"&gt;3106.588&lt;/D&gt;&lt;/FQL&gt;&lt;FQL&gt;&lt;Q&gt;CRWV^FE_ESTIMATE(GROSSINCOME,MEAN,QUARTERLY_ROLL,2027/1F,45970,,,'')&lt;/Q&gt;&lt;R&gt;1&lt;/R&gt;&lt;C&gt;1&lt;/C&gt;&lt;D xsi:type="xsd:double"&gt;2911.9536&lt;/D&gt;&lt;/FQL&gt;&lt;FQL&gt;&lt;Q&gt;CRWV^FE_ESTIMATE(GROSSINCOME,MEAN,ANNUAL_ROLL,2026,45970,,,'')&lt;/Q&gt;&lt;R&gt;1&lt;/R&gt;&lt;C&gt;1&lt;/C&gt;&lt;D xsi:type="xsd:double"&gt;8983.872&lt;/D&gt;&lt;/FQL&gt;&lt;FQL&gt;&lt;Q&gt;CRWV^FE_ESTIMATE(GROSSINCOME,MEAN,QUARTERLY_ROLL,2026/4F,45970,,,'')&lt;/Q&gt;&lt;R&gt;1&lt;/R&gt;&lt;C&gt;1&lt;/C&gt;&lt;D xsi:type="xsd:double"&gt;2651.812&lt;/D&gt;&lt;/FQL&gt;&lt;FQL&gt;&lt;Q&gt;CRWV^FE_ESTIMATE(GROSSINCOME,MEAN,QUARTERLY_ROLL,2026/3F,45970,,,'')&lt;/Q&gt;&lt;R&gt;1&lt;/R&gt;&lt;C&gt;1&lt;/C&gt;&lt;D xsi:type="xsd:double"&gt;2357.6965&lt;/D&gt;&lt;/FQL&gt;&lt;FQL&gt;&lt;Q&gt;CRWV^FE_ESTIMATE(GROSSINCOME,MEAN,QUARTERLY_ROLL,2026/2F,45970,,,'')&lt;/Q&gt;&lt;R&gt;1&lt;/R&gt;&lt;C&gt;1&lt;/C&gt;&lt;D xsi:type="xsd:double"&gt;2130.8918&lt;/D&gt;&lt;/FQL&gt;&lt;FQL&gt;&lt;Q&gt;CRWV^FE_ESTIMATE(GROSSINCOME,MEAN,QUARTERLY_ROLL,2026/1F,45970,,,'')&lt;/Q&gt;&lt;R&gt;1&lt;/R&gt;&lt;C&gt;1&lt;/C&gt;&lt;D xsi:type="xsd:double"&gt;1799.1306&lt;/D&gt;&lt;/FQL&gt;&lt;FQL&gt;&lt;Q&gt;CRWV^FE_ESTIMATE(GROSSINCOME,MEAN,ANNUAL_ROLL,2025,45970,,,'')&lt;/Q&gt;&lt;R&gt;1&lt;/R&gt;&lt;C&gt;1&lt;/C&gt;&lt;D xsi:type="xsd:double"&gt;3892.1057&lt;/D&gt;&lt;/FQL&gt;&lt;FQL&gt;&lt;Q&gt;CRWV^FE_ESTIMATE(GROSSINCOME,MEAN,QUARTERLY_ROLL,2025/4F,45970,,,'')&lt;/Q&gt;&lt;R&gt;1&lt;/R&gt;&lt;C&gt;1&lt;/C&gt;&lt;D xsi:type="xsd:double"&gt;1322.4026&lt;/D&gt;&lt;/FQL&gt;&lt;FQL&gt;&lt;Q&gt;CRWV^FE_ESTIMATE(GROSSINCOME,MEAN,QUARTERLY_ROLL,2025/3F,45970,,,'')&lt;/Q&gt;&lt;R&gt;1&lt;/R&gt;&lt;C&gt;1&lt;/C&gt;&lt;D xsi:type="xsd:double"&gt;949.0868&lt;/D&gt;&lt;/FQL&gt;&lt;FQL&gt;&lt;Q&gt;CRWV^FE_ESTIMATE(GROSSINCOME,MEAN,QUARTERLY_ROLL,2025/2F,45970,,,'')&lt;/Q&gt;&lt;R&gt;1&lt;/R&gt;&lt;C&gt;1&lt;/C&gt;&lt;D xsi:type="xsd:double"&gt;903.6571&lt;/D&gt;&lt;/FQL&gt;&lt;FQL&gt;&lt;Q&gt;CRWV^FE_ESTIMATE(GRO</t>
        </r>
      </text>
    </comment>
    <comment ref="A17" authorId="0" shapeId="0" xr:uid="{795E71AA-9C0B-43D8-B92E-0D4FA8EB3EEA}">
      <text>
        <r>
          <rPr>
            <b/>
            <sz val="9"/>
            <color indexed="81"/>
            <rFont val="Tahoma"/>
            <charset val="1"/>
          </rPr>
          <t>SSINCOME,MEAN,QUARTERLY_ROLL,2025/1F,45970,,,'')&lt;/Q&gt;&lt;R&gt;1&lt;/R&gt;&lt;C&gt;1&lt;/C&gt;&lt;D xsi:type="xsd:double"&gt;726.7069&lt;/D&gt;&lt;/FQL&gt;&lt;FQL&gt;&lt;Q&gt;CRWV^FE_ESTIMATE(GROSSINCOME,MEAN,ANNUAL_ROLL,2024,45970,,,'')&lt;/Q&gt;&lt;R&gt;1&lt;/R&gt;&lt;C&gt;1&lt;/C&gt;&lt;D xsi:type="xsd:double"&gt;1422.8593&lt;/D&gt;&lt;/FQL&gt;&lt;FQL&gt;&lt;Q&gt;CRWV^FE_ESTIMATE(GROSSINCOME,MEAN,QUARTERLY_ROLL,2024/4F,45970,,,'')&lt;/Q&gt;&lt;R&gt;1&lt;/R&gt;&lt;C&gt;1&lt;/C&gt;&lt;D xsi:type="xsd:double"&gt;565.6203&lt;/D&gt;&lt;/FQL&gt;&lt;FQL&gt;&lt;Q&gt;CRWV^FE_ESTIMATE(GROSSINCOME,MEAN,QUARTERLY_ROLL,2024/3F,45970,,,'')&lt;/Q&gt;&lt;R&gt;0&lt;/R&gt;&lt;C&gt;0&lt;/C&gt;&lt;/FQL&gt;&lt;FQL&gt;&lt;Q&gt;CRWV^FE_ESTIMATE(GROSSINCOME,MEAN,QUARTERLY_ROLL,2024/2F,45970,,,'')&lt;/Q&gt;&lt;R&gt;0&lt;/R&gt;&lt;C&gt;0&lt;/C&gt;&lt;/FQL&gt;&lt;FQL&gt;&lt;Q&gt;CRWV^FE_ESTIMATE(GROSSINCOME,MEAN,QUARTERLY_ROLL,2024/1F,45970,,,'')&lt;/Q&gt;&lt;R&gt;0&lt;/R&gt;&lt;C&gt;0&lt;/C&gt;&lt;/FQL&gt;&lt;FQL&gt;&lt;Q&gt;CRWV^FE_ESTIMATE(GROSSINCOME,MEAN,ANNUAL_ROLL,2023,45970,,,'')&lt;/Q&gt;&lt;R&gt;0&lt;/R&gt;&lt;C&gt;0&lt;/C&gt;&lt;/FQL&gt;&lt;FQL&gt;&lt;Q&gt;CRWV^FE_ESTIMATE(GROSSINCOME,MEAN,QUARTERLY_ROLL,2023/4F,45970,,,'')&lt;/Q&gt;&lt;R&gt;0&lt;/R&gt;&lt;C&gt;0&lt;/C&gt;&lt;/FQL&gt;&lt;FQL&gt;&lt;Q&gt;CRWV^FE_ESTIMATE(GROSSINCOME,MEAN,QUARTERLY_ROLL,2023/3F,45970,,,'')&lt;/Q&gt;&lt;R&gt;0&lt;/R&gt;&lt;C&gt;0&lt;/C&gt;&lt;/FQL&gt;&lt;FQL&gt;&lt;Q&gt;CRWV^FE_ESTIMATE(GROSSINCOME,MEAN,QUARTERLY_ROLL,2023/2F,45970,,,'')&lt;/Q&gt;&lt;R&gt;0&lt;/R&gt;&lt;C&gt;0&lt;/C&gt;&lt;/FQL&gt;&lt;FQL&gt;&lt;Q&gt;CRWV^FE_ESTIMATE(GROSSINCOME,MEAN,QUARTERLY_ROLL,2023/1F,45970,,,'')&lt;/Q&gt;&lt;R&gt;0&lt;/R&gt;&lt;C&gt;0&lt;/C&gt;&lt;/FQL&gt;&lt;FQL&gt;&lt;Q&gt;CRWV^FE_ESTIMATE(GROSSINCOME,MEAN,ANNUAL_ROLL,2022,45970,,,'')&lt;/Q&gt;&lt;R&gt;0&lt;/R&gt;&lt;C&gt;0&lt;/C&gt;&lt;/FQL&gt;&lt;FQL&gt;&lt;Q&gt;CRWV^FE_ESTIMATE(GROSSINCOME,MEAN,QUARTERLY_ROLL,2022/4F,45970,,,'')&lt;/Q&gt;&lt;R&gt;0&lt;/R&gt;&lt;C&gt;0&lt;/C&gt;&lt;/FQL&gt;&lt;FQL&gt;&lt;Q&gt;CRWV^FE_ESTIMATE(GROSSINCOME,MEAN,QUARTERLY_ROLL,2022/3F,45970,,,'')&lt;/Q&gt;&lt;R&gt;0&lt;/R&gt;&lt;C&gt;0&lt;/C&gt;&lt;/FQL&gt;&lt;FQL&gt;&lt;Q&gt;CRWV^FE_ESTIMATE(GROSSINCOME,MEAN,QUARTERLY_ROLL,2022/2F,45970,,,'')&lt;/Q&gt;&lt;R&gt;0&lt;/R&gt;&lt;C&gt;0&lt;/C&gt;&lt;/FQL&gt;&lt;FQL&gt;&lt;Q&gt;CRWV^FE_ESTIMATE(GROSSINCOME,MEAN,QUARTERLY_ROLL,2022/1F,45970,,,'')&lt;/Q&gt;&lt;R&gt;0&lt;/R&gt;&lt;C&gt;0&lt;/C&gt;&lt;/FQL&gt;&lt;FQL&gt;&lt;Q&gt;CRWV^FE_ESTIMATE(SALES,MEAN,ANNUAL_ROLL,2029,45970,,,'')&lt;/Q&gt;&lt;R&gt;1&lt;/R&gt;&lt;C&gt;1&lt;/C&gt;&lt;D xsi:type="xsd:double"&gt;31999.65&lt;/D&gt;&lt;/FQL&gt;&lt;FQL&gt;&lt;Q&gt;CRWV^FE_ESTIMATE(SALES,MEAN,QUARTERLY_ROLL,2029/4F,45970,,,'')&lt;/Q&gt;&lt;R&gt;0&lt;/R&gt;&lt;C&gt;0&lt;/C&gt;&lt;/FQL&gt;&lt;FQL&gt;&lt;Q&gt;CRWV^FE_ESTIMATE(SALES,MEAN,QUARTERLY_ROLL,2029/3F,45970,,,'')&lt;/Q&gt;&lt;R&gt;0&lt;/R&gt;&lt;C&gt;0&lt;/C&gt;&lt;/FQL&gt;&lt;FQL&gt;&lt;Q&gt;CRWV^FE_ESTIMATE(SALES,MEAN,QUARTERLY_ROLL,2029/2F,45970,,,'')&lt;/Q&gt;&lt;R&gt;0&lt;/R&gt;&lt;C&gt;0&lt;/C&gt;&lt;/FQL&gt;&lt;FQL&gt;&lt;Q&gt;CRWV^FE_ESTIMATE(SALES,MEAN,QUARTERLY_ROLL,2029/1F,45970,,,'')&lt;/Q&gt;&lt;R&gt;0&lt;/R&gt;&lt;C&gt;0&lt;/C&gt;&lt;/FQL&gt;&lt;FQL&gt;&lt;Q&gt;CRWV^FE_ESTIMATE(SALES,MEAN,ANNUAL_ROLL,2028,45970,,,'')&lt;/Q&gt;&lt;R&gt;1&lt;/R&gt;&lt;C&gt;1&lt;/C&gt;&lt;D xsi:type="xsd:double"&gt;25835.004&lt;/D&gt;&lt;/FQL&gt;&lt;FQL&gt;&lt;Q&gt;CRWV^FE_ESTIMATE(SALES,MEAN,QUARTERLY_ROLL,2028/4F,45970,,,'')&lt;/Q&gt;&lt;R&gt;0&lt;/R&gt;&lt;C&gt;0&lt;/C&gt;&lt;/FQL&gt;&lt;FQL&gt;&lt;Q&gt;CRWV^FE_ESTIMATE(SALES,MEAN,QUARTERLY_ROLL,2028/3F,45970,,,'')&lt;/Q&gt;&lt;R&gt;0&lt;/R&gt;&lt;C&gt;0&lt;/C&gt;&lt;/FQL&gt;&lt;FQL&gt;&lt;Q&gt;CRWV^FE_ESTIMATE(SALES,MEAN,QUARTERLY_ROLL,2028/2F,45970,,,'')&lt;/Q&gt;&lt;R&gt;0&lt;/R&gt;&lt;C&gt;0&lt;/C&gt;&lt;/FQL&gt;&lt;FQL&gt;&lt;Q&gt;CRWV^FE_ESTIMATE(SALES,MEAN,QUARTERLY_ROLL,2028/1F,45970,,,'')&lt;/Q&gt;&lt;R&gt;0&lt;/R&gt;&lt;C&gt;0&lt;/C&gt;&lt;/FQL&gt;&lt;FQL&gt;&lt;Q&gt;CRWV^FE_ESTIMATE(SALES,MEAN,ANNUAL_ROLL,2027,45970,,,'')&lt;/Q&gt;&lt;R&gt;1&lt;/R&gt;&lt;C&gt;1&lt;/C&gt;&lt;D xsi:type="xsd:double"&gt;18531.459&lt;/D&gt;&lt;/FQL&gt;&lt;FQL&gt;&lt;Q&gt;CRWV^FE_ESTIMATE(SALES,MEAN,QUARTERLY_ROLL,2027/4F,45970,,,'')&lt;/Q&gt;&lt;R&gt;1&lt;/R&gt;&lt;C&gt;1&lt;/C&gt;&lt;D xsi:type="xsd:double"&gt;4723.3213&lt;/D&gt;&lt;/FQL&gt;&lt;FQL&gt;&lt;Q&gt;CRWV^FE_ESTIMATE(SALES,MEAN,QUARTERLY_ROLL,2027/3F,45970,,,'')&lt;/Q&gt;&lt;R&gt;1&lt;/R&gt;&lt;C&gt;1&lt;/C&gt;&lt;D xsi:type="xsd:double"&gt;4427.1055&lt;/D&gt;&lt;/FQL&gt;&lt;FQL&gt;&lt;Q&gt;CRWV^FE_ESTIMATE(SALES,MEAN,QUARTERLY_ROLL,2027/2F,45970,,,'')&lt;/Q&gt;&lt;R&gt;1&lt;/R&gt;&lt;C&gt;1&lt;/C&gt;&lt;D xsi:type="xsd:double"&gt;4107.5327&lt;/D&gt;&lt;/FQL&gt;&lt;FQL&gt;&lt;Q&gt;CRWV^FE_ESTIMATE(SALES,MEAN,QUARTERLY_ROLL,2027/1F,45970,,,'')&lt;/Q&gt;&lt;R&gt;1&lt;/R&gt;&lt;C&gt;1&lt;/C&gt;&lt;D xsi:type="xsd:double"&gt;3812.0593&lt;/D&gt;&lt;/FQL&gt;&lt;FQL&gt;&lt;Q&gt;CRWV^FE_ESTIMATE(SALES,MEAN,ANNUAL_ROLL,2026,45970,,,'')&lt;/Q&gt;&lt;R&gt;1&lt;/R&gt;&lt;C&gt;1&lt;/C&gt;&lt;D xsi:type="xsd:double"&gt;12290.918&lt;/D&gt;&lt;/FQL&gt;&lt;FQL&gt;&lt;Q&gt;CRWV^FE_ESTIMATE(SALES,MEAN,QUARTERLY_ROLL,2026/4F,45970,,,'')&lt;/Q&gt;&lt;R&gt;1&lt;/R&gt;&lt;C&gt;1&lt;/C&gt;&lt;D xsi:type="xsd:double"&gt;3514.707&lt;/D&gt;&lt;/FQL&gt;&lt;FQL&gt;&lt;Q&gt;CRWV^FE_ESTIMATE(SALES,MEAN,QUARTERLY_ROLL,2026/3F,45970,,,'')&lt;/Q&gt;&lt;R&gt;1&lt;/R&gt;&lt;C&gt;1&lt;/C&gt;&lt;D xsi:type="xsd:double"&gt;3130.2395&lt;/D&gt;&lt;/FQL&gt;&lt;FQL&gt;&lt;Q&gt;CRWV^FE_ESTIMATE(SALES,MEAN,QUARTERLY_ROLL,2026/2F,45970,,,'')&lt;/Q&gt;&lt;R&gt;1&lt;/R&gt;&lt;C&gt;1&lt;/C&gt;&lt;D xsi:type="xsd:double"&gt;2904.5068&lt;/D&gt;&lt;/FQL&gt;&lt;FQL&gt;&lt;Q&gt;CRWV^FE_ESTIMATE(SALES,MEAN,QUARTERLY_ROLL,2026/1F,45970,,,'')&lt;/Q&gt;&lt;R&gt;1&lt;/R&gt;&lt;C&gt;1&lt;/C&gt;&lt;D xsi:type="xsd:double"&gt;2504.8894&lt;/D&gt;&lt;/FQL&gt;&lt;FQL&gt;&lt;Q&gt;CRWV^FE_ESTIMATE(SALES,MEAN,ANNUAL_ROLL,2025,45970,,,'')&lt;/Q&gt;&lt;R&gt;1&lt;/R&gt;&lt;C&gt;1&lt;/C&gt;&lt;D xsi:type="xsd:double"&gt;5287.2075&lt;/D&gt;&lt;/FQL&gt;&lt;FQL&gt;&lt;Q&gt;CRWV^FE_ESTIMATE(SALES,MEAN,QUARTERLY_ROLL,2025/4F,45970,,,'')&lt;/Q&gt;&lt;R&gt;1&lt;/R&gt;&lt;C&gt;1&lt;/C&gt;&lt;D xsi:type="xsd:double"&gt;1795.1318&lt;/D&gt;&lt;/FQL&gt;&lt;FQL&gt;&lt;Q&gt;CRWV^FE_ESTIMATE(SALES,MEAN,QUARTERLY_ROLL,2025/3F,45970,,,'')&lt;/Q&gt;&lt;R&gt;1&lt;/R&gt;&lt;C&gt;1&lt;/C&gt;&lt;D xsi:type="xsd:double"&gt;1286.7863&lt;/D&gt;&lt;/FQL&gt;&lt;FQL&gt;&lt;Q&gt;CRWV^FE_ESTIMATE(SALES,MEAN,QUARTERLY_ROLL,2025/2F,45970,,,'')&lt;/Q&gt;&lt;R&gt;1&lt;/R&gt;&lt;C&gt;1&lt;/C&gt;&lt;D xsi:type="xsd:double"&gt;1212.788&lt;/D&gt;&lt;/FQL&gt;&lt;FQL&gt;&lt;Q&gt;CRWV^FE_ESTIMATE(SALES,MEAN,QUARTERLY_ROLL,2025/1F,45970,,,'')&lt;/Q&gt;&lt;R&gt;1&lt;/R&gt;&lt;C&gt;1&lt;/C&gt;&lt;D xsi:type="xsd:double"&gt;981.632&lt;/D&gt;&lt;/FQL&gt;&lt;FQL&gt;&lt;Q&gt;CRWV^FE_ESTIMATE(SALES,MEAN,ANNUAL_ROLL,2024,45970,,,'')&lt;/Q&gt;&lt;R&gt;1&lt;/R&gt;&lt;C&gt;1&lt;/C&gt;&lt;D xsi:type="xsd:double"&gt;1915.2697&lt;/D&gt;&lt;/FQL&gt;&lt;FQL&gt;&lt;Q&gt;CRWV^FE_ESTIMATE(SALES,MEAN,QUARTERLY_ROLL,2024/4F,45970,,,'')&lt;/Q&gt;&lt;R&gt;1&lt;/R&gt;&lt;C&gt;1&lt;/C&gt;&lt;D xsi:type="xsd:double"&gt;747.2792&lt;/D&gt;&lt;/FQL&gt;&lt;FQL&gt;&lt;Q&gt;CRWV^FE_ESTIMATE(SALES,MEAN,QUARTERLY_ROLL,2024/3F,45970,,,'')&lt;/Q&gt;&lt;R&gt;0&lt;/R&gt;&lt;C&gt;0&lt;/C&gt;&lt;/FQL&gt;&lt;FQL&gt;&lt;Q&gt;CRWV^FE_ESTIMATE(SALES,MEAN,QUARTERLY_ROLL,2024/2F,45970,,,'')&lt;/Q&gt;&lt;R&gt;0&lt;/R&gt;&lt;C&gt;0&lt;/C&gt;&lt;/FQL&gt;&lt;FQL&gt;&lt;Q&gt;CRWV^FE_ESTIMATE(SALES,MEAN,QUARTERLY_ROLL,2024/1F,45970,,,'')&lt;/Q&gt;&lt;R&gt;0&lt;/R&gt;&lt;C&gt;0&lt;/C&gt;&lt;/FQL&gt;&lt;FQL&gt;&lt;Q&gt;CRWV^FE_ESTIMATE(SALES,MEAN,ANNUAL_ROLL,2023,45970,,,'')&lt;/Q&gt;&lt;R&gt;0&lt;/R&gt;&lt;C&gt;0&lt;/C&gt;&lt;/FQL&gt;&lt;FQL&gt;&lt;Q&gt;CRWV^FE_ESTIMATE(SALES,MEAN,QUARTERLY_ROLL,2023/4F,45970,,,'')&lt;/Q&gt;&lt;R&gt;0&lt;/R&gt;&lt;C&gt;0&lt;/C&gt;&lt;/FQL&gt;&lt;FQL&gt;&lt;Q&gt;CRWV^FE_ESTIMATE(SALES,MEAN,QUARTERLY_ROLL,2023/3F,45970,,,'')&lt;/Q&gt;&lt;R&gt;0&lt;/R&gt;&lt;C&gt;0&lt;/C&gt;&lt;/FQL&gt;&lt;FQL&gt;&lt;Q&gt;CRWV^FE_ESTIMATE(SALES,MEAN,QUARTERLY_ROLL,2023/2F,45970,,,'')&lt;/Q&gt;&lt;R&gt;0&lt;/R&gt;&lt;C&gt;0&lt;/C&gt;&lt;/FQL&gt;&lt;FQL&gt;&lt;Q&gt;CRWV^FE_ESTIMATE(SALES,MEAN,QUARTERLY_ROLL,2023/1F,45970,,,'')&lt;/Q&gt;&lt;R&gt;0&lt;/R&gt;&lt;C&gt;0&lt;/C&gt;&lt;/FQL&gt;&lt;FQL&gt;&lt;Q&gt;CRWV^FE_ESTIMATE(SALES,MEAN,ANNUAL_ROLL,2022,45970,,,'')&lt;/Q&gt;&lt;R&gt;0&lt;/R&gt;&lt;C&gt;0&lt;/C&gt;&lt;/FQL&gt;&lt;FQL&gt;&lt;Q&gt;CRWV^FE_ESTIMATE(SALES,MEAN,QUARTERLY_ROLL,2022/4F,45970,,,'')&lt;/Q&gt;&lt;R&gt;0&lt;/R&gt;&lt;C&gt;0&lt;/C&gt;&lt;/FQL&gt;&lt;FQL&gt;&lt;Q&gt;CRWV^FE_ESTIMATE(SALES,MEAN,QUARTERLY_ROLL,2022/3F,45970,,,'')&lt;/Q&gt;&lt;R&gt;0&lt;/R&gt;&lt;C&gt;0&lt;/C&gt;&lt;/FQL&gt;&lt;FQL&gt;&lt;Q&gt;CRWV^FE_ESTIMATE(SALES,MEAN,QUARTERLY_ROLL,2022/2F,45970,,,'')&lt;/Q&gt;&lt;R&gt;0&lt;/R&gt;&lt;C&gt;0&lt;/C&gt;&lt;/FQL&gt;&lt;FQL&gt;&lt;Q&gt;CRWV^FE_ESTIMATE(SALES,MEAN,QUARTERLY_ROLL,2022/1F,45970,,,'')&lt;/Q&gt;&lt;R&gt;0&lt;/R&gt;&lt;C&gt;0&lt;/C&gt;&lt;/FQL&gt;&lt;FQL&gt;&lt;Q&gt;CRWV^FE_ESTIMATE(TOTAL_RPO,MEAN,ANNUAL_ROLL,2029,45974,,,'')&lt;/Q&gt;&lt;R&gt;0&lt;/R&gt;&lt;C&gt;0&lt;/C&gt;&lt;/FQL&gt;&lt;FQL&gt;&lt;Q&gt;CRWV^FE_ESTIMATE(TOTAL_RPO,MEAN,QUARTERLY_ROLL,2029/4F,45974,,,'')&lt;/Q&gt;&lt;R&gt;0&lt;/R&gt;&lt;C&gt;0&lt;/C&gt;&lt;/FQL&gt;&lt;FQL&gt;&lt;Q&gt;CRWV^FE_ESTIMATE(TOTAL_RPO,MEAN,QUARTERLY_ROLL,2029/3F,45974,,,'')&lt;/Q&gt;&lt;R&gt;0&lt;/R&gt;&lt;C&gt;0&lt;/C&gt;&lt;/FQL&gt;&lt;FQL&gt;&lt;Q&gt;CRWV^FE_ESTIMATE(TOTAL_RPO,MEAN,QUARTERLY_ROLL,2029/2F,45974,,,'')&lt;/Q&gt;&lt;R&gt;0&lt;/R&gt;&lt;C&gt;0&lt;/C&gt;&lt;/FQL&gt;&lt;FQL&gt;&lt;Q&gt;CRWV^FE_ESTIMATE(TOTAL_RPO,MEAN,QUARTERLY_ROLL,2029/1F,45974,,,'')&lt;/Q&gt;&lt;R&gt;0&lt;/R&gt;&lt;C&gt;0&lt;/C&gt;&lt;/FQL&gt;&lt;FQL&gt;&lt;Q&gt;CRWV^FE_ESTIMATE(TOTAL_RPO,MEAN,ANNUAL_ROLL,2028,45974,,,'')&lt;/Q&gt;&lt;R&gt;0&lt;/R&gt;&lt;C&gt;0&lt;/C&gt;&lt;/FQL&gt;&lt;FQL&gt;&lt;Q&gt;CRWV^FE_ESTIMATE(TOTAL_RPO,MEAN,QUARTERLY_ROLL,2028/4F,45974,,,'')&lt;/Q&gt;&lt;R&gt;0&lt;/R&gt;&lt;C&gt;0&lt;/C&gt;&lt;/FQL&gt;&lt;FQL&gt;&lt;Q&gt;CRWV^FE_ESTIMATE(TOTAL_RPO,MEAN,QUARTERLY_ROLL,2028/3F,45974,,,'')&lt;/Q&gt;&lt;R&gt;0&lt;/R&gt;&lt;C&gt;0&lt;/C&gt;&lt;/FQL&gt;&lt;FQL&gt;&lt;Q&gt;CRWV^FE_ESTIMATE(TOTAL_RPO,MEAN,QUARTERLY_ROLL,2028/2F,45974,,,'')&lt;/Q&gt;&lt;R&gt;0&lt;/R&gt;&lt;C&gt;0&lt;/C&gt;&lt;/FQL&gt;&lt;FQL&gt;&lt;Q&gt;CRWV^FE_ESTIMATE(TOTAL_RPO,MEAN,QUARTERLY_ROLL,2028/1F,45974,,,'')&lt;/Q&gt;&lt;R&gt;0&lt;/R&gt;&lt;C&gt;0&lt;/C&gt;&lt;/FQL&gt;&lt;FQL&gt;&lt;Q&gt;CRWV^FE_ESTIMATE(TOTAL_RPO,MEAN,ANNUAL_ROLL,2027,45974,,,'')&lt;/Q&gt;&lt;R&gt;0&lt;/R&gt;&lt;C&gt;0&lt;/C&gt;&lt;/FQL&gt;&lt;FQL&gt;&lt;Q&gt;CRWV^FE_ESTIMATE(TOTAL_RPO,MEAN,QUARTERLY_ROLL,2027/4F,45974,,,'')&lt;/Q&gt;&lt;R&gt;0&lt;/R&gt;&lt;C&gt;0&lt;/C&gt;&lt;/FQL&gt;&lt;FQL&gt;&lt;Q&gt;CRWV^FE_ESTIMATE(TOTAL_RPO,MEAN,QUARTERLY_ROLL,2027/3F,45974,,,'')&lt;/Q&gt;&lt;R&gt;0&lt;/R&gt;&lt;C&gt;0&lt;/C&gt;&lt;/FQL&gt;&lt;FQL&gt;&lt;Q&gt;CRWV^FE_ESTIMATE(TOTAL_RPO,MEAN,QUARTERLY_ROLL,2027/2F,45974,,,'')&lt;/Q&gt;&lt;R&gt;0&lt;/R&gt;&lt;C&gt;0&lt;/C&gt;&lt;/FQL&gt;&lt;FQL&gt;&lt;Q&gt;CRWV^FE_ESTIMATE(TOTAL_RPO,MEAN,QUARTERLY_ROLL,2027/1F,45974,,,'')&lt;/Q&gt;&lt;R&gt;0&lt;/R&gt;&lt;C&gt;0&lt;/C&gt;&lt;/FQL&gt;&lt;FQL&gt;&lt;Q&gt;CRWV^FE_ESTIMATE(TOTAL_RPO,MEAN,ANNUAL_ROLL,2026,45974,,,'')&lt;/Q&gt;&lt;R&gt;0&lt;/R&gt;&lt;C&gt;0&lt;/C&gt;&lt;/FQL&gt;&lt;FQL&gt;&lt;Q&gt;CRWV^FE_ESTIMATE(TOTAL_RPO,MEAN,QUARTERLY_ROLL,2026/4F,45974,,,'')&lt;/Q&gt;&lt;R&gt;0&lt;/R&gt;&lt;C&gt;0&lt;/C&gt;&lt;/FQL&gt;&lt;FQL&gt;&lt;Q&gt;CRWV^FE_ESTIMATE(TOTAL_RPO,MEAN,QUARTERLY_ROLL,2026/3F,45974,,,'')&lt;/Q&gt;&lt;R&gt;0&lt;/R&gt;&lt;C&gt;0&lt;/C&gt;&lt;/FQL&gt;&lt;FQL&gt;&lt;Q&gt;CRWV^FE_ESTIMATE(TOTAL_RPO,MEAN,QUARTERLY_ROLL,2026/2F,45974,,,'')&lt;/Q&gt;&lt;R&gt;0&lt;/R&gt;&lt;C&gt;0&lt;/C&gt;&lt;/FQL&gt;&lt;FQL&gt;&lt;Q&gt;CRWV^FE_ESTIMATE(TOTAL_RPO,MEAN,QUARTERLY_ROLL,2026/1F,45974,,,'')&lt;/Q&gt;&lt;R&gt;0&lt;/R&gt;&lt;C&gt;0&lt;/C&gt;&lt;/FQL&gt;&lt;FQL&gt;&lt;Q&gt;CRWV^FE_ESTIMATE(TOTAL_RPO,MEAN,ANNUAL_ROLL,2025,45974,,,'')&lt;/Q&gt;&lt;R&gt;0&lt;/R&gt;&lt;C&gt;0&lt;/C&gt;&lt;/FQL&gt;&lt;FQL&gt;&lt;Q&gt;CRWV^FE_ESTIMATE(TOTAL_RPO,MEAN,QUARTERLY_ROLL,2025/4F,45974,,,'')&lt;/Q&gt;&lt;R&gt;0&lt;/R&gt;&lt;C&gt;0&lt;/C&gt;&lt;/FQL&gt;&lt;FQL&gt;&lt;Q&gt;CRWV^FE_ESTIMATE(TOTAL_RPO,MEAN,QUARTERLY_ROLL,2025/3F,45974,,,'')&lt;/Q&gt;&lt;R&gt;0&lt;/R&gt;&lt;C&gt;0&lt;/C&gt;&lt;/FQL&gt;&lt;FQL&gt;&lt;Q&gt;CRWV^FE_ESTIMATE(TOTAL_RPO,MEAN,QUARTERLY_ROLL,2025/2F,45974,,,'')&lt;/Q&gt;&lt;R&gt;0&lt;/R&gt;&lt;C&gt;0&lt;/C&gt;&lt;/FQL&gt;&lt;FQL&gt;&lt;Q&gt;CRWV^FE_ESTIMATE(TOTAL_RPO,MEAN,QUARTERLY_ROLL,2025/1F,45974,,,'')&lt;/Q&gt;&lt;R&gt;0&lt;/R&gt;&lt;C&gt;0&lt;/C&gt;&lt;/FQL&gt;&lt;FQL&gt;&lt;Q&gt;CRWV^FE_ESTIMATE(TOTAL_RPO,MEAN,ANNUAL_ROLL,2024,45974,,,'')&lt;/Q&gt;&lt;R&gt;1&lt;/R&gt;&lt;C&gt;1&lt;/C&gt;&lt;D xsi:type="xsd:double"&gt;15100&lt;/D&gt;&lt;/FQL&gt;&lt;FQL&gt;&lt;Q&gt;CRWV^FE_ESTIMATE(TOTAL_RPO,MEAN,QUARTERLY_ROLL,2024/4F,45974,,,'')&lt;/Q&gt;&lt;R&gt;1&lt;/R&gt;&lt;C&gt;1&lt;/C&gt;&lt;D xsi:type="xsd:double"&gt;15100&lt;/D&gt;&lt;/FQL&gt;&lt;FQL&gt;&lt;Q&gt;CRWV^FE_ESTIMATE(TOTAL_RPO,MEAN,QUARTERLY_ROLL,2024/3F,45974,,,'')&lt;/Q&gt;&lt;R&gt;0&lt;/R&gt;&lt;C&gt;0&lt;/C&gt;&lt;/FQL&gt;&lt;FQL&gt;&lt;Q&gt;CRWV^FE_ESTIMATE(TOTAL_RPO,MEAN,QUARTERLY_ROLL,2024/2F,45974,,,'')&lt;/Q&gt;&lt;R&gt;0&lt;/R&gt;&lt;C&gt;0&lt;/C&gt;&lt;/FQL&gt;&lt;FQL&gt;&lt;Q&gt;CRWV^FE_ESTIMATE(TOTAL_RPO,MEAN,QUARTERLY_ROLL,2024/1F,45974,,,'')&lt;/Q&gt;&lt;R&gt;0&lt;/R&gt;&lt;C&gt;0&lt;/C&gt;&lt;/FQL&gt;&lt;FQL&gt;&lt;Q&gt;CRWV^FE_ESTIMATE(TOTAL_RPO,MEAN,ANNUAL_ROLL,2023,45974,,,'')&lt;/Q&gt;&lt;R&gt;0&lt;/R&gt;&lt;C&gt;0&lt;/C&gt;&lt;/FQL&gt;&lt;FQL&gt;&lt;Q&gt;CRWV^FE_ESTIMATE(TOTAL_RPO,MEAN,QUARTERLY_ROLL,2023/4F,45974,,,'')&lt;/Q&gt;&lt;R&gt;0&lt;/R&gt;&lt;C&gt;0&lt;/C&gt;&lt;/FQL&gt;&lt;FQL&gt;&lt;Q&gt;CRWV^FE_ESTIMATE(TOTAL_RPO,MEAN,QUARTERLY_ROLL,2023/3F,45974,,,'')&lt;/Q&gt;&lt;R&gt;0&lt;/R&gt;&lt;C&gt;0&lt;/C&gt;&lt;/FQL&gt;&lt;FQL&gt;&lt;Q&gt;CRWV^FE_ESTIMATE(TOTAL_RPO,MEAN,QUARTERLY_ROLL,2023/2F,45974,,,'')&lt;/Q&gt;&lt;R&gt;0&lt;/R&gt;&lt;C&gt;0&lt;/C&gt;&lt;/FQL&gt;&lt;FQL&gt;&lt;Q&gt;CRWV^FE_ESTIMATE(TOTAL_RPO,MEAN,QUARTERLY_ROLL,2023/1F,45974,,,'')&lt;/Q&gt;&lt;R&gt;0&lt;/R&gt;&lt;C&gt;0&lt;/C&gt;&lt;/FQL&gt;&lt;FQL&gt;&lt;Q&gt;CRWV^FE_ESTIMATE(TOTAL_RPO,MEAN,ANNUAL_ROLL,2022,45974,,,'')&lt;/Q&gt;&lt;R&gt;0&lt;/R&gt;&lt;C&gt;0&lt;/C&gt;&lt;/FQL&gt;&lt;FQL&gt;&lt;Q&gt;CRWV^FE_ESTIMATE(TOTAL_RPO,MEAN,QUARTERLY_ROLL,2022/4F,45974,,,'')&lt;/Q&gt;&lt;R&gt;0&lt;/R&gt;&lt;C&gt;0&lt;/C&gt;&lt;/FQL&gt;&lt;FQL&gt;&lt;Q&gt;CRWV^FE_ESTIMATE(TOTAL_RPO,MEAN,QUARTERLY_ROLL,2022/3F,45974,,,'')&lt;/Q&gt;&lt;R&gt;0&lt;/R&gt;&lt;C&gt;0&lt;/C&gt;&lt;/FQL&gt;&lt;FQL&gt;&lt;Q&gt;CRWV^FE_ESTIMATE(TOTAL_RPO,MEAN,QUARTERLY_ROLL,2022/2F,45974,,,'')&lt;/Q&gt;&lt;R&gt;0&lt;/R&gt;&lt;C&gt;0&lt;/C&gt;&lt;/FQL&gt;&lt;FQL&gt;&lt;Q&gt;CRWV^FE_ESTIMATE(TOTAL_RPO,MEAN,QUARTERLY_ROLL,2022/1F,45974,,,'')&lt;/Q&gt;&lt;R&gt;0&lt;/R&gt;&lt;C&gt;0&lt;/C&gt;&lt;/FQL&gt;&lt;FQL&gt;&lt;Q&gt;CRWV^FE_ESTIMATE(ARR,MEAN,ANNUAL_ROLL,2029,45974,,,'')&lt;/Q&gt;&lt;R&gt;0&lt;/R&gt;&lt;C&gt;0&lt;/C&gt;&lt;/FQL&gt;&lt;FQL&gt;&lt;Q&gt;CRWV^FE_ESTIMATE(ARR,MEAN,QUARTERLY_ROLL,2029/4F,45974,,,'')&lt;/Q&gt;&lt;R&gt;0&lt;/R&gt;&lt;C&gt;0&lt;/C&gt;&lt;/FQL&gt;&lt;FQL&gt;&lt;Q&gt;CRWV^FE_ESTIMATE(ARR,MEAN,QUARTERLY_ROLL,2029/3F,45974,,,'')&lt;/Q&gt;&lt;R&gt;0&lt;/R&gt;&lt;C&gt;0&lt;/C&gt;&lt;/FQL&gt;&lt;FQL&gt;&lt;Q&gt;CRWV^FE_ESTIMATE(ARR,MEAN,QUARTERLY_ROLL,2029/2F,45974,,,'')&lt;/Q&gt;&lt;R&gt;0&lt;/R&gt;&lt;C&gt;0&lt;/C&gt;&lt;/FQL&gt;&lt;FQL&gt;&lt;Q&gt;CRWV^FE_ESTIMATE(ARR,MEAN,QUARTERLY_ROLL,2029/1F,45974,,,'')&lt;/Q&gt;&lt;R&gt;0&lt;/R&gt;&lt;C&gt;0&lt;/C&gt;&lt;/FQL&gt;&lt;FQL&gt;&lt;Q&gt;CRWV^FE_ESTIMATE(ARR,MEAN,ANNUAL_ROLL,2028,45974,,,'')&lt;/Q&gt;&lt;R&gt;1&lt;/R&gt;&lt;C&gt;1&lt;/C&gt;&lt;D xsi:type="xsd:double"&gt;32918&lt;/D&gt;&lt;/FQL&gt;&lt;FQL&gt;&lt;Q&gt;CRWV^FE_ESTIMATE(ARR,MEAN,QUARTERLY_ROLL,2028/4F,45974,,,'')&lt;/Q&gt;&lt;R&gt;0&lt;/R&gt;&lt;C&gt;0&lt;/C&gt;&lt;/FQL&gt;&lt;FQL&gt;&lt;Q&gt;CRWV^FE_ESTIMATE(ARR,MEAN,QUARTERLY_ROLL,2028/3F,45974,,,'')&lt;/Q&gt;&lt;R&gt;0&lt;/R&gt;&lt;C&gt;0&lt;/C&gt;&lt;/FQL&gt;&lt;FQL&gt;&lt;Q&gt;CRWV^FE_ESTIMATE(ARR,MEAN,QUARTERLY_ROLL,2028/2F,45974,,,'')&lt;/Q&gt;&lt;R&gt;0&lt;/R&gt;&lt;C&gt;0&lt;/C&gt;&lt;/FQL&gt;&lt;FQL&gt;&lt;Q&gt;CRWV^FE_ESTIMATE(ARR,MEAN,QUARTERLY_ROLL,2028/1F,45974,,,'')&lt;/Q&gt;&lt;R&gt;0&lt;/R&gt;&lt;C&gt;0&lt;/C&gt;&lt;/FQL&gt;&lt;FQL&gt;&lt;Q&gt;CRWV^FE_ESTIMATE(ARR,MEAN,ANNUAL_ROLL,2027,45974,,,'')&lt;/Q&gt;&lt;R&gt;1&lt;/R&gt;&lt;C&gt;1&lt;/C&gt;&lt;D xsi:type="xsd:double"&gt;27808&lt;/D&gt;&lt;/FQL&gt;&lt;FQL&gt;&lt;Q&gt;CRWV^FE_ESTIMATE(ARR,MEAN,QUARTERLY_ROLL,2027/4F,45974,,,'')&lt;/Q&gt;&lt;R&gt;0&lt;/R&gt;&lt;C&gt;0&lt;/C&gt;&lt;/FQL&gt;&lt;FQL&gt;&lt;Q&gt;CRWV^FE_ESTIMATE(ARR,MEAN,QUARTERLY_ROLL,2027/3F,45974,,,'')&lt;/Q&gt;&lt;R&gt;0&lt;/R&gt;&lt;C&gt;0&lt;/C&gt;&lt;/FQL&gt;&lt;FQL&gt;&lt;Q&gt;CRWV^FE_ESTIMATE(ARR,MEAN,QUARTERLY_ROLL,2027/2F,45974,,,'')&lt;/Q&gt;&lt;R&gt;0&lt;/R&gt;&lt;C&gt;0&lt;/C&gt;&lt;/FQL&gt;&lt;FQL&gt;&lt;Q&gt;CRWV^FE_ESTIMATE(ARR,MEAN,QUARTERLY_ROLL,2027/1F,45974,,,'')&lt;/Q&gt;&lt;R&gt;0&lt;/R&gt;&lt;C&gt;0&lt;/C&gt;&lt;/FQL&gt;&lt;FQL&gt;&lt;Q&gt;CRWV^FE_ESTIMATE(ARR,MEAN,ANNUAL_ROLL,2026,45974,,,'')&lt;/Q&gt;&lt;R&gt;1&lt;/R&gt;&lt;C&gt;1&lt;/C&gt;&lt;D xsi:type="xsd:double"&gt;17859&lt;/D&gt;&lt;/FQL&gt;&lt;FQL&gt;&lt;Q&gt;CRWV^FE_ESTIMATE(ARR,MEAN,QUARTERLY_ROLL,2026/4F,45974,,,'')&lt;/Q&gt;&lt;R&gt;1&lt;/R&gt;&lt;C&gt;1&lt;/C&gt;&lt;D xsi:type="xsd:double"&gt;17859&lt;/D&gt;&lt;/FQL&gt;&lt;FQL&gt;&lt;Q&gt;CRWV^FE_ESTIMATE(ARR,MEAN,QUARTERLY_ROLL,2026/3F,45974,,,'')&lt;/Q&gt;&lt;R&gt;1&lt;/R&gt;&lt;C&gt;1&lt;/C&gt;&lt;D xsi:type="xsd:double"&gt;14713&lt;/D&gt;&lt;/FQL&gt;&lt;FQL&gt;&lt;Q&gt;CRWV^FE_ESTIMATE(ARR,MEAN,QUARTERLY_ROLL,2026/2F,45974,,,'')&lt;/Q&gt;&lt;R&gt;1&lt;/R&gt;&lt;C&gt;1&lt;/C&gt;&lt;D xsi:type="xsd:double"&gt;11250&lt;/D&gt;&lt;/FQL&gt;&lt;FQL&gt;&lt;Q&gt;CRWV^FE_ESTIMATE(ARR,MEAN,QUARTERLY_ROLL,2026/1F,45974,,,'')&lt;/Q&gt;&lt;R&gt;1&lt;/R&gt;&lt;C&gt;1&lt;/C&gt;&lt;D xsi:type="xsd:double"&gt;8906&lt;/D&gt;&lt;/FQL&gt;&lt;FQL&gt;&lt;Q&gt;CRWV^FE_ESTIMATE(ARR,MEAN,ANNUAL_ROLL,2025,45974,,,'')&lt;/Q&gt;&lt;R&gt;1&lt;/R&gt;&lt;C&gt;1&lt;/C&gt;&lt;D xsi:type="xsd:double"&gt;6160&lt;/D&gt;&lt;/FQL&gt;&lt;FQL&gt;&lt;Q&gt;CRWV^FE_ESTIMATE(ARR,MEAN,QUARTERLY_ROLL,2025/4F,45974,,,'')&lt;/Q&gt;&lt;R&gt;1&lt;/R&gt;&lt;C&gt;1&lt;/C&gt;&lt;D xsi:type="xsd:double"&gt;6160&lt;/D&gt;&lt;/FQL&gt;&lt;FQL&gt;&lt;Q&gt;CRWV^FE_ESTIMATE(ARR,MEAN,QUARTERLY_ROLL,2025/3F,45974,,,'')&lt;/Q&gt;&lt;R&gt;1&lt;/R&gt;&lt;C&gt;1&lt;/C&gt;&lt;D xsi:type="xsd:double"&gt;5459&lt;/D&gt;&lt;/FQL&gt;&lt;FQL&gt;&lt;Q&gt;CRWV^FE_ESTIMATE(ARR,MEAN,QUARTERLY_ROLL,2025/2F,45974,,,'')&lt;/Q&gt;&lt;R&gt;1&lt;/R&gt;&lt;C&gt;1&lt;/C&gt;&lt;D xsi:type="xsd:double"&gt;4851&lt;/D&gt;&lt;/FQL&gt;&lt;FQL&gt;&lt;Q&gt;CRWV^FE_ESTIMATE(ARR,MEAN,QUARTERLY_ROLL,2025/1F,45974,,,'')&lt;/Q&gt;&lt;R&gt;0&lt;/R&gt;&lt;C&gt;0&lt;/C&gt;&lt;/FQL&gt;&lt;FQL&gt;&lt;Q&gt;CRWV^FE_ESTIMATE(ARR,MEAN,ANNUAL_ROLL,2024,45974,,,'')&lt;/Q&gt;&lt;R&gt;1&lt;/R&gt;&lt;C&gt;1&lt;/C&gt;&lt;D xsi:type="xsd:double"&gt;3000&lt;/D&gt;&lt;/FQL&gt;&lt;FQL&gt;&lt;Q&gt;CRWV^FE_ESTIMATE(ARR,MEAN,QUARTERLY_ROLL,2024/4F,45974,,,'')&lt;/Q&gt;&lt;R&gt;0&lt;/R&gt;&lt;C&gt;0&lt;/C&gt;&lt;/FQL&gt;&lt;FQL&gt;&lt;Q&gt;CRWV^FE_ESTIMATE(ARR,MEAN,QUARTERLY_ROLL,2024/3F,45974,,,'')&lt;/Q&gt;&lt;R&gt;0&lt;/R&gt;&lt;C&gt;0&lt;/C&gt;&lt;/FQL&gt;&lt;FQL&gt;&lt;Q&gt;CRWV^FE_ESTIMATE(ARR,MEAN,QUARTERLY_ROLL,2024/2F,45974,,,'')&lt;/Q&gt;&lt;R&gt;0&lt;/R&gt;&lt;C&gt;0&lt;/C&gt;&lt;/FQL&gt;&lt;FQL&gt;&lt;Q&gt;CRWV^FE_ESTIMATE(ARR,MEAN,QUARTERLY_ROLL,2024/1F,45974,,,'')&lt;/Q&gt;&lt;R&gt;0&lt;/R&gt;&lt;C&gt;0&lt;/C&gt;&lt;/FQL&gt;&lt;FQL&gt;&lt;Q&gt;CRWV^FE_ESTIMATE(ARR,MEAN,ANNUAL_ROLL,2023,45974,,,'')&lt;/Q&gt;&lt;R&gt;0&lt;/R&gt;&lt;C&gt;0&lt;/C&gt;&lt;/FQL&gt;&lt;FQL&gt;&lt;Q&gt;CRWV^FE_ESTIMATE(ARR,MEAN,QUARTERLY_ROLL,2023/4F,45974,,,'')&lt;/Q&gt;&lt;R&gt;0&lt;/R&gt;&lt;C&gt;0&lt;/C&gt;&lt;/FQL&gt;&lt;FQL&gt;&lt;Q&gt;CRWV^FE_ESTIMATE(ARR,MEAN,QUARTERLY_ROLL,2023/3F,45974,,,'')&lt;/Q&gt;&lt;R&gt;0&lt;/R&gt;&lt;C&gt;0&lt;/C&gt;&lt;/FQL&gt;&lt;FQL&gt;&lt;Q&gt;CRWV^FE_ESTIMATE(ARR,MEAN,QUARTERLY_ROLL,2023/2F,45974,,,'')&lt;/Q&gt;&lt;R&gt;0&lt;/R&gt;&lt;C&gt;0&lt;/C&gt;&lt;/FQL&gt;&lt;FQL&gt;&lt;Q&gt;CRWV^FE_ESTIMATE(ARR,MEAN,QUARTERLY_ROLL,2023/1F,45974,,,'')&lt;/Q&gt;&lt;R&gt;0&lt;/R&gt;&lt;C&gt;0&lt;/C&gt;&lt;/FQL&gt;&lt;FQL&gt;&lt;Q&gt;CRWV^FE_ESTIMATE(ARR,MEAN,ANNUAL_ROLL,2022,45974,,,'')&lt;/Q&gt;&lt;R&gt;0&lt;/R&gt;&lt;C&gt;0&lt;/C&gt;&lt;/FQL&gt;&lt;FQL&gt;&lt;Q&gt;CRWV^FE_ESTIMATE(ARR,MEAN,QUARTERLY_ROLL,2022/4F,45974,,,'')&lt;/Q&gt;&lt;R&gt;0&lt;/R&gt;&lt;C&gt;0&lt;/C&gt;&lt;/FQL&gt;&lt;FQL&gt;&lt;Q&gt;CRWV^FE_ESTIMATE(ARR,MEAN,QUARTERLY_ROLL,2022/3F,45974,,,'')&lt;/Q&gt;&lt;R&gt;0&lt;/R&gt;&lt;C&gt;0&lt;/C&gt;&lt;/FQL&gt;&lt;FQL&gt;&lt;Q&gt;CRWV^FE_ESTIMATE(ARR,MEAN,QUARTERLY_ROLL,2022/2F,45974,,,'')&lt;/Q&gt;&lt;R&gt;0&lt;/R&gt;&lt;C&gt;0&lt;/C&gt;&lt;/FQL&gt;&lt;FQL&gt;&lt;Q&gt;CRWV^FE_ESTIMATE(ARR,MEAN,QUARTERLY_ROLL,2022/1F,45974,,,'')&lt;/Q&gt;&lt;R&gt;0&lt;/R&gt;&lt;C&gt;0&lt;/C&gt;&lt;/FQL&gt;&lt;FQL&gt;&lt;Q&gt;CRWV^FE_ESTIMATE(NEW_ORDERS_VALUE,MEAN,ANNUAL_ROLL,2029,45974,,,'')&lt;/Q&gt;&lt;R&gt;0&lt;/R&gt;&lt;C&gt;0&lt;/C&gt;&lt;/FQL&gt;&lt;FQL&gt;&lt;Q&gt;CRWV^FE_ESTIMATE(NEW_ORDERS_VALUE,MEAN,QUARTERLY_ROLL,2029/4F,45974,,,'')&lt;/Q&gt;&lt;R&gt;0&lt;/R&gt;&lt;C&gt;0&lt;/C&gt;&lt;/FQL&gt;&lt;FQL&gt;&lt;Q&gt;CRWV^FE_ESTIMATE(NEW_ORDERS_VALUE,MEAN,QUARTERLY_ROLL,2029/3F,45974,,,'')&lt;/Q&gt;&lt;R&gt;0&lt;/R&gt;&lt;C&gt;0&lt;/C&gt;&lt;/FQL&gt;&lt;FQL&gt;&lt;Q&gt;CRWV^FE_ESTIMATE(NEW_ORDERS_VALUE,MEAN,QUARTERLY_ROLL,2029/2F,45974,,,'')&lt;/Q&gt;&lt;R&gt;0&lt;/R&gt;&lt;C&gt;0&lt;/C&gt;&lt;/FQL&gt;&lt;FQL&gt;&lt;Q&gt;CRWV^FE_ESTIMATE(NEW_ORDERS_VALUE,MEAN,QUARTERLY_ROLL,2029/1F,45974,,,'')&lt;/Q&gt;&lt;R&gt;0&lt;/R&gt;&lt;C&gt;0&lt;/C&gt;&lt;/FQL&gt;&lt;FQL&gt;&lt;Q&gt;CRWV^FE_ESTIMATE(NEW_ORDERS_VALUE,MEAN,ANNUAL_ROLL,2028,45974,,,'')&lt;/Q&gt;&lt;R&gt;0&lt;/R&gt;&lt;C&gt;0&lt;/C&gt;&lt;/FQL&gt;&lt;FQL&gt;&lt;Q&gt;CRWV^FE_ESTIMATE(NEW_ORDERS_VALUE,MEAN,QUARTERLY_ROLL,2028/4F,45974,,,'')&lt;/Q&gt;&lt;R&gt;0&lt;/R&gt;&lt;C&gt;0&lt;/C&gt;&lt;/FQL&gt;&lt;FQL&gt;&lt;Q&gt;CRWV^FE_ESTIMATE(NEW_ORDERS_VALUE,MEAN,QUARTERLY_ROLL,2028/3F,45974,,,'')&lt;/Q&gt;&lt;R&gt;0&lt;/R&gt;&lt;C&gt;0&lt;/C&gt;&lt;/FQL&gt;&lt;FQL&gt;&lt;Q&gt;CRWV^FE_ESTIMATE(NEW_ORDERS_VALUE,MEAN,QUARTERLY_ROLL,2028/2F,45974,,,'')&lt;/Q&gt;&lt;R&gt;0&lt;/R&gt;&lt;C&gt;0&lt;/C&gt;&lt;/FQL&gt;&lt;FQL&gt;&lt;Q&gt;CRWV^FE_ESTIMATE(NEW_ORDERS_VALUE,MEAN,QUARTERLY_ROLL,2028/1F,45974,,,'')&lt;/Q&gt;&lt;R&gt;0&lt;/R&gt;&lt;C&gt;0&lt;/C&gt;&lt;/FQL&gt;&lt;FQL&gt;&lt;Q&gt;CRWV^FE_ESTIMATE(NEW_ORDERS_VALUE,MEAN,ANNUAL_ROLL,2027,45974,,,'')&lt;/Q&gt;&lt;R&gt;0&lt;/R&gt;&lt;C&gt;0&lt;/C&gt;&lt;/FQL&gt;&lt;FQL&gt;&lt;Q&gt;CRWV^FE_ESTIMATE(NEW_ORDERS_VALUE,MEAN,QUARTERLY_ROLL,2027/4F,45974,,,'')&lt;/Q&gt;&lt;R&gt;0&lt;/R&gt;&lt;C&gt;0&lt;/C&gt;&lt;/FQL&gt;&lt;FQL&gt;&lt;Q&gt;CRWV^FE_ESTIMATE(NEW_ORDERS_VALUE,MEAN,QUARTERLY_ROLL,2027/3F,45974,,,'')&lt;/Q&gt;&lt;R&gt;0&lt;/R&gt;&lt;C&gt;0&lt;/C&gt;&lt;/FQL&gt;&lt;FQL&gt;&lt;Q&gt;CRWV^FE_ESTIMATE(NEW_ORDERS_VALUE,MEAN,QUARTERLY_ROLL,2027/2F,45974,,,'')&lt;/Q&gt;&lt;R&gt;0&lt;/R&gt;&lt;C&gt;0&lt;/C&gt;&lt;/FQL&gt;&lt;FQL&gt;&lt;Q&gt;CRWV^FE_ESTIMATE(NEW_ORDERS_VALUE,MEAN,QUARTERLY_ROLL,2027/1F,45974,,,'')&lt;/Q&gt;&lt;R&gt;0&lt;/R&gt;&lt;C&gt;0&lt;/C&gt;&lt;/FQL&gt;&lt;FQL&gt;&lt;Q&gt;CRWV^FE_ESTIMATE(NEW_ORDERS_VALUE,MEAN,ANNUAL_ROLL,2026,45974,,,'')&lt;/Q&gt;&lt;R&gt;0&lt;/R&gt;&lt;C&gt;0&lt;/C&gt;&lt;/FQL&gt;&lt;FQL&gt;&lt;Q&gt;CRWV^FE_ESTIMATE(NEW_ORDERS_VALUE,MEAN,QUARTERLY_ROLL,2026/4F,45974,,,'')&lt;/Q&gt;&lt;R&gt;0&lt;/R&gt;&lt;C&gt;0&lt;/C&gt;&lt;/FQL&gt;&lt;FQL&gt;&lt;Q&gt;CRWV^FE_ESTIMATE(NEW_ORDERS_VALUE,MEAN,QUARTERLY_ROLL,2026/3F,45974,,,'')&lt;/Q&gt;&lt;R&gt;0&lt;/R&gt;&lt;C&gt;0&lt;/C&gt;&lt;/FQL&gt;&lt;FQL&gt;&lt;Q&gt;CRWV^FE_ESTIMATE(NEW_ORDERS_VALUE,MEAN,QUARTERLY_ROLL,2026/2F,45974,,,'')&lt;/Q&gt;&lt;R&gt;0&lt;/R&gt;&lt;C&gt;0&lt;/C&gt;&lt;/FQL&gt;&lt;FQL&gt;&lt;Q&gt;CRWV^FE_ESTIMATE(NEW_ORDERS_VALUE,MEAN,QUARTERLY_ROLL,2026/1F,45974,,,'')&lt;/Q&gt;&lt;R&gt;0&lt;/R&gt;&lt;C&gt;0&lt;/C&gt;&lt;/FQL&gt;&lt;FQL&gt;&lt;Q&gt;CRWV^FE_ESTIMATE(NEW_ORDERS_VALUE,MEAN,ANNUAL_ROLL,2025,45974,,,'')&lt;/Q&gt;&lt;R&gt;0&lt;/R&gt;&lt;C&gt;0&lt;/C&gt;&lt;/FQL&gt;&lt;FQL&gt;&lt;Q&gt;CRWV^FE_ESTIMATE(NEW_ORDERS_VALUE,MEAN,QUARTERLY_ROLL,2025/4F,45974,,,'')&lt;/Q&gt;&lt;R&gt;0&lt;/R&gt;&lt;C&gt;0&lt;/C&gt;&lt;/FQL&gt;&lt;FQL&gt;&lt;Q&gt;CRWV^FE_ESTIMATE(NEW_ORDERS_VALUE,MEAN,QUARTERLY_ROLL,2025/3F,45974,,,'')&lt;/Q&gt;&lt;R&gt;0&lt;/R&gt;&lt;C&gt;0&lt;/C&gt;&lt;/FQL&gt;&lt;FQL&gt;&lt;Q&gt;CRWV^FE_ESTIMATE(NEW_ORDERS_VALUE,MEAN,QUARTERLY_ROLL,2025/2F,45974,,,'')&lt;/Q&gt;&lt;R&gt;0&lt;/R&gt;&lt;C&gt;0&lt;/C&gt;&lt;/FQL&gt;&lt;FQL&gt;&lt;Q&gt;CRWV^FE_ESTIMATE(NEW_ORDERS_VALUE,MEAN,QUARTERLY_ROLL,2025/1F,45974,,,'')&lt;/Q&gt;&lt;R&gt;0&lt;/R&gt;&lt;C&gt;0&lt;/C&gt;&lt;/FQL&gt;&lt;FQL&gt;&lt;Q&gt;CRWV^FE_ESTIMATE(NEW_ORDERS_VALUE,MEAN,ANNUAL_ROLL,2024,45974,,,'')&lt;/Q&gt;&lt;R&gt;0&lt;/R&gt;&lt;C&gt;0&lt;/C&gt;&lt;/FQL&gt;&lt;FQL&gt;&lt;Q&gt;CRWV^FE_ESTIMATE(NEW_ORDERS_VALUE,MEAN,QUARTERLY_ROLL,2024/4F,45974,,,'')&lt;/Q&gt;&lt;R&gt;1&lt;/R&gt;&lt;C&gt;1&lt;/C&gt;&lt;D xsi:type="xsd:double"&gt;382&lt;/D&gt;&lt;/FQL&gt;&lt;FQL&gt;&lt;Q&gt;CRWV^FE_ESTIMATE(NEW_ORDERS_VALUE,MEAN,QUARTERLY_ROLL,2024/3F,45974,,,'')&lt;/Q&gt;&lt;R&gt;0&lt;/R&gt;&lt;C&gt;0&lt;/C&gt;&lt;/FQL&gt;&lt;FQL&gt;&lt;Q&gt;CRWV^FE_ESTIMATE(NEW_ORDERS_VALUE,MEAN,QUARTERLY_ROLL,2024/2F,45974,,,'')&lt;/Q&gt;&lt;R&gt;0&lt;/R&gt;&lt;C&gt;0&lt;/C&gt;&lt;/FQL&gt;&lt;FQL&gt;&lt;Q&gt;CRWV^FE_ESTIMATE(NEW_ORDERS_VALUE,MEAN,QUARTERLY_ROLL,2024/1F,45974,,,'')&lt;/Q&gt;&lt;R&gt;0&lt;/R&gt;&lt;C&gt;0&lt;/C&gt;&lt;/FQL&gt;&lt;FQL&gt;&lt;Q&gt;CRWV^FE_ESTIMATE(NEW_ORDERS_VALUE,MEAN,ANNUAL_ROLL,2023,45974,,,'')&lt;/Q&gt;&lt;R&gt;0&lt;/R&gt;&lt;C&gt;0&lt;/C&gt;&lt;/FQL&gt;&lt;FQL&gt;&lt;Q&gt;CRWV^FE_ESTIMATE(NEW_ORDERS_VALUE,MEAN,QUARTERLY_ROLL,2023/4F,45974,,,'')&lt;/Q&gt;&lt;R&gt;0&lt;/R&gt;&lt;C&gt;0&lt;/C&gt;&lt;/FQL&gt;&lt;FQL&gt;&lt;Q&gt;CRWV^FE_ESTIMATE(NEW_ORDERS_VALUE,MEAN,QUARTERLY_ROLL,2023/3F,45974,,,'')&lt;/Q&gt;&lt;R&gt;0&lt;/R&gt;&lt;C&gt;0&lt;/C&gt;&lt;/FQL&gt;&lt;FQL&gt;&lt;Q&gt;CRWV^FE_ESTIMATE(NEW_ORDERS_VALUE,MEAN,QUARTERLY_ROLL,2023/2F,45974,,,'')&lt;/Q&gt;&lt;R&gt;0&lt;/R&gt;&lt;C&gt;0&lt;/C&gt;&lt;/FQL&gt;&lt;FQL&gt;&lt;Q&gt;CRWV^FE_ESTIMATE(NEW_ORDERS_VALUE,MEAN,QUARTERLY_ROLL,2023/1F,45974,,,'')&lt;/Q&gt;&lt;R&gt;0&lt;/R&gt;&lt;C&gt;0&lt;/C&gt;&lt;/FQL&gt;&lt;FQL&gt;&lt;Q&gt;CRWV^FE_ESTIMATE(NEW_ORDERS_VALUE,MEAN,ANNUAL_ROLL,2022,45974,,,'')&lt;/Q&gt;&lt;R&gt;0&lt;/R&gt;&lt;C&gt;0&lt;/C&gt;&lt;/FQL&gt;&lt;FQL&gt;&lt;Q&gt;CRWV^FE_ESTIMATE(NEW_ORDERS_VALUE,MEAN,QUARTERLY_ROLL,2022/4F,45974,,,'')&lt;/Q&gt;&lt;R&gt;0&lt;/R&gt;&lt;C&gt;0&lt;/C&gt;&lt;/FQL&gt;&lt;FQL&gt;&lt;Q&gt;CRWV^FE_ESTIMATE(NEW_ORDERS_VALUE,MEAN,QUARTERLY_ROLL,2022/3F,45974,,,'')&lt;/Q&gt;&lt;R&gt;0&lt;/R&gt;&lt;C&gt;0&lt;/C&gt;&lt;/FQL&gt;&lt;FQL&gt;&lt;Q&gt;CRWV^FE_ESTIMATE(NEW_ORDERS_VALUE,MEAN,QUARTERLY_ROLL,2022/2F,45974,,,'')&lt;/Q&gt;&lt;R&gt;0&lt;/R&gt;&lt;C&gt;0&lt;/C&gt;&lt;/FQL&gt;&lt;FQL&gt;&lt;Q&gt;CRWV^FE_ESTIMATE(NEW_ORDERS_VALUE,MEAN,QUARTERLY_ROLL,2022/1F,45974,,,'')&lt;/Q&gt;&lt;R&gt;0&lt;/R&gt;&lt;C&gt;0&lt;/C&gt;&lt;/FQL&gt;&lt;FQL&gt;&lt;Q&gt;CRWV^FE_ESTIMATE(TOTALDEBT,MEAN,ANNUAL_ROLL,2029,45974,,,'')&lt;/Q&gt;&lt;R&gt;1&lt;/R&gt;&lt;C&gt;1&lt;/C&gt;&lt;D xsi:type="xsd:double"&gt;42499.4&lt;/D&gt;&lt;/FQL&gt;&lt;FQL&gt;&lt;Q&gt;CRWV^FE_ESTIMATE(TOTALDEBT,MEAN,QUARTERLY_ROLL,2029/4F,45974,,,'')&lt;/Q&gt;&lt;R&gt;0&lt;/R&gt;&lt;C&gt;0&lt;/C&gt;&lt;/FQL&gt;&lt;FQL&gt;&lt;Q&gt;CRWV^FE_ESTIMATE(TOTALDEBT,MEAN,QUARTERLY_ROLL,2029/3F,45974,,,'')&lt;/Q&gt;&lt;R&gt;0&lt;/R&gt;&lt;C&gt;0&lt;/C&gt;&lt;/FQL&gt;&lt;FQL&gt;&lt;Q&gt;CRWV^FE_ESTIMATE(TOTALDEBT,MEAN,QUARTERLY_ROLL,2029/2F,45974,,,'')&lt;/Q&gt;&lt;R&gt;0&lt;/R&gt;&lt;C&gt;0&lt;/C&gt;&lt;/FQL&gt;&lt;FQL&gt;&lt;Q&gt;CRWV^FE_ESTIMATE(TOTALDEBT,MEAN,QUARTERLY_ROLL,2029/1F,45974,,,'')&lt;/Q&gt;&lt;R&gt;0&lt;/R&gt;&lt;C&gt;0&lt;/C&gt;&lt;/FQL&gt;&lt;FQL&gt;&lt;Q&gt;CRWV^FE_ESTIMATE(TOTALDEBT,MEAN,ANNUAL_ROLL,2028,45974,,,'')&lt;/Q&gt;&lt;R&gt;1&lt;/R&gt;&lt;C&gt;1&lt;/C&gt;&lt;D xsi:type="xsd:double"&gt;42425.3&lt;/D&gt;&lt;/FQL&gt;&lt;FQL&gt;&lt;Q&gt;CRWV^FE_ESTIMATE(TOTALDEBT,MEAN,QUARTERLY_ROLL,2028/4F,45974,,,'')&lt;/Q&gt;&lt;R&gt;0&lt;/R&gt;&lt;C&gt;0&lt;/C&gt;&lt;/FQL&gt;&lt;FQL&gt;&lt;Q&gt;CRWV^FE_ESTIMATE(TOTALDEBT,MEAN,QUARTERLY_ROLL,2028/3F,45974,,,'')&lt;/Q&gt;&lt;R&gt;0&lt;/R&gt;&lt;C&gt;0&lt;/C&gt;&lt;/FQL&gt;&lt;FQL&gt;&lt;Q&gt;CRWV^FE_ESTIMATE(TOTALDEBT,MEAN,QUARTERLY_ROLL,2028/2F,45974,,,'')&lt;/Q&gt;&lt;R&gt;0&lt;/R&gt;&lt;C&gt;0&lt;/C&gt;&lt;/FQL&gt;&lt;FQL&gt;&lt;Q&gt;CRWV^FE_ESTIMATE(TOTALDEBT,MEAN,QUARTERLY_ROLL,2028/1F,45974,,,'')&lt;/Q&gt;&lt;R&gt;0&lt;/R&gt;&lt;C&gt;0&lt;/C&gt;&lt;/FQL&gt;&lt;FQL&gt;&lt;Q&gt;CRWV^FE_ESTIMATE(TOTALDEBT,MEAN,ANNUAL_ROLL,2027,45974,,,'')&lt;/Q&gt;&lt;R&gt;1&lt;/R&gt;&lt;C&gt;1&lt;/C&gt;&lt;D xsi:type="xsd:double"&gt;43324.9&lt;/D&gt;&lt;/FQL&gt;&lt;FQL&gt;&lt;Q&gt;CRWV^FE_ESTIMATE(TOTALDEBT,MEAN,QUARTERLY_ROLL,2027/4F,45974,,,'')&lt;/Q&gt;&lt;R&gt;0&lt;/R&gt;&lt;C&gt;0&lt;/C&gt;&lt;/FQL&gt;&lt;FQL&gt;&lt;Q&gt;CRWV^FE_ESTIMATE(TOTALDEBT,MEAN,QUARTERLY_ROLL,2027/3F,45974,,,'')&lt;/Q&gt;&lt;R&gt;0&lt;/R&gt;&lt;C&gt;0&lt;/C&gt;&lt;/FQL&gt;&lt;FQL&gt;&lt;Q&gt;CRWV^FE_ESTIMATE(TOTALDEBT,MEAN,QUARTERLY_ROLL,2027/2F,45974,,,'')&lt;/Q&gt;&lt;R&gt;0&lt;/R&gt;&lt;C&gt;0&lt;/C&gt;&lt;/FQL&gt;&lt;FQL&gt;&lt;Q&gt;CRWV^FE_ESTIMATE(TOTALDEBT,MEAN,QUARTERLY_ROLL,2027/1F,45974,,,'')&lt;/Q&gt;&lt;R&gt;0&lt;/R&gt;&lt;C&gt;0&lt;/C&gt;&lt;/FQL&gt;&lt;FQL&gt;&lt;Q&gt;CRWV^FE_ESTIMATE(TOTALDEBT,MEAN,ANNUAL_ROLL,2026,45974,,,'')&lt;/Q&gt;&lt;R&gt;1&lt;/R&gt;&lt;C&gt;1&lt;/C&gt;&lt;D xsi:type="xsd:double"&gt;39724.887&lt;/D&gt;&lt;/FQL&gt;&lt;FQL&gt;&lt;Q&gt;CRWV^FE_ESTIMATE(TOTALDEBT,MEAN,QUARTERLY_ROLL,2026/4F,45974,,,'')&lt;/Q&gt;&lt;R&gt;1&lt;/R&gt;&lt;C&gt;1&lt;/C&gt;&lt;D xsi:type="xsd:double"&gt;34728&lt;/D&gt;&lt;/FQL&gt;&lt;FQL&gt;&lt;Q&gt;CRWV^FE_ESTIMATE(TOTALDEBT,MEAN,QUARTERLY_ROLL,2026/3F,45974,,,'')&lt;/Q&gt;&lt;R&gt;1&lt;/R&gt;&lt;C&gt;1&lt;/C&gt;&lt;D xsi:type="xsd:double"&gt;33749&lt;/D&gt;&lt;/FQL&gt;&lt;FQL&gt;&lt;Q&gt;CRWV^FE_ESTIMATE(TOTALDEBT,MEAN,QUARTERLY_ROLL,2026/2F,45974,,,'')&lt;/Q&gt;&lt;R&gt;1&lt;/R&gt;&lt;C&gt;1&lt;/C&gt;&lt;D xsi:type="xsd:double"&gt;31664&lt;/D&gt;&lt;/FQL&gt;&lt;FQL&gt;&lt;Q&gt;CRWV^FE_ESTIMATE(TOTALDEBT,MEAN,QUARTERLY_ROLL,2026/1F,45974,,,'')&lt;/Q&gt;&lt;R&gt;1&lt;/R&gt;&lt;C&gt;1&lt;/C&gt;&lt;D xsi:type="xsd:double"&gt;29668&lt;/D&gt;&lt;/FQL&gt;&lt;FQL&gt;&lt;Q&gt;CRWV^FE_ESTIMATE(TOTALDEBT,MEAN,ANNUAL_ROLL,2025,45974,,,'')&lt;/Q&gt;&lt;R&gt;1&lt;/R&gt;&lt;C&gt;1&lt;/C&gt;&lt;D xsi:type="xsd:double"&gt;24739.623&lt;/D&gt;&lt;/FQL&gt;&lt;FQL&gt;&lt;Q&gt;CRWV^FE_ESTIMATE(TOTALDEBT,MEAN,QUARTERLY_ROLL,2025/4F,45974,,,'')&lt;/Q&gt;&lt;R&gt;1&lt;/R&gt;&lt;C&gt;1&lt;/C&gt;&lt;D xsi:type="xsd:double"&gt;25920.45&lt;/D&gt;&lt;/FQL&gt;&lt;FQL&gt;&lt;Q&gt;CRWV^FE_ESTIMATE(TOTALDEBT,MEAN,QUARTERLY_ROLL,2025/3F,45974,,,'')&lt;/Q&gt;&lt;R&gt;1&lt;/R&gt;&lt;C&gt;1&lt;/C&gt;&lt;D xsi:type="xsd:double"&gt;17121.7&lt;/D&gt;&lt;/FQL&gt;&lt;FQL&gt;&lt;Q&gt;CRWV^FE_ESTIMATE(TOTALDEBT,MEAN,QUARTERLY_ROLL,2025/2F,45974,,,'')&lt;/Q&gt;&lt;R&gt;1&lt;/R&gt;&lt;C&gt;1&lt;/C&gt;&lt;D xsi:type="xsd:double"&gt;11083.5&lt;/D&gt;&lt;/FQL&gt;&lt;FQL&gt;&lt;Q&gt;CRWV^FE_ESTIMATE(TOTALDEBT,MEAN,QUARTERLY_ROLL,2025/1F,45974,,,'')&lt;/Q&gt;&lt;R&gt;1&lt;/R&gt;&lt;C&gt;1&lt;/C&gt;&lt;D xsi:type="xsd:double"&gt;8711.85&lt;/D&gt;&lt;/FQL&gt;&lt;FQL&gt;&lt;Q&gt;CRWV^FE_ESTIMATE(TOTALDEBT,MEAN,ANNUAL_ROLL,2024,45974,,,'')&lt;/Q&gt;&lt;R&gt;1&lt;/R&gt;&lt;C&gt;1&lt;/C&gt;&lt;D xsi:type="xsd:double"&gt;7944.588&lt;/D&gt;&lt;/FQL&gt;&lt;FQL&gt;&lt;Q&gt;CRWV^FE_ESTIMATE(TOTALDEBT,MEAN,QUARTERLY_ROLL,2024/4F,45974,,,'')&lt;/Q&gt;&lt;R&gt;1&lt;/R&gt;&lt;C&gt;1&lt;/C&gt;&lt;D xsi:type="xsd:double"&gt;7949.15&lt;/D&gt;&lt;/FQL&gt;&lt;FQL&gt;&lt;Q&gt;CRWV^FE_ESTIMATE(TOTALDEBT,MEAN,QUARTERLY_ROLL,2024/3F,45974,,,'')&lt;/Q&gt;&lt;R&gt;0&lt;/R&gt;&lt;C&gt;0&lt;/C&gt;&lt;/FQL&gt;&lt;FQL&gt;&lt;Q&gt;CRWV^FE_ESTIMATE(TOTALDEBT,MEAN,QUARTERLY_ROLL,2024/2F,45974,,,'')&lt;/Q&gt;&lt;R&gt;0&lt;/R&gt;&lt;C&gt;0&lt;/C&gt;&lt;/FQL&gt;&lt;FQL&gt;&lt;Q&gt;CRWV^FE_ESTIMATE(TOTALDEBT,MEAN,QUARTERLY_ROLL,2024/1F,45974,,,'')&lt;/Q&gt;&lt;R&gt;0&lt;/R&gt;&lt;C&gt;0&lt;/C&gt;&lt;/FQL&gt;&lt;FQL&gt;&lt;Q&gt;CRWV^FE_ESTIMATE(TOTALDEBT,MEAN,ANNUAL_ROLL,2023,45974,,,'')&lt;/Q&gt;&lt;R&gt;0&lt;/R&gt;&lt;C&gt;0&lt;/C&gt;&lt;/FQL&gt;&lt;FQL&gt;&lt;Q&gt;CRWV^FE_ESTIMATE(TOTALDEBT,MEAN,QUARTERLY_ROLL,2023/4F,45974,,,'')&lt;/Q&gt;&lt;R&gt;0&lt;/R&gt;&lt;C&gt;0&lt;/C&gt;&lt;/FQL&gt;&lt;FQL&gt;&lt;Q&gt;CRWV^FE_ESTIMATE(TOTALDEBT,MEAN,QUARTERLY_ROLL,2023/3F,45974,,,'')&lt;/Q&gt;&lt;R&gt;0&lt;/R&gt;&lt;C&gt;0&lt;/C&gt;&lt;/FQL&gt;&lt;FQL&gt;&lt;Q&gt;CRWV^FE_ESTIMATE(TOTALDEBT,MEAN,QUARTERLY_ROLL,2023/2F,45974,,,'')&lt;/Q&gt;&lt;R&gt;0&lt;/R&gt;&lt;C&gt;0&lt;/C&gt;&lt;/FQL&gt;&lt;FQL&gt;&lt;Q&gt;CRWV^FE_ESTIMATE(TOTALDEBT,MEAN,QUARTERLY_ROLL,2023/1F,45974,,,'')&lt;/Q&gt;&lt;R&gt;0&lt;/R&gt;&lt;C&gt;0&lt;/C&gt;&lt;/FQL&gt;&lt;FQL&gt;&lt;Q&gt;CRWV^FE_ESTIMATE(TOTALDEBT,MEAN,ANNUAL_ROLL,2022,45974,,,'')&lt;/Q&gt;&lt;R&gt;0&lt;/R&gt;&lt;C&gt;0&lt;/C&gt;&lt;/FQL&gt;&lt;FQL&gt;&lt;Q&gt;CRWV^FE_ESTIMATE(TOTALDEBT,MEAN,QUARTERLY_ROLL,2022/4F,45974,,,'')&lt;/Q&gt;&lt;R&gt;0&lt;/R&gt;&lt;C&gt;0&lt;/C&gt;&lt;/FQL&gt;&lt;FQL&gt;&lt;Q&gt;CRWV^FE_ESTIMATE(TOTALDEBT,MEAN,QUARTERLY_ROLL,2022/3F,45974,,,'')&lt;/Q&gt;&lt;R&gt;0&lt;/R&gt;&lt;C&gt;0&lt;/C&gt;&lt;/FQL&gt;&lt;FQL&gt;&lt;Q&gt;CRWV^FE_ESTIMATE(TOTALDEBT,MEAN,QUARTERLY_ROLL,2022/2F,45974,,,'')&lt;/Q&gt;&lt;R&gt;0&lt;/R&gt;&lt;C&gt;0&lt;/C&gt;&lt;/FQL&gt;&lt;FQL&gt;&lt;Q&gt;CRWV^FE_ESTIMATE(TOTALDEBT,MEAN,QUARTERLY_ROLL,2022/1F,45974,,,'')&lt;/Q&gt;&lt;R&gt;0&lt;/R&gt;&lt;C&gt;0&lt;/C&gt;&lt;/FQL&gt;&lt;FQL&gt;&lt;Q&gt;CRWV^FE_ESTIMATE(DEFREVENUE,MEAN,ANNUAL_ROLL,2029,45974,,,'')&lt;/Q&gt;&lt;R&gt;1&lt;/R&gt;&lt;C&gt;1&lt;/C&gt;&lt;D xsi:type="xsd:double"&gt;21537.4&lt;/D&gt;&lt;/FQL&gt;&lt;FQL&gt;&lt;Q&gt;CRWV^FE_ESTIMATE(DEFREVENUE,MEAN,QUARTERLY_ROLL,2029/4F,45974,,,'')&lt;/Q&gt;&lt;R&gt;0&lt;/R&gt;&lt;C&gt;0&lt;/C&gt;&lt;/FQL&gt;&lt;FQL&gt;&lt;Q&gt;CRWV^FE_ESTIMATE(DEFREVENUE,MEAN,QUARTERLY_ROLL,2029/3F,45974,,,'')&lt;/Q&gt;&lt;R&gt;0&lt;/R&gt;&lt;C&gt;0&lt;/C&gt;&lt;/FQL&gt;&lt;FQL&gt;&lt;Q&gt;CRWV^FE_ESTIMATE(DEFREVENUE,MEAN,QUARTERLY_ROLL,2029/2F,45974,,,'')&lt;/Q&gt;&lt;R&gt;0&lt;/R&gt;&lt;C&gt;0&lt;/C&gt;&lt;/FQL&gt;&lt;FQL&gt;&lt;Q&gt;CRWV^FE_ESTIMATE(DEFREVENUE,MEAN,QUARTERLY_ROLL,2029/1F,45974,,,'')&lt;/Q&gt;&lt;R&gt;0&lt;/R&gt;&lt;C&gt;0&lt;/C&gt;&lt;/FQL&gt;&lt;FQL&gt;&lt;Q&gt;CRWV^FE_ESTIMATE(DEFREVENUE,MEAN,ANNUAL_ROLL,2028,45974,,,'')&lt;/Q&gt;&lt;R&gt;1&lt;/R&gt;&lt;C&gt;1&lt;/C&gt;&lt;D xsi:type="xsd:double"&gt;18524.1&lt;/D&gt;&lt;/FQL&gt;&lt;FQL&gt;&lt;Q&gt;CRWV^FE_ESTIMATE(DEFREVENUE,MEAN,QUARTERLY_ROLL,2028/4F,45974,,,'')&lt;/Q&gt;&lt;R&gt;0&lt;/R&gt;&lt;C&gt;0&lt;/C&gt;&lt;/FQL&gt;&lt;FQL&gt;&lt;Q&gt;CRWV^FE_ESTIMATE(DEFREVENUE,MEAN,QUARTERLY_ROLL,2028/3F,45974,,,'')&lt;/Q&gt;&lt;R&gt;0&lt;/R&gt;&lt;C&gt;0&lt;/C&gt;&lt;/FQL&gt;&lt;FQL&gt;&lt;Q&gt;CRWV^FE_ESTIMATE(DEFREVENUE,MEAN,QUARTERLY_ROLL,2028/2F,45974,,,'')&lt;/Q&gt;&lt;R&gt;0&lt;/R&gt;&lt;C&gt;0&lt;/C&gt;&lt;/FQL&gt;&lt;FQL&gt;&lt;Q&gt;CRWV^FE_ESTIMATE(DEFREVENUE,MEAN,QUARTERLY_ROLL,2028/1F,45974,,,'')&lt;/Q&gt;&lt;R&gt;0&lt;/R&gt;&lt;C&gt;0&lt;/C&gt;&lt;/FQL&gt;&lt;FQL&gt;&lt;Q&gt;CRWV^FE_ESTIMATE(DEFREVENUE,MEAN,ANNUAL_ROLL,2027,45974,,,'')&lt;/Q&gt;&lt;R&gt;1&lt;/R&gt;&lt;C&gt;1&lt;/C&gt;&lt;D xsi:type="xsd:double"&gt;13615.5&lt;/D&gt;&lt;/FQL&gt;&lt;FQL&gt;&lt;Q&gt;CRWV^FE_ESTIMATE(DEFREVENUE,MEAN,QUARTERLY_ROLL,2027/4F,45974,,,'')&lt;/Q&gt;&lt;R&gt;1&lt;/R&gt;&lt;C&gt;1&lt;/C&gt;&lt;D xsi:type="xsd:double"&gt;8811.1&lt;/D&gt;&lt;/FQL&gt;&lt;FQL&gt;&lt;Q&gt;CRWV^FE_ESTIMATE(DEFREVENUE,MEAN,QUARTERLY_ROLL,2027/3F,45974,,,'')&lt;/Q&gt;&lt;R&gt;1&lt;/R&gt;&lt;C&gt;1&lt;/C&gt;&lt;D xsi:type="xsd:double"&gt;8329.1&lt;/D&gt;&lt;/FQL&gt;&lt;FQL&gt;&lt;Q&gt;CRWV^FE_ESTIMATE(DEFREVENUE,MEAN,QUARTERLY_ROLL,2027/2F,45974,,,'')&lt;/Q&gt;&lt;R&gt;1&lt;/R&gt;&lt;C&gt;1&lt;/C&gt;&lt;D xsi:type="xsd:double"&gt;7847.1&lt;/D&gt;&lt;/FQL&gt;&lt;FQL&gt;&lt;Q&gt;CRWV^FE_ESTIMATE(DEFREVENUE,MEAN,QUARTERLY_ROLL,2027/1F,45974,,,'')&lt;/Q&gt;&lt;R&gt;1&lt;/R&gt;&lt;C&gt;1&lt;/C&gt;&lt;D xsi:type="xsd:double"&gt;7365.2&lt;/D&gt;&lt;/FQL&gt;&lt;FQL&gt;&lt;Q&gt;CRWV^FE_ESTIMATE(DEFREVENUE,MEAN,ANNUAL_ROLL,2026,45974,,,'')&lt;/Q&gt;&lt;R&gt;1&lt;/R&gt;&lt;C&gt;1&lt;/C&gt;&lt;D xsi:type="xsd:double"&gt;10330.339&lt;/D&gt;&lt;/FQL&gt;&lt;FQL&gt;&lt;Q&gt;CRWV^FE_ESTIMATE(DEFREVENUE,MEAN,QUARTERLY_ROLL,2026/4F,45974,,,'')&lt;/Q&gt;&lt;R&gt;1&lt;/R&gt;&lt;C&gt;1&lt;/C&gt;&lt;D xsi:type="xsd:double"&gt;9952.695&lt;/D&gt;&lt;/FQL&gt;&lt;FQL&gt;&lt;Q&gt;CRWV^FE_ESTIMATE(DEFREVENUE,MEAN,QUARTERLY_ROLL,2026/3F,45974,,,'')&lt;/Q&gt;&lt;R&gt;1&lt;/R&gt;&lt;C&gt;1&lt;/C&gt;&lt;D xsi:type="xsd:double"&gt;9973.559&lt;/D&gt;&lt;/FQL&gt;&lt;FQL&gt;&lt;Q&gt;CRWV^FE_ESTIMATE(DEFREVENUE,MEAN,QUARTERLY_ROLL,2026/2F,45974,,,'')&lt;/Q&gt;&lt;R&gt;1&lt;/R&gt;&lt;C&gt;1&lt;/C&gt;&lt;D xsi:type="xsd:double"&gt;8772.217&lt;/D&gt;&lt;/FQL&gt;&lt;FQL&gt;&lt;Q&gt;CRWV^FE_ESTIMATE(DEFREVENUE,MEAN,QUARTERLY_ROLL,2026/1F,45974,,,'')&lt;/Q&gt;&lt;R&gt;1&lt;/R&gt;&lt;C&gt;1&lt;/C&gt;&lt;D xsi:type="xsd:double"&gt;7475.3306&lt;/D&gt;&lt;/FQL&gt;&lt;FQL&gt;&lt;Q&gt;CRWV^FE_ESTIMATE(DEFREVENUE,MEAN,ANNUAL_ROLL,2025,45974,,,'')&lt;/Q&gt;&lt;R&gt;1&lt;/R&gt;&lt;C&gt;1&lt;/C&gt;&lt;D xsi:type="xsd:double"&gt;6145.8994&lt;/D&gt;&lt;/FQL&gt;&lt;FQL&gt;&lt;Q&gt;CRWV^FE_ESTIMATE(DEFREVENUE,MEAN,QUARTERLY_ROLL,2025/4F,45974,,,'')&lt;/Q&gt;&lt;R&gt;1&lt;/R&gt;&lt;C&gt;1&lt;/C&gt;&lt;D xsi:type="xsd:double"&gt;6145.8994&lt;/D&gt;&lt;/FQL&gt;&lt;FQL&gt;&lt;Q&gt;CRWV^FE_ESTIMATE(DEFREVENUE,MEAN,QUARTERLY_ROLL,2025/3F,45974,,,'')&lt;/Q&gt;&lt;R&gt;1&lt;/R&gt;&lt;C&gt;1&lt;/C&gt;&lt;D xsi:type="xsd:double"&gt;5335.901&lt;/D&gt;&lt;/FQL&gt;&lt;FQL&gt;&lt;Q&gt;CRWV^FE_ESTIMATE(DEFREVENUE,MEAN,QUARTERLY_ROLL,2025/2F,45974,,,'')&lt;/Q&gt;&lt;R&gt;1&lt;/R&gt;&lt;C&gt;1&lt;/C&gt;&lt;D xsi:type="xsd:double"&gt;4847.431&lt;/D&gt;&lt;/FQL&gt;&lt;FQL&gt;&lt;Q&gt;CRWV^FE_ESTIMATE(DEFREVENUE,MEAN,QUARTERLY_ROLL,2025/1F,45974,,,'')&lt;/Q&gt;&lt;R&gt;1&lt;/R&gt;&lt;C&gt;1&lt;/C&gt;&lt;D xsi:type="xsd:double"&gt;4047.9998&lt;/D&gt;&lt;/FQL&gt;&lt;FQL&gt;&lt;Q&gt;CRWV^FE_ESTIMATE(DEFREVENUE,MEAN,ANNUAL_ROLL,2024,45974,,,'')&lt;/Q&gt;&lt;R&gt;1&lt;/R&gt;&lt;C&gt;1&lt;/C&gt;&lt;D xsi:type="xsd:double"&gt;4063.9565&lt;/D&gt;&lt;/FQL&gt;&lt;FQL&gt;&lt;Q&gt;CRWV^FE_ESTIMATE(DEFREVENUE,MEAN,QUARTERLY_ROLL,2024/4F,45974,,,'')&lt;/Q&gt;&lt;R&gt;1&lt;/R&gt;&lt;C&gt;1&lt;/C&gt;&lt;D xsi:type="xsd:double"&gt;4063.9565&lt;/D&gt;&lt;/FQL&gt;&lt;FQL&gt;&lt;Q&gt;CRWV^FE_ESTIMATE(DEFREVENUE,MEAN,QUARTERLY_ROLL,2024/3F,45974,,,'')&lt;/Q&gt;&lt;R&gt;0&lt;/R&gt;&lt;C&gt;0&lt;/C&gt;&lt;/FQL&gt;&lt;FQL&gt;&lt;Q&gt;CRWV^FE_ESTIMATE(DEFREVENUE,MEAN,QUARTERLY_ROLL,2024/2F,45974,,,'')&lt;/Q&gt;&lt;R&gt;0&lt;/R&gt;&lt;C&gt;0&lt;/C&gt;&lt;/FQL&gt;&lt;FQL&gt;&lt;Q&gt;CRWV^FE_ESTIMATE(DEFREVENUE,MEAN,QUARTERLY_ROLL,2024/1F,45974,,,'')&lt;/Q&gt;&lt;R&gt;0&lt;/R&gt;&lt;C&gt;0&lt;/C&gt;&lt;/FQL&gt;&lt;FQL&gt;&lt;Q&gt;CRWV^FE_ESTIMATE(DEFREVENUE,MEAN,ANNUAL_ROLL,2023,45974,,,'')&lt;/Q&gt;&lt;R&gt;0&lt;/R&gt;&lt;C&gt;0&lt;/C&gt;&lt;/FQL&gt;&lt;FQL&gt;&lt;Q&gt;CRWV^FE_ESTIMATE(DEFREVENUE,MEAN,QUARTERLY_ROLL,2023/4F,45974,,,'')&lt;/Q&gt;&lt;R&gt;0&lt;/R&gt;&lt;C&gt;0&lt;/C&gt;&lt;/FQL&gt;&lt;FQL&gt;&lt;Q&gt;CRWV^FE_ESTIMATE(DEFREVENUE,MEAN,QUARTERLY_ROLL,2023/3F,45974,,,'')&lt;/Q&gt;&lt;R&gt;0&lt;/R&gt;&lt;C&gt;0&lt;/C&gt;&lt;/FQL&gt;&lt;FQL&gt;&lt;Q&gt;CRWV^FE_ESTIMATE(DEFREVENUE,MEAN,QUARTERLY_ROLL,2023/2F,45974,,,'')&lt;/Q&gt;&lt;R&gt;0&lt;/R&gt;&lt;C&gt;0&lt;/C&gt;&lt;/FQL&gt;&lt;FQL&gt;&lt;Q&gt;CRWV^FE_ESTIMATE(DEFREVENUE,MEAN,QUARTERLY_ROLL,2023/1F,45974,,,'')&lt;/Q&gt;&lt;R&gt;0&lt;/R&gt;&lt;C&gt;0&lt;/C&gt;&lt;/FQL&gt;&lt;FQL&gt;&lt;Q&gt;CRWV^FE_ESTIMATE(DEFREVENUE,MEAN,ANNUAL_ROLL,2022,45974,,,'')&lt;/Q&gt;&lt;R&gt;0&lt;/R&gt;&lt;C&gt;0&lt;/C&gt;&lt;/FQL&gt;&lt;FQL&gt;&lt;Q&gt;CRWV^FE_ESTIMATE(DEFREVENUE,MEAN,QUARTERLY_ROLL,2022/4F,45974,,,'')&lt;/Q&gt;&lt;R&gt;0&lt;/R&gt;&lt;C&gt;0&lt;/C&gt;&lt;/FQL&gt;&lt;FQL&gt;&lt;Q&gt;CRWV^FE_ESTIMATE(DEFREVENUE,MEAN,QUARTERLY_ROLL,2022/3F,45974,,,'')&lt;/Q&gt;&lt;R&gt;0&lt;/R&gt;&lt;C&gt;0&lt;/C&gt;&lt;/FQL&gt;&lt;FQL&gt;&lt;Q&gt;CRWV^FE_ESTIMATE(DEFREVENUE,MEAN,QUARTERLY_ROLL,2022/2F,45974,,,'')&lt;/Q&gt;&lt;R&gt;0&lt;/R&gt;&lt;C&gt;0&lt;/C&gt;&lt;/FQL&gt;&lt;FQL&gt;&lt;Q&gt;CRWV^FE_ESTIMATE(DEFREVENUE,MEAN,QUARTERLY_ROLL,2022/1F,45974,,,'')&lt;/Q&gt;&lt;R&gt;0&lt;/R&gt;&lt;C&gt;0&lt;/C&gt;&lt;/FQL&gt;&lt;FQL&gt;&lt;Q&gt;CRWV^FE_ESTIMATE(DEFREVENUE_LT,MEAN,ANNUAL_ROLL,2029,45974,,,'')&lt;/Q&gt;&lt;R&gt;0&lt;/R&gt;&lt;C&gt;0&lt;/C&gt;&lt;/FQL&gt;&lt;FQL&gt;&lt;Q&gt;CRWV^FE_ESTIMATE(DEFREVENUE_LT,MEAN,QUARTERLY_ROLL,2029/4F,45974,,,'')&lt;/Q&gt;&lt;R&gt;0&lt;/R&gt;&lt;C&gt;0&lt;/C&gt;&lt;/FQL&gt;&lt;FQL&gt;&lt;Q&gt;CRWV^FE_ESTIMATE(DEFREVENUE_LT,MEAN,QUARTERLY_ROLL,2029/3F,45974,,,'')&lt;/Q&gt;&lt;R&gt;0&lt;/R&gt;&lt;C&gt;0&lt;/C&gt;&lt;/FQL&gt;&lt;FQL&gt;&lt;Q&gt;CRWV^FE_ESTIMATE(DEFREVENUE_LT,MEAN,QUARTERLY_ROLL,2029/2F,45974,,,'')&lt;/Q&gt;&lt;R&gt;0&lt;/R&gt;&lt;C&gt;0&lt;/C&gt;&lt;/FQL&gt;&lt;FQL&gt;&lt;Q&gt;CRWV^FE_ESTIMATE(DEFREVENUE_LT,MEAN,QUARTERLY_ROLL,2029/1F,45974,,,'')&lt;/Q&gt;&lt;R&gt;0&lt;/R&gt;&lt;C&gt;0&lt;/C&gt;&lt;/FQL&gt;&lt;FQL&gt;&lt;Q&gt;CRWV^FE_ESTIMATE(DEFREVENUE_LT,MEAN,ANNUAL_ROLL,2028,45974,,,'')&lt;/Q&gt;&lt;R&gt;0&lt;/R&gt;&lt;C&gt;0&lt;/C&gt;&lt;/FQL&gt;&lt;FQL&gt;&lt;Q&gt;CRWV^FE_ESTIMATE(DEFREVENUE_LT,MEAN,QUARTERLY_ROLL,2028/4F,45974,,,'')&lt;/Q&gt;&lt;R&gt;0&lt;/R&gt;&lt;C&gt;0&lt;/C&gt;&lt;/FQL&gt;&lt;FQL&gt;&lt;Q&gt;CRWV^FE_ESTIMATE(DEFREVENUE_LT,MEAN,QUARTERLY_ROLL,2028/3F,45974,,,'')&lt;/Q&gt;&lt;R&gt;0&lt;/R&gt;&lt;C&gt;0&lt;/C&gt;&lt;/FQL&gt;&lt;FQL&gt;&lt;Q&gt;CRWV^FE_ESTIMATE(DEFREVENUE_LT,MEAN,QUARTERLY_ROLL,2028/2F,45974,,,'')&lt;/Q&gt;&lt;R&gt;0&lt;/R&gt;&lt;C&gt;0&lt;/C&gt;&lt;/FQL&gt;&lt;FQL&gt;&lt;Q&gt;CRWV^FE_ESTIMATE(DEFREVENUE_LT,MEAN,QUARTERLY_ROLL,2028/1F,45974,,,'')&lt;/Q&gt;&lt;R&gt;0&lt;/R&gt;&lt;C&gt;0&lt;/C&gt;&lt;/FQL&gt;&lt;FQL&gt;&lt;Q&gt;CRWV^FE_ESTIMATE(DEFREVENUE_LT,MEAN,ANNUAL_ROLL,2027,45974,,,'')&lt;/Q&gt;&lt;R&gt;1&lt;/R&gt;&lt;C&gt;1&lt;/C&gt;&lt;D xsi:type="xsd:double"&gt;10473.467&lt;/D&gt;&lt;/FQL&gt;&lt;FQL&gt;&lt;Q&gt;CRWV^FE_ESTIMATE(DEFREVENUE_LT,MEAN,QUARTERLY_ROLL,2027/4F,45974,,,'')&lt;/Q&gt;&lt;R&gt;1&lt;/R&gt;&lt;C&gt;1&lt;/C&gt;&lt;D xsi:type="xsd:double"&gt;6960.8&lt;/D&gt;&lt;/FQL&gt;&lt;FQL&gt;&lt;Q&gt;CRWV^FE_ESTIMATE(DEFREVENUE_LT,MEAN,QUARTERLY_ROLL,2027/3F,45974,,,'')&lt;/Q&gt;&lt;R&gt;1&lt;/R&gt;&lt;C&gt;1&lt;/C&gt;&lt;D xsi:type="xsd:double"&gt;6580&lt;/D&gt;&lt;/FQL&gt;&lt;FQL&gt;&lt;Q&gt;CRWV^FE_ESTIMATE(DEFREVENUE_LT,MEAN,QUARTERLY_ROLL,2027/2F,45974,,,'')&lt;/Q&gt;&lt;R&gt;1&lt;/R&gt;&lt;C&gt;1&lt;/C&gt;&lt;D xsi:type="xsd:double"&gt;6199.2&lt;/D&gt;&lt;/FQL&gt;&lt;FQL&gt;&lt;Q&gt;CRWV^FE_ESTIMATE(DEFREVENUE_LT,MEAN,QUARTERLY_ROLL,2027/1F,45974,,,'')&lt;/Q&gt;&lt;R&gt;1&lt;/R&gt;&lt;C&gt;1&lt;/C&gt;&lt;D xsi:type="xsd:double"&gt;5818.5&lt;/D&gt;&lt;/FQL&gt;&lt;FQL&gt;&lt;Q&gt;CRWV^FE_ESTIMATE(DEFREVENUE_LT,MEAN,ANNUAL_ROLL,2026,45974,,,'')&lt;/Q&gt;&lt;R&gt;1&lt;/R&gt;&lt;C&gt;1&lt;/C&gt;&lt;D xsi:type="xsd:double"&gt;8434.567&lt;/D&gt;&lt;/FQL&gt;&lt;FQL&gt;&lt;Q&gt;CRWV^FE_ESTIMATE(DEFREVENUE_LT,MEAN,QUARTERLY_ROLL,2026/4F,45974,,,'')&lt;/Q&gt;&lt;R&gt;1&lt;/R&gt;&lt;C&gt;1&lt;/C&gt;&lt;D xsi:type="xsd:double"&gt;8434.567&lt;/D&gt;&lt;/FQL&gt;&lt;FQL&gt;&lt;Q&gt;CRWV^FE_ESTIMATE(DEFREVENUE_LT,MEAN,QUARTERLY_ROLL,2026/3F,45974,,,'')&lt;/Q&gt;&lt;R&gt;1&lt;/R&gt;&lt;C&gt;1&lt;/C&gt;&lt;D xsi:type="xsd:double"&gt;7612.4453&lt;/D&gt;&lt;/FQL&gt;&lt;FQL&gt;&lt;Q&gt;CRWV^FE_ESTIMATE(DEFREVENUE_LT,MEAN,QUARTERLY_ROLL,2026/2F,45974,,,'')&lt;/Q&gt;&lt;R&gt;1&lt;/R&gt;&lt;C&gt;1&lt;/C&gt;&lt;D xsi:type="xsd:double"&gt;6638.2534&lt;/D&gt;&lt;/FQL&gt;&lt;FQL&gt;&lt;Q&gt;CRWV^FE_ESTIMATE(DEFREVENUE_LT,MEAN,QUARTERLY_ROLL,2026/1F,45974,,,'')&lt;/Q&gt;&lt;R&gt;1&lt;/R&gt;&lt;C&gt;1&lt;/C&gt;&lt;D xsi:type="xsd:double"&gt;5529.304&lt;/D&gt;&lt;/FQL&gt;&lt;FQL&gt;&lt;Q&gt;CRWV^FE_ESTIMATE(DEFREVENUE_LT,MEAN,ANNUAL_ROLL,2025,45974,,,'')&lt;/Q&gt;&lt;R&gt;1&lt;/R&gt;&lt;C&gt;1&lt;/C&gt;&lt;D xsi:type="xsd:double"&gt;4926.392&lt;/D&gt;&lt;/FQL&gt;&lt;FQL&gt;&lt;Q&gt;CRWV^FE_ESTIMATE(DEFREVENUE_LT,MEAN,QUARTERLY_ROLL,2025/4F,45974,,,'')&lt;/Q&gt;&lt;R&gt;1&lt;/R&gt;&lt;C&gt;1&lt;/C&gt;&lt;D xsi:type="xsd:double"&gt;4926.392&lt;/D&gt;&lt;/FQL&gt;&lt;FQL&gt;&lt;Q&gt;CRWV^FE_ESTIMATE(DEFREVENUE_LT,MEAN,QUARTERLY_ROLL,2025/3F,45974,,,'')&lt;/Q&gt;&lt;R&gt;1&lt;/R&gt;&lt;C&gt;1&lt;/C&gt;&lt;D xsi:type="xsd:double"&gt;4228.111&lt;/D&gt;&lt;/FQL&gt;&lt;FQL&gt;&lt;Q&gt;CRWV^FE_ESTIMATE(DEFREVENUE_LT,MEAN,QUARTERLY_ROLL,2025/2F,45974,,,'')&lt;/Q&gt;&lt;R&gt;1&lt;/R&gt;&lt;C&gt;1&lt;/C&gt;&lt;D xsi:type="xsd:double"&gt;3896.1145&lt;/D&gt;&lt;/FQL&gt;&lt;FQL&gt;&lt;Q&gt;CRWV^FE_ESTIMATE(DEFREVENUE_LT,MEAN,QUARTERLY_ROLL,2025/1F,45974,,,'')&lt;/Q&gt;&lt;R&gt;1&lt;/R&gt;&lt;C&gt;1&lt;/C&gt;&lt;D xsi:type="xsd:double"&gt;3611.2346&lt;/D&gt;&lt;/FQL&gt;&lt;FQL&gt;&lt;Q&gt;CRWV^FE_ESTIMATE(DEFREVENUE_LT,MEAN,ANNUAL_ROLL,2024,45974,,,'')&lt;/Q&gt;&lt;R&gt;1&lt;/R&gt;&lt;C&gt;1&lt;/C&gt;&lt;D xsi:type="xsd:double"&gt;3294.9941&lt;/D&gt;&lt;/FQL&gt;&lt;FQL&gt;&lt;Q&gt;CRWV^FE_ESTIMATE(DEFREVENUE_LT,MEAN,QUARTERLY_ROLL,2024/4F,45974,,,'')&lt;/Q&gt;&lt;R&gt;1&lt;/R&gt;&lt;C&gt;1&lt;/C&gt;&lt;D xsi:type="xsd:double"&gt;3294.9941&lt;/D&gt;&lt;/FQL&gt;&lt;FQL&gt;&lt;Q&gt;CRWV^FE_ESTIMATE(DEFREVENUE_LT,MEAN,QUARTERLY_ROLL,2024/3F,45974,,,'')&lt;/Q&gt;&lt;R&gt;0&lt;/R&gt;&lt;C&gt;0&lt;/C&gt;&lt;/FQL&gt;&lt;FQL&gt;&lt;Q&gt;CRWV^FE_ESTIMATE(DEFREVENUE_LT,MEAN,QUARTERLY_ROLL,2024/2F,45974,,,'')&lt;/Q&gt;&lt;R&gt;0&lt;/R&gt;&lt;C&gt;0&lt;/C&gt;&lt;/FQL&gt;&lt;FQL&gt;&lt;Q&gt;CRWV^FE_ESTIMATE(DEFREVENUE_LT,MEAN,QUARTERLY_ROLL,2024/1F,45974,,,'')&lt;/Q&gt;&lt;R&gt;0&lt;/R&gt;&lt;C&gt;0&lt;/C&gt;&lt;/FQL&gt;&lt;FQL&gt;&lt;Q&gt;CRWV^FE_ESTIMATE(DEFREVENUE_LT,MEAN,ANNUAL_ROLL,2023,45974,,,'')&lt;/Q&gt;&lt;R&gt;0&lt;/R&gt;&lt;C&gt;0&lt;/C&gt;&lt;/FQL&gt;&lt;FQL&gt;&lt;Q&gt;CRWV^FE_ESTIMATE(DEFREVENUE_LT,MEAN,QUARTERLY_ROLL,2023/4F,45974,,,'')&lt;/Q&gt;&lt;R&gt;0&lt;/R&gt;&lt;C&gt;0&lt;/C&gt;&lt;/FQL&gt;&lt;FQL&gt;&lt;Q&gt;CRWV^FE_ESTIMATE(DEFREVENUE_LT,MEAN,QUARTERLY_ROLL,2023/3F,45974,,,'')&lt;/Q&gt;&lt;R&gt;0&lt;/R&gt;&lt;C&gt;0&lt;/C&gt;&lt;/FQL&gt;&lt;FQL&gt;&lt;Q&gt;CRWV^FE_ESTIMATE(DEFREVENUE_LT,MEAN,QUARTERLY_ROLL,2023/2F,45974,,,'')&lt;/Q&gt;&lt;R&gt;0&lt;/R&gt;&lt;C&gt;0&lt;/C&gt;&lt;/FQL&gt;&lt;FQL&gt;&lt;Q&gt;CRWV^FE_ESTIMATE(DEFREVENUE_LT,MEAN,QUARTERLY_ROLL,2023/1F,45974,,,'')&lt;/Q&gt;&lt;R&gt;0&lt;/R&gt;&lt;C&gt;0&lt;/C&gt;&lt;/FQL&gt;&lt;FQL&gt;&lt;Q&gt;CRWV^FE_ESTIMATE(DEFREVENUE_LT,MEAN,ANNUAL_ROLL,2022,45974,,,'')&lt;/Q&gt;&lt;R&gt;0&lt;/R&gt;&lt;C&gt;0&lt;/C&gt;&lt;/FQL&gt;&lt;FQL&gt;&lt;Q&gt;CRWV^FE_ESTIMATE(DEFREVENUE_LT,MEAN,QUARTERLY_ROLL,2022/4F,45974,,,'')&lt;/Q&gt;&lt;R&gt;0&lt;/R&gt;&lt;C&gt;0&lt;/C&gt;&lt;/FQL&gt;&lt;FQL&gt;&lt;Q&gt;CRWV^FE_ESTIMATE(DEFREVENUE_LT,MEAN,QUARTERLY_ROLL,2022/3F,45974,,,'')&lt;/Q&gt;&lt;R&gt;0&lt;/R&gt;&lt;C&gt;0&lt;/C&gt;&lt;/FQL&gt;&lt;FQL&gt;&lt;Q&gt;CRWV^FE_ESTIMATE(DEFREVENUE_LT,MEAN,QUARTERLY_ROLL,2022/2F,45974,,,'')&lt;/Q&gt;&lt;R&gt;0&lt;/R&gt;&lt;C&gt;0&lt;/C&gt;&lt;/FQL&gt;&lt;FQL&gt;&lt;Q&gt;CRWV^FE_ESTIMATE(DEFREVENUE_LT,MEAN,QUARTERLY_ROLL,2022/1F,45974,,,'')&lt;/Q&gt;&lt;R&gt;0&lt;/R&gt;&lt;C&gt;0&lt;/C&gt;&lt;/FQL&gt;&lt;FQL&gt;&lt;Q&gt;CRWV^FE_ESTIMATE(DEFREVENUE_ST,MEAN,ANNUAL_ROLL,2029,45974,,,'')&lt;/Q&gt;&lt;R&gt;0&lt;/R&gt;&lt;C&gt;0&lt;/C&gt;&lt;/FQL&gt;&lt;FQL&gt;&lt;Q&gt;CRWV^FE_ESTIMATE(DEFREVENUE_ST,MEAN,QUARTERLY_ROLL,2029/4F,45974,,,'')&lt;/Q&gt;&lt;R&gt;0&lt;/R&gt;&lt;C&gt;0&lt;/C&gt;&lt;/FQL&gt;&lt;FQL&gt;&lt;Q&gt;CRWV^FE_ESTIMATE(DEFREVENUE_ST,ME</t>
        </r>
      </text>
    </comment>
    <comment ref="A18" authorId="0" shapeId="0" xr:uid="{95D495BC-E519-4541-BB78-D15CD5E0BF55}">
      <text>
        <r>
          <rPr>
            <b/>
            <sz val="9"/>
            <color indexed="81"/>
            <rFont val="Tahoma"/>
            <charset val="1"/>
          </rPr>
          <t>AN,QUARTERLY_ROLL,2029/3F,45974,,,'')&lt;/Q&gt;&lt;R&gt;0&lt;/R&gt;&lt;C&gt;0&lt;/C&gt;&lt;/FQL&gt;&lt;FQL&gt;&lt;Q&gt;CRWV^FE_ESTIMATE(DEFREVENUE_ST,MEAN,QUARTERLY_ROLL,2029/2F,45974,,,'')&lt;/Q&gt;&lt;R&gt;0&lt;/R&gt;&lt;C&gt;0&lt;/C&gt;&lt;/FQL&gt;&lt;FQL&gt;&lt;Q&gt;CRWV^FE_ESTIMATE(DEFREVENUE_ST,MEAN,QUARTERLY_ROLL,2029/1F,45974,,,'')&lt;/Q&gt;&lt;R&gt;0&lt;/R&gt;&lt;C&gt;0&lt;/C&gt;&lt;/FQL&gt;&lt;FQL&gt;&lt;Q&gt;CRWV^FE_ESTIMATE(DEFREVENUE_ST,MEAN,ANNUAL_ROLL,2028,45974,,,'')&lt;/Q&gt;&lt;R&gt;0&lt;/R&gt;&lt;C&gt;0&lt;/C&gt;&lt;/FQL&gt;&lt;FQL&gt;&lt;Q&gt;CRWV^FE_ESTIMATE(DEFREVENUE_ST,MEAN,QUARTERLY_ROLL,2028/4F,45974,,,'')&lt;/Q&gt;&lt;R&gt;0&lt;/R&gt;&lt;C&gt;0&lt;/C&gt;&lt;/FQL&gt;&lt;FQL&gt;&lt;Q&gt;CRWV^FE_ESTIMATE(DEFREVENUE_ST,MEAN,QUARTERLY_ROLL,2028/3F,45974,,,'')&lt;/Q&gt;&lt;R&gt;0&lt;/R&gt;&lt;C&gt;0&lt;/C&gt;&lt;/FQL&gt;&lt;FQL&gt;&lt;Q&gt;CRWV^FE_ESTIMATE(DEFREVENUE_ST,MEAN,QUARTERLY_ROLL,2028/2F,45974,,,'')&lt;/Q&gt;&lt;R&gt;0&lt;/R&gt;&lt;C&gt;0&lt;/C&gt;&lt;/FQL&gt;&lt;FQL&gt;&lt;Q&gt;CRWV^FE_ESTIMATE(DEFREVENUE_ST,MEAN,QUARTERLY_ROLL,2028/1F,45974,,,'')&lt;/Q&gt;&lt;R&gt;0&lt;/R&gt;&lt;C&gt;0&lt;/C&gt;&lt;/FQL&gt;&lt;FQL&gt;&lt;Q&gt;CRWV^FE_ESTIMATE(DEFREVENUE_ST,MEAN,ANNUAL_ROLL,2027,45974,,,'')&lt;/Q&gt;&lt;R&gt;1&lt;/R&gt;&lt;C&gt;1&lt;/C&gt;&lt;D xsi:type="xsd:double"&gt;2371.5667&lt;/D&gt;&lt;/FQL&gt;&lt;FQL&gt;&lt;Q&gt;CRWV^FE_ESTIMATE(DEFREVENUE_ST,MEAN,QUARTERLY_ROLL,2027/4F,45974,,,'')&lt;/Q&gt;&lt;R&gt;1&lt;/R&gt;&lt;C&gt;1&lt;/C&gt;&lt;D xsi:type="xsd:double"&gt;1850.3&lt;/D&gt;&lt;/FQL&gt;&lt;FQL&gt;&lt;Q&gt;CRWV^FE_ESTIMATE(DEFREVENUE_ST,MEAN,QUARTERLY_ROLL,2027/3F,45974,,,'')&lt;/Q&gt;&lt;R&gt;1&lt;/R&gt;&lt;C&gt;1&lt;/C&gt;&lt;D xsi:type="xsd:double"&gt;1749.1&lt;/D&gt;&lt;/FQL&gt;&lt;FQL&gt;&lt;Q&gt;CRWV^FE_ESTIMATE(DEFREVENUE_ST,MEAN,QUARTERLY_ROLL,2027/2F,45974,,,'')&lt;/Q&gt;&lt;R&gt;1&lt;/R&gt;&lt;C&gt;1&lt;/C&gt;&lt;D xsi:type="xsd:double"&gt;1647.9&lt;/D&gt;&lt;/FQL&gt;&lt;FQL&gt;&lt;Q&gt;CRWV^FE_ESTIMATE(DEFREVENUE_ST,MEAN,QUARTERLY_ROLL,2027/1F,45974,,,'')&lt;/Q&gt;&lt;R&gt;1&lt;/R&gt;&lt;C&gt;1&lt;/C&gt;&lt;D xsi:type="xsd:double"&gt;1546.7&lt;/D&gt;&lt;/FQL&gt;&lt;FQL&gt;&lt;Q&gt;CRWV^FE_ESTIMATE(DEFREVENUE_ST,MEAN,ANNUAL_ROLL,2026,45974,,,'')&lt;/Q&gt;&lt;R&gt;1&lt;/R&gt;&lt;C&gt;1&lt;/C&gt;&lt;D xsi:type="xsd:double"&gt;2254.933&lt;/D&gt;&lt;/FQL&gt;&lt;FQL&gt;&lt;Q&gt;CRWV^FE_ESTIMATE(DEFREVENUE_ST,MEAN,QUARTERLY_ROLL,2026/4F,45974,,,'')&lt;/Q&gt;&lt;R&gt;1&lt;/R&gt;&lt;C&gt;1&lt;/C&gt;&lt;D xsi:type="xsd:double"&gt;2254.933&lt;/D&gt;&lt;/FQL&gt;&lt;FQL&gt;&lt;Q&gt;CRWV^FE_ESTIMATE(DEFREVENUE_ST,MEAN,QUARTERLY_ROLL,2026/3F,45974,,,'')&lt;/Q&gt;&lt;R&gt;1&lt;/R&gt;&lt;C&gt;1&lt;/C&gt;&lt;D xsi:type="xsd:double"&gt;2038.6248&lt;/D&gt;&lt;/FQL&gt;&lt;FQL&gt;&lt;Q&gt;CRWV^FE_ESTIMATE(DEFREVENUE_ST,MEAN,QUARTERLY_ROLL,2026/2F,45974,,,'')&lt;/Q&gt;&lt;R&gt;1&lt;/R&gt;&lt;C&gt;1&lt;/C&gt;&lt;D xsi:type="xsd:double"&gt;1784.807&lt;/D&gt;&lt;/FQL&gt;&lt;FQL&gt;&lt;Q&gt;CRWV^FE_ESTIMATE(DEFREVENUE_ST,MEAN,QUARTERLY_ROLL,2026/1F,45974,,,'')&lt;/Q&gt;&lt;R&gt;1&lt;/R&gt;&lt;C&gt;1&lt;/C&gt;&lt;D xsi:type="xsd:double"&gt;1501.8926&lt;/D&gt;&lt;/FQL&gt;&lt;FQL&gt;&lt;Q&gt;CRWV^FE_ESTIMATE(DEFREVENUE_ST,MEAN,ANNUAL_ROLL,2025,45974,,,'')&lt;/Q&gt;&lt;R&gt;1&lt;/R&gt;&lt;C&gt;1&lt;/C&gt;&lt;D xsi:type="xsd:double"&gt;1089.2346&lt;/D&gt;&lt;/FQL&gt;&lt;FQL&gt;&lt;Q&gt;CRWV^FE_ESTIMATE(DEFREVENUE_ST,MEAN,QUARTERLY_ROLL,2025/4F,45974,,,'')&lt;/Q&gt;&lt;R&gt;1&lt;/R&gt;&lt;C&gt;1&lt;/C&gt;&lt;D xsi:type="xsd:double"&gt;1089.2346&lt;/D&gt;&lt;/FQL&gt;&lt;FQL&gt;&lt;Q&gt;CRWV^FE_ESTIMATE(DEFREVENUE_ST,MEAN,QUARTERLY_ROLL,2025/3F,45974,,,'')&lt;/Q&gt;&lt;R&gt;1&lt;/R&gt;&lt;C&gt;1&lt;/C&gt;&lt;D xsi:type="xsd:double"&gt;1107.79&lt;/D&gt;&lt;/FQL&gt;&lt;FQL&gt;&lt;Q&gt;CRWV^FE_ESTIMATE(DEFREVENUE_ST,MEAN,QUARTERLY_ROLL,2025/2F,45974,,,'')&lt;/Q&gt;&lt;R&gt;1&lt;/R&gt;&lt;C&gt;1&lt;/C&gt;&lt;D xsi:type="xsd:double"&gt;951.1892&lt;/D&gt;&lt;/FQL&gt;&lt;FQL&gt;&lt;Q&gt;CRWV^FE_ESTIMATE(DEFREVENUE_ST,MEAN,QUARTERLY_ROLL,2025/1F,45974,,,'')&lt;/Q&gt;&lt;R&gt;1&lt;/R&gt;&lt;C&gt;1&lt;/C&gt;&lt;D xsi:type="xsd:double"&gt;436.765&lt;/D&gt;&lt;/FQL&gt;&lt;FQL&gt;&lt;Q&gt;CRWV^FE_ESTIMATE(DEFREVENUE_ST,MEAN,ANNUAL_ROLL,2024,45974,,,'')&lt;/Q&gt;&lt;R&gt;1&lt;/R&gt;&lt;C&gt;1&lt;/C&gt;&lt;D xsi:type="xsd:double"&gt;768.9443&lt;/D&gt;&lt;/FQL&gt;&lt;FQL&gt;&lt;Q&gt;CRWV^FE_ESTIMATE(DEFREVENUE_ST,MEAN,QUARTERLY_ROLL,2024/4F,45974,,,'')&lt;/Q&gt;&lt;R&gt;1&lt;/R&gt;&lt;C&gt;1&lt;/C&gt;&lt;D xsi:type="xsd:double"&gt;768.9443&lt;/D&gt;&lt;/FQL&gt;&lt;FQL&gt;&lt;Q&gt;CRWV^FE_ESTIMATE(DEFREVENUE_ST,MEAN,QUARTERLY_ROLL,2024/3F,45974,,,'')&lt;/Q&gt;&lt;R&gt;0&lt;/R&gt;&lt;C&gt;0&lt;/C&gt;&lt;/FQL&gt;&lt;FQL&gt;&lt;Q&gt;CRWV^FE_ESTIMATE(DEFREVENUE_ST,MEAN,QUARTERLY_ROLL,2024/2F,45974,,,'')&lt;/Q&gt;&lt;R&gt;0&lt;/R&gt;&lt;C&gt;0&lt;/C&gt;&lt;/FQL&gt;&lt;FQL&gt;&lt;Q&gt;CRWV^FE_ESTIMATE(DEFREVENUE_ST,MEAN,QUARTERLY_ROLL,2024/1F,45974,,,'')&lt;/Q&gt;&lt;R&gt;0&lt;/R&gt;&lt;C&gt;0&lt;/C&gt;&lt;/FQL&gt;&lt;FQL&gt;&lt;Q&gt;CRWV^FE_ESTIMATE(DEFREVENUE_ST,MEAN,ANNUAL_ROLL,2023,45974,,,'')&lt;/Q&gt;&lt;R&gt;0&lt;/R&gt;&lt;C&gt;0&lt;/C&gt;&lt;/FQL&gt;&lt;FQL&gt;&lt;Q&gt;CRWV^FE_ESTIMATE(DEFREVENUE_ST,MEAN,QUARTERLY_ROLL,2023/4F,45974,,,'')&lt;/Q&gt;&lt;R&gt;0&lt;/R&gt;&lt;C&gt;0&lt;/C&gt;&lt;/FQL&gt;&lt;FQL&gt;&lt;Q&gt;CRWV^FE_ESTIMATE(DEFREVENUE_ST,MEAN,QUARTERLY_ROLL,2023/3F,45974,,,'')&lt;/Q&gt;&lt;R&gt;0&lt;/R&gt;&lt;C&gt;0&lt;/C&gt;&lt;/FQL&gt;&lt;FQL&gt;&lt;Q&gt;CRWV^FE_ESTIMATE(DEFREVENUE_ST,MEAN,QUARTERLY_ROLL,2023/2F,45974,,,'')&lt;/Q&gt;&lt;R&gt;0&lt;/R&gt;&lt;C&gt;0&lt;/C&gt;&lt;/FQL&gt;&lt;FQL&gt;&lt;Q&gt;CRWV^FE_ESTIMATE(DEFREVENUE_ST,MEAN,QUARTERLY_ROLL,2023/1F,45974,,,'')&lt;/Q&gt;&lt;R&gt;0&lt;/R&gt;&lt;C&gt;0&lt;/C&gt;&lt;/FQL&gt;&lt;FQL&gt;&lt;Q&gt;CRWV^FE_ESTIMATE(DEFREVENUE_ST,MEAN,ANNUAL_ROLL,2022,45974,,,'')&lt;/Q&gt;&lt;R&gt;0&lt;/R&gt;&lt;C&gt;0&lt;/C&gt;&lt;/FQL&gt;&lt;FQL&gt;&lt;Q&gt;CRWV^FE_ESTIMATE(DEFREVENUE_ST,MEAN,QUARTERLY_ROLL,2022/4F,45974,,,'')&lt;/Q&gt;&lt;R&gt;0&lt;/R&gt;&lt;C&gt;0&lt;/C&gt;&lt;/FQL&gt;&lt;FQL&gt;&lt;Q&gt;CRWV^FE_ESTIMATE(DEFREVENUE_ST,MEAN,QUARTERLY_ROLL,2022/3F,45974,,,'')&lt;/Q&gt;&lt;R&gt;0&lt;/R&gt;&lt;C&gt;0&lt;/C&gt;&lt;/FQL&gt;&lt;FQL&gt;&lt;Q&gt;CRWV^FE_ESTIMATE(DEFREVENUE_ST,MEAN,QUARTERLY_ROLL,2022/2F,45974,,,'')&lt;/Q&gt;&lt;R&gt;0&lt;/R&gt;&lt;C&gt;0&lt;/C&gt;&lt;/FQL&gt;&lt;FQL&gt;&lt;Q&gt;CRWV^FE_ESTIMATE(DEFREVENUE_ST,MEAN,QUARTERLY_ROLL,2022/1F,45974,,,'')&lt;/Q&gt;&lt;R&gt;0&lt;/R&gt;&lt;C&gt;0&lt;/C&gt;&lt;/FQL&gt;&lt;FQL&gt;&lt;Q&gt;CRWV^FE_ESTIMATE(FCF,MEAN,ANNUAL_ROLL,2029,45974,,,'')&lt;/Q&gt;&lt;R&gt;1&lt;/R&gt;&lt;C&gt;1&lt;/C&gt;&lt;D xsi:type="xsd:double"&gt;4661.55&lt;/D&gt;&lt;/FQL&gt;&lt;FQL&gt;&lt;Q&gt;CRWV^FE_ESTIMATE(FCF,MEAN,QUARTERLY_ROLL,2029/4F,45974,,,'')&lt;/Q&gt;&lt;R&gt;0&lt;/R&gt;&lt;C&gt;0&lt;/C&gt;&lt;/FQL&gt;&lt;FQL&gt;&lt;Q&gt;CRWV^FE_ESTIMATE(FCF,MEAN,QUARTERLY_ROLL,2029/3F,45974,,,'')&lt;/Q&gt;&lt;R&gt;0&lt;/R&gt;&lt;C&gt;0&lt;/C&gt;&lt;/FQL&gt;&lt;FQL&gt;&lt;Q&gt;CRWV^FE_ESTIMATE(FCF,MEAN,QUARTERLY_ROLL,2029/2F,45974,,,'')&lt;/Q&gt;&lt;R&gt;0&lt;/R&gt;&lt;C&gt;0&lt;/C&gt;&lt;/FQL&gt;&lt;FQL&gt;&lt;Q&gt;CRWV^FE_ESTIMATE(FCF,MEAN,QUARTERLY_ROLL,2029/1F,45974,,,'')&lt;/Q&gt;&lt;R&gt;0&lt;/R&gt;&lt;C&gt;0&lt;/C&gt;&lt;/FQL&gt;&lt;FQL&gt;&lt;Q&gt;CRWV^FE_ESTIMATE(FCF,MEAN,ANNUAL_ROLL,2028,45974,,,'')&lt;/Q&gt;&lt;R&gt;1&lt;/R&gt;&lt;C&gt;1&lt;/C&gt;&lt;D xsi:type="xsd:double"&gt;-814.9515&lt;/D&gt;&lt;/FQL&gt;&lt;FQL&gt;&lt;Q&gt;CRWV^FE_ESTIMATE(FCF,MEAN,QUARTERLY_ROLL,2028/4F,45974,,,'')&lt;/Q&gt;&lt;R&gt;0&lt;/R&gt;&lt;C&gt;0&lt;/C&gt;&lt;/FQL&gt;&lt;FQL&gt;&lt;Q&gt;CRWV^FE_ESTIMATE(FCF,MEAN,QUARTERLY_ROLL,2028/3F,45974,,,'')&lt;/Q&gt;&lt;R&gt;0&lt;/R&gt;&lt;C&gt;0&lt;/C&gt;&lt;/FQL&gt;&lt;FQL&gt;&lt;Q&gt;CRWV^FE_ESTIMATE(FCF,MEAN,QUARTERLY_ROLL,2028/2F,45974,,,'')&lt;/Q&gt;&lt;R&gt;0&lt;/R&gt;&lt;C&gt;0&lt;/C&gt;&lt;/FQL&gt;&lt;FQL&gt;&lt;Q&gt;CRWV^FE_ESTIMATE(FCF,MEAN,QUARTERLY_ROLL,2028/1F,45974,,,'')&lt;/Q&gt;&lt;R&gt;0&lt;/R&gt;&lt;C&gt;0&lt;/C&gt;&lt;/FQL&gt;&lt;FQL&gt;&lt;Q&gt;CRWV^FE_ESTIMATE(FCF,MEAN,ANNUAL_ROLL,2027,45974,,,'')&lt;/Q&gt;&lt;R&gt;1&lt;/R&gt;&lt;C&gt;1&lt;/C&gt;&lt;D xsi:type="xsd:double"&gt;-7712.9683&lt;/D&gt;&lt;/FQL&gt;&lt;FQL&gt;&lt;Q&gt;CRWV^FE_ESTIMATE(FCF,MEAN,QUARTERLY_ROLL,2027/4F,45974,,,'')&lt;/Q&gt;&lt;R&gt;0&lt;/R&gt;&lt;C&gt;0&lt;/C&gt;&lt;/FQL&gt;&lt;FQL&gt;&lt;Q&gt;CRWV^FE_ESTIMATE(FCF,MEAN,QUARTERLY_ROLL,2027/3F,45974,,,'')&lt;/Q&gt;&lt;R&gt;0&lt;/R&gt;&lt;C&gt;0&lt;/C&gt;&lt;/FQL&gt;&lt;FQL&gt;&lt;Q&gt;CRWV^FE_ESTIMATE(FCF,MEAN,QUARTERLY_ROLL,2027/2F,45974,,,'')&lt;/Q&gt;&lt;R&gt;0&lt;/R&gt;&lt;C&gt;0&lt;/C&gt;&lt;/FQL&gt;&lt;FQL&gt;&lt;Q&gt;CRWV^FE_ESTIMATE(FCF,MEAN,QUARTERLY_ROLL,2027/1F,45974,,,'')&lt;/Q&gt;&lt;R&gt;0&lt;/R&gt;&lt;C&gt;0&lt;/C&gt;&lt;/FQL&gt;&lt;FQL&gt;&lt;Q&gt;CRWV^FE_ESTIMATE(FCF,MEAN,ANNUAL_ROLL,2026,45974,,,'')&lt;/Q&gt;&lt;R&gt;1&lt;/R&gt;&lt;C&gt;1&lt;/C&gt;&lt;D xsi:type="xsd:double"&gt;-15094.746&lt;/D&gt;&lt;/FQL&gt;&lt;FQL&gt;&lt;Q&gt;CRWV^FE_ESTIMATE(FCF,MEAN,QUARTERLY_ROLL,2026/4F,45974,,,'')&lt;/Q&gt;&lt;R&gt;1&lt;/R&gt;&lt;C&gt;1&lt;/C&gt;&lt;D xsi:type="xsd:double"&gt;-3424.3333&lt;/D&gt;&lt;/FQL&gt;&lt;FQL&gt;&lt;Q&gt;CRWV^FE_ESTIMATE(FCF,MEAN,QUARTERLY_ROLL,2026/3F,45974,,,'')&lt;/Q&gt;&lt;R&gt;1&lt;/R&gt;&lt;C&gt;1&lt;/C&gt;&lt;D xsi:type="xsd:double"&gt;-3259.6667&lt;/D&gt;&lt;/FQL&gt;&lt;FQL&gt;&lt;Q&gt;CRWV^FE_ESTIMATE(FCF,MEAN,QUARTERLY_ROLL,2026/2F,45974,,,'')&lt;/Q&gt;&lt;R&gt;1&lt;/R&gt;&lt;C&gt;1&lt;/C&gt;&lt;D xsi:type="xsd:double"&gt;-1926&lt;/D&gt;&lt;/FQL&gt;&lt;FQL&gt;&lt;Q&gt;CRWV^FE_ESTIMATE(FCF,MEAN,QUARTERLY_ROLL,2026/1F,45974,,,'')&lt;/Q&gt;&lt;R&gt;1&lt;/R&gt;&lt;C&gt;1&lt;/C&gt;&lt;D xsi:type="xsd:double"&gt;-3975&lt;/D&gt;&lt;/FQL&gt;&lt;FQL&gt;&lt;Q&gt;CRWV^FE_ESTIMATE(FCF,MEAN,ANNUAL_ROLL,2025,45974,,,'')&lt;/Q&gt;&lt;R&gt;1&lt;/R&gt;&lt;C&gt;1&lt;/C&gt;&lt;D xsi:type="xsd:double"&gt;-15820.38&lt;/D&gt;&lt;/FQL&gt;&lt;FQL&gt;&lt;Q&gt;CRWV^FE_ESTIMATE(FCF,MEAN,QUARTERLY_ROLL,2025/4F,45974,,,'')&lt;/Q&gt;&lt;R&gt;1&lt;/R&gt;&lt;C&gt;1&lt;/C&gt;&lt;D xsi:type="xsd:double"&gt;-9068.543&lt;/D&gt;&lt;/FQL&gt;&lt;FQL&gt;&lt;Q&gt;CRWV^FE_ESTIMATE(FCF,MEAN,QUARTERLY_ROLL,2025/3F,45974,,,'')&lt;/Q&gt;&lt;R&gt;1&lt;/R&gt;&lt;C&gt;1&lt;/C&gt;&lt;D xsi:type="xsd:double"&gt;-2632.175&lt;/D&gt;&lt;/FQL&gt;&lt;FQL&gt;&lt;Q&gt;CRWV^FE_ESTIMATE(FCF,MEAN,QUARTERLY_ROLL,2025/2F,45974,,,'')&lt;/Q&gt;&lt;R&gt;1&lt;/R&gt;&lt;C&gt;1&lt;/C&gt;&lt;D xsi:type="xsd:double"&gt;-2783.9143&lt;/D&gt;&lt;/FQL&gt;&lt;FQL&gt;&lt;Q&gt;CRWV^FE_ESTIMATE(FCF,MEAN,QUARTERLY_ROLL,2025/1F,45974,,,'')&lt;/Q&gt;&lt;R&gt;1&lt;/R&gt;&lt;C&gt;1&lt;/C&gt;&lt;D xsi:type="xsd:double"&gt;-1346&lt;/D&gt;&lt;/FQL&gt;&lt;FQL&gt;&lt;Q&gt;CRWV^FE_ESTIMATE(FCF,MEAN,ANNUAL_ROLL,2024,45974,,,'')&lt;/Q&gt;&lt;R&gt;1&lt;/R&gt;&lt;C&gt;1&lt;/C&gt;&lt;D xsi:type="xsd:double"&gt;-5952.9443&lt;/D&gt;&lt;/FQL&gt;&lt;FQL&gt;&lt;Q&gt;CRWV^FE_ESTIMATE(FCF,MEAN,QUARTERLY_ROLL,2024/4F,45974,,,'')&lt;/Q&gt;&lt;R&gt;1&lt;/R&gt;&lt;C&gt;1&lt;/C&gt;&lt;D xsi:type="xsd:double"&gt;-3476&lt;/D&gt;&lt;/FQL&gt;&lt;FQL&gt;&lt;Q&gt;CRWV^FE_ESTIMATE(FCF,MEAN,QUARTERLY_ROLL,2024/3F,45974,,,'')&lt;/Q&gt;&lt;R&gt;0&lt;/R&gt;&lt;C&gt;0&lt;/C&gt;&lt;/FQL&gt;&lt;FQL&gt;&lt;Q&gt;CRWV^FE_ESTIMATE(FCF,MEAN,QUARTERLY_ROLL,2024/2F,45974,,,'')&lt;/Q&gt;&lt;R&gt;0&lt;/R&gt;&lt;C&gt;0&lt;/C&gt;&lt;/FQL&gt;&lt;FQL&gt;&lt;Q&gt;CRWV^FE_ESTIMATE(FCF,MEAN,QUARTERLY_ROLL,2024/1F,45974,,,'')&lt;/Q&gt;&lt;R&gt;0&lt;/R&gt;&lt;C&gt;0&lt;/C&gt;&lt;/FQL&gt;&lt;FQL&gt;&lt;Q&gt;CRWV^FE_ESTIMATE(FCF,MEAN,ANNUAL_ROLL,2023,45974,,,'')&lt;/Q&gt;&lt;R&gt;0&lt;/R&gt;&lt;C&gt;0&lt;/C&gt;&lt;/FQL&gt;&lt;FQL&gt;&lt;Q&gt;CRWV^FE_ESTIMATE(FCF,MEAN,QUARTERLY_ROLL,2023/4F,45974,,,'')&lt;/Q&gt;&lt;R&gt;0&lt;/R&gt;&lt;C&gt;0&lt;/C&gt;&lt;/FQL&gt;&lt;FQL&gt;&lt;Q&gt;CRWV^FE_ESTIMATE(FCF,MEAN,QUARTERLY_ROLL,2023/3F,45974,,,'')&lt;/Q&gt;&lt;R&gt;0&lt;/R&gt;&lt;C&gt;0&lt;/C&gt;&lt;/FQL&gt;&lt;FQL&gt;&lt;Q&gt;CRWV^FE_ESTIMATE(FCF,MEAN,QUARTERLY_ROLL,2023/2F,45974,,,'')&lt;/Q&gt;&lt;R&gt;0&lt;/R&gt;&lt;C&gt;0&lt;/C&gt;&lt;/FQL&gt;&lt;FQL&gt;&lt;Q&gt;CRWV^FE_ESTIMATE(FCF,MEAN,QUARTERLY_ROLL,2023/1F,45974,,,'')&lt;/Q&gt;&lt;R&gt;0&lt;/R&gt;&lt;C&gt;0&lt;/C&gt;&lt;/FQL&gt;&lt;FQL&gt;&lt;Q&gt;CRWV^FE_ESTIMATE(FCF,MEAN,ANNUAL_ROLL,2022,45974,,,'')&lt;/Q&gt;&lt;R&gt;0&lt;/R&gt;&lt;C&gt;0&lt;/C&gt;&lt;/FQL&gt;&lt;FQL&gt;&lt;Q&gt;CRWV^FE_ESTIMATE(FCF,MEAN,QUARTERLY_ROLL,2022/4F,45974,,,'')&lt;/Q&gt;&lt;R&gt;0&lt;/R&gt;&lt;C&gt;0&lt;/C&gt;&lt;/FQL&gt;&lt;FQL&gt;&lt;Q&gt;CRWV^FE_ESTIMATE(FCF,MEAN,QUARTERLY_ROLL,2022/3F,45974,,,'')&lt;/Q&gt;&lt;R&gt;0&lt;/R&gt;&lt;C&gt;0&lt;/C&gt;&lt;/FQL&gt;&lt;FQL&gt;&lt;Q&gt;CRWV^FE_ESTIMATE(FCF,MEAN,QUARTERLY_ROLL,2022/2F,45974,,,'')&lt;/Q&gt;&lt;R&gt;0&lt;/R&gt;&lt;C&gt;0&lt;/C&gt;&lt;/FQL&gt;&lt;FQL&gt;&lt;Q&gt;CRWV^FE_ESTIMATE(FCF,MEAN,QUARTERLY_ROLL,2022/1F,45974,,,'')&lt;/Q&gt;&lt;R&gt;0&lt;/R&gt;&lt;C&gt;0&lt;/C&gt;&lt;/FQL&gt;&lt;FQL&gt;&lt;Q&gt;CRWV^FE_ESTIMATE(CAPEX,MEAN,ANNUAL_ROLL,2029,45974,,,'')&lt;/Q&gt;&lt;R&gt;1&lt;/R&gt;&lt;C&gt;1&lt;/C&gt;&lt;D xsi:type="xsd:double"&gt;15975.85&lt;/D&gt;&lt;/FQL&gt;&lt;FQL&gt;&lt;Q&gt;CRWV^FE_ESTIMATE(CAPEX,MEAN,QUARTERLY_ROLL,2029/4F,45974,,,'')&lt;/Q&gt;&lt;R&gt;0&lt;/R&gt;&lt;C&gt;0&lt;/C&gt;&lt;/FQL&gt;&lt;FQL&gt;&lt;Q&gt;CRWV^FE_ESTIMATE(CAPEX,MEAN,QUARTERLY_ROLL,2029/3F,45974,,,'')&lt;/Q&gt;&lt;R&gt;0&lt;/R&gt;&lt;C&gt;0&lt;/C&gt;&lt;/FQL&gt;&lt;FQL&gt;&lt;Q&gt;CRWV^FE_ESTIMATE(CAPEX,MEAN,QUARTERLY_ROLL,2029/2F,45974,,,'')&lt;/Q&gt;&lt;R&gt;0&lt;/R&gt;&lt;C&gt;0&lt;/C&gt;&lt;/FQL&gt;&lt;FQL&gt;&lt;Q&gt;CRWV^FE_ESTIMATE(CAPEX,MEAN,QUARTERLY_ROLL,2029/1F,45974,,,'')&lt;/Q&gt;&lt;R&gt;0&lt;/R&gt;&lt;C&gt;0&lt;/C&gt;&lt;/FQL&gt;&lt;FQL&gt;&lt;Q&gt;CRWV^FE_ESTIMATE(CAPEX,MEAN,ANNUAL_ROLL,2028,45974,,,'')&lt;/Q&gt;&lt;R&gt;1&lt;/R&gt;&lt;C&gt;1&lt;/C&gt;&lt;D xsi:type="xsd:double"&gt;15188.934&lt;/D&gt;&lt;/FQL&gt;&lt;FQL&gt;&lt;Q&gt;CRWV^FE_ESTIMATE(CAPEX,MEAN,QUARTERLY_ROLL,2028/4F,45974,,,'')&lt;/Q&gt;&lt;R&gt;0&lt;/R&gt;&lt;C&gt;0&lt;/C&gt;&lt;/FQL&gt;&lt;FQL&gt;&lt;Q&gt;CRWV^FE_ESTIMATE(CAPEX,MEAN,QUARTERLY_ROLL,2028/3F,45974,,,'')&lt;/Q&gt;&lt;R&gt;0&lt;/R&gt;&lt;C&gt;0&lt;/C&gt;&lt;/FQL&gt;&lt;FQL&gt;&lt;Q&gt;CRWV^FE_ESTIMATE(CAPEX,MEAN,QUARTERLY_ROLL,2028/2F,45974,,,'')&lt;/Q&gt;&lt;R&gt;0&lt;/R&gt;&lt;C&gt;0&lt;/C&gt;&lt;/FQL&gt;&lt;FQL&gt;&lt;Q&gt;CRWV^FE_ESTIMATE(CAPEX,MEAN,QUARTERLY_ROLL,2028/1F,45974,,,'')&lt;/Q&gt;&lt;R&gt;0&lt;/R&gt;&lt;C&gt;0&lt;/C&gt;&lt;/FQL&gt;&lt;FQL&gt;&lt;Q&gt;CRWV^FE_ESTIMATE(CAPEX,MEAN,ANNUAL_ROLL,2027,45974,,,'')&lt;/Q&gt;&lt;R&gt;1&lt;/R&gt;&lt;C&gt;1&lt;/C&gt;&lt;D xsi:type="xsd:double"&gt;20443.855&lt;/D&gt;&lt;/FQL&gt;&lt;FQL&gt;&lt;Q&gt;CRWV^FE_ESTIMATE(CAPEX,MEAN,QUARTERLY_ROLL,2027/4F,45974,,,'')&lt;/Q&gt;&lt;R&gt;1&lt;/R&gt;&lt;C&gt;1&lt;/C&gt;&lt;D xsi:type="xsd:double"&gt;5300.1&lt;/D&gt;&lt;/FQL&gt;&lt;FQL&gt;&lt;Q&gt;CRWV^FE_ESTIMATE(CAPEX,MEAN,QUARTERLY_ROLL,2027/3F,45974,,,'')&lt;/Q&gt;&lt;R&gt;1&lt;/R&gt;&lt;C&gt;1&lt;/C&gt;&lt;D xsi:type="xsd:double"&gt;5300.1&lt;/D&gt;&lt;/FQL&gt;&lt;FQL&gt;&lt;Q&gt;CRWV^FE_ESTIMATE(CAPEX,MEAN,QUARTERLY_ROLL,2027/2F,45974,,,'')&lt;/Q&gt;&lt;R&gt;1&lt;/R&gt;&lt;C&gt;1&lt;/C&gt;&lt;D xsi:type="xsd:double"&gt;5300.1&lt;/D&gt;&lt;/FQL&gt;&lt;FQL&gt;&lt;Q&gt;CRWV^FE_ESTIMATE(CAPEX,MEAN,QUARTERLY_ROLL,2027/1F,45974,,,'')&lt;/Q&gt;&lt;R&gt;1&lt;/R&gt;&lt;C&gt;1&lt;/C&gt;&lt;D xsi:type="xsd:double"&gt;5300.1&lt;/D&gt;&lt;/FQL&gt;&lt;FQL&gt;&lt;Q&gt;CRWV^FE_ESTIMATE(CAPEX,MEAN,ANNUAL_ROLL,2026,45974,,,'')&lt;/Q&gt;&lt;R&gt;1&lt;/R&gt;&lt;C&gt;1&lt;/C&gt;&lt;D xsi:type="xsd:double"&gt;25196.836&lt;/D&gt;&lt;/FQL&gt;&lt;FQL&gt;&lt;Q&gt;CRWV^FE_ESTIMATE(CAPEX,MEAN,QUARTERLY_ROLL,2026/4F,45974,,,'')&lt;/Q&gt;&lt;R&gt;1&lt;/R&gt;&lt;C&gt;1&lt;/C&gt;&lt;D xsi:type="xsd:double"&gt;5777.7&lt;/D&gt;&lt;/FQL&gt;&lt;FQL&gt;&lt;Q&gt;CRWV^FE_ESTIMATE(CAPEX,MEAN,QUARTERLY_ROLL,2026/3F,45974,,,'')&lt;/Q&gt;&lt;R&gt;1&lt;/R&gt;&lt;C&gt;1&lt;/C&gt;&lt;D xsi:type="xsd:double"&gt;5338.533&lt;/D&gt;&lt;/FQL&gt;&lt;FQL&gt;&lt;Q&gt;CRWV^FE_ESTIMATE(CAPEX,MEAN,QUARTERLY_ROLL,2026/2F,45974,,,'')&lt;/Q&gt;&lt;R&gt;1&lt;/R&gt;&lt;C&gt;1&lt;/C&gt;&lt;D xsi:type="xsd:double"&gt;4925.717&lt;/D&gt;&lt;/FQL&gt;&lt;FQL&gt;&lt;Q&gt;CRWV^FE_ESTIMATE(CAPEX,MEAN,QUARTERLY_ROLL,2026/1F,45974,,,'')&lt;/Q&gt;&lt;R&gt;1&lt;/R&gt;&lt;C&gt;1&lt;/C&gt;&lt;D xsi:type="xsd:double"&gt;5896.0835&lt;/D&gt;&lt;/FQL&gt;&lt;FQL&gt;&lt;Q&gt;CRWV^FE_ESTIMATE(CAPEX,MEAN,ANNUAL_ROLL,2025,45974,,,'')&lt;/Q&gt;&lt;R&gt;1&lt;/R&gt;&lt;C&gt;1&lt;/C&gt;&lt;D xsi:type="xsd:double"&gt;16086.301&lt;/D&gt;&lt;/FQL&gt;&lt;FQL&gt;&lt;Q&gt;CRWV^FE_ESTIMATE(CAPEX,MEAN,QUARTERLY_ROLL,2025/4F,45974,,,'')&lt;/Q&gt;&lt;R&gt;1&lt;/R&gt;&lt;C&gt;1&lt;/C&gt;&lt;D xsi:type="xsd:double"&gt;7374.0127&lt;/D&gt;&lt;/FQL&gt;&lt;FQL&gt;&lt;Q&gt;CRWV^FE_ESTIMATE(CAPEX,MEAN,QUARTERLY_ROLL,2025/3F,45974,,,'')&lt;/Q&gt;&lt;R&gt;1&lt;/R&gt;&lt;C&gt;1&lt;/C&gt;&lt;D xsi:type="xsd:double"&gt;3278.786&lt;/D&gt;&lt;/FQL&gt;&lt;FQL&gt;&lt;Q&gt;CRWV^FE_ESTIMATE(CAPEX,MEAN,QUARTERLY_ROLL,2025/2F,45974,,,'')&lt;/Q&gt;&lt;R&gt;1&lt;/R&gt;&lt;C&gt;1&lt;/C&gt;&lt;D xsi:type="xsd:double"&gt;2452.992&lt;/D&gt;&lt;/FQL&gt;&lt;FQL&gt;&lt;Q&gt;CRWV^FE_ESTIMATE(CAPEX,MEAN,QUARTERLY_ROLL,2025/1F,45974,,,'')&lt;/Q&gt;&lt;R&gt;1&lt;/R&gt;&lt;C&gt;1&lt;/C&gt;&lt;D xsi:type="xsd:double"&gt;1407.359&lt;/D&gt;&lt;/FQL&gt;&lt;FQL&gt;&lt;Q&gt;CRWV^FE_ESTIMATE(CAPEX,MEAN,ANNUAL_ROLL,2024,45974,,,'')&lt;/Q&gt;&lt;R&gt;1&lt;/R&gt;&lt;C&gt;1&lt;/C&gt;&lt;D xsi:type="xsd:double"&gt;8770.176&lt;/D&gt;&lt;/FQL&gt;&lt;FQL&gt;&lt;Q&gt;CRWV^FE_ESTIMATE(CAPEX,MEAN,QUARTERLY_ROLL,2024/4F,45974,,,'')&lt;/Q&gt;&lt;R&gt;1&lt;/R&gt;&lt;C&gt;1&lt;/C&gt;&lt;D xsi:type="xsd:double"&gt;3151.0667&lt;/D&gt;&lt;/FQL&gt;&lt;FQL&gt;&lt;Q&gt;CRWV^FE_ESTIMATE(CAPEX,MEAN,QUARTERLY_ROLL,2024/3F,45974,,,'')&lt;/Q&gt;&lt;R&gt;0&lt;/R&gt;&lt;C&gt;0&lt;/C&gt;&lt;/FQL&gt;&lt;FQL&gt;&lt;Q&gt;CRWV^FE_ESTIMATE(CAPEX,MEAN,QUARTERLY_ROLL,2024/2F,45974,,,'')&lt;/Q&gt;&lt;R&gt;0&lt;/R&gt;&lt;C&gt;0&lt;/C&gt;&lt;/FQL&gt;&lt;FQL&gt;&lt;Q&gt;CRWV^FE_ESTIMATE(CAPEX,MEAN,QUARTERLY_ROLL,2024/1F,45974,,,'')&lt;/Q&gt;&lt;R&gt;0&lt;/R&gt;&lt;C&gt;0&lt;/C&gt;&lt;/FQL&gt;&lt;FQL&gt;&lt;Q&gt;CRWV^FE_ESTIMATE(CAPEX,MEAN,ANNUAL_ROLL,2023,45974,,,'')&lt;/Q&gt;&lt;R&gt;0&lt;/R&gt;&lt;C&gt;0&lt;/C&gt;&lt;/FQL&gt;&lt;FQL&gt;&lt;Q&gt;CRWV^FE_ESTIMATE(CAPEX,MEAN,QUARTERLY_ROLL,2023/4F,45974,,,'')&lt;/Q&gt;&lt;R&gt;0&lt;/R&gt;&lt;C&gt;0&lt;/C&gt;&lt;/FQL&gt;&lt;FQL&gt;&lt;Q&gt;CRWV^FE_ESTIMATE(CAPEX,MEAN,QUARTERLY_ROLL,2023/3F,45974,,,'')&lt;/Q&gt;&lt;R&gt;0&lt;/R&gt;&lt;C&gt;0&lt;/C&gt;&lt;/FQL&gt;&lt;FQL&gt;&lt;Q&gt;CRWV^FE_ESTIMATE(CAPEX,MEAN,QUARTERLY_ROLL,2023/2F,45974,,,'')&lt;/Q&gt;&lt;R&gt;0&lt;/R&gt;&lt;C&gt;0&lt;/C&gt;&lt;/FQL&gt;&lt;FQL&gt;&lt;Q&gt;CRWV^FE_ESTIMATE(CAPEX,MEAN,QUARTERLY_ROLL,2023/1F,45974,,,'')&lt;/Q&gt;&lt;R&gt;0&lt;/R&gt;&lt;C&gt;0&lt;/C&gt;&lt;/FQL&gt;&lt;FQL&gt;&lt;Q&gt;CRWV^FE_ESTIMATE(CAPEX,MEAN,ANNUAL_ROLL,2022,45974,,,'')&lt;/Q&gt;&lt;R&gt;0&lt;/R&gt;&lt;C&gt;0&lt;/C&gt;&lt;/FQL&gt;&lt;FQL&gt;&lt;Q&gt;CRWV^FE_ESTIMATE(CAPEX,MEAN,QUARTERLY_ROLL,2022/4F,45974,,,'')&lt;/Q&gt;&lt;R&gt;0&lt;/R&gt;&lt;C&gt;0&lt;/C&gt;&lt;/FQL&gt;&lt;FQL&gt;&lt;Q&gt;CRWV^FE_ESTIMATE(CAPEX,MEAN,QUARTERLY_ROLL,2022/3F,45974,,,'')&lt;/Q&gt;&lt;R&gt;0&lt;/R&gt;&lt;C&gt;0&lt;/C&gt;&lt;/FQL&gt;&lt;FQL&gt;&lt;Q&gt;CRWV^FE_ESTIMATE(CAPEX,MEAN,QUARTERLY_ROLL,2022/2F,45974,,,'')&lt;/Q&gt;&lt;R&gt;0&lt;/R&gt;&lt;C&gt;0&lt;/C&gt;&lt;/FQL&gt;&lt;FQL&gt;&lt;Q&gt;CRWV^FE_ESTIMATE(CAPEX,MEAN,QUARTERLY_ROLL,2022/1F,45974,,,'')&lt;/Q&gt;&lt;R&gt;0&lt;/R&gt;&lt;C&gt;0&lt;/C&gt;&lt;/FQL&gt;&lt;FQL&gt;&lt;Q&gt;CRWV^FE_ESTIMATE(CFO,MEAN,ANNUAL_ROLL,2029,45974,,,'')&lt;/Q&gt;&lt;R&gt;0&lt;/R&gt;&lt;C&gt;0&lt;/C&gt;&lt;/FQL&gt;&lt;FQL&gt;&lt;Q&gt;CRWV^FE_ESTIMATE(CFO,MEAN,QUARTERLY_ROLL,2029/4F,45974,,,'')&lt;/Q&gt;&lt;R&gt;0&lt;/R&gt;&lt;C&gt;0&lt;/C&gt;&lt;/FQL&gt;&lt;FQL&gt;&lt;Q&gt;CRWV^FE_ESTIMATE(CFO,MEAN,QUARTERLY_ROLL,2029/3F,45974,,,'')&lt;/Q&gt;&lt;R&gt;0&lt;/R&gt;&lt;C&gt;0&lt;/C&gt;&lt;/FQL&gt;&lt;FQL&gt;&lt;Q&gt;CRWV^FE_ESTIMATE(CFO,MEAN,QUARTERLY_ROLL,2029/2F,45974,,,'')&lt;/Q&gt;&lt;R&gt;0&lt;/R&gt;&lt;C&gt;0&lt;/C&gt;&lt;/FQL&gt;&lt;FQL&gt;&lt;Q&gt;CRWV^FE_ESTIMATE(CFO,MEAN,QUARTERLY_ROLL,2029/1F,45974,,,'')&lt;/Q&gt;&lt;R&gt;0&lt;/R&gt;&lt;C&gt;0&lt;/C&gt;&lt;/FQL&gt;&lt;FQL&gt;&lt;Q&gt;CRWV^FE_ESTIMATE(CFO,MEAN,ANNUAL_ROLL,2028,45974,,,'')&lt;/Q&gt;&lt;R&gt;0&lt;/R&gt;&lt;C&gt;0&lt;/C&gt;&lt;/FQL&gt;&lt;FQL&gt;&lt;Q&gt;CRWV^FE_ESTIMATE(CFO,MEAN,QUARTERLY_ROLL,2028/4F,45974,,,'')&lt;/Q&gt;&lt;R&gt;0&lt;/R&gt;&lt;C&gt;0&lt;/C&gt;&lt;/FQL&gt;&lt;FQL&gt;&lt;Q&gt;CRWV^FE_ESTIMATE(CFO,MEAN,QUARTERLY_ROLL,2028/3F,45974,,,'')&lt;/Q&gt;&lt;R&gt;0&lt;/R&gt;&lt;C&gt;0&lt;/C&gt;&lt;/FQL&gt;&lt;FQL&gt;&lt;Q&gt;CRWV^FE_ESTIMATE(CFO,MEAN,QUARTERLY_ROLL,2028/2F,45974,,,'')&lt;/Q&gt;&lt;R&gt;0&lt;/R&gt;&lt;C&gt;0&lt;/C&gt;&lt;/FQL&gt;&lt;FQL&gt;&lt;Q&gt;CRWV^FE_ESTIMATE(CFO,MEAN,QUARTERLY_ROLL,2028/1F,45974,,,'')&lt;/Q&gt;&lt;R&gt;0&lt;/R&gt;&lt;C&gt;0&lt;/C&gt;&lt;/FQL&gt;&lt;FQL&gt;&lt;Q&gt;CRWV^FE_ESTIMATE(CFO,MEAN,ANNUAL_ROLL,2027,45974,,,'')&lt;/Q&gt;&lt;R&gt;1&lt;/R&gt;&lt;C&gt;1&lt;/C&gt;&lt;D xsi:type="xsd:double"&gt;10832.98&lt;/D&gt;&lt;/FQL&gt;&lt;FQL&gt;&lt;Q&gt;CRWV^FE_ESTIMATE(CFO,MEAN,QUARTERLY_ROLL,2027/4F,45974,,,'')&lt;/Q&gt;&lt;R&gt;1&lt;/R&gt;&lt;C&gt;1&lt;/C&gt;&lt;D xsi:type="xsd:double"&gt;3531.1&lt;/D&gt;&lt;/FQL&gt;&lt;FQL&gt;&lt;Q&gt;CRWV^FE_ESTIMATE(CFO,MEAN,QUARTERLY_ROLL,2027/3F,45974,,,'')&lt;/Q&gt;&lt;R&gt;1&lt;/R&gt;&lt;C&gt;1&lt;/C&gt;&lt;D xsi:type="xsd:double"&gt;2803.7&lt;/D&gt;&lt;/FQL&gt;&lt;FQL&gt;&lt;Q&gt;CRWV^FE_ESTIMATE(CFO,MEAN,QUARTERLY_ROLL,2027/2F,45974,,,'')&lt;/Q&gt;&lt;R&gt;1&lt;/R&gt;&lt;C&gt;1&lt;/C&gt;&lt;D xsi:type="xsd:double"&gt;2630.8&lt;/D&gt;&lt;/FQL&gt;&lt;FQL&gt;&lt;Q&gt;CRWV^FE_ESTIMATE(CFO,MEAN,QUARTERLY_ROLL,2027/1F,45974,,,'')&lt;/Q&gt;&lt;R&gt;1&lt;/R&gt;&lt;C&gt;1&lt;/C&gt;&lt;D xsi:type="xsd:double"&gt;1918.9&lt;/D&gt;&lt;/FQL&gt;&lt;FQL&gt;&lt;Q&gt;CRWV^FE_ESTIMATE(CFO,MEAN,ANNUAL_ROLL,2026,45974,,,'')&lt;/Q&gt;&lt;R&gt;1&lt;/R&gt;&lt;C&gt;1&lt;/C&gt;&lt;D xsi:type="xsd:double"&gt;8609.008&lt;/D&gt;&lt;/FQL&gt;&lt;FQL&gt;&lt;Q&gt;CRWV^FE_ESTIMATE(CFO,MEAN,QUARTERLY_ROLL,2026/4F,45974,,,'')&lt;/Q&gt;&lt;R&gt;1&lt;/R&gt;&lt;C&gt;1&lt;/C&gt;&lt;D xsi:type="xsd:double"&gt;2175.15&lt;/D&gt;&lt;/FQL&gt;&lt;FQL&gt;&lt;Q&gt;CRWV^FE_ESTIMATE(CFO,MEAN,QUARTERLY_ROLL,2026/3F,45974,,,'')&lt;/Q&gt;&lt;R&gt;1&lt;/R&gt;&lt;C&gt;1&lt;/C&gt;&lt;D xsi:type="xsd:double"&gt;2268.8333&lt;/D&gt;&lt;/FQL&gt;&lt;FQL&gt;&lt;Q&gt;CRWV^FE_ESTIMATE(CFO,MEAN,QUARTERLY_ROLL,2026/2F,45974,,,'')&lt;/Q&gt;&lt;R&gt;1&lt;/R&gt;&lt;C&gt;1&lt;/C&gt;&lt;D xsi:type="xsd:double"&gt;2034.6167&lt;/D&gt;&lt;/FQL&gt;&lt;FQL&gt;&lt;Q&gt;CRWV^FE_ESTIMATE(CFO,MEAN,QUARTERLY_ROLL,2026/1F,45974,,,'')&lt;/Q&gt;&lt;R&gt;1&lt;/R&gt;&lt;C&gt;1&lt;/C&gt;&lt;D xsi:type="xsd:double"&gt;1608.0333&lt;/D&gt;&lt;/FQL&gt;&lt;FQL&gt;&lt;Q&gt;CRWV^FE_ESTIMATE(CFO,MEAN,ANNUAL_ROLL,2025,45974,,,'')&lt;/Q&gt;&lt;R&gt;1&lt;/R&gt;&lt;C&gt;1&lt;/C&gt;&lt;D xsi:type="xsd:double"&gt;2868.191&lt;/D&gt;&lt;/FQL&gt;&lt;FQL&gt;&lt;Q&gt;CRWV^FE_ESTIMATE(CFO,MEAN,QUARTERLY_ROLL,2025/4F,45974,,,'')&lt;/Q&gt;&lt;R&gt;1&lt;/R&gt;&lt;C&gt;1&lt;/C&gt;&lt;D xsi:type="xsd:double"&gt;2185.5&lt;/D&gt;&lt;/FQL&gt;&lt;FQL&gt;&lt;Q&gt;CRWV^FE_ESTIMATE(CFO,MEAN,QUARTERLY_ROLL,2025/3F,45974,,,'')&lt;/Q&gt;&lt;R&gt;1&lt;/R&gt;&lt;C&gt;1&lt;/C&gt;&lt;D xsi:type="xsd:double"&gt;1689&lt;/D&gt;&lt;/FQL&gt;&lt;FQL&gt;&lt;Q&gt;CRWV^FE_ESTIMATE(CFO,MEAN,QUARTERLY_ROLL,2025/2F,45974,,,'')&lt;/Q&gt;&lt;R&gt;1&lt;/R&gt;&lt;C&gt;1&lt;/C&gt;&lt;D xsi:type="xsd:double"&gt;-251.8&lt;/D&gt;&lt;/FQL&gt;&lt;FQL&gt;&lt;Q&gt;CRWV^FE_ESTIMATE(CFO,MEAN,QUARTERLY_ROLL,2025/1F,45974,,,'')&lt;/Q&gt;&lt;R&gt;1&lt;/R&gt;&lt;C&gt;1&lt;/C&gt;&lt;D xsi:type="xsd:double"&gt;61.04&lt;/D&gt;&lt;/FQL&gt;&lt;FQL&gt;&lt;Q&gt;CRWV^FE_ESTIMATE(CFO,MEAN,ANNUAL_ROLL,2024,45974,,,'')&lt;/Q&gt;&lt;R&gt;1&lt;/R&gt;&lt;C&gt;1&lt;/C&gt;&lt;D xsi:type="xsd:double"&gt;2749.104&lt;/D&gt;&lt;/FQL&gt;&lt;FQL&gt;&lt;Q&gt;CRWV^FE_ESTIMATE(CFO,MEAN,QUARTERLY_ROLL,2024/4F,45974,,,'')&lt;/Q&gt;&lt;R&gt;1&lt;/R&gt;&lt;C&gt;1&lt;/C&gt;&lt;D xsi:type="xsd:double"&gt;-323.43332&lt;/D&gt;&lt;/FQL&gt;&lt;FQL&gt;&lt;Q&gt;CRWV^FE_ESTIMATE(CFO,MEAN,QUARTERLY_ROLL,2024/3F,45974,,,'')&lt;/Q&gt;&lt;R&gt;0&lt;/R&gt;&lt;C&gt;0&lt;/C&gt;&lt;/FQL&gt;&lt;FQL&gt;&lt;Q&gt;CRWV^FE_ESTIMATE(CFO,MEAN,QUARTERLY_ROLL,2024/2F,45974,,,'')&lt;/Q&gt;&lt;R&gt;0&lt;/R&gt;&lt;C&gt;0&lt;/C&gt;&lt;/FQL&gt;&lt;FQL&gt;&lt;Q&gt;CRWV^FE_ESTIMATE(CFO,MEAN,QUARTERLY_ROLL,2024/1F,45974,,,'')&lt;/Q&gt;&lt;R&gt;0&lt;/R&gt;&lt;C&gt;0&lt;/C&gt;&lt;/FQL&gt;&lt;FQL&gt;&lt;Q&gt;CRWV^FE_ESTIMATE(CFO,MEAN,ANNUAL_ROLL,2023,45974,,,'')&lt;/Q&gt;&lt;R&gt;0&lt;/R&gt;&lt;C&gt;0&lt;/C&gt;&lt;/FQL&gt;&lt;FQL&gt;&lt;Q&gt;CRWV^FE_ESTIMATE(CFO,MEAN,QUARTERLY_ROLL,2023/4F,45974,,,'')&lt;/Q&gt;&lt;R&gt;0&lt;/R&gt;&lt;C&gt;0&lt;/C&gt;&lt;/FQL&gt;&lt;FQL&gt;&lt;Q&gt;CRWV^FE_ESTIMATE(CFO,MEAN,QUARTERLY_ROLL,2023/3F,45974,,,'')&lt;/Q&gt;&lt;R&gt;0&lt;/R&gt;&lt;C&gt;0&lt;/C&gt;&lt;/FQL&gt;&lt;FQL&gt;&lt;Q&gt;CRWV^FE_ESTIMATE(CFO,MEAN,QUARTERLY_ROLL,2023/2F,45974,,,'')&lt;/Q&gt;&lt;R&gt;0&lt;/R&gt;&lt;C&gt;0&lt;/C&gt;&lt;/FQL&gt;&lt;FQL&gt;&lt;Q&gt;CRWV^FE_ESTIMATE(CFO,MEAN,QUARTERLY_ROLL,2023/1F,45974,,,'')&lt;/Q&gt;&lt;R&gt;0&lt;/R&gt;&lt;C&gt;0&lt;/C&gt;&lt;/FQL&gt;&lt;FQL&gt;&lt;Q&gt;CRWV^FE_ESTIMATE(CFO,MEAN,ANNUAL_ROLL,2022,45974,,,'')&lt;/Q&gt;&lt;R&gt;0&lt;/R&gt;&lt;C&gt;0&lt;/C&gt;&lt;/FQL&gt;&lt;FQL&gt;&lt;Q&gt;CRWV^FE_ESTIMATE(CFO,MEAN,QUARTERLY_ROLL,2022/4F,45974,,,'')&lt;/Q&gt;&lt;R&gt;0&lt;/R&gt;&lt;C&gt;0&lt;/C&gt;&lt;/FQL&gt;&lt;FQL&gt;&lt;Q&gt;CRWV^FE_ESTIMATE(CFO,MEAN,QUARTERLY_ROLL,2022/3F,45974,,,'')&lt;/Q&gt;&lt;R&gt;0&lt;/R&gt;&lt;C&gt;0&lt;/C&gt;&lt;/FQL&gt;&lt;FQL&gt;&lt;Q&gt;CRWV^FE_ESTIMATE(CFO,MEAN,QUARTERLY_ROLL,2022/2F,45974,,,'')&lt;/Q&gt;&lt;R&gt;0&lt;/R&gt;&lt;C&gt;0&lt;/C&gt;&lt;/FQL&gt;&lt;FQL&gt;&lt;Q&gt;CRWV^FE_ESTIMATE(CFO,MEAN,QUARTERLY_ROLL,2022/1F,45974,,,'')&lt;/Q&gt;&lt;R&gt;0&lt;/R&gt;&lt;C&gt;0&lt;/C&gt;&lt;/FQL&gt;&lt;FQL&gt;&lt;Q&gt;CRWV^FE_ESTIMATE(EPS,MEAN,ANNUAL_ROLL,2029,45974,,,'')&lt;/Q&gt;&lt;R&gt;1&lt;/R&gt;&lt;C&gt;1&lt;/C&gt;&lt;D xsi:type="xsd:double"&gt;4.84&lt;/D&gt;&lt;/FQL&gt;&lt;FQL&gt;&lt;Q&gt;CRWV^FE_ESTIMATE(EPS,MEAN,QUARTERLY_ROLL,2029/4F,45974,,,'')&lt;/Q&gt;&lt;R&gt;0&lt;/R&gt;&lt;C&gt;0&lt;/C&gt;&lt;/FQL&gt;&lt;FQL&gt;&lt;Q&gt;CRWV^FE_ESTIMATE(EPS,MEAN,QUARTERLY_ROLL,2029/3F,45974,,,'')&lt;/Q&gt;&lt;R&gt;0&lt;/R&gt;&lt;C&gt;0&lt;/C&gt;&lt;/FQL&gt;&lt;FQL&gt;&lt;Q&gt;CRWV^FE_ESTIMATE(EPS,MEAN,QUARTERLY_ROLL,2029/2F,45974,,,'')&lt;/Q&gt;&lt;R&gt;0&lt;/R&gt;&lt;C&gt;0&lt;/C&gt;&lt;/FQL&gt;&lt;FQL&gt;&lt;Q&gt;CRWV^FE_ESTIMATE(EPS,MEAN,QUARTERLY_ROLL,2029/1F,45974,,,'')&lt;/Q&gt;&lt;R&gt;0&lt;/R&gt;&lt;C&gt;0&lt;/C&gt;&lt;/FQL&gt;&lt;FQL&gt;&lt;Q&gt;CRWV^FE_ESTIMATE(EPS,MEAN,ANNUAL_ROLL,2028,45974,,,'')&lt;/Q&gt;&lt;R&gt;1&lt;/R&gt;&lt;C&gt;1&lt;/C&gt;&lt;D xsi:type="xsd:double"&gt;3.76485&lt;/D&gt;&lt;/FQL&gt;&lt;FQL&gt;&lt;Q&gt;CRWV^FE_ESTIMATE(EPS,MEAN,QUARTERLY_ROLL,2028/4F,45974,,,'')&lt;/Q&gt;&lt;R&gt;1&lt;/R&gt;&lt;C&gt;1&lt;/C&gt;&lt;D xsi:type="xsd:double"&gt;1.6357&lt;/D&gt;&lt;/FQL&gt;&lt;FQL&gt;&lt;Q&gt;CRWV^FE_ESTIMATE(EPS,MEAN,QUARTERLY_ROLL,2028/3F,45974,,,'')&lt;/Q&gt;&lt;R&gt;1&lt;/R&gt;&lt;C&gt;1&lt;/C&gt;&lt;D xsi:type="xsd:double"&gt;1.467&lt;/D&gt;&lt;/FQL&gt;&lt;FQL&gt;&lt;Q&gt;CRWV^FE_ESTIMATE(EPS,MEAN,QUARTERLY_ROLL,2028/2F,45974,,,'')&lt;/Q&gt;&lt;R&gt;1&lt;/R&gt;&lt;C&gt;1&lt;/C&gt;&lt;D xsi:type="xsd:double"&gt;1.3311&lt;/D&gt;&lt;/FQL&gt;&lt;FQL&gt;&lt;Q&gt;CRWV^FE_ESTIMATE(EPS,MEAN,QUARTERLY_ROLL,2028/1F,45974,,,'')&lt;/Q&gt;&lt;R&gt;1&lt;/R&gt;&lt;C&gt;1&lt;/C&gt;&lt;D xsi:type="xsd:double"&gt;1.1407&lt;/D&gt;&lt;/FQL&gt;&lt;FQL&gt;&lt;Q&gt;CRWV^FE_ESTIMATE(EPS,MEAN,ANNUAL_ROLL,2027,45974,,,'')&lt;/Q&gt;&lt;R&gt;1&lt;/R&gt;&lt;C&gt;1&lt;/C&gt;&lt;D xsi:type="xsd:double"&gt;2.0111694&lt;/D&gt;&lt;/FQL&gt;&lt;FQL&gt;&lt;Q&gt;CRWV^FE_ESTIMATE(EPS,MEAN,QUARTERLY_ROLL,2027/4F,45974,,,'')&lt;/Q&gt;&lt;R&gt;1&lt;/R&gt;&lt;C&gt;1&lt;/C&gt;&lt;D xsi:type="xsd:double"&gt;0.5942031&lt;/D&gt;&lt;/FQL&gt;&lt;FQL&gt;&lt;Q&gt;CRWV^FE_ESTIMATE(EPS,MEAN,QUARTERLY_ROLL,2027/3F,45974,,,'')&lt;/Q&gt;&lt;R&gt;1&lt;/R&gt;&lt;C&gt;1&lt;/C&gt;&lt;D xsi:type="xsd:double"&gt;0.44581163&lt;/D&gt;&lt;/FQL&gt;&lt;FQL&gt;&lt;Q&gt;CRWV^FE_ESTIMATE(EPS,MEAN,QUARTERLY_ROLL,2027/2F,45974,,,'')&lt;/Q&gt;&lt;R&gt;1&lt;/R&gt;&lt;C&gt;1&lt;/C&gt;&lt;D xsi:type="xsd:double"&gt;0.3017132&lt;/D&gt;&lt;/FQL&gt;&lt;FQL&gt;&lt;Q&gt;CRWV^FE_ESTIMATE(EPS,MEAN,QUARTERLY_ROLL,2027/1F,45974,,,'')&lt;/Q&gt;&lt;R&gt;1&lt;/R&gt;&lt;C&gt;1&lt;/C&gt;&lt;D xsi:type="xsd:double"&gt;0.20448619&lt;/D&gt;&lt;/FQL&gt;&lt;FQL&gt;&lt;Q&gt;CRWV^FE_ESTIMATE(EPS,MEAN,ANNUAL_ROLL,2026,45974,,,'')&lt;/Q&gt;&lt;R&gt;1&lt;/R&gt;&lt;C&gt;1&lt;/C&gt;&lt;D xsi:type="xsd:double"&gt;-0.32299754&lt;/D&gt;&lt;/FQL&gt;&lt;FQL&gt;&lt;Q&gt;CRWV^FE_ESTIMATE(EPS,MEAN,QUARTERLY_ROLL,2026/4F,45974,,,'')&lt;/Q&gt;&lt;R&gt;1&lt;/R&gt;&lt;C&gt;1&lt;/C&gt;&lt;D xsi:type="xsd:double"&gt;0.06291211&lt;/D&gt;&lt;/FQL&gt;&lt;FQL&gt;&lt;Q&gt;CRWV^FE_ESTIMATE(EPS,MEAN,QUARTERLY_ROLL,2026/3F,45974,,,'')&lt;/Q&gt;&lt;R&gt;1&lt;/R&gt;&lt;C&gt;1&lt;/C&gt;&lt;D xsi:type="xsd:double"&gt;-0.05313081&lt;/D&gt;&lt;/FQL&gt;&lt;FQL&gt;&lt;Q&gt;CRWV^FE_ESTIMATE(EPS,MEAN,QUARTERLY_ROLL,2026/2F,45974,,,'')&lt;/Q&gt;&lt;R&gt;1&lt;/R&gt;&lt;C&gt;1&lt;/C&gt;&lt;D xsi:type="xsd:double"&gt;0.014601584&lt;/D&gt;&lt;/FQL&gt;&lt;FQL&gt;&lt;Q&gt;CRWV^FE_ESTIMATE(EPS,MEAN,QUARTERLY_ROLL,2026/1F,45974,,,'')&lt;/Q&gt;&lt;R&gt;1&lt;/R&gt;&lt;C&gt;1&lt;/C&gt;&lt;D xsi:type="xsd:double"&gt;-0.30628523&lt;/D&gt;&lt;/FQL&gt;&lt;FQL&gt;&lt;Q&gt;CRWV^FE_ESTIMATE(EPS,MEAN,ANNUAL_ROLL,2025,45974,,,'')&lt;/Q&gt;&lt;R&gt;1&lt;/R&gt;&lt;C&gt;1&lt;/C&gt;&lt;D xsi:type="xsd:double"&gt;-1.5523016&lt;/D&gt;&lt;/FQL&gt;&lt;FQL&gt;&lt;Q&gt;CRWV^FE_ESTIMATE(EPS,MEAN,QUARTERLY_ROLL,2025/4F,45974,,,'')&lt;/Q&gt;&lt;R&gt;1&lt;/R&gt;&lt;C&gt;1&lt;/C&gt;&lt;D xsi:type="xsd:double"&gt;-0.50056237&lt;/D&gt;&lt;/FQL&gt;&lt;FQL&gt;&lt;Q&gt;CRWV^FE_ESTIMATE(EPS,MEAN,QUARTERLY_ROLL,2025/3F,45974,,,'')&lt;/Q&gt;&lt;R&gt;1&lt;/R&gt;&lt;C&gt;1&lt;/C&gt;&lt;D xsi:type="xsd:double"&gt;-0.081105&lt;/D&gt;&lt;/FQL&gt;&lt;FQL&gt;&lt;Q&gt;CRWV^FE_ESTIMATE(EPS,MEAN,QUARTERLY_ROLL,2025/2F,45974,,,'')&lt;/Q&gt;&lt;R&gt;1&lt;/R&gt;&lt;C&gt;1&lt;/C&gt;&lt;D xsi:type="xsd:double"&gt;-0.271792&lt;/D&gt;&lt;/FQL&gt;&lt;FQL&gt;&lt;Q&gt;CRWV^FE_ESTIMATE(EPS,MEAN,QUARTERLY_ROLL,2025/1F,45974,,,'')&lt;/Q&gt;&lt;R&gt;1&lt;/R&gt;&lt;C&gt;1&lt;/C&gt;&lt;D xsi:type="xsd:double"&gt;-0.827782&lt;/D&gt;&lt;/FQL&gt;&lt;FQL&gt;&lt;Q&gt;CRWV^FE_ESTIMATE(EPS,MEAN,ANNUAL_ROLL,2024,45974,,,'')&lt;/Q&gt;&lt;R&gt;1&lt;/R&gt;&lt;C&gt;1&lt;/C&gt;&lt;D xsi:type="xsd:double"&gt;-0.281601&lt;/D&gt;&lt;/FQL&gt;&lt;FQL&gt;&lt;Q&gt;CRWV^FE_ESTIMATE(EPS,MEAN,QUARTERLY_ROLL,2024/4F,45974,,,'')&lt;/Q&gt;&lt;R&gt;1&lt;/R&gt;&lt;C&gt;1&lt;/C&gt;&lt;D xsi:type="xsd:double"&gt;-0.101733334&lt;/D&gt;&lt;/FQL&gt;&lt;FQL&gt;&lt;Q&gt;CRWV^FE_ESTIMATE(EPS,MEAN,QUARTERLY_ROLL,2024/3F,45974,,,'')&lt;/Q&gt;&lt;R&gt;0&lt;/R&gt;&lt;C&gt;0&lt;/C&gt;&lt;/FQL&gt;&lt;FQL&gt;&lt;Q&gt;CRWV^FE_ESTIMATE(EPS,MEAN,QUARTERLY_ROLL,2024/2F,45974,,,'')&lt;/Q&gt;&lt;R&gt;0&lt;/R&gt;&lt;C&gt;0&lt;/C&gt;&lt;/FQL&gt;&lt;FQL&gt;&lt;Q&gt;CRWV^FE_ESTIMATE(EPS,MEAN,QUARTERLY_ROLL,2024/1F,45974,,,'')&lt;/Q&gt;&lt;R&gt;0&lt;/R&gt;&lt;C&gt;0&lt;/C&gt;&lt;/FQL&gt;&lt;FQL&gt;&lt;Q&gt;CRWV^FE_ESTIMATE(EPS,MEAN,ANNUAL_ROLL,2023,45974,,,'')&lt;/Q&gt;&lt;R&gt;0&lt;/R&gt;&lt;C&gt;0&lt;/C&gt;&lt;/FQL&gt;&lt;FQL&gt;&lt;Q&gt;CRWV^FE_ESTIMATE(EPS,MEAN,QUARTERLY_ROLL,2023/4F,45974,,,'')&lt;/Q&gt;&lt;R&gt;0&lt;/R&gt;&lt;C&gt;0&lt;/C&gt;&lt;/FQL&gt;&lt;FQL&gt;&lt;Q&gt;CRWV^FE_ESTIMATE(EPS,MEAN,QUARTERLY_ROLL,2023/3F,45974,,,'')&lt;/Q&gt;&lt;R&gt;0&lt;/R&gt;&lt;C&gt;0&lt;/C&gt;&lt;/FQL&gt;&lt;FQL&gt;&lt;Q&gt;CRWV^FE_ESTIMATE(EPS,MEAN,QUARTERLY_ROLL,2023/2F,45974,,,'')&lt;/Q&gt;&lt;R&gt;0&lt;/R&gt;&lt;C&gt;0&lt;/C&gt;&lt;/FQL&gt;&lt;FQL&gt;&lt;Q&gt;CRWV^FE_ESTIMATE(EPS,MEAN,QUARTERLY_ROLL,2023/1F,45974,,,'')&lt;/Q&gt;&lt;R&gt;0&lt;/R&gt;&lt;C&gt;0&lt;/C&gt;&lt;/FQL&gt;&lt;FQL&gt;&lt;Q&gt;CRWV^FE_ESTIMATE(EPS,MEAN,ANNUAL_ROLL,2022,45974,,,'')&lt;/Q&gt;&lt;R&gt;0&lt;/R&gt;&lt;C&gt;0&lt;/C&gt;&lt;/FQL&gt;&lt;FQL&gt;&lt;Q&gt;CRWV^FE_ESTIMATE(EPS,MEAN,QUARTERLY_ROLL,2022/4F,45974,,,'')&lt;/Q&gt;&lt;R&gt;0&lt;/R&gt;&lt;C&gt;0&lt;/C&gt;&lt;/FQL&gt;&lt;FQL&gt;&lt;Q&gt;CRWV^FE_ESTIMATE(EPS,MEAN,QUARTERLY_ROLL,2022/3F,45974,,,'')&lt;/Q&gt;&lt;R&gt;0&lt;/R&gt;&lt;C&gt;0&lt;/C&gt;&lt;/FQL&gt;&lt;FQL&gt;&lt;Q&gt;CRWV^FE_ESTIMATE(EPS,MEAN,QUARTERLY_ROLL,2022/2F,45974,,,'')&lt;/Q&gt;&lt;R&gt;0&lt;/R&gt;&lt;C&gt;0&lt;/C&gt;&lt;/FQL&gt;&lt;FQL&gt;&lt;Q&gt;CRWV^FE_ESTIMATE(EPS,MEAN,QUARTERLY_ROLL,2022/1F,45974,,,'')&lt;/Q&gt;&lt;R&gt;0&lt;/R&gt;&lt;C&gt;0&lt;/C&gt;&lt;/FQL&gt;&lt;FQL&gt;&lt;Q&gt;CRWV^FE_ESTIMATE(EAG,MEAN,ANNUAL_ROLL,2029,45974,,,'')&lt;/Q&gt;&lt;R&gt;1&lt;/R&gt;&lt;C&gt;1&lt;/C&gt;&lt;D xsi:type="xsd:double"&gt;2.92&lt;/D&gt;&lt;/FQL&gt;&lt;FQL&gt;&lt;Q&gt;CRWV^FE_ESTIMATE(EAG,MEAN,QUARTERLY_ROLL,2029/4F,45974,,,'')&lt;/Q&gt;&lt;R&gt;0&lt;/R&gt;&lt;C&gt;0&lt;/C&gt;&lt;/FQL&gt;&lt;FQL&gt;&lt;Q&gt;CRWV^FE_ESTIMATE(EAG,MEAN,QUARTERLY_ROLL,2029/3F,45974,,,'')&lt;/Q&gt;&lt;R&gt;0&lt;/R&gt;&lt;C&gt;0&lt;/C&gt;&lt;/FQL&gt;&lt;FQL&gt;&lt;Q&gt;CRWV^FE_ESTIMATE(EAG,MEAN,QUARTERLY_ROLL,2029/2F,45974,,,'')&lt;/Q&gt;&lt;R&gt;0&lt;/R&gt;&lt;C&gt;0&lt;/C&gt;&lt;/FQL&gt;&lt;FQL&gt;&lt;Q&gt;CRWV^FE_ESTIMATE(EAG,MEAN,QUARTERLY_ROLL,2029/1F,45974,,,'')&lt;/Q&gt;&lt;R&gt;0&lt;/R&gt;&lt;C&gt;0&lt;/C&gt;&lt;/FQL&gt;&lt;FQL&gt;&lt;Q&gt;CRWV^FE_ESTIMATE(EAG,MEAN,ANNUAL_ROLL,2028,45974,,,'')&lt;/Q&gt;&lt;R&gt;1&lt;/R&gt;&lt;C&gt;1&lt;/C&gt;&lt;D xsi:type="xsd:double"&gt;2.12&lt;/D&gt;&lt;/FQL&gt;&lt;FQL&gt;&lt;Q&gt;CRWV^FE_ESTIMATE(EAG,MEAN,QUARTERLY_ROLL,2028/4F,45974,,,'')&lt;/Q&gt;&lt;R&gt;1&lt;/R&gt;&lt;C&gt;1&lt;/C&gt;&lt;D xsi:type="xsd:double"&gt;0.0591&lt;/D&gt;&lt;/FQL&gt;&lt;FQL&gt;&lt;Q&gt;CRWV^FE_ESTIMATE(EAG,MEAN,QUARTERLY_ROLL,2028/3F,45974,,,'')&lt;/Q&gt;&lt;R&gt;1&lt;/R&gt;&lt;C&gt;1&lt;/C&gt;&lt;D xsi:type="xsd:double"&gt;0.0946&lt;/D&gt;&lt;/FQL&gt;&lt;FQL&gt;&lt;Q&gt;CRWV^FE_ESTIMATE(EAG,MEAN,QUARTERLY_ROLL,2028/2F,45974,,,'')&lt;/Q&gt;&lt;R&gt;1&lt;/R&gt;&lt;C&gt;1&lt;/C&gt;&lt;D xsi:type="xsd:double"&gt;0.4575&lt;/D&gt;&lt;/FQL&gt;&lt;FQL&gt;&lt;Q&gt;CRWV^FE_ESTIMATE(EAG,MEAN,QUARTERLY_ROLL,2028/1F,45974,,,'')&lt;/Q&gt;&lt;R&gt;1&lt;/R&gt;&lt;C&gt;1&lt;/C&gt;&lt;D xsi:type="xsd:double"&gt;0.4884&lt;/D&gt;&lt;/FQL&gt;&lt;FQL&gt;&lt;Q&gt;CRWV^FE_ESTIMATE(EAG,MEAN,ANNUAL_ROLL,2027,45974,,,'')&lt;/Q&gt;&lt;R&gt;1&lt;/R&gt;&lt;C&gt;1&lt;/C&gt;&lt;D xsi:type="xsd:double"&gt;0.8133379&lt;/D&gt;&lt;/FQL&gt;&lt;FQL&gt;&lt;Q&gt;CRWV^FE_ESTIMATE(EAG,MEAN,QUARTERLY_ROLL,2027/4F,45974,,,'')&lt;/Q&gt;&lt;R&gt;1&lt;/R&gt;&lt;C&gt;1&lt;/C&gt;&lt;D xsi:type="xsd:double"&gt;0.2775235&lt;/D&gt;&lt;/FQL&gt;&lt;FQL&gt;&lt;Q&gt;CRWV^FE_ESTIMATE(EAG,MEAN,QUARTERLY_ROLL,2027/3F,45974,,,'')&lt;/Q&gt;&lt;R&gt;1&lt;/R&gt;&lt;C&gt;1&lt;/C&gt;&lt;D xsi:type="xsd:double"&gt;0.140035&lt;/D&gt;&lt;/FQL&gt;&lt;FQL&gt;&lt;Q&gt;CRWV^FE_ESTIMATE(EAG,MEAN,QUARTERLY_ROLL,2027/2F,45974,,,'')&lt;/Q&gt;&lt;R&gt;1&lt;/R&gt;&lt;C&gt;1&lt;/C&gt;&lt;D xsi:type="xsd:double"&gt;0.01673525&lt;/D&gt;&lt;/FQL&gt;&lt;FQL&gt;&lt;Q&gt;CRWV^FE_ESTIMATE(EAG,MEAN,QUARTERLY_ROLL,2027/1F,45974,,,'')&lt;/Q&gt;&lt;R&gt;1&lt;/R&gt;&lt;C&gt;1&lt;/C&gt;&lt;D xsi:type="xsd:double"&gt;-0.05835075&lt;/D&gt;&lt;/FQL&gt;&lt;FQL&gt;&lt;Q&gt;CRWV^FE_ESTIMATE(EAG,MEAN,ANNUAL_ROLL,2026,45974,,,'')&lt;/Q&gt;&lt;R&gt;1&lt;/R&gt;&lt;C&gt;1&lt;/C&gt;&lt;D xsi:type="xsd:double"&gt;-1.1464279&lt;/D&gt;&lt;/FQL&gt;&lt;FQL&gt;&lt;Q&gt;CRWV^FE_ESTIMATE(EAG,MEAN,QUARTERLY_ROLL,2026/4F,45974,,,'')&lt;/Q&gt;&lt;R&gt;1&lt;/R&gt;&lt;C&gt;1&lt;/C&gt;&lt;D xsi:type="xsd:double"&gt;-0.08300725&lt;/D&gt;&lt;/FQL&gt;&lt;FQL&gt;&lt;Q&gt;CRWV^FE_ESTIMATE(EAG,MEAN,QUARTERLY_ROLL,2026/3F,45974,,,'')&lt;/Q&gt;&lt;R&gt;1&lt;/R&gt;&lt;C&gt;1&lt;/C&gt;&lt;D xsi:type="xsd:double"&gt;-0.22110787&lt;/D&gt;&lt;/FQL&gt;&lt;FQL&gt;&lt;Q&gt;CRWV^FE_ESTIMATE(EAG,MEAN,QUARTERLY_ROLL,2026/2F,45974,,,'')&lt;/Q&gt;&lt;R&gt;1&lt;/R&gt;&lt;C&gt;1&lt;/C&gt;&lt;D xsi:type="xsd:double"&gt;-0.33322954&lt;/D&gt;&lt;/FQL&gt;&lt;FQL&gt;&lt;Q&gt;CRWV^FE_ESTIMATE(EAG,MEAN,QUARTERLY_ROLL,2026/1F,45974,,,'')&lt;/Q&gt;&lt;R&gt;1&lt;/R&gt;&lt;C&gt;1&lt;/C&gt;&lt;D xsi:type="xsd:double"&gt;-0.51541567&lt;/D&gt;&lt;/FQL&gt;&lt;FQL&gt;&lt;Q&gt;CRWV^FE_ESTIMATE(EAG,MEAN,ANNUAL_ROLL,2025,45974,,,'')&lt;/Q&gt;&lt;R&gt;1&lt;/R&gt;&lt;C&gt;1&lt;/C&gt;&lt;D xsi:type="xsd:double"&gt;-2.5756621&lt;/D&gt;&lt;/FQL&gt;&lt;FQL&gt;&lt;Q&gt;CRWV^FE_ESTIMATE(EAG,MEAN,QUARTERLY_ROLL,2025/4F,45974,,,'')&lt;/Q&gt;&lt;R&gt;1&lt;/R&gt;&lt;C&gt;1&lt;/C&gt;&lt;D xsi:type="xsd:double"&gt;-0.6619104&lt;/D&gt;&lt;/FQL&gt;&lt;FQL&gt;&lt;Q&gt;CRWV^FE_ESTIMATE(EAG,MEAN,QUARTERLY_ROLL,2025/3F,45974,,,'')&lt;/Q&gt;&lt;R&gt;1&lt;/R&gt;&lt;C&gt;1&lt;/C&gt;&lt;D xsi:type="xsd:double"&gt;-0.22&lt;/D&gt;&lt;/FQL&gt;&lt;FQL&gt;&lt;Q&gt;CRWV^FE_ESTIMATE(EAG,MEAN,QUARTERLY_ROLL,2025/2F,45974,,,'')&lt;/Q&gt;&lt;R&gt;1&lt;/R&gt;&lt;C&gt;1&lt;/C&gt;&lt;D xsi:type="xsd:double"&gt;-0.6&lt;/D&gt;&lt;/FQL&gt;&lt;FQL&gt;&lt;Q&gt;CRWV^FE_ESTIMATE(EAG,MEAN,QUARTERLY_ROLL,2025/1F,45974,,,'')&lt;/Q&gt;&lt;R&gt;1&lt;/R&gt;&lt;C&gt;1&lt;/C&gt;&lt;D xsi:type="xsd:double"&gt;-1.49&lt;/D&gt;&lt;/FQL&gt;&lt;FQL&gt;&lt;Q&gt;CRWV^FE_ESTIMATE(EAG,MEAN,ANNUAL_ROLL,2024,45974,,,'')&lt;/Q&gt;&lt;R&gt;1&lt;/R&gt;&lt;C&gt;1&lt;/C&gt;&lt;D xsi:type="xsd:double"&gt;-2.8925&lt;/D&gt;&lt;/FQL&gt;&lt;FQL&gt;&lt;Q&gt;CRWV^FE_ESTIMATE(EAG,MEAN,QUARTERLY_ROLL,2024/4F,45974,,,'')&lt;/Q&gt;&lt;R&gt;1&lt;/R&gt;&lt;C&gt;1&lt;/C&gt;&lt;D xsi:type="xsd:double"&gt;-0.21&lt;/D&gt;&lt;/FQL&gt;&lt;FQL&gt;&lt;Q&gt;CRWV^FE_ESTIMATE(EAG,MEAN,QUARTERLY_ROLL,2024/3F,45974,,,'')&lt;/Q&gt;&lt;R&gt;0&lt;/R&gt;&lt;C&gt;0&lt;/C&gt;&lt;/FQL&gt;&lt;FQL&gt;&lt;Q&gt;CRWV^FE_ESTIMATE(EAG,MEAN,QUARTERLY_ROLL,2024/2F,45974,,,'')&lt;/Q&gt;&lt;R&gt;0&lt;/R&gt;&lt;C&gt;0&lt;/C&gt;&lt;/FQL&gt;&lt;FQL&gt;&lt;Q&gt;CRWV^FE_ESTIMATE(EAG,MEAN,QUARTERLY_ROLL,2024/1F,45974,,,'')&lt;/Q&gt;&lt;R&gt;0&lt;/R&gt;&lt;C&gt;0&lt;/C&gt;&lt;/FQL&gt;&lt;FQL&gt;&lt;Q&gt;CRWV^FE_ESTIMATE(EAG,MEAN,ANNUAL_ROLL,2023,45974,,,'')&lt;/Q&gt;&lt;R&gt;0&lt;/R&gt;&lt;C&gt;0&lt;/C&gt;&lt;/FQL&gt;&lt;FQL&gt;&lt;Q&gt;CRWV^FE_ESTIMATE(EAG,MEAN,QUARTERLY_ROLL,2023/4F,45974,,,'')&lt;/Q&gt;&lt;R&gt;0&lt;/R&gt;&lt;C&gt;0&lt;/C&gt;&lt;/FQL&gt;&lt;FQL&gt;&lt;Q&gt;CRWV^FE_ESTIMATE(EAG,MEAN,QUARTERLY_ROLL,2023/3F,45974,,,'')&lt;/Q&gt;&lt;R&gt;0&lt;/R&gt;&lt;C&gt;0&lt;/C&gt;&lt;/FQL&gt;&lt;FQL&gt;&lt;Q&gt;CRWV^FE_ESTIMATE(EAG,MEAN,QUARTERLY_ROLL,2023/2F,45974,,,'')&lt;/Q&gt;&lt;R&gt;0&lt;/R&gt;&lt;C&gt;0&lt;/C&gt;&lt;/FQL&gt;&lt;FQL&gt;&lt;Q&gt;CRWV^FE_ESTIMATE(EAG,MEAN,QUARTERLY_ROLL,2023/1F,45974,,,'')&lt;/Q&gt;&lt;R&gt;0&lt;/R&gt;&lt;C&gt;0&lt;/C&gt;&lt;/FQL&gt;&lt;FQL&gt;&lt;Q&gt;CRWV^FE_ESTIMATE(EAG,MEAN,ANNUAL_ROLL,2022,45974,,,'')&lt;/Q&gt;&lt;R&gt;0&lt;/R&gt;&lt;C&gt;0&lt;/C&gt;&lt;/FQL&gt;&lt;FQL&gt;&lt;Q&gt;CRWV^FE_ESTIMATE(EAG,MEAN,QUARTERLY_ROLL,2022/4F,45974,,,'')&lt;/Q&gt;&lt;R&gt;0&lt;/R&gt;&lt;C&gt;0&lt;/C&gt;&lt;/FQL&gt;&lt;FQL&gt;&lt;Q&gt;CRWV^FE_ESTIMATE(EAG,MEAN,QUARTERLY_ROLL,2022/3F,45974,,,'')&lt;/Q&gt;&lt;R&gt;0&lt;/R&gt;&lt;C&gt;0&lt;/C&gt;&lt;/FQL&gt;&lt;FQL&gt;&lt;Q&gt;CRWV^FE_ESTIMATE(EAG,MEAN,QUARTERLY_ROLL,2022/2F,45974,,,'')&lt;/Q&gt;&lt;R&gt;0&lt;/R&gt;&lt;C&gt;0&lt;/C&gt;&lt;/FQL&gt;&lt;FQL&gt;&lt;Q&gt;CRWV^FE_ESTIMATE(EAG,MEAN,QUARTERLY_ROLL,2022/1F,45974,,,'')&lt;/Q&gt;&lt;R&gt;0&lt;/R&gt;&lt;C&gt;0&lt;/C&gt;&lt;/FQL&gt;&lt;FQL&gt;&lt;Q&gt;CRWV^FE_ESTIMATE(EBIT,MEAN,ANNUAL_ROLL,2029,45974,,,'')&lt;/Q&gt;&lt;R&gt;1&lt;/R&gt;&lt;C&gt;1&lt;/C&gt;&lt;D xsi:type="xsd:double"&gt;8592.767&lt;/D&gt;&lt;/FQL&gt;&lt;FQL&gt;&lt;Q&gt;CRWV^FE_ESTIMATE(EBIT,MEAN,QUARTERLY_ROLL,2029/4F,45974,,,'')&lt;/Q&gt;&lt;R&gt;0&lt;/R&gt;&lt;C&gt;0&lt;/C&gt;&lt;/FQL&gt;&lt;FQL&gt;&lt;Q&gt;CRWV^FE_ESTIMATE(EBIT,MEAN,QUARTERLY_ROLL,2029/3F,45974,,,'')&lt;/Q&gt;&lt;R&gt;0&lt;/R&gt;&lt;C&gt;0&lt;/C&gt;&lt;/FQL&gt;&lt;FQL&gt;&lt;Q&gt;CRWV^FE_ESTIMATE(EBIT,MEAN,QUARTERLY_ROLL,2029/2F,45974,,,'')&lt;/Q&gt;&lt;R&gt;0&lt;/R&gt;&lt;C&gt;0&lt;/C&gt;&lt;/FQL&gt;&lt;FQL&gt;&lt;Q&gt;CRWV^FE_ESTIMATE(EBIT,MEAN,QUARTERLY_ROLL,2029/1F,45974,,,'')&lt;/Q&gt;&lt;R&gt;0&lt;/R&gt;&lt;C&gt;0&lt;/C&gt;&lt;/FQL&gt;&lt;FQL&gt;&lt;Q&gt;CRWV^FE_ESTIMATE(EBIT,MEAN,ANNUAL_ROLL,2028,45974,,,'')&lt;/Q&gt;&lt;R&gt;1&lt;/R&gt;&lt;C&gt;1&lt;/C&gt;&lt;D xsi:type="xsd:double"&gt;7008.8545&lt;/D&gt;&lt;/FQL&gt;&lt;FQL&gt;&lt;Q&gt;CRWV^FE_ESTIMATE(EBIT,MEAN,QUARTERLY_ROLL,2028/4F,45974,,,'')&lt;/Q&gt;&lt;R&gt;0&lt;/R&gt;&lt;C&gt;0&lt;/C&gt;&lt;/FQL&gt;&lt;FQL&gt;&lt;Q&gt;CRWV^FE_ESTIMATE(EBIT,MEAN,QUARTERLY_ROLL,2028/3F,45974,,,'')&lt;/Q&gt;&lt;R&gt;0&lt;/R&gt;&lt;C&gt;0&lt;/C&gt;&lt;/FQL&gt;&lt;FQL&gt;&lt;Q&gt;CRWV^FE_ESTIMATE(EBIT,MEAN,QUARTERLY_ROLL,2028/2F,45974,,,'')&lt;/Q&gt;&lt;R&gt;0&lt;/R&gt;&lt;C&gt;0&lt;/C&gt;&lt;/FQL&gt;&lt;FQL&gt;&lt;Q&gt;CRWV^FE_ESTIMATE(EBIT,MEAN,QUARTERLY_ROLL,2028/1F,45974,,,'')&lt;/Q&gt;&lt;R&gt;0&lt;/R&gt;&lt;C&gt;0&lt;/C&gt;&lt;/FQL&gt;&lt;FQL&gt;&lt;Q&gt;CRWV^FE_ESTIMATE(EBIT,MEAN,ANNUAL_ROLL,2027,45974,,,'')&lt;/Q&gt;&lt;R&gt;1&lt;/R&gt;&lt;C&gt;1&lt;/C&gt;&lt;D xsi:type="xsd:double"&gt;4680.1553&lt;/D&gt;&lt;/FQL&gt;&lt;FQL&gt;&lt;Q&gt;CRWV^FE_ESTIMATE(EBIT,MEAN,QUARTERLY_ROLL,2027/4F,45974,,,'')&lt;/Q&gt;&lt;R&gt;1&lt;/R&gt;&lt;C&gt;1&lt;/C&gt;&lt;D xsi:type="xsd:double"&gt;1229.6223&lt;/D&gt;&lt;/FQL&gt;&lt;FQL&gt;&lt;Q&gt;CRWV^FE_ESTIMATE(EBIT,MEAN,QUARTERLY_ROLL,2027/3F,45974,,,'')&lt;/Q&gt;&lt;R&gt;1&lt;/R&gt;&lt;C&gt;1&lt;/C&gt;&lt;D xsi:type="xsd:double"&gt;1134.3446&lt;/D&gt;&lt;/FQL&gt;&lt;FQL&gt;&lt;Q&gt;CRWV^FE_ESTIMATE(EBIT,MEAN,QUARTERLY_ROLL,2027/2F,45974,,,'')&lt;/Q&gt;&lt;R&gt;1&lt;/R&gt;&lt;C&gt;1&lt;/C&gt;&lt;D xsi:type="xsd:double"&gt;1004.0277&lt;/D&gt;&lt;/FQL&gt;&lt;FQL&gt;&lt;Q&gt;CRWV^FE_ESTIMATE(EBIT,MEAN,QUARTERLY_ROLL,2027/1F,45974,,,'')&lt;/Q&gt;&lt;R&gt;1&lt;/R&gt;&lt;C&gt;1&lt;/C&gt;&lt;D xsi:type="xsd:double"&gt;912.4963&lt;/D&gt;&lt;/FQL&gt;&lt;FQL&gt;&lt;Q&gt;CRWV^FE_ESTIMATE(EBIT,MEAN,ANNUAL_ROLL,2026,45974,,,'')&lt;/Q&gt;&lt;R&gt;1&lt;/R&gt;&lt;C&gt;1&lt;/C&gt;&lt;D xsi:type="xsd:double"&gt;2542.5093&lt;/D&gt;&lt;/FQL&gt;&lt;FQL&gt;&lt;Q&gt;CRWV^FE_ESTIMATE(EBIT,MEAN,QUARTERLY_ROLL,2026/4F,45974,,,'')&lt;/Q&gt;&lt;R&gt;1&lt;/R&gt;&lt;C&gt;1&lt;/C&gt;&lt;D xsi:type="xsd:double"&gt;805.882&lt;/D&gt;&lt;/FQL&gt;&lt;FQL&gt;&lt;Q&gt;CRWV^FE_ESTIMATE(EBIT,MEAN,QUARTERLY_ROLL,2026/3F,45974,,,'')&lt;/Q&gt;&lt;R&gt;1&lt;/R&gt;&lt;C&gt;1&lt;/C&gt;&lt;D xsi:type="xsd:double"&gt;682.20245&lt;/D&gt;&lt;/FQL&gt;&lt;FQL&gt;&lt;Q&gt;CRWV^FE_ESTIMATE(EBIT,MEAN,QUARTERLY_ROLL,2026/2F,45974,,,'')&lt;/Q&gt;&lt;R&gt;1&lt;/R&gt;&lt;C&gt;1&lt;/C&gt;&lt;D xsi:type="xsd:double"&gt;584.20605&lt;/D&gt;&lt;/FQL&gt;&lt;FQL&gt;&lt;Q&gt;CRWV^FE_ESTIMATE(EBIT,MEAN,QUARTERLY_ROLL,2026/1F,45974,,,'')&lt;/Q&gt;&lt;R&gt;1&lt;/R&gt;&lt;C&gt;1&lt;/C&gt;&lt;D xsi:type="xsd:double"&gt;428.9511&lt;/D&gt;&lt;/FQL&gt;&lt;FQL&gt;&lt;Q&gt;CRWV^FE_ESTIMATE(EBIT,MEAN,ANNUAL_ROLL,2025,45974,,,'')&lt;/Q&gt;&lt;R&gt;1&lt;/R&gt;&lt;C&gt;1&lt;/C&gt;&lt;D xsi:type="xsd:double"&gt;734.5599&lt;/D&gt;&lt;/FQL&gt;&lt;FQL&gt;&lt;Q&gt;CRWV^FE_ESTIMATE(EBIT,MEAN,QUARTERLY_ROLL,2025/4F,45974,,,'')&lt;/Q&gt;&lt;R&gt;1&lt;/R&gt;&lt;C&gt;1&lt;/C&gt;&lt;D xsi:type="xsd:double"&gt;170.70494&lt;/D&gt;&lt;/FQL&gt;&lt;FQL&gt;&lt;Q&gt;CRWV^FE_ESTIMATE(EBIT,MEAN,QUARTERLY_ROLL,2025/3F,45974,,,'')&lt;/Q&gt;&lt;R&gt;1&lt;/R&gt;&lt;C&gt;1&lt;/C&gt;&lt;D xsi:type="xsd:double"&gt;217.154&lt;/D&gt;&lt;/FQL&gt;&lt;FQL&gt;&lt;Q&gt;CRWV^FE_ESTIMATE(EBIT,MEAN,QUARTERLY_ROLL,2025/2F,45974,,,'')&lt;/Q&gt;&lt;R&gt;1&lt;/R&gt;&lt;C&gt;1&lt;/C&gt;&lt;D xsi:type="xsd:double"&gt;199.788&lt;/D&gt;&lt;/FQL&gt;&lt;FQL&gt;&lt;Q&gt;CRWV^FE_ESTIMATE(EBIT,MEAN,QUARTERLY_ROLL,2025/1F,45974,,,'')&lt;/Q&gt;&lt;R&gt;1&lt;/R&gt;&lt;C&gt;1&lt;/C&gt;&lt;D xsi:type="xsd:double"&gt;163&lt;/D&gt;&lt;/FQL&gt;&lt;FQL&gt;&lt;Q&gt;CRWV^FE_ESTIMATE(EBIT,MEAN,ANNUAL_ROLL,2024,45974,,,'')&lt;/Q&gt;&lt;R&gt;1&lt;/R&gt;&lt;C&gt;1&lt;/C&gt;&lt;D xsi:type="xsd:double"&gt;355.90543&lt;/D&gt;&lt;/FQL&gt;&lt;FQL&gt;&lt;Q&gt;CRWV^FE_ESTIMATE(EBIT,MEAN,QUARTERLY_ROLL,2024/4F,45974,,,'')&lt;/Q&gt;&lt;R&gt;1&lt;/R&gt;&lt;C&gt;1&lt;/C&gt;&lt;D xsi:type="xsd:double"&gt;119.87622&lt;/D&gt;&lt;/FQL&gt;&lt;FQL&gt;&lt;Q&gt;CRWV^FE_ESTIMATE(EBIT,MEAN,QUARTERLY_ROLL,2024/3F,45974,,,'')&lt;/Q&gt;&lt;R&gt;0&lt;/R&gt;&lt;C&gt;0&lt;/C&gt;&lt;/FQL&gt;&lt;FQL&gt;&lt;Q&gt;CRWV^FE_ESTIMATE(EBIT,MEAN,QUARTERLY_ROLL,2024/2F,45974,,,'')&lt;/Q&gt;&lt;R&gt;0&lt;/R&gt;&lt;C&gt;0&lt;/C&gt;&lt;/FQL&gt;&lt;FQL&gt;&lt;Q&gt;CRWV^FE_ESTIMATE(EBIT,MEAN,QUARTERLY_ROLL,2024/1F,45974,,,'')&lt;/Q&gt;&lt;R&gt;0&lt;/R&gt;&lt;C&gt;0&lt;/C&gt;&lt;/FQL&gt;&lt;FQL&gt;&lt;Q&gt;CRWV^FE_ESTIMATE(EBIT,MEAN,ANNUAL_ROLL,2023,45974,,,'')&lt;/Q&gt;&lt;R&gt;0&lt;/R&gt;&lt;C&gt;0&lt;/C&gt;&lt;/FQL&gt;&lt;FQL&gt;&lt;Q&gt;CRWV^FE_ESTIMATE(EBIT,MEAN,QUARTERLY_ROLL,2023/4F,45974,,,'')&lt;/Q&gt;&lt;R&gt;0&lt;/R&gt;&lt;C&gt;0&lt;/C&gt;&lt;/FQL&gt;&lt;FQL&gt;&lt;Q&gt;CRWV^FE_ESTIMATE(EBIT,MEAN,QUARTERLY_ROLL,2023/3F,45974,,,'')&lt;/Q&gt;&lt;R&gt;0&lt;/R&gt;&lt;C&gt;0&lt;/C&gt;&lt;/FQL&gt;&lt;FQL&gt;&lt;Q&gt;CRWV^FE_ESTIMATE(EBIT,MEAN,QUARTERLY_ROLL,2023/2F,45974,,,'')&lt;/Q&gt;&lt;R&gt;0&lt;/R&gt;&lt;C&gt;0&lt;/C&gt;&lt;/FQL&gt;&lt;FQL&gt;&lt;Q&gt;CRWV^FE_ESTIMATE(EBIT,MEAN,QUARTERLY_ROLL,2023/1F,45974,,,'')&lt;/Q&gt;&lt;R&gt;0&lt;/R&gt;&lt;C&gt;0&lt;/C&gt;&lt;/FQL&gt;&lt;FQL&gt;&lt;Q&gt;CRWV^FE_ESTIMATE(EBIT,MEAN,ANNUAL_ROLL,2022,45974,,,'')&lt;/Q&gt;&lt;R&gt;0&lt;/R&gt;&lt;C&gt;0&lt;/C&gt;&lt;/FQL&gt;&lt;FQL&gt;&lt;Q&gt;CRWV^FE_ESTIMATE(EBIT,MEAN,QUARTERLY_ROLL,2022/4F,45974,,,'')&lt;/Q&gt;&lt;R&gt;0&lt;/R&gt;&lt;C&gt;0&lt;/C&gt;&lt;/FQL&gt;&lt;FQL&gt;&lt;Q&gt;CRWV^FE_ESTIMATE(EBIT,MEAN,QUARTERLY_ROLL,2022/3F,45974,,,'')&lt;/Q&gt;&lt;R&gt;0&lt;/R&gt;&lt;C&gt;0&lt;/C&gt;&lt;/FQL&gt;&lt;FQL&gt;&lt;Q&gt;CRWV^FE_ESTIMATE(EBIT,MEAN,QUARTERLY_ROLL,2022/2F,45974,,,'')&lt;/Q&gt;&lt;R&gt;0&lt;/R&gt;&lt;C&gt;0&lt;/C&gt;&lt;/FQL&gt;&lt;FQL&gt;&lt;Q&gt;CRWV^FE_ESTIMATE(EBIT,MEAN,QUARTERLY_ROLL,2022/1F,45974,,,'')&lt;/Q&gt;&lt;R&gt;0&lt;/R&gt;&lt;C&gt;0&lt;/C&gt;&lt;/FQL&gt;&lt;FQL&gt;&lt;Q&gt;CRWV^FE_ESTIMATE(GROSSINCOME,MEAN,ANNUAL_ROLL,2029,45974,,,'')&lt;/Q&gt;&lt;R&gt;0&lt;/R&gt;&lt;C&gt;0&lt;/C&gt;&lt;/FQL&gt;&lt;FQL&gt;&lt;Q&gt;CRWV^FE_ESTIMATE(GROSSINCOME,MEAN,QUARTERLY_ROLL,2029/4F,45974,,,'')&lt;/Q&gt;&lt;R&gt;0&lt;/R&gt;&lt;C&gt;0&lt;/C&gt;&lt;/FQL&gt;&lt;FQL&gt;&lt;Q&gt;CRWV^FE_ESTIMATE(GROSSINCOME,MEAN,QUARTERLY_ROLL,2029/3F,45974,,,'')&lt;/Q&gt;&lt;R&gt;0&lt;/R&gt;&lt;C&gt;0&lt;/C&gt;&lt;/FQL&gt;&lt;FQL&gt;&lt;Q&gt;CRWV^FE_ESTIMATE(GROSSINCOME,MEAN,QUARTERLY_ROLL,2029/2F,45974,,,'')&lt;/Q&gt;&lt;R&gt;0&lt;/R&gt;&lt;C&gt;0&lt;/C&gt;&lt;/FQL&gt;&lt;FQL&gt;&lt;Q&gt;CRWV^FE_ESTIMATE(GROSSINCOME,MEAN,QUARTERLY_ROLL,2029/1F,45974,,,'')&lt;/Q&gt;&lt;R&gt;0&lt;/R&gt;&lt;C&gt;0&lt;/C&gt;&lt;/FQL&gt;&lt;FQL&gt;&lt;Q&gt;CRWV^FE_ESTIMATE(GROSSINCOME,MEAN,ANNUAL_ROLL,2028,45974,,,'')&lt;/Q&gt;&lt;R&gt;1&lt;/R&gt;&lt;C&gt;1&lt;/C&gt;&lt;D xsi:type="xsd:double"&gt;21494&lt;/D&gt;&lt;/FQL&gt;&lt;FQL&gt;&lt;Q&gt;CRWV^FE_ESTIMATE(GROSSINCOME,MEAN,QUARTERLY_ROLL,2028/4F,45974,,,'')&lt;/Q&gt;&lt;R&gt;0&lt;/R&gt;&lt;C&gt;0&lt;/C&gt;&lt;/FQL&gt;&lt;FQL&gt;&lt;Q&gt;CRWV^FE_ESTIMATE(GROSSINCOME,MEAN,QUARTERLY_ROLL,2028/3F,45974,,,'')&lt;/Q&gt;&lt;R&gt;0&lt;/R&gt;&lt;C&gt;0&lt;/C&gt;&lt;/FQL&gt;&lt;FQL&gt;&lt;Q&gt;CRWV^FE_ESTIMATE(GROSSINCOME,MEAN,QUARTERLY_ROLL,2028/2F,45974,,,'')&lt;/Q&gt;&lt;R&gt;0&lt;/R&gt;&lt;C&gt;0&lt;/C&gt;&lt;/FQL&gt;&lt;FQL&gt;&lt;Q&gt;CRWV^FE_ESTIMATE(GROSSINCOME,MEAN,QUARTERLY_ROLL,2028/1F,45974,,,'')&lt;/Q&gt;&lt;R&gt;0&lt;/R&gt;&lt;C&gt;0&lt;/C&gt;&lt;/FQL&gt;&lt;FQL&gt;&lt;Q&gt;CRWV^FE_ESTIMATE(GROSSINCOME,MEAN,ANNUAL_ROLL,2027,45974,,,'')&lt;/Q&gt;&lt;R&gt;1&lt;/R&gt;&lt;C&gt;1&lt;/C&gt;&lt;D xsi:type="xsd:double"&gt;14656.194&lt;/D&gt;&lt;/FQL&gt;&lt;FQL&gt;&lt;Q&gt;CRWV^FE_ESTIMATE(GROSSINCOME,MEAN,QUARTERLY_ROLL,2027/4F,45974,,,'')&lt;/Q&gt;&lt;R&gt;1&lt;/R&gt;&lt;C&gt;1&lt;/C&gt;&lt;D xsi:type="xsd:double"&gt;3733.4353&lt;/D&gt;&lt;/FQL&gt;&lt;FQL&gt;&lt;Q&gt;CRWV^FE_ESTIMATE(GROSSINCOME,MEAN,QUARTERLY_ROLL,2027/3F,45974,,,'')&lt;/Q&gt;&lt;R&gt;1&lt;/R&gt;&lt;C&gt;1&lt;/C&gt;&lt;D xsi:type="xsd:double"&gt;3494.227&lt;/D&gt;&lt;/FQL&gt;&lt;FQL&gt;&lt;Q&gt;CRWV^FE_ESTIMATE(GROSSINCOME,MEAN,QUARTERLY_ROLL,2027/2F,45974,,,'')&lt;/Q&gt;&lt;R&gt;1&lt;/R&gt;&lt;C&gt;1&lt;/C&gt;&lt;D xsi:type="xsd:double"&gt;3226.4355&lt;</t>
        </r>
      </text>
    </comment>
    <comment ref="A19" authorId="0" shapeId="0" xr:uid="{0CED95C1-1200-4A13-BCDB-C5CEA9B1F039}">
      <text>
        <r>
          <rPr>
            <b/>
            <sz val="9"/>
            <color indexed="81"/>
            <rFont val="Tahoma"/>
            <charset val="1"/>
          </rPr>
          <t>/D&gt;&lt;/FQL&gt;&lt;FQL&gt;&lt;Q&gt;CRWV^FE_ESTIMATE(GROSSINCOME,MEAN,QUARTERLY_ROLL,2027/1F,45974,,,'')&lt;/Q&gt;&lt;R&gt;1&lt;/R&gt;&lt;C&gt;1&lt;/C&gt;&lt;D xsi:type="xsd:double"&gt;2970.1516&lt;/D&gt;&lt;/FQL&gt;&lt;FQL&gt;&lt;Q&gt;CRWV^FE_ESTIMATE(GROSSINCOME,MEAN,ANNUAL_ROLL,2026,45974,,,'')&lt;/Q&gt;&lt;R&gt;1&lt;/R&gt;&lt;C&gt;1&lt;/C&gt;&lt;D xsi:type="xsd:double"&gt;8833.234&lt;/D&gt;&lt;/FQL&gt;&lt;FQL&gt;&lt;Q&gt;CRWV^FE_ESTIMATE(GROSSINCOME,MEAN,QUARTERLY_ROLL,2026/4F,45974,,,'')&lt;/Q&gt;&lt;R&gt;1&lt;/R&gt;&lt;C&gt;1&lt;/C&gt;&lt;D xsi:type="xsd:double"&gt;2754.4417&lt;/D&gt;&lt;/FQL&gt;&lt;FQL&gt;&lt;Q&gt;CRWV^FE_ESTIMATE(GROSSINCOME,MEAN,QUARTERLY_ROLL,2026/3F,45974,,,'')&lt;/Q&gt;&lt;R&gt;1&lt;/R&gt;&lt;C&gt;1&lt;/C&gt;&lt;D xsi:type="xsd:double"&gt;2434.3398&lt;/D&gt;&lt;/FQL&gt;&lt;FQL&gt;&lt;Q&gt;CRWV^FE_ESTIMATE(GROSSINCOME,MEAN,QUARTERLY_ROLL,2026/2F,45974,,,'')&lt;/Q&gt;&lt;R&gt;1&lt;/R&gt;&lt;C&gt;1&lt;/C&gt;&lt;D xsi:type="xsd:double"&gt;2096.1648&lt;/D&gt;&lt;/FQL&gt;&lt;FQL&gt;&lt;Q&gt;CRWV^FE_ESTIMATE(GROSSINCOME,MEAN,QUARTERLY_ROLL,2026/1F,45974,,,'')&lt;/Q&gt;&lt;R&gt;1&lt;/R&gt;&lt;C&gt;1&lt;/C&gt;&lt;D xsi:type="xsd:double"&gt;1713.752&lt;/D&gt;&lt;/FQL&gt;&lt;FQL&gt;&lt;Q&gt;CRWV^FE_ESTIMATE(GROSSINCOME,MEAN,ANNUAL_ROLL,2025,45974,,,'')&lt;/Q&gt;&lt;R&gt;1&lt;/R&gt;&lt;C&gt;1&lt;/C&gt;&lt;D xsi:type="xsd:double"&gt;3752.1953&lt;/D&gt;&lt;/FQL&gt;&lt;FQL&gt;&lt;Q&gt;CRWV^FE_ESTIMATE(GROSSINCOME,MEAN,QUARTERLY_ROLL,2025/4F,45974,,,'')&lt;/Q&gt;&lt;R&gt;1&lt;/R&gt;&lt;C&gt;1&lt;/C&gt;&lt;D xsi:type="xsd:double"&gt;1137.0884&lt;/D&gt;&lt;/FQL&gt;&lt;FQL&gt;&lt;Q&gt;CRWV^FE_ESTIMATE(GROSSINCOME,MEAN,QUARTERLY_ROLL,2025/3F,45974,,,'')&lt;/Q&gt;&lt;R&gt;1&lt;/R&gt;&lt;C&gt;1&lt;/C&gt;&lt;D xsi:type="xsd:double"&gt;998.3541&lt;/D&gt;&lt;/FQL&gt;&lt;FQL&gt;&lt;Q&gt;CRWV^FE_ESTIMATE(GROSSINCOME,MEAN,QUARTERLY_ROLL,2025/2F,45974,,,'')&lt;/Q&gt;&lt;R&gt;1&lt;/R&gt;&lt;C&gt;1&lt;/C&gt;&lt;D xsi:type="xsd:double"&gt;903.4044&lt;/D&gt;&lt;/FQL&gt;&lt;FQL&gt;&lt;Q&gt;CRWV^FE_ESTIMATE(GROSSINCOME,MEAN,QUARTERLY_ROLL,2025/1F,45974,,,'')&lt;/Q&gt;&lt;R&gt;1&lt;/R&gt;&lt;C&gt;1&lt;/C&gt;&lt;D xsi:type="xsd:double"&gt;726.7069&lt;/D&gt;&lt;/FQL&gt;&lt;FQL&gt;&lt;Q&gt;CRWV^FE_ESTIMATE(GROSSINCOME,MEAN,ANNUAL_ROLL,2024,45974,,,'')&lt;/Q&gt;&lt;R&gt;1&lt;/R&gt;&lt;C&gt;1&lt;/C&gt;&lt;D xsi:type="xsd:double"&gt;1422.8593&lt;/D&gt;&lt;/FQL&gt;&lt;FQL&gt;&lt;Q&gt;CRWV^FE_ESTIMATE(GROSSINCOME,MEAN,QUARTERLY_ROLL,2024/4F,45974,,,'')&lt;/Q&gt;&lt;R&gt;1&lt;/R&gt;&lt;C&gt;1&lt;/C&gt;&lt;D xsi:type="xsd:double"&gt;565.6203&lt;/D&gt;&lt;/FQL&gt;&lt;FQL&gt;&lt;Q&gt;CRWV^FE_ESTIMATE(GROSSINCOME,MEAN,QUARTERLY_ROLL,2024/3F,45974,,,'')&lt;/Q&gt;&lt;R&gt;0&lt;/R&gt;&lt;C&gt;0&lt;/C&gt;&lt;/FQL&gt;&lt;FQL&gt;&lt;Q&gt;CRWV^FE_ESTIMATE(GROSSINCOME,MEAN,QUARTERLY_ROLL,2024/2F,45974,,,'')&lt;/Q&gt;&lt;R&gt;0&lt;/R&gt;&lt;C&gt;0&lt;/C&gt;&lt;/FQL&gt;&lt;FQL&gt;&lt;Q&gt;CRWV^FE_ESTIMATE(GROSSINCOME,MEAN,QUARTERLY_ROLL,2024/1F,45974,,,'')&lt;/Q&gt;&lt;R&gt;0&lt;/R&gt;&lt;C&gt;0&lt;/C&gt;&lt;/FQL&gt;&lt;FQL&gt;&lt;Q&gt;CRWV^FE_ESTIMATE(GROSSINCOME,MEAN,ANNUAL_ROLL,2023,45974,,,'')&lt;/Q&gt;&lt;R&gt;0&lt;/R&gt;&lt;C&gt;0&lt;/C&gt;&lt;/FQL&gt;&lt;FQL&gt;&lt;Q&gt;CRWV^FE_ESTIMATE(GROSSINCOME,MEAN,QUARTERLY_ROLL,2023/4F,45974,,,'')&lt;/Q&gt;&lt;R&gt;0&lt;/R&gt;&lt;C&gt;0&lt;/C&gt;&lt;/FQL&gt;&lt;FQL&gt;&lt;Q&gt;CRWV^FE_ESTIMATE(GROSSINCOME,MEAN,QUARTERLY_ROLL,2023/3F,45974,,,'')&lt;/Q&gt;&lt;R&gt;0&lt;/R&gt;&lt;C&gt;0&lt;/C&gt;&lt;/FQL&gt;&lt;FQL&gt;&lt;Q&gt;CRWV^FE_ESTIMATE(GROSSINCOME,MEAN,QUARTERLY_ROLL,2023/2F,45974,,,'')&lt;/Q&gt;&lt;R&gt;0&lt;/R&gt;&lt;C&gt;0&lt;/C&gt;&lt;/FQL&gt;&lt;FQL&gt;&lt;Q&gt;CRWV^FE_ESTIMATE(GROSSINCOME,MEAN,QUARTERLY_ROLL,2023/1F,45974,,,'')&lt;/Q&gt;&lt;R&gt;0&lt;/R&gt;&lt;C&gt;0&lt;/C&gt;&lt;/FQL&gt;&lt;FQL&gt;&lt;Q&gt;CRWV^FE_ESTIMATE(GROSSINCOME,MEAN,ANNUAL_ROLL,2022,45974,,,'')&lt;/Q&gt;&lt;R&gt;0&lt;/R&gt;&lt;C&gt;0&lt;/C&gt;&lt;/FQL&gt;&lt;FQL&gt;&lt;Q&gt;CRWV^FE_ESTIMATE(GROSSINCOME,MEAN,QUARTERLY_ROLL,2022/4F,45974,,,'')&lt;/Q&gt;&lt;R&gt;0&lt;/R&gt;&lt;C&gt;0&lt;/C&gt;&lt;/FQL&gt;&lt;FQL&gt;&lt;Q&gt;CRWV^FE_ESTIMATE(GROSSINCOME,MEAN,QUARTERLY_ROLL,2022/3F,45974,,,'')&lt;/Q&gt;&lt;R&gt;0&lt;/R&gt;&lt;C&gt;0&lt;/C&gt;&lt;/FQL&gt;&lt;FQL&gt;&lt;Q&gt;CRWV^FE_ESTIMATE(GROSSINCOME,MEAN,QUARTERLY_ROLL,2022/2F,45974,,,'')&lt;/Q&gt;&lt;R&gt;0&lt;/R&gt;&lt;C&gt;0&lt;/C&gt;&lt;/FQL&gt;&lt;FQL&gt;&lt;Q&gt;CRWV^FE_ESTIMATE(GROSSINCOME,MEAN,QUARTERLY_ROLL,2022/1F,45974,,,'')&lt;/Q&gt;&lt;R&gt;0&lt;/R&gt;&lt;C&gt;0&lt;/C&gt;&lt;/FQL&gt;&lt;FQL&gt;&lt;Q&gt;CRWV^FE_ESTIMATE(SALES,MEAN,ANNUAL_ROLL,2029,45974,,,'')&lt;/Q&gt;&lt;R&gt;1&lt;/R&gt;&lt;C&gt;1&lt;/C&gt;&lt;D xsi:type="xsd:double"&gt;31999.65&lt;/D&gt;&lt;/FQL&gt;&lt;FQL&gt;&lt;Q&gt;CRWV^FE_ESTIMATE(SALES,MEAN,QUARTERLY_ROLL,2029/4F,45974,,,'')&lt;/Q&gt;&lt;R&gt;0&lt;/R&gt;&lt;C&gt;0&lt;/C&gt;&lt;/FQL&gt;&lt;FQL&gt;&lt;Q&gt;CRWV^FE_ESTIMATE(SALES,MEAN,QUARTERLY_ROLL,2029/3F,45974,,,'')&lt;/Q&gt;&lt;R&gt;0&lt;/R&gt;&lt;C&gt;0&lt;/C&gt;&lt;/FQL&gt;&lt;FQL&gt;&lt;Q&gt;CRWV^FE_ESTIMATE(SALES,MEAN,QUARTERLY_ROLL,2029/2F,45974,,,'')&lt;/Q&gt;&lt;R&gt;0&lt;/R&gt;&lt;C&gt;0&lt;/C&gt;&lt;/FQL&gt;&lt;FQL&gt;&lt;Q&gt;CRWV^FE_ESTIMATE(SALES,MEAN,QUARTERLY_ROLL,2029/1F,45974,,,'')&lt;/Q&gt;&lt;R&gt;0&lt;/R&gt;&lt;C&gt;0&lt;/C&gt;&lt;/FQL&gt;&lt;FQL&gt;&lt;Q&gt;CRWV^FE_ESTIMATE(SALES,MEAN,ANNUAL_ROLL,2028,45974,,,'')&lt;/Q&gt;&lt;R&gt;1&lt;/R&gt;&lt;C&gt;1&lt;/C&gt;&lt;D xsi:type="xsd:double"&gt;27469.156&lt;/D&gt;&lt;/FQL&gt;&lt;FQL&gt;&lt;Q&gt;CRWV^FE_ESTIMATE(SALES,MEAN,QUARTERLY_ROLL,2028/4F,45974,,,'')&lt;/Q&gt;&lt;R&gt;0&lt;/R&gt;&lt;C&gt;0&lt;/C&gt;&lt;/FQL&gt;&lt;FQL&gt;&lt;Q&gt;CRWV^FE_ESTIMATE(SALES,MEAN,QUARTERLY_ROLL,2028/3F,45974,,,'')&lt;/Q&gt;&lt;R&gt;0&lt;/R&gt;&lt;C&gt;0&lt;/C&gt;&lt;/FQL&gt;&lt;FQL&gt;&lt;Q&gt;CRWV^FE_ESTIMATE(SALES,MEAN,QUARTERLY_ROLL,2028/2F,45974,,,'')&lt;/Q&gt;&lt;R&gt;0&lt;/R&gt;&lt;C&gt;0&lt;/C&gt;&lt;/FQL&gt;&lt;FQL&gt;&lt;Q&gt;CRWV^FE_ESTIMATE(SALES,MEAN,QUARTERLY_ROLL,2028/1F,45974,,,'')&lt;/Q&gt;&lt;R&gt;0&lt;/R&gt;&lt;C&gt;0&lt;/C&gt;&lt;/FQL&gt;&lt;FQL&gt;&lt;Q&gt;CRWV^FE_ESTIMATE(SALES,MEAN,ANNUAL_ROLL,2027,45974,,,'')&lt;/Q&gt;&lt;R&gt;1&lt;/R&gt;&lt;C&gt;1&lt;/C&gt;&lt;D xsi:type="xsd:double"&gt;19136.314&lt;/D&gt;&lt;/FQL&gt;&lt;FQL&gt;&lt;Q&gt;CRWV^FE_ESTIMATE(SALES,MEAN,QUARTERLY_ROLL,2027/4F,45974,,,'')&lt;/Q&gt;&lt;R&gt;1&lt;/R&gt;&lt;C&gt;1&lt;/C&gt;&lt;D xsi:type="xsd:double"&gt;5087.9814&lt;/D&gt;&lt;/FQL&gt;&lt;FQL&gt;&lt;Q&gt;CRWV^FE_ESTIMATE(SALES,MEAN,QUARTERLY_ROLL,2027/3F,45974,,,'')&lt;/Q&gt;&lt;R&gt;1&lt;/R&gt;&lt;C&gt;1&lt;/C&gt;&lt;D xsi:type="xsd:double"&gt;4705.0327&lt;/D&gt;&lt;/FQL&gt;&lt;FQL&gt;&lt;Q&gt;CRWV^FE_ESTIMATE(SALES,MEAN,QUARTERLY_ROLL,2027/2F,45974,,,'')&lt;/Q&gt;&lt;R&gt;1&lt;/R&gt;&lt;C&gt;1&lt;/C&gt;&lt;D xsi:type="xsd:double"&gt;4327.559&lt;/D&gt;&lt;/FQL&gt;&lt;FQL&gt;&lt;Q&gt;CRWV^FE_ESTIMATE(SALES,MEAN,QUARTERLY_ROLL,2027/1F,45974,,,'')&lt;/Q&gt;&lt;R&gt;1&lt;/R&gt;&lt;C&gt;1&lt;/C&gt;&lt;D xsi:type="xsd:double"&gt;3947.7036&lt;/D&gt;&lt;/FQL&gt;&lt;FQL&gt;&lt;Q&gt;CRWV^FE_ESTIMATE(SALES,MEAN,ANNUAL_ROLL,2026,45974,,,'')&lt;/Q&gt;&lt;R&gt;1&lt;/R&gt;&lt;C&gt;1&lt;/C&gt;&lt;D xsi:type="xsd:double"&gt;12172.924&lt;/D&gt;&lt;/FQL&gt;&lt;FQL&gt;&lt;Q&gt;CRWV^FE_ESTIMATE(SALES,MEAN,QUARTERLY_ROLL,2026/4F,45974,,,'')&lt;/Q&gt;&lt;R&gt;1&lt;/R&gt;&lt;C&gt;1&lt;/C&gt;&lt;D xsi:type="xsd:double"&gt;3593.894&lt;/D&gt;&lt;/FQL&gt;&lt;FQL&gt;&lt;Q&gt;CRWV^FE_ESTIMATE(SALES,MEAN,QUARTERLY_ROLL,2026/3F,45974,,,'')&lt;/Q&gt;&lt;R&gt;1&lt;/R&gt;&lt;C&gt;1&lt;/C&gt;&lt;D xsi:type="xsd:double"&gt;3157.6028&lt;/D&gt;&lt;/FQL&gt;&lt;FQL&gt;&lt;Q&gt;CRWV^FE_ESTIMATE(SALES,MEAN,QUARTERLY_ROLL,2026/2F,45974,,,'')&lt;/Q&gt;&lt;R&gt;1&lt;/R&gt;&lt;C&gt;1&lt;/C&gt;&lt;D xsi:type="xsd:double"&gt;2844.256&lt;/D&gt;&lt;/FQL&gt;&lt;FQL&gt;&lt;Q&gt;CRWV^FE_ESTIMATE(SALES,MEAN,QUARTERLY_ROLL,2026/1F,45974,,,'')&lt;/Q&gt;&lt;R&gt;1&lt;/R&gt;&lt;C&gt;1&lt;/C&gt;&lt;D xsi:type="xsd:double"&gt;2356.6157&lt;/D&gt;&lt;/FQL&gt;&lt;FQL&gt;&lt;Q&gt;CRWV^FE_ESTIMATE(SALES,MEAN,ANNUAL_ROLL,2025,45974,,,'')&lt;/Q&gt;&lt;R&gt;1&lt;/R&gt;&lt;C&gt;1&lt;/C&gt;&lt;D xsi:type="xsd:double"&gt;5163.1465&lt;/D&gt;&lt;/FQL&gt;&lt;FQL&gt;&lt;Q&gt;CRWV^FE_ESTIMATE(SALES,MEAN,QUARTERLY_ROLL,2025/4F,45974,,,'')&lt;/Q&gt;&lt;R&gt;1&lt;/R&gt;&lt;C&gt;1&lt;/C&gt;&lt;D xsi:type="xsd:double"&gt;1593.4296&lt;/D&gt;&lt;/FQL&gt;&lt;FQL&gt;&lt;Q&gt;CRWV^FE_ESTIMATE(SALES,MEAN,QUARTERLY_ROLL,2025/3F,45974,,,'')&lt;/Q&gt;&lt;R&gt;1&lt;/R&gt;&lt;C&gt;1&lt;/C&gt;&lt;D xsi:type="xsd:double"&gt;1364.676&lt;/D&gt;&lt;/FQL&gt;&lt;FQL&gt;&lt;Q&gt;CRWV^FE_ESTIMATE(SALES,MEAN,QUARTERLY_ROLL,2025/2F,45974,,,'')&lt;/Q&gt;&lt;R&gt;1&lt;/R&gt;&lt;C&gt;1&lt;/C&gt;&lt;D xsi:type="xsd:double"&gt;1212.788&lt;/D&gt;&lt;/FQL&gt;&lt;FQL&gt;&lt;Q&gt;CRWV^FE_ESTIMATE(SALES,MEAN,QUARTERLY_ROLL,2025/1F,45974,,,'')&lt;/Q&gt;&lt;R&gt;1&lt;/R&gt;&lt;C&gt;1&lt;/C&gt;&lt;D xsi:type="xsd:double"&gt;981.632&lt;/D&gt;&lt;/FQL&gt;&lt;FQL&gt;&lt;Q&gt;CRWV^FE_ESTIMATE(SALES,MEAN,ANNUAL_ROLL,2024,45974,,,'')&lt;/Q&gt;&lt;R&gt;1&lt;/R&gt;&lt;C&gt;1&lt;/C&gt;&lt;D xsi:type="xsd:double"&gt;1915.2697&lt;/D&gt;&lt;/FQL&gt;&lt;FQL&gt;&lt;Q&gt;CRWV^FE_ESTIMATE(SALES,MEAN,QUARTERLY_ROLL,2024/4F,45974,,,'')&lt;/Q&gt;&lt;R&gt;1&lt;/R&gt;&lt;C&gt;1&lt;/C&gt;&lt;D xsi:type="xsd:double"&gt;747.2792&lt;/D&gt;&lt;/FQL&gt;&lt;FQL&gt;&lt;Q&gt;CRWV^FE_ESTIMATE(SALES,MEAN,QUARTERLY_ROLL,2024/3F,45974,,,'')&lt;/Q&gt;&lt;R&gt;0&lt;/R&gt;&lt;C&gt;0&lt;/C&gt;&lt;/FQL&gt;&lt;FQL&gt;&lt;Q&gt;CRWV^FE_ESTIMATE(SALES,MEAN,QUARTERLY_ROLL,2024/2F,45974,,,'')&lt;/Q&gt;&lt;R&gt;0&lt;/R&gt;&lt;C&gt;0&lt;/C&gt;&lt;/FQL&gt;&lt;FQL&gt;&lt;Q&gt;CRWV^FE_ESTIMATE(SALES,MEAN,QUARTERLY_ROLL,2024/1F,45974,,,'')&lt;/Q&gt;&lt;R&gt;0&lt;/R&gt;&lt;C&gt;0&lt;/C&gt;&lt;/FQL&gt;&lt;FQL&gt;&lt;Q&gt;CRWV^FE_ESTIMATE(SALES,MEAN,ANNUAL_ROLL,2023,45974,,,'')&lt;/Q&gt;&lt;R&gt;0&lt;/R&gt;&lt;C&gt;0&lt;/C&gt;&lt;/FQL&gt;&lt;FQL&gt;&lt;Q&gt;CRWV^FE_ESTIMATE(SALES,MEAN,QUARTERLY_ROLL,2023/4F,45974,,,'')&lt;/Q&gt;&lt;R&gt;0&lt;/R&gt;&lt;C&gt;0&lt;/C&gt;&lt;/FQL&gt;&lt;FQL&gt;&lt;Q&gt;CRWV^FE_ESTIMATE(SALES,MEAN,QUARTERLY_ROLL,2023/3F,45974,,,'')&lt;/Q&gt;&lt;R&gt;0&lt;/R&gt;&lt;C&gt;0&lt;/C&gt;&lt;/FQL&gt;&lt;FQL&gt;&lt;Q&gt;CRWV^FE_ESTIMATE(SALES,MEAN,QUARTERLY_ROLL,2023/2F,45974,,,'')&lt;/Q&gt;&lt;R&gt;0&lt;/R&gt;&lt;C&gt;0&lt;/C&gt;&lt;/FQL&gt;&lt;FQL&gt;&lt;Q&gt;CRWV^FE_ESTIMATE(SALES,MEAN,QUARTERLY_ROLL,2023/1F,45974,,,'')&lt;/Q&gt;&lt;R&gt;0&lt;/R&gt;&lt;C&gt;0&lt;/C&gt;&lt;/FQL&gt;&lt;FQL&gt;&lt;Q&gt;CRWV^FE_ESTIMATE(SALES,MEAN,ANNUAL_ROLL,2022,45974,,,'')&lt;/Q&gt;&lt;R&gt;0&lt;/R&gt;&lt;C&gt;0&lt;/C&gt;&lt;/FQL&gt;&lt;FQL&gt;&lt;Q&gt;CRWV^FE_ESTIMATE(SALES,MEAN,QUARTERLY_ROLL,2022/4F,45974,,,'')&lt;/Q&gt;&lt;R&gt;0&lt;/R&gt;&lt;C&gt;0&lt;/C&gt;&lt;/FQL&gt;&lt;FQL&gt;&lt;Q&gt;CRWV^FE_ESTIMATE(SALES,MEAN,QUARTERLY_ROLL,2022/3F,45974,,,'')&lt;/Q&gt;&lt;R&gt;0&lt;/R&gt;&lt;C&gt;0&lt;/C&gt;&lt;/FQL&gt;&lt;FQL&gt;&lt;Q&gt;CRWV^FE_ESTIMATE(SALES,MEAN,QUARTERLY_ROLL,2022/2F,45974,,,'')&lt;/Q&gt;&lt;R&gt;0&lt;/R&gt;&lt;C&gt;0&lt;/C&gt;&lt;/FQL&gt;&lt;FQL&gt;&lt;Q&gt;CRWV^FE_ESTIMATE(SALES,MEAN,QUARTERLY_ROLL,2022/1F,45974,,,'')&lt;/Q&gt;&lt;R&gt;0&lt;/R&gt;&lt;C&gt;0&lt;/C&gt;&lt;/FQL&gt;&lt;FQL&gt;&lt;Q&gt;AVT^FE_ESTIMATE(UFCF,MEAN,CALA_ROLL,2027,45975,,,'')&lt;/Q&gt;&lt;R&gt;0&lt;/R&gt;&lt;C&gt;0&lt;/C&gt;&lt;/FQL&gt;&lt;FQL&gt;&lt;Q&gt;AVT^FE_ESTIMATE(UFCF,MEAN,CALA_ROLL,2026,45975,,,'')&lt;/Q&gt;&lt;R&gt;0&lt;/R&gt;&lt;C&gt;0&lt;/C&gt;&lt;/FQL&gt;&lt;FQL&gt;&lt;Q&gt;AVT^FE_ESTIMATE(UFCF,MEAN,CALA_ROLL,2025,45975,,,'')&lt;/Q&gt;&lt;R&gt;0&lt;/R&gt;&lt;C&gt;0&lt;/C&gt;&lt;/FQL&gt;&lt;FQL&gt;&lt;Q&gt;AVT^FE_ESTIMATE(UFCF,MEAN,CALA_ROLL,2024,45975,,,'')&lt;/Q&gt;&lt;R&gt;0&lt;/R&gt;&lt;C&gt;0&lt;/C&gt;&lt;/FQL&gt;&lt;FQL&gt;&lt;Q&gt;AVT^FE_ESTIMATE(UFCF,MEAN,CALA_ROLL,2023,45975,,,'')&lt;/Q&gt;&lt;R&gt;0&lt;/R&gt;&lt;C&gt;0&lt;/C&gt;&lt;/FQL&gt;&lt;FQL&gt;&lt;Q&gt;AVT^FE_ESTIMATE(UFCF,MEAN,NTM4,,45975,,,'')&lt;/Q&gt;&lt;R&gt;0&lt;/R&gt;&lt;C&gt;0&lt;/C&gt;&lt;/FQL&gt;&lt;FQL&gt;&lt;Q&gt;AVT^FE_ESTIMATE(UFCF,MEAN,LTM4,,45975,,,'')&lt;/Q&gt;&lt;R&gt;0&lt;/R&gt;&lt;C&gt;0&lt;/C&gt;&lt;/FQL&gt;&lt;FQL&gt;&lt;Q&gt;ARW^FE_ESTIMATE(UFCF,MEAN,CALA_ROLL,2027,45975,,,'')&lt;/Q&gt;&lt;R&gt;0&lt;/R&gt;&lt;C&gt;0&lt;/C&gt;&lt;/FQL&gt;&lt;FQL&gt;&lt;Q&gt;ARW^FE_ESTIMATE(UFCF,MEAN,CALA_ROLL,2026,45975,,,'')&lt;/Q&gt;&lt;R&gt;0&lt;/R&gt;&lt;C&gt;0&lt;/C&gt;&lt;/FQL&gt;&lt;FQL&gt;&lt;Q&gt;ARW^FE_ESTIMATE(UFCF,MEAN,CALA_ROLL,2025,45975,,,'')&lt;/Q&gt;&lt;R&gt;0&lt;/R&gt;&lt;C&gt;0&lt;/C&gt;&lt;/FQL&gt;&lt;FQL&gt;&lt;Q&gt;ARW^FE_ESTIMATE(UFCF,MEAN,CALA_ROLL,2024,45975,,,'')&lt;/Q&gt;&lt;R&gt;0&lt;/R&gt;&lt;C&gt;0&lt;/C&gt;&lt;/FQL&gt;&lt;FQL&gt;&lt;Q&gt;ARW^FE_ESTIMATE(UFCF,MEAN,CALA_ROLL,2023,45975,,,'')&lt;/Q&gt;&lt;R&gt;0&lt;/R&gt;&lt;C&gt;0&lt;/C&gt;&lt;/FQL&gt;&lt;FQL&gt;&lt;Q&gt;ARW^FE_ESTIMATE(UFCF,MEAN,NTM4,,45975,,,'')&lt;/Q&gt;&lt;R&gt;0&lt;/R&gt;&lt;C&gt;0&lt;/C&gt;&lt;/FQL&gt;&lt;FQL&gt;&lt;Q&gt;ARW^FE_ESTIMATE(UFCF,MEAN,LTM4,,45975,,,'')&lt;/Q&gt;&lt;R&gt;0&lt;/R&gt;&lt;C&gt;0&lt;/C&gt;&lt;/FQL&gt;&lt;FQL&gt;&lt;Q&gt;SNX^FE_ESTIMATE(UFCF,MEAN,CALA_ROLL,2027,45975,,,'')&lt;/Q&gt;&lt;R&gt;0&lt;/R&gt;&lt;C&gt;0&lt;/C&gt;&lt;/FQL&gt;&lt;FQL&gt;&lt;Q&gt;SNX^FE_ESTIMATE(UFCF,MEAN,CALA_ROLL,2026,45975,,,'')&lt;/Q&gt;&lt;R&gt;0&lt;/R&gt;&lt;C&gt;0&lt;/C&gt;&lt;/FQL&gt;&lt;FQL&gt;&lt;Q&gt;SNX^FE_ESTIMATE(UFCF,MEAN,CALA_ROLL,2025,45975,,,'')&lt;/Q&gt;&lt;R&gt;0&lt;/R&gt;&lt;C&gt;0&lt;/C&gt;&lt;/FQL&gt;&lt;FQL&gt;&lt;Q&gt;SNX^FE_ESTIMATE(UFCF,MEAN,CALA_ROLL,2024,45975,,,'')&lt;/Q&gt;&lt;R&gt;0&lt;/R&gt;&lt;C&gt;0&lt;/C&gt;&lt;/FQL&gt;&lt;FQL&gt;&lt;Q&gt;SNX^FE_ESTIMATE(UFCF,MEAN,CALA_ROLL,2023,45975,,,'')&lt;/Q&gt;&lt;R&gt;0&lt;/R&gt;&lt;C&gt;0&lt;/C&gt;&lt;/FQL&gt;&lt;FQL&gt;&lt;Q&gt;SNX^FE_ESTIMATE(UFCF,MEAN,NTM4,,45975,,,'')&lt;/Q&gt;&lt;R&gt;0&lt;/R&gt;&lt;C&gt;0&lt;/C&gt;&lt;/FQL&gt;&lt;FQL&gt;&lt;Q&gt;SNX^FE_ESTIMATE(UFCF,MEAN,LTM4,,45975,,,'')&lt;/Q&gt;&lt;R&gt;0&lt;/R&gt;&lt;C&gt;0&lt;/C&gt;&lt;/FQL&gt;&lt;FQL&gt;&lt;Q&gt;CDW^FE_ESTIMATE(UFCF,MEAN,CALA_ROLL,2027,45975,,,'')&lt;/Q&gt;&lt;R&gt;0&lt;/R&gt;&lt;C&gt;0&lt;/C&gt;&lt;/FQL&gt;&lt;FQL&gt;&lt;Q&gt;CDW^FE_ESTIMATE(UFCF,MEAN,CALA_ROLL,2026,45975,,,'')&lt;/Q&gt;&lt;R&gt;0&lt;/R&gt;&lt;C&gt;0&lt;/C&gt;&lt;/FQL&gt;&lt;FQL&gt;&lt;Q&gt;CDW^FE_ESTIMATE(UFCF,MEAN,CALA_ROLL,2025,45975,,,'')&lt;/Q&gt;&lt;R&gt;0&lt;/R&gt;&lt;C&gt;0&lt;/C&gt;&lt;/FQL&gt;&lt;FQL&gt;&lt;Q&gt;CDW^FE_ESTIMATE(UFCF,MEAN,CALA_ROLL,2024,45975,,,'')&lt;/Q&gt;&lt;R&gt;0&lt;/R&gt;&lt;C&gt;0&lt;/C&gt;&lt;/FQL&gt;&lt;FQL&gt;&lt;Q&gt;CDW^FE_ESTIMATE(UFCF,MEAN,CALA_ROLL,2023,45975,,,'')&lt;/Q&gt;&lt;R&gt;0&lt;/R&gt;&lt;C&gt;0&lt;/C&gt;&lt;/FQL&gt;&lt;FQL&gt;&lt;Q&gt;CDW^FE_ESTIMATE(UFCF,MEAN,NTM4,,45975,,,'')&lt;/Q&gt;&lt;R&gt;0&lt;/R&gt;&lt;C&gt;0&lt;/C&gt;&lt;/FQL&gt;&lt;FQL&gt;&lt;Q&gt;CDW^FE_ESTIMATE(UFCF,MEAN,LTM4,,45975,,,'')&lt;/Q&gt;&lt;R&gt;0&lt;/R&gt;&lt;C&gt;0&lt;/C&gt;&lt;/FQL&gt;&lt;FQL&gt;&lt;Q&gt;INGM^FE_ESTIMATE(UFCF,MEAN,CALA_ROLL,2027,45975,,,'')&lt;/Q&gt;&lt;R&gt;0&lt;/R&gt;&lt;C&gt;0&lt;/C&gt;&lt;/FQL&gt;&lt;FQL&gt;&lt;Q&gt;INGM^FE_ESTIMATE(UFCF,MEAN,CALA_ROLL,2026,45975,,,'')&lt;/Q&gt;&lt;R&gt;0&lt;/R&gt;&lt;C&gt;0&lt;/C&gt;&lt;/FQL&gt;&lt;FQL&gt;&lt;Q&gt;INGM^FE_ESTIMATE(UFCF,MEAN,CALA_ROLL,2025,45975,,,'')&lt;/Q&gt;&lt;R&gt;0&lt;/R&gt;&lt;C&gt;0&lt;/C&gt;&lt;/FQL&gt;&lt;FQL&gt;&lt;Q&gt;INGM^FE_ESTIMATE(UFCF,MEAN,CALA_ROLL,2024,45975,,,'')&lt;/Q&gt;&lt;R&gt;0&lt;/R&gt;&lt;C&gt;0&lt;/C&gt;&lt;/FQL&gt;&lt;FQL&gt;&lt;Q&gt;INGM^FE_ESTIMATE(UFCF,MEAN,CALA_ROLL,2023,45975,,,'')&lt;/Q&gt;&lt;R&gt;0&lt;/R&gt;&lt;C&gt;0&lt;/C&gt;&lt;/FQL&gt;&lt;FQL&gt;&lt;Q&gt;INGM^FE_ESTIMATE(UFCF,MEAN,NTM4,,45975,,,'')&lt;/Q&gt;&lt;R&gt;0&lt;/R&gt;&lt;C&gt;0&lt;/C&gt;&lt;/FQL&gt;&lt;FQL&gt;&lt;Q&gt;INGM^FE_ESTIMATE(UFCF,MEAN,LTM4,,45975,,,'')&lt;/Q&gt;&lt;R&gt;0&lt;/R&gt;&lt;C&gt;0&lt;/C&gt;&lt;/FQL&gt;&lt;FQL&gt;&lt;Q&gt;NBIS^FE_ESTIMATE(UFCF,MEAN,CALA_ROLL,2027,45975,,,'')&lt;/Q&gt;&lt;R&gt;0&lt;/R&gt;&lt;C&gt;0&lt;/C&gt;&lt;/FQL&gt;&lt;FQL&gt;&lt;Q&gt;NBIS^FE_ESTIMATE(UFCF,MEAN,CALA_ROLL,2026,45975,,,'')&lt;/Q&gt;&lt;R&gt;0&lt;/R&gt;&lt;C&gt;0&lt;/C&gt;&lt;/FQL&gt;&lt;FQL&gt;&lt;Q&gt;NBIS^FE_ESTIMATE(UFCF,MEAN,CALA_ROLL,2025,45975,,,'')&lt;/Q&gt;&lt;R&gt;0&lt;/R&gt;&lt;C&gt;0&lt;/C&gt;&lt;/FQL&gt;&lt;FQL&gt;&lt;Q&gt;NBIS^FE_ESTIMATE(UFCF,MEAN,CALA_ROLL,2024,45975,,,'')&lt;/Q&gt;&lt;R&gt;0&lt;/R&gt;&lt;C&gt;0&lt;/C&gt;&lt;/FQL&gt;&lt;FQL&gt;&lt;Q&gt;NBIS^FE_ESTIMATE(UFCF,MEAN,CALA_ROLL,2023,45975,,,'')&lt;/Q&gt;&lt;R&gt;0&lt;/R&gt;&lt;C&gt;0&lt;/C&gt;&lt;/FQL&gt;&lt;FQL&gt;&lt;Q&gt;NBIS^FE_ESTIMATE(UFCF,MEAN,NTM4,,45975,,,'')&lt;/Q&gt;&lt;R&gt;0&lt;/R&gt;&lt;C&gt;0&lt;/C&gt;&lt;/FQL&gt;&lt;FQL&gt;&lt;Q&gt;NBIS^FE_ESTIMATE(UFCF,MEAN,LTM4,,45975,,,'')&lt;/Q&gt;&lt;R&gt;0&lt;/R&gt;&lt;C&gt;0&lt;/C&gt;&lt;/FQL&gt;&lt;FQL&gt;&lt;Q&gt;DOCN^FE_ESTIMATE(UFCF,MEAN,CALA_ROLL,2027,45975,,,'')&lt;/Q&gt;&lt;R&gt;0&lt;/R&gt;&lt;C&gt;0&lt;/C&gt;&lt;/FQL&gt;&lt;FQL&gt;&lt;Q&gt;DOCN^FE_ESTIMATE(UFCF,MEAN,CALA_ROLL,2026,45975,,,'')&lt;/Q&gt;&lt;R&gt;0&lt;/R&gt;&lt;C&gt;0&lt;/C&gt;&lt;/FQL&gt;&lt;FQL&gt;&lt;Q&gt;DOCN^FE_ESTIMATE(UFCF,MEAN,CALA_ROLL,2025,45975,,,'')&lt;/Q&gt;&lt;R&gt;0&lt;/R&gt;&lt;C&gt;0&lt;/C&gt;&lt;/FQL&gt;&lt;FQL&gt;&lt;Q&gt;DOCN^FE_ESTIMATE(UFCF,MEAN,CALA_ROLL,2024,45975,,,'')&lt;/Q&gt;&lt;R&gt;0&lt;/R&gt;&lt;C&gt;0&lt;/C&gt;&lt;/FQL&gt;&lt;FQL&gt;&lt;Q&gt;DOCN^FE_ESTIMATE(UFCF,MEAN,CALA_ROLL,2023,45975,,,'')&lt;/Q&gt;&lt;R&gt;0&lt;/R&gt;&lt;C&gt;0&lt;/C&gt;&lt;/FQL&gt;&lt;FQL&gt;&lt;Q&gt;DOCN^FE_ESTIMATE(UFCF,MEAN,NTM4,,45975,,,'')&lt;/Q&gt;&lt;R&gt;0&lt;/R&gt;&lt;C&gt;0&lt;/C&gt;&lt;/FQL&gt;&lt;FQL&gt;&lt;Q&gt;DOCN^FE_ESTIMATE(UFCF,MEAN,LTM4,,45975,,,'')&lt;/Q&gt;&lt;R&gt;0&lt;/R&gt;&lt;C&gt;0&lt;/C&gt;&lt;/FQL&gt;&lt;FQL&gt;&lt;Q&gt;GOOG^FE_ESTIMATE(UFCF,MEAN,CALA_ROLL,2027,45975,,,'')&lt;/Q&gt;&lt;R&gt;0&lt;/R&gt;&lt;C&gt;0&lt;/C&gt;&lt;/FQL&gt;&lt;FQL&gt;&lt;Q&gt;GOOG^FE_ESTIMATE(UFCF,MEAN,CALA_ROLL,2026,45975,,,'')&lt;/Q&gt;&lt;R&gt;0&lt;/R&gt;&lt;C&gt;0&lt;/C&gt;&lt;/FQL&gt;&lt;FQL&gt;&lt;Q&gt;GOOG^FE_ESTIMATE(UFCF,MEAN,CALA_ROLL,2025,45975,,,'')&lt;/Q&gt;&lt;R&gt;0&lt;/R&gt;&lt;C&gt;0&lt;/C&gt;&lt;/FQL&gt;&lt;FQL&gt;&lt;Q&gt;GOOG^FE_ESTIMATE(UFCF,MEAN,CALA_ROLL,2024,45975,,,'')&lt;/Q&gt;&lt;R&gt;0&lt;/R&gt;&lt;C&gt;0&lt;/C&gt;&lt;/FQL&gt;&lt;FQL&gt;&lt;Q&gt;GOOG^FE_ESTIMATE(UFCF,MEAN,CALA_ROLL,2023,45975,,,'')&lt;/Q&gt;&lt;R&gt;0&lt;/R&gt;&lt;C&gt;0&lt;/C&gt;&lt;/FQL&gt;&lt;FQL&gt;&lt;Q&gt;GOOG^FE_ESTIMATE(UFCF,MEAN,NTM4,,45975,,,'')&lt;/Q&gt;&lt;R&gt;0&lt;/R&gt;&lt;C&gt;0&lt;/C&gt;&lt;/FQL&gt;&lt;FQL&gt;&lt;Q&gt;GOOG^FE_ESTIMATE(UFCF,MEAN,LTM4,,45975,,,'')&lt;/Q&gt;&lt;R&gt;0&lt;/R&gt;&lt;C&gt;0&lt;/C&gt;&lt;/FQL&gt;&lt;FQL&gt;&lt;Q&gt;AMZN^FE_ESTIMATE(UFCF,MEAN,CALA_ROLL,2027,45975,,,'')&lt;/Q&gt;&lt;R&gt;0&lt;/R&gt;&lt;C&gt;0&lt;/C&gt;&lt;/FQL&gt;&lt;FQL&gt;&lt;Q&gt;AMZN^FE_ESTIMATE(UFCF,MEAN,CALA_ROLL,2026,45975,,,'')&lt;/Q&gt;&lt;R&gt;0&lt;/R&gt;&lt;C&gt;0&lt;/C&gt;&lt;/FQL&gt;&lt;FQL&gt;&lt;Q&gt;AMZN^FE_ESTIMATE(UFCF,MEAN,CALA_ROLL,2025,45975,,,'')&lt;/Q&gt;&lt;R&gt;0&lt;/R&gt;&lt;C&gt;0&lt;/C&gt;&lt;/FQL&gt;&lt;FQL&gt;&lt;Q&gt;AMZN^FE_ESTIMATE(UFCF,MEAN,CALA_ROLL,2024,45975,,,'')&lt;/Q&gt;&lt;R&gt;0&lt;/R&gt;&lt;C&gt;0&lt;/C&gt;&lt;/FQL&gt;&lt;FQL&gt;&lt;Q&gt;AMZN^FE_ESTIMATE(UFCF,MEAN,CALA_ROLL,2023,45975,,,'')&lt;/Q&gt;&lt;R&gt;0&lt;/R&gt;&lt;C&gt;0&lt;/C&gt;&lt;/FQL&gt;&lt;FQL&gt;&lt;Q&gt;AMZN^FE_ESTIMATE(UFCF,MEAN,NTM4,,45975,,,'')&lt;/Q&gt;&lt;R&gt;0&lt;/R&gt;&lt;C&gt;0&lt;/C&gt;&lt;/FQL&gt;&lt;FQL&gt;&lt;Q&gt;AMZN^FE_ESTIMATE(UFCF,MEAN,LTM4,,45975,,,'')&lt;/Q&gt;&lt;R&gt;0&lt;/R&gt;&lt;C&gt;0&lt;/C&gt;&lt;/FQL&gt;&lt;FQL&gt;&lt;Q&gt;ORCL^FE_ESTIMATE(UFCF,MEAN,CALA_ROLL,2027,45975,,,'')&lt;/Q&gt;&lt;R&gt;0&lt;/R&gt;&lt;C&gt;0&lt;/C&gt;&lt;/FQL&gt;&lt;FQL&gt;&lt;Q&gt;ORCL^FE_ESTIMATE(UFCF,MEAN,CALA_ROLL,2026,45975,,,'')&lt;/Q&gt;&lt;R&gt;0&lt;/R&gt;&lt;C&gt;0&lt;/C&gt;&lt;/FQL&gt;&lt;FQL&gt;&lt;Q&gt;ORCL^FE_ESTIMATE(UFCF,MEAN,CALA_ROLL,2025,45975,,,'')&lt;/Q&gt;&lt;R&gt;0&lt;/R&gt;&lt;C&gt;0&lt;/C&gt;&lt;/FQL&gt;&lt;FQL&gt;&lt;Q&gt;ORCL^FE_ESTIMATE(UFCF,MEAN,CALA_ROLL,2024,45975,,,'')&lt;/Q&gt;&lt;R&gt;0&lt;/R&gt;&lt;C&gt;0&lt;/C&gt;&lt;/FQL&gt;&lt;FQL&gt;&lt;Q&gt;ORCL^FE_ESTIMATE(UFCF,MEAN,CALA_ROLL,2023,45975,,,'')&lt;/Q&gt;&lt;R&gt;1&lt;/R&gt;&lt;C&gt;1&lt;/C&gt;&lt;D xsi:type="xsd:double"&gt;13482.341&lt;/D&gt;&lt;/FQL&gt;&lt;FQL&gt;&lt;Q&gt;ORCL^FE_ESTIMATE(UFCF,MEAN,NTM4,,45975,,,'')&lt;/Q&gt;&lt;R&gt;0&lt;/R&gt;&lt;C&gt;0&lt;/C&gt;&lt;/FQL&gt;&lt;FQL&gt;&lt;Q&gt;ORCL^FE_ESTIMATE(UFCF,MEAN,LTM4,,45975,,,'')&lt;/Q&gt;&lt;R&gt;0&lt;/R&gt;&lt;C&gt;0&lt;/C&gt;&lt;/FQL&gt;&lt;FQL&gt;&lt;Q&gt;IBM^FE_ESTIMATE(UFCF,MEAN,CALA_ROLL,2027,45975,,,'')&lt;/Q&gt;&lt;R&gt;0&lt;/R&gt;&lt;C&gt;0&lt;/C&gt;&lt;/FQL&gt;&lt;FQL&gt;&lt;Q&gt;IBM^FE_ESTIMATE(UFCF,MEAN,CALA_ROLL,2026,45975,,,'')&lt;/Q&gt;&lt;R&gt;0&lt;/R&gt;&lt;C&gt;0&lt;/C&gt;&lt;/FQL&gt;&lt;FQL&gt;&lt;Q&gt;IBM^FE_ESTIMATE(UFCF,MEAN,CALA_ROLL,2025,45975,,,'')&lt;/Q&gt;&lt;R&gt;0&lt;/R&gt;&lt;C&gt;0&lt;/C&gt;&lt;/FQL&gt;&lt;FQL&gt;&lt;Q&gt;IBM^FE_ESTIMATE(UFCF,MEAN,CALA_ROLL,2024,45975,,,'')&lt;/Q&gt;&lt;R&gt;0&lt;/R&gt;&lt;C&gt;0&lt;/C&gt;&lt;/FQL&gt;&lt;FQL&gt;&lt;Q&gt;IBM^FE_ESTIMATE(UFCF,MEAN,CALA_ROLL,2023,45975,,,'')&lt;/Q&gt;&lt;R&gt;0&lt;/R&gt;&lt;C&gt;0&lt;/C&gt;&lt;/FQL&gt;&lt;FQL&gt;&lt;Q&gt;IBM^FE_ESTIMATE(UFCF,MEAN,NTM4,,45975,,,'')&lt;/Q&gt;&lt;R&gt;0&lt;/R&gt;&lt;C&gt;0&lt;/C&gt;&lt;/FQL&gt;&lt;FQL&gt;&lt;Q&gt;IBM^FE_ESTIMATE(UFCF,MEAN,LTM4,,45975,,,'')&lt;/Q&gt;&lt;R&gt;0&lt;/R&gt;&lt;C&gt;0&lt;/C&gt;&lt;/FQL&gt;&lt;FQL&gt;&lt;Q&gt;EQIX^FE_ESTIMATE(UFCF,MEAN,CALA_ROLL,2027,45975,,,'')&lt;/Q&gt;&lt;R&gt;1&lt;/R&gt;&lt;C&gt;1&lt;/C&gt;&lt;D xsi:type="xsd:double"&gt;713.4&lt;/D&gt;&lt;/FQL&gt;&lt;FQL&gt;&lt;Q&gt;EQIX^FE_ESTIMATE(UFCF,MEAN,CALA_ROLL,2026,45975,,,'')&lt;/Q&gt;&lt;R&gt;1&lt;/R&gt;&lt;C&gt;1&lt;/C&gt;&lt;D xsi:type="xsd:double"&gt;310.7&lt;/D&gt;&lt;/FQL&gt;&lt;FQL&gt;&lt;Q&gt;EQIX^FE_ESTIMATE(UFCF,MEAN,CALA_ROLL,2025,45975,,,'')&lt;/Q&gt;&lt;R&gt;1&lt;/R&gt;&lt;C&gt;1&lt;/C&gt;&lt;D xsi:type="xsd:double"&gt;937.2&lt;/D&gt;&lt;/FQL&gt;&lt;FQL&gt;&lt;Q&gt;EQIX^FE_ESTIMATE(UFCF,MEAN,CALA_ROLL,2024,45975,,,'')&lt;/Q&gt;&lt;R&gt;0&lt;/R&gt;&lt;C&gt;0&lt;/C&gt;&lt;/FQL&gt;&lt;FQL&gt;&lt;Q&gt;EQIX^FE_ESTIMATE(UFCF,MEAN,CALA_ROLL,2023,45975,,,'')&lt;/Q&gt;&lt;R&gt;0&lt;/R&gt;&lt;C&gt;0&lt;/C&gt;&lt;/FQL&gt;&lt;FQL&gt;&lt;Q&gt;EQIX^FE_ESTIMATE(UFCF,MEAN,NTM4,,45975,,,'')&lt;/Q&gt;&lt;R&gt;0&lt;/R&gt;&lt;C&gt;0&lt;/C&gt;&lt;/FQL&gt;&lt;FQL&gt;&lt;Q&gt;EQIX^FE_ESTIMATE(UFCF,MEAN,LTM4,,45975,,,'')&lt;/Q&gt;&lt;R&gt;0&lt;/R&gt;&lt;C&gt;0&lt;/C&gt;&lt;/FQL&gt;&lt;FQL&gt;&lt;Q&gt;DLR^FE_ESTIMATE(UFCF,MEAN,CALA_ROLL,2027,45975,,,'')&lt;/Q&gt;&lt;R&gt;1&lt;/R&gt;&lt;C&gt;1&lt;/C&gt;&lt;D xsi:type="xsd:double"&gt;-33&lt;/D&gt;&lt;/FQL&gt;&lt;FQL&gt;&lt;Q&gt;DLR^FE_ESTIMATE(UFCF,MEAN,CALA_ROLL,2026,45975,,,'')&lt;/Q&gt;&lt;R&gt;1&lt;/R&gt;&lt;C&gt;1&lt;/C&gt;&lt;D xsi:type="xsd:double"&gt;-306.6&lt;/D&gt;&lt;/FQL&gt;&lt;FQL&gt;&lt;Q&gt;DLR^FE_ESTIMATE(UFCF,MEAN,CALA_ROLL,2025,45975,,,'')&lt;/Q&gt;&lt;R&gt;1&lt;/R&gt;&lt;C&gt;1&lt;/C&gt;&lt;D xsi:type="xsd:double"&gt;-948&lt;/D&gt;&lt;/FQL&gt;&lt;FQL&gt;&lt;Q&gt;DLR^FE_ESTIMATE(UFCF,MEAN,CALA_ROLL,2024,45975,,,'')&lt;/Q&gt;&lt;R&gt;0&lt;/R&gt;&lt;C&gt;0&lt;/C&gt;&lt;/FQL&gt;&lt;FQL&gt;&lt;Q&gt;DLR^FE_ESTIMATE(UFCF,MEAN,CALA_ROLL,2023,45975,,,'')&lt;/Q&gt;&lt;R&gt;1&lt;/R&gt;&lt;C&gt;1&lt;/C&gt;&lt;D xsi:type="xsd:double"&gt;-1479.6&lt;/D&gt;&lt;/FQL&gt;&lt;FQL&gt;&lt;Q&gt;DLR^FE_ESTIMATE(UFCF,MEAN,NTM4,,45975,,,'')&lt;/Q&gt;&lt;R&gt;0&lt;/R&gt;&lt;C&gt;0&lt;/C&gt;&lt;/FQL&gt;&lt;FQL&gt;&lt;Q&gt;DLR^FE_ESTIMATE(UFCF,MEAN,LTM4,,45975,,,'')&lt;/Q&gt;&lt;R&gt;0&lt;/R&gt;&lt;C&gt;0&lt;/C&gt;&lt;/FQL&gt;&lt;FQL&gt;&lt;Q&gt;NVDA^FE_ESTIMATE(UFCF,MEAN,CALA_ROLL,2027,45975,,,'')&lt;/Q&gt;&lt;R&gt;0&lt;/R&gt;&lt;C&gt;0&lt;/C&gt;&lt;/FQL&gt;&lt;FQL&gt;&lt;Q&gt;NVDA^FE_ESTIMATE(UFCF,MEAN,CALA_ROLL,2026,45975,,,'')&lt;/Q&gt;&lt;R&gt;0&lt;/R&gt;&lt;C&gt;0&lt;/C&gt;&lt;/FQL&gt;&lt;FQL&gt;&lt;Q&gt;NVDA^FE_ESTIMATE(UFCF,MEAN,CALA_ROLL,2025,45975,,,'')&lt;/Q&gt;&lt;R&gt;0&lt;/R&gt;&lt;C&gt;0&lt;/C&gt;&lt;/FQL&gt;&lt;FQL&gt;&lt;Q&gt;NVDA^FE_ESTIMATE(UFCF,MEAN,CALA_ROLL,2024,45975,,,'')&lt;/Q&gt;&lt;R&gt;0&lt;/R&gt;&lt;C&gt;0&lt;/C&gt;&lt;/FQL&gt;&lt;FQL&gt;&lt;Q&gt;NVDA^FE_ESTIMATE(UFCF,MEAN,CALA_ROLL,2023,45975,,,'')&lt;/Q&gt;&lt;R&gt;0&lt;/R&gt;&lt;C&gt;0&lt;/C&gt;&lt;/FQL&gt;&lt;FQL&gt;&lt;Q&gt;NVDA^FE_ESTIMATE(UFCF,MEAN,NTM4,,45975,,,'')&lt;/Q&gt;&lt;R&gt;0&lt;/R&gt;&lt;C&gt;0&lt;/C&gt;&lt;/FQL&gt;&lt;FQL&gt;&lt;Q&gt;NVDA^FE_ESTIMATE(UFCF,MEAN,LTM4,,45975,,,'')&lt;/Q&gt;&lt;R&gt;0&lt;/R&gt;&lt;C&gt;0&lt;/C&gt;&lt;/FQL&gt;&lt;FQL&gt;&lt;Q&gt;MSFT^FE_ESTIMATE(UFCF,MEAN,CALA_ROLL,2027,45975,,,'')&lt;/Q&gt;&lt;R&gt;0&lt;/R&gt;&lt;C&gt;0&lt;/C&gt;&lt;/FQL&gt;&lt;FQL&gt;&lt;Q&gt;MSFT^FE_ESTIMATE(UFCF,MEAN,CALA_ROLL,2026,45975,,,'')&lt;/Q&gt;&lt;R&gt;0&lt;/R&gt;&lt;C&gt;0&lt;/C&gt;&lt;/FQL&gt;&lt;FQL&gt;&lt;Q&gt;MSFT^FE_ESTIMATE(UFCF,MEAN,CALA_ROLL,2025,45975,,,'')&lt;/Q&gt;&lt;R&gt;0&lt;/R&gt;&lt;C&gt;0&lt;/C&gt;&lt;/FQL&gt;&lt;FQL&gt;&lt;Q&gt;MSFT^FE_ESTIMATE(UFCF,MEAN,CALA_ROLL,2024,45975,,,'')&lt;/Q&gt;&lt;R&gt;0&lt;/R&gt;&lt;C&gt;0&lt;/C&gt;&lt;/FQL&gt;&lt;FQL&gt;&lt;Q&gt;MSFT^FE_ESTIMATE(UFCF,MEAN,CALA_ROLL,2023,45975,,,'')&lt;/Q&gt;&lt;R&gt;0&lt;/R&gt;&lt;C&gt;0&lt;/C&gt;&lt;/FQL&gt;&lt;FQL&gt;&lt;Q&gt;MSFT^FE_ESTIMATE(UFCF,MEAN,NTM4,,45975,,,'')&lt;/Q&gt;&lt;R&gt;0&lt;/R&gt;&lt;C&gt;0&lt;/C&gt;&lt;/FQL&gt;&lt;FQL&gt;&lt;Q&gt;MSFT^FE_ESTIMATE(UFCF,MEAN,LTM4,,45975,,,'')&lt;/Q&gt;&lt;R&gt;0&lt;/R&gt;&lt;C&gt;0&lt;/C&gt;&lt;/FQL&gt;&lt;FQL&gt;&lt;Q&gt;NBIS^FE_ESTIMATE(FCF,MEAN,CAL4,2027,45975,,,'')&lt;/Q&gt;&lt;R&gt;1&lt;/R&gt;&lt;C&gt;1&lt;/C&gt;&lt;D xsi:type="xsd:double"&gt;-6971.4&lt;/D&gt;&lt;/FQL&gt;&lt;FQL&gt;&lt;Q&gt;NBIS^FE_ESTIMATE(FCF,MEAN,CAL4,2026,45975,,,'')&lt;/Q&gt;&lt;R&gt;1&lt;/R&gt;&lt;C&gt;1&lt;/C&gt;&lt;D xsi:type="xsd:double"&gt;-7621.45&lt;/D&gt;&lt;/FQL&gt;&lt;FQL&gt;&lt;Q&gt;NBIS^FE_ESTIMATE(FCF,MEAN,CAL4,2025,45975,,,'')&lt;/Q&gt;&lt;R&gt;1&lt;/R&gt;&lt;C&gt;1&lt;/C&gt;&lt;D xsi:type="xsd:double"&gt;-5051.65&lt;/D&gt;&lt;/FQL&gt;&lt;FQL&gt;&lt;Q&gt;NBIS^FE_ESTIMATE(FCF,MEAN,CAL4,2024,45975,,,'')&lt;/Q&gt;&lt;R&gt;0&lt;/R&gt;&lt;C&gt;0&lt;/C&gt;&lt;/FQL&gt;&lt;FQL&gt;&lt;Q&gt;NBIS^FE_ESTIMATE(FCF,MEAN,CAL4,2023,45975,,,'')&lt;/Q&gt;&lt;R&gt;0&lt;/R&gt;&lt;C&gt;0&lt;/C&gt;&lt;/FQL&gt;&lt;FQL&gt;&lt;Q&gt;NBIS^FE_ESTIMATE(FCF,MEAN,NTM4,,45975,,,'')&lt;/Q&gt;&lt;R&gt;1&lt;/R&gt;&lt;C&gt;1&lt;/C&gt;&lt;D xsi:type="xsd:double"&gt;-8462.2&lt;/D&gt;&lt;/FQL&gt;&lt;FQL&gt;&lt;Q&gt;NBIS^FE_ESTIMATE(FCF,MEAN,LTM4,,45975,,,'')&lt;/Q&gt;&lt;R&gt;1&lt;/R&gt;&lt;C&gt;1&lt;/C&gt;&lt;D xsi:type="xsd:double"&gt;-2953.6&lt;/D&gt;&lt;/FQL&gt;&lt;FQL&gt;&lt;Q&gt;DOCN^FE_ESTIMATE(FCF,MEAN,CALA_ROLL,2027,45975,,,'')&lt;/Q&gt;&lt;R&gt;1&lt;/R&gt;&lt;C&gt;1&lt;/C&gt;&lt;D xsi:type="xsd:double"&gt;270.0478&lt;/D&gt;&lt;/FQL&gt;&lt;FQL&gt;&lt;Q&gt;DOCN^FE_ESTIMATE(FCF,MEAN,CAL4,2026,45975,,,'')&lt;/Q&gt;&lt;R&gt;1&lt;/R&gt;&lt;C&gt;1&lt;/C&gt;&lt;D xsi:type="xsd:double"&gt;208.87903&lt;/D&gt;&lt;/FQL&gt;&lt;FQL&gt;&lt;Q&gt;DOCN^FE_ESTIMATE(FCF,MEAN,CAL4,2025,45975,,,'')&lt;/Q&gt;&lt;R&gt;1&lt;/R&gt;&lt;C&gt;1&lt;/C&gt;&lt;D xsi:type="xsd:double"&gt;178.31958&lt;/D&gt;&lt;/FQL&gt;&lt;FQL&gt;&lt;Q&gt;DOCN^FE_ESTIMATE(FCF,MEAN,CAL4,2024,45975,,,'')&lt;/Q&gt;&lt;R&gt;1&lt;/R&gt;&lt;C&gt;1&lt;/C&gt;&lt;D xsi:type="xsd:double"&gt;134.283&lt;/D&gt;&lt;/FQL&gt;&lt;FQL&gt;&lt;Q&gt;DOCN^FE_ESTIMATE(FCF,MEAN,CAL4,2023,45975,,,'')&lt;/Q&gt;&lt;R&gt;1&lt;/R&gt;&lt;C&gt;1&lt;/C&gt;&lt;D xsi:type="xsd:double"&gt;155.752&lt;/D&gt;&lt;/FQL&gt;&lt;FQL&gt;&lt;Q&gt;DOCN^FE_ESTIMATE(FCF,MEAN,NTM4,,45975,,,'')&lt;/Q&gt;&lt;R&gt;1&lt;/R&gt;&lt;C&gt;1&lt;/C&gt;&lt;D xsi:type="xsd:double"&gt;175.88768&lt;/D&gt;&lt;/FQL&gt;&lt;FQL&gt;&lt;Q&gt;DOCN^FE_ESTIMATE(FCF,MEAN,LTM4,,45975,,,'')&lt;/Q&gt;&lt;R&gt;1&lt;/R&gt;&lt;C&gt;1&lt;/C&gt;&lt;D xsi:type="xsd:double"&gt;179.419&lt;/D&gt;&lt;/FQL&gt;&lt;FQL&gt;&lt;Q&gt;GOOG^FE_ESTIMATE(FCF,MEAN,CALA_ROLL,2027,45975,,,'')&lt;/Q&gt;&lt;R&gt;1&lt;/R&gt;&lt;C&gt;1&lt;/C&gt;&lt;D xsi:type="xsd:double"&gt;92139.49&lt;/D&gt;&lt;/FQL&gt;&lt;FQL&gt;&lt;Q&gt;GOOG^FE_ESTIMATE(FCF,MEAN,CAL4,2026,45975,,,'')&lt;/Q&gt;&lt;R&gt;1&lt;/R&gt;&lt;C&gt;1&lt;/C&gt;&lt;D xsi:type="xsd:double"&gt;64382&lt;/D&gt;&lt;/FQL&gt;&lt;FQL&gt;&lt;Q&gt;GOOG^FE_ESTIMATE(FCF,MEAN,CAL4,2025,45975,,,'')&lt;/Q&gt;&lt;R&gt;1&lt;/R&gt;&lt;C&gt;1&lt;/C&gt;&lt;D xsi:type="xsd:double"&gt;63259.71&lt;/D&gt;&lt;/FQL&gt;&lt;FQL&gt;&lt;Q&gt;GOOG^FE_ESTIMATE(FCF,MEAN,CAL4,2024,45975,,,'')&lt;/Q&gt;&lt;R&gt;1&lt;/R&gt;&lt;C&gt;1&lt;/C&gt;&lt;D xsi:type="xsd:double"&gt;73062&lt;/D&gt;&lt;/FQL&gt;&lt;FQL&gt;&lt;Q&gt;GOOG^FE_ESTIMATE(FCF,MEAN,CAL4,2023,45975,,,'')&lt;/Q&gt;&lt;R&gt;1&lt;/R&gt;&lt;C&gt;1&lt;/C&gt;&lt;D xsi:type="xsd:double"&gt;69970.21&lt;/D&gt;&lt;/FQL&gt;&lt;FQL&gt;&lt;Q&gt;GOOG^FE_ESTIMATE(FCF,MEAN,NTM4,,45975,,,'')&lt;/Q&gt;&lt;R&gt;1&lt;/R&gt;&lt;C&gt;1&lt;/C&gt;&lt;D xsi:type="xsd:double"&gt;63030.023&lt;/D&gt;&lt;/FQL&gt;&lt;FQL&gt;&lt;Q&gt;GOOG^FE_ESTIMATE(FCF,MEAN,LTM4,,45975,,,'')&lt;/Q&gt;&lt;R&gt;1&lt;/R&gt;&lt;C&gt;1&lt;/C&gt;&lt;D xsi:type="xsd:double"&gt;73538.555&lt;/D&gt;&lt;/FQL&gt;&lt;FQL&gt;&lt;Q&gt;AMZN^FE_ESTIMATE(FCF,MEAN,CALA_ROLL,2027,45975,,,'')&lt;/Q&gt;&lt;R&gt;1&lt;/R&gt;&lt;C&gt;1&lt;/C&gt;&lt;D xsi:type="xsd:double"&gt;65075.996&lt;/D&gt;&lt;/FQL&gt;&lt;FQL&gt;&lt;Q&gt;AMZN^FE_ESTIMATE(FCF,MEAN,CAL4,2026,45975,,,'')&lt;/Q&gt;&lt;R&gt;1&lt;/R&gt;&lt;C&gt;1&lt;/C&gt;&lt;D xsi:type="xsd:double"&gt;28456.318&lt;/D&gt;&lt;/FQL&gt;&lt;FQL&gt;&lt;Q&gt;AMZN^FE_ESTIMATE(FCF,MEAN,CAL4,2025,45975,,,'')&lt;/Q&gt;&lt;R&gt;1&lt;/R&gt;&lt;C&gt;1&lt;/C&gt;&lt;D xsi:type="xsd:double"&gt;14776.228&lt;/D&gt;&lt;/FQL&gt;&lt;FQL&gt;&lt;Q&gt;AMZN^FE_ESTIMATE(FCF,MEAN,CAL4,2024,45975,,,'')&lt;/Q&gt;&lt;R&gt;1&lt;/R&gt;&lt;C&gt;1&lt;/C&gt;&lt;D xsi:type="xsd:double"&gt;37569.48&lt;/D&gt;&lt;/FQL&gt;&lt;FQL&gt;&lt;Q&gt;AMZN^FE_ESTIMATE(FCF,MEAN,CAL4,2023,45975,,,'')&lt;/Q&gt;&lt;R&gt;1&lt;/R&gt;&lt;C&gt;1&lt;/C&gt;&lt;D xsi:type="xsd:double"&gt;38765.21&lt;/D&gt;&lt;/FQL&gt;&lt;FQL&gt;&lt;Q&gt;AMZN^FE_ESTIMATE(FCF,MEAN,NTM4,,45975,,,'')&lt;/Q&gt;&lt;R&gt;1&lt;/R&gt;&lt;C&gt;1&lt;/C&gt;&lt;D xsi:type="xsd:double"&gt;27603.2&lt;/D&gt;&lt;/FQL&gt;&lt;FQL&gt;&lt;Q&gt;AMZN^FE_ESTIMATE(FCF,MEAN,LTM4,,45975,,,'')&lt;/Q&gt;&lt;R&gt;1&lt;/R&gt;&lt;C&gt;1&lt;/C&gt;&lt;D xsi:type="xsd:double"&gt;14028.428&lt;/D&gt;&lt;/FQL&gt;&lt;FQL&gt;&lt;Q&gt;ORCL^FE_ESTIMATE(FCF,MEAN,CALA_ROLL,2027,45975,,,'')&lt;/Q&gt;&lt;R&gt;1&lt;/R&gt;&lt;C&gt;1&lt;/C&gt;&lt;D xsi:type="xsd:double"&gt;-10469.67&lt;/D&gt;&lt;/FQL&gt;&lt;FQL&gt;&lt;Q&gt;ORCL^FE_ESTIMATE(FCF,MEAN,CAL4,2026,45975,,,'')&lt;/Q&gt;&lt;R&gt;1&lt;/R&gt;&lt;C&gt;1&lt;/C&gt;&lt;D xsi:type="xsd:double"&gt;-9348.369&lt;/D&gt;&lt;/FQL&gt;&lt;FQL&gt;&lt;Q&gt;ORCL^FE_ESTIMATE(FCF,MEAN,CAL4,2025,45975,,,'')&lt;/Q&gt;&lt;R&gt;1&lt;/R&gt;&lt;C&gt;1&lt;/C&gt;&lt;D xsi:type="xsd:double"&gt;-8322.849&lt;/D&gt;&lt;/FQL&gt;&lt;FQL&gt;&lt;Q&gt;ORCL^FE_ESTIMATE(FCF,MEAN,CAL4,2024,45975,,,'')&lt;/Q&gt;&lt;R&gt;1&lt;/R&gt;&lt;C&gt;1&lt;/C&gt;&lt;D xsi:type="xsd:double"&gt;9550.706&lt;/D&gt;&lt;/FQL&gt;&lt;FQL&gt;&lt;Q&gt;ORCL^FE_ESTIMATE(FCF,MEAN,CAL4,2023,45975,,,'')&lt;/Q&gt;&lt;R&gt;1&lt;/R&gt;&lt;C&gt;1&lt;/C&gt;&lt;D xsi:type="xsd:double"&gt;10035.492&lt;/D&gt;&lt;/FQL&gt;&lt;FQL&gt;&lt;Q&gt;ORCL^FE_ESTIMATE(FCF,MEAN,NTM4,,45975,,,'')&lt;/Q&gt;&lt;R&gt;1&lt;/R&gt;&lt;C&gt;1&lt;/C&gt;&lt;D xsi:type="xsd:double"&gt;-9284.217&lt;/D&gt;&lt;/FQL&gt;&lt;FQL&gt;&lt;Q&gt;ORCL^FE_ESTIMATE(FCF,MEAN,LTM4,,45975,,,'')&lt;/Q&gt;&lt;R&gt;1&lt;/R&gt;&lt;C&gt;1&lt;/C&gt;&lt;D xsi:type="xsd:double"&gt;-5880&lt;/D&gt;&lt;/FQL&gt;&lt;FQL&gt;&lt;Q&gt;IBM^FE_ESTIMATE(FCF,MEAN,CALA_ROLL,2027,45975,,,'')&lt;/Q&gt;&lt;R&gt;1&lt;/R&gt;&lt;C&gt;1&lt;/C&gt;&lt;D xsi:type="xsd:double"&gt;15518.25&lt;/D&gt;&lt;/FQL&gt;&lt;FQL&gt;&lt;Q&gt;IBM^FE_ESTIMATE(FCF,MEAN,CAL4,2026,45975,,,'')&lt;/Q&gt;&lt;R&gt;1&lt;/R&gt;&lt;C&gt;1&lt;/C&gt;&lt;D xsi:type="xsd:double"&gt;17798.908&lt;/D&gt;&lt;/FQL&gt;&lt;FQL&gt;&lt;Q&gt;IBM^FE_ESTIMATE(FCF,MEAN,CAL4,2025,45975,,,'')&lt;/Q&gt;&lt;R&gt;1&lt;/R&gt;&lt;C&gt;1&lt;/C&gt;&lt;D xsi:type="xsd:double"&gt;14017.2&lt;/D&gt;&lt;/FQL&gt;&lt;FQL&gt;&lt;Q&gt;IBM^FE_ESTIMATE(FCF,MEAN,CAL4,2024,45975,,,'')&lt;/Q&gt;&lt;R&gt;1&lt;/R&gt;&lt;C&gt;1&lt;/C&gt;&lt;D xsi:type="xsd:double"&gt;12749&lt;/D&gt;&lt;/FQL&gt;&lt;FQL&gt;&lt;Q&gt;IBM^FE_ESTIMATE(FCF,MEAN,CAL4,2023,45975,,,'')&lt;/Q&gt;&lt;R&gt;1&lt;/R&gt;&lt;C&gt;1&lt;/C&gt;&lt;D xsi:type="xsd:double"&gt;11210&lt;/D&gt;&lt;/FQL&gt;&lt;FQL&gt;&lt;Q&gt;IBM^FE_ESTIMATE(FCF,MEAN,NTM4,,45975,,,'')&lt;/Q&gt;&lt;R&gt;1&lt;/R&gt;&lt;C&gt;1&lt;/C&gt;&lt;D xsi:type="xsd:double"&gt;17574.607&lt;/D&gt;&lt;/FQL&gt;&lt;FQL&gt;&lt;Q&gt;IBM^FE_ESTIMATE(FCF,MEAN,LTM4,,45975,,,'')&lt;/Q&gt;&lt;R&gt;1&lt;/R&gt;&lt;C&gt;1&lt;/C&gt;&lt;D xsi:type="xsd:double"&gt;13343&lt;/D&gt;&lt;/FQL&gt;&lt;FQL&gt;&lt;Q&gt;EQIX^FE_ESTIMATE(FCF,MEAN,CALA_ROLL,2027,45975,,,'')&lt;/Q&gt;&lt;R&gt;1&lt;/R&gt;&lt;C&gt;1&lt;/C&gt;&lt;D xsi:type="xsd:double"&gt;-74.05&lt;/D&gt;&lt;/FQL&gt;&lt;FQL&gt;&lt;Q&gt;EQIX^FE_ESTIMATE(FCF,MEAN,CAL4,2026,45975,,,'')&lt;/Q&gt;&lt;R&gt;0&lt;/R&gt;&lt;C&gt;0&lt;/C&gt;&lt;/FQL&gt;&lt;FQL&gt;&lt;Q&gt;EQIX^FE_ESTIMATE(FCF,MEAN,CAL4,2025,45975,,,'')&lt;/Q&gt;&lt;R&gt;1&lt;/R&gt;&lt;C&gt;1&lt;/C&gt;&lt;D xsi:type="xsd:double"&gt;-272.75&lt;/D&gt;&lt;/FQL&gt;&lt;FQL&gt;&lt;Q&gt;EQIX^FE_ESTIMATE(FCF,MEAN,CAL4,2024,45975,,,'')&lt;/Q&gt;&lt;R&gt;1&lt;/R&gt;&lt;C&gt;1&lt;/C&gt;&lt;D xsi:type="xsd:double"&gt;151.449&lt;/D&gt;&lt;/FQL&gt;&lt;FQL&gt;&lt;Q&gt;EQIX^FE_ESTIMATE(FCF,MEAN,CAL4,2023,45975,,,'')&lt;/Q&gt;&lt;R&gt;1&lt;/R&gt;&lt;C&gt;1&lt;/C&gt;&lt;D xsi:type="xsd:double"&gt;1506.067&lt;/D&gt;&lt;/FQL&gt;&lt;FQL&gt;&lt;Q&gt;EQIX^FE_ESTIMATE(FCF,MEAN,NTM4,,45975,,,'')&lt;/Q&gt;&lt;R&gt;0&lt;/R&gt;&lt;C&gt;0&lt;/C&gt;&lt;/FQL&gt;&lt;FQL&gt;&lt;Q&gt;EQIX^FE_ESTIMATE(FCF,MEAN,LTM4,,45975,,,'')&lt;/Q&gt;&lt;R&gt;1&lt;/R&gt;&lt;C&gt;1&lt;/C&gt;&lt;D xsi:type="xsd:double"&gt;-409.1&lt;/D&gt;&lt;/FQL&gt;&lt;FQL&gt;&lt;Q&gt;DLR^FE_ESTIMATE(FCF,MEAN,CALA_ROLL,2027,45975,,,'')&lt;/Q&gt;&lt;R&gt;1&lt;/R&gt;&lt;C&gt;1&lt;/C&gt;&lt;D xsi:type="xsd:double"&gt;-443.21832&lt;/D&gt;&lt;/FQL&gt;&lt;FQL&gt;&lt;Q&gt;DLR^FE_ESTIMATE(FCF,MEAN,CALA_ROLL,2026,45975,,,'')&lt;/Q&gt;&lt;R&gt;1&lt;/R&gt;&lt;C&gt;1&lt;/C&gt;&lt;D xsi:type="xsd:double"&gt;-83.123856&lt;/D&gt;&lt;/FQL&gt;&lt;FQL&gt;&lt;Q&gt;DLR^FE_ESTIMATE(FCF,MEAN,CAL4,2025,45975,,,'')&lt;/Q&gt;&lt;R&gt;1&lt;/R&gt;&lt;C&gt;1&lt;/C&gt;&lt;D xsi:type="xsd:double"&gt;-346.10324&lt;/D&gt;&lt;/FQL&gt;&lt;FQL&gt;&lt;Q&gt;DLR^FE_ESTIMATE(FCF,MEAN,CALA_ROLL,2024,45975,,,'')&lt;/Q&gt;&lt;R&gt;1&lt;/R&gt;&lt;C&gt;1&lt;/C&gt;&lt;D xsi:type="xsd:double"&gt;772.316&lt;/D&gt;&lt;/FQL&gt;&lt;FQL&gt;&lt;Q&gt;DLR^FE_ESTIMATE(FCF,MEAN,CALA_ROLL,2023,45975,,,'')&lt;/Q&gt;&lt;R&gt;1&lt;/R&gt;&lt;C&gt;1&lt;/C&gt;&lt;D xsi:type="xsd:double"&gt;-1867.194&lt;/D&gt;&lt;/FQL&gt;&lt;FQL&gt;&lt;Q&gt;DLR^FE_ESTIMATE(FCF,MEAN,NTM4,,45975,,,'')&lt;/Q&gt;&lt;R&gt;0&lt;/R&gt;&lt;C&gt;0&lt;/C&gt;&lt;/FQL&gt;&lt;FQL&gt;&lt;Q&gt;DLR^FE_ESTIMATE(FCF,MEAN,LTM4,,45975,,,'')&lt;/Q&gt;&lt;R&gt;1&lt;/R&gt;&lt;C&gt;1&lt;/C&gt;&lt;D xsi:type="xsd:double"&gt;-497.283&lt;/D&gt;&lt;/FQL&gt;&lt;FQL&gt;&lt;Q&gt;NVDA^FE_ESTIMATE(FCF,MEAN,CALA_ROLL,2027,45975,,,'')&lt;/Q&gt;&lt;R&gt;1&lt;/R&gt;&lt;C&gt;1&lt;/C&gt;&lt;D xsi:type="xsd:double"&gt;176198.33&lt;/D&gt;&lt;/FQL&gt;&lt;FQL&gt;&lt;Q&gt;NVDA^FE_ESTIMATE(FCF,MEAN,CAL4,2026,45975,,,'')&lt;/Q&gt;&lt;R&gt;1&lt;/R&gt;&lt;C&gt;1&lt;/C&gt;&lt;D xsi:type="xsd:double"&gt;147452.98&lt;/D&gt;&lt;/FQL&gt;&lt;FQL&gt;&lt;Q&gt;NVDA^FE_ESTIMATE(FCF,MEAN,CAL4,2025,45975,,,'')&lt;/Q&gt;&lt;R&gt;1&lt;/R&gt;&lt;C&gt;1&lt;/C&gt;&lt;D xsi:type="xsd:double"&gt;96844.664&lt;/D&gt;&lt;/FQL&gt;&lt;FQL&gt;&lt;Q&gt;NVDA^FE_ESTIMATE(FCF,MEAN,CAL4,2024,45975,,,'')&lt;/Q&gt;&lt;R&gt;1&lt;/R&gt;&lt;C&gt;1&lt;/C&gt;&lt;D xsi:type="xsd:double"&gt;62019.04&lt;/D&gt;&lt;/FQL&gt;&lt;FQL&gt;&lt;Q&gt;NVDA^FE_ESTIMATE(FCF,MEAN,CAL4,2023,45975,,,'')&lt;/Q&gt;&lt;R&gt;1&lt;/R&gt;&lt;C&gt;1&lt;/C&gt;&lt;D xsi:type="xsd:double"&gt;26297.904&lt;/D&gt;&lt;/FQL&gt;&lt;FQL&gt;&lt;Q&gt;NVDA^FE_ESTIMATE(FCF,MEAN,NTM4,,45975,,,'')&lt;/Q&gt;&lt;R&gt;1&lt;/R&gt;&lt;C&gt;1&lt;/C&gt;&lt;D xsi:type="xsd:double"&gt;127061.1&lt;/D&gt;&lt;/FQL&gt;&lt;FQL&gt;&lt;Q&gt;NVDA^FE_ESTIMATE(FCF,MEAN,LTM4,,45975,,,'')&lt;/Q&gt;&lt;R&gt;1&lt;/R&gt;&lt;C&gt;1&lt;/C&gt;&lt;D xsi:type="xsd:double"&gt;72274.28&lt;/D&gt;&lt;/FQL&gt;&lt;FQL&gt;&lt;Q&gt;MSFT^FE_ESTIMATE(FCF,MEAN,CALA_ROLL,2027,45975,,,'')&lt;/Q&gt;&lt;R&gt;1&lt;/R&gt;&lt;C&gt;1&lt;/C&gt;&lt;D xsi:type="xsd:double"&gt;95838.33&lt;/D&gt;&lt;/FQL&gt;&lt;FQL&gt;&lt;Q&gt;MSFT^FE_ESTIMATE(FCF,MEAN,CALA_ROLL,2026,45975,,,'')&lt;/Q&gt;&lt;R&gt;1&lt;/R&gt;&lt;C&gt;1&lt;/C&gt;&lt;D xsi:type="xsd:double"&gt;78937.85&lt;/D&gt;&lt;/FQL&gt;&lt;FQL&gt;&lt;Q&gt;MSFT^FE_ESTIMATE(FCF,MEAN,CAL4,2025,45975,,,'')&lt;/Q&gt;&lt;R&gt;1&lt;/R&gt;&lt;C&gt;1&lt;/C&gt;&lt;D xsi:type="xsd:double"&gt;78076.1&lt;/D&gt;&lt;/FQL&gt;&lt;FQL&gt;&lt;Q&gt;MSFT^FE_ESTIMATE(FCF,MEAN,CAL4,2024,45975,,,'')&lt;/Q&gt;&lt;R&gt;1&lt;/R&gt;&lt;C&gt;1&lt;/C&gt;&lt;D xsi:type="xsd:double"&gt;68042.71&lt;/D&gt;&lt;/FQL&gt;&lt;FQL&gt;&lt;Q&gt;MSFT^FE_ESTIMATE(FCF,MEAN,CAL4,2023,45975,,,'')&lt;/Q&gt;&lt;R&gt;1&lt;/R&gt;&lt;C&gt;1&lt;/C&gt;&lt;D xsi:type="xsd:double"&gt;64571.887&lt;/D&gt;&lt;/FQL&gt;&lt;FQL&gt;&lt;Q&gt;MSFT^FE_ESTIMATE(FCF,MEAN,NTM4,,45975,,,'')&lt;/Q&gt;&lt;R&gt;1&lt;/R&gt;&lt;C&gt;1&lt;/C&gt;&lt;D xsi:type="xsd:double"&gt;72758.51&lt;/D&gt;&lt;/FQL&gt;&lt;FQL&gt;&lt;Q&gt;MSFT^FE_ESTIMATE(FCF,MEAN,LTM4,,45975,,,'')&lt;/Q&gt;&lt;R&gt;1&lt;/R&gt;&lt;C&gt;1&lt;/C&gt;&lt;D xsi:type="xsd:double"&gt;77330.516&lt;/D&gt;&lt;/FQL&gt;&lt;FQL&gt;&lt;Q&gt;AVT^FE_ESTIMATE(FCF,MEAN,CAL4,2027,45975,,,'')&lt;/Q&gt;&lt;R&gt;0&lt;/R&gt;&lt;C&gt;0&lt;/C&gt;&lt;/FQL&gt;&lt;FQL&gt;&lt;Q&gt;AVT^FE_ESTIMATE(FCF,MEAN,CAL4,2026,45975,,,'')&lt;/Q&gt;&lt;R&gt;0&lt;/R&gt;&lt;C&gt;0&lt;/C&gt;&lt;/FQL&gt;&lt;FQL&gt;&lt;Q&gt;AVT^FE_ESTIMATE(FCF,MEAN,CAL4,2025,45975,,,'')&lt;/Q&gt;&lt;R&gt;0&lt;/R&gt;&lt;C&gt;0&lt;/C&gt;&lt;/FQL&gt;&lt;FQL&gt;&lt;Q&gt;AVT^FE_ESTIMATE(FCF,MEAN,CAL4,2024,45975,,,'')&lt;/Q&gt;&lt;R&gt;0&lt;/R&gt;&lt;C&gt;0&lt;/C&gt;&lt;/FQL&gt;&lt;FQL&gt;&lt;Q&gt;AVT^FE_ESTIMATE(FCF,MEAN,CAL4,2023,45975,,,'')&lt;/Q&gt;&lt;R&gt;0&lt;/R&gt;&lt;C&gt;0&lt;/C&gt;&lt;/FQL&gt;&lt;FQL&gt;&lt;Q&gt;AVT^FE_ESTIMATE(FCF,MEAN,NTM4,,45975,,,'')&lt;/Q&gt;&lt;R&gt;0&lt;/R&gt;&lt;C&gt;0&lt;/C&gt;&lt;/FQL&gt;&lt;FQL&gt;&lt;Q&gt;AVT^FE_ESTIMATE(FCF,MEAN,LTM4,,45975,,,'')&lt;/Q&gt;&lt;R&gt;0&lt;/R&gt;&lt;C&gt;0&lt;/C&gt;&lt;/FQL&gt;&lt;FQL&gt;&lt;Q&gt;ARW^FE_ESTIMATE(FCF,MEAN,CAL4,2027,45975,,,'')&lt;/Q&gt;&lt;R&gt;0&lt;/R&gt;&lt;C&gt;0&lt;/C&gt;&lt;/FQL&gt;&lt;FQL&gt;&lt;Q&gt;ARW^FE_ESTIMATE(FCF,MEAN,CAL4,2026,45975,,,'')&lt;/Q&gt;&lt;R&gt;0&lt;/R&gt;&lt;C&gt;0&lt;/C&gt;&lt;/FQL&gt;&lt;FQL&gt;&lt;Q&gt;ARW^FE_ESTIMATE(FCF,MEAN,CAL4,2025,45975,,,'')&lt;/Q&gt;&lt;R&gt;0&lt;/R&gt;&lt;C&gt;0&lt;/C&gt;&lt;/FQL&gt;&lt;FQL&gt;&lt;Q&gt;ARW^FE_ESTIMATE(FCF,MEAN,CAL4,2024,45975,,,'')&lt;/Q&gt;&lt;R&gt;0&lt;/R&gt;&lt;C&gt;0&lt;/C&gt;&lt;/FQL&gt;&lt;FQL&gt;&lt;Q&gt;ARW^FE_ESTIMATE(FCF,MEAN,CAL4,2023,45975,,,'')&lt;/Q&gt;&lt;R&gt;0&lt;/R&gt;&lt;C&gt;0&lt;/C&gt;&lt;/FQL&gt;&lt;FQL&gt;&lt;Q&gt;ARW^FE_ESTIMATE(FCF,MEAN,NTM4,,45975,,,'')&lt;/Q&gt;&lt;R&gt;0&lt;/R&gt;&lt;C&gt;0&lt;/C&gt;&lt;/FQL&gt;&lt;FQL&gt;&lt;Q&gt;ARW^FE_ESTIMATE(FCF,MEAN,LTM4,,45975,,,'')&lt;/Q&gt;&lt;R&gt;0&lt;/R&gt;&lt;C&gt;0&lt;/C&gt;&lt;/FQL&gt;&lt;FQL&gt;&lt;Q&gt;SNX^FE_ESTIMATE(FCF,MEAN,CAL4,2027,45975,,,'')&lt;/Q&gt;&lt;R&gt;1&lt;/R&gt;&lt;C&gt;1&lt;/C&gt;&lt;D xsi:type="xsd:double"&gt;1204.9&lt;/D&gt;&lt;/FQL&gt;&lt;FQL&gt;&lt;Q&gt;SNX^FE_ESTIMATE(FCF,MEAN,CAL4,2026,45975,,,'')&lt;/Q&gt;&lt;R&gt;1&lt;/R&gt;&lt;C&gt;1&lt;/C&gt;&lt;D xsi:type="xsd:double"&gt;1113.9&lt;/D&gt;&lt;/FQL&gt;&lt;FQL&gt;&lt;Q&gt;SNX^FE_ESTIMATE(FCF,MEAN,CAL4,2025,45975,,,'')&lt;/Q&gt;&lt;R&gt;1&lt;/R&gt;&lt;C&gt;1&lt;/C&gt;&lt;D xsi:type="xsd:double"&gt;854.937&lt;/D&gt;&lt;/FQL&gt;&lt;FQL&gt;&lt;Q&gt;SNX^FE_ESTIMATE(FCF,MEAN,CAL4,2024,45975,,,'')&lt;/Q&gt;&lt;R&gt;1&lt;/R&gt;&lt;C&gt;1&lt;/C&gt;&lt;D xsi:type="xsd:double"&gt;1042.612&lt;/D&gt;&lt;/FQL&gt;&lt;FQL&gt;&lt;Q&gt;SNX^FE_ESTIMATE(FCF,MEAN,CAL4,2023,45975,,,'')&lt;/Q&gt;&lt;R&gt;1&lt;/R&gt;&lt;C&gt;1&lt;/C&gt;&lt;D xsi:type="xsd:double"&gt;1257.366&lt;/D&gt;&lt;/FQL&gt;&lt;FQL&gt;&lt;Q&gt;SNX^FE_ESTIMATE(FCF,MEAN,NTM4,,45975,,,'')&lt;/Q&gt;&lt;R&gt;1&lt;/R&gt;&lt;C&gt;1&lt;/C&gt;&lt;D xsi:type="xsd:double"&gt;1337.6&lt;/D&gt;&lt;/FQL&gt;&lt;FQL&gt;&lt;Q&gt;SNX^FE_ESTIMATE(FCF,MEAN,LTM4,,45975,,,'')&lt;/Q&gt;&lt;R&gt;1&lt;/R&gt;&lt;C&gt;1&lt;/C&gt;&lt;D xsi:type="xsd:double"&gt;480.218&lt;/D&gt;&lt;/FQL&gt;&lt;FQL&gt;&lt;Q&gt;CDW^FE_ESTIMATE(FCF,MEAN,CAL4,2027,45975,,,'')&lt;/Q&gt;&lt;R&gt;0&lt;/R&gt;&lt;C&gt;0&lt;/C&gt;&lt;/FQL&gt;&lt;FQL&gt;&lt;Q&gt;CDW^FE_ESTIMATE(FCF,MEAN,CAL4,2026,45975,,,'')&lt;/Q&gt;&lt;R&gt;0&lt;/R&gt;&lt;C&gt;0&lt;/C&gt;&lt;/FQL&gt;&lt;FQL&gt;&lt;Q&gt;CDW^FE_ESTIMATE(FCF,MEAN,CAL4,2025,45975,,,'')&lt;/Q&gt;&lt;R&gt;0&lt;/R&gt;&lt;C&gt;0&lt;/C&gt;&lt;/FQL&gt;&lt;FQL&gt;&lt;Q&gt;CDW^FE_ESTIMATE(FCF,MEAN,CAL4,2024,45975,,,'')&lt;/Q&gt;&lt;R&gt;0&lt;/R&gt;&lt;C&gt;0&lt;/C&gt;&lt;/FQL&gt;&lt;FQL&gt;&lt;Q&gt;CDW^FE_ESTIMATE(FCF,MEAN,CAL4,2023,45975,,,'')&lt;/Q&gt;&lt;R&gt;0&lt;/R&gt;&lt;C&gt;0&lt;/C&gt;&lt;/FQL&gt;&lt;FQL&gt;&lt;Q&gt;CDW^FE_ESTIMATE(FCF,MEAN,NTM4,,45975,,,'')&lt;/Q&gt;&lt;R&gt;0&lt;/R&gt;&lt;C&gt;0&lt;/C&gt;&lt;/FQL&gt;&lt;FQL&gt;&lt;Q&gt;CDW^FE_ESTIMATE(FCF,MEAN,LTM4,,45975,,,'')&lt;/Q&gt;&lt;R&gt;0&lt;/R&gt;&lt;C&gt;0&lt;/C&gt;&lt;/FQL&gt;&lt;FQL&gt;&lt;Q&gt;INGM^FE_ESTIMATE(FCF,MEAN,CAL4,2027,45975,,,'')&lt;/Q&gt;&lt;R&gt;1&lt;/R&gt;&lt;C&gt;1&lt;/C&gt;&lt;D xsi:type="xsd:double"&gt;360&lt;/D&gt;&lt;/FQL&gt;&lt;FQL&gt;&lt;Q&gt;INGM^FE_ESTIMATE(FCF,MEAN,CAL4,2026,45975,,,'')&lt;/Q&gt;&lt;R&gt;1&lt;/R&gt;&lt;C&gt;1&lt;/C&gt;&lt;D xsi:type="xsd:double"&gt;200&lt;/D&gt;&lt;/FQL&gt;&lt;FQL&gt;&lt;Q&gt;INGM^FE_ESTIMATE(FCF,MEAN,CAL4,2025,45975,,,'')&lt;/Q&gt;&lt;R&gt;1&lt;/R&gt;&lt;C&gt;1&lt;/C&gt;&lt;D xsi:type="xsd:double"&gt;62&lt;/D&gt;&lt;/FQL&gt;&lt;FQL&gt;&lt;Q&gt;INGM^FE_ESTIMATE(FCF,MEAN,CAL4,2024,45975,,,'')&lt;/Q&gt;&lt;R&gt;0&lt;/R&gt;&lt;C&gt;0&lt;/C&gt;&lt;/FQL&gt;&lt;FQL&gt;&lt;Q&gt;INGM^FE_ESTIMATE(FCF,MEAN,CAL4,2023,45975,,,'')&lt;/Q&gt;&lt;R&gt;0&lt;/R&gt;&lt;C&gt;0&lt;/C&gt;&lt;/FQL&gt;&lt;FQL&gt;&lt;Q&gt;INGM^FE_ESTIMATE(FCF,MEAN,NTM4,,45975,,,'')&lt;/Q&gt;&lt;R&gt;1&lt;/R&gt;&lt;C&gt;1&lt;/C&gt;&lt;D xsi:type="xsd:double"&gt;441&lt;/D&gt;&lt;/FQL&gt;&lt;FQL&gt;&lt;Q&gt;INGM^FE_ESTIMATE(FCF,MEAN,LTM4,,45975,,,'')&lt;/Q&gt;&lt;R&gt;1&lt;/R&gt;&lt;C&gt;1&lt;/C&gt;&lt;D xsi:type="xsd:double"&gt;-188.5&lt;/D&gt;&lt;/FQL&gt;&lt;FQL&gt;&lt;Q&gt;AVT^FE_ESTIMATE(EPS_GAAP,MEAN,CAL4,2027,45975,,,'')&lt;/Q&gt;&lt;R&gt;0&lt;/R&gt;&lt;C&gt;0&lt;/C&gt;&lt;/FQL&gt;&lt;FQL&gt;&lt;Q&gt;AVT^FE_ESTIMATE(EPS_GAAP,MEAN,CAL4,2026,45975,,,'')&lt;/Q&gt;&lt;R&gt;1&lt;/R&gt;&lt;C&gt;1&lt;/C&gt;&lt;D xsi:type="xsd:double"&gt;5.213333&lt;/D&gt;&lt;/FQL&gt;&lt;FQL&gt;&lt;Q&gt;AVT^FE_ESTIMATE(EPS_GAAP,MEAN,CAL4,2025,45975,,,'')&lt;/Q&gt;&lt;R&gt;1&lt;/R&gt;&lt;C&gt;1&lt;/C&gt;&lt;D xsi:type="xsd:double"&gt;2.4733334&lt;/D&gt;&lt;/FQL&gt;&lt;FQL&gt;&lt;Q&gt;AVT^FE_ESTIMATE(EPS_GAAP,MEAN,CAL4,2024,45975,,,'')&lt;/Q&gt;&lt;R&gt;1&lt;/R&gt;&lt;C&gt;1&lt;/C&gt;&lt;D xsi:type="xsd:double"&gt;3.53&lt;/D&gt;&lt;/FQL&gt;&lt;FQL&gt;&lt;Q&gt;AVT^FE_ESTIMATE(EPS_GAAP,MEAN,CAL4,2023,45975,,,'')&lt;/Q&gt;&lt;R&gt;1&lt;/R&gt;&lt;C&gt;1&lt;/C&gt;&lt;D xsi:type="xsd:double"&gt;7.24&lt;/D&gt;&lt;/FQL&gt;&lt;FQL&gt;&lt;Q&gt;AVT^FE_ESTIMATE(EPS_GAAP,MEAN,NTM4,,45975,,,'')&lt;/Q&gt;&lt;R&gt;1&lt;/R&gt;&lt;C&gt;1&lt;/C&gt;&lt;D xsi:type="xsd:double"&gt;4.386667&lt;/D&gt;&lt;/FQL&gt;&lt;FQL&gt;&lt;Q&gt;AVT^FE_ESTIMATE(EPS_GAAP,MEAN,LTM4,,45975,,,'')&lt;/Q&gt;&lt;R&gt;1&lt;/R&gt;&lt;C&gt;1&lt;/C&gt;&lt;D xsi:type="xsd:double"&gt;2.68&lt;/D&gt;&lt;/FQL&gt;&lt;FQL&gt;&lt;Q&gt;ARW^FE_ESTIMATE(EPS_GAAP,MEAN,CALA_ROLL,2027,45975,,,'')&lt;/Q&gt;&lt;R&gt;0&lt;/R&gt;&lt;C&gt;0&lt;/C&gt;&lt;/FQL&gt;&lt;FQL&gt;&lt;Q&gt;ARW^FE_ESTIMATE(EPS_GAAP,MEAN,CAL4,2026,45975,,,'')&lt;/Q&gt;&lt;R&gt;1&lt;/R&gt;&lt;C&gt;1&lt;/C&gt;&lt;D xsi:type="xsd:double"&gt;9.87&lt;/D&gt;&lt;/FQL&gt;&lt;FQL&gt;&lt;Q&gt;ARW^FE_ESTIMATE(EPS_GAAP,MEAN,CAL4,2025,45975,,,'')&lt;/Q&gt;&lt;R&gt;1&lt;/R&gt;&lt;C&gt;1&lt;/C&gt;&lt;D xsi:type="xsd:double"&gt;10.38&lt;/D&gt;&lt;/FQL&gt;&lt;FQL&gt;&lt;Q&gt;ARW^FE_ESTIMATE(EPS_GAAP,MEAN,CAL4,2024,45975,,,'')&lt;/Q&gt;&lt;R&gt;1&lt;/R&gt;&lt;C&gt;1&lt;/C&gt;&lt;D xsi:type="xsd:double"&gt;7.28&lt;/D&gt;&lt;/FQL&gt;&lt;FQL&gt;&lt;Q&gt;ARW^FE_ESTIMATE(EPS_GAAP,MEAN,CAL4,2023,45975,,,'')&lt;/Q&gt;&lt;R&gt;1&lt;/R&gt;&lt;C&gt;1&lt;/C&gt;&lt;D xsi:type="xsd:double"&gt;15.79&lt;/D&gt;&lt;/FQL&gt;&lt;FQL&gt;&lt;Q&gt;ARW^FE_ESTIMATE(EPS_GAAP,MEAN,NTM4,,45975,,,'')&lt;/Q&gt;&lt;R&gt;1&lt;/R&gt;&lt;C&gt;1&lt;/C&gt;&lt;D xsi:type="xsd:double"&gt;9.21&lt;/D&gt;&lt;/FQL&gt;&lt;FQL&gt;&lt;Q&gt;ARW^FE_ESTIMATE(EPS_GAAP,MEAN,LTM4,,45975,,,'')&lt;/Q&gt;&lt;R&gt;1&lt;/R&gt;&lt;C&gt;1&lt;/C&gt;&lt;D xsi:type="xsd:double"&gt;9.05&lt;/D&gt;&lt;/FQL&gt;&lt;FQL&gt;&lt;Q&gt;SNX^FE_ESTIMATE(EPS_GAAP,MEAN,CAL4,2027,45975,,,'')&lt;/Q&gt;&lt;R&gt;1&lt;/R&gt;&lt;C&gt;1&lt;/C&gt;&lt;D xsi:type="xsd:double"&gt;12.106444&lt;/D&gt;&lt;/FQL&gt;&lt;FQL&gt;&lt;Q&gt;SNX^FE_ESTIMATE(EPS_GAAP,MEAN,CAL4,2026,45975,,,'')&lt;/Q&gt;&lt;R&gt;1&lt;/R&gt;&lt;C&gt;1&lt;/C&gt;&lt;D xsi:type="xsd:double"&gt;10.797615&lt;/D&gt;&lt;/FQL&gt;&lt;FQL&gt;&lt;Q&gt;SNX^FE_ESTIMATE(EPS_GAAP,MEAN,CAL4,2025,45975,,,'')&lt;/Q&gt;&lt;R&gt;1&lt;/R&gt;&lt;C&gt;1&lt;/C&gt;&lt;D xsi:type="xsd:double"&gt;9.783954&lt;/D&gt;&lt;/FQL&gt;&lt;FQL&gt;&lt;Q&gt;SNX^FE_ESTIMATE(EPS_GAAP,MEAN,CAL4,2024,45975,,,'')&lt;/Q&gt;&lt;R&gt;1&lt;/R&gt;&lt;C&gt;1&lt;/C&gt;&lt;D xsi:type="xsd:double"&gt;7.96&lt;/D&gt;&lt;/FQL&gt;&lt;FQL&gt;&lt;Q&gt;SNX^FE_ESTIMATE(EPS_GAAP,MEAN,CAL4,2023,45975,,,'')&lt;/Q&gt;&lt;R&gt;1&lt;/R&gt;&lt;C&gt;1&lt;/C&gt;&lt;D xsi:type="xsd:double"&gt;6.71&lt;/D&gt;&lt;/FQL&gt;&lt;FQL&gt;&lt;Q&gt;SNX^FE_ESTIMATE(EPS_GAAP,MEAN,NTM4,,45975,,,'')&lt;/Q&gt;&lt;R&gt;1&lt;/R&gt;&lt;C&gt;1&lt;/C&gt;&lt;D xsi:type="xsd:double"&gt;10.538556&lt;/D&gt;&lt;/FQL&gt;&lt;FQL&gt;&lt;Q&gt;SNX^FE_ESTIMATE(EPS_GAAP,MEAN,LTM4,,45975,,,'')&lt;/Q&gt;&lt;R&gt;1&lt;/R&gt;&lt;C&gt;1&lt;/C&gt;&lt;D xsi:type="xsd:double"&gt;9.22&lt;/D&gt;&lt;/FQL&gt;&lt;FQL&gt;&lt;Q&gt;CDW^FE_ESTIMATE(EPS_GAAP,MEAN,CALA_ROLL,2027,45975,,,'')&lt;/Q&gt;&lt;R&gt;1&lt;/R&gt;&lt;C&gt;1&lt;/C&gt;&lt;D xsi:type="xsd:double"&gt;9.852643&lt;/D&gt;&lt;/FQL&gt;&lt;FQL&gt;&lt;Q&gt;CDW^FE_ESTIMATE(EPS_GAAP,MEAN,CAL4,2026,45975,,,'')&lt;/Q&gt;&lt;R&gt;1&lt;/R&gt;&lt;C&gt;1&lt;/C&gt;&lt;D xsi:type="xsd:double"&gt;8.931994&lt;/D&gt;&lt;/FQL&gt;&lt;FQL&gt;&lt;Q&gt;CDW^FE_ESTIMATE(EPS_GAAP,MEAN,CAL4,2025,45975,,,'')&lt;/Q&gt;&lt;R&gt;1&lt;/R&gt;&lt;C&gt;1&lt;/C&gt;&lt;D xsi:type="xsd:double"&gt;7.993514&lt;/D&gt;&lt;/FQL&gt;&lt;FQL&gt;&lt;Q&gt;CDW^FE_ESTIMATE(EPS_GAAP,MEAN,CAL4,2024,45975,,,'')&lt;/Q&gt;&lt;R&gt;1&lt;/R&gt;&lt;C&gt;1&lt;/C&gt;&lt;D xsi:type="xsd:double"&gt;7.97&lt;/D&gt;&lt;/FQL&gt;&lt;FQL&gt;&lt;Q&gt;CDW^FE_ESTIMATE(EPS_GAAP,MEAN,CAL4,2023,45975,,,'')&lt;/Q&gt;&lt;R&gt;1&lt;/R&gt;&lt;C&gt;1&lt;/C&gt;&lt;D xsi:type="xsd:double"&gt;8.1&lt;/D&gt;&lt;/FQL&gt;&lt;FQL&gt;&lt;Q&gt;CDW^FE_ESTIMATE(EPS_GAAP,MEAN,NTM4,,45975,,,'')&lt;/Q&gt;&lt;R&gt;1&lt;/R&gt;&lt;C&gt;1&lt;/C&gt;&lt;D xsi:type="xsd:double"&gt;8.598257&lt;/D&gt;&lt;/FQL&gt;&lt;FQL&gt;&lt;Q&gt;CDW^FE_ESTIMATE(EPS_GAAP,MEAN,LTM4,,45975,,,'')&lt;/Q&gt;&lt;R&gt;1&lt;/R&gt;&lt;C&gt;1&lt;/C&gt;&lt;D xsi:type="xsd:double"&gt;7.92&lt;/D&gt;&lt;/FQL&gt;&lt;FQL&gt;&lt;Q&gt;INGM^FE_ESTIMATE(EPS_GAAP,MEAN,CALA_ROLL,2027,45975,,,'')&lt;/Q&gt;&lt;R&gt;1&lt;/R&gt;&lt;C&gt;1&lt;/C&gt;&lt;D xsi:type="xsd:double"&gt;2.72&lt;/D&gt;&lt;/FQL&gt;&lt;FQL&gt;&lt;Q&gt;INGM^FE_ESTIMATE(EPS_GAAP,MEAN,CAL4,2026,45975,,,'')&lt;/Q&gt;&lt;R&gt;1&lt;/R&gt;&lt;C&gt;1&lt;/C&gt;&lt;D xsi:type="xsd:double"&gt;2.3383334&lt;/D&gt;&lt;/FQL&gt;&lt;FQL&gt;&lt;Q&gt;INGM^FE_ESTIMATE(EPS_GAAP,MEAN,CAL4,2025,45975,,,'')&lt;/Q&gt;&lt;R&gt;1&lt;/R&gt;&lt;C&gt;1&lt;/C&gt;&lt;D xsi:type="xsd:double"&gt;1.5375&lt;/D&gt;&lt;/FQL&gt;&lt;FQL&gt;&lt;Q&gt;INGM^FE_ESTIMATE(EPS_GAAP,MEAN,CAL4,2024,45975,,,'')&lt;/Q&gt;&lt;R&gt;0&lt;/R&gt;&lt;C&gt;0&lt;/C&gt;&lt;/FQL&gt;&lt;FQL&gt;&lt;Q&gt;INGM^FE_ESTIMATE(EPS_GAAP,MEAN,CAL4,2023,45975,,,'')&lt;/Q&gt;&lt;R&gt;0&lt;/R&gt;&lt;C&gt;0&lt;/C&gt;&lt;/FQL&gt;&lt;FQL&gt;&lt;Q&gt;INGM^FE_ESTIMATE(EPS_GAAP,MEAN,NTM4,,45975,,,'')&lt;/Q&gt;&lt;R&gt;1&lt;/R&gt;&lt;C&gt;1&lt;/C&gt;&lt;D xsi:type="xsd:double"&gt;2.1125&lt;/D&gt;&lt;/FQL&gt;&lt;FQL&gt;&lt;Q&gt;INGM^FE_ESTIMATE(EPS_GAAP,MEAN,LTM4,,45975,,,'')&lt;/Q&gt;&lt;R&gt;1&lt;/R&gt;&lt;C&gt;1&lt;/C&gt;&lt;D xsi:type="xsd:double"&gt;1.23&lt;/D&gt;&lt;/FQL&gt;&lt;FQL&gt;&lt;Q&gt;NBIS^FE_ESTIMATE(EPS_GAAP,MEAN,CALA_ROLL,2027,45975,,,'')&lt;/Q&gt;&lt;R&gt;0&lt;/R&gt;&lt;C&gt;0&lt;/C&gt;&lt;/FQL&gt;&lt;FQL&gt;&lt;Q&gt;NBIS^FE_ESTIMATE(EPS_GAAP,MEAN,CAL4,2026,45975,,,'')&lt;/Q&gt;&lt;R&gt;1&lt;/R&gt;&lt;C&gt;1&lt;/C&gt;&lt;D xsi:type="xsd:double"&gt;2.925&lt;/D&gt;&lt;/FQL&gt;&lt;FQL&gt;&lt;Q&gt;NBIS^FE_ESTIMATE(EPS_GAAP,MEAN,CAL4,2025,45975,,,'')&lt;/Q&gt;&lt;R&gt;1&lt;/R&gt;&lt;C&gt;1&lt;/C&gt;&lt;D xsi:type="xsd:double"&gt;1.318209&lt;/D&gt;&lt;/FQL&gt;&lt;FQL&gt;&lt;Q&gt;NBIS^FE_ESTIMATE(EPS_GAAP,MEAN,CAL4,2024,45975,,,'')&lt;/Q&gt;&lt;R&gt;0&lt;/R&gt;&lt;C&gt;0&lt;/C&gt;&lt;/FQL&gt;&lt;FQL&gt;&lt;Q&gt;NBIS^FE_ESTIMATE(EPS_GAAP,MEAN,CAL4,2023,45975,,,'')&lt;/Q&gt;&lt;R&gt;0&lt;/R&gt;&lt;C&gt;0&lt;/C&gt;&lt;/FQL&gt;&lt;FQL&gt;&lt;Q&gt;NBIS^FE_ESTIMATE(EPS_GAAP,MEAN,NTM4,,45975,,,'')&lt;/Q&gt;&lt;R&gt;1&lt;/R&gt;&lt;C&gt;1&lt;/C&gt;&lt;D xsi:type="xsd:double"&gt;1.48&lt;/D&gt;&lt;/FQL&gt;&lt;FQL&gt;&lt;Q&gt;NBIS^FE_ESTIMATE(EPS_GAAP,MEAN,LTM4,,45975,,,'')&lt;/Q&gt;&lt;R&gt;0&lt;/R&gt;&lt;C&gt;0&lt;/C&gt;&lt;/FQL&gt;&lt;FQL&gt;&lt;Q&gt;DOCN^FE_ESTIMATE(EPS_GAAP,MEAN,CALA_ROLL,2027,45975,,,'')&lt;/Q&gt;&lt;R&gt;1&lt;/R&gt;&lt;C&gt;1</t>
        </r>
      </text>
    </comment>
    <comment ref="A20" authorId="0" shapeId="0" xr:uid="{795D05E1-1279-4CB8-90DD-C73A5B398EFF}">
      <text>
        <r>
          <rPr>
            <b/>
            <sz val="9"/>
            <color indexed="81"/>
            <rFont val="Tahoma"/>
            <charset val="1"/>
          </rPr>
          <t>&lt;/C&gt;&lt;D xsi:type="xsd:double"&gt;1.161873&lt;/D&gt;&lt;/FQL&gt;&lt;FQL&gt;&lt;Q&gt;DOCN^FE_ESTIMATE(EPS_GAAP,MEAN,CAL4,2026,45975,,,'')&lt;/Q&gt;&lt;R&gt;1&lt;/R&gt;&lt;C&gt;1&lt;/C&gt;&lt;D xsi:type="xsd:double"&gt;1.097722&lt;/D&gt;&lt;/FQL&gt;&lt;FQL&gt;&lt;Q&gt;DOCN^FE_ESTIMATE(EPS_GAAP,MEAN,CAL4,2025,45975,,,'')&lt;/Q&gt;&lt;R&gt;1&lt;/R&gt;&lt;C&gt;1&lt;/C&gt;&lt;D xsi:type="xsd:double"&gt;2.70581&lt;/D&gt;&lt;/FQL&gt;&lt;FQL&gt;&lt;Q&gt;DOCN^FE_ESTIMATE(EPS_GAAP,MEAN,CAL4,2024,45975,,,'')&lt;/Q&gt;&lt;R&gt;1&lt;/R&gt;&lt;C&gt;1&lt;/C&gt;&lt;D xsi:type="xsd:double"&gt;0.87&lt;/D&gt;&lt;/FQL&gt;&lt;FQL&gt;&lt;Q&gt;DOCN^FE_ESTIMATE(EPS_GAAP,MEAN,CAL4,2023,45975,,,'')&lt;/Q&gt;&lt;R&gt;1&lt;/R&gt;&lt;C&gt;1&lt;/C&gt;&lt;D xsi:type="xsd:double"&gt;0.013333334&lt;/D&gt;&lt;/FQL&gt;&lt;FQL&gt;&lt;Q&gt;DOCN^FE_ESTIMATE(EPS_GAAP,MEAN,NTM4,,45975,,,'')&lt;/Q&gt;&lt;R&gt;1&lt;/R&gt;&lt;C&gt;1&lt;/C&gt;&lt;D xsi:type="xsd:double"&gt;1.137187&lt;/D&gt;&lt;/FQL&gt;&lt;FQL&gt;&lt;Q&gt;DOCN^FE_ESTIMATE(EPS_GAAP,MEAN,LTM4,,45975,,,'')&lt;/Q&gt;&lt;R&gt;1&lt;/R&gt;&lt;C&gt;1&lt;/C&gt;&lt;D xsi:type="xsd:double"&gt;2.71&lt;/D&gt;&lt;/FQL&gt;&lt;FQL&gt;&lt;Q&gt;GOOG^FE_ESTIMATE(EPS_GAAP,MEAN,CALA_ROLL,2027,45975,,,'')&lt;/Q&gt;&lt;R&gt;1&lt;/R&gt;&lt;C&gt;1&lt;/C&gt;&lt;D xsi:type="xsd:double"&gt;12.765592&lt;/D&gt;&lt;/FQL&gt;&lt;FQL&gt;&lt;Q&gt;GOOG^FE_ESTIMATE(EPS_GAAP,MEAN,CAL4,2026,45975,,,'')&lt;/Q&gt;&lt;R&gt;1&lt;/R&gt;&lt;C&gt;1&lt;/C&gt;&lt;D xsi:type="xsd:double"&gt;11.041864&lt;/D&gt;&lt;/FQL&gt;&lt;FQL&gt;&lt;Q&gt;GOOG^FE_ESTIMATE(EPS_GAAP,MEAN,CAL4,2025,45975,,,'')&lt;/Q&gt;&lt;R&gt;1&lt;/R&gt;&lt;C&gt;1&lt;/C&gt;&lt;D xsi:type="xsd:double"&gt;10.608191&lt;/D&gt;&lt;/FQL&gt;&lt;FQL&gt;&lt;Q&gt;GOOG^FE_ESTIMATE(EPS_GAAP,MEAN,CAL4,2024,45975,,,'')&lt;/Q&gt;&lt;R&gt;1&lt;/R&gt;&lt;C&gt;1&lt;/C&gt;&lt;D xsi:type="xsd:double"&gt;8.05&lt;/D&gt;&lt;/FQL&gt;&lt;FQL&gt;&lt;Q&gt;GOOG^FE_ESTIMATE(EPS_GAAP,MEAN,CAL4,2023,45975,,,'')&lt;/Q&gt;&lt;R&gt;1&lt;/R&gt;&lt;C&gt;1&lt;/C&gt;&lt;D xsi:type="xsd:double"&gt;5.8&lt;/D&gt;&lt;/FQL&gt;&lt;FQL&gt;&lt;Q&gt;GOOG^FE_ESTIMATE(EPS_GAAP,MEAN,NTM4,,45975,,,'')&lt;/Q&gt;&lt;R&gt;1&lt;/R&gt;&lt;C&gt;1&lt;/C&gt;&lt;D xsi:type="xsd:double"&gt;10.6058855&lt;/D&gt;&lt;/FQL&gt;&lt;FQL&gt;&lt;Q&gt;GOOG^FE_ESTIMATE(EPS_GAAP,MEAN,LTM4,,45975,,,'')&lt;/Q&gt;&lt;R&gt;1&lt;/R&gt;&lt;C&gt;1&lt;/C&gt;&lt;D xsi:type="xsd:double"&gt;10.14&lt;/D&gt;&lt;/FQL&gt;&lt;FQL&gt;&lt;Q&gt;AMZN^FE_ESTIMATE(EPS_GAAP,MEAN,CALA_ROLL,2027,45975,,,'')&lt;/Q&gt;&lt;R&gt;1&lt;/R&gt;&lt;C&gt;1&lt;/C&gt;&lt;D xsi:type="xsd:double"&gt;9.638883&lt;/D&gt;&lt;/FQL&gt;&lt;FQL&gt;&lt;Q&gt;AMZN^FE_ESTIMATE(EPS_GAAP,MEAN,CAL4,2026,45975,,,'')&lt;/Q&gt;&lt;R&gt;1&lt;/R&gt;&lt;C&gt;1&lt;/C&gt;&lt;D xsi:type="xsd:double"&gt;7.843112&lt;/D&gt;&lt;/FQL&gt;&lt;FQL&gt;&lt;Q&gt;AMZN^FE_ESTIMATE(EPS_GAAP,MEAN,CAL4,2025,45975,,,'')&lt;/Q&gt;&lt;R&gt;1&lt;/R&gt;&lt;C&gt;1&lt;/C&gt;&lt;D xsi:type="xsd:double"&gt;7.1685433&lt;/D&gt;&lt;/FQL&gt;&lt;FQL&gt;&lt;Q&gt;AMZN^FE_ESTIMATE(EPS_GAAP,MEAN,CAL4,2024,45975,,,'')&lt;/Q&gt;&lt;R&gt;1&lt;/R&gt;&lt;C&gt;1&lt;/C&gt;&lt;D xsi:type="xsd:double"&gt;5.53&lt;/D&gt;&lt;/FQL&gt;&lt;FQL&gt;&lt;Q&gt;AMZN^FE_ESTIMATE(EPS_GAAP,MEAN,CAL4,2023,45975,,,'')&lt;/Q&gt;&lt;R&gt;1&lt;/R&gt;&lt;C&gt;1&lt;/C&gt;&lt;D xsi:type="xsd:double"&gt;2.9&lt;/D&gt;&lt;/FQL&gt;&lt;FQL&gt;&lt;Q&gt;AMZN^FE_ESTIMATE(EPS_GAAP,MEAN,NTM4,,45975,,,'')&lt;/Q&gt;&lt;R&gt;1&lt;/R&gt;&lt;C&gt;1&lt;/C&gt;&lt;D xsi:type="xsd:double"&gt;7.4664946&lt;/D&gt;&lt;/FQL&gt;&lt;FQL&gt;&lt;Q&gt;AMZN^FE_ESTIMATE(EPS_GAAP,MEAN,LTM4,,45975,,,'')&lt;/Q&gt;&lt;R&gt;1&lt;/R&gt;&lt;C&gt;1&lt;/C&gt;&lt;D xsi:type="xsd:double"&gt;7.08&lt;/D&gt;&lt;/FQL&gt;&lt;FQL&gt;&lt;Q&gt;ORCL^FE_ESTIMATE(EPS_GAAP,MEAN,CALA_ROLL,2027,45975,,,'')&lt;/Q&gt;&lt;R&gt;1&lt;/R&gt;&lt;C&gt;1&lt;/C&gt;&lt;D xsi:type="xsd:double"&gt;7.8110533&lt;/D&gt;&lt;/FQL&gt;&lt;FQL&gt;&lt;Q&gt;ORCL^FE_ESTIMATE(EPS_GAAP,MEAN,CAL4,2026,45975,,,'')&lt;/Q&gt;&lt;R&gt;1&lt;/R&gt;&lt;C&gt;1&lt;/C&gt;&lt;D xsi:type="xsd:double"&gt;5.6840773&lt;/D&gt;&lt;/FQL&gt;&lt;FQL&gt;&lt;Q&gt;ORCL^FE_ESTIMATE(EPS_GAAP,MEAN,CAL4,2025,45975,,,'')&lt;/Q&gt;&lt;R&gt;1&lt;/R&gt;&lt;C&gt;1&lt;/C&gt;&lt;D xsi:type="xsd:double"&gt;4.427157&lt;/D&gt;&lt;/FQL&gt;&lt;FQL&gt;&lt;Q&gt;ORCL^FE_ESTIMATE(EPS_GAAP,MEAN,CAL4,2024,45975,,,'')&lt;/Q&gt;&lt;R&gt;1&lt;/R&gt;&lt;C&gt;1&lt;/C&gt;&lt;D xsi:type="xsd:double"&gt;4.09&lt;/D&gt;&lt;/FQL&gt;&lt;FQL&gt;&lt;Q&gt;ORCL^FE_ESTIMATE(EPS_GAAP,MEAN,CAL4,2023,45975,,,'')&lt;/Q&gt;&lt;R&gt;1&lt;/R&gt;&lt;C&gt;1&lt;/C&gt;&lt;D xsi:type="xsd:double"&gt;3.62&lt;/D&gt;&lt;/FQL&gt;&lt;FQL&gt;&lt;Q&gt;ORCL^FE_ESTIMATE(EPS_GAAP,MEAN,NTM4,,45975,,,'')&lt;/Q&gt;&lt;R&gt;1&lt;/R&gt;&lt;C&gt;1&lt;/C&gt;&lt;D xsi:type="xsd:double"&gt;5.392425&lt;/D&gt;&lt;/FQL&gt;&lt;FQL&gt;&lt;Q&gt;ORCL^FE_ESTIMATE(EPS_GAAP,MEAN,LTM4,,45975,,,'')&lt;/Q&gt;&lt;R&gt;1&lt;/R&gt;&lt;C&gt;1&lt;/C&gt;&lt;D xsi:type="xsd:double"&gt;4.32&lt;/D&gt;&lt;/FQL&gt;&lt;FQL&gt;&lt;Q&gt;IBM^FE_ESTIMATE(EPS_GAAP,MEAN,CALA_ROLL,2027,45975,,,'')&lt;/Q&gt;&lt;R&gt;1&lt;/R&gt;&lt;C&gt;1&lt;/C&gt;&lt;D xsi:type="xsd:double"&gt;11.140967&lt;/D&gt;&lt;/FQL&gt;&lt;FQL&gt;&lt;Q&gt;IBM^FE_ESTIMATE(EPS_GAAP,MEAN,CALA_ROLL,2026,45975,,,'')&lt;/Q&gt;&lt;R&gt;1&lt;/R&gt;&lt;C&gt;1&lt;/C&gt;&lt;D xsi:type="xsd:double"&gt;10.358258&lt;/D&gt;&lt;/FQL&gt;&lt;FQL&gt;&lt;Q&gt;IBM^FE_ESTIMATE(EPS_GAAP,MEAN,CAL4,2025,45975,,,'')&lt;/Q&gt;&lt;R&gt;1&lt;/R&gt;&lt;C&gt;1&lt;/C&gt;&lt;D xsi:type="xsd:double"&gt;9.138&lt;/D&gt;&lt;/FQL&gt;&lt;FQL&gt;&lt;Q&gt;IBM^FE_ESTIMATE(EPS_GAAP,MEAN,CAL4,2024,45975,,,'')&lt;/Q&gt;&lt;R&gt;1&lt;/R&gt;&lt;C&gt;1&lt;/C&gt;&lt;D xsi:type="xsd:double"&gt;6.42&lt;/D&gt;&lt;/FQL&gt;&lt;FQL&gt;&lt;Q&gt;IBM^FE_ESTIMATE(EPS_GAAP,MEAN,CAL4,2023,45975,,,'')&lt;/Q&gt;&lt;R&gt;1&lt;/R&gt;&lt;C&gt;1&lt;/C&gt;&lt;D xsi:type="xsd:double"&gt;8.14&lt;/D&gt;&lt;/FQL&gt;&lt;FQL&gt;&lt;Q&gt;IBM^FE_ESTIMATE(EPS_GAAP,MEAN,NTM4,,45975,,,'')&lt;/Q&gt;&lt;R&gt;1&lt;/R&gt;&lt;C&gt;1&lt;/C&gt;&lt;D xsi:type="xsd:double"&gt;10.341333&lt;/D&gt;&lt;/FQL&gt;&lt;FQL&gt;&lt;Q&gt;IBM^FE_ESTIMATE(EPS_GAAP,MEAN,LTM4,,45975,,,'')&lt;/Q&gt;&lt;R&gt;1&lt;/R&gt;&lt;C&gt;1&lt;/C&gt;&lt;D xsi:type="xsd:double"&gt;8.38&lt;/D&gt;&lt;/FQL&gt;&lt;FQL&gt;&lt;Q&gt;EQIX^FE_ESTIMATE(EPS_GAAP,MEAN,CALA_ROLL,2027,45975,,,'')&lt;/Q&gt;&lt;R&gt;1&lt;/R&gt;&lt;C&gt;1&lt;/C&gt;&lt;D xsi:type="xsd:double"&gt;15.62912&lt;/D&gt;&lt;/FQL&gt;&lt;FQL&gt;&lt;Q&gt;EQIX^FE_ESTIMATE(EPS_GAAP,MEAN,CAL4,2026,45975,,,'')&lt;/Q&gt;&lt;R&gt;1&lt;/R&gt;&lt;C&gt;1&lt;/C&gt;&lt;D xsi:type="xsd:double"&gt;14.81938&lt;/D&gt;&lt;/FQL&gt;&lt;FQL&gt;&lt;Q&gt;EQIX^FE_ESTIMATE(EPS_GAAP,MEAN,CAL4,2025,45975,,,'')&lt;/Q&gt;&lt;R&gt;1&lt;/R&gt;&lt;C&gt;1&lt;/C&gt;&lt;D xsi:type="xsd:double"&gt;14.806074&lt;/D&gt;&lt;/FQL&gt;&lt;FQL&gt;&lt;Q&gt;EQIX^FE_ESTIMATE(EPS_GAAP,MEAN,CAL4,2024,45975,,,'')&lt;/Q&gt;&lt;R&gt;1&lt;/R&gt;&lt;C&gt;1&lt;/C&gt;&lt;D xsi:type="xsd:double"&gt;8.55&lt;/D&gt;&lt;/FQL&gt;&lt;FQL&gt;&lt;Q&gt;EQIX^FE_ESTIMATE(EPS_GAAP,MEAN,CAL4,2023,45975,,,'')&lt;/Q&gt;&lt;R&gt;1&lt;/R&gt;&lt;C&gt;1&lt;/C&gt;&lt;D xsi:type="xsd:double"&gt;10.31&lt;/D&gt;&lt;/FQL&gt;&lt;FQL&gt;&lt;Q&gt;EQIX^FE_ESTIMATE(EPS_GAAP,MEAN,NTM4,,45975,,,'')&lt;/Q&gt;&lt;R&gt;1&lt;/R&gt;&lt;C&gt;1&lt;/C&gt;&lt;D xsi:type="xsd:double"&gt;14.938954&lt;/D&gt;&lt;/FQL&gt;&lt;FQL&gt;&lt;Q&gt;EQIX^FE_ESTIMATE(EPS_GAAP,MEAN,LTM4,,45975,,,'')&lt;/Q&gt;&lt;R&gt;1&lt;/R&gt;&lt;C&gt;1&lt;/C&gt;&lt;D xsi:type="xsd:double"&gt;10.92&lt;/D&gt;&lt;/FQL&gt;&lt;FQL&gt;&lt;Q&gt;DLR^FE_ESTIMATE(EPS_GAAP,MEAN,CALA_ROLL,2027,45975,,,'')&lt;/Q&gt;&lt;R&gt;1&lt;/R&gt;&lt;C&gt;1&lt;/C&gt;&lt;D xsi:type="xsd:double"&gt;2.0870016&lt;/D&gt;&lt;/FQL&gt;&lt;FQL&gt;&lt;Q&gt;DLR^FE_ESTIMATE(EPS_GAAP,MEAN,CAL4,2026,45975,,,'')&lt;/Q&gt;&lt;R&gt;1&lt;/R&gt;&lt;C&gt;1&lt;/C&gt;&lt;D xsi:type="xsd:double"&gt;1.5450794&lt;/D&gt;&lt;/FQL&gt;&lt;FQL&gt;&lt;Q&gt;DLR^FE_ESTIMATE(EPS_GAAP,MEAN,CAL4,2025,45975,,,'')&lt;/Q&gt;&lt;R&gt;1&lt;/R&gt;&lt;C&gt;1&lt;/C&gt;&lt;D xsi:type="xsd:double"&gt;3.6608315&lt;/D&gt;&lt;/FQL&gt;&lt;FQL&gt;&lt;Q&gt;DLR^FE_ESTIMATE(EPS_GAAP,MEAN,CAL4,2024,45975,,,'')&lt;/Q&gt;&lt;R&gt;1&lt;/R&gt;&lt;C&gt;1&lt;/C&gt;&lt;D xsi:type="xsd:double"&gt;1.649787&lt;/D&gt;&lt;/FQL&gt;&lt;FQL&gt;&lt;Q&gt;DLR^FE_ESTIMATE(EPS_GAAP,MEAN,CAL4,2023,45975,,,'')&lt;/Q&gt;&lt;R&gt;1&lt;/R&gt;&lt;C&gt;1&lt;/C&gt;&lt;D xsi:type="xsd:double"&gt;2.97&lt;/D&gt;&lt;/FQL&gt;&lt;FQL&gt;&lt;Q&gt;DLR^FE_ESTIMATE(EPS_GAAP,MEAN,NTM4,,45975,,,'')&lt;/Q&gt;&lt;R&gt;1&lt;/R&gt;&lt;C&gt;1&lt;/C&gt;&lt;D xsi:type="xsd:double"&gt;1.4130538&lt;/D&gt;&lt;/FQL&gt;&lt;FQL&gt;&lt;Q&gt;DLR^FE_ESTIMATE(EPS_GAAP,MEAN,LTM4,,45975,,,'')&lt;/Q&gt;&lt;R&gt;1&lt;/R&gt;&lt;C&gt;1&lt;/C&gt;&lt;D xsi:type="xsd:double"&gt;3.87&lt;/D&gt;&lt;/FQL&gt;&lt;FQL&gt;&lt;Q&gt;NVDA^FE_ESTIMATE(EPS_GAAP,MEAN,CALA_ROLL,2027,45975,,,'')&lt;/Q&gt;&lt;R&gt;1&lt;/R&gt;&lt;C&gt;1&lt;/C&gt;&lt;D xsi:type="xsd:double"&gt;7.920386&lt;/D&gt;&lt;/FQL&gt;&lt;FQL&gt;&lt;Q&gt;NVDA^FE_ESTIMATE(EPS_GAAP,MEAN,CAL4,2026,45975,,,'')&lt;/Q&gt;&lt;R&gt;1&lt;/R&gt;&lt;C&gt;1&lt;/C&gt;&lt;D xsi:type="xsd:double"&gt;6.5580134&lt;/D&gt;&lt;/FQL&gt;&lt;FQL&gt;&lt;Q&gt;NVDA^FE_ESTIMATE(EPS_GAAP,MEAN,CAL4,2025,45975,,,'')&lt;/Q&gt;&lt;R&gt;1&lt;/R&gt;&lt;C&gt;1&lt;/C&gt;&lt;D xsi:type="xsd:double"&gt;4.427668&lt;/D&gt;&lt;/FQL&gt;&lt;FQL&gt;&lt;Q&gt;NVDA^FE_ESTIMATE(EPS_GAAP,MEAN,CAL4,2024,45975,,,'')&lt;/Q&gt;&lt;R&gt;1&lt;/R&gt;&lt;C&gt;1&lt;/C&gt;&lt;D xsi:type="xsd:double"&gt;2.938&lt;/D&gt;&lt;/FQL&gt;&lt;FQL&gt;&lt;Q&gt;NVDA^FE_ESTIMATE(EPS_GAAP,MEAN,CAL4,2023,45975,,,'')&lt;/Q&gt;&lt;R&gt;1&lt;/R&gt;&lt;C&gt;1&lt;/C&gt;&lt;D xsi:type="xsd:double"&gt;1.194&lt;/D&gt;&lt;/FQL&gt;&lt;FQL&gt;&lt;Q&gt;NVDA^FE_ESTIMATE(EPS_GAAP,MEAN,NTM4,,45975,,,'')&lt;/Q&gt;&lt;R&gt;1&lt;/R&gt;&lt;C&gt;1&lt;/C&gt;&lt;D xsi:type="xsd:double"&gt;5.6397715&lt;/D&gt;&lt;/FQL&gt;&lt;FQL&gt;&lt;Q&gt;NVDA^FE_ESTIMATE(EPS_GAAP,MEAN,LTM4,,45975,,,'')&lt;/Q&gt;&lt;R&gt;1&lt;/R&gt;&lt;C&gt;1&lt;/C&gt;&lt;D xsi:type="xsd:double"&gt;3.51&lt;/D&gt;&lt;/FQL&gt;&lt;FQL&gt;&lt;Q&gt;MSFT^FE_ESTIMATE(EPS_GAAP,MEAN,CALA_ROLL,2027,45975,,,'')&lt;/Q&gt;&lt;R&gt;1&lt;/R&gt;&lt;C&gt;1&lt;/C&gt;&lt;D xsi:type="xsd:double"&gt;20.21975&lt;/D&gt;&lt;/FQL&gt;&lt;FQL&gt;&lt;Q&gt;MSFT^FE_ESTIMATE(EPS_GAAP,MEAN,CAL4,2026,45975,,,'')&lt;/Q&gt;&lt;R&gt;1&lt;/R&gt;&lt;C&gt;1&lt;/C&gt;&lt;D xsi:type="xsd:double"&gt;16.870995&lt;/D&gt;&lt;/FQL&gt;&lt;FQL&gt;&lt;Q&gt;MSFT^FE_ESTIMATE(EPS_GAAP,MEAN,CAL4,2025,45975,,,'')&lt;/Q&gt;&lt;R&gt;1&lt;/R&gt;&lt;C&gt;1&lt;/C&gt;&lt;D xsi:type="xsd:double"&gt;14.655691&lt;/D&gt;&lt;/FQL&gt;&lt;FQL&gt;&lt;Q&gt;MSFT^FE_ESTIMATE(EPS_GAAP,MEAN,CAL4,2024,45975,,,'')&lt;/Q&gt;&lt;R&gt;1&lt;/R&gt;&lt;C&gt;1&lt;/C&gt;&lt;D xsi:type="xsd:double"&gt;12.42&lt;/D&gt;&lt;/FQL&gt;&lt;FQL&gt;&lt;Q&gt;MSFT^FE_ESTIMATE(EPS_GAAP,MEAN,CAL4,2023,45975,,,'')&lt;/Q&gt;&lt;R&gt;1&lt;/R&gt;&lt;C&gt;1&lt;/C&gt;&lt;D xsi:type="xsd:double"&gt;11.060136&lt;/D&gt;&lt;/FQL&gt;&lt;FQL&gt;&lt;Q&gt;MSFT^FE_ESTIMATE(EPS_GAAP,MEAN,NTM4,,45975,,,'')&lt;/Q&gt;&lt;R&gt;1&lt;/R&gt;&lt;C&gt;1&lt;/C&gt;&lt;D xsi:type="xsd:double"&gt;16.248106&lt;/D&gt;&lt;/FQL&gt;&lt;FQL&gt;&lt;Q&gt;MSFT^FE_ESTIMATE(EPS_GAAP,MEAN,LTM4,,45975,,,'')&lt;/Q&gt;&lt;R&gt;1&lt;/R&gt;&lt;C&gt;1&lt;/C&gt;&lt;D xsi:type="xsd:double"&gt;14.06&lt;/D&gt;&lt;/FQL&gt;&lt;FQL&gt;&lt;Q&gt;AVT^FE_ESTIMATE(EBITDA,MEAN,CAL4,2027,45975,,,'')&lt;/Q&gt;&lt;R&gt;1&lt;/R&gt;&lt;C&gt;1&lt;/C&gt;&lt;D xsi:type="xsd:double"&gt;959.2&lt;/D&gt;&lt;/FQL&gt;&lt;FQL&gt;&lt;Q&gt;AVT^FE_ESTIMATE(EBITDA,MEAN,CAL4,2026,45975,,,'')&lt;/Q&gt;&lt;R&gt;1&lt;/R&gt;&lt;C&gt;1&lt;/C&gt;&lt;D xsi:type="xsd:double"&gt;923.2062&lt;/D&gt;&lt;/FQL&gt;&lt;FQL&gt;&lt;Q&gt;AVT^FE_ESTIMATE(EBITDA,MEAN,CAL4,2025,45975,,,'')&lt;/Q&gt;&lt;R&gt;1&lt;/R&gt;&lt;C&gt;1&lt;/C&gt;&lt;D xsi:type="xsd:double"&gt;683.48065&lt;/D&gt;&lt;/FQL&gt;&lt;FQL&gt;&lt;Q&gt;AVT^FE_ESTIMATE(EBITDA,MEAN,CAL4,2024,45975,,,'')&lt;/Q&gt;&lt;R&gt;1&lt;/R&gt;&lt;C&gt;1&lt;/C&gt;&lt;D xsi:type="xsd:double"&gt;813.0833&lt;/D&gt;&lt;/FQL&gt;&lt;FQL&gt;&lt;Q&gt;AVT^FE_ESTIMATE(EBITDA,MEAN,CAL4,2023,45975,,,'')&lt;/Q&gt;&lt;R&gt;1&lt;/R&gt;&lt;C&gt;1&lt;/C&gt;&lt;D xsi:type="xsd:double"&gt;1230.6333&lt;/D&gt;&lt;/FQL&gt;&lt;FQL&gt;&lt;Q&gt;AVT^FE_ESTIMATE(EBITDA,MEAN,NTM4,,45975,,,'')&lt;/Q&gt;&lt;R&gt;1&lt;/R&gt;&lt;C&gt;1&lt;/C&gt;&lt;D xsi:type="xsd:double"&gt;868.9368&lt;/D&gt;&lt;/FQL&gt;&lt;FQL&gt;&lt;Q&gt;AVT^FE_ESTIMATE(EBITDA,MEAN,LTM4,,45975,,,'')&lt;/Q&gt;&lt;R&gt;1&lt;/R&gt;&lt;C&gt;1&lt;/C&gt;&lt;D xsi:type="xsd:double"&gt;673.15&lt;/D&gt;&lt;/FQL&gt;&lt;FQL&gt;&lt;Q&gt;ARW^FE_ESTIMATE(EBITDA,MEAN,CALA_ROLL,2027,45975,,,'')&lt;/Q&gt;&lt;R&gt;1&lt;/R&gt;&lt;C&gt;1&lt;/C&gt;&lt;D xsi:type="xsd:double"&gt;1330&lt;/D&gt;&lt;/FQL&gt;&lt;FQL&gt;&lt;Q&gt;ARW^FE_ESTIMATE(EBITDA,MEAN,CAL4,2026,45975,,,'')&lt;/Q&gt;&lt;R&gt;1&lt;/R&gt;&lt;C&gt;1&lt;/C&gt;&lt;D xsi:type="xsd:double"&gt;1166.1719&lt;/D&gt;&lt;/FQL&gt;&lt;FQL&gt;&lt;Q&gt;ARW^FE_ESTIMATE(EBITDA,MEAN,CAL4,2025,45975,,,'')&lt;/Q&gt;&lt;R&gt;1&lt;/R&gt;&lt;C&gt;1&lt;/C&gt;&lt;D xsi:type="xsd:double"&gt;1046.2104&lt;/D&gt;&lt;/FQL&gt;&lt;FQL&gt;&lt;Q&gt;ARW^FE_ESTIMATE(EBITDA,MEAN,CAL4,2024,45975,,,'')&lt;/Q&gt;&lt;R&gt;1&lt;/R&gt;&lt;C&gt;1&lt;/C&gt;&lt;D xsi:type="xsd:double"&gt;1151.0667&lt;/D&gt;&lt;/FQL&gt;&lt;FQL&gt;&lt;Q&gt;ARW^FE_ESTIMATE(EBITDA,MEAN,CAL4,2023,45975,,,'')&lt;/Q&gt;&lt;R&gt;1&lt;/R&gt;&lt;C&gt;1&lt;/C&gt;&lt;D xsi:type="xsd:double"&gt;1749.7667&lt;/D&gt;&lt;/FQL&gt;&lt;FQL&gt;&lt;Q&gt;ARW^FE_ESTIMATE(EBITDA,MEAN,NTM4,,45975,,,'')&lt;/Q&gt;&lt;R&gt;1&lt;/R&gt;&lt;C&gt;1&lt;/C&gt;&lt;D xsi:type="xsd:double"&gt;1136.1323&lt;/D&gt;&lt;/FQL&gt;&lt;FQL&gt;&lt;Q&gt;ARW^FE_ESTIMATE(EBITDA,MEAN,LTM4,,45975,,,'')&lt;/Q&gt;&lt;R&gt;1&lt;/R&gt;&lt;C&gt;1&lt;/C&gt;&lt;D xsi:type="xsd:double"&gt;1017.8&lt;/D&gt;&lt;/FQL&gt;&lt;FQL&gt;&lt;Q&gt;SNX^FE_ESTIMATE(EBITDA,MEAN,CAL4,2027,45975,,,'')&lt;/Q&gt;&lt;R&gt;1&lt;/R&gt;&lt;C&gt;1&lt;/C&gt;&lt;D xsi:type="xsd:double"&gt;2087.9937&lt;/D&gt;&lt;/FQL&gt;&lt;FQL&gt;&lt;Q&gt;SNX^FE_ESTIMATE(EBITDA,MEAN,CAL4,2026,45975,,,'')&lt;/Q&gt;&lt;R&gt;1&lt;/R&gt;&lt;C&gt;1&lt;/C&gt;&lt;D xsi:type="xsd:double"&gt;1986.2997&lt;/D&gt;&lt;/FQL&gt;&lt;FQL&gt;&lt;Q&gt;SNX^FE_ESTIMATE(EBITDA,MEAN,CAL4,2025,45975,,,'')&lt;/Q&gt;&lt;R&gt;1&lt;/R&gt;&lt;C&gt;1&lt;/C&gt;&lt;D xsi:type="xsd:double"&gt;1890.3624&lt;/D&gt;&lt;/FQL&gt;&lt;FQL&gt;&lt;Q&gt;SNX^FE_ESTIMATE(EBITDA,MEAN,CAL4,2024,45975,,,'')&lt;/Q&gt;&lt;R&gt;1&lt;/R&gt;&lt;C&gt;1&lt;/C&gt;&lt;D xsi:type="xsd:double"&gt;1739.1866&lt;/D&gt;&lt;/FQL&gt;&lt;FQL&gt;&lt;Q&gt;SNX^FE_ESTIMATE(EBITDA,MEAN,CAL4,2023,45975,,,'')&lt;/Q&gt;&lt;R&gt;1&lt;/R&gt;&lt;C&gt;1&lt;/C&gt;&lt;D xsi:type="xsd:double"&gt;1753.0847&lt;/D&gt;&lt;/FQL&gt;&lt;FQL&gt;&lt;Q&gt;SNX^FE_ESTIMATE(EBITDA,MEAN,NTM4,,45975,,,'')&lt;/Q&gt;&lt;R&gt;1&lt;/R&gt;&lt;C&gt;1&lt;/C&gt;&lt;D xsi:type="xsd:double"&gt;1970.6538&lt;/D&gt;&lt;/FQL&gt;&lt;FQL&gt;&lt;Q&gt;SNX^FE_ESTIMATE(EBITDA,MEAN,LTM4,,45975,,,'')&lt;/Q&gt;&lt;R&gt;1&lt;/R&gt;&lt;C&gt;1&lt;/C&gt;&lt;D xsi:type="xsd:double"&gt;1825.8746&lt;/D&gt;&lt;/FQL&gt;&lt;FQL&gt;&lt;Q&gt;CDW^FE_ESTIMATE(EBITDA,MEAN,CALA_ROLL,2027,45975,,,'')&lt;/Q&gt;&lt;R&gt;1&lt;/R&gt;&lt;C&gt;1&lt;/C&gt;&lt;D xsi:type="xsd:double"&gt;2309.6135&lt;/D&gt;&lt;/FQL&gt;&lt;FQL&gt;&lt;Q&gt;CDW^FE_ESTIMATE(EBITDA,MEAN,CAL4,2026,45975,,,'')&lt;/Q&gt;&lt;R&gt;1&lt;/R&gt;&lt;C&gt;1&lt;/C&gt;&lt;D xsi:type="xsd:double"&gt;2235.6357&lt;/D&gt;&lt;/FQL&gt;&lt;FQL&gt;&lt;Q&gt;CDW^FE_ESTIMATE(EBITDA,MEAN,CAL4,2025,45975,,,'')&lt;/Q&gt;&lt;R&gt;1&lt;/R&gt;&lt;C&gt;1&lt;/C&gt;&lt;D xsi:type="xsd:double"&gt;2140.7722&lt;/D&gt;&lt;/FQL&gt;&lt;FQL&gt;&lt;Q&gt;CDW^FE_ESTIMATE(EBITDA,MEAN,CAL4,2024,45975,,,'')&lt;/Q&gt;&lt;R&gt;1&lt;/R&gt;&lt;C&gt;1&lt;/C&gt;&lt;D xsi:type="xsd:double"&gt;2122.4346&lt;/D&gt;&lt;/FQL&gt;&lt;FQL&gt;&lt;Q&gt;CDW^FE_ESTIMATE(EBITDA,MEAN,CAL4,2023,45975,,,'')&lt;/Q&gt;&lt;R&gt;1&lt;/R&gt;&lt;C&gt;1&lt;/C&gt;&lt;D xsi:type="xsd:double"&gt;2175.6484&lt;/D&gt;&lt;/FQL&gt;&lt;FQL&gt;&lt;Q&gt;CDW^FE_ESTIMATE(EBITDA,MEAN,NTM4,,45975,,,'')&lt;/Q&gt;&lt;R&gt;1&lt;/R&gt;&lt;C&gt;1&lt;/C&gt;&lt;D xsi:type="xsd:double"&gt;2170.1128&lt;/D&gt;&lt;/FQL&gt;&lt;FQL&gt;&lt;Q&gt;CDW^FE_ESTIMATE(EBITDA,MEAN,LTM4,,45975,,,'')&lt;/Q&gt;&lt;R&gt;1&lt;/R&gt;&lt;C&gt;1&lt;/C&gt;&lt;D xsi:type="xsd:double"&gt;2175.7688&lt;/D&gt;&lt;/FQL&gt;&lt;FQL&gt;&lt;Q&gt;INGM^FE_ESTIMATE(EBITDA,MEAN,CALA_ROLL,2027,45975,,,'')&lt;/Q&gt;&lt;R&gt;1&lt;/R&gt;&lt;C&gt;1&lt;/C&gt;&lt;D xsi:type="xsd:double"&gt;1566.7576&lt;/D&gt;&lt;/FQL&gt;&lt;FQL&gt;&lt;Q&gt;INGM^FE_ESTIMATE(EBITDA,MEAN,CAL4,2026,45975,,,'')&lt;/Q&gt;&lt;R&gt;1&lt;/R&gt;&lt;C&gt;1&lt;/C&gt;&lt;D xsi:type="xsd:double"&gt;1428.0405&lt;/D&gt;&lt;/FQL&gt;&lt;FQL&gt;&lt;Q&gt;INGM^FE_ESTIMATE(EBITDA,MEAN,CAL4,2025,45975,,,'')&lt;/Q&gt;&lt;R&gt;1&lt;/R&gt;&lt;C&gt;1&lt;/C&gt;&lt;D xsi:type="xsd:double"&gt;1315.4194&lt;/D&gt;&lt;/FQL&gt;&lt;FQL&gt;&lt;Q&gt;INGM^FE_ESTIMATE(EBITDA,MEAN,CAL4,2024,45975,,,'')&lt;/Q&gt;&lt;R&gt;0&lt;/R&gt;&lt;C&gt;0&lt;/C&gt;&lt;/FQL&gt;&lt;FQL&gt;&lt;Q&gt;INGM^FE_ESTIMATE(EBITDA,MEAN,CAL4,2023,45975,,,'')&lt;/Q&gt;&lt;R&gt;0&lt;/R&gt;&lt;C&gt;0&lt;/C&gt;&lt;/FQL&gt;&lt;FQL&gt;&lt;Q&gt;INGM^FE_ESTIMATE(EBITDA,MEAN,NTM4,,45975,,,'')&lt;/Q&gt;&lt;R&gt;1&lt;/R&gt;&lt;C&gt;1&lt;/C&gt;&lt;D xsi:type="xsd:double"&gt;1385.3094&lt;/D&gt;&lt;/FQL&gt;&lt;FQL&gt;&lt;Q&gt;INGM^FE_ESTIMATE(EBITDA,MEAN,LTM4,,45975,,,'')&lt;/Q&gt;&lt;R&gt;1&lt;/R&gt;&lt;C&gt;1&lt;/C&gt;&lt;D xsi:type="xsd:double"&gt;1326.4706&lt;/D&gt;&lt;/FQL&gt;&lt;FQL&gt;&lt;Q&gt;NBIS^FE_ESTIMATE(EBITDA,MEAN,CALA_ROLL,2027,45975,,,'')&lt;/Q&gt;&lt;R&gt;1&lt;/R&gt;&lt;C&gt;1&lt;/C&gt;&lt;D xsi:type="xsd:double"&gt;2841.9692&lt;/D&gt;&lt;/FQL&gt;&lt;FQL&gt;&lt;Q&gt;NBIS^FE_ESTIMATE(EBITDA,MEAN,CAL4,2026,45975,,,'')&lt;/Q&gt;&lt;R&gt;1&lt;/R&gt;&lt;C&gt;1&lt;/C&gt;&lt;D xsi:type="xsd:double"&gt;1027.7&lt;/D&gt;&lt;/FQL&gt;&lt;FQL&gt;&lt;Q&gt;NBIS^FE_ESTIMATE(EBITDA,MEAN,CAL4,2025,45975,,,'')&lt;/Q&gt;&lt;R&gt;1&lt;/R&gt;&lt;C&gt;1&lt;/C&gt;&lt;D xsi:type="xsd:double"&gt;-47.67&lt;/D&gt;&lt;/FQL&gt;&lt;FQL&gt;&lt;Q&gt;NBIS^FE_ESTIMATE(EBITDA,MEAN,CAL4,2024,45975,,,'')&lt;/Q&gt;&lt;R&gt;0&lt;/R&gt;&lt;C&gt;0&lt;/C&gt;&lt;/FQL&gt;&lt;FQL&gt;&lt;Q&gt;NBIS^FE_ESTIMATE(EBITDA,MEAN,CAL4,2023,45975,,,'')&lt;/Q&gt;&lt;R&gt;0&lt;/R&gt;&lt;C&gt;0&lt;/C&gt;&lt;/FQL&gt;&lt;FQL&gt;&lt;Q&gt;NBIS^FE_ESTIMATE(EBITDA,MEAN,NTM4,,45975,,,'')&lt;/Q&gt;&lt;R&gt;1&lt;/R&gt;&lt;C&gt;1&lt;/C&gt;&lt;D xsi:type="xsd:double"&gt;608.4633&lt;/D&gt;&lt;/FQL&gt;&lt;FQL&gt;&lt;Q&gt;NBIS^FE_ESTIMATE(EBITDA,MEAN,LTM4,,45975,,,'')&lt;/Q&gt;&lt;R&gt;1&lt;/R&gt;&lt;C&gt;1&lt;/C&gt;&lt;D xsi:type="xsd:double"&gt;-186.98334&lt;/D&gt;&lt;/FQL&gt;&lt;FQL&gt;&lt;Q&gt;DOCN^FE_ESTIMATE(EBITDA,MEAN,CALA_ROLL,2027,45975,,,'')&lt;/Q&gt;&lt;R&gt;1&lt;/R&gt;&lt;C&gt;1&lt;/C&gt;&lt;D xsi:type="xsd:double"&gt;501.1908&lt;/D&gt;&lt;/FQL&gt;&lt;FQL&gt;&lt;Q&gt;DOCN^FE_ESTIMATE(EBITDA,MEAN,CAL4,2026,45975,,,'')&lt;/Q&gt;&lt;R&gt;1&lt;/R&gt;&lt;C&gt;1&lt;/C&gt;&lt;D xsi:type="xsd:double"&gt;414.54776&lt;/D&gt;&lt;/FQL&gt;&lt;FQL&gt;&lt;Q&gt;DOCN^FE_ESTIMATE(EBITDA,MEAN,CAL4,2025,45975,,,'')&lt;/Q&gt;&lt;R&gt;1&lt;/R&gt;&lt;C&gt;1&lt;/C&gt;&lt;D xsi:type="xsd:double"&gt;367.29343&lt;/D&gt;&lt;/FQL&gt;&lt;FQL&gt;&lt;Q&gt;DOCN^FE_ESTIMATE(EBITDA,MEAN,CAL4,2024,45975,,,'')&lt;/Q&gt;&lt;R&gt;1&lt;/R&gt;&lt;C&gt;1&lt;/C&gt;&lt;D xsi:type="xsd:double"&gt;328.5&lt;/D&gt;&lt;/FQL&gt;&lt;FQL&gt;&lt;Q&gt;DOCN^FE_ESTIMATE(EBITDA,MEAN,CAL4,2023,45975,,,'')&lt;/Q&gt;&lt;R&gt;1&lt;/R&gt;&lt;C&gt;1&lt;/C&gt;&lt;D xsi:type="xsd:double"&gt;277.703&lt;/D&gt;&lt;/FQL&gt;&lt;FQL&gt;&lt;Q&gt;DOCN^FE_ESTIMATE(EBITDA,MEAN,NTM4,,45975,,,'')&lt;/Q&gt;&lt;R&gt;1&lt;/R&gt;&lt;C&gt;1&lt;/C&gt;&lt;D xsi:type="xsd:double"&gt;395.38385&lt;/D&gt;&lt;/FQL&gt;&lt;FQL&gt;&lt;Q&gt;DOCN^FE_ESTIMATE(EBITDA,MEAN,LTM4,,45975,,,'')&lt;/Q&gt;&lt;R&gt;1&lt;/R&gt;&lt;C&gt;1&lt;/C&gt;&lt;D xsi:type="xsd:double"&gt;361.411&lt;/D&gt;&lt;/FQL&gt;&lt;FQL&gt;&lt;Q&gt;GOOG^FE_ESTIMATE(EBITDA,MEAN,CALA_ROLL,2027,45975,,,'')&lt;/Q&gt;&lt;R&gt;1&lt;/R&gt;&lt;C&gt;1&lt;/C&gt;&lt;D xsi:type="xsd:double"&gt;247160.94&lt;/D&gt;&lt;/FQL&gt;&lt;FQL&gt;&lt;Q&gt;GOOG^FE_ESTIMATE(EBITDA,MEAN,CAL4,2026,45975,,,'')&lt;/Q&gt;&lt;R&gt;1&lt;/R&gt;&lt;C&gt;1&lt;/C&gt;&lt;D xsi:type="xsd:double"&gt;209660.13&lt;/D&gt;&lt;/FQL&gt;&lt;FQL&gt;&lt;Q&gt;GOOG^FE_ESTIMATE(EBITDA,MEAN,CAL4,2025,45975,,,'')&lt;/Q&gt;&lt;R&gt;1&lt;/R&gt;&lt;C&gt;1&lt;/C&gt;&lt;D xsi:type="xsd:double"&gt;175470.78&lt;/D&gt;&lt;/FQL&gt;&lt;FQL&gt;&lt;Q&gt;GOOG^FE_ESTIMATE(EBITDA,MEAN,CAL4,2024,45975,,,'')&lt;/Q&gt;&lt;R&gt;1&lt;/R&gt;&lt;C&gt;1&lt;/C&gt;&lt;D xsi:type="xsd:double"&gt;150907.6&lt;/D&gt;&lt;/FQL&gt;&lt;FQL&gt;&lt;Q&gt;GOOG^FE_ESTIMATE(EBITDA,MEAN,CAL4,2023,45975,,,'')&lt;/Q&gt;&lt;R&gt;1&lt;/R&gt;&lt;C&gt;1&lt;/C&gt;&lt;D xsi:type="xsd:double"&gt;122063.59&lt;/D&gt;&lt;/FQL&gt;&lt;FQL&gt;&lt;Q&gt;GOOG^FE_ESTIMATE(EBITDA,MEAN,NTM4,,45975,,,'')&lt;/Q&gt;&lt;R&gt;1&lt;/R&gt;&lt;C&gt;1&lt;/C&gt;&lt;D xsi:type="xsd:double"&gt;201247.25&lt;/D&gt;&lt;/FQL&gt;&lt;FQL&gt;&lt;Q&gt;GOOG^FE_ESTIMATE(EBITDA,MEAN,LTM4,,45975,,,'')&lt;/Q&gt;&lt;R&gt;1&lt;/R&gt;&lt;C&gt;1&lt;/C&gt;&lt;D xsi:type="xsd:double"&gt;167375.34&lt;/D&gt;&lt;/FQL&gt;&lt;FQL&gt;&lt;Q&gt;AMZN^FE_ESTIMATE(EBITDA,MEAN,CALA_ROLL,2027,45975,,,'')&lt;/Q&gt;&lt;R&gt;1&lt;/R&gt;&lt;C&gt;1&lt;/C&gt;&lt;D xsi:type="xsd:double"&gt;242319.1&lt;/D&gt;&lt;/FQL&gt;&lt;FQL&gt;&lt;Q&gt;AMZN^FE_ESTIMATE(EBITDA,MEAN,CAL4,2026,45975,,,'')&lt;/Q&gt;&lt;R&gt;1&lt;/R&gt;&lt;C&gt;1&lt;/C&gt;&lt;D xsi:type="xsd:double"&gt;200232.88&lt;/D&gt;&lt;/FQL&gt;&lt;FQL&gt;&lt;Q&gt;AMZN^FE_ESTIMATE(EBITDA,MEAN,CAL4,2025,45975,,,'')&lt;/Q&gt;&lt;R&gt;1&lt;/R&gt;&lt;C&gt;1&lt;/C&gt;&lt;D xsi:type="xsd:double"&gt;166211.92&lt;/D&gt;&lt;/FQL&gt;&lt;FQL&gt;&lt;Q&gt;AMZN^FE_ESTIMATE(EBITDA,MEAN,CAL4,2024,45975,,,'')&lt;/Q&gt;&lt;R&gt;1&lt;/R&gt;&lt;C&gt;1&lt;/C&gt;&lt;D xsi:type="xsd:double"&gt;143476.78&lt;/D&gt;&lt;/FQL&gt;&lt;FQL&gt;&lt;Q&gt;AMZN^FE_ESTIMATE(EBITDA,MEAN,CAL4,2023,45975,,,'')&lt;/Q&gt;&lt;R&gt;1&lt;/R&gt;&lt;C&gt;1&lt;/C&gt;&lt;D xsi:type="xsd:double"&gt;109513.47&lt;/D&gt;&lt;/FQL&gt;&lt;FQL&gt;&lt;Q&gt;AMZN^FE_ESTIMATE(EBITDA,MEAN,NTM4,,45975,,,'')&lt;/Q&gt;&lt;R&gt;1&lt;/R&gt;&lt;C&gt;1&lt;/C&gt;&lt;D xsi:type="xsd:double"&gt;191528.58&lt;/D&gt;&lt;/FQL&gt;&lt;FQL&gt;&lt;Q&gt;AMZN^FE_ESTIMATE(EBITDA,MEAN,LTM4,,45975,,,'')&lt;/Q&gt;&lt;R&gt;1&lt;/R&gt;&lt;C&gt;1&lt;/C&gt;&lt;D xsi:type="xsd:double"&gt;159466.17&lt;/D&gt;&lt;/FQL&gt;&lt;FQL&gt;&lt;Q&gt;ORCL^FE_ESTIMATE(EBITDA,MEAN,CALA_ROLL,2027,45975,,,'')&lt;/Q&gt;&lt;R&gt;1&lt;/R&gt;&lt;C&gt;1&lt;/C&gt;&lt;D xsi:type="xsd:double"&gt;57754.855&lt;/D&gt;&lt;/FQL&gt;&lt;FQL&gt;&lt;Q&gt;ORCL^FE_ESTIMATE(EBITDA,MEAN,CAL4,2026,45975,,,'')&lt;/Q&gt;&lt;R&gt;1&lt;/R&gt;&lt;C&gt;1&lt;/C&gt;&lt;D xsi:type="xsd:double"&gt;40510.926&lt;/D&gt;&lt;/FQL&gt;&lt;FQL&gt;&lt;Q&gt;ORCL^FE_ESTIMATE(EBITDA,MEAN,CAL4,2025,45975,,,'')&lt;/Q&gt;&lt;R&gt;1&lt;/R&gt;&lt;C&gt;1&lt;/C&gt;&lt;D xsi:type="xsd:double"&gt;33003.207&lt;/D&gt;&lt;/FQL&gt;&lt;FQL&gt;&lt;Q&gt;ORCL^FE_ESTIMATE(EBITDA,MEAN,CAL4,2024,45975,,,'')&lt;/Q&gt;&lt;R&gt;1&lt;/R&gt;&lt;C&gt;1&lt;/C&gt;&lt;D xsi:type="xsd:double"&gt;29667.521&lt;/D&gt;&lt;/FQL&gt;&lt;FQL&gt;&lt;Q&gt;ORCL^FE_ESTIMATE(EBITDA,MEAN,CAL4,2023,45975,,,'')&lt;/Q&gt;&lt;R&gt;1&lt;/R&gt;&lt;C&gt;1&lt;/C&gt;&lt;D xsi:type="xsd:double"&gt;27439.04&lt;/D&gt;&lt;/FQL&gt;&lt;FQL&gt;&lt;Q&gt;ORCL^FE_ESTIMATE(EBITDA,MEAN,NTM4,,45975,,,'')&lt;/Q&gt;&lt;R&gt;1&lt;/R&gt;&lt;C&gt;1&lt;/C&gt;&lt;D xsi:type="xsd:double"&gt;38782.016&lt;/D&gt;&lt;/FQL&gt;&lt;FQL&gt;&lt;Q&gt;ORCL^FE_ESTIMATE(EBITDA,MEAN,LTM4,,45975,,,'')&lt;/Q&gt;&lt;R&gt;1&lt;/R&gt;&lt;C&gt;1&lt;/C&gt;&lt;D xsi:type="xsd:double"&gt;31566.72&lt;/D&gt;&lt;/FQL&gt;&lt;FQL&gt;&lt;Q&gt;IBM^FE_ESTIMATE(EBITDA,MEAN,CALA_ROLL,2027,45975,,,'')&lt;/Q&gt;&lt;R&gt;1&lt;/R&gt;&lt;C&gt;1&lt;/C&gt;&lt;D xsi:type="xsd:double"&gt;19989.924&lt;/D&gt;&lt;/FQL&gt;&lt;FQL&gt;&lt;Q&gt;IBM^FE_ESTIMATE(EBITDA,MEAN,CAL4,2026,45975,,,'')&lt;/Q&gt;&lt;R&gt;1&lt;/R&gt;&lt;C&gt;1&lt;/C&gt;&lt;D xsi:type="xsd:double"&gt;19804.719&lt;/D&gt;&lt;/FQL&gt;&lt;FQL&gt;&lt;Q&gt;IBM^FE_ESTIMATE(EBITDA,MEAN,CAL4,2025,45975,,,'')&lt;/Q&gt;&lt;R&gt;1&lt;/R&gt;&lt;C&gt;1&lt;/C&gt;&lt;D xsi:type="xsd:double"&gt;18850.48&lt;/D&gt;&lt;/FQL&gt;&lt;FQL&gt;&lt;Q&gt;IBM^FE_ESTIMATE(EBITDA,MEAN,CAL4,2024,45975,,,'')&lt;/Q&gt;&lt;R&gt;1&lt;/R&gt;&lt;C&gt;1&lt;/C&gt;&lt;D xsi:type="xsd:double"&gt;15966&lt;/D&gt;&lt;/FQL&gt;&lt;FQL&gt;&lt;Q&gt;IBM^FE_ESTIMATE(EBITDA,MEAN,CAL4,2023,45975,,,'')&lt;/Q&gt;&lt;R&gt;1&lt;/R&gt;&lt;C&gt;1&lt;/C&gt;&lt;D xsi:type="xsd:double"&gt;14568.502&lt;/D&gt;&lt;/FQL&gt;&lt;FQL&gt;&lt;Q&gt;IBM^FE_ESTIMATE(EBITDA,MEAN,NTM4,,45975,,,'')&lt;/Q&gt;&lt;R&gt;1&lt;/R&gt;&lt;C&gt;1&lt;/C&gt;&lt;D xsi:type="xsd:double"&gt;19543.367&lt;/D&gt;&lt;/FQL&gt;&lt;FQL&gt;&lt;Q&gt;IBM^FE_ESTIMATE(EBITDA,MEAN,LTM4,,45975,,,'')&lt;/Q&gt;&lt;R&gt;1&lt;/R&gt;&lt;C&gt;1&lt;/C&gt;&lt;D xsi:type="xsd:double"&gt;18366&lt;/D&gt;&lt;/FQL&gt;&lt;FQL&gt;&lt;Q&gt;EQIX^FE_ESTIMATE(EBITDA,MEAN,CALA_ROLL,2027,45975,,,'')&lt;/Q&gt;&lt;R&gt;1&lt;/R&gt;&lt;C&gt;1&lt;/C&gt;&lt;D xsi:type="xsd:double"&gt;5504.8374&lt;/D&gt;&lt;/FQL&gt;&lt;FQL&gt;&lt;Q&gt;EQIX^FE_ESTIMATE(EBITDA,MEAN,CAL4,2026,45975,,,'')&lt;/Q&gt;&lt;R&gt;1&lt;/R&gt;&lt;C&gt;1&lt;/C&gt;&lt;D xsi:type="xsd:double"&gt;5048.8145&lt;/D&gt;&lt;/FQL&gt;&lt;FQL&gt;&lt;Q&gt;EQIX^FE_ESTIMATE(EBITDA,MEAN,CAL4,2025,45975,,,'')&lt;/Q&gt;&lt;R&gt;1&lt;/R&gt;&lt;C&gt;1&lt;/C&gt;&lt;D xsi:type="xsd:double"&gt;4561.0923&lt;/D&gt;&lt;/FQL&gt;&lt;FQL&gt;&lt;Q&gt;EQIX^FE_ESTIMATE(EBITDA,MEAN,CAL4,2024,45975,,,'')&lt;/Q&gt;&lt;R&gt;1&lt;/R&gt;&lt;C&gt;1&lt;/C&gt;&lt;D xsi:type="xsd:double"&gt;4097&lt;/D&gt;&lt;/FQL&gt;&lt;FQL&gt;&lt;Q&gt;EQIX^FE_ESTIMATE(EBITDA,MEAN,CAL4,2023,45975,,,'')&lt;/Q&gt;&lt;R&gt;1&lt;/R&gt;&lt;C&gt;1&lt;/C&gt;&lt;D xsi:type="xsd:double"&gt;3701.841&lt;/D&gt;&lt;/FQL&gt;&lt;FQL&gt;&lt;Q&gt;EQIX^FE_ESTIMATE(EBITDA,MEAN,NTM4,,45975,,,'')&lt;/Q&gt;&lt;R&gt;1&lt;/R&gt;&lt;C&gt;1&lt;/C&gt;&lt;D xsi:type="xsd:double"&gt;4969.287&lt;/D&gt;&lt;/FQL&gt;&lt;FQL&gt;&lt;Q&gt;EQIX^FE_ESTIMATE(EBITDA,MEAN,LTM4,,45975,,,'')&lt;/Q&gt;&lt;R&gt;1&lt;/R&gt;&lt;C&gt;1&lt;/C&gt;&lt;D xsi:type="xsd:double"&gt;4365&lt;/D&gt;&lt;/FQL&gt;&lt;FQL&gt;&lt;Q&gt;DLR^FE_ESTIMATE(EBITDA,MEAN,CALA_ROLL,2027,45975,,,'')&lt;/Q&gt;&lt;R&gt;1&lt;/R&gt;&lt;C&gt;1&lt;/C&gt;&lt;D xsi:type="xsd:double"&gt;4105.3066&lt;/D&gt;&lt;/FQL&gt;&lt;FQL&gt;&lt;Q&gt;DLR^FE_ESTIMATE(EBITDA,MEAN,CAL4,2026,45975,,,'')&lt;/Q&gt;&lt;R&gt;1&lt;/R&gt;&lt;C&gt;1&lt;/C&gt;&lt;D xsi:type="xsd:double"&gt;3607.4622&lt;/D&gt;&lt;/FQL&gt;&lt;FQL&gt;&lt;Q&gt;DLR^FE_ESTIMATE(EBITDA,MEAN,CAL4,2025,45975,,,'')&lt;/Q&gt;&lt;R&gt;1&lt;/R&gt;&lt;C&gt;1&lt;/C&gt;&lt;D xsi:type="xsd:double"&gt;3321.7551&lt;/D&gt;&lt;/FQL&gt;&lt;FQL&gt;&lt;Q&gt;DLR^FE_ESTIMATE(EBITDA,MEAN,CAL4,2024,45975,,,'')&lt;/Q&gt;&lt;R&gt;1&lt;/R&gt;&lt;C&gt;1&lt;/C&gt;&lt;D xsi:type="xsd:double"&gt;2947.002&lt;/D&gt;&lt;/FQL&gt;&lt;FQL&gt;&lt;Q&gt;DLR^FE_ESTIMATE(EBITDA,MEAN,CAL4,2023,45975,,,'')&lt;/Q&gt;&lt;R&gt;1&lt;/R&gt;&lt;C&gt;1&lt;/C&gt;&lt;D xsi:type="xsd:double"&gt;2750.256&lt;/D&gt;&lt;/FQL&gt;&lt;FQL&gt;&lt;Q&gt;DLR^FE_ESTIMATE(EBITDA,MEAN,NTM4,,45975,,,'')&lt;/Q&gt;&lt;R&gt;1&lt;/R&gt;&lt;C&gt;1&lt;/C&gt;&lt;D xsi:type="xsd:double"&gt;3519.5886&lt;/D&gt;&lt;/FQL&gt;&lt;FQL&gt;&lt;Q&gt;DLR^FE_ESTIMATE(EBITDA,MEAN,LTM4,,45975,,,'')&lt;/Q&gt;&lt;R&gt;1&lt;/R&gt;&lt;C&gt;1&lt;/C&gt;&lt;D xsi:type="xsd:double"&gt;3233.558&lt;/D&gt;&lt;/FQL&gt;&lt;FQL&gt;&lt;Q&gt;NVDA^FE_ESTIMATE(EBITDA,MEAN,CALA_ROLL,2027,45975,,,'')&lt;/Q&gt;&lt;R&gt;1&lt;/R&gt;&lt;C&gt;1&lt;/C&gt;&lt;D xsi:type="xsd:double"&gt;237938.77&lt;/D&gt;&lt;/FQL&gt;&lt;FQL&gt;&lt;Q&gt;NVDA^FE_ESTIMATE(EBITDA,MEAN,CAL4,2026,45975,,,'')&lt;/Q&gt;&lt;R&gt;1&lt;/R&gt;&lt;C&gt;1&lt;/C&gt;&lt;D xsi:type="xsd:double"&gt;199981.42&lt;/D&gt;&lt;/FQL&gt;&lt;FQL&gt;&lt;Q&gt;NVDA^FE_ESTIMATE(EBITDA,MEAN,CAL4,2025,45975,,,'')&lt;/Q&gt;&lt;R&gt;1&lt;/R&gt;&lt;C&gt;1&lt;/C&gt;&lt;D xsi:type="xsd:double"&gt;132424.47&lt;/D&gt;&lt;/FQL&gt;&lt;FQL&gt;&lt;Q&gt;NVDA^FE_ESTIMATE(EBITDA,MEAN,CAL4,2024,45975,,,'')&lt;/Q&gt;&lt;R&gt;1&lt;/R&gt;&lt;C&gt;1&lt;/C&gt;&lt;D xsi:type="xsd:double"&gt;88417.375&lt;/D&gt;&lt;/FQL&gt;&lt;FQL&gt;&lt;Q&gt;NVDA^FE_ESTIMATE(EBITDA,MEAN,CAL4,2023,45975,,,'')&lt;/Q&gt;&lt;R&gt;1&lt;/R&gt;&lt;C&gt;1&lt;/C&gt;&lt;D xsi:type="xsd:double"&gt;37642.035&lt;/D&gt;&lt;/FQL&gt;&lt;FQL&gt;&lt;Q&gt;NVDA^FE_ESTIMATE(EBITDA,MEAN,NTM4,,45975,,,'')&lt;/Q&gt;&lt;R&gt;1&lt;/R&gt;&lt;C&gt;1&lt;/C&gt;&lt;D xsi:type="xsd:double"&gt;172286.86&lt;/D&gt;&lt;/FQL&gt;&lt;FQL&gt;&lt;Q&gt;NVDA^FE_ESTIMATE(EBITDA,MEAN,LTM4,,45975,,,'')&lt;/Q&gt;&lt;R&gt;1&lt;/R&gt;&lt;C&gt;1&lt;/C&gt;&lt;D xsi:type="xsd:double"&gt;103952.414&lt;/D&gt;&lt;/FQL&gt;&lt;FQL&gt;&lt;Q&gt;MSFT^FE_ESTIMATE(EBITDA,MEAN,CALA_ROLL,2027,45975,,,'')&lt;/Q&gt;&lt;R&gt;1&lt;/R&gt;&lt;C&gt;1&lt;/C&gt;&lt;D xsi:type="xsd:double"&gt;252261.13&lt;/D&gt;&lt;/FQL&gt;&lt;FQL&gt;&lt;Q&gt;MSFT^FE_ESTIMATE(EBITDA,MEAN,CAL4,2026,45975,,,'')&lt;/Q&gt;&lt;R&gt;1&lt;/R&gt;&lt;C&gt;1&lt;/C&gt;&lt;D xsi:type="xsd:double"&gt;215744.77&lt;/D&gt;&lt;/FQL&gt;&lt;FQL&gt;&lt;Q&gt;MSFT^FE_ESTIMATE(EBITDA,MEAN,CAL4,2025,45975,,,'')&lt;/Q&gt;&lt;R&gt;1&lt;/R&gt;&lt;C&gt;1&lt;/C&gt;&lt;D xsi:type="xsd:double"&gt;185575.6&lt;/D&gt;&lt;/FQL&gt;&lt;FQL&gt;&lt;Q&gt;MSFT^FE_ESTIMATE(EBITDA,MEAN,CAL4,2024,45975,,,'')&lt;/Q&gt;&lt;R&gt;1&lt;/R&gt;&lt;C&gt;1&lt;/C&gt;&lt;D xsi:type="xsd:double"&gt;146551.58&lt;/D&gt;&lt;/FQL&gt;&lt;FQL&gt;&lt;Q&gt;MSFT^FE_ESTIMATE(EBITDA,MEAN,CAL4,2023,45975,,,'')&lt;/Q&gt;&lt;R&gt;1&lt;/R&gt;&lt;C&gt;1&lt;/C&gt;&lt;D xsi:type="xsd:double"&gt;119708.5&lt;/D&gt;&lt;/FQL&gt;&lt;FQL&gt;&lt;Q&gt;MSFT^FE_ESTIMATE(EBITDA,MEAN,NTM4,,45975,,,'')&lt;/Q&gt;&lt;R&gt;1&lt;/R&gt;&lt;C&gt;1&lt;/C&gt;&lt;D xsi:type="xsd:double"&gt;207296.02&lt;/D&gt;&lt;/FQL&gt;&lt;FQL&gt;&lt;Q&gt;MSFT^FE_ESTIMATE(EBITDA,MEAN,LTM4,,45975,,,'')&lt;/Q&gt;&lt;R&gt;1&lt;/R&gt;&lt;C&gt;1&lt;/C&gt;&lt;D xsi:type="xsd:double"&gt;176069.73&lt;/D&gt;&lt;/FQL&gt;&lt;FQL&gt;&lt;Q&gt;NBIS^FE_ESTIMATE(EBIT,MEAN,CALA_ROLL,2027,45975,,,'')&lt;/Q&gt;&lt;R&gt;1&lt;/R&gt;&lt;C&gt;1&lt;/C&gt;&lt;D xsi:type="xsd:double"&gt;184.83575&lt;/D&gt;&lt;/FQL&gt;&lt;FQL&gt;&lt;Q&gt;NBIS^FE_ESTIMATE(EBIT,MEAN,CAL4,2026,45975,,,'')&lt;/Q&gt;&lt;R&gt;1&lt;/R&gt;&lt;C&gt;1&lt;/C&gt;&lt;D xsi:type="xsd:double"&gt;21.58&lt;/D&gt;&lt;/FQL&gt;&lt;FQL&gt;&lt;Q&gt;NBIS^FE_ESTIMATE(EBIT,MEAN,CAL4,2025,45975,,,'')&lt;/Q&gt;&lt;R&gt;1&lt;/R&gt;&lt;C&gt;1&lt;/C&gt;&lt;D xsi:type="xsd:double"&gt;-473.96933&lt;/D&gt;&lt;/FQL&gt;&lt;FQL&gt;&lt;Q&gt;NBIS^FE_ESTIMATE(EBIT,MEAN,CAL4,2024,45975,,,'')&lt;/Q&gt;&lt;R&gt;0&lt;/R&gt;&lt;C&gt;0&lt;/C&gt;&lt;/FQL&gt;&lt;FQL&gt;&lt;Q&gt;NBIS^FE_ESTIMATE(EBIT,MEAN,CAL4,2023,45975,,,'')&lt;/Q&gt;&lt;R&gt;0&lt;/R&gt;&lt;C&gt;0&lt;/C&gt;&lt;/FQL&gt;&lt;FQL&gt;&lt;Q&gt;NBIS^FE_ESTIMATE(EBIT,MEAN,NTM4,,45975,,,'')&lt;/Q&gt;&lt;R&gt;1&lt;/R&gt;&lt;C&gt;1&lt;/C&gt;&lt;D xsi:type="xsd:double"&gt;-265.471&lt;/D&gt;&lt;/FQL&gt;&lt;FQL&gt;&lt;Q&gt;NBIS^FE_ESTIMATE(EBIT,MEAN,LTM4,,45975,,,'')&lt;/Q&gt;&lt;R&gt;1&lt;/R&gt;&lt;C&gt;1&lt;/C&gt;&lt;D xsi:type="xsd:double"&gt;-481.00833&lt;/D&gt;&lt;/FQL&gt;&lt;FQL&gt;&lt;Q&gt;AVT^FE_ESTIMATE(EBIT,MEAN,CAL4,2027,45975,,,'')&lt;/Q&gt;&lt;R&gt;1&lt;/R&gt;&lt;C&gt;1&lt;/C&gt;&lt;D xsi:type="xsd:double"&gt;888.4&lt;/D&gt;&lt;/FQL&gt;&lt;FQL&gt;&lt;Q&gt;AVT^FE_ESTIMATE(EBIT,MEAN,CAL4,2026,45975,,,'')&lt;/Q&gt;&lt;R&gt;1&lt;/R&gt;&lt;C&gt;1&lt;/C&gt;&lt;D xsi:type="xsd:double"&gt;823.9138&lt;/D&gt;&lt;/FQL&gt;&lt;FQL&gt;&lt;Q&gt;AVT^FE_ESTIMATE(EBIT,MEAN,CAL4,2025,45975,,,'')&lt;/Q&gt;&lt;R&gt;1&lt;/R&gt;&lt;C&gt;1&lt;/C&gt;&lt;D xsi:type="xsd:double"&gt;609.7653&lt;/D&gt;&lt;/FQL&gt;&lt;FQL&gt;&lt;Q&gt;AVT^FE_ESTIMATE(EBIT,MEAN,CAL4,2024,45975,,,'')&lt;/Q&gt;&lt;R&gt;1&lt;/R&gt;&lt;C&gt;1&lt;/C&gt;&lt;D xsi:type="xsd:double"&gt;724.5228&lt;/D&gt;&lt;/FQL&gt;&lt;FQL&gt;&lt;Q&gt;AVT^FE_ESTIMATE(EBIT,MEAN,CAL4,2023,45975,,,'')&lt;/Q&gt;&lt;R&gt;1&lt;/R&gt;&lt;C&gt;1&lt;/C&gt;&lt;D xsi:type="xsd:double"&gt;1131.8362&lt;/D&gt;&lt;/FQL&gt;&lt;FQL&gt;&lt;Q&gt;AVT^FE_ESTIMATE(EBIT,MEAN,NTM4,,45975,,,'')&lt;/Q&gt;&lt;R&gt;1&lt;/R&gt;&lt;C&gt;1&lt;/C&gt;&lt;D xsi:type="xsd:double"&gt;765.37085&lt;/D&gt;&lt;/FQL&gt;&lt;FQL&gt;&lt;Q&gt;AVT^FE_ESTIMATE(EBIT,MEAN,LTM4,,45975,,,'')&lt;/Q&gt;&lt;R&gt;1&lt;/R&gt;&lt;C&gt;1&lt;/C&gt;&lt;D xsi:type="xsd:double"&gt;606.075&lt;/D&gt;&lt;/FQL&gt;&lt;FQL&gt;&lt;Q&gt;ARW^FE_ESTIMATE(EBIT,MEAN,CALA_ROLL,2027,45975,,,'')&lt;/Q&gt;&lt;R&gt;1&lt;/R&gt;&lt;C&gt;1&lt;/C&gt;&lt;D xsi:type="xsd:double"&gt;1201&lt;/D&gt;&lt;/FQL&gt;&lt;FQL&gt;&lt;Q&gt;ARW^FE_ESTIMATE(EBIT,MEAN,CAL4,2026,45975,,,'')&lt;/Q&gt;&lt;R&gt;1&lt;/R&gt;&lt;C&gt;1&lt;/C&gt;&lt;D xsi:type="xsd:double"&gt;1041.022&lt;/D&gt;&lt;/FQL&gt;&lt;FQL&gt;&lt;Q&gt;ARW^FE_ESTIMATE(EBIT,MEAN,CAL4,2025,45975,,,'')&lt;/Q&gt;&lt;R&gt;1&lt;/R&gt;&lt;C&gt;1&lt;/C&gt;&lt;D xsi:type="xsd:double"&gt;917.5909&lt;/D&gt;&lt;/FQL&gt;&lt;FQL&gt;&lt;Q&gt;ARW^FE_ESTIMATE(EBIT,MEAN,CAL4,2024,45975,,,'')&lt;/Q&gt;&lt;R&gt;1&lt;/R&gt;&lt;C&gt;1&lt;/C&gt;&lt;D xsi:type="xsd:double"&gt;1001.7478&lt;/D&gt;&lt;/FQL&gt;&lt;FQL&gt;&lt;Q&gt;ARW^FE_ESTIMATE(EBIT,MEAN,CAL4,2023,45975,,,'')&lt;/Q&gt;&lt;R&gt;1&lt;/R&gt;&lt;C&gt;1&lt;/C&gt;&lt;D xsi:type="xsd:double"&gt;1584.7036&lt;/D&gt;&lt;/FQL&gt;&lt;FQL&gt;&lt;Q&gt;ARW^FE_ESTIMATE(EBIT,MEAN,NTM4,,45975,,,'')&lt;/Q&gt;&lt;R&gt;1&lt;/R&gt;&lt;C&gt;1&lt;/C&gt;&lt;D xsi:type="xsd:double"&gt;1015.3378&lt;/D&gt;&lt;/FQL&gt;&lt;FQL&gt;&lt;Q&gt;ARW^FE_ESTIMATE(EBIT,MEAN,LTM4,,45975,,,'')&lt;/Q&gt;&lt;R&gt;1&lt;/R&gt;&lt;C&gt;1&lt;/C&gt;&lt;D xsi:type="xsd:double"&gt;885.15&lt;/D&gt;&lt;/FQL&gt;&lt;FQL&gt;&lt;Q&gt;SNX^FE_ESTIMATE(EBIT,MEAN,CAL4,2027,45975,,,'')&lt;/Q&gt;&lt;R&gt;1&lt;/R&gt;&lt;C&gt;1&lt;/C&gt;&lt;D xsi:type="xsd:double"&gt;1964.5743&lt;/D&gt;&lt;/FQL&gt;&lt;FQL&gt;&lt;Q&gt;SNX^FE_ESTIMATE(EBIT,MEAN,CAL4,2026,45975,,,'')&lt;/Q&gt;&lt;R&gt;1&lt;/R&gt;&lt;C&gt;1&lt;/C&gt;&lt;D xsi:type="xsd:double"&gt;1855.1346&lt;/D&gt;&lt;/FQL&gt;&lt;FQL&gt;&lt;Q&gt;SNX^FE_ESTIMATE(EBIT,MEAN,CAL4,2025,45975,,,'')&lt;/Q&gt;&lt;R&gt;1&lt;/R&gt;&lt;C&gt;1&lt;/C&gt;&lt;D xsi:type="xsd:double"&gt;1762.6322&lt;/D&gt;&lt;/FQL&gt;&lt;FQL&gt;&lt;Q&gt;SNX^FE_ESTIMATE(EBIT,MEAN,CAL4,2024,45975,,,'')&lt;/Q&gt;&lt;R&gt;1&lt;/R&gt;&lt;C&gt;1&lt;/C&gt;&lt;D xsi:type="xsd:double"&gt;1621.3727&lt;/D&gt;&lt;/FQL&gt;&lt;FQL&gt;&lt;Q&gt;SNX^FE_ESTIMATE(EBIT,MEAN,CAL4,2023,45975,,,'')&lt;/Q&gt;&lt;R&gt;1&lt;/R&gt;&lt;C&gt;1&lt;/C&gt;&lt;D xsi:type="xsd:double"&gt;1636.843&lt;/D&gt;&lt;/FQL&gt;&lt;FQL&gt;&lt;Q&gt;SNX^FE_ESTIMATE(EBIT,MEAN,NTM4,,45975,,,'')&lt;/Q&gt;&lt;R&gt;1&lt;/R&gt;&lt;C&gt;1&lt;/C&gt;&lt;D xsi:type="xsd:double"&gt;1835.4282&lt;/D&gt;&lt;/FQL&gt;&lt;FQL&gt;&lt;Q&gt;SNX^FE_ESTIMATE(EBIT,MEAN,LTM4,,45975,,,'')&lt;/Q&gt;&lt;R&gt;1&lt;/R&gt;&lt;C&gt;1&lt;/C&gt;&lt;D xsi:type="xsd:double"&gt;1701.5248&lt;/D&gt;&lt;/FQL&gt;&lt;FQL&gt;&lt;Q&gt;CDW^FE_ESTIMATE(EBIT,MEAN,CALA_ROLL,2027,45975,,,'')&lt;/Q&gt;&lt;R&gt;1&lt;/R&gt;&lt;C&gt;1&lt;/C&gt;&lt;D xsi:type="xsd:double"&gt;2196.1636&lt;/D&gt;&lt;/FQL&gt;&lt;FQL&gt;&lt;Q&gt;CDW^FE_ESTIMATE(EBIT,MEAN,CAL4,2026,45975,,,'')&lt;/Q&gt;&lt;R&gt;1&lt;/R&gt;&lt;C&gt;1&lt;/C&gt;&lt;D xsi:type="xsd:double"&gt;2079.78&lt;/D&gt;&lt;/FQL&gt;&lt;FQL&gt;&lt;Q&gt;CDW^FE_ESTIMATE(EBIT,MEAN,CAL4,2025,45975,,,'')&lt;/Q&gt;&lt;R&gt;1&lt;/R&gt;&lt;C&gt;1&lt;/C&gt;&lt;D xsi:type="xsd:double"&gt;1986.7759&lt;/D&gt;&lt;/FQL&gt;&lt;FQL&gt;&lt;Q&gt;CDW^FE_ESTIMATE(EBIT,MEAN,CAL4,2024,45975,,,'')&lt;/Q&gt;&lt;R&gt;1&lt;/R&gt;&lt;C&gt;1&lt;/C&gt;&lt;D xsi:type="xsd:double"&gt;1952.63&lt;/D&gt;&lt;/FQL&gt;&lt;FQL&gt;&lt;Q&gt;CDW^FE_ESTIMATE(EBIT,MEAN,CAL4,2023,45975,,,'')&lt;/Q&gt;&lt;R&gt;1&lt;/R&gt;&lt;C&gt;1&lt;/C&gt;&lt;D xsi:type="xsd:double"&gt;2025.8167&lt;/D&gt;&lt;/FQL&gt;&lt;FQL&gt;&lt;Q&gt;CDW^FE_ESTIMATE(EBIT,MEAN,NTM4,,45975,,,'')&lt;/Q&gt;&lt;R&gt;1&lt;/R&gt;&lt;C&gt;1&lt;/C&gt;&lt;D xsi:type="xsd:double"&gt;2028.3887&lt;/D&gt;&lt;/FQL&gt;&lt;FQL&gt;&lt;Q&gt;CDW^FE_ESTIMATE(EBIT,MEAN,LTM4,,45975,,,'')&lt;/Q&gt;&lt;R&gt;1&lt;/R&gt;&lt;C&gt;1&lt;/C&gt;&lt;D xsi:type="xsd:double"&gt;1993.6267&lt;/D&gt;&lt;/FQL&gt;&lt;FQL&gt;&lt;Q&gt;INGM^FE_ESTIMATE(EBIT,MEAN,CALA_ROLL,2027,45975,,,'')&lt;/Q&gt;&lt;R&gt;1&lt;/R&gt;&lt;C&gt;1&lt;/C&gt;&lt;D xsi:type="xsd:double"&gt;1320.8772&lt;/D&gt;&lt;/FQL&gt;&lt;FQL&gt;&lt;Q&gt;INGM^FE_ESTIMATE(EBIT,MEAN,CAL4,2026,45975,,,'')&lt;/Q&gt;&lt;R&gt;1&lt;/R&gt;&lt;C&gt;1&lt;/C&gt;&lt;D xsi:type="xsd:double"&gt;1169.1625&lt;/D&gt;&lt;/FQL&gt;&lt;FQL&gt;&lt;Q&gt;INGM^FE_ESTIMATE(EBIT,MEAN,CAL4,2025,45975,,,'')&lt;/Q&gt;&lt;R&gt;1&lt;/R&gt;&lt;C&gt;1&lt;/C&gt;&lt;D xsi:type="xsd:double"&gt;1017.7439&lt;/D&gt;&lt;/FQL&gt;&lt;FQL&gt;&lt;Q&gt;INGM^FE_ESTIMATE(EBIT,MEAN,CAL4,2024,45975,,,'')&lt;/Q&gt;&lt;R&gt;0&lt;/R&gt;&lt;C&gt;0&lt;/C&gt;&lt;/FQL&gt;&lt;FQL&gt;&lt;Q&gt;INGM^FE_ESTIMATE(EBIT,MEAN,CAL4,2023,45975,,,'')&lt;/Q&gt;&lt;R&gt;0&lt;/R&gt;&lt;C&gt;0&lt;/C&gt;&lt;/FQL&gt;&lt;FQL&gt;&lt;Q&gt;INGM^FE_ESTIMATE(EBIT,MEAN,NTM4,,45975,,,'')&lt;/Q&gt;&lt;R&gt;1&lt;/R&gt;&lt;C&gt;1&lt;/C&gt;&lt;D xsi:type="xsd:double"&gt;1141.7133&lt;/D&gt;&lt;/FQL&gt;&lt;FQL&gt;&lt;Q&gt;INGM^FE_ESTIMATE(EBIT,MEAN,LTM4,,45975,,,'')&lt;/Q&gt;&lt;R&gt;1&lt;/R&gt;&lt;C&gt;1&lt;/C&gt;&lt;D xsi:type="xsd:double"&gt;992.9284&lt;/D&gt;&lt;/FQL&gt;&lt;FQL&gt;&lt;Q&gt;DOCN^FE_ESTIMATE(EBIT,MEAN,CALA_ROLL,2027,45975,,,'')&lt;/Q&gt;&lt;R&gt;1&lt;/R&gt;&lt;C&gt;1&lt;/C&gt;&lt;D xsi:type="xsd:double"&gt;352.45538&lt;/D&gt;&lt;/FQL&gt;&lt;FQL&gt;&lt;Q&gt;DOCN^FE_ESTIMATE(EBIT,MEAN,CAL4,2026,45975,,,'')&lt;/Q&gt;&lt;R&gt;1&lt;/R&gt;&lt;C&gt;1&lt;/C&gt;&lt;D xsi:type="xsd:double"&gt;282.56964&lt;/D&gt;&lt;/FQL&gt;&lt;FQL&gt;&lt;Q&gt;DOCN^FE_ESTIMATE(EBIT,MEAN,CAL4,2025,45975,,,'')&lt;/Q&gt;&lt;R&gt;1&lt;/R&gt;&lt;C&gt;1&lt;/C&gt;&lt;D xsi:type="xsd:double"&gt;252.83308&lt;/D&gt;&lt;/FQL&gt;&lt;FQL&gt;&lt;Q&gt;DOCN^FE_ESTIMATE(EBIT,MEAN,CAL4,2024,45975,,,'')&lt;/Q&gt;&lt;R&gt;1&lt;/R&gt;&lt;C&gt;1&lt;/C&gt;&lt;D xsi:type="xsd:double"&gt;183.90977&lt;/D&gt;&lt;/FQL&gt;&lt;FQL&gt;&lt;Q&gt;DOCN^FE_ESTIMATE(EBIT,MEAN,CAL4,2023,45975,,,'')&lt;/Q&gt;&lt;R&gt;1&lt;/R&gt;&lt;C&gt;1&lt;/C&gt;&lt;D xsi:type="xsd:double"&gt;159.31778&lt;/D&gt;&lt;/FQL&gt;&lt;FQL&gt;&lt;Q&gt;DOCN^FE_ESTIMATE(EBIT,MEAN,NTM4,,45975,,,'')&lt;/Q&gt;&lt;R&gt;1&lt;/R&gt;&lt;C&gt;1&lt;/C&gt;&lt;D xsi:type="xsd:double"&gt;265.26028&lt;/D&gt;&lt;/FQL&gt;&lt;FQL&gt;&lt;Q&gt;DOCN^FE_ESTIMATE(EBIT,MEAN,LTM4,,45975,,,'')&lt;/Q&gt;&lt;R&gt;1&lt;/R&gt;&lt;C&gt;1&lt;/C&gt;&lt;D xsi:type="xsd:double"&gt;255.66649&lt;/D&gt;&lt;/FQL&gt;&lt;FQL&gt;&lt;Q&gt;GOOG^FE_ESTIMATE(EBIT,MEAN,CALA_ROLL,2027,45975,,,'')&lt;/Q&gt;&lt;R&gt;1&lt;/R&gt;&lt;C&gt;1&lt;/C&gt;&lt;D xsi:type="xsd:double"&gt;176453.25&lt;/D&gt;&lt;/FQL&gt;&lt;FQL&gt;&lt;Q&gt;GOOG^FE_ESTIMATE(EBIT,MEAN,CAL4,2026,45975,,,'')&lt;/Q&gt;&lt;R&gt;1&lt;/R&gt;&lt;C&gt;1&lt;/C&gt;&lt;D xsi:type="xsd:double"&gt;152608.84&lt;/D&gt;&lt;/FQL&gt;&lt;FQL&gt;&lt;Q&gt;GOOG^FE_ESTIMATE(EBIT,MEAN,CAL4,2025,45975,,,'')&lt;/Q&gt;&lt;R&gt;1&lt;/R&gt;&lt;C&gt;1&lt;/C&gt;&lt;D xsi:type="xsd:double"&gt;129644.336&lt;/D&gt;&lt;/FQL&gt;&lt;FQL&gt;&lt;Q&gt;GOOG^FE_ESTIMATE(EBIT,MEAN,CAL4,2024,45975,,,'')&lt;/Q&gt;&lt;R&gt;1&lt;/R&gt;&lt;C&gt;1&lt;/C&gt;&lt;D xsi:type="xsd:double"&gt;112401.06&lt;/D&gt;&lt;/FQL&gt;&lt;FQL&gt;&lt;Q&gt;GOOG^FE_ESTIMATE(EBIT,MEAN,CAL4,2023,45975,,,'')&lt;/Q&gt;&lt;R&gt;1&lt;/R&gt;&lt;C&gt;1&lt;/C&gt;&lt;D xsi:type="xsd:double"&gt;84280.03&lt;/D&gt;&lt;/FQL&gt;&lt;FQL&gt;&lt;Q&gt;GOOG^FE_ESTIMATE(EBIT,MEAN,NTM4,,45975,,,'')&lt;/Q&gt;&lt;R&gt;1&lt;/R&gt;&lt;C&gt;1&lt;/C&gt;&lt;D xsi:type="xsd:double"&gt;146978.28&lt;/D&gt;&lt;/FQL&gt;&lt;FQL&gt;&lt;Q&gt;GOOG^FE_ESTIMATE(EBIT,MEAN,LTM4,,45975,,,'')&lt;/Q&gt;&lt;R&gt;1&lt;/R&gt;&lt;C&gt;1&lt;/C&gt;&lt;D xsi:type="xsd:double"&gt;124087.18&lt;/D&gt;&lt;/FQL&gt;&lt;FQL&gt;&lt;Q&gt;AMZN^FE_ESTIMATE(EBIT,MEAN,CALA_ROLL,2027,45975,,,'')&lt;/Q&gt;&lt;R&gt;1&lt;/R&gt;&lt;C&gt;1&lt;/C&gt;&lt;D xsi:type="xsd:double"&gt;123280.22&lt;/D&gt;&lt;/FQL&gt;&lt;FQL&gt;&lt;Q&gt;AMZN^FE_ESTIMATE(EBIT,MEAN,CAL4,2026,45975,,,'')&lt;/Q&gt;&lt;R&gt;1&lt;/R&gt;&lt;C&gt;1&lt;/C&gt;&lt;D xsi:type="xsd:double"&gt;99650.555&lt;/D&gt;&lt;/FQL&gt;&lt;FQL&gt;&lt;Q&gt;AMZN^FE_ESTIMATE(EBIT,MEAN,CAL4,2025,45975,,,'')&lt;/Q&gt;&lt;R&gt;1&lt;/R&gt;&lt;C&gt;1&lt;/C&gt;&lt;D xsi:type="xsd:double"&gt;79588.414&lt;/D&gt;&lt;/FQL&gt;&lt;FQL&gt;&lt;Q&gt;AMZN^FE_ESTIMATE(EBIT,MEAN,CAL4,2024,45975,,,'')&lt;/Q&gt;&lt;R&gt;1&lt;/R&gt;&lt;C&gt;1&lt;/C&gt;&lt;D xsi:type="xsd:double"&gt;68593&lt;/D&gt;&lt;/FQL&gt;&lt;FQL&gt;&lt;Q&gt;AMZN^FE_ESTIMATE(EBIT,MEAN,CAL4,2023,45975,,,'')&lt;/Q&gt;&lt;R&gt;1&lt;/R&gt;&lt;C&gt;1&lt;/C&gt;&lt;D xsi:type="xsd:double"&gt;36852&lt;/D&gt;&lt;/FQL&gt;&lt;FQL&gt;&lt;Q&gt;AMZN^FE_ESTIMATE(EBIT,MEAN,NTM4,,45975,,,'')&lt;/Q&gt;&lt;R&gt;1&lt;/R&gt;&lt;C&gt;1&lt;/C&gt;&lt;D xsi:type="xsd:double"&gt;94628.484&lt;/D&gt;&lt;/FQL&gt;&lt;FQL&gt;&lt;Q&gt;AMZN^FE_ESTIMATE(EBIT,MEAN,LTM4,,45975,,,'')&lt;/Q&gt;&lt;R&gt;1&lt;/R&gt;&lt;C&gt;1&lt;/C&gt;&lt;D xsi:type="xsd:double"&gt;76201&lt;/D&gt;&lt;/FQL&gt;&lt;FQL&gt;&lt;Q&gt;ORCL^FE_ESTIMATE(EBIT,MEAN,CALA_ROLL,2027,45975,,,'')&lt;/Q&gt;&lt;R&gt;1&lt;/R&gt;&lt;C&gt;1&lt;/C&gt;&lt;D xsi:type="xsd:double"&gt;40877.016&lt;/D&gt;&lt;/FQL&gt;&lt;FQL&gt;&lt;Q&gt;ORCL^FE_ESTIMATE(EBIT,MEAN,CAL4,2026,45975,,,'')&lt;/Q&gt;&lt;R&gt;1&lt;/R&gt;&lt;C&gt;1&lt;/C&gt;&lt;D xsi:type="xsd:double"&gt;31047.85&lt;/D&gt;&lt;/FQL&gt;&lt;FQL&gt;&lt;Q&gt;ORCL^FE_ESTIMATE(EBIT,MEAN,CAL4,2025,45975,,,'')&lt;/Q&gt;&lt;R&gt;1&lt;/R&gt;&lt;C&gt;1&lt;/C&gt;&lt;D xsi:type="xsd:double"&gt;26269.61&lt;/D&gt;&lt;/FQL&gt;&lt;FQL&gt;&lt;Q&gt;ORCL^FE_ESTIMATE(EBIT,MEAN,CAL4,2024,45975,,,'')&lt;/Q&gt;&lt;R&gt;1&lt;/R&gt;&lt;C&gt;1&lt;/C&gt;&lt;D xsi:type="xsd:double"&gt;24264.9&lt;/D&gt;&lt;/FQL&gt;&lt;FQL&gt;&lt;Q&gt;ORCL^FE_ESTIMATE(EBIT,MEAN,CAL4,2023,45975,,,'')&lt;/Q&gt;&lt;R&gt;1&lt;/R&gt;&lt;C&gt;1&lt;/C&gt;&lt;D xsi:type="xsd:double"&gt;21846.732&lt;/D&gt;&lt;/FQL&gt;&lt;FQL&gt;&lt;Q&gt;ORCL^FE_ESTIMATE(EBIT,MEAN,NTM4,,45975,,,'')&lt;/Q&gt;&lt;R&gt;1&lt;/R&gt;&lt;C&gt;1&lt;/C&gt;&lt;D xsi:type="xsd:double"&gt;29688.91&lt;/D&gt;&lt;/FQL&gt;&lt;FQL&gt;&lt;Q&gt;ORCL^FE_ESTIMATE(EBIT,MEAN,LTM4,,45975,,,'')&lt;/Q&gt;&lt;R&gt;1&lt;/R&gt;&lt;C&gt;1&lt;/C&gt;&lt;D xsi:type="xsd:double"&gt;25561.887&lt;/D&gt;&lt;/FQL&gt;&lt;FQL&gt;&lt;Q&gt;IBM^FE_ESTIMATE(EBIT,MEAN,CALA_ROLL,2027,45975,,,'')&lt;/Q&gt;&lt;R&gt;1&lt;/R&gt;&lt;C&gt;1&lt;/C&gt;&lt;D xsi:type="xsd:double"&gt;15369.776&lt;/D&gt;&lt;/FQL&gt;&lt;FQL&gt;&lt;Q&gt;IBM^FE_ESTIMATE(EBIT,MEAN,CAL4,2026,45975,,,'')&lt;/Q&gt;&lt;R&gt;1&lt;/R&gt;&lt;C&gt;1&lt;/C&gt;&lt;D xsi:type="xsd:double"&gt;14421.96&lt;/D&gt;&lt;/FQL&gt;&lt;FQL&gt;&lt;Q&gt;IBM^FE_ESTIMATE(EBIT,MEAN,CAL4,2025,45975,,,'')&lt;/Q&gt;&lt;R&gt;1&lt;/R&gt;&lt;C&gt;1&lt;/C&gt;&lt;D xsi:type="xsd:double"&gt;13306.076&lt;/D&gt;&lt;/FQL&gt;&lt;FQL&gt;&lt;Q&gt;IBM^FE_ESTIMATE(EBIT,MEAN,CAL4,2024,45975,,,'')&lt;/Q&gt;&lt;R&gt;1&lt;/R&gt;&lt;C&gt;1&lt;/C&gt;&lt;D xsi:type="xsd:double"&gt;11312.172&lt;/D&gt;&lt;/FQL&gt;&lt;FQL&gt;&lt;Q&gt;IBM^FE_ESTIMATE(EBIT,MEAN,CAL4,2023,45975,,,'')&lt;/Q&gt;&lt;R&gt;1&lt;/R&gt;&lt;C&gt;1&lt;/C&gt;&lt;D xsi:type="xsd:double"&gt;10434.986&lt;/D&gt;&lt;/FQL&gt;&lt;FQL&gt;&lt;Q&gt;IBM^FE_ESTIMATE(EBIT,MEAN,NTM4,,45975,,,'')&lt;/Q&gt;&lt;R&gt;1&lt;/R&gt;&lt;C&gt;1&lt;/C&gt;&lt;D xsi:type="xsd:double"&gt;14188.221&lt;/D&gt;&lt;/FQL&gt;&lt;FQL&gt;&lt;Q&gt;IBM^FE_ESTIMATE(EBIT,MEAN,LTM4,,45975,,,'')&lt;/Q&gt;&lt;R&gt;1&lt;/R&gt;&lt;C&gt;1&lt;/C&gt;&lt;D xsi:type="xsd:double"&gt;12746.417&lt;/D&gt;&lt;/FQL&gt;&lt;FQL&gt;&lt;Q&gt;EQIX^FE_ESTIMATE(EBIT,MEAN,CALA_ROLL,2027,45975,,,'')&lt;/Q&gt;&lt;R&gt;1&lt;/R&gt;&lt;C&gt;1&lt;/C&gt;&lt;D xsi:type="xsd:double"&gt;2461.9785&lt;/D&gt;&lt;/FQL&gt;&lt;FQL&gt;&lt;Q&gt;EQIX^FE_ESTIMATE(EBIT,MEAN,CAL4,2026,45975,,,'')&lt;/Q&gt;&lt;R&gt;1&lt;/R&gt;&lt;C&gt;1&lt;/C&gt;&lt;D xsi:type="xsd:double"&gt;2198.6563&lt;/D&gt;&lt;/FQL&gt;&lt;FQL&gt;&lt;Q&gt;EQIX^FE_ESTIMATE(EBIT,MEAN,CAL4,2025,45975,,,'')&lt;/Q&gt;&lt;R&gt;1&lt;/R&gt;&lt;C&gt;1&lt;/C&gt;&lt;D xsi:type="xsd:double"&gt;1957.09&lt;/D&gt;&lt;/FQL&gt;&lt;FQL&gt;&lt;Q&gt;EQIX^FE_ESTIMATE(EBIT,MEAN,CAL4,2024,45975,,,'')&lt;/Q&gt;&lt;R&gt;1&lt;/R&gt;&lt;C&gt;1&lt;/C&gt;&lt;D xsi:type="xsd:double"&gt;1688.5778&lt;/D&gt;&lt;/FQL&gt;&lt;FQL&gt;&lt;Q&gt;EQIX^FE_ESTIMATE(EBIT,MEAN,CAL4,2023,45975,,,'')&lt;/Q&gt;&lt;R&gt;1&lt;/R&gt;&lt;C&gt;1&lt;/C&gt;&lt;D xsi:type="xsd:double"&gt;1442.8859&lt;/D&gt;&lt;/FQL&gt;&lt;FQL&gt;&lt;Q&gt;EQIX^FE_ESTIMATE(EBIT,MEAN,NTM4,,45975,,,'')&lt;/Q&gt;&lt;R&gt;1&lt;/R&gt;&lt;C&gt;1&lt;/C&gt;&lt;D xsi:type="xsd:double"&gt;2191.9404&lt;/D&gt;&lt;/FQL&gt;&lt;FQL&gt;&lt;Q&gt;EQIX^FE_ESTIMATE(EBIT,MEAN,LTM4,,45975,,,'')&lt;/Q&gt;&lt;R&gt;1&lt;/R&gt;&lt;C&gt;1&lt;/C&gt;&lt;D xsi:type="xsd:double"&gt;1893.9591&lt;/D&gt;&lt;/FQL&gt;&lt;FQL&gt;&lt;Q&gt;DLR^FE_ESTIMATE(EBIT,MEAN,CALA_ROLL,2027,45975,,,'')&lt;/Q&gt;&lt;R&gt;1&lt;/R&gt;&lt;C&gt;1&lt;/C&gt;&lt;D xsi:type="xsd:double"&gt;1297.8381&lt;/D&gt;&lt;/FQL&gt;&lt;FQL&gt;&lt;Q&gt;DLR^FE_ESTIMATE(EBIT,MEAN,CAL4,2026,45975,,,'')&lt;/Q&gt;&lt;R&gt;1&lt;/R&gt;&lt;C&gt;1&lt;/C&gt;&lt;D xsi:type="xsd:double"&gt;1069.765&lt;/D&gt;&lt;/FQL&gt;&lt;FQL&gt;&lt;Q&gt;DLR^FE_ESTIMATE(EBIT,MEAN,CAL4,2025,45975,,,'')&lt;/Q&gt;&lt;R&gt;1&lt;/R&gt;&lt;C&gt;1&lt;/C&gt;&lt;D xsi:type="xsd:double"&gt;751.452&lt;/D&gt;&lt;/FQL&gt;&lt;FQL&gt;&lt;Q&gt;DLR^FE_ESTIMATE(EBIT,MEAN,CAL4,2024,45975,,,'')&lt;/Q&gt;&lt;R&gt;1&lt;/R&gt;&lt;C&gt;1&lt;/C&gt;&lt;D xsi:type="xsd:double"&gt;484.77356&lt;/D&gt;&lt;/FQL&gt;&lt;FQL&gt;&lt;Q&gt;DLR^FE_ESTIMATE(EBIT,MEAN,CAL4,2023,45975,,,'')&lt;/Q&gt;&lt;R&gt;1&lt;/R&gt;&lt;C&gt;1&lt;/C&gt;&lt;D xsi:type="xsd:double"&gt;524.37494&lt;/D&gt;&lt;/FQL&gt;&lt;FQL&gt;&lt;Q&gt;DLR^FE_ESTIMATE(EBIT,MEAN,NTM4,,45975,,,'')&lt;/Q&gt;&lt;R&gt;1&lt;/R&gt;&lt;C&gt;1&lt;/C&gt;&lt;D xsi:type="xsd:double"&gt;981.64935&lt;/D&gt;&lt;/FQL&gt;&lt;FQL&gt;&lt;Q&gt;DLR^FE_ESTIMATE(EBIT,MEAN,LTM4,,45975,,,'')&lt;/Q&gt;&lt;R&gt;1&lt;/R&gt;&lt;C&gt;1&lt;/C&gt;&lt;D xsi:type="xsd:double"&gt;692.45624&lt;/D&gt;&lt;/FQL&gt;&lt;FQL&gt;&lt;Q&gt;NVDA^FE_ESTIMATE(EBIT,MEAN,CALA_ROLL,2027,45975,,,'')&lt;/Q&gt;&lt;R&gt;1&lt;/R&gt;&lt;C&gt;1&lt;/C&gt;&lt;D xsi:type="xsd:double"&gt;230154.06&lt;/D&gt;&lt;/FQL&gt;&lt;FQL&gt;&lt;Q&gt;NVDA^FE_ESTIMATE(EBIT,MEAN,CAL4,2026,45975,,,'')&lt;/Q&gt;&lt;R&gt;1&lt;/R&gt;&lt;C&gt;1&lt;/C&gt;&lt;D xsi:type="xsd:double"&gt;197456.42&lt;/D&gt;&lt;/FQL&gt;&lt;FQL&gt;&lt;Q&gt;NVDA^FE_ESTIMATE(EBIT,MEAN,CAL4,2025,45975,,,'')&lt;/Q&gt;&lt;R&gt;1&lt;/R&gt;&lt;C&gt;1&lt;/C&gt;&lt;D xsi:type="xsd:double"&gt;130694.47&lt;/D&gt;&lt;/FQL&gt;&lt;FQL&gt;&lt;Q&gt;NVDA^FE_ESTIMATE(EBIT,MEAN,CAL4,2024,45975,,,'')&lt;/Q&gt;&lt;R&gt;1&lt;/R&gt;&lt;C&gt;1&lt;/C&gt;&lt;D xsi:type="xsd:double"&gt;86538.56&lt;/D&gt;&lt;/FQL&gt;&lt;FQL&gt;&lt;Q&gt;NVDA^FE_ESTIMATE(EBIT,MEAN,CAL4,2023,45975,,,'')&lt;/Q&gt;&lt;R&gt;1&lt;/R&gt;&lt;C&gt;1&lt;/C&gt;&lt;D xsi:type="xsd:double"&gt;37133.996&lt;/D&gt;&lt;/FQL&gt;&lt;FQL&gt;&lt;Q&gt;NVDA^FE_ESTIMATE(EBIT,MEAN,NTM4,,45975,,,'')&lt;/Q&gt;&lt;R&gt;1&lt;/R&gt;&lt;C&gt;1&lt;/C&gt;&lt;D xsi:type="xsd:double"&gt;169375.44&lt;/D&gt;&lt;/FQL&gt;&lt;FQL&gt;&lt;Q&gt;NVDA^FE_ESTIMATE(EBIT,MEAN,LTM4,,45975,,,'')&lt;/Q&gt;&lt;R&gt;1&lt;/R&gt;&lt;C&gt;1&lt;/C&gt;&lt;D xsi:type="xsd:double"&gt;102001.15&lt;/D&gt;&lt;/FQL&gt;&lt;FQL&gt;&lt;Q&gt;MSFT^FE_ESTIMATE(EBIT,MEAN,CALA_ROLL,2027,45975,,,'')&lt;/Q&gt;&lt;R&gt;1&lt;/R&gt;&lt;C&gt;1&lt;/C&gt;&lt;D xsi:type="xsd:double"&gt;187985.86&lt;/D&gt;&lt;/FQL&gt;&lt;FQL&gt;&lt;Q&gt;MSFT^FE_ESTIMATE(EBIT,MEAN,CAL4,2026,45975,,,'')&lt;/Q&gt;&lt;R&gt;1&lt;/R&gt;&lt;C&gt;1&lt;/C&gt;&lt;D xsi:type="xsd:double"&gt;160060&lt;/D&gt;&lt;/FQL&gt;&lt;FQL&gt;&lt;Q&gt;MSFT^FE_ESTIMATE(EBIT,MEAN,CAL4,2025,45975,,,'')&lt;/Q&gt;&lt;R&gt;1&lt;/R&gt;&lt;C&gt;1&lt;/C&gt;&lt;D xsi:type="xsd:double"&gt;140796.34&lt;/D&gt;&lt;/FQL&gt;&lt;FQL&gt;&lt;Q&gt;MSFT^FE_ESTIMATE(EBIT,MEAN,CAL4,2024,45975,,,'')&lt;/Q&gt;&lt;R&gt;1&lt;/R&gt;&lt;C&gt;1&lt;/C&gt;&lt;D xsi:type="xsd:double"&gt;117698.59&lt;/D&gt;&lt;/FQL&gt;&lt;FQL&gt;&lt;Q&gt;MSFT^FE_ESTIMATE(EBIT,MEAN,CAL4,2023,45975,,,'')&lt;/Q&gt;&lt;R&gt;1&lt;/R&gt;&lt;C&gt;1&lt;/C&gt;&lt;D xsi:type="xsd:double"&gt;100451.96&lt;/D&gt;&lt;/FQL&gt;&lt;FQL&gt;&lt;Q&gt;MSFT^FE_ESTIMATE(EBIT,MEAN,NTM4,,45975,,,'')&lt;/Q&gt;&lt;R&gt;1&lt;/R&gt;&lt;C&gt;1&lt;/C&gt;&lt;D xsi:type="xsd:double"&gt;154606.94&lt;/D&gt;&lt;/FQL&gt;&lt;FQL&gt;&lt;Q&gt;MSFT^FE_ESTIMATE(EBIT,MEAN,LTM4,,45975,,,'')&lt;/Q&gt;&lt;R&gt;1&lt;/R&gt;&lt;C&gt;1&lt;/C&gt;&lt;D xsi:type="xsd:double"&gt;135955.66&lt;/D&gt;&lt;/FQL&gt;&lt;FQL&gt;&lt;Q&gt;AVT^FE_ESTIMATE(SALES,MEAN,CALA_ROLL,2027,45975,,,'')&lt;/Q&gt;&lt;R&gt;1&lt;/R&gt;&lt;C&gt;1&lt;/C&gt;&lt;D xsi:type="xsd:double"&gt;25674.42&lt;/D&gt;&lt;/FQL&gt;&lt;FQL&gt;&lt;Q&gt;AVT^FE_ESTIMATE(SALES,MEAN,CAL4,2026,45975,,,'')&lt;/Q&gt;&lt;R&gt;1&lt;/R&gt;&lt;C&gt;1&lt;/C&gt;&lt;D xsi:type="xsd:double"&gt;24445.771&lt;/D&gt;&lt;/FQL&gt;&lt;FQL&gt;&lt;Q&gt;AVT^FE_ESTIMATE(SALES,MEAN,CAL4,2025,45975,,,'')&lt;/Q&gt;&lt;R&gt;1&lt;/R&gt;&lt;C&gt;1&lt;/C&gt;&lt;D xsi:type="xsd:double"&gt;22856.738&lt;/D&gt;&lt;/FQL&gt;&lt;FQL&gt;&lt;Q&gt;AVT^FE_ESTIMATE(SALES,MEAN,CAL4,202</t>
        </r>
      </text>
    </comment>
    <comment ref="A21" authorId="0" shapeId="0" xr:uid="{9AC4270E-88EA-44E6-A331-CC863DAFC288}">
      <text>
        <r>
          <rPr>
            <b/>
            <sz val="9"/>
            <color indexed="81"/>
            <rFont val="Tahoma"/>
            <charset val="1"/>
          </rPr>
          <t>4,45975,,,'')&lt;/Q&gt;&lt;R&gt;1&lt;/R&gt;&lt;C&gt;1&lt;/C&gt;&lt;D xsi:type="xsd:double"&gt;22484.129&lt;/D&gt;&lt;/FQL&gt;&lt;FQL&gt;&lt;Q&gt;AVT^FE_ESTIMATE(SALES,MEAN,CAL4,2023,45975,,,'')&lt;/Q&gt;&lt;R&gt;1&lt;/R&gt;&lt;C&gt;1&lt;/C&gt;&lt;D xsi:type="xsd:double"&gt;25609.723&lt;/D&gt;&lt;/FQL&gt;&lt;FQL&gt;&lt;Q&gt;AVT^FE_ESTIMATE(SALES,MEAN,NTM4,,45975,,,'')&lt;/Q&gt;&lt;R&gt;1&lt;/R&gt;&lt;C&gt;1&lt;/C&gt;&lt;D xsi:type="xsd:double"&gt;24182.92&lt;/D&gt;&lt;/FQL&gt;&lt;FQL&gt;&lt;Q&gt;AVT^FE_ESTIMATE(SALES,MEAN,LTM4,,45975,,,'')&lt;/Q&gt;&lt;R&gt;1&lt;/R&gt;&lt;C&gt;1&lt;/C&gt;&lt;D xsi:type="xsd:double"&gt;22495.19&lt;/D&gt;&lt;/FQL&gt;&lt;FQL&gt;&lt;Q&gt;AVT^FG_PRICE(45975)&lt;/Q&gt;&lt;R&gt;1&lt;/R&gt;&lt;C&gt;1&lt;/C&gt;&lt;D xsi:type="xsd:double"&gt;46.66&lt;/D&gt;&lt;/FQL&gt;&lt;FQL&gt;&lt;Q&gt;AVT^FF_ENTRPR_VAL_DAILY(45975,,,,,"DIL")&lt;/Q&gt;&lt;R&gt;1&lt;/R&gt;&lt;C&gt;1&lt;/C&gt;&lt;D xsi:type="xsd:double"&gt;6964.61192&lt;/D&gt;&lt;/FQL&gt;&lt;FQL&gt;&lt;Q&gt;AVT^FREF_MARKET_VALUE_COMPANY(45975,,,,,0,,"LEGACY")&lt;/Q&gt;&lt;R&gt;1&lt;/R&gt;&lt;C&gt;1&lt;/C&gt;&lt;D xsi:type="xsd:double"&gt;3794.8330078125&lt;/D&gt;&lt;/FQL&gt;&lt;FQL&gt;&lt;Q&gt;ARW^FE_ESTIMATE(SALES,MEAN,CALA_ROLL,2027,45975,,,'')&lt;/Q&gt;&lt;R&gt;1&lt;/R&gt;&lt;C&gt;1&lt;/C&gt;&lt;D xsi:type="xsd:double"&gt;33229&lt;/D&gt;&lt;/FQL&gt;&lt;FQL&gt;&lt;Q&gt;ARW^FE_ESTIMATE(SALES,MEAN,CAL4,2026,45975,,,'')&lt;/Q&gt;&lt;R&gt;1&lt;/R&gt;&lt;C&gt;1&lt;/C&gt;&lt;D xsi:type="xsd:double"&gt;31438.023&lt;/D&gt;&lt;/FQL&gt;&lt;FQL&gt;&lt;Q&gt;ARW^FE_ESTIMATE(SALES,MEAN,CAL4,2025,45975,,,'')&lt;/Q&gt;&lt;R&gt;1&lt;/R&gt;&lt;C&gt;1&lt;/C&gt;&lt;D xsi:type="xsd:double"&gt;30254.016&lt;/D&gt;&lt;/FQL&gt;&lt;FQL&gt;&lt;Q&gt;ARW^FE_ESTIMATE(SALES,MEAN,CAL4,2024,45975,,,'')&lt;/Q&gt;&lt;R&gt;1&lt;/R&gt;&lt;C&gt;1&lt;/C&gt;&lt;D xsi:type="xsd:double"&gt;27923.324&lt;/D&gt;&lt;/FQL&gt;&lt;FQL&gt;&lt;Q&gt;ARW^FE_ESTIMATE(SALES,MEAN,CAL4,2023,45975,,,'')&lt;/Q&gt;&lt;R&gt;1&lt;/R&gt;&lt;C&gt;1&lt;/C&gt;&lt;D xsi:type="xsd:double"&gt;33107.12&lt;/D&gt;&lt;/FQL&gt;&lt;FQL&gt;&lt;Q&gt;ARW^FE_ESTIMATE(SALES,MEAN,NTM4,,45975,,,'')&lt;/Q&gt;&lt;R&gt;1&lt;/R&gt;&lt;C&gt;1&lt;/C&gt;&lt;D xsi:type="xsd:double"&gt;31196.533&lt;/D&gt;&lt;/FQL&gt;&lt;FQL&gt;&lt;Q&gt;ARW^FE_ESTIMATE(SALES,MEAN,LTM4,,45975,,,'')&lt;/Q&gt;&lt;R&gt;1&lt;/R&gt;&lt;C&gt;1&lt;/C&gt;&lt;D xsi:type="xsd:double"&gt;29389.383&lt;/D&gt;&lt;/FQL&gt;&lt;FQL&gt;&lt;Q&gt;ARW^FG_PRICE(45975)&lt;/Q&gt;&lt;R&gt;1&lt;/R&gt;&lt;C&gt;1&lt;/C&gt;&lt;D xsi:type="xsd:double"&gt;110.175&lt;/D&gt;&lt;/FQL&gt;&lt;FQL&gt;&lt;Q&gt;ARW^FF_ENTRPR_VAL_DAILY(45975,,,,,"DIL")&lt;/Q&gt;&lt;R&gt;1&lt;/R&gt;&lt;C&gt;1&lt;/C&gt;&lt;D xsi:type="xsd:double"&gt;8735.396675&lt;/D&gt;&lt;/FQL&gt;&lt;FQL&gt;&lt;Q&gt;ARW^FREF_MARKET_VALUE_COMPANY(45975,,,,,0,,"LEGACY")&lt;/Q&gt;&lt;R&gt;1&lt;/R&gt;&lt;C&gt;1&lt;/C&gt;&lt;D xsi:type="xsd:double"&gt;5675.263671875&lt;/D&gt;&lt;/FQL&gt;&lt;FQL&gt;&lt;Q&gt;SNX^FE_ESTIMATE(SALES,MEAN,CALA_ROLL,2027,45975,,,'')&lt;/Q&gt;&lt;R&gt;0&lt;/R&gt;&lt;C&gt;0&lt;/C&gt;&lt;/FQL&gt;&lt;FQL&gt;&lt;Q&gt;SNX^FE_ESTIMATE(SALES,MEAN,CAL4,2026,45975,,,'')&lt;/Q&gt;&lt;R&gt;1&lt;/R&gt;&lt;C&gt;1&lt;/C&gt;&lt;D xsi:type="xsd:double"&gt;64850.83&lt;/D&gt;&lt;/FQL&gt;&lt;FQL&gt;&lt;Q&gt;SNX^FE_ESTIMATE(SALES,MEAN,CAL4,2025,45975,,,'')&lt;/Q&gt;&lt;R&gt;1&lt;/R&gt;&lt;C&gt;1&lt;/C&gt;&lt;D xsi:type="xsd:double"&gt;62059.836&lt;/D&gt;&lt;/FQL&gt;&lt;FQL&gt;&lt;Q&gt;SNX^FE_ESTIMATE(SALES,MEAN,CAL4,2024,45975,,,'')&lt;/Q&gt;&lt;R&gt;1&lt;/R&gt;&lt;C&gt;1&lt;/C&gt;&lt;D xsi:type="xsd:double"&gt;58452.438&lt;/D&gt;&lt;/FQL&gt;&lt;FQL&gt;&lt;Q&gt;SNX^FE_ESTIMATE(SALES,MEAN,CAL4,2023,45975,,,'')&lt;/Q&gt;&lt;R&gt;1&lt;/R&gt;&lt;C&gt;1&lt;/C&gt;&lt;D xsi:type="xsd:double"&gt;57555.414&lt;/D&gt;&lt;/FQL&gt;&lt;FQL&gt;&lt;Q&gt;SNX^FE_ESTIMATE(SALES,MEAN,NTM4,,45975,,,'')&lt;/Q&gt;&lt;R&gt;1&lt;/R&gt;&lt;C&gt;1&lt;/C&gt;&lt;D xsi:type="xsd:double"&gt;64394.77&lt;/D&gt;&lt;/FQL&gt;&lt;FQL&gt;&lt;Q&gt;SNX^FE_ESTIMATE(SALES,MEAN,LTM4,,45975,,,'')&lt;/Q&gt;&lt;R&gt;1&lt;/R&gt;&lt;C&gt;1&lt;/C&gt;&lt;D xsi:type="xsd:double"&gt;60973.492&lt;/D&gt;&lt;/FQL&gt;&lt;FQL&gt;&lt;Q&gt;SNX^FG_PRICE(45975)&lt;/Q&gt;&lt;R&gt;1&lt;/R&gt;&lt;C&gt;1&lt;/C&gt;&lt;D xsi:type="xsd:double"&gt;149.48&lt;/D&gt;&lt;/FQL&gt;&lt;FQL&gt;&lt;Q&gt;SNX^FF_ENTRPR_VAL_DAILY(45975,,,,,"DIL")&lt;/Q&gt;&lt;R&gt;1&lt;/R&gt;&lt;C&gt;1&lt;/C&gt;&lt;D xsi:type="xsd:double"&gt;15607.05348&lt;/D&gt;&lt;/FQL&gt;&lt;FQL&gt;&lt;Q&gt;SNX^FREF_MARKET_VALUE_COMPANY(45975,,,,,0,,"LEGACY")&lt;/Q&gt;&lt;R&gt;1&lt;/R&gt;&lt;C&gt;1&lt;/C&gt;&lt;D xsi:type="xsd:double"&gt;12173.3310546875&lt;/D&gt;&lt;/FQL&gt;&lt;FQL&gt;&lt;Q&gt;CDW^FE_ESTIMATE(SALES,MEAN,CALA_ROLL,2027,45975,,,'')&lt;/Q&gt;&lt;R&gt;1&lt;/R&gt;&lt;C&gt;1&lt;/C&gt;&lt;D xsi:type="xsd:double"&gt;23999.709&lt;/D&gt;&lt;/FQL&gt;&lt;FQL&gt;&lt;Q&gt;CDW^FE_ESTIMATE(SALES,MEAN,CAL4,2026,45975,,,'')&lt;/Q&gt;&lt;R&gt;1&lt;/R&gt;&lt;C&gt;1&lt;/C&gt;&lt;D xsi:type="xsd:double"&gt;22926.533&lt;/D&gt;&lt;/FQL&gt;&lt;FQL&gt;&lt;Q&gt;CDW^FE_ESTIMATE(SALES,MEAN,CAL4,2025,45975,,,'')&lt;/Q&gt;&lt;R&gt;1&lt;/R&gt;&lt;C&gt;1&lt;/C&gt;&lt;D xsi:type="xsd:double"&gt;22246.463&lt;/D&gt;&lt;/FQL&gt;&lt;FQL&gt;&lt;Q&gt;CDW^FE_ESTIMATE(SALES,MEAN,CAL4,2024,45975,,,'')&lt;/Q&gt;&lt;R&gt;1&lt;/R&gt;&lt;C&gt;1&lt;/C&gt;&lt;D xsi:type="xsd:double"&gt;20998.7&lt;/D&gt;&lt;/FQL&gt;&lt;FQL&gt;&lt;Q&gt;CDW^FE_ESTIMATE(SALES,MEAN,CAL4,2023,45975,,,'')&lt;/Q&gt;&lt;R&gt;1&lt;/R&gt;&lt;C&gt;1&lt;/C&gt;&lt;D xsi:type="xsd:double"&gt;21376&lt;/D&gt;&lt;/FQL&gt;&lt;FQL&gt;&lt;Q&gt;CDW^FE_ESTIMATE(SALES,MEAN,NTM4,,45975,,,'')&lt;/Q&gt;&lt;R&gt;1&lt;/R&gt;&lt;C&gt;1&lt;/C&gt;&lt;D xsi:type="xsd:double"&gt;22535.25&lt;/D&gt;&lt;/FQL&gt;&lt;FQL&gt;&lt;Q&gt;CDW^FE_ESTIMATE(SALES,MEAN,LTM4,,45975,,,'')&lt;/Q&gt;&lt;R&gt;1&lt;/R&gt;&lt;C&gt;1&lt;/C&gt;&lt;D xsi:type="xsd:double"&gt;22099.1&lt;/D&gt;&lt;/FQL&gt;&lt;FQL&gt;&lt;Q&gt;CDW^FG_PRICE(45975)&lt;/Q&gt;&lt;R&gt;1&lt;/R&gt;&lt;C&gt;1&lt;/C&gt;&lt;D xsi:type="xsd:double"&gt;147.355&lt;/D&gt;&lt;/FQL&gt;&lt;FQL&gt;&lt;Q&gt;CDW^FF_ENTRPR_VAL_DAILY(45975,,,,,"DIL")&lt;/Q&gt;&lt;R&gt;1&lt;/R&gt;&lt;C&gt;1&lt;/C&gt;&lt;D xsi:type="xsd:double"&gt;25057.089&lt;/D&gt;&lt;/FQL&gt;&lt;FQL&gt;&lt;Q&gt;CDW^FREF_MARKET_VALUE_COMPANY(45975,,,,,0,,"LEGACY")&lt;/Q&gt;&lt;R&gt;1&lt;/R&gt;&lt;C&gt;1&lt;/C&gt;&lt;D xsi:type="xsd:double"&gt;19184.6875&lt;/D&gt;&lt;/FQL&gt;&lt;FQL&gt;&lt;Q&gt;INGM^FE_ESTIMATE(SALES,MEAN,CALA_ROLL,2027,45975,,,'')&lt;/Q&gt;&lt;R&gt;1&lt;/R&gt;&lt;C&gt;1&lt;/C&gt;&lt;D xsi:type="xsd:double"&gt;54655.43&lt;/D&gt;&lt;/FQL&gt;&lt;FQL&gt;&lt;Q&gt;INGM^FE_ESTIMATE(SALES,MEAN,CAL4,2026,45975,,,'')&lt;/Q&gt;&lt;R&gt;1&lt;/R&gt;&lt;C&gt;1&lt;/C&gt;&lt;D xsi:type="xsd:double"&gt;52488.48&lt;/D&gt;&lt;/FQL&gt;&lt;FQL&gt;&lt;Q&gt;INGM^FE_ESTIMATE(SALES,MEAN,CAL4,2025,45975,,,'')&lt;/Q&gt;&lt;R&gt;1&lt;/R&gt;&lt;C&gt;1&lt;/C&gt;&lt;D xsi:type="xsd:double"&gt;51749.438&lt;/D&gt;&lt;/FQL&gt;&lt;FQL&gt;&lt;Q&gt;INGM^FE_ESTIMATE(SALES,MEAN,CAL4,2024,45975,,,'')&lt;/Q&gt;&lt;R&gt;0&lt;/R&gt;&lt;C&gt;0&lt;/C&gt;&lt;/FQL&gt;&lt;FQL&gt;&lt;Q&gt;INGM^FE_ESTIMATE(SALES,MEAN,CAL4,2023,45975,,,'')&lt;/Q&gt;&lt;R&gt;0&lt;/R&gt;&lt;C&gt;0&lt;/C&gt;&lt;/FQL&gt;&lt;FQL&gt;&lt;Q&gt;INGM^FE_ESTIMATE(SALES,MEAN,NTM4,,45975,,,'')&lt;/Q&gt;&lt;R&gt;1&lt;/R&gt;&lt;C&gt;1&lt;/C&gt;&lt;D xsi:type="xsd:double"&gt;52260.9&lt;/D&gt;&lt;/FQL&gt;&lt;FQL&gt;&lt;Q&gt;INGM^FE_ESTIMATE(SALES,MEAN,LTM4,,45975,,,'')&lt;/Q&gt;&lt;R&gt;1&lt;/R&gt;&lt;C&gt;1&lt;/C&gt;&lt;D xsi:type="xsd:double"&gt;51023.223&lt;/D&gt;&lt;/FQL&gt;&lt;FQL&gt;&lt;Q&gt;INGM^FG_PRICE(45975)&lt;/Q&gt;&lt;R&gt;1&lt;/R&gt;&lt;C&gt;1&lt;/C&gt;&lt;D xsi:type="xsd:double"&gt;20.405&lt;/D&gt;&lt;/FQL&gt;&lt;FQL&gt;&lt;Q&gt;INGM^FF_ENTRPR_VAL_DAILY(45975,,,,,"DIL")&lt;/Q&gt;&lt;R&gt;1&lt;/R&gt;&lt;C&gt;1&lt;/C&gt;&lt;D xsi:type="xsd:double"&gt;8276.31244768&lt;/D&gt;&lt;/FQL&gt;&lt;FQL&gt;&lt;Q&gt;INGM^FREF_MARKET_VALUE_COMPANY(45975,,,,,0,,"LEGACY")&lt;/Q&gt;&lt;R&gt;1&lt;/R&gt;&lt;C&gt;1&lt;/C&gt;&lt;D xsi:type="xsd:double"&gt;4796.65771484375&lt;/D&gt;&lt;/FQL&gt;&lt;FQL&gt;&lt;Q&gt;NBIS^FE_ESTIMATE(SALES,MEAN,CALA_ROLL,2027,45975,,,'')&lt;/Q&gt;&lt;R&gt;1&lt;/R&gt;&lt;C&gt;1&lt;/C&gt;&lt;D xsi:type="xsd:double"&gt;5830.8296&lt;/D&gt;&lt;/FQL&gt;&lt;FQL&gt;&lt;Q&gt;NBIS^FE_ESTIMATE(SALES,MEAN,CAL4,2026,45975,,,'')&lt;/Q&gt;&lt;R&gt;1&lt;/R&gt;&lt;C&gt;1&lt;/C&gt;&lt;D xsi:type="xsd:double"&gt;3115.74&lt;/D&gt;&lt;/FQL&gt;&lt;FQL&gt;&lt;Q&gt;NBIS^FE_ESTIMATE(SALES,MEAN,CAL4,2025,45975,,,'')&lt;/Q&gt;&lt;R&gt;1&lt;/R&gt;&lt;C&gt;1&lt;/C&gt;&lt;D xsi:type="xsd:double"&gt;568.3228&lt;/D&gt;&lt;/FQL&gt;&lt;FQL&gt;&lt;Q&gt;NBIS^FE_ESTIMATE(SALES,MEAN,CAL4,2024,45975,,,'')&lt;/Q&gt;&lt;R&gt;1&lt;/R&gt;&lt;C&gt;1&lt;/C&gt;&lt;D xsi:type="xsd:double"&gt;2559.1375&lt;/D&gt;&lt;/FQL&gt;&lt;FQL&gt;&lt;Q&gt;NBIS^FE_ESTIMATE(SALES,MEAN,CAL4,2023,45975,,,'')&lt;/Q&gt;&lt;R&gt;1&lt;/R&gt;&lt;C&gt;1&lt;/C&gt;&lt;D xsi:type="xsd:double"&gt;8777.168&lt;/D&gt;&lt;/FQL&gt;&lt;FQL&gt;&lt;Q&gt;NBIS^FE_ESTIMATE(SALES,MEAN,NTM4,,45975,,,'')&lt;/Q&gt;&lt;R&gt;1&lt;/R&gt;&lt;C&gt;1&lt;/C&gt;&lt;D xsi:type="xsd:double"&gt;2152.0627&lt;/D&gt;&lt;/FQL&gt;&lt;FQL&gt;&lt;Q&gt;NBIS^FE_ESTIMATE(SALES,MEAN,LTM4,,45975,,,'')&lt;/Q&gt;&lt;R&gt;1&lt;/R&gt;&lt;C&gt;1&lt;/C&gt;&lt;D xsi:type="xsd:double"&gt;344.4&lt;/D&gt;&lt;/FQL&gt;&lt;FQL&gt;&lt;Q&gt;NBIS^FG_PRICE(45975)&lt;/Q&gt;&lt;R&gt;1&lt;/R&gt;&lt;C&gt;1&lt;/C&gt;&lt;D xsi:type="xsd:double"&gt;85.82&lt;/D&gt;&lt;/FQL&gt;&lt;FQL&gt;&lt;Q&gt;NBIS^FF_ENTRPR_VAL_DAILY(45975,,,,,"DIL")&lt;/Q&gt;&lt;R&gt;1&lt;/R&gt;&lt;C&gt;1&lt;/C&gt;&lt;D xsi:type="xsd:double"&gt;21220.39579204&lt;/D&gt;&lt;/FQL&gt;&lt;FQL&gt;&lt;Q&gt;NBIS^FREF_MARKET_VALUE_COMPANY(45975,,,,,0,,"LEGACY")&lt;/Q&gt;&lt;R&gt;1&lt;/R&gt;&lt;C&gt;1&lt;/C&gt;&lt;D xsi:type="xsd:double"&gt;18489.2578125&lt;/D&gt;&lt;/FQL&gt;&lt;FQL&gt;&lt;Q&gt;DOCN^FE_ESTIMATE(SALES,MEAN,CALA_ROLL,2027,45975,,,'')&lt;/Q&gt;&lt;R&gt;1&lt;/R&gt;&lt;C&gt;1&lt;/C&gt;&lt;D xsi:type="xsd:double"&gt;1272.3501&lt;/D&gt;&lt;/FQL&gt;&lt;FQL&gt;&lt;Q&gt;DOCN^FE_ESTIMATE(SALES,MEAN,CAL4,2026,45975,,,'')&lt;/Q&gt;&lt;R&gt;1&lt;/R&gt;&lt;C&gt;1&lt;/C&gt;&lt;D xsi:type="xsd:double"&gt;1065.7341&lt;/D&gt;&lt;/FQL&gt;&lt;FQL&gt;&lt;Q&gt;DOCN^FE_ESTIMATE(SALES,MEAN,CAL4,2025,45975,,,'')&lt;/Q&gt;&lt;R&gt;1&lt;/R&gt;&lt;C&gt;1&lt;/C&gt;&lt;D xsi:type="xsd:double"&gt;897.1326&lt;/D&gt;&lt;/FQL&gt;&lt;FQL&gt;&lt;Q&gt;DOCN^FE_ESTIMATE(SALES,MEAN,CAL4,2024,45975,,,'')&lt;/Q&gt;&lt;R&gt;1&lt;/R&gt;&lt;C&gt;1&lt;/C&gt;&lt;D xsi:type="xsd:double"&gt;780.615&lt;/D&gt;&lt;/FQL&gt;&lt;FQL&gt;&lt;Q&gt;DOCN^FE_ESTIMATE(SALES,MEAN,CAL4,2023,45975,,,'')&lt;/Q&gt;&lt;R&gt;1&lt;/R&gt;&lt;C&gt;1&lt;/C&gt;&lt;D xsi:type="xsd:double"&gt;692.884&lt;/D&gt;&lt;/FQL&gt;&lt;FQL&gt;&lt;Q&gt;DOCN^FE_ESTIMATE(SALES,MEAN,NTM4,,45975,,,'')&lt;/Q&gt;&lt;R&gt;1&lt;/R&gt;&lt;C&gt;1&lt;/C&gt;&lt;D xsi:type="xsd:double"&gt;1018.1268&lt;/D&gt;&lt;/FQL&gt;&lt;FQL&gt;&lt;Q&gt;DOCN^FE_ESTIMATE(SALES,MEAN,LTM4,,45975,,,'')&lt;/Q&gt;&lt;R&gt;1&lt;/R&gt;&lt;C&gt;1&lt;/C&gt;&lt;D xsi:type="xsd:double"&gt;864.328&lt;/D&gt;&lt;/FQL&gt;&lt;FQL&gt;&lt;Q&gt;DOCN^FG_PRICE(45975)&lt;/Q&gt;&lt;R&gt;1&lt;/R&gt;&lt;C&gt;1&lt;/C&gt;&lt;D xsi:type="xsd:double"&gt;44.64&lt;/D&gt;&lt;/FQL&gt;&lt;FQL&gt;&lt;Q&gt;DOCN^FF_ENTRPR_VAL_DAILY(45975,,,,,"DIL")&lt;/Q&gt;&lt;R&gt;1&lt;/R&gt;&lt;C&gt;1&lt;/C&gt;&lt;D xsi:type="xsd:double"&gt;6146.6588&lt;/D&gt;&lt;/FQL&gt;&lt;FQL&gt;&lt;Q&gt;DOCN^FREF_MARKET_VALUE_COMPANY(45975,,,,,0,,"LEGACY")&lt;/Q&gt;&lt;R&gt;1&lt;/R&gt;&lt;C&gt;1&lt;/C&gt;&lt;D xsi:type="xsd:double"&gt;4084.20922851562&lt;/D&gt;&lt;/FQL&gt;&lt;FQL&gt;&lt;Q&gt;GOOG^FE_ESTIMATE(SALES,MEAN,CALA_ROLL,2027,45975,,,'')&lt;/Q&gt;&lt;R&gt;1&lt;/R&gt;&lt;C&gt;1&lt;/C&gt;&lt;D xsi:type="xsd:double"&gt;508173.94&lt;/D&gt;&lt;/FQL&gt;&lt;FQL&gt;&lt;Q&gt;GOOG^FE_ESTIMATE(SALES,MEAN,CAL4,2026,45975,,,'')&lt;/Q&gt;&lt;R&gt;1&lt;/R&gt;&lt;C&gt;1&lt;/C&gt;&lt;D xsi:type="xsd:double"&gt;452321.2&lt;/D&gt;&lt;/FQL&gt;&lt;FQL&gt;&lt;Q&gt;GOOG^FE_ESTIMATE(SALES,MEAN,CAL4,2025,45975,,,'')&lt;/Q&gt;&lt;R&gt;1&lt;/R&gt;&lt;C&gt;1&lt;/C&gt;&lt;D xsi:type="xsd:double"&gt;399857.53&lt;/D&gt;&lt;/FQL&gt;&lt;FQL&gt;&lt;Q&gt;GOOG^FE_ESTIMATE(SALES,MEAN,CAL4,2024,45975,,,'')&lt;/Q&gt;&lt;R&gt;1&lt;/R&gt;&lt;C&gt;1&lt;/C&gt;&lt;D xsi:type="xsd:double"&gt;350018&lt;/D&gt;&lt;/FQL&gt;&lt;FQL&gt;&lt;Q&gt;GOOG^FE_ESTIMATE(SALES,MEAN,CAL4,2023,45975,,,'')&lt;/Q&gt;&lt;R&gt;1&lt;/R&gt;&lt;C&gt;1&lt;/C&gt;&lt;D xsi:type="xsd:double"&gt;307394&lt;/D&gt;&lt;/FQL&gt;&lt;FQL&gt;&lt;Q&gt;GOOG^FE_ESTIMATE(SALES,MEAN,NTM4,,45975,,,'')&lt;/Q&gt;&lt;R&gt;1&lt;/R&gt;&lt;C&gt;1&lt;/C&gt;&lt;D xsi:type="xsd:double"&gt;438646.03&lt;/D&gt;&lt;/FQL&gt;&lt;FQL&gt;&lt;Q&gt;GOOG^FE_ESTIMATE(SALES,MEAN,LTM4,,45975,,,'')&lt;/Q&gt;&lt;R&gt;1&lt;/R&gt;&lt;C&gt;1&lt;/C&gt;&lt;D xsi:type="xsd:double"&gt;385477&lt;/D&gt;&lt;/FQL&gt;&lt;FQL&gt;&lt;Q&gt;GOOG^FG_PRICE(45975)&lt;/Q&gt;&lt;R&gt;1&lt;/R&gt;&lt;C&gt;1&lt;/C&gt;&lt;D xsi:type="xsd:double"&gt;274.735&lt;/D&gt;&lt;/FQL&gt;&lt;FQL&gt;&lt;Q&gt;GOOG^FF_ENTRPR_VAL_DAILY(45975,,,,,"DIL")&lt;/Q&gt;&lt;R&gt;1&lt;/R&gt;&lt;C&gt;1&lt;/C&gt;&lt;D xsi:type="xsd:double"&gt;3287288.6979&lt;/D&gt;&lt;/FQL&gt;&lt;FQL&gt;&lt;Q&gt;GOOG^FREF_MARKET_VALUE_COMPANY(45975,,,,,0,,"LEGACY")&lt;/Q&gt;&lt;R&gt;1&lt;/R&gt;&lt;C&gt;1&lt;/C&gt;&lt;D xsi:type="xsd:double"&gt;3080085.625&lt;/D&gt;&lt;/FQL&gt;&lt;FQL&gt;&lt;Q&gt;AMZN^FE_ESTIMATE(SALES,MEAN,CALA_ROLL,2027,45975,,,'')&lt;/Q&gt;&lt;R&gt;1&lt;/R&gt;&lt;C&gt;1&lt;/C&gt;&lt;D xsi:type="xsd:double"&gt;882441.6&lt;/D&gt;&lt;/FQL&gt;&lt;FQL&gt;&lt;Q&gt;AMZN^FE_ESTIMATE(SALES,MEAN,CAL4,2026,45975,,,'')&lt;/Q&gt;&lt;R&gt;1&lt;/R&gt;&lt;C&gt;1&lt;/C&gt;&lt;D xsi:type="xsd:double"&gt;792459.75&lt;/D&gt;&lt;/FQL&gt;&lt;FQL&gt;&lt;Q&gt;AMZN^FE_ESTIMATE(SALES,MEAN,CAL4,2025,45975,,,'')&lt;/Q&gt;&lt;R&gt;1&lt;/R&gt;&lt;C&gt;1&lt;/C&gt;&lt;D xsi:type="xsd:double"&gt;714574.94&lt;/D&gt;&lt;/FQL&gt;&lt;FQL&gt;&lt;Q&gt;AMZN^FE_ESTIMATE(SALES,MEAN,CAL4,2024,45975,,,'')&lt;/Q&gt;&lt;R&gt;1&lt;/R&gt;&lt;C&gt;1&lt;/C&gt;&lt;D xsi:type="xsd:double"&gt;637959&lt;/D&gt;&lt;/FQL&gt;&lt;FQL&gt;&lt;Q&gt;AMZN^FE_ESTIMATE(SALES,MEAN,CAL4,2023,45975,,,'')&lt;/Q&gt;&lt;R&gt;1&lt;/R&gt;&lt;C&gt;1&lt;/C&gt;&lt;D xsi:type="xsd:double"&gt;574785&lt;/D&gt;&lt;/FQL&gt;&lt;FQL&gt;&lt;Q&gt;AMZN^FE_ESTIMATE(SALES,MEAN,NTM4,,45975,,,'')&lt;/Q&gt;&lt;R&gt;1&lt;/R&gt;&lt;C&gt;1&lt;/C&gt;&lt;D xsi:type="xsd:double"&gt;770946.4&lt;/D&gt;&lt;/FQL&gt;&lt;FQL&gt;&lt;Q&gt;AMZN^FE_ESTIMATE(SALES,MEAN,LTM4,,45975,,,'')&lt;/Q&gt;&lt;R&gt;1&lt;/R&gt;&lt;C&gt;1&lt;/C&gt;&lt;D xsi:type="xsd:double"&gt;691330&lt;/D&gt;&lt;/FQL&gt;&lt;FQL&gt;&lt;Q&gt;AMZN^FG_PRICE(45975)&lt;/Q&gt;&lt;R&gt;1&lt;/R&gt;&lt;C&gt;1&lt;/C&gt;&lt;D xsi:type="xsd:double"&gt;234.6186&lt;/D&gt;&lt;/FQL&gt;&lt;FQL&gt;&lt;Q&gt;AMZN^FF_ENTRPR_VAL_DAILY(45975,,,,,"DIL")&lt;/Q&gt;&lt;R&gt;1&lt;/R&gt;&lt;C&gt;1&lt;/C&gt;&lt;D xsi:type="xsd:double"&gt;2599436.717&lt;/D&gt;&lt;/FQL&gt;&lt;FQL&gt;&lt;Q&gt;AMZN^FREF_MARKET_VALUE_COMPANY(45975,,,,,0,,"LEGACY")&lt;/Q&gt;&lt;R&gt;1&lt;/R&gt;&lt;C&gt;1&lt;/C&gt;&lt;D xsi:type="xsd:double"&gt;2508123.5&lt;/D&gt;&lt;/FQL&gt;&lt;FQL&gt;&lt;Q&gt;ORCL^FE_ESTIMATE(SALES,MEAN,CALA_ROLL,2027,45975,,,'')&lt;/Q&gt;&lt;R&gt;1&lt;/R&gt;&lt;C&gt;1&lt;/C&gt;&lt;D xsi:type="xsd:double"&gt;108038.09&lt;/D&gt;&lt;/FQL&gt;&lt;FQL&gt;&lt;Q&gt;ORCL^FE_ESTIMATE(SALES,MEAN,CAL4,2026,45975,,,'')&lt;/Q&gt;&lt;R&gt;1&lt;/R&gt;&lt;C&gt;1&lt;/C&gt;&lt;D xsi:type="xsd:double"&gt;74588.32&lt;/D&gt;&lt;/FQL&gt;&lt;FQL&gt;&lt;Q&gt;ORCL^FE_ESTIMATE(SALES,MEAN,CAL4,2025,45975,,,'')&lt;/Q&gt;&lt;R&gt;1&lt;/R&gt;&lt;C&gt;1&lt;/C&gt;&lt;D xsi:type="xsd:double"&gt;61154.91&lt;/D&gt;&lt;/FQL&gt;&lt;FQL&gt;&lt;Q&gt;ORCL^FE_ESTIMATE(SALES,MEAN,CAL4,2024,45975,,,'')&lt;/Q&gt;&lt;R&gt;1&lt;/R&gt;&lt;C&gt;1&lt;/C&gt;&lt;D xsi:type="xsd:double"&gt;54933&lt;/D&gt;&lt;/FQL&gt;&lt;FQL&gt;&lt;Q&gt;ORCL^FE_ESTIMATE(SALES,MEAN,CAL4,2023,45975,,,'')&lt;/Q&gt;&lt;R&gt;1&lt;/R&gt;&lt;C&gt;1&lt;/C&gt;&lt;D xsi:type="xsd:double"&gt;51629&lt;/D&gt;&lt;/FQL&gt;&lt;FQL&gt;&lt;Q&gt;ORCL^FE_ESTIMATE(SALES,MEAN,NTM4,,45975,,,'')&lt;/Q&gt;&lt;R&gt;1&lt;/R&gt;&lt;C&gt;1&lt;/C&gt;&lt;D xsi:type="xsd:double"&gt;70634.78&lt;/D&gt;&lt;/FQL&gt;&lt;FQL&gt;&lt;Q&gt;ORCL^FE_ESTIMATE(SALES,MEAN,LTM4,,45975,,,'')&lt;/Q&gt;&lt;R&gt;1&lt;/R&gt;&lt;C&gt;1&lt;/C&gt;&lt;D xsi:type="xsd:double"&gt;59018&lt;/D&gt;&lt;/FQL&gt;&lt;FQL&gt;&lt;Q&gt;ORCL^FG_PRICE(45975)&lt;/Q&gt;&lt;R&gt;1&lt;/R&gt;&lt;C&gt;1&lt;/C&gt;&lt;D xsi:type="xsd:double"&gt;213.5811&lt;/D&gt;&lt;/FQL&gt;&lt;FQL&gt;&lt;Q&gt;ORCL^FF_ENTRPR_VAL_DAILY(45975,,,,,"DIL")&lt;/Q&gt;&lt;R&gt;1&lt;/R&gt;&lt;C&gt;1&lt;/C&gt;&lt;D xsi:type="xsd:double"&gt;734040.13&lt;/D&gt;&lt;/FQL&gt;&lt;FQL&gt;&lt;Q&gt;ORCL^FREF_MARKET_VALUE_COMPANY(45975,,,,,0,,"LEGACY")&lt;/Q&gt;&lt;R&gt;1&lt;/R&gt;&lt;C&gt;1&lt;/C&gt;&lt;D xsi:type="xsd:double"&gt;608875.4375&lt;/D&gt;&lt;/FQL&gt;&lt;FQL&gt;&lt;Q&gt;IBM^FE_ESTIMATE(SALES,MEAN,CALA_ROLL,2027,45975,,,'')&lt;/Q&gt;&lt;R&gt;1&lt;/R&gt;&lt;C&gt;1&lt;/C&gt;&lt;D xsi:type="xsd:double"&gt;73014.195&lt;/D&gt;&lt;/FQL&gt;&lt;FQL&gt;&lt;Q&gt;IBM^FE_ESTIMATE(SALES,MEAN,CAL4,2026,45975,,,'')&lt;/Q&gt;&lt;R&gt;1&lt;/R&gt;&lt;C&gt;1&lt;/C&gt;&lt;D xsi:type="xsd:double"&gt;70038.36&lt;/D&gt;&lt;/FQL&gt;&lt;FQL&gt;&lt;Q&gt;IBM^FE_ESTIMATE(SALES,MEAN,CAL4,2025,45975,,,'')&lt;/Q&gt;&lt;R&gt;1&lt;/R&gt;&lt;C&gt;1&lt;/C&gt;&lt;D xsi:type="xsd:double"&gt;67078.875&lt;/D&gt;&lt;/FQL&gt;&lt;FQL&gt;&lt;Q&gt;IBM^FE_ESTIMATE(SALES,MEAN,CAL4,2024,45975,,,'')&lt;/Q&gt;&lt;R&gt;1&lt;/R&gt;&lt;C&gt;1&lt;/C&gt;&lt;D xsi:type="xsd:double"&gt;62753&lt;/D&gt;&lt;/FQL&gt;&lt;FQL&gt;&lt;Q&gt;IBM^FE_ESTIMATE(SALES,MEAN,CAL4,2023,45975,,,'')&lt;/Q&gt;&lt;R&gt;1&lt;/R&gt;&lt;C&gt;1&lt;/C&gt;&lt;D xsi:type="xsd:double"&gt;61860&lt;/D&gt;&lt;/FQL&gt;&lt;FQL&gt;&lt;Q&gt;IBM^FE_ESTIMATE(SALES,MEAN,NTM4,,45975,,,'')&lt;/Q&gt;&lt;R&gt;1&lt;/R&gt;&lt;C&gt;1&lt;/C&gt;&lt;D xsi:type="xsd:double"&gt;69336.664&lt;/D&gt;&lt;/FQL&gt;&lt;FQL&gt;&lt;Q&gt;IBM^FE_ESTIMATE(SALES,MEAN,LTM4,,45975,,,'')&lt;/Q&gt;&lt;R&gt;1&lt;/R&gt;&lt;C&gt;1&lt;/C&gt;&lt;D xsi:type="xsd:double"&gt;65402&lt;/D&gt;&lt;/FQL&gt;&lt;FQL&gt;&lt;Q&gt;IBM^FG_PRICE(45975)&lt;/Q&gt;&lt;R&gt;1&lt;/R&gt;&lt;C&gt;1&lt;/C&gt;&lt;D xsi:type="xsd:double"&gt;301.2&lt;/D&gt;&lt;/FQL&gt;&lt;FQL&gt;&lt;Q&gt;IBM^FF_ENTRPR_VAL_DAILY(45975,,,,,"DIL")&lt;/Q&gt;&lt;R&gt;1&lt;/R&gt;&lt;C&gt;1&lt;/C&gt;&lt;D xsi:type="xsd:double"&gt;341060.11258636&lt;/D&gt;&lt;/FQL&gt;&lt;FQL&gt;&lt;Q&gt;IBM^FREF_MARKET_VALUE_COMPANY(45975,,,,,0,,"LEGACY")&lt;/Q&gt;&lt;R&gt;1&lt;/R&gt;&lt;C&gt;1&lt;/C&gt;&lt;D xsi:type="xsd:double"&gt;281542.25&lt;/D&gt;&lt;/FQL&gt;&lt;FQL&gt;&lt;Q&gt;EQIX^FE_ESTIMATE(SALES,MEAN,CALA_ROLL,2027,45975,,,'')&lt;/Q&gt;&lt;R&gt;1&lt;/R&gt;&lt;C&gt;1&lt;/C&gt;&lt;D xsi:type="xsd:double"&gt;10904.139&lt;/D&gt;&lt;/FQL&gt;&lt;FQL&gt;&lt;Q&gt;EQIX^FE_ESTIMATE(SALES,MEAN,CAL4,2026,45975,,,'')&lt;/Q&gt;&lt;R&gt;1&lt;/R&gt;&lt;C&gt;1&lt;/C&gt;&lt;D xsi:type="xsd:double"&gt;10102.466&lt;/D&gt;&lt;/FQL&gt;&lt;FQL&gt;&lt;Q&gt;EQIX^FE_ESTIMATE(SALES,MEAN,CAL4,2025,45975,,,'')&lt;/Q&gt;&lt;R&gt;1&lt;/R&gt;&lt;C&gt;1&lt;/C&gt;&lt;D xsi:type="xsd:double"&gt;9255.587&lt;/D&gt;&lt;/FQL&gt;&lt;FQL&gt;&lt;Q&gt;EQIX^FE_ESTIMATE(SALES,MEAN,CAL4,2024,45975,,,'')&lt;/Q&gt;&lt;R&gt;1&lt;/R&gt;&lt;C&gt;1&lt;/C&gt;&lt;D xsi:type="xsd:double"&gt;8748&lt;/D&gt;&lt;/FQL&gt;&lt;FQL&gt;&lt;Q&gt;EQIX^FE_ESTIMATE(SALES,MEAN,CAL4,2023,45975,,,'')&lt;/Q&gt;&lt;R&gt;1&lt;/R&gt;&lt;C&gt;1&lt;/C&gt;&lt;D xsi:type="xsd:double"&gt;8188.136&lt;/D&gt;&lt;/FQL&gt;&lt;FQL&gt;&lt;Q&gt;EQIX^FE_ESTIMATE(SALES,MEAN,NTM4,,45975,,,'')&lt;/Q&gt;&lt;R&gt;1&lt;/R&gt;&lt;C&gt;1&lt;/C&gt;&lt;D xsi:type="xsd:double"&gt;9960.504&lt;/D&gt;&lt;/FQL&gt;&lt;FQL&gt;&lt;Q&gt;EQIX^FE_ESTIMATE(SALES,MEAN,LTM4,,45975,,,'')&lt;/Q&gt;&lt;R&gt;1&lt;/R&gt;&lt;C&gt;1&lt;/C&gt;&lt;D xsi:type="xsd:double"&gt;9058&lt;/D&gt;&lt;/FQL&gt;&lt;FQL&gt;&lt;Q&gt;EQIX^FG_PRICE(45975)&lt;/Q&gt;&lt;R&gt;1&lt;/R&gt;&lt;C&gt;1&lt;/C&gt;&lt;D xsi:type="xsd:double"&gt;782.305&lt;/D&gt;&lt;/FQL&gt;&lt;FQL&gt;&lt;Q&gt;EQIX^FF_ENTRPR_VAL_DAILY(45975,,,,,"DIL")&lt;/Q&gt;&lt;R&gt;1&lt;/R&gt;&lt;C&gt;1&lt;/C&gt;&lt;D xsi:type="xsd:double"&gt;94585.01107&lt;/D&gt;&lt;/FQL&gt;&lt;FQL&gt;&lt;Q&gt;EQIX^FREF_MARKET_VALUE_COMPANY(45975,,,,,0,,"LEGACY")&lt;/Q&gt;&lt;R&gt;1&lt;/R&gt;&lt;C&gt;1&lt;/C&gt;&lt;D xsi:type="xsd:double"&gt;76811.4609375&lt;/D&gt;&lt;/FQL&gt;&lt;FQL&gt;&lt;Q&gt;DLR^FE_ESTIMATE(SALES,MEAN,CALA_ROLL,2027,45975,,,'')&lt;/Q&gt;&lt;R&gt;1&lt;/R&gt;&lt;C&gt;1&lt;/C&gt;&lt;D xsi:type="xsd:double"&gt;7476.2036&lt;/D&gt;&lt;/FQL&gt;&lt;FQL&gt;&lt;Q&gt;DLR^FE_ESTIMATE(SALES,MEAN,CAL4,2026,45975,,,'')&lt;/Q&gt;&lt;R&gt;1&lt;/R&gt;&lt;C&gt;1&lt;/C&gt;&lt;D xsi:type="xsd:double"&gt;6674.371&lt;/D&gt;&lt;/FQL&gt;&lt;FQL&gt;&lt;Q&gt;DLR^FE_ESTIMATE(SALES,MEAN,CAL4,2025,45975,,,'')&lt;/Q&gt;&lt;R&gt;1&lt;/R&gt;&lt;C&gt;1&lt;/C&gt;&lt;D xsi:type="xsd:double"&gt;6049.454&lt;/D&gt;&lt;/FQL&gt;&lt;FQL&gt;&lt;Q&gt;DLR^FE_ESTIMATE(SALES,MEAN,CAL4,2024,45975,,,'')&lt;/Q&gt;&lt;R&gt;1&lt;/R&gt;&lt;C&gt;1&lt;/C&gt;&lt;D xsi:type="xsd:double"&gt;5554.968&lt;/D&gt;&lt;/FQL&gt;&lt;FQL&gt;&lt;Q&gt;DLR^FE_ESTIMATE(SALES,MEAN,CAL4,2023,45975,,,'')&lt;/Q&gt;&lt;R&gt;1&lt;/R&gt;&lt;C&gt;1&lt;/C&gt;&lt;D xsi:type="xsd:double"&gt;5477.061&lt;/D&gt;&lt;/FQL&gt;&lt;FQL&gt;&lt;Q&gt;DLR^FE_ESTIMATE(SALES,MEAN,NTM4,,45975,,,'')&lt;/Q&gt;&lt;R&gt;1&lt;/R&gt;&lt;C&gt;1&lt;/C&gt;&lt;D xsi:type="xsd:double"&gt;6505.2827&lt;/D&gt;&lt;/FQL&gt;&lt;FQL&gt;&lt;Q&gt;DLR^FE_ESTIMATE(SALES,MEAN,LTM4,,45975,,,'')&lt;/Q&gt;&lt;R&gt;1&lt;/R&gt;&lt;C&gt;1&lt;/C&gt;&lt;D xsi:type="xsd:double"&gt;5913.883&lt;/D&gt;&lt;/FQL&gt;&lt;FQL&gt;&lt;Q&gt;DLR^FG_PRICE(45975)&lt;/Q&gt;&lt;R&gt;1&lt;/R&gt;&lt;C&gt;1&lt;/C&gt;&lt;D xsi:type="xsd:double"&gt;156.71&lt;/D&gt;&lt;/FQL&gt;&lt;FQL&gt;&lt;Q&gt;DLR^FF_ENTRPR_VAL_DAILY(45975,,,,,"DIL")&lt;/Q&gt;&lt;R&gt;1&lt;/R&gt;&lt;C&gt;1&lt;/C&gt;&lt;D xsi:type="xsd:double"&gt;73635.14014&lt;/D&gt;&lt;/FQL&gt;&lt;FQL&gt;&lt;Q&gt;DLR^FREF_MARKET_VALUE_COMPANY(45975,,,,,0,,"LEGACY")&lt;/Q&gt;&lt;R&gt;1&lt;/R&gt;&lt;C&gt;1&lt;/C&gt;&lt;D xsi:type="xsd:double"&gt;53830.1328125&lt;/D&gt;&lt;/FQL&gt;&lt;FQL&gt;&lt;Q&gt;NVDA^FE_ESTIMATE(SALES,MEAN,CALA_ROLL,2027,45975,,,'')&lt;/Q&gt;&lt;R&gt;1&lt;/R&gt;&lt;C&gt;1&lt;/C&gt;&lt;D xsi:type="xsd:double"&gt;352978.75&lt;/D&gt;&lt;/FQL&gt;&lt;FQL&gt;&lt;Q&gt;NVDA^FE_ESTIMATE(SALES,MEAN,CAL4,2026,45975,,,'')&lt;/Q&gt;&lt;R&gt;1&lt;/R&gt;&lt;C&gt;1&lt;/C&gt;&lt;D xsi:type="xsd:double"&gt;294697.38&lt;/D&gt;&lt;/FQL&gt;&lt;FQL&gt;&lt;Q&gt;NVDA^FE_ESTIMATE(SALES,MEAN,CAL4,2025,45975,,,'')&lt;/Q&gt;&lt;R&gt;1&lt;/R&gt;&lt;C&gt;1&lt;/C&gt;&lt;D xsi:type="xsd:double"&gt;207414.78&lt;/D&gt;&lt;/FQL&gt;&lt;FQL&gt;&lt;Q&gt;NVDA^FE_ESTIMATE(SALES,MEAN,CAL4,2024,45975,,,'')&lt;/Q&gt;&lt;R&gt;1&lt;/R&gt;&lt;C&gt;1&lt;/C&gt;&lt;D xsi:type="xsd:double"&gt;130497&lt;/D&gt;&lt;/FQL&gt;&lt;FQL&gt;&lt;Q&gt;NVDA^FE_ESTIMATE(SALES,MEAN,CAL4,2023,45975,,,'')&lt;/Q&gt;&lt;R&gt;1&lt;/R&gt;&lt;C&gt;1&lt;/C&gt;&lt;D xsi:type="xsd:double"&gt;60922&lt;/D&gt;&lt;/FQL&gt;&lt;FQL&gt;&lt;Q&gt;NVDA^FE_ESTIMATE(SALES,MEAN,NTM4,,45975,,,'')&lt;/Q&gt;&lt;R&gt;1&lt;/R&gt;&lt;C&gt;1&lt;/C&gt;&lt;D xsi:type="xsd:double"&gt;253296.17&lt;/D&gt;&lt;/FQL&gt;&lt;FQL&gt;&lt;Q&gt;NVDA^FE_ESTIMATE(SALES,MEAN,LTM4,,45975,,,'')&lt;/Q&gt;&lt;R&gt;1&lt;/R&gt;&lt;C&gt;1&lt;/C&gt;&lt;D xsi:type="xsd:double"&gt;165218&lt;/D&gt;&lt;/FQL&gt;&lt;FQL&gt;&lt;Q&gt;NVDA^FG_PRICE(45975)&lt;/Q&gt;&lt;R&gt;1&lt;/R&gt;&lt;C&gt;1&lt;/C&gt;&lt;D xsi:type="xsd:double"&gt;185.79&lt;/D&gt;&lt;/FQL&gt;&lt;FQL&gt;&lt;Q&gt;NVDA^FF_ENTRPR_VAL_DAILY(45975,,,,,"DIL")&lt;/Q&gt;&lt;R&gt;1&lt;/R&gt;&lt;C&gt;1&lt;/C&gt;&lt;D xsi:type="xsd:double"&gt;4511607.28&lt;/D&gt;&lt;/FQL&gt;&lt;FQL&gt;&lt;Q&gt;NVDA^FREF_MARKET_VALUE_COMPANY(45975,,,,,0,,"LEGACY")&lt;/Q&gt;&lt;R&gt;1&lt;/R&gt;&lt;C&gt;1&lt;/C&gt;&lt;D xsi:type="xsd:double"&gt;4514697&lt;/D&gt;&lt;/FQL&gt;&lt;FQL&gt;&lt;Q&gt;MSFT^FE_ESTIMATE(SALES,MEAN,CALA_ROLL,2027,45975,,,'')&lt;/Q&gt;&lt;R&gt;1&lt;/R&gt;&lt;C&gt;1&lt;/C&gt;&lt;D xsi:type="xsd:double"&gt;405368.63&lt;/D&gt;&lt;/FQL&gt;&lt;FQL&gt;&lt;Q&gt;MSFT^FE_ESTIMATE(SALES,MEAN,CAL4,2026,45975,,,'')&lt;/Q&gt;&lt;R&gt;1&lt;/R&gt;&lt;C&gt;1&lt;/C&gt;&lt;D xsi:type="xsd:double"&gt;349766.78&lt;/D&gt;&lt;/FQL&gt;&lt;FQL&gt;&lt;Q&gt;MSFT^FE_ESTIMATE(SALES,MEAN,CAL4,2025,45975,,,'')&lt;/Q&gt;&lt;R&gt;1&lt;/R&gt;&lt;C&gt;1&lt;/C&gt;&lt;D xsi:type="xsd:double"&gt;304412.63&lt;/D&gt;&lt;/FQL&gt;&lt;FQL&gt;&lt;Q&gt;MSFT^FE_ESTIMATE(SALES,MEAN,CAL4,2024,45975,,,'')&lt;/Q&gt;&lt;R&gt;1&lt;/R&gt;&lt;C&gt;1&lt;/C&gt;&lt;D xsi:type="xsd:double"&gt;261802&lt;/D&gt;&lt;/FQL&gt;&lt;FQL&gt;&lt;Q&gt;MSFT^FE_ESTIMATE(SALES,MEAN,CAL4,2023,45975,,,'')&lt;/Q&gt;&lt;R&gt;1&lt;/R&gt;&lt;C&gt;1&lt;/C&gt;&lt;D xsi:type="xsd:double"&gt;227583&lt;/D&gt;&lt;/FQL&gt;&lt;FQL&gt;&lt;Q&gt;MSFT^FE_ESTIMATE(SALES,MEAN,NTM4,,45975,,,'')&lt;/Q&gt;&lt;R&gt;1&lt;/R&gt;&lt;C&gt;1&lt;/C&gt;&lt;D xsi:type="xsd:double"&gt;337766.78&lt;/D&gt;&lt;/FQL&gt;&lt;FQL&gt;&lt;Q&gt;MSFT^FE_ESTIMATE(SALES,MEAN,LTM4,,45975,,,'')&lt;/Q&gt;&lt;R&gt;1&lt;/R&gt;&lt;C&gt;1&lt;/C&gt;&lt;D xsi:type="xsd:double"&gt;293812&lt;/D&gt;&lt;/FQL&gt;&lt;FQL&gt;&lt;Q&gt;MSFT^FG_PRICE(45975)&lt;/Q&gt;&lt;R&gt;1&lt;/R&gt;&lt;C&gt;1&lt;/C&gt;&lt;D xsi:type="xsd:double"&gt;501.91&lt;/D&gt;&lt;/FQL&gt;&lt;FQL&gt;&lt;Q&gt;MSFT^FF_ENTRPR_VAL_DAILY(45975,,,,,"DIL")&lt;/Q&gt;&lt;R&gt;1&lt;/R&gt;&lt;C&gt;1&lt;/C&gt;&lt;D xsi:type="xsd:double"&gt;3775926.14&lt;/D&gt;&lt;/FQL&gt;&lt;FQL&gt;&lt;Q&gt;MSFT^FREF_MARKET_VALUE_COMPANY(45975,,,,,0,,"LEGACY")&lt;/Q&gt;&lt;R&gt;1&lt;/R&gt;&lt;C&gt;1&lt;/C&gt;&lt;D xsi:type="xsd:double"&gt;3730384.5&lt;/D&gt;&lt;/FQL&gt;&lt;FQL&gt;&lt;Q&gt;CRWV^FG_PRICE(45975)&lt;/Q&gt;&lt;R&gt;1&lt;/R&gt;&lt;C&gt;1&lt;/C&gt;&lt;D xsi:type="xsd:double"&gt;76.635&lt;/D&gt;&lt;/FQL&gt;&lt;/Schema&gt;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<sst xmlns="http://schemas.openxmlformats.org/spreadsheetml/2006/main" count="1438" uniqueCount="711">
  <si>
    <t xml:space="preserve">Ticker: </t>
  </si>
  <si>
    <t>Date:</t>
  </si>
  <si>
    <t>Kash Rangan</t>
  </si>
  <si>
    <t>(415) 249-7318</t>
  </si>
  <si>
    <t>kash.rangan@gs.com</t>
  </si>
  <si>
    <t>Matthew Martino</t>
  </si>
  <si>
    <t>(212) 902-0695</t>
  </si>
  <si>
    <t>matt.martino@gs.com</t>
  </si>
  <si>
    <t>MSFT</t>
  </si>
  <si>
    <t>Most recent quarter</t>
  </si>
  <si>
    <t>x</t>
  </si>
  <si>
    <t>Most recent fiscal year</t>
  </si>
  <si>
    <t>Most recent calendar year</t>
  </si>
  <si>
    <t>Quarter</t>
  </si>
  <si>
    <t>1Q</t>
  </si>
  <si>
    <t>2Q</t>
  </si>
  <si>
    <t>3Q</t>
  </si>
  <si>
    <t>4Q</t>
  </si>
  <si>
    <t>FY</t>
  </si>
  <si>
    <t>Number of days in period</t>
  </si>
  <si>
    <t>Number of days in year</t>
  </si>
  <si>
    <t>Date of earnings report</t>
  </si>
  <si>
    <t>Date prior to earnings report</t>
  </si>
  <si>
    <t>Numerical Year</t>
  </si>
  <si>
    <t>($ millions, except per share amounts)</t>
  </si>
  <si>
    <t>Consensus As Of:</t>
  </si>
  <si>
    <t>Factset date format</t>
  </si>
  <si>
    <t>Income Statement</t>
  </si>
  <si>
    <t>TREV</t>
  </si>
  <si>
    <t>Total Revenue</t>
  </si>
  <si>
    <t>TREVYY</t>
  </si>
  <si>
    <t>% yoy</t>
  </si>
  <si>
    <t>TREVQQ</t>
  </si>
  <si>
    <t>% qoq</t>
  </si>
  <si>
    <t>Cost of Revenue</t>
  </si>
  <si>
    <t>Gross Profit</t>
  </si>
  <si>
    <t>% gross margin</t>
  </si>
  <si>
    <t>Operating Expenses</t>
  </si>
  <si>
    <t>Operating Income</t>
  </si>
  <si>
    <t>% operating margin</t>
  </si>
  <si>
    <t>Cash Flow Statement</t>
  </si>
  <si>
    <t>OCF</t>
  </si>
  <si>
    <t>Cash Flow from Operations</t>
  </si>
  <si>
    <t>Capital Expenditures</t>
  </si>
  <si>
    <t>FCF</t>
  </si>
  <si>
    <t>Balance Sheet</t>
  </si>
  <si>
    <t>Deferred Revenue (Short-Term)</t>
  </si>
  <si>
    <t>Deferred Revenue (Long-Term)</t>
  </si>
  <si>
    <t>TDEFREV</t>
  </si>
  <si>
    <t>Deferred Revenue (Total)</t>
  </si>
  <si>
    <t>TDEFREVYY</t>
  </si>
  <si>
    <t>TDEFREVQQ</t>
  </si>
  <si>
    <t>Miscellaneous</t>
  </si>
  <si>
    <t>Deferred Revenue Δ (Short Term, Balance Sheet)</t>
  </si>
  <si>
    <t>Deferred Revenue Δ (Implied)</t>
  </si>
  <si>
    <t>Deferred Revenue Δ (Balance Sheet)</t>
  </si>
  <si>
    <t>Billings</t>
  </si>
  <si>
    <t>Billings (Implied, Balance Sheet)</t>
  </si>
  <si>
    <t>Billings (Short Term, Balance Sheet)</t>
  </si>
  <si>
    <t>This sheet contains FactSet XML data for use with this workbook's =FDS codes.  Modifying the worksheet's contents may damage the workbook's =FDS functionality.</t>
  </si>
  <si>
    <t>Current Assets</t>
  </si>
  <si>
    <t>Cash &amp; Cash Equivalents</t>
  </si>
  <si>
    <t>Total Current Assets</t>
  </si>
  <si>
    <t>Total Assets</t>
  </si>
  <si>
    <t>Current Liabilities</t>
  </si>
  <si>
    <t>Accounts Payable</t>
  </si>
  <si>
    <t>Total Current Liabilities</t>
  </si>
  <si>
    <t>Check</t>
  </si>
  <si>
    <t>Operating Lease Right-of-Use Assets</t>
  </si>
  <si>
    <t>Operating Activities</t>
  </si>
  <si>
    <t>Stock-Based Compensation</t>
  </si>
  <si>
    <t>Changes in Assets &amp; Liabilities</t>
  </si>
  <si>
    <t>Investing Activities</t>
  </si>
  <si>
    <t>Cash Flow from Investments</t>
  </si>
  <si>
    <t>Financing Activities</t>
  </si>
  <si>
    <t>Cash Flow from Financing</t>
  </si>
  <si>
    <t>Cash Flow From Operations</t>
  </si>
  <si>
    <t>Sales &amp; Marketing</t>
  </si>
  <si>
    <t>General &amp; Administrative</t>
  </si>
  <si>
    <t>Total Operating Expenses</t>
  </si>
  <si>
    <t>GAAP Operating Income</t>
  </si>
  <si>
    <t>GAAP Income Before Taxes</t>
  </si>
  <si>
    <t>GAAP EPS (Basic)</t>
  </si>
  <si>
    <t>GAAP EPS (Diluted)</t>
  </si>
  <si>
    <t>Weighted Average Basic Shares Outstanding</t>
  </si>
  <si>
    <t>Weighted Average Diluted Shares Outstanding</t>
  </si>
  <si>
    <t>Key Metrics</t>
  </si>
  <si>
    <t>Total Debt</t>
  </si>
  <si>
    <t>Net Debt</t>
  </si>
  <si>
    <t>DSOs</t>
  </si>
  <si>
    <t>Days in Period</t>
  </si>
  <si>
    <t>$ Change</t>
  </si>
  <si>
    <t>DPOs</t>
  </si>
  <si>
    <t>% Margin</t>
  </si>
  <si>
    <t>Property and Equipment, Net</t>
  </si>
  <si>
    <t>Total Liabilities</t>
  </si>
  <si>
    <t>Effective Tax Rate</t>
  </si>
  <si>
    <t>Net New Revenue (yoy)</t>
  </si>
  <si>
    <t>Net New Revenue (qoq)</t>
  </si>
  <si>
    <t>% of Total Revenue</t>
  </si>
  <si>
    <t>Gross Margin</t>
  </si>
  <si>
    <t>Operating Margin</t>
  </si>
  <si>
    <t xml:space="preserve">Total Revenue </t>
  </si>
  <si>
    <t>Deferred Revenue</t>
  </si>
  <si>
    <t>Short-Term Deferred Revenue</t>
  </si>
  <si>
    <t>Long-Term Deferred Revenue</t>
  </si>
  <si>
    <t>Total Deferred Revenue</t>
  </si>
  <si>
    <t>Total Billings (via Cash Flow Statement)</t>
  </si>
  <si>
    <t>Change in Short-Term Deferred Revenue</t>
  </si>
  <si>
    <t>Short-Term Billings</t>
  </si>
  <si>
    <t>Change in Long-Term Deferred Revenue</t>
  </si>
  <si>
    <t>Long-Term Billings</t>
  </si>
  <si>
    <t>% of Total Deferred Revenue</t>
  </si>
  <si>
    <t>Change in Deferred Revenue (C/F)</t>
  </si>
  <si>
    <t>Days Change (yoy)</t>
  </si>
  <si>
    <t>Days Change (% yoy)</t>
  </si>
  <si>
    <t>% of Revenue</t>
  </si>
  <si>
    <t>Net New Deferred Revenue (yoy)</t>
  </si>
  <si>
    <t>Net New Deferred Revenue (qoq)</t>
  </si>
  <si>
    <t>Drivers</t>
  </si>
  <si>
    <t>FCFM</t>
  </si>
  <si>
    <t>EPS</t>
  </si>
  <si>
    <t>BILLCF</t>
  </si>
  <si>
    <t>BILLCFYY</t>
  </si>
  <si>
    <t>BILLCFQQ</t>
  </si>
  <si>
    <t>OCFYY</t>
  </si>
  <si>
    <t>FCFYY</t>
  </si>
  <si>
    <t>GP</t>
  </si>
  <si>
    <t>GPYY</t>
  </si>
  <si>
    <t>GPQQ</t>
  </si>
  <si>
    <t>OI</t>
  </si>
  <si>
    <t>OIQQ</t>
  </si>
  <si>
    <t>OIYY</t>
  </si>
  <si>
    <t>GPM</t>
  </si>
  <si>
    <t>OPM</t>
  </si>
  <si>
    <t>EPSYY</t>
  </si>
  <si>
    <t>OCFM</t>
  </si>
  <si>
    <t>% OCF Margin</t>
  </si>
  <si>
    <t>% FCF Margin</t>
  </si>
  <si>
    <t>EPSQQ</t>
  </si>
  <si>
    <t>OCFQQ</t>
  </si>
  <si>
    <t>FCFQQ</t>
  </si>
  <si>
    <t>CAPEX</t>
  </si>
  <si>
    <t>CAPEXYY</t>
  </si>
  <si>
    <t>CAPEXQQ</t>
  </si>
  <si>
    <t>OPEX</t>
  </si>
  <si>
    <t>OPEXQQ</t>
  </si>
  <si>
    <t>OPEXYY</t>
  </si>
  <si>
    <t>NETDEBT</t>
  </si>
  <si>
    <t>WADSO</t>
  </si>
  <si>
    <t>TDEBT</t>
  </si>
  <si>
    <t>TAXES</t>
  </si>
  <si>
    <t>OTHI</t>
  </si>
  <si>
    <t>COGS</t>
  </si>
  <si>
    <t>COGSYY</t>
  </si>
  <si>
    <t>COGSQQ</t>
  </si>
  <si>
    <t>EPSB</t>
  </si>
  <si>
    <t>EPSBYY</t>
  </si>
  <si>
    <t>WADSOB</t>
  </si>
  <si>
    <t>% Seasonality</t>
  </si>
  <si>
    <t>EBITDA</t>
  </si>
  <si>
    <t>EBIT</t>
  </si>
  <si>
    <t>EPS (non-GAAP)</t>
  </si>
  <si>
    <t>EPS (GAAP)</t>
  </si>
  <si>
    <t>EPSGAAP</t>
  </si>
  <si>
    <t>EPSGAAPYY</t>
  </si>
  <si>
    <t>EPSGAAPQQ</t>
  </si>
  <si>
    <t>Free Cash Flow (ex. Financial Leases)</t>
  </si>
  <si>
    <t>Depreciation and Amortization</t>
  </si>
  <si>
    <t>Fiscal Year Ends Dec. 31</t>
  </si>
  <si>
    <t>GAAPOI</t>
  </si>
  <si>
    <t>GAAPGP</t>
  </si>
  <si>
    <t>GAAPCOGS</t>
  </si>
  <si>
    <t>GAAPCOGSYY</t>
  </si>
  <si>
    <t>GAAPCOGSQQ</t>
  </si>
  <si>
    <t>GAAPGPYY</t>
  </si>
  <si>
    <t>GAAPGPQQ</t>
  </si>
  <si>
    <t>GAAPGPM</t>
  </si>
  <si>
    <t>GAAPOPEX</t>
  </si>
  <si>
    <t>GAAPOPEXYY</t>
  </si>
  <si>
    <t>GAAPOPEXQQ</t>
  </si>
  <si>
    <t>GAAPOIYY</t>
  </si>
  <si>
    <t>GAAPOIQQ</t>
  </si>
  <si>
    <t>GAAPOPM</t>
  </si>
  <si>
    <t>GAAPOTHI</t>
  </si>
  <si>
    <t>GAAPTAXES</t>
  </si>
  <si>
    <t>GAAPEPSB</t>
  </si>
  <si>
    <t>GAAPEPSBYY</t>
  </si>
  <si>
    <t>Prepaid Expenses and Other Current Assets</t>
  </si>
  <si>
    <t>Deferred Revenue, Current</t>
  </si>
  <si>
    <t>Operating Lease Liabilities, Current</t>
  </si>
  <si>
    <t>Operating Lease Liabilities, Non-Current</t>
  </si>
  <si>
    <t>Deferred Revenue, Non-Current</t>
  </si>
  <si>
    <t>Accumulated Deficit</t>
  </si>
  <si>
    <t>Purchase of Property and Equipment</t>
  </si>
  <si>
    <t>Cash and Cash Equivalents from B/S</t>
  </si>
  <si>
    <t>Total Cash, Cash Equivalents, and Restricted Cash</t>
  </si>
  <si>
    <t>Net Change in Cash, Cash Equivalents, and Restricted Cash</t>
  </si>
  <si>
    <t>Cash, Cash Equivalents, and Restricted Cash - Beginning of Period</t>
  </si>
  <si>
    <t>Cash, Cash Equivalents, and Restricted Cash - End of Period</t>
  </si>
  <si>
    <t>Free Cash Flow</t>
  </si>
  <si>
    <t>Sales and Marketing</t>
  </si>
  <si>
    <t>General and Administrative</t>
  </si>
  <si>
    <t>Total Stock-Based Compensation</t>
  </si>
  <si>
    <t>Employees</t>
  </si>
  <si>
    <t>Revenue by Geography</t>
  </si>
  <si>
    <t>Net New ARR (yoy)</t>
  </si>
  <si>
    <t>ARR</t>
  </si>
  <si>
    <t>ARRYY</t>
  </si>
  <si>
    <t>ARRQQ</t>
  </si>
  <si>
    <t>TCASH</t>
  </si>
  <si>
    <t>Total</t>
  </si>
  <si>
    <t>Efficiency Analysis</t>
  </si>
  <si>
    <t>GAAP CAC</t>
  </si>
  <si>
    <t>GAAP S&amp;M</t>
  </si>
  <si>
    <t>TTM</t>
  </si>
  <si>
    <t>Non-GAAP CAC</t>
  </si>
  <si>
    <t>Non-GAAP S&amp;M</t>
  </si>
  <si>
    <t>SaaS Rule Of</t>
  </si>
  <si>
    <t>Rule of</t>
  </si>
  <si>
    <t>Revenue Growth Rate</t>
  </si>
  <si>
    <t>Free Cash Flow Margin</t>
  </si>
  <si>
    <t>Accumulated Depreciation and Amortization</t>
  </si>
  <si>
    <t>Improvement (bps)</t>
  </si>
  <si>
    <t>CoreWeave Analyst Model</t>
  </si>
  <si>
    <t>Nishad Patwardhan</t>
  </si>
  <si>
    <t>(332) 245-7726</t>
  </si>
  <si>
    <t>nishad.patwardhan@gs.com</t>
  </si>
  <si>
    <t>Selina Zhang</t>
  </si>
  <si>
    <t>(212) 357-9979</t>
  </si>
  <si>
    <t>selina.zhang@gs.com</t>
  </si>
  <si>
    <t>CoreWeave, Inc.</t>
  </si>
  <si>
    <t>Restricted Cash and Cash Equivalents, Current</t>
  </si>
  <si>
    <t>Accounts Recievable, Net</t>
  </si>
  <si>
    <t>Restricted Cash and Cash Equivalents, Non-Current</t>
  </si>
  <si>
    <t>Restricted Marketable Securities, non-Current</t>
  </si>
  <si>
    <t>Intangible Assets, Net</t>
  </si>
  <si>
    <t>Goodwill</t>
  </si>
  <si>
    <t>Other Non-Current Assets</t>
  </si>
  <si>
    <t>Accrued Liabilities</t>
  </si>
  <si>
    <t>Finance Lease Liabilities, Current</t>
  </si>
  <si>
    <t>Other Current Liabilities</t>
  </si>
  <si>
    <t>Debt, Non-Current</t>
  </si>
  <si>
    <t>Finance Lease Liabilites, Non-Current</t>
  </si>
  <si>
    <t>Deferred Tax Liabilities, Non-Current</t>
  </si>
  <si>
    <t>Other Non-Current Liabilities</t>
  </si>
  <si>
    <t>Redeemable Convertible Preferred Stock</t>
  </si>
  <si>
    <t>Stockholders' Deficit</t>
  </si>
  <si>
    <t>Treasury Stock, at Cost</t>
  </si>
  <si>
    <t>Additional Paid-In Capital</t>
  </si>
  <si>
    <t>Accumulated Other Comprehensive Income (Loss)</t>
  </si>
  <si>
    <t>Total Stockholders' Deficit</t>
  </si>
  <si>
    <t>Total Liabilities, Convertible Preferred Stock, and Stockholder's Deficit</t>
  </si>
  <si>
    <t>Debt, Current</t>
  </si>
  <si>
    <t>Derivative and Warrant Liabilities</t>
  </si>
  <si>
    <t>Technology and Infrastructure</t>
  </si>
  <si>
    <t>Loss on Fair Value Adjustments</t>
  </si>
  <si>
    <t>Interest Expense, Net</t>
  </si>
  <si>
    <t>Other Income, Net</t>
  </si>
  <si>
    <t>Provision for (Benefit from) Income Taxes</t>
  </si>
  <si>
    <t>GAAP Net Loss from Continuing Operations</t>
  </si>
  <si>
    <t>Net Loss from Discontinued Operations, Net of Tax</t>
  </si>
  <si>
    <t>Net Loss</t>
  </si>
  <si>
    <t>GAAP EPS from Continuing Operations (Basic)</t>
  </si>
  <si>
    <t>GAAP EPS from Continuing Operations (Diluted)</t>
  </si>
  <si>
    <t>Other Comprehensive Income / (Loss)</t>
  </si>
  <si>
    <t>Unrealized (Loss) Gain on Available-for-Sale Marketable Securities</t>
  </si>
  <si>
    <t>Total Comprehensive Loss</t>
  </si>
  <si>
    <t>Net Loss from Discountinued Operations, Net of Tax</t>
  </si>
  <si>
    <t>Net Loss from Continuing Operations</t>
  </si>
  <si>
    <t>Non-Cash Lease Expense</t>
  </si>
  <si>
    <t>Amortization of Debt Discounts and Issuance Costs</t>
  </si>
  <si>
    <t>Debt Extinguishment Loss</t>
  </si>
  <si>
    <t>Deferred Income Taxes</t>
  </si>
  <si>
    <t>Accounts Receivable</t>
  </si>
  <si>
    <t>Accounts Payable and Accrued Expenses</t>
  </si>
  <si>
    <t>Lease Liabilities</t>
  </si>
  <si>
    <t>Other Liabilities</t>
  </si>
  <si>
    <t>Net Cash (Used in) Provided by Continuing Operations</t>
  </si>
  <si>
    <t>Net Cash Provided by Operating Activities - Discountinued Operations</t>
  </si>
  <si>
    <t>Purchase of Property and Equipment, Including Capitalized Internal Use Software</t>
  </si>
  <si>
    <t>Sales of Available-for-Sale Marketing Securities</t>
  </si>
  <si>
    <t>Maturities of Marketable Securities</t>
  </si>
  <si>
    <t>Purchase of Restricted Marketable Securities</t>
  </si>
  <si>
    <t>Purchase of Strategic Investments</t>
  </si>
  <si>
    <t>Other Investing Activities</t>
  </si>
  <si>
    <t>Net Cash Used in Investing Activities by Continuing Operations</t>
  </si>
  <si>
    <t>Net Cash Provided by Investing Activities - Discountinued Operations</t>
  </si>
  <si>
    <t>Proceeds from Issuance of Long-Term Debt</t>
  </si>
  <si>
    <t>Proceeds from Issuance of Convertible Debt</t>
  </si>
  <si>
    <t>Repayments of Long-Term Debt</t>
  </si>
  <si>
    <t>Payment of Debt Issuance Costs</t>
  </si>
  <si>
    <t>Issuance of Redeemable Convertible Preferred Stock, Net of Issuance Costs</t>
  </si>
  <si>
    <t>Redeemable Convertible Preferred Stock Cash Dividends Paid</t>
  </si>
  <si>
    <t>Proceeds from Exercise of Stock Options</t>
  </si>
  <si>
    <t>Common Stock Repurchased</t>
  </si>
  <si>
    <t>Proceeds from Issuance of Common Stock</t>
  </si>
  <si>
    <t>Other Financing Activities</t>
  </si>
  <si>
    <t>Supplemental Disclosures of Cash Flow Information</t>
  </si>
  <si>
    <t>Cash Paid (Received) for Income Taxes</t>
  </si>
  <si>
    <t>Capitalized Interest</t>
  </si>
  <si>
    <t>Operating Lease Right-of-Use Assets Acquired through Lease Liability</t>
  </si>
  <si>
    <t>Finance Lease Right-of-Use Assets Acquired through Lease Liability</t>
  </si>
  <si>
    <t>Derivative Liabilites from Issuance of Convertible Notes</t>
  </si>
  <si>
    <t>Non-Cash Investments</t>
  </si>
  <si>
    <t>Non-Cash Investing and Financing Activities</t>
  </si>
  <si>
    <t>Restricted Cash, Cash, and Cash Equivalents, Current</t>
  </si>
  <si>
    <t>Restricted Cash, Cash, and Cash Equivalents, Non-Current</t>
  </si>
  <si>
    <t>Non-GAAP Adjustments</t>
  </si>
  <si>
    <t>Adjusted EBITDA</t>
  </si>
  <si>
    <t>Adjusted EBITDA Margin</t>
  </si>
  <si>
    <t>Other Adjustments</t>
  </si>
  <si>
    <t>United States</t>
  </si>
  <si>
    <t>International</t>
  </si>
  <si>
    <t>Remaining Performance Obligations</t>
  </si>
  <si>
    <t>RPO</t>
  </si>
  <si>
    <t>% of Total RPO</t>
  </si>
  <si>
    <t>24-Month cRPO</t>
  </si>
  <si>
    <t>24MCRPO</t>
  </si>
  <si>
    <t>24MCRPOYY</t>
  </si>
  <si>
    <t>24MCRPOQQ</t>
  </si>
  <si>
    <t>RPOYY</t>
  </si>
  <si>
    <t>RPOQQ</t>
  </si>
  <si>
    <t>Revenue from Customer Commitments</t>
  </si>
  <si>
    <t>On-Demand Services Revenue</t>
  </si>
  <si>
    <t>Committed Contracts Revenue</t>
  </si>
  <si>
    <t>Total Cash, Cash Equivalents, Restricted Cash</t>
  </si>
  <si>
    <t>Capital Expenditures (Including Capitalized Internal Use Software)</t>
  </si>
  <si>
    <t>2021 Convertible Senior Structured Notes, due Oct. 2025</t>
  </si>
  <si>
    <t>2022 Senior Structured Notes, due Oct. 2025 - Apr. 2026</t>
  </si>
  <si>
    <t>Delayed Draw Term Loan Facility 1.0, due Mar. 2028</t>
  </si>
  <si>
    <t>Debt Obligations</t>
  </si>
  <si>
    <t>Fixed / Floating</t>
  </si>
  <si>
    <t>Rate</t>
  </si>
  <si>
    <t>Effective Rate</t>
  </si>
  <si>
    <t>Fixed</t>
  </si>
  <si>
    <t>Floating</t>
  </si>
  <si>
    <t>10-12%</t>
  </si>
  <si>
    <t>Total Principal of Debt</t>
  </si>
  <si>
    <t>Unamortized Discount and Issuance Costs</t>
  </si>
  <si>
    <t>Total Debt, Net of Unamortized Discount and Issuance Costs</t>
  </si>
  <si>
    <t>SOFR</t>
  </si>
  <si>
    <t>Interest Payments</t>
  </si>
  <si>
    <t>CRWV</t>
  </si>
  <si>
    <t>Total Interest Expense</t>
  </si>
  <si>
    <t>Contractual Interest Expense</t>
  </si>
  <si>
    <t>Less: Capitalized Interest</t>
  </si>
  <si>
    <t>Fair Value Adjustments</t>
  </si>
  <si>
    <t>Coupon Interest</t>
  </si>
  <si>
    <t>PIK Interest Cost</t>
  </si>
  <si>
    <t>Total Interest Payments</t>
  </si>
  <si>
    <t>% of Total Employees</t>
  </si>
  <si>
    <t>Accumulated Amortization</t>
  </si>
  <si>
    <t>Payment-in-Kind (PIK) Interest</t>
  </si>
  <si>
    <t>Principal Draws / (Payments)</t>
  </si>
  <si>
    <t>Principal ($mn)</t>
  </si>
  <si>
    <t>Required Restricted Cash (2% of Drawn Balance)</t>
  </si>
  <si>
    <t>GOOG</t>
  </si>
  <si>
    <t>Sales</t>
  </si>
  <si>
    <t>Sales Growth</t>
  </si>
  <si>
    <t>EV / Sales</t>
  </si>
  <si>
    <t>EV / Sales / Growth</t>
  </si>
  <si>
    <t>Average</t>
  </si>
  <si>
    <t>NVDA</t>
  </si>
  <si>
    <t>DLR</t>
  </si>
  <si>
    <t>EQIX</t>
  </si>
  <si>
    <t>Former Debt Obligations</t>
  </si>
  <si>
    <t>CY25</t>
  </si>
  <si>
    <t>CY26</t>
  </si>
  <si>
    <t>IBM</t>
  </si>
  <si>
    <t>ORCL</t>
  </si>
  <si>
    <t>AMZN</t>
  </si>
  <si>
    <t>DOCN</t>
  </si>
  <si>
    <t>Interest Expense + OID Amortization</t>
  </si>
  <si>
    <t>Non-GAAP Operating Income</t>
  </si>
  <si>
    <t>Non-GAAP Income Before Taxes</t>
  </si>
  <si>
    <t>Non-GAAP EPS from Continuing Operations (Diluted)</t>
  </si>
  <si>
    <t>Non-GAAP EPS from Continuing Operations (Basic)</t>
  </si>
  <si>
    <t>Non-GAAP EPS (Diluted)</t>
  </si>
  <si>
    <t>Non-GAAP EPS (Basic)</t>
  </si>
  <si>
    <t>Fixed Asset Depreciation</t>
  </si>
  <si>
    <t>Amortization - Capitalized Internally Developed Software</t>
  </si>
  <si>
    <t>Amortization - Capitalized Labor</t>
  </si>
  <si>
    <t>Amortization - Capitalized Interest</t>
  </si>
  <si>
    <t>Net New CapEx (yoy)</t>
  </si>
  <si>
    <t>Net New CapEx (qoq)</t>
  </si>
  <si>
    <t>CapEx (Fixed Assets)</t>
  </si>
  <si>
    <t>Change in CIP</t>
  </si>
  <si>
    <t>Useful Life</t>
  </si>
  <si>
    <t>% of Non-GAAP Cost of Revenue</t>
  </si>
  <si>
    <t>Capitalized Internally Developed Software</t>
  </si>
  <si>
    <t>Capitalized Labor</t>
  </si>
  <si>
    <t>Net Assets (ex. CIP)</t>
  </si>
  <si>
    <t>Gross Assets (ex. CIP)</t>
  </si>
  <si>
    <t>Average Gross Assets (ex. CIP)</t>
  </si>
  <si>
    <t>Total Amortization</t>
  </si>
  <si>
    <t>Average Net Assets (ex. CIP)</t>
  </si>
  <si>
    <t>Revenue / Average Net Assets</t>
  </si>
  <si>
    <t>Revenue / Average Net Assets, Annualized</t>
  </si>
  <si>
    <t>Revenue / Average Gross Assets</t>
  </si>
  <si>
    <t>Cost of Revenue as a % of Total SBC</t>
  </si>
  <si>
    <t>Technology and Infrastructure as a % of Total SBC</t>
  </si>
  <si>
    <t>Sales and Marketing as a % of Total SBC</t>
  </si>
  <si>
    <t>General and Administrative as a % of Total SBC</t>
  </si>
  <si>
    <t>Cost of Revenue as a % of Revenue</t>
  </si>
  <si>
    <t>Technology and Infrastructure as a % of Revenue</t>
  </si>
  <si>
    <t>Sales and Marketing as a % of Revenue</t>
  </si>
  <si>
    <t>General and Administrative as a % of Revenue</t>
  </si>
  <si>
    <t>Total Stock-Based Compensation as a % of Revenue</t>
  </si>
  <si>
    <t>Property and Equipment, Net, Breakdown</t>
  </si>
  <si>
    <t>Technology Equipment</t>
  </si>
  <si>
    <t>Software</t>
  </si>
  <si>
    <t>Data Center Equipment and Leasehold Improvements</t>
  </si>
  <si>
    <t>Furniture, Fixtures, and Other Assets</t>
  </si>
  <si>
    <t>Construction in Progress</t>
  </si>
  <si>
    <t>Total Property and Equipment, Net</t>
  </si>
  <si>
    <t>Accumulated Depreciation (Implied)</t>
  </si>
  <si>
    <t>CapEx Efficiency</t>
  </si>
  <si>
    <t>CapEx / Revenue</t>
  </si>
  <si>
    <t>CapEx / NTM Revenue</t>
  </si>
  <si>
    <t>CapEx / Net New Revenue (yoy)</t>
  </si>
  <si>
    <t>EV / EBITDA</t>
  </si>
  <si>
    <t>Price / Earnings / Growth</t>
  </si>
  <si>
    <t>EV / EBIT</t>
  </si>
  <si>
    <t>EBIT (GAAP)</t>
  </si>
  <si>
    <t>EBIT (Non-GAAP)</t>
  </si>
  <si>
    <t>EBITDA (GAAP)</t>
  </si>
  <si>
    <t>Earnings (GAAP)</t>
  </si>
  <si>
    <t>Earnings (Non-GAAP)</t>
  </si>
  <si>
    <t>EBITDA (Non-GAAP)</t>
  </si>
  <si>
    <t>P/E</t>
  </si>
  <si>
    <t>Implied NTM Equity Value (GAAP)</t>
  </si>
  <si>
    <t>Implied NTM Equity Value (Non-GAAP)</t>
  </si>
  <si>
    <t>Price / Earnings (NTM)</t>
  </si>
  <si>
    <t>EV / EBITDA (NTM)</t>
  </si>
  <si>
    <t>EV / EBIT (NTM)</t>
  </si>
  <si>
    <t>Implied NTM Equity Value</t>
  </si>
  <si>
    <t>*Sales Growth, not EPS growth</t>
  </si>
  <si>
    <t>Price / Earnings / Growth*</t>
  </si>
  <si>
    <t>Accumulated Property, Plant, and Equipment Depreciation</t>
  </si>
  <si>
    <t>Property, Plant, and Equipment, Gross</t>
  </si>
  <si>
    <t>ROU Assets</t>
  </si>
  <si>
    <t>Purchase of Available-for-Sale Investments</t>
  </si>
  <si>
    <t>Principal Payments of Finance Lease Liabilities</t>
  </si>
  <si>
    <t>Available for Sale Securities</t>
  </si>
  <si>
    <t>Total Depreciation and Amortization</t>
  </si>
  <si>
    <t>Future Parent-Level or ABS Debt</t>
  </si>
  <si>
    <t>% of Total Balance ($2,300)</t>
  </si>
  <si>
    <t>Paydown</t>
  </si>
  <si>
    <t>Principal Draws</t>
  </si>
  <si>
    <t>Interest Rates</t>
  </si>
  <si>
    <t>Interest Build</t>
  </si>
  <si>
    <t>Total Cash OpEx (ex. D&amp;A, SBC)</t>
  </si>
  <si>
    <t>Operating Lease ROU Assets / Total Op Leases</t>
  </si>
  <si>
    <t>CapEx (Fixed Assets) + Change in CIP</t>
  </si>
  <si>
    <t>OEM New Debt</t>
  </si>
  <si>
    <t>OEM Amortization</t>
  </si>
  <si>
    <t>OEM Interest</t>
  </si>
  <si>
    <t>COGS (ex. SBC)</t>
  </si>
  <si>
    <t>Operating Leases (% of COGS)</t>
  </si>
  <si>
    <t>% Current Operating Leases</t>
  </si>
  <si>
    <t>% Non-Current Operating Leases</t>
  </si>
  <si>
    <t>Financing Leases (% of T&amp;I)</t>
  </si>
  <si>
    <t>T&amp;I (GAAP)</t>
  </si>
  <si>
    <t>Deferred Tax Liability ($ Change)</t>
  </si>
  <si>
    <t>Total Operating Leases</t>
  </si>
  <si>
    <t>Other Non-Current Liabilities (% of Op Leases)</t>
  </si>
  <si>
    <t>New Equity Issuance</t>
  </si>
  <si>
    <t>Interest Income</t>
  </si>
  <si>
    <t>% Average Interest Income Rate</t>
  </si>
  <si>
    <t>Total Cash Flows</t>
  </si>
  <si>
    <t>Total Proceeds from Issuance of Long-Term Debt</t>
  </si>
  <si>
    <t>Total Repayments of Long-Term Debt</t>
  </si>
  <si>
    <t>Total New Debt Issuance Costs</t>
  </si>
  <si>
    <t>DDTL1</t>
  </si>
  <si>
    <t>DDTL2</t>
  </si>
  <si>
    <t>OEM Vendor Financing</t>
  </si>
  <si>
    <t>RCF</t>
  </si>
  <si>
    <t>Cash Dividends</t>
  </si>
  <si>
    <t>`</t>
  </si>
  <si>
    <t>New Debt Needed</t>
  </si>
  <si>
    <t>Beginning Cash</t>
  </si>
  <si>
    <t>Operating Cash Flow</t>
  </si>
  <si>
    <t>Issuance of Common Stock</t>
  </si>
  <si>
    <t>Less: Scheduled Debt Payments</t>
  </si>
  <si>
    <t>Less: Restricted Cash</t>
  </si>
  <si>
    <t>Less: Minimum Cash Balance</t>
  </si>
  <si>
    <t>Cash Available for Sweep</t>
  </si>
  <si>
    <t>New Parent-Level or ABS Debt Needed</t>
  </si>
  <si>
    <t>Planned Drawdown (ex. OID Costs)</t>
  </si>
  <si>
    <t>Planned Drawdown (ex. Future Debt)</t>
  </si>
  <si>
    <t>Sales and Marketing Efficiency</t>
  </si>
  <si>
    <t>FY24E</t>
  </si>
  <si>
    <t>FY25E</t>
  </si>
  <si>
    <t>FY26E</t>
  </si>
  <si>
    <t>FY27E</t>
  </si>
  <si>
    <t>Earnings Growth</t>
  </si>
  <si>
    <t>Total Amortization of Debt Discounts and Issuance Costs</t>
  </si>
  <si>
    <t>Comps Average CY25 P/E</t>
  </si>
  <si>
    <t>Comps Average CY25 EV/EBITDA</t>
  </si>
  <si>
    <t>Comps Average CY25 EV/EBIT</t>
  </si>
  <si>
    <t>Comps Average CY25 EV/Sales</t>
  </si>
  <si>
    <t>Comps Average CY25 PEG</t>
  </si>
  <si>
    <t>CoreWeave</t>
  </si>
  <si>
    <t>FY24A</t>
  </si>
  <si>
    <t>P / E</t>
  </si>
  <si>
    <t>Total CIP</t>
  </si>
  <si>
    <t>Undrawn Availability / Debt Available in Existing Structures</t>
  </si>
  <si>
    <t>Average Cost of Capital Excluding Future Debt Vehicles</t>
  </si>
  <si>
    <t>Debt Metrics</t>
  </si>
  <si>
    <t>% of CapEx Financed with OEM Vendor Financing</t>
  </si>
  <si>
    <t>Fixed Asset CapEx</t>
  </si>
  <si>
    <t>Gross Margin (Including T&amp;I)</t>
  </si>
  <si>
    <t>EBIT Margin</t>
  </si>
  <si>
    <t>EV / EBIT/Growth</t>
  </si>
  <si>
    <t>Debt / Equity Ratio</t>
  </si>
  <si>
    <t>Shareholders Equity</t>
  </si>
  <si>
    <t>Prepaid Expenses and Other Assets (% of Cash OpEx)</t>
  </si>
  <si>
    <t>% Total Operating Leases</t>
  </si>
  <si>
    <t>Investment Cash Flow</t>
  </si>
  <si>
    <t>Future Debt Estimate Check</t>
  </si>
  <si>
    <t>CY27</t>
  </si>
  <si>
    <t>% of Principal</t>
  </si>
  <si>
    <t>% PPE</t>
  </si>
  <si>
    <t>% of Capex CIP</t>
  </si>
  <si>
    <t>% of PPE, Gross</t>
  </si>
  <si>
    <t>Average Cost of Debt</t>
  </si>
  <si>
    <t>Net Income / (Loss)</t>
  </si>
  <si>
    <t>CRWV Metrics</t>
  </si>
  <si>
    <t>FY27 EBIT</t>
  </si>
  <si>
    <t>FY25 EBIT</t>
  </si>
  <si>
    <t>Debt / Non-GAAP EBIT</t>
  </si>
  <si>
    <t>Net Income (Loss)</t>
  </si>
  <si>
    <t>Non-GAAP Net Income (Loss) from Continuing Operations</t>
  </si>
  <si>
    <t>Term Loan ("Bridge Loan")</t>
  </si>
  <si>
    <t>Term Loan Facility ("Bridge Loan"), due in Event of Default</t>
  </si>
  <si>
    <t>Investment Grade (%)</t>
  </si>
  <si>
    <t>Non-Investment Grade (%)</t>
  </si>
  <si>
    <t>Interest Rates (Average)</t>
  </si>
  <si>
    <t>Total Property and Equipment (ex. D&amp;A)</t>
  </si>
  <si>
    <t>Non-GAAP T&amp;I</t>
  </si>
  <si>
    <t>% of Non-GAAP T&amp;I</t>
  </si>
  <si>
    <t>$ Change (qoq)</t>
  </si>
  <si>
    <t>$ Change (Total, qoq)</t>
  </si>
  <si>
    <t>% Current Finance Leases</t>
  </si>
  <si>
    <t>% Non-Current Finance Leases</t>
  </si>
  <si>
    <t>Total Finance Leases</t>
  </si>
  <si>
    <t>Amortization of Other</t>
  </si>
  <si>
    <t>Issuance of Notes Receivable</t>
  </si>
  <si>
    <t>Net Debt (1Q))</t>
  </si>
  <si>
    <t>Net Debt (1Q26)</t>
  </si>
  <si>
    <t>FY26 EBIT</t>
  </si>
  <si>
    <t>EV (FY26)</t>
  </si>
  <si>
    <t>Net New Revenue</t>
  </si>
  <si>
    <t>FY27-FY30 CAGR</t>
  </si>
  <si>
    <t>Blended 12-Month Forward Valuation</t>
  </si>
  <si>
    <t>Relative Valuation</t>
  </si>
  <si>
    <t>Growth-Adjusted Valuation</t>
  </si>
  <si>
    <t>Hyperscaler Average</t>
  </si>
  <si>
    <t>Implied CRWV FY26 EV / EBIT</t>
  </si>
  <si>
    <t>FY26 STM Comps EV / EBIT / Growth</t>
  </si>
  <si>
    <t>FY26 (STM) Comps EV / EBIT</t>
  </si>
  <si>
    <t>FY28E</t>
  </si>
  <si>
    <t>FY29E</t>
  </si>
  <si>
    <t>FY30E</t>
  </si>
  <si>
    <t>NTM Equity Value</t>
  </si>
  <si>
    <t>FY27-FY30 Sales Growth (CAGR)</t>
  </si>
  <si>
    <t>EV / EBIT / Sales Growth</t>
  </si>
  <si>
    <t>% of future debt needs</t>
  </si>
  <si>
    <t>Cash, Cash Equivalents, and Restricted Cash (One Quarter Lag)</t>
  </si>
  <si>
    <t>Number of Data Centers</t>
  </si>
  <si>
    <t>Active Power (MW)</t>
  </si>
  <si>
    <t>Revenue per GPU</t>
  </si>
  <si>
    <t>Cululative Future Debt</t>
  </si>
  <si>
    <t>Cululative Future Debt (through 2026)</t>
  </si>
  <si>
    <t>Future Parent-Level or ABS Debt (2025)</t>
  </si>
  <si>
    <t>Implied PT</t>
  </si>
  <si>
    <t>Current Price</t>
  </si>
  <si>
    <t>Implied upside</t>
  </si>
  <si>
    <t>Average Equity Value</t>
  </si>
  <si>
    <t>Average PT</t>
  </si>
  <si>
    <t>% dilution (% qoq)</t>
  </si>
  <si>
    <t>Number of GPUs (thousands)</t>
  </si>
  <si>
    <t>Capacity (GPUs / Power / Data Centers)</t>
  </si>
  <si>
    <t>Net New GPUs (yoy)</t>
  </si>
  <si>
    <t>Net New GPUs (qoq)</t>
  </si>
  <si>
    <t>Net New MW (yoy)</t>
  </si>
  <si>
    <t>Net New MW (qoq)</t>
  </si>
  <si>
    <t>Revenue per MW</t>
  </si>
  <si>
    <t>Net New Data Centers (yoy)</t>
  </si>
  <si>
    <t>Net New Data Centers (qoq)</t>
  </si>
  <si>
    <t>Revenue per Data Center</t>
  </si>
  <si>
    <t>Contracted Power</t>
  </si>
  <si>
    <t>NAEXCIP</t>
  </si>
  <si>
    <t>NOGPU</t>
  </si>
  <si>
    <t>TDEBTYY</t>
  </si>
  <si>
    <t>TDEBTQQ</t>
  </si>
  <si>
    <t>Redeemable Class A Common Stock</t>
  </si>
  <si>
    <t>Class A Common Stock</t>
  </si>
  <si>
    <t>Class B Common Stock</t>
  </si>
  <si>
    <t>Payment of Tax Witholdings on Settlement of RSUs</t>
  </si>
  <si>
    <t>Deferred Offereing Costs Paid</t>
  </si>
  <si>
    <t>Acquisition-Related Costs</t>
  </si>
  <si>
    <t>Total Restricted Cash</t>
  </si>
  <si>
    <t>% of Total Cash</t>
  </si>
  <si>
    <t>Magnetar Loan</t>
  </si>
  <si>
    <t>Amortization of Debt Discounts and Issuance Costs and Accretion of Redemption Premiums</t>
  </si>
  <si>
    <t>% of Drawn Balance</t>
  </si>
  <si>
    <t>Required Restricted Cash (No Greater than $56mn)</t>
  </si>
  <si>
    <t>Fee on Undrawn Payments</t>
  </si>
  <si>
    <t>% Fee</t>
  </si>
  <si>
    <t>Undrawn Balance</t>
  </si>
  <si>
    <t>Redeption Premiums</t>
  </si>
  <si>
    <t>Debt ex. Premiums</t>
  </si>
  <si>
    <t>Accredition of Redemption Premiums</t>
  </si>
  <si>
    <t>Depreciation Included in T&amp;I</t>
  </si>
  <si>
    <t>CapEx (including Finance Leases)</t>
  </si>
  <si>
    <t>Total Purchase of P&amp;E (incl. CIP)</t>
  </si>
  <si>
    <t>CAPEXFLYY</t>
  </si>
  <si>
    <t>CAPEXFL</t>
  </si>
  <si>
    <t>CAPEXFYQQ</t>
  </si>
  <si>
    <t>Balance Sheet Pulls</t>
  </si>
  <si>
    <t>CapEx Breakdown</t>
  </si>
  <si>
    <t>Cash Paid for Interest, Net of Capitalized Amounts</t>
  </si>
  <si>
    <t>Right-of-Use Assets for Lease Modification and Renewals</t>
  </si>
  <si>
    <t>Accounts Payable and Accured Expenses Related to P&amp;E Additions</t>
  </si>
  <si>
    <t>Settlement of Series B Tranche Liability</t>
  </si>
  <si>
    <t>Stock-Based Compensation Capitalized as Internal-Use Software</t>
  </si>
  <si>
    <t>Deferred Offering Costs Not Yet Paid</t>
  </si>
  <si>
    <t>Loss (Gain) on Fair Value Adjustments</t>
  </si>
  <si>
    <t>Other Non-Cash Reconciling Items</t>
  </si>
  <si>
    <t>Issuance of Common Stock for Contract Incentive</t>
  </si>
  <si>
    <t>Conversion of Redeemable Convertible Preferred Stock in Connection with IPO</t>
  </si>
  <si>
    <t>Reclassification of Warrant Liabilities to Equity</t>
  </si>
  <si>
    <t>Reclassification of Customer Deposit to Debt</t>
  </si>
  <si>
    <t>% of Total Purchase of P&amp;E</t>
  </si>
  <si>
    <t>Net New Finance Leases (yoy)</t>
  </si>
  <si>
    <t>Net New Finance Leases (qoq)</t>
  </si>
  <si>
    <t>% of Total CapEx</t>
  </si>
  <si>
    <t>Total Finance Leases (GSe)</t>
  </si>
  <si>
    <t>Backlog (non-GAAP metric)</t>
  </si>
  <si>
    <t>25 to 48-Month cRPO</t>
  </si>
  <si>
    <t>Rule of (using Adj. EBITDA margin)</t>
  </si>
  <si>
    <t>Next 24-Month Revenue (GSe)</t>
  </si>
  <si>
    <t>Assumed non-Contracted Revenue to be Added</t>
  </si>
  <si>
    <t>% N24M Covered by cRPO</t>
  </si>
  <si>
    <t>Backlog not Included in RPO</t>
  </si>
  <si>
    <t>ARR (Proxy)</t>
  </si>
  <si>
    <t>Customer Concentration</t>
  </si>
  <si>
    <t>&lt;10%</t>
  </si>
  <si>
    <t>Customer A (GSe Microsoft)</t>
  </si>
  <si>
    <t>Total Depreciation and Amortization (from C/F)</t>
  </si>
  <si>
    <t>Metrics</t>
  </si>
  <si>
    <t>Accumulated P&amp;E Depreciation and Amortization</t>
  </si>
  <si>
    <t>T&amp;I Depreciation</t>
  </si>
  <si>
    <t>Implied Other Depreciation</t>
  </si>
  <si>
    <t>Total CapEx (Including CIP)</t>
  </si>
  <si>
    <t>FY22 Depreciation</t>
  </si>
  <si>
    <t>FY23 Depreciation</t>
  </si>
  <si>
    <t>1Q24 Depreciation</t>
  </si>
  <si>
    <t>2Q24 Depreciation</t>
  </si>
  <si>
    <t>3Q24 Depreciation</t>
  </si>
  <si>
    <t>4Q24 Depreciation</t>
  </si>
  <si>
    <t>1Q25 Depreciation</t>
  </si>
  <si>
    <t>2Q25 Depreciation</t>
  </si>
  <si>
    <t>3Q25 Depreciation</t>
  </si>
  <si>
    <t>4Q25 Depreciation</t>
  </si>
  <si>
    <t>1Q26 Depreciation</t>
  </si>
  <si>
    <t>2Q26 Depreciation</t>
  </si>
  <si>
    <t>3Q26 Depreciation</t>
  </si>
  <si>
    <t>4Q26 Depreciation</t>
  </si>
  <si>
    <t>1Q27 Depreciation</t>
  </si>
  <si>
    <t>2Q27 Depreciation</t>
  </si>
  <si>
    <t>3Q27 Depreciation</t>
  </si>
  <si>
    <t>4Q27 Depreciation</t>
  </si>
  <si>
    <t>1Q28 Depreciation</t>
  </si>
  <si>
    <t>2Q28 Depreciation</t>
  </si>
  <si>
    <t>3Q28 Depreciation</t>
  </si>
  <si>
    <t>4Q28 Depreciation</t>
  </si>
  <si>
    <t>% of Fixed Asset Depreciation</t>
  </si>
  <si>
    <t>Total Depreciation Waterfall (Fixed Assets)</t>
  </si>
  <si>
    <t>Implied Non-Depreciation T&amp;I</t>
  </si>
  <si>
    <t>T&amp;I (non-GAAP)</t>
  </si>
  <si>
    <t>Sales of Warrants Received as Lease Incentive</t>
  </si>
  <si>
    <t>Business Combination, Net of Cash Acquired</t>
  </si>
  <si>
    <t>Issuance of Common Stock, Net of Underwriting Discounts and Commissions</t>
  </si>
  <si>
    <t>Proceeds from IPO, Net of Underwriting Discounts and Commissions</t>
  </si>
  <si>
    <t>Loss on Extinguishment of Debt</t>
  </si>
  <si>
    <t>Amortization of Acquired Intangibles</t>
  </si>
  <si>
    <t>Income Tax Effect Related to Adjustments</t>
  </si>
  <si>
    <t>Change in Fair Value of Derivatives, Net</t>
  </si>
  <si>
    <t>Fair Value of Common Stock Issued as Consideration for a Business Combination</t>
  </si>
  <si>
    <t>Fair Value of Equity Awards Assumed in a Business Combination</t>
  </si>
  <si>
    <t>Warrants Received as Lease Incentive</t>
  </si>
  <si>
    <t>2030 Senior Notes</t>
  </si>
  <si>
    <t>Future Debt Paydown by Facility:</t>
  </si>
  <si>
    <t>Total Future Debt</t>
  </si>
  <si>
    <t>Cost</t>
  </si>
  <si>
    <t>GAAP Implied R&amp;D</t>
  </si>
  <si>
    <t>Marketable Securities</t>
  </si>
  <si>
    <t>Delayed Draw Term Loan Facility 2.0, due Aug. 2030</t>
  </si>
  <si>
    <t>Delayed Draw Term Loan Facility 2.1, due Sep. 2030</t>
  </si>
  <si>
    <t>Specified Investment Grade (%)</t>
  </si>
  <si>
    <t>Revolving Credit Facility - Due May 2028</t>
  </si>
  <si>
    <t>OEM Financing Arangements, due Mar. 2026 - Aug. 2028</t>
  </si>
  <si>
    <t>Delayed Draw Term Loan Facility 3.0, due Aug. 2030</t>
  </si>
  <si>
    <t>.</t>
  </si>
  <si>
    <t>2031 Senior Notes</t>
  </si>
  <si>
    <t>DDTL 2.1</t>
  </si>
  <si>
    <t>DDTL 3</t>
  </si>
  <si>
    <t>Reclassification of Redeemable Class A Common Stock to Class A Common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</si>
</sst>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9">
    <numFmt numFmtId="5" formatCode="&quot;$&quot;#,##0_);\(&quot;$&quot;#,##0\)"/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m\ d\,\ yyyy;@"/>
    <numFmt numFmtId="165" formatCode=";;;"/>
    <numFmt numFmtId="166" formatCode="mm/dd/yy;@"/>
    <numFmt numFmtId="167" formatCode="yyyy\ &quot;(A)&quot;"/>
    <numFmt numFmtId="168" formatCode="m/d/yy"/>
    <numFmt numFmtId="169" formatCode="[$-409]mmm\-yy;@"/>
    <numFmt numFmtId="170" formatCode="#,##0.0_);\(#,##0.0\);#,##0.0_);@_)"/>
    <numFmt numFmtId="171" formatCode="&quot;$&quot;#,##0.0_);\(&quot;$&quot;#,##0.0\)"/>
    <numFmt numFmtId="172" formatCode="#,##0.0"/>
    <numFmt numFmtId="173" formatCode="0.0_);\(0.0\)"/>
    <numFmt numFmtId="174" formatCode="#,##0.0_);\(#,##0.0\)"/>
    <numFmt numFmtId="175" formatCode="0.0%"/>
    <numFmt numFmtId="176" formatCode="#,##0%_);\(#,##0%\)"/>
    <numFmt numFmtId="177" formatCode="&quot;$&quot;#,##0"/>
    <numFmt numFmtId="178" formatCode="_(&quot;$&quot;* #,##0_);_(&quot;$&quot;* \(#,##0\);_(&quot;$&quot;* &quot;-&quot;??_);_(@_)"/>
    <numFmt numFmtId="179" formatCode="&quot;$&quot;\ #,##0_);[Red]\(&quot;$&quot;#,##0\)"/>
    <numFmt numFmtId="180" formatCode="#,##0;[Red]#,##0"/>
    <numFmt numFmtId="181" formatCode="\~&quot;$&quot;#,##0"/>
    <numFmt numFmtId="182" formatCode="0.000"/>
    <numFmt numFmtId="183" formatCode="&quot;$&quot;#,##0.0"/>
    <numFmt numFmtId="184" formatCode="_(* #,##0.0_);_(* \(#,##0.0\);_(* &quot;-&quot;??_);_(@_)"/>
    <numFmt numFmtId="185" formatCode="#,##0.000_);\(#,##0.000\)"/>
    <numFmt numFmtId="186" formatCode="0.00_);\(0.00\)"/>
    <numFmt numFmtId="187" formatCode="_(* #,##0_);_(* \(#,##0\);_(* &quot;-&quot;??_);_(@_)"/>
    <numFmt numFmtId="188" formatCode="0.0"/>
    <numFmt numFmtId="189" formatCode="_(* #,##0.000_);_(* \(#,##0.000\);_(* &quot;-&quot;??_);_(@_)"/>
    <numFmt numFmtId="190" formatCode="###0\ &quot;bps&quot;"/>
    <numFmt numFmtId="191" formatCode="0.0\x"/>
    <numFmt numFmtId="192" formatCode="0\x"/>
    <numFmt numFmtId="193" formatCode="0.000&quot;x&quot;"/>
    <numFmt numFmtId="194" formatCode="#,##0\ &quot;bps&quot;"/>
    <numFmt numFmtId="195" formatCode="_(* #,##0.000_);_(* \(#,##0.000\);_(* &quot;-&quot;???_);_(@_)"/>
    <numFmt numFmtId="196" formatCode="#,##0.00000_);\(#,##0.00000\)"/>
    <numFmt numFmtId="197" formatCode="0.00\x"/>
    <numFmt numFmtId="198" formatCode="0.0&quot;x&quot;"/>
  </numFmts>
  <fonts count="69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u/>
      <sz val="10"/>
      <color theme="10"/>
      <name val="Arial"/>
      <family val="2"/>
    </font>
    <font>
      <sz val="9"/>
      <color theme="1"/>
      <name val="Arial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</font>
    <font>
      <sz val="9"/>
      <color indexed="8"/>
      <name val="Arial"/>
      <family val="2"/>
    </font>
    <font>
      <sz val="11"/>
      <color indexed="8"/>
      <name val="Calibri"/>
      <family val="2"/>
    </font>
    <font>
      <u/>
      <sz val="10"/>
      <color indexed="12"/>
      <name val="Arial"/>
      <family val="2"/>
    </font>
    <font>
      <sz val="11"/>
      <color theme="1"/>
      <name val="Arial"/>
      <family val="2"/>
    </font>
    <font>
      <i/>
      <sz val="9"/>
      <color indexed="8"/>
      <name val="Arial"/>
      <family val="2"/>
    </font>
    <font>
      <sz val="9"/>
      <color rgb="FF000000"/>
      <name val="Arial"/>
      <family val="2"/>
    </font>
    <font>
      <b/>
      <u val="singleAccounting"/>
      <sz val="9"/>
      <color rgb="FF000000"/>
      <name val="Arial"/>
      <family val="2"/>
    </font>
    <font>
      <b/>
      <sz val="9"/>
      <name val="Arial"/>
      <family val="2"/>
    </font>
    <font>
      <b/>
      <sz val="9"/>
      <color rgb="FF000000"/>
      <name val="Arial"/>
      <family val="2"/>
    </font>
    <font>
      <b/>
      <sz val="9"/>
      <color rgb="FF0000FF"/>
      <name val="Arial"/>
      <family val="2"/>
    </font>
    <font>
      <sz val="9"/>
      <color rgb="FF0000FF"/>
      <name val="Arial"/>
      <family val="2"/>
    </font>
    <font>
      <sz val="11"/>
      <color indexed="8"/>
      <name val="Calibri"/>
      <family val="2"/>
      <scheme val="minor"/>
    </font>
    <font>
      <sz val="12"/>
      <name val="AGaramond"/>
      <family val="1"/>
    </font>
    <font>
      <b/>
      <sz val="10"/>
      <color indexed="8"/>
      <name val="Arial"/>
      <family val="2"/>
    </font>
    <font>
      <sz val="10"/>
      <color rgb="FF0000FF"/>
      <name val="Arial"/>
      <family val="2"/>
    </font>
    <font>
      <sz val="10"/>
      <color indexed="8"/>
      <name val="Arial"/>
      <family val="2"/>
    </font>
    <font>
      <b/>
      <sz val="10"/>
      <color rgb="FFFF0000"/>
      <name val="Arial"/>
      <family val="2"/>
    </font>
    <font>
      <b/>
      <u val="singleAccounting"/>
      <sz val="10"/>
      <color rgb="FF000000"/>
      <name val="Arial"/>
      <family val="2"/>
    </font>
    <font>
      <b/>
      <sz val="10"/>
      <name val="Arial"/>
      <family val="2"/>
    </font>
    <font>
      <b/>
      <sz val="10"/>
      <color rgb="FF0000FF"/>
      <name val="Arial"/>
      <family val="2"/>
    </font>
    <font>
      <b/>
      <sz val="10"/>
      <color rgb="FF000000"/>
      <name val="Arial"/>
      <family val="2"/>
    </font>
    <font>
      <i/>
      <sz val="10"/>
      <color theme="0"/>
      <name val="Arial"/>
      <family val="2"/>
    </font>
    <font>
      <i/>
      <sz val="10"/>
      <color indexed="8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10"/>
      <color rgb="FF660066"/>
      <name val="Arial"/>
      <family val="2"/>
    </font>
    <font>
      <sz val="10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color rgb="FF660066"/>
      <name val="Arial"/>
      <family val="2"/>
    </font>
    <font>
      <b/>
      <i/>
      <sz val="10"/>
      <color rgb="FF660066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sz val="10"/>
      <color rgb="FF3308E8"/>
      <name val="Arial"/>
      <family val="2"/>
    </font>
    <font>
      <sz val="10"/>
      <color rgb="FF008000"/>
      <name val="Arial"/>
      <family val="2"/>
    </font>
    <font>
      <i/>
      <sz val="10"/>
      <color theme="1"/>
      <name val="Arial"/>
      <family val="2"/>
    </font>
    <font>
      <sz val="10"/>
      <color rgb="FF007E39"/>
      <name val="Arial"/>
      <family val="2"/>
    </font>
    <font>
      <sz val="10"/>
      <name val="Helv"/>
    </font>
    <font>
      <sz val="8"/>
      <name val="Helvetica"/>
      <family val="2"/>
    </font>
    <font>
      <sz val="10"/>
      <name val="Tms Rmn"/>
    </font>
    <font>
      <u/>
      <sz val="10"/>
      <name val="Arial"/>
      <family val="2"/>
    </font>
    <font>
      <u/>
      <sz val="10"/>
      <color rgb="FF0000FF"/>
      <name val="Arial"/>
      <family val="2"/>
    </font>
    <font>
      <i/>
      <sz val="10"/>
      <color rgb="FFFF0000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sz val="10"/>
      <color theme="8"/>
      <name val="Arial"/>
      <family val="2"/>
    </font>
    <font>
      <b/>
      <sz val="10"/>
      <color theme="8"/>
      <name val="Arial"/>
      <family val="2"/>
    </font>
    <font>
      <sz val="9"/>
      <color theme="0"/>
      <name val="Arial"/>
      <family val="2"/>
    </font>
    <font>
      <i/>
      <sz val="8"/>
      <name val="Arial"/>
      <family val="2"/>
    </font>
    <font>
      <b/>
      <u/>
      <sz val="10"/>
      <color theme="1"/>
      <name val="Arial"/>
      <family val="2"/>
    </font>
    <font>
      <i/>
      <sz val="8"/>
      <color indexed="8"/>
      <name val="Arial"/>
      <family val="2"/>
    </font>
    <font>
      <b/>
      <sz val="10"/>
      <color rgb="FF008000"/>
      <name val="Arial"/>
      <family val="2"/>
    </font>
    <font>
      <b/>
      <sz val="10"/>
      <color rgb="FF7030A0"/>
      <name val="Arial"/>
      <family val="2"/>
    </font>
    <font>
      <i/>
      <sz val="10"/>
      <color rgb="FF0000FF"/>
      <name val="Arial"/>
      <family val="2"/>
    </font>
    <font>
      <i/>
      <sz val="10"/>
      <color theme="8"/>
      <name val="Arial"/>
      <family val="2"/>
    </font>
    <font>
      <b/>
      <u/>
      <sz val="10"/>
      <color theme="0"/>
      <name val="Arial"/>
      <family val="2"/>
    </font>
    <font>
      <sz val="10"/>
      <color rgb="FF7030A0"/>
      <name val="Arial"/>
      <family val="2"/>
    </font>
    <font>
      <i/>
      <sz val="8"/>
      <color theme="0"/>
      <name val="Arial"/>
      <family val="2"/>
    </font>
    <font>
      <b/>
      <i/>
      <sz val="10"/>
      <color theme="0"/>
      <name val="Arial"/>
      <family val="2"/>
    </font>
    <font>
      <b/>
      <sz val="9"/>
      <color indexed="81"/>
      <name val="Tahoma"/>
      <charset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2EAF3"/>
        <bgColor indexed="64"/>
      </patternFill>
    </fill>
    <fill>
      <patternFill patternType="solid">
        <fgColor rgb="FFE2EAF3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dashed">
        <color theme="0" tint="-0.14996795556505021"/>
      </top>
      <bottom style="dashed">
        <color theme="0" tint="-0.14996795556505021"/>
      </bottom>
      <diagonal/>
    </border>
    <border>
      <left/>
      <right/>
      <top style="dashed">
        <color theme="0" tint="-0.14996795556505021"/>
      </top>
      <bottom style="dashed">
        <color theme="0" tint="-0.1499679555650502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theme="0" tint="-0.249977111117893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7">
    <xf numFmtId="0" fontId="0" fillId="0" borderId="0"/>
    <xf numFmtId="9" fontId="2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4" fontId="7" fillId="0" borderId="0" applyNumberFormat="0" applyFill="0" applyBorder="0" applyAlignment="0" applyProtection="0">
      <alignment vertical="top"/>
      <protection locked="0"/>
    </xf>
    <xf numFmtId="0" fontId="8" fillId="0" borderId="0"/>
    <xf numFmtId="9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21" fillId="0" borderId="0">
      <protection locked="0"/>
    </xf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45" fillId="0" borderId="0"/>
    <xf numFmtId="0" fontId="46" fillId="0" borderId="0">
      <protection locked="0"/>
    </xf>
    <xf numFmtId="37" fontId="47" fillId="0" borderId="0"/>
    <xf numFmtId="171" fontId="32" fillId="0" borderId="0" applyFont="0" applyFill="0" applyBorder="0" applyAlignment="0" applyProtection="0"/>
    <xf numFmtId="174" fontId="32" fillId="0" borderId="0" applyFont="0" applyFill="0" applyBorder="0" applyAlignment="0" applyProtection="0"/>
    <xf numFmtId="179" fontId="45" fillId="0" borderId="0" applyFill="0" applyBorder="0" applyAlignment="0">
      <protection hidden="1"/>
    </xf>
    <xf numFmtId="0" fontId="32" fillId="0" borderId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32" fillId="0" borderId="0"/>
    <xf numFmtId="9" fontId="10" fillId="0" borderId="0" applyFont="0" applyFill="0" applyBorder="0" applyAlignment="0" applyProtection="0"/>
  </cellStyleXfs>
  <cellXfs count="1585">
    <xf numFmtId="0" fontId="0" fillId="0" borderId="0" xfId="0"/>
    <xf numFmtId="0" fontId="6" fillId="0" borderId="0" xfId="0" applyFont="1"/>
    <xf numFmtId="0" fontId="9" fillId="0" borderId="0" xfId="4" applyFont="1" applyAlignment="1">
      <alignment vertical="center"/>
    </xf>
    <xf numFmtId="0" fontId="6" fillId="0" borderId="0" xfId="4" applyFont="1" applyAlignment="1">
      <alignment horizontal="left"/>
    </xf>
    <xf numFmtId="9" fontId="9" fillId="0" borderId="0" xfId="5" applyFont="1" applyFill="1" applyBorder="1" applyAlignment="1">
      <alignment horizontal="right" vertical="center"/>
    </xf>
    <xf numFmtId="2" fontId="9" fillId="0" borderId="0" xfId="5" applyNumberFormat="1" applyFont="1" applyFill="1" applyBorder="1" applyAlignment="1">
      <alignment horizontal="right" vertical="center"/>
    </xf>
    <xf numFmtId="0" fontId="9" fillId="0" borderId="0" xfId="4" applyFont="1" applyAlignment="1">
      <alignment horizontal="right" vertical="center"/>
    </xf>
    <xf numFmtId="0" fontId="12" fillId="0" borderId="0" xfId="0" applyFont="1"/>
    <xf numFmtId="0" fontId="13" fillId="0" borderId="0" xfId="4" applyFont="1" applyAlignment="1">
      <alignment vertical="center"/>
    </xf>
    <xf numFmtId="0" fontId="14" fillId="0" borderId="0" xfId="4" applyFont="1" applyAlignment="1">
      <alignment horizontal="centerContinuous"/>
    </xf>
    <xf numFmtId="0" fontId="15" fillId="0" borderId="0" xfId="4" applyFont="1" applyAlignment="1">
      <alignment horizontal="centerContinuous" vertical="top"/>
    </xf>
    <xf numFmtId="0" fontId="16" fillId="0" borderId="0" xfId="4" applyFont="1" applyAlignment="1">
      <alignment horizontal="center" vertical="center"/>
    </xf>
    <xf numFmtId="0" fontId="16" fillId="3" borderId="0" xfId="4" applyFont="1" applyFill="1" applyAlignment="1">
      <alignment horizontal="center" vertical="center"/>
    </xf>
    <xf numFmtId="17" fontId="9" fillId="0" borderId="0" xfId="4" applyNumberFormat="1" applyFont="1" applyAlignment="1">
      <alignment vertical="center"/>
    </xf>
    <xf numFmtId="17" fontId="16" fillId="0" borderId="0" xfId="4" applyNumberFormat="1" applyFont="1" applyAlignment="1">
      <alignment horizontal="center" vertical="center"/>
    </xf>
    <xf numFmtId="17" fontId="17" fillId="0" borderId="0" xfId="4" applyNumberFormat="1" applyFont="1" applyAlignment="1">
      <alignment horizontal="center" vertical="center"/>
    </xf>
    <xf numFmtId="17" fontId="16" fillId="3" borderId="0" xfId="4" applyNumberFormat="1" applyFont="1" applyFill="1" applyAlignment="1">
      <alignment horizontal="center" vertical="center"/>
    </xf>
    <xf numFmtId="17" fontId="12" fillId="0" borderId="0" xfId="0" applyNumberFormat="1" applyFont="1"/>
    <xf numFmtId="0" fontId="18" fillId="0" borderId="1" xfId="4" applyFont="1" applyBorder="1" applyAlignment="1">
      <alignment vertical="center"/>
    </xf>
    <xf numFmtId="0" fontId="18" fillId="0" borderId="0" xfId="4" applyFont="1" applyAlignment="1">
      <alignment horizontal="center" vertical="center"/>
    </xf>
    <xf numFmtId="0" fontId="18" fillId="0" borderId="2" xfId="4" applyFont="1" applyBorder="1" applyAlignment="1">
      <alignment horizontal="center" vertical="center"/>
    </xf>
    <xf numFmtId="0" fontId="18" fillId="3" borderId="2" xfId="4" applyFont="1" applyFill="1" applyBorder="1" applyAlignment="1">
      <alignment horizontal="center" vertical="center"/>
    </xf>
    <xf numFmtId="0" fontId="18" fillId="0" borderId="3" xfId="4" applyFont="1" applyBorder="1" applyAlignment="1">
      <alignment vertical="center"/>
    </xf>
    <xf numFmtId="0" fontId="18" fillId="0" borderId="4" xfId="4" applyFont="1" applyBorder="1" applyAlignment="1">
      <alignment horizontal="center" vertical="center"/>
    </xf>
    <xf numFmtId="0" fontId="18" fillId="3" borderId="4" xfId="4" applyFont="1" applyFill="1" applyBorder="1" applyAlignment="1">
      <alignment horizontal="center" vertical="center"/>
    </xf>
    <xf numFmtId="0" fontId="18" fillId="0" borderId="5" xfId="4" applyFont="1" applyBorder="1" applyAlignment="1">
      <alignment vertical="center"/>
    </xf>
    <xf numFmtId="0" fontId="18" fillId="0" borderId="6" xfId="4" applyFont="1" applyBorder="1" applyAlignment="1">
      <alignment horizontal="center" vertical="center"/>
    </xf>
    <xf numFmtId="0" fontId="18" fillId="3" borderId="6" xfId="4" applyFont="1" applyFill="1" applyBorder="1" applyAlignment="1">
      <alignment horizontal="center" vertical="center"/>
    </xf>
    <xf numFmtId="0" fontId="18" fillId="0" borderId="0" xfId="4" applyFont="1" applyAlignment="1">
      <alignment vertical="center"/>
    </xf>
    <xf numFmtId="17" fontId="19" fillId="0" borderId="0" xfId="4" applyNumberFormat="1" applyFont="1" applyAlignment="1">
      <alignment vertical="center"/>
    </xf>
    <xf numFmtId="17" fontId="14" fillId="0" borderId="0" xfId="4" applyNumberFormat="1" applyFont="1" applyAlignment="1">
      <alignment horizontal="center" vertical="center"/>
    </xf>
    <xf numFmtId="17" fontId="19" fillId="0" borderId="0" xfId="4" applyNumberFormat="1" applyFont="1" applyAlignment="1">
      <alignment horizontal="center" vertical="center"/>
    </xf>
    <xf numFmtId="0" fontId="9" fillId="0" borderId="0" xfId="4" applyFont="1" applyAlignment="1">
      <alignment horizontal="center" vertical="center"/>
    </xf>
    <xf numFmtId="0" fontId="6" fillId="0" borderId="0" xfId="4" applyFont="1" applyAlignment="1">
      <alignment horizontal="center" vertical="center"/>
    </xf>
    <xf numFmtId="0" fontId="19" fillId="0" borderId="0" xfId="4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14" fillId="0" borderId="0" xfId="4" applyFont="1" applyAlignment="1">
      <alignment horizontal="left"/>
    </xf>
    <xf numFmtId="165" fontId="4" fillId="0" borderId="0" xfId="7" applyNumberFormat="1" applyFont="1" applyAlignment="1">
      <alignment vertical="center"/>
    </xf>
    <xf numFmtId="0" fontId="22" fillId="0" borderId="0" xfId="8" applyFont="1">
      <protection locked="0"/>
    </xf>
    <xf numFmtId="0" fontId="23" fillId="0" borderId="0" xfId="7" applyFont="1" applyAlignment="1">
      <alignment horizontal="left" vertical="center"/>
    </xf>
    <xf numFmtId="0" fontId="24" fillId="0" borderId="0" xfId="7" applyFont="1" applyAlignment="1">
      <alignment vertical="center"/>
    </xf>
    <xf numFmtId="0" fontId="22" fillId="0" borderId="0" xfId="7" applyFont="1" applyAlignment="1">
      <alignment horizontal="left" vertical="center"/>
    </xf>
    <xf numFmtId="166" fontId="23" fillId="0" borderId="0" xfId="7" applyNumberFormat="1" applyFont="1" applyAlignment="1">
      <alignment horizontal="left" vertical="center"/>
    </xf>
    <xf numFmtId="15" fontId="23" fillId="0" borderId="0" xfId="7" applyNumberFormat="1" applyFont="1" applyAlignment="1">
      <alignment vertical="center"/>
    </xf>
    <xf numFmtId="0" fontId="25" fillId="0" borderId="0" xfId="7" applyFont="1" applyAlignment="1">
      <alignment horizontal="left" vertical="center"/>
    </xf>
    <xf numFmtId="167" fontId="26" fillId="0" borderId="0" xfId="7" applyNumberFormat="1" applyFont="1" applyAlignment="1">
      <alignment horizontal="centerContinuous" vertical="top"/>
    </xf>
    <xf numFmtId="0" fontId="22" fillId="0" borderId="0" xfId="7" applyFont="1" applyAlignment="1">
      <alignment vertical="center"/>
    </xf>
    <xf numFmtId="0" fontId="27" fillId="0" borderId="0" xfId="7" applyFont="1" applyAlignment="1">
      <alignment horizontal="center" vertical="center"/>
    </xf>
    <xf numFmtId="0" fontId="27" fillId="3" borderId="0" xfId="7" applyFont="1" applyFill="1" applyAlignment="1">
      <alignment horizontal="center" vertical="center"/>
    </xf>
    <xf numFmtId="168" fontId="28" fillId="0" borderId="0" xfId="7" applyNumberFormat="1" applyFont="1" applyAlignment="1">
      <alignment horizontal="left" vertical="center"/>
    </xf>
    <xf numFmtId="17" fontId="29" fillId="0" borderId="0" xfId="7" applyNumberFormat="1" applyFont="1" applyAlignment="1">
      <alignment horizontal="center" vertical="center"/>
    </xf>
    <xf numFmtId="169" fontId="3" fillId="3" borderId="0" xfId="7" applyNumberFormat="1" applyFont="1" applyFill="1" applyAlignment="1">
      <alignment horizontal="center" vertical="center"/>
    </xf>
    <xf numFmtId="165" fontId="30" fillId="0" borderId="0" xfId="7" applyNumberFormat="1" applyFont="1" applyAlignment="1">
      <alignment vertical="center"/>
    </xf>
    <xf numFmtId="0" fontId="31" fillId="0" borderId="0" xfId="7" applyFont="1" applyAlignment="1">
      <alignment vertical="center"/>
    </xf>
    <xf numFmtId="0" fontId="31" fillId="0" borderId="0" xfId="4" applyFont="1" applyAlignment="1">
      <alignment horizontal="center" vertical="center"/>
    </xf>
    <xf numFmtId="0" fontId="33" fillId="3" borderId="0" xfId="4" applyFont="1" applyFill="1" applyAlignment="1">
      <alignment horizontal="center" vertical="center"/>
    </xf>
    <xf numFmtId="0" fontId="24" fillId="0" borderId="0" xfId="7" applyFont="1" applyAlignment="1">
      <alignment horizontal="left" vertical="center" indent="1"/>
    </xf>
    <xf numFmtId="0" fontId="34" fillId="0" borderId="0" xfId="7" applyFont="1" applyAlignment="1">
      <alignment horizontal="right" vertical="center"/>
    </xf>
    <xf numFmtId="0" fontId="34" fillId="3" borderId="0" xfId="7" applyFont="1" applyFill="1" applyAlignment="1">
      <alignment horizontal="right" vertical="center"/>
    </xf>
    <xf numFmtId="170" fontId="34" fillId="0" borderId="0" xfId="7" applyNumberFormat="1" applyFont="1" applyAlignment="1">
      <alignment horizontal="right" vertical="center"/>
    </xf>
    <xf numFmtId="170" fontId="34" fillId="3" borderId="0" xfId="7" applyNumberFormat="1" applyFont="1" applyFill="1" applyAlignment="1">
      <alignment horizontal="right" vertical="center"/>
    </xf>
    <xf numFmtId="7" fontId="4" fillId="0" borderId="0" xfId="0" applyNumberFormat="1" applyFont="1"/>
    <xf numFmtId="0" fontId="27" fillId="0" borderId="8" xfId="7" applyFont="1" applyBorder="1" applyAlignment="1">
      <alignment horizontal="left" vertical="center" indent="1"/>
    </xf>
    <xf numFmtId="5" fontId="27" fillId="0" borderId="8" xfId="7" applyNumberFormat="1" applyFont="1" applyBorder="1" applyAlignment="1">
      <alignment horizontal="right" vertical="center"/>
    </xf>
    <xf numFmtId="5" fontId="27" fillId="3" borderId="8" xfId="7" applyNumberFormat="1" applyFont="1" applyFill="1" applyBorder="1" applyAlignment="1">
      <alignment horizontal="right" vertical="center"/>
    </xf>
    <xf numFmtId="0" fontId="32" fillId="0" borderId="0" xfId="7" applyFont="1" applyAlignment="1">
      <alignment vertical="center"/>
    </xf>
    <xf numFmtId="0" fontId="4" fillId="0" borderId="0" xfId="0" applyFont="1"/>
    <xf numFmtId="9" fontId="33" fillId="0" borderId="0" xfId="1" applyFont="1" applyFill="1" applyBorder="1" applyAlignment="1" applyProtection="1">
      <alignment horizontal="left" indent="1"/>
      <protection locked="0"/>
    </xf>
    <xf numFmtId="9" fontId="33" fillId="0" borderId="0" xfId="1" applyFont="1" applyAlignment="1">
      <alignment horizontal="right" vertical="center"/>
    </xf>
    <xf numFmtId="9" fontId="33" fillId="3" borderId="0" xfId="1" applyFont="1" applyFill="1" applyAlignment="1">
      <alignment horizontal="right" vertical="center"/>
    </xf>
    <xf numFmtId="0" fontId="33" fillId="0" borderId="0" xfId="7" applyFont="1" applyAlignment="1">
      <alignment vertical="center"/>
    </xf>
    <xf numFmtId="5" fontId="33" fillId="3" borderId="0" xfId="7" applyNumberFormat="1" applyFont="1" applyFill="1" applyAlignment="1">
      <alignment horizontal="right" vertical="center"/>
    </xf>
    <xf numFmtId="9" fontId="31" fillId="0" borderId="0" xfId="1" applyFont="1" applyFill="1" applyBorder="1" applyAlignment="1" applyProtection="1">
      <alignment horizontal="left" indent="1"/>
      <protection locked="0"/>
    </xf>
    <xf numFmtId="5" fontId="35" fillId="3" borderId="0" xfId="7" applyNumberFormat="1" applyFont="1" applyFill="1" applyAlignment="1">
      <alignment horizontal="right" vertical="center"/>
    </xf>
    <xf numFmtId="5" fontId="36" fillId="3" borderId="0" xfId="7" applyNumberFormat="1" applyFont="1" applyFill="1" applyAlignment="1">
      <alignment horizontal="right" vertical="center"/>
    </xf>
    <xf numFmtId="7" fontId="27" fillId="0" borderId="8" xfId="7" applyNumberFormat="1" applyFont="1" applyBorder="1" applyAlignment="1">
      <alignment horizontal="right" vertical="center"/>
    </xf>
    <xf numFmtId="7" fontId="27" fillId="3" borderId="8" xfId="7" applyNumberFormat="1" applyFont="1" applyFill="1" applyBorder="1" applyAlignment="1">
      <alignment horizontal="right" vertical="center"/>
    </xf>
    <xf numFmtId="9" fontId="4" fillId="0" borderId="0" xfId="1" applyFont="1"/>
    <xf numFmtId="9" fontId="4" fillId="0" borderId="0" xfId="1" applyFont="1" applyAlignment="1">
      <alignment horizontal="right"/>
    </xf>
    <xf numFmtId="5" fontId="37" fillId="3" borderId="0" xfId="7" applyNumberFormat="1" applyFont="1" applyFill="1" applyAlignment="1">
      <alignment horizontal="right" vertical="center"/>
    </xf>
    <xf numFmtId="5" fontId="37" fillId="0" borderId="0" xfId="7" applyNumberFormat="1" applyFont="1" applyAlignment="1">
      <alignment horizontal="right" vertical="center"/>
    </xf>
    <xf numFmtId="9" fontId="33" fillId="0" borderId="0" xfId="1" quotePrefix="1" applyFont="1" applyAlignment="1">
      <alignment horizontal="right" vertical="center"/>
    </xf>
    <xf numFmtId="9" fontId="33" fillId="0" borderId="0" xfId="1" applyFont="1" applyFill="1" applyBorder="1" applyAlignment="1" applyProtection="1">
      <alignment horizontal="left" indent="2"/>
      <protection locked="0"/>
    </xf>
    <xf numFmtId="171" fontId="33" fillId="0" borderId="0" xfId="7" quotePrefix="1" applyNumberFormat="1" applyFont="1" applyAlignment="1">
      <alignment horizontal="right" vertical="center"/>
    </xf>
    <xf numFmtId="9" fontId="31" fillId="0" borderId="0" xfId="1" applyFont="1" applyFill="1" applyBorder="1" applyAlignment="1" applyProtection="1">
      <alignment horizontal="left" indent="2"/>
      <protection locked="0"/>
    </xf>
    <xf numFmtId="5" fontId="38" fillId="3" borderId="0" xfId="7" applyNumberFormat="1" applyFont="1" applyFill="1" applyAlignment="1">
      <alignment horizontal="right" vertical="center"/>
    </xf>
    <xf numFmtId="0" fontId="24" fillId="3" borderId="0" xfId="7" applyFont="1" applyFill="1" applyAlignment="1">
      <alignment vertical="center"/>
    </xf>
    <xf numFmtId="9" fontId="33" fillId="0" borderId="0" xfId="1" applyFont="1" applyFill="1" applyAlignment="1">
      <alignment horizontal="right" vertical="center"/>
    </xf>
    <xf numFmtId="0" fontId="2" fillId="0" borderId="0" xfId="0" applyFont="1"/>
    <xf numFmtId="0" fontId="24" fillId="0" borderId="0" xfId="8" applyFont="1">
      <protection locked="0"/>
    </xf>
    <xf numFmtId="0" fontId="22" fillId="0" borderId="0" xfId="8" applyFont="1" applyAlignment="1">
      <alignment horizontal="center"/>
      <protection locked="0"/>
    </xf>
    <xf numFmtId="0" fontId="22" fillId="4" borderId="9" xfId="8" applyFont="1" applyFill="1" applyBorder="1" applyAlignment="1">
      <alignment horizontal="center"/>
      <protection locked="0"/>
    </xf>
    <xf numFmtId="169" fontId="22" fillId="0" borderId="0" xfId="8" applyNumberFormat="1" applyFont="1" applyAlignment="1">
      <alignment horizontal="center"/>
      <protection locked="0"/>
    </xf>
    <xf numFmtId="169" fontId="22" fillId="4" borderId="10" xfId="8" applyNumberFormat="1" applyFont="1" applyFill="1" applyBorder="1" applyAlignment="1">
      <alignment horizontal="center"/>
      <protection locked="0"/>
    </xf>
    <xf numFmtId="0" fontId="3" fillId="0" borderId="0" xfId="0" applyFont="1"/>
    <xf numFmtId="39" fontId="2" fillId="4" borderId="10" xfId="0" applyNumberFormat="1" applyFont="1" applyFill="1" applyBorder="1" applyAlignment="1">
      <alignment horizontal="right"/>
    </xf>
    <xf numFmtId="39" fontId="32" fillId="0" borderId="0" xfId="8" applyNumberFormat="1" applyFont="1">
      <protection locked="0"/>
    </xf>
    <xf numFmtId="39" fontId="24" fillId="0" borderId="0" xfId="8" applyNumberFormat="1" applyFont="1" applyAlignment="1">
      <alignment horizontal="right"/>
      <protection locked="0"/>
    </xf>
    <xf numFmtId="9" fontId="24" fillId="0" borderId="0" xfId="1" quotePrefix="1" applyFont="1" applyFill="1" applyBorder="1" applyAlignment="1" applyProtection="1">
      <alignment horizontal="center"/>
      <protection locked="0"/>
    </xf>
    <xf numFmtId="9" fontId="24" fillId="0" borderId="0" xfId="1" applyFont="1" applyFill="1" applyBorder="1" applyAlignment="1" applyProtection="1">
      <alignment horizontal="right"/>
      <protection locked="0"/>
    </xf>
    <xf numFmtId="9" fontId="32" fillId="0" borderId="0" xfId="1" applyFont="1" applyFill="1" applyBorder="1" applyProtection="1">
      <protection locked="0"/>
    </xf>
    <xf numFmtId="9" fontId="32" fillId="0" borderId="0" xfId="1" applyFont="1" applyFill="1" applyBorder="1" applyAlignment="1" applyProtection="1">
      <alignment horizontal="right"/>
      <protection locked="0"/>
    </xf>
    <xf numFmtId="0" fontId="30" fillId="0" borderId="0" xfId="0" applyFont="1" applyAlignment="1">
      <alignment horizontal="center"/>
    </xf>
    <xf numFmtId="2" fontId="43" fillId="0" borderId="0" xfId="0" applyNumberFormat="1" applyFont="1" applyAlignment="1">
      <alignment horizontal="left"/>
    </xf>
    <xf numFmtId="0" fontId="43" fillId="0" borderId="0" xfId="0" applyFont="1" applyAlignment="1">
      <alignment horizontal="right"/>
    </xf>
    <xf numFmtId="9" fontId="23" fillId="0" borderId="0" xfId="1" applyFont="1" applyFill="1" applyBorder="1" applyProtection="1">
      <protection locked="0"/>
    </xf>
    <xf numFmtId="9" fontId="23" fillId="0" borderId="0" xfId="1" applyFont="1" applyFill="1" applyBorder="1" applyAlignment="1" applyProtection="1">
      <alignment horizontal="right"/>
      <protection locked="0"/>
    </xf>
    <xf numFmtId="172" fontId="2" fillId="4" borderId="10" xfId="1" applyNumberFormat="1" applyFont="1" applyFill="1" applyBorder="1"/>
    <xf numFmtId="9" fontId="2" fillId="4" borderId="10" xfId="1" applyFont="1" applyFill="1" applyBorder="1"/>
    <xf numFmtId="173" fontId="32" fillId="0" borderId="8" xfId="8" applyNumberFormat="1" applyFont="1" applyBorder="1">
      <protection locked="0"/>
    </xf>
    <xf numFmtId="173" fontId="32" fillId="4" borderId="11" xfId="0" applyNumberFormat="1" applyFont="1" applyFill="1" applyBorder="1"/>
    <xf numFmtId="173" fontId="24" fillId="0" borderId="0" xfId="8" applyNumberFormat="1" applyFont="1" applyAlignment="1">
      <alignment horizontal="right"/>
      <protection locked="0"/>
    </xf>
    <xf numFmtId="173" fontId="2" fillId="4" borderId="10" xfId="0" applyNumberFormat="1" applyFont="1" applyFill="1" applyBorder="1" applyAlignment="1">
      <alignment horizontal="right"/>
    </xf>
    <xf numFmtId="9" fontId="2" fillId="4" borderId="10" xfId="1" applyFont="1" applyFill="1" applyBorder="1" applyAlignment="1">
      <alignment horizontal="right"/>
    </xf>
    <xf numFmtId="174" fontId="44" fillId="0" borderId="0" xfId="1" applyNumberFormat="1" applyFont="1" applyFill="1" applyBorder="1" applyAlignment="1" applyProtection="1">
      <protection locked="0"/>
    </xf>
    <xf numFmtId="9" fontId="32" fillId="0" borderId="8" xfId="1" applyFont="1" applyFill="1" applyBorder="1" applyProtection="1">
      <protection locked="0"/>
    </xf>
    <xf numFmtId="9" fontId="32" fillId="0" borderId="8" xfId="1" applyFont="1" applyFill="1" applyBorder="1" applyAlignment="1" applyProtection="1">
      <alignment horizontal="right"/>
      <protection locked="0"/>
    </xf>
    <xf numFmtId="9" fontId="2" fillId="4" borderId="11" xfId="1" applyFont="1" applyFill="1" applyBorder="1"/>
    <xf numFmtId="174" fontId="24" fillId="0" borderId="0" xfId="1" quotePrefix="1" applyNumberFormat="1" applyFont="1" applyFill="1" applyBorder="1" applyAlignment="1" applyProtection="1">
      <alignment horizontal="center"/>
      <protection locked="0"/>
    </xf>
    <xf numFmtId="174" fontId="24" fillId="0" borderId="0" xfId="1" applyNumberFormat="1" applyFont="1" applyFill="1" applyBorder="1" applyAlignment="1" applyProtection="1">
      <alignment horizontal="right"/>
      <protection locked="0"/>
    </xf>
    <xf numFmtId="174" fontId="2" fillId="4" borderId="10" xfId="1" applyNumberFormat="1" applyFont="1" applyFill="1" applyBorder="1"/>
    <xf numFmtId="39" fontId="4" fillId="0" borderId="0" xfId="0" applyNumberFormat="1" applyFont="1"/>
    <xf numFmtId="9" fontId="24" fillId="0" borderId="0" xfId="1" quotePrefix="1" applyFont="1" applyFill="1" applyBorder="1" applyAlignment="1" applyProtection="1">
      <alignment horizontal="right"/>
      <protection locked="0"/>
    </xf>
    <xf numFmtId="174" fontId="42" fillId="4" borderId="10" xfId="1" applyNumberFormat="1" applyFont="1" applyFill="1" applyBorder="1" applyAlignment="1">
      <alignment horizontal="right"/>
    </xf>
    <xf numFmtId="9" fontId="32" fillId="0" borderId="0" xfId="1" applyFont="1" applyFill="1" applyBorder="1" applyAlignment="1" applyProtection="1">
      <protection locked="0"/>
    </xf>
    <xf numFmtId="9" fontId="32" fillId="4" borderId="10" xfId="1" applyFont="1" applyFill="1" applyBorder="1" applyAlignment="1">
      <alignment horizontal="right"/>
    </xf>
    <xf numFmtId="9" fontId="24" fillId="0" borderId="0" xfId="1" applyFont="1" applyFill="1" applyBorder="1" applyProtection="1">
      <protection locked="0"/>
    </xf>
    <xf numFmtId="0" fontId="24" fillId="0" borderId="0" xfId="8" applyFont="1" applyAlignment="1">
      <alignment horizontal="right"/>
      <protection locked="0"/>
    </xf>
    <xf numFmtId="39" fontId="24" fillId="0" borderId="0" xfId="8" applyNumberFormat="1" applyFont="1">
      <protection locked="0"/>
    </xf>
    <xf numFmtId="9" fontId="4" fillId="0" borderId="0" xfId="1" applyFont="1" applyFill="1"/>
    <xf numFmtId="9" fontId="2" fillId="0" borderId="0" xfId="1" applyFont="1" applyFill="1"/>
    <xf numFmtId="9" fontId="2" fillId="4" borderId="12" xfId="1" applyFont="1" applyFill="1" applyBorder="1" applyAlignment="1">
      <alignment horizontal="right"/>
    </xf>
    <xf numFmtId="175" fontId="32" fillId="0" borderId="0" xfId="1" applyNumberFormat="1" applyFont="1" applyFill="1" applyBorder="1" applyProtection="1">
      <protection locked="0"/>
    </xf>
    <xf numFmtId="0" fontId="24" fillId="0" borderId="0" xfId="11" applyFont="1" applyAlignment="1">
      <alignment horizontal="centerContinuous" vertical="center"/>
    </xf>
    <xf numFmtId="0" fontId="24" fillId="0" borderId="0" xfId="12" applyFont="1" applyProtection="1"/>
    <xf numFmtId="37" fontId="32" fillId="0" borderId="0" xfId="13" applyFont="1" applyAlignment="1">
      <alignment horizontal="left" vertical="center"/>
    </xf>
    <xf numFmtId="37" fontId="24" fillId="0" borderId="0" xfId="8" applyNumberFormat="1" applyFont="1" applyAlignment="1">
      <alignment horizontal="right"/>
      <protection locked="0"/>
    </xf>
    <xf numFmtId="37" fontId="24" fillId="0" borderId="0" xfId="14" applyNumberFormat="1" applyFont="1" applyFill="1" applyBorder="1" applyAlignment="1">
      <alignment horizontal="right"/>
    </xf>
    <xf numFmtId="176" fontId="24" fillId="0" borderId="0" xfId="8" applyNumberFormat="1" applyFont="1" applyAlignment="1">
      <alignment horizontal="right"/>
      <protection locked="0"/>
    </xf>
    <xf numFmtId="176" fontId="24" fillId="0" borderId="0" xfId="14" applyNumberFormat="1" applyFont="1" applyFill="1" applyBorder="1" applyAlignment="1">
      <alignment horizontal="right"/>
    </xf>
    <xf numFmtId="37" fontId="24" fillId="0" borderId="0" xfId="8" applyNumberFormat="1" applyFont="1">
      <protection locked="0"/>
    </xf>
    <xf numFmtId="37" fontId="24" fillId="0" borderId="0" xfId="15" applyNumberFormat="1" applyFont="1" applyFill="1" applyBorder="1" applyAlignment="1" applyProtection="1">
      <alignment horizontal="right"/>
      <protection locked="0"/>
    </xf>
    <xf numFmtId="176" fontId="32" fillId="0" borderId="0" xfId="12" applyNumberFormat="1" applyFont="1">
      <protection locked="0"/>
    </xf>
    <xf numFmtId="176" fontId="24" fillId="0" borderId="0" xfId="8" applyNumberFormat="1" applyFont="1">
      <protection locked="0"/>
    </xf>
    <xf numFmtId="1" fontId="32" fillId="0" borderId="0" xfId="8" applyNumberFormat="1" applyFont="1" applyAlignment="1">
      <alignment horizontal="right"/>
      <protection locked="0"/>
    </xf>
    <xf numFmtId="1" fontId="32" fillId="0" borderId="0" xfId="15" applyNumberFormat="1" applyFont="1" applyFill="1" applyBorder="1" applyAlignment="1" applyProtection="1">
      <alignment horizontal="right"/>
      <protection locked="0"/>
    </xf>
    <xf numFmtId="5" fontId="24" fillId="0" borderId="0" xfId="8" applyNumberFormat="1" applyFont="1" applyAlignment="1">
      <alignment horizontal="right"/>
      <protection locked="0"/>
    </xf>
    <xf numFmtId="5" fontId="24" fillId="0" borderId="0" xfId="15" applyNumberFormat="1" applyFont="1" applyFill="1" applyBorder="1" applyAlignment="1" applyProtection="1">
      <alignment horizontal="right"/>
      <protection locked="0"/>
    </xf>
    <xf numFmtId="176" fontId="31" fillId="0" borderId="0" xfId="8" applyNumberFormat="1" applyFont="1" applyAlignment="1">
      <alignment horizontal="right"/>
      <protection locked="0"/>
    </xf>
    <xf numFmtId="176" fontId="31" fillId="0" borderId="0" xfId="14" applyNumberFormat="1" applyFont="1" applyFill="1" applyBorder="1" applyAlignment="1">
      <alignment horizontal="right"/>
    </xf>
    <xf numFmtId="177" fontId="48" fillId="0" borderId="0" xfId="8" applyNumberFormat="1" applyFont="1">
      <protection locked="0"/>
    </xf>
    <xf numFmtId="177" fontId="49" fillId="0" borderId="0" xfId="8" applyNumberFormat="1" applyFont="1" applyAlignment="1">
      <alignment horizontal="right"/>
      <protection locked="0"/>
    </xf>
    <xf numFmtId="177" fontId="32" fillId="0" borderId="0" xfId="8" applyNumberFormat="1" applyFont="1">
      <protection locked="0"/>
    </xf>
    <xf numFmtId="177" fontId="32" fillId="0" borderId="0" xfId="8" applyNumberFormat="1" applyFont="1" applyAlignment="1">
      <alignment horizontal="right"/>
      <protection locked="0"/>
    </xf>
    <xf numFmtId="0" fontId="32" fillId="0" borderId="0" xfId="8" applyFont="1">
      <protection locked="0"/>
    </xf>
    <xf numFmtId="0" fontId="32" fillId="0" borderId="0" xfId="8" applyFont="1" applyAlignment="1">
      <alignment horizontal="right"/>
      <protection locked="0"/>
    </xf>
    <xf numFmtId="178" fontId="40" fillId="0" borderId="0" xfId="10" applyNumberFormat="1" applyFont="1" applyFill="1" applyBorder="1" applyAlignment="1" applyProtection="1">
      <alignment horizontal="right"/>
      <protection locked="0"/>
    </xf>
    <xf numFmtId="17" fontId="24" fillId="0" borderId="0" xfId="16" applyNumberFormat="1" applyFont="1" applyFill="1" applyBorder="1" applyAlignment="1">
      <alignment horizontal="center" vertical="center"/>
      <protection hidden="1"/>
    </xf>
    <xf numFmtId="15" fontId="32" fillId="0" borderId="0" xfId="8" applyNumberFormat="1" applyFont="1">
      <protection locked="0"/>
    </xf>
    <xf numFmtId="2" fontId="24" fillId="0" borderId="0" xfId="8" applyNumberFormat="1" applyFont="1">
      <protection locked="0"/>
    </xf>
    <xf numFmtId="2" fontId="24" fillId="0" borderId="0" xfId="8" applyNumberFormat="1" applyFont="1" applyAlignment="1">
      <alignment horizontal="right"/>
      <protection locked="0"/>
    </xf>
    <xf numFmtId="177" fontId="24" fillId="0" borderId="0" xfId="8" applyNumberFormat="1" applyFont="1">
      <protection locked="0"/>
    </xf>
    <xf numFmtId="177" fontId="24" fillId="0" borderId="0" xfId="8" applyNumberFormat="1" applyFont="1" applyAlignment="1">
      <alignment horizontal="right"/>
      <protection locked="0"/>
    </xf>
    <xf numFmtId="177" fontId="32" fillId="0" borderId="0" xfId="1" applyNumberFormat="1" applyFont="1" applyFill="1" applyBorder="1" applyProtection="1">
      <protection locked="0"/>
    </xf>
    <xf numFmtId="177" fontId="32" fillId="0" borderId="0" xfId="1" applyNumberFormat="1" applyFont="1" applyFill="1" applyBorder="1" applyAlignment="1" applyProtection="1">
      <alignment horizontal="right"/>
      <protection locked="0"/>
    </xf>
    <xf numFmtId="177" fontId="50" fillId="0" borderId="0" xfId="1" applyNumberFormat="1" applyFont="1" applyFill="1" applyBorder="1" applyAlignment="1" applyProtection="1">
      <alignment horizontal="right"/>
      <protection locked="0"/>
    </xf>
    <xf numFmtId="9" fontId="50" fillId="0" borderId="0" xfId="1" applyFont="1" applyFill="1" applyBorder="1" applyProtection="1">
      <protection locked="0"/>
    </xf>
    <xf numFmtId="9" fontId="50" fillId="0" borderId="0" xfId="1" applyFont="1" applyFill="1" applyBorder="1" applyAlignment="1" applyProtection="1">
      <alignment horizontal="right"/>
      <protection locked="0"/>
    </xf>
    <xf numFmtId="1" fontId="24" fillId="0" borderId="0" xfId="8" applyNumberFormat="1" applyFont="1">
      <protection locked="0"/>
    </xf>
    <xf numFmtId="1" fontId="24" fillId="0" borderId="0" xfId="8" applyNumberFormat="1" applyFont="1" applyAlignment="1">
      <alignment horizontal="right"/>
      <protection locked="0"/>
    </xf>
    <xf numFmtId="180" fontId="50" fillId="0" borderId="0" xfId="1" applyNumberFormat="1" applyFont="1" applyFill="1" applyBorder="1" applyProtection="1">
      <protection locked="0"/>
    </xf>
    <xf numFmtId="180" fontId="24" fillId="0" borderId="0" xfId="1" applyNumberFormat="1" applyFont="1" applyFill="1" applyBorder="1" applyAlignment="1" applyProtection="1">
      <alignment horizontal="right"/>
      <protection locked="0"/>
    </xf>
    <xf numFmtId="177" fontId="50" fillId="0" borderId="0" xfId="1" applyNumberFormat="1" applyFont="1" applyFill="1" applyBorder="1" applyProtection="1">
      <protection locked="0"/>
    </xf>
    <xf numFmtId="3" fontId="24" fillId="0" borderId="0" xfId="8" applyNumberFormat="1" applyFont="1">
      <protection locked="0"/>
    </xf>
    <xf numFmtId="3" fontId="24" fillId="0" borderId="0" xfId="8" applyNumberFormat="1" applyFont="1" applyAlignment="1">
      <alignment horizontal="right"/>
      <protection locked="0"/>
    </xf>
    <xf numFmtId="175" fontId="24" fillId="0" borderId="0" xfId="8" applyNumberFormat="1" applyFont="1">
      <protection locked="0"/>
    </xf>
    <xf numFmtId="175" fontId="24" fillId="0" borderId="0" xfId="8" applyNumberFormat="1" applyFont="1" applyAlignment="1">
      <alignment horizontal="right"/>
      <protection locked="0"/>
    </xf>
    <xf numFmtId="3" fontId="50" fillId="0" borderId="0" xfId="1" applyNumberFormat="1" applyFont="1" applyFill="1" applyBorder="1" applyProtection="1">
      <protection locked="0"/>
    </xf>
    <xf numFmtId="3" fontId="50" fillId="0" borderId="0" xfId="1" applyNumberFormat="1" applyFont="1" applyFill="1" applyBorder="1" applyAlignment="1" applyProtection="1">
      <alignment horizontal="right"/>
      <protection locked="0"/>
    </xf>
    <xf numFmtId="0" fontId="31" fillId="0" borderId="0" xfId="8" applyFont="1">
      <protection locked="0"/>
    </xf>
    <xf numFmtId="0" fontId="31" fillId="0" borderId="0" xfId="8" applyFont="1" applyAlignment="1">
      <alignment horizontal="right"/>
      <protection locked="0"/>
    </xf>
    <xf numFmtId="44" fontId="24" fillId="0" borderId="0" xfId="10" applyFont="1" applyFill="1" applyBorder="1" applyProtection="1">
      <protection locked="0"/>
    </xf>
    <xf numFmtId="44" fontId="24" fillId="0" borderId="0" xfId="10" applyFont="1" applyFill="1" applyBorder="1" applyAlignment="1" applyProtection="1">
      <alignment horizontal="right"/>
      <protection locked="0"/>
    </xf>
    <xf numFmtId="3" fontId="32" fillId="0" borderId="0" xfId="8" applyNumberFormat="1" applyFont="1">
      <protection locked="0"/>
    </xf>
    <xf numFmtId="3" fontId="32" fillId="0" borderId="0" xfId="8" applyNumberFormat="1" applyFont="1" applyAlignment="1">
      <alignment horizontal="right"/>
      <protection locked="0"/>
    </xf>
    <xf numFmtId="37" fontId="24" fillId="0" borderId="0" xfId="10" applyNumberFormat="1" applyFont="1" applyFill="1" applyBorder="1" applyAlignment="1" applyProtection="1">
      <alignment horizontal="left" indent="1"/>
      <protection locked="0"/>
    </xf>
    <xf numFmtId="37" fontId="24" fillId="0" borderId="0" xfId="10" applyNumberFormat="1" applyFont="1" applyFill="1" applyBorder="1" applyAlignment="1" applyProtection="1">
      <alignment horizontal="right"/>
      <protection locked="0"/>
    </xf>
    <xf numFmtId="0" fontId="24" fillId="0" borderId="0" xfId="8" applyFont="1" applyAlignment="1">
      <alignment horizontal="left" indent="1"/>
      <protection locked="0"/>
    </xf>
    <xf numFmtId="9" fontId="24" fillId="0" borderId="0" xfId="1" applyFont="1" applyFill="1" applyBorder="1" applyAlignment="1" applyProtection="1">
      <alignment horizontal="left" indent="1"/>
      <protection locked="0"/>
    </xf>
    <xf numFmtId="37" fontId="24" fillId="0" borderId="0" xfId="10" applyNumberFormat="1" applyFont="1" applyFill="1" applyBorder="1" applyProtection="1">
      <protection locked="0"/>
    </xf>
    <xf numFmtId="5" fontId="24" fillId="0" borderId="0" xfId="10" applyNumberFormat="1" applyFont="1" applyFill="1" applyBorder="1" applyAlignment="1" applyProtection="1">
      <alignment horizontal="left" indent="1"/>
      <protection locked="0"/>
    </xf>
    <xf numFmtId="5" fontId="24" fillId="0" borderId="0" xfId="10" applyNumberFormat="1" applyFont="1" applyFill="1" applyBorder="1" applyAlignment="1" applyProtection="1">
      <alignment horizontal="right"/>
      <protection locked="0"/>
    </xf>
    <xf numFmtId="177" fontId="4" fillId="0" borderId="0" xfId="8" applyNumberFormat="1" applyFont="1">
      <protection locked="0"/>
    </xf>
    <xf numFmtId="0" fontId="4" fillId="0" borderId="0" xfId="8" applyFont="1">
      <protection locked="0"/>
    </xf>
    <xf numFmtId="181" fontId="31" fillId="0" borderId="0" xfId="8" applyNumberFormat="1" applyFont="1">
      <protection locked="0"/>
    </xf>
    <xf numFmtId="181" fontId="31" fillId="0" borderId="0" xfId="8" applyNumberFormat="1" applyFont="1" applyAlignment="1">
      <alignment horizontal="right"/>
      <protection locked="0"/>
    </xf>
    <xf numFmtId="9" fontId="31" fillId="0" borderId="0" xfId="1" applyFont="1" applyFill="1" applyBorder="1" applyProtection="1">
      <protection locked="0"/>
    </xf>
    <xf numFmtId="9" fontId="31" fillId="0" borderId="0" xfId="1" applyFont="1" applyFill="1" applyBorder="1" applyAlignment="1" applyProtection="1">
      <alignment horizontal="right"/>
      <protection locked="0"/>
    </xf>
    <xf numFmtId="177" fontId="24" fillId="0" borderId="0" xfId="1" applyNumberFormat="1" applyFont="1" applyFill="1" applyBorder="1" applyProtection="1">
      <protection locked="0"/>
    </xf>
    <xf numFmtId="177" fontId="24" fillId="0" borderId="0" xfId="1" applyNumberFormat="1" applyFont="1" applyFill="1" applyBorder="1" applyAlignment="1" applyProtection="1">
      <alignment horizontal="right"/>
      <protection locked="0"/>
    </xf>
    <xf numFmtId="0" fontId="23" fillId="0" borderId="0" xfId="8" applyFont="1">
      <protection locked="0"/>
    </xf>
    <xf numFmtId="0" fontId="23" fillId="0" borderId="0" xfId="8" applyFont="1" applyAlignment="1">
      <alignment horizontal="right"/>
      <protection locked="0"/>
    </xf>
    <xf numFmtId="2" fontId="32" fillId="0" borderId="0" xfId="8" applyNumberFormat="1" applyFont="1">
      <protection locked="0"/>
    </xf>
    <xf numFmtId="0" fontId="44" fillId="0" borderId="0" xfId="8" applyFont="1">
      <protection locked="0"/>
    </xf>
    <xf numFmtId="182" fontId="32" fillId="0" borderId="0" xfId="1" applyNumberFormat="1" applyFont="1" applyFill="1" applyBorder="1" applyProtection="1">
      <protection locked="0"/>
    </xf>
    <xf numFmtId="37" fontId="32" fillId="0" borderId="0" xfId="8" applyNumberFormat="1" applyFont="1">
      <protection locked="0"/>
    </xf>
    <xf numFmtId="175" fontId="32" fillId="0" borderId="0" xfId="8" applyNumberFormat="1" applyFont="1">
      <protection locked="0"/>
    </xf>
    <xf numFmtId="1" fontId="32" fillId="0" borderId="0" xfId="8" applyNumberFormat="1" applyFont="1">
      <protection locked="0"/>
    </xf>
    <xf numFmtId="0" fontId="33" fillId="0" borderId="0" xfId="8" applyFont="1" applyAlignment="1">
      <alignment horizontal="left" indent="1"/>
      <protection locked="0"/>
    </xf>
    <xf numFmtId="0" fontId="33" fillId="0" borderId="0" xfId="8" applyFont="1">
      <protection locked="0"/>
    </xf>
    <xf numFmtId="178" fontId="32" fillId="0" borderId="0" xfId="10" applyNumberFormat="1" applyFont="1" applyFill="1" applyBorder="1" applyProtection="1">
      <protection locked="0"/>
    </xf>
    <xf numFmtId="9" fontId="32" fillId="0" borderId="0" xfId="1" applyFont="1" applyFill="1" applyBorder="1" applyAlignment="1" applyProtection="1">
      <alignment horizontal="left" indent="1"/>
      <protection locked="0"/>
    </xf>
    <xf numFmtId="1" fontId="32" fillId="0" borderId="0" xfId="8" applyNumberFormat="1" applyFont="1" applyAlignment="1">
      <alignment horizontal="left" indent="1"/>
      <protection locked="0"/>
    </xf>
    <xf numFmtId="0" fontId="48" fillId="0" borderId="0" xfId="8" applyFont="1">
      <protection locked="0"/>
    </xf>
    <xf numFmtId="183" fontId="32" fillId="0" borderId="0" xfId="1" applyNumberFormat="1" applyFont="1" applyFill="1" applyBorder="1" applyProtection="1">
      <protection locked="0"/>
    </xf>
    <xf numFmtId="37" fontId="33" fillId="0" borderId="0" xfId="8" applyNumberFormat="1" applyFont="1">
      <protection locked="0"/>
    </xf>
    <xf numFmtId="183" fontId="33" fillId="0" borderId="0" xfId="8" applyNumberFormat="1" applyFont="1">
      <protection locked="0"/>
    </xf>
    <xf numFmtId="184" fontId="33" fillId="0" borderId="0" xfId="9" applyNumberFormat="1" applyFont="1" applyFill="1" applyBorder="1" applyProtection="1">
      <protection locked="0"/>
    </xf>
    <xf numFmtId="9" fontId="40" fillId="0" borderId="0" xfId="1" applyFont="1" applyFill="1" applyBorder="1" applyProtection="1">
      <protection locked="0"/>
    </xf>
    <xf numFmtId="5" fontId="32" fillId="0" borderId="0" xfId="8" applyNumberFormat="1" applyFont="1">
      <protection locked="0"/>
    </xf>
    <xf numFmtId="39" fontId="39" fillId="0" borderId="0" xfId="0" applyNumberFormat="1" applyFont="1"/>
    <xf numFmtId="39" fontId="32" fillId="0" borderId="0" xfId="0" applyNumberFormat="1" applyFont="1"/>
    <xf numFmtId="39" fontId="3" fillId="0" borderId="0" xfId="0" applyNumberFormat="1" applyFont="1"/>
    <xf numFmtId="39" fontId="32" fillId="0" borderId="0" xfId="1" applyNumberFormat="1" applyFont="1" applyFill="1" applyBorder="1" applyAlignment="1" applyProtection="1">
      <alignment horizontal="right"/>
      <protection locked="0"/>
    </xf>
    <xf numFmtId="39" fontId="22" fillId="0" borderId="0" xfId="8" applyNumberFormat="1" applyFont="1" applyAlignment="1">
      <alignment horizontal="right"/>
      <protection locked="0"/>
    </xf>
    <xf numFmtId="0" fontId="24" fillId="0" borderId="0" xfId="8" applyFont="1" applyAlignment="1">
      <alignment horizontal="center"/>
      <protection locked="0"/>
    </xf>
    <xf numFmtId="185" fontId="32" fillId="4" borderId="10" xfId="0" applyNumberFormat="1" applyFont="1" applyFill="1" applyBorder="1"/>
    <xf numFmtId="39" fontId="44" fillId="0" borderId="0" xfId="8" applyNumberFormat="1" applyFont="1">
      <protection locked="0"/>
    </xf>
    <xf numFmtId="39" fontId="2" fillId="0" borderId="0" xfId="1" applyNumberFormat="1" applyFont="1" applyFill="1" applyBorder="1"/>
    <xf numFmtId="9" fontId="2" fillId="0" borderId="0" xfId="1" applyFont="1"/>
    <xf numFmtId="37" fontId="2" fillId="0" borderId="0" xfId="1" applyNumberFormat="1" applyFont="1" applyFill="1" applyBorder="1"/>
    <xf numFmtId="0" fontId="30" fillId="0" borderId="0" xfId="0" applyFont="1"/>
    <xf numFmtId="0" fontId="43" fillId="0" borderId="0" xfId="0" applyFont="1"/>
    <xf numFmtId="37" fontId="43" fillId="0" borderId="0" xfId="1" applyNumberFormat="1" applyFont="1" applyFill="1" applyBorder="1" applyAlignment="1">
      <alignment horizontal="right"/>
    </xf>
    <xf numFmtId="39" fontId="43" fillId="0" borderId="0" xfId="1" applyNumberFormat="1" applyFont="1" applyFill="1" applyBorder="1" applyAlignment="1">
      <alignment horizontal="right"/>
    </xf>
    <xf numFmtId="9" fontId="32" fillId="4" borderId="10" xfId="1" applyFont="1" applyFill="1" applyBorder="1"/>
    <xf numFmtId="9" fontId="32" fillId="0" borderId="0" xfId="1" applyFont="1"/>
    <xf numFmtId="185" fontId="43" fillId="0" borderId="0" xfId="0" applyNumberFormat="1" applyFont="1"/>
    <xf numFmtId="39" fontId="44" fillId="0" borderId="0" xfId="8" applyNumberFormat="1" applyFont="1" applyAlignment="1">
      <alignment horizontal="right"/>
      <protection locked="0"/>
    </xf>
    <xf numFmtId="9" fontId="32" fillId="0" borderId="0" xfId="1" applyFont="1" applyAlignment="1" applyProtection="1">
      <alignment horizontal="right"/>
      <protection locked="0"/>
    </xf>
    <xf numFmtId="39" fontId="44" fillId="2" borderId="0" xfId="8" applyNumberFormat="1" applyFont="1" applyFill="1" applyAlignment="1">
      <alignment horizontal="right"/>
      <protection locked="0"/>
    </xf>
    <xf numFmtId="9" fontId="24" fillId="0" borderId="0" xfId="1" applyFont="1" applyAlignment="1" applyProtection="1">
      <alignment horizontal="right"/>
      <protection locked="0"/>
    </xf>
    <xf numFmtId="9" fontId="23" fillId="0" borderId="0" xfId="1" applyFont="1" applyProtection="1">
      <protection locked="0"/>
    </xf>
    <xf numFmtId="9" fontId="23" fillId="0" borderId="0" xfId="1" applyFont="1" applyAlignment="1" applyProtection="1">
      <alignment horizontal="right"/>
      <protection locked="0"/>
    </xf>
    <xf numFmtId="37" fontId="4" fillId="0" borderId="0" xfId="0" applyNumberFormat="1" applyFont="1"/>
    <xf numFmtId="37" fontId="2" fillId="0" borderId="0" xfId="0" applyNumberFormat="1" applyFont="1"/>
    <xf numFmtId="39" fontId="32" fillId="0" borderId="0" xfId="1" quotePrefix="1" applyNumberFormat="1" applyFont="1" applyFill="1" applyBorder="1" applyAlignment="1" applyProtection="1">
      <alignment horizontal="right"/>
      <protection locked="0"/>
    </xf>
    <xf numFmtId="0" fontId="51" fillId="0" borderId="0" xfId="0" applyFont="1"/>
    <xf numFmtId="0" fontId="51" fillId="0" borderId="0" xfId="8" applyFont="1">
      <protection locked="0"/>
    </xf>
    <xf numFmtId="0" fontId="51" fillId="0" borderId="0" xfId="8" applyFont="1" applyAlignment="1">
      <alignment horizontal="right"/>
      <protection locked="0"/>
    </xf>
    <xf numFmtId="169" fontId="29" fillId="0" borderId="0" xfId="8" applyNumberFormat="1" applyFont="1" applyAlignment="1">
      <alignment horizontal="center"/>
      <protection locked="0"/>
    </xf>
    <xf numFmtId="169" fontId="29" fillId="5" borderId="10" xfId="8" applyNumberFormat="1" applyFont="1" applyFill="1" applyBorder="1" applyAlignment="1">
      <alignment horizontal="center"/>
      <protection locked="0"/>
    </xf>
    <xf numFmtId="9" fontId="32" fillId="0" borderId="0" xfId="1" quotePrefix="1" applyFont="1" applyFill="1" applyBorder="1" applyAlignment="1" applyProtection="1">
      <alignment horizontal="right"/>
      <protection locked="0"/>
    </xf>
    <xf numFmtId="9" fontId="32" fillId="5" borderId="10" xfId="1" applyFont="1" applyFill="1" applyBorder="1" applyAlignment="1">
      <alignment horizontal="right"/>
    </xf>
    <xf numFmtId="9" fontId="32" fillId="5" borderId="10" xfId="1" applyFont="1" applyFill="1" applyBorder="1"/>
    <xf numFmtId="9" fontId="51" fillId="0" borderId="0" xfId="1" quotePrefix="1" applyFont="1" applyFill="1" applyBorder="1" applyAlignment="1" applyProtection="1">
      <alignment horizontal="center"/>
      <protection locked="0"/>
    </xf>
    <xf numFmtId="9" fontId="51" fillId="0" borderId="0" xfId="1" applyFont="1" applyFill="1" applyBorder="1" applyAlignment="1" applyProtection="1">
      <alignment horizontal="right"/>
      <protection locked="0"/>
    </xf>
    <xf numFmtId="9" fontId="51" fillId="5" borderId="10" xfId="1" applyFont="1" applyFill="1" applyBorder="1"/>
    <xf numFmtId="9" fontId="51" fillId="0" borderId="0" xfId="1" quotePrefix="1" applyFont="1" applyFill="1" applyBorder="1" applyAlignment="1" applyProtection="1">
      <alignment horizontal="right"/>
      <protection locked="0"/>
    </xf>
    <xf numFmtId="7" fontId="51" fillId="0" borderId="0" xfId="1" applyNumberFormat="1" applyFont="1" applyFill="1" applyBorder="1" applyAlignment="1" applyProtection="1">
      <alignment horizontal="right"/>
      <protection locked="0"/>
    </xf>
    <xf numFmtId="186" fontId="32" fillId="0" borderId="0" xfId="0" applyNumberFormat="1" applyFont="1"/>
    <xf numFmtId="39" fontId="32" fillId="0" borderId="0" xfId="1" quotePrefix="1" applyNumberFormat="1" applyFont="1" applyFill="1" applyBorder="1" applyAlignment="1" applyProtection="1">
      <protection locked="0"/>
    </xf>
    <xf numFmtId="0" fontId="29" fillId="5" borderId="12" xfId="0" applyFont="1" applyFill="1" applyBorder="1"/>
    <xf numFmtId="7" fontId="24" fillId="0" borderId="0" xfId="1" applyNumberFormat="1" applyFont="1" applyFill="1" applyBorder="1" applyAlignment="1" applyProtection="1">
      <alignment horizontal="right"/>
      <protection locked="0"/>
    </xf>
    <xf numFmtId="7" fontId="2" fillId="4" borderId="10" xfId="1" applyNumberFormat="1" applyFont="1" applyFill="1" applyBorder="1" applyAlignment="1">
      <alignment horizontal="right"/>
    </xf>
    <xf numFmtId="39" fontId="32" fillId="4" borderId="10" xfId="0" applyNumberFormat="1" applyFont="1" applyFill="1" applyBorder="1" applyAlignment="1">
      <alignment horizontal="right"/>
    </xf>
    <xf numFmtId="0" fontId="3" fillId="4" borderId="12" xfId="0" applyFont="1" applyFill="1" applyBorder="1"/>
    <xf numFmtId="37" fontId="32" fillId="0" borderId="0" xfId="0" applyNumberFormat="1" applyFont="1"/>
    <xf numFmtId="0" fontId="32" fillId="0" borderId="0" xfId="0" applyFont="1"/>
    <xf numFmtId="0" fontId="32" fillId="4" borderId="10" xfId="0" applyFont="1" applyFill="1" applyBorder="1"/>
    <xf numFmtId="0" fontId="27" fillId="4" borderId="10" xfId="0" applyFont="1" applyFill="1" applyBorder="1"/>
    <xf numFmtId="9" fontId="32" fillId="0" borderId="0" xfId="1" applyFont="1" applyFill="1" applyBorder="1"/>
    <xf numFmtId="0" fontId="32" fillId="4" borderId="10" xfId="0" applyFont="1" applyFill="1" applyBorder="1" applyAlignment="1">
      <alignment horizontal="right"/>
    </xf>
    <xf numFmtId="0" fontId="27" fillId="0" borderId="0" xfId="0" applyFont="1"/>
    <xf numFmtId="9" fontId="27" fillId="0" borderId="0" xfId="1" quotePrefix="1" applyFont="1" applyFill="1" applyBorder="1" applyAlignment="1" applyProtection="1">
      <alignment horizontal="right"/>
      <protection locked="0"/>
    </xf>
    <xf numFmtId="0" fontId="27" fillId="5" borderId="10" xfId="0" applyFont="1" applyFill="1" applyBorder="1" applyAlignment="1">
      <alignment horizontal="right"/>
    </xf>
    <xf numFmtId="2" fontId="32" fillId="0" borderId="0" xfId="1" applyNumberFormat="1" applyFont="1" applyFill="1" applyBorder="1" applyAlignment="1" applyProtection="1">
      <alignment horizontal="right"/>
      <protection locked="0"/>
    </xf>
    <xf numFmtId="37" fontId="44" fillId="0" borderId="0" xfId="1" quotePrefix="1" applyNumberFormat="1" applyFont="1" applyFill="1" applyBorder="1" applyAlignment="1" applyProtection="1">
      <protection locked="0"/>
    </xf>
    <xf numFmtId="37" fontId="44" fillId="0" borderId="0" xfId="1" applyNumberFormat="1" applyFont="1" applyFill="1" applyBorder="1" applyAlignment="1" applyProtection="1">
      <protection locked="0"/>
    </xf>
    <xf numFmtId="37" fontId="44" fillId="4" borderId="10" xfId="1" applyNumberFormat="1" applyFont="1" applyFill="1" applyBorder="1" applyAlignment="1"/>
    <xf numFmtId="39" fontId="3" fillId="0" borderId="0" xfId="0" applyNumberFormat="1" applyFont="1" applyAlignment="1">
      <alignment horizontal="left"/>
    </xf>
    <xf numFmtId="9" fontId="32" fillId="0" borderId="0" xfId="0" applyNumberFormat="1" applyFont="1"/>
    <xf numFmtId="187" fontId="4" fillId="0" borderId="0" xfId="9" applyNumberFormat="1" applyFont="1"/>
    <xf numFmtId="187" fontId="24" fillId="0" borderId="0" xfId="9" applyNumberFormat="1" applyFont="1" applyFill="1" applyBorder="1" applyAlignment="1" applyProtection="1">
      <alignment horizontal="right"/>
      <protection locked="0"/>
    </xf>
    <xf numFmtId="187" fontId="2" fillId="4" borderId="10" xfId="9" applyNumberFormat="1" applyFont="1" applyFill="1" applyBorder="1" applyAlignment="1">
      <alignment horizontal="right"/>
    </xf>
    <xf numFmtId="187" fontId="2" fillId="0" borderId="0" xfId="9" applyNumberFormat="1" applyFont="1"/>
    <xf numFmtId="187" fontId="32" fillId="0" borderId="0" xfId="9" quotePrefix="1" applyNumberFormat="1" applyFont="1" applyFill="1" applyBorder="1" applyAlignment="1" applyProtection="1">
      <alignment horizontal="right"/>
      <protection locked="0"/>
    </xf>
    <xf numFmtId="187" fontId="32" fillId="0" borderId="0" xfId="9" applyNumberFormat="1" applyFont="1" applyFill="1" applyBorder="1" applyAlignment="1" applyProtection="1">
      <alignment horizontal="right"/>
      <protection locked="0"/>
    </xf>
    <xf numFmtId="187" fontId="51" fillId="0" borderId="0" xfId="9" applyNumberFormat="1" applyFont="1"/>
    <xf numFmtId="187" fontId="32" fillId="0" borderId="0" xfId="1" applyNumberFormat="1" applyFont="1" applyFill="1" applyBorder="1" applyAlignment="1" applyProtection="1">
      <alignment horizontal="right"/>
      <protection locked="0"/>
    </xf>
    <xf numFmtId="9" fontId="32" fillId="2" borderId="0" xfId="1" applyFont="1" applyFill="1" applyBorder="1" applyAlignment="1" applyProtection="1">
      <alignment horizontal="right"/>
      <protection locked="0"/>
    </xf>
    <xf numFmtId="9" fontId="51" fillId="2" borderId="0" xfId="1" applyFont="1" applyFill="1" applyBorder="1" applyAlignment="1" applyProtection="1">
      <alignment horizontal="right"/>
      <protection locked="0"/>
    </xf>
    <xf numFmtId="187" fontId="32" fillId="0" borderId="0" xfId="1" quotePrefix="1" applyNumberFormat="1" applyFont="1" applyFill="1" applyBorder="1" applyAlignment="1" applyProtection="1">
      <alignment horizontal="right"/>
      <protection locked="0"/>
    </xf>
    <xf numFmtId="187" fontId="32" fillId="0" borderId="8" xfId="9" applyNumberFormat="1" applyFont="1" applyFill="1" applyBorder="1" applyAlignment="1" applyProtection="1">
      <alignment horizontal="right"/>
      <protection locked="0"/>
    </xf>
    <xf numFmtId="0" fontId="51" fillId="2" borderId="0" xfId="0" applyFont="1" applyFill="1"/>
    <xf numFmtId="0" fontId="51" fillId="2" borderId="0" xfId="8" applyFont="1" applyFill="1">
      <protection locked="0"/>
    </xf>
    <xf numFmtId="0" fontId="51" fillId="2" borderId="0" xfId="8" applyFont="1" applyFill="1" applyAlignment="1">
      <alignment horizontal="right"/>
      <protection locked="0"/>
    </xf>
    <xf numFmtId="9" fontId="51" fillId="0" borderId="0" xfId="0" applyNumberFormat="1" applyFont="1"/>
    <xf numFmtId="187" fontId="32" fillId="0" borderId="0" xfId="9" applyNumberFormat="1" applyFont="1"/>
    <xf numFmtId="9" fontId="23" fillId="0" borderId="0" xfId="1" quotePrefix="1" applyFont="1" applyFill="1" applyBorder="1" applyAlignment="1" applyProtection="1">
      <alignment horizontal="right"/>
      <protection locked="0"/>
    </xf>
    <xf numFmtId="9" fontId="32" fillId="0" borderId="0" xfId="1" applyFont="1" applyAlignment="1">
      <alignment horizontal="right"/>
    </xf>
    <xf numFmtId="9" fontId="27" fillId="0" borderId="0" xfId="1" applyFont="1" applyFill="1" applyBorder="1" applyAlignment="1" applyProtection="1">
      <alignment horizontal="center"/>
      <protection locked="0"/>
    </xf>
    <xf numFmtId="9" fontId="27" fillId="4" borderId="10" xfId="1" applyFont="1" applyFill="1" applyBorder="1" applyAlignment="1" applyProtection="1">
      <alignment horizontal="center"/>
      <protection locked="0"/>
    </xf>
    <xf numFmtId="9" fontId="22" fillId="0" borderId="0" xfId="1" applyFont="1" applyAlignment="1" applyProtection="1">
      <alignment horizontal="center"/>
      <protection locked="0"/>
    </xf>
    <xf numFmtId="0" fontId="2" fillId="0" borderId="0" xfId="0" applyFont="1" applyAlignment="1">
      <alignment horizontal="right"/>
    </xf>
    <xf numFmtId="0" fontId="56" fillId="0" borderId="0" xfId="0" applyFont="1" applyAlignment="1">
      <alignment horizontal="left"/>
    </xf>
    <xf numFmtId="9" fontId="32" fillId="4" borderId="10" xfId="1" applyFont="1" applyFill="1" applyBorder="1" applyAlignment="1" applyProtection="1">
      <alignment horizontal="right"/>
      <protection locked="0"/>
    </xf>
    <xf numFmtId="9" fontId="22" fillId="0" borderId="0" xfId="1" applyFont="1" applyAlignment="1" applyProtection="1">
      <alignment horizontal="right"/>
      <protection locked="0"/>
    </xf>
    <xf numFmtId="4" fontId="4" fillId="0" borderId="0" xfId="0" applyNumberFormat="1" applyFont="1" applyAlignment="1">
      <alignment horizontal="left"/>
    </xf>
    <xf numFmtId="4" fontId="32" fillId="4" borderId="12" xfId="0" applyNumberFormat="1" applyFont="1" applyFill="1" applyBorder="1"/>
    <xf numFmtId="4" fontId="32" fillId="0" borderId="0" xfId="0" applyNumberFormat="1" applyFont="1" applyAlignment="1">
      <alignment horizontal="right"/>
    </xf>
    <xf numFmtId="9" fontId="57" fillId="0" borderId="0" xfId="1" applyFont="1" applyFill="1" applyBorder="1" applyProtection="1">
      <protection locked="0"/>
    </xf>
    <xf numFmtId="9" fontId="32" fillId="0" borderId="0" xfId="1" applyFont="1" applyFill="1"/>
    <xf numFmtId="0" fontId="43" fillId="0" borderId="0" xfId="0" applyFont="1" applyAlignment="1">
      <alignment horizontal="center"/>
    </xf>
    <xf numFmtId="2" fontId="4" fillId="0" borderId="0" xfId="0" applyNumberFormat="1" applyFont="1"/>
    <xf numFmtId="2" fontId="32" fillId="0" borderId="0" xfId="0" applyNumberFormat="1" applyFont="1"/>
    <xf numFmtId="2" fontId="32" fillId="0" borderId="0" xfId="1" quotePrefix="1" applyNumberFormat="1" applyFont="1" applyFill="1" applyBorder="1" applyAlignment="1" applyProtection="1">
      <alignment horizontal="center"/>
      <protection locked="0"/>
    </xf>
    <xf numFmtId="2" fontId="32" fillId="0" borderId="0" xfId="1" applyNumberFormat="1" applyFont="1" applyFill="1" applyBorder="1"/>
    <xf numFmtId="2" fontId="32" fillId="0" borderId="0" xfId="0" applyNumberFormat="1" applyFont="1" applyAlignment="1">
      <alignment horizontal="right"/>
    </xf>
    <xf numFmtId="2" fontId="58" fillId="0" borderId="0" xfId="0" applyNumberFormat="1" applyFont="1"/>
    <xf numFmtId="9" fontId="2" fillId="0" borderId="0" xfId="1" applyFont="1" applyFill="1" applyBorder="1"/>
    <xf numFmtId="9" fontId="2" fillId="0" borderId="0" xfId="1" applyFont="1" applyFill="1" applyAlignment="1">
      <alignment horizontal="right"/>
    </xf>
    <xf numFmtId="2" fontId="2" fillId="0" borderId="0" xfId="0" applyNumberFormat="1" applyFont="1"/>
    <xf numFmtId="9" fontId="59" fillId="0" borderId="0" xfId="1" applyFont="1" applyFill="1" applyBorder="1" applyProtection="1">
      <protection locked="0"/>
    </xf>
    <xf numFmtId="39" fontId="22" fillId="0" borderId="0" xfId="8" applyNumberFormat="1" applyFont="1" applyAlignment="1">
      <alignment horizontal="center"/>
      <protection locked="0"/>
    </xf>
    <xf numFmtId="39" fontId="3" fillId="0" borderId="0" xfId="0" applyNumberFormat="1" applyFont="1" applyAlignment="1">
      <alignment horizontal="right"/>
    </xf>
    <xf numFmtId="9" fontId="24" fillId="0" borderId="0" xfId="1" applyFont="1" applyFill="1" applyBorder="1" applyAlignment="1" applyProtection="1">
      <alignment horizontal="center"/>
      <protection locked="0"/>
    </xf>
    <xf numFmtId="9" fontId="3" fillId="0" borderId="0" xfId="1" applyFont="1" applyFill="1" applyBorder="1"/>
    <xf numFmtId="186" fontId="4" fillId="0" borderId="0" xfId="0" applyNumberFormat="1" applyFont="1" applyAlignment="1">
      <alignment horizontal="right"/>
    </xf>
    <xf numFmtId="186" fontId="2" fillId="0" borderId="0" xfId="0" applyNumberFormat="1" applyFont="1" applyAlignment="1">
      <alignment horizontal="left"/>
    </xf>
    <xf numFmtId="186" fontId="22" fillId="0" borderId="0" xfId="8" applyNumberFormat="1" applyFont="1" applyAlignment="1">
      <alignment horizontal="right"/>
      <protection locked="0"/>
    </xf>
    <xf numFmtId="186" fontId="3" fillId="0" borderId="0" xfId="0" applyNumberFormat="1" applyFont="1" applyAlignment="1">
      <alignment horizontal="right"/>
    </xf>
    <xf numFmtId="186" fontId="2" fillId="0" borderId="0" xfId="0" applyNumberFormat="1" applyFont="1" applyAlignment="1">
      <alignment horizontal="right"/>
    </xf>
    <xf numFmtId="186" fontId="4" fillId="0" borderId="0" xfId="0" applyNumberFormat="1" applyFont="1"/>
    <xf numFmtId="186" fontId="2" fillId="0" borderId="0" xfId="0" applyNumberFormat="1" applyFont="1"/>
    <xf numFmtId="186" fontId="22" fillId="0" borderId="0" xfId="8" applyNumberFormat="1" applyFont="1">
      <protection locked="0"/>
    </xf>
    <xf numFmtId="186" fontId="3" fillId="0" borderId="0" xfId="0" applyNumberFormat="1" applyFont="1"/>
    <xf numFmtId="4" fontId="24" fillId="0" borderId="0" xfId="8" applyNumberFormat="1" applyFont="1">
      <protection locked="0"/>
    </xf>
    <xf numFmtId="4" fontId="24" fillId="0" borderId="0" xfId="8" applyNumberFormat="1" applyFont="1" applyAlignment="1">
      <alignment horizontal="right"/>
      <protection locked="0"/>
    </xf>
    <xf numFmtId="186" fontId="24" fillId="0" borderId="0" xfId="8" applyNumberFormat="1" applyFont="1" applyAlignment="1">
      <alignment horizontal="right"/>
      <protection locked="0"/>
    </xf>
    <xf numFmtId="9" fontId="4" fillId="0" borderId="0" xfId="1" applyFont="1" applyFill="1" applyAlignment="1">
      <alignment horizontal="right"/>
    </xf>
    <xf numFmtId="9" fontId="59" fillId="0" borderId="0" xfId="1" applyFont="1" applyFill="1" applyBorder="1" applyAlignment="1" applyProtection="1">
      <alignment horizontal="left"/>
      <protection locked="0"/>
    </xf>
    <xf numFmtId="9" fontId="3" fillId="0" borderId="0" xfId="1" applyFont="1" applyFill="1" applyBorder="1" applyAlignment="1">
      <alignment horizontal="right"/>
    </xf>
    <xf numFmtId="39" fontId="4" fillId="0" borderId="0" xfId="0" applyNumberFormat="1" applyFont="1" applyAlignment="1">
      <alignment horizontal="right"/>
    </xf>
    <xf numFmtId="39" fontId="2" fillId="0" borderId="0" xfId="0" applyNumberFormat="1" applyFont="1" applyAlignment="1">
      <alignment horizontal="right"/>
    </xf>
    <xf numFmtId="7" fontId="2" fillId="0" borderId="0" xfId="0" applyNumberFormat="1" applyFont="1"/>
    <xf numFmtId="7" fontId="24" fillId="0" borderId="0" xfId="8" applyNumberFormat="1" applyFont="1">
      <protection locked="0"/>
    </xf>
    <xf numFmtId="7" fontId="24" fillId="0" borderId="0" xfId="8" applyNumberFormat="1" applyFont="1" applyAlignment="1">
      <alignment horizontal="right"/>
      <protection locked="0"/>
    </xf>
    <xf numFmtId="7" fontId="3" fillId="0" borderId="0" xfId="0" applyNumberFormat="1" applyFont="1"/>
    <xf numFmtId="7" fontId="24" fillId="0" borderId="0" xfId="1" quotePrefix="1" applyNumberFormat="1" applyFont="1" applyFill="1" applyBorder="1" applyAlignment="1" applyProtection="1">
      <alignment horizontal="right"/>
      <protection locked="0"/>
    </xf>
    <xf numFmtId="0" fontId="58" fillId="0" borderId="0" xfId="0" applyFont="1"/>
    <xf numFmtId="188" fontId="4" fillId="0" borderId="0" xfId="0" applyNumberFormat="1" applyFont="1"/>
    <xf numFmtId="188" fontId="2" fillId="0" borderId="0" xfId="0" applyNumberFormat="1" applyFont="1"/>
    <xf numFmtId="188" fontId="22" fillId="0" borderId="0" xfId="8" applyNumberFormat="1" applyFont="1">
      <protection locked="0"/>
    </xf>
    <xf numFmtId="188" fontId="22" fillId="0" borderId="0" xfId="8" applyNumberFormat="1" applyFont="1" applyAlignment="1">
      <alignment horizontal="right"/>
      <protection locked="0"/>
    </xf>
    <xf numFmtId="188" fontId="3" fillId="0" borderId="0" xfId="0" applyNumberFormat="1" applyFont="1"/>
    <xf numFmtId="188" fontId="59" fillId="0" borderId="0" xfId="8" applyNumberFormat="1" applyFont="1" applyAlignment="1">
      <alignment horizontal="right"/>
      <protection locked="0"/>
    </xf>
    <xf numFmtId="188" fontId="24" fillId="0" borderId="0" xfId="8" applyNumberFormat="1" applyFont="1">
      <protection locked="0"/>
    </xf>
    <xf numFmtId="188" fontId="24" fillId="0" borderId="0" xfId="8" applyNumberFormat="1" applyFont="1" applyAlignment="1">
      <alignment horizontal="right"/>
      <protection locked="0"/>
    </xf>
    <xf numFmtId="186" fontId="24" fillId="0" borderId="0" xfId="8" applyNumberFormat="1" applyFont="1">
      <protection locked="0"/>
    </xf>
    <xf numFmtId="0" fontId="32" fillId="0" borderId="0" xfId="17" applyAlignment="1">
      <alignment horizontal="left" vertical="center"/>
    </xf>
    <xf numFmtId="187" fontId="32" fillId="4" borderId="11" xfId="9" applyNumberFormat="1" applyFont="1" applyFill="1" applyBorder="1"/>
    <xf numFmtId="187" fontId="32" fillId="0" borderId="8" xfId="9" applyNumberFormat="1" applyFont="1" applyFill="1" applyBorder="1" applyAlignment="1" applyProtection="1">
      <protection locked="0"/>
    </xf>
    <xf numFmtId="187" fontId="54" fillId="0" borderId="8" xfId="9" quotePrefix="1" applyNumberFormat="1" applyFont="1" applyFill="1" applyBorder="1" applyAlignment="1" applyProtection="1">
      <protection locked="0"/>
    </xf>
    <xf numFmtId="187" fontId="32" fillId="0" borderId="8" xfId="9" quotePrefix="1" applyNumberFormat="1" applyFont="1" applyFill="1" applyBorder="1" applyAlignment="1" applyProtection="1">
      <protection locked="0"/>
    </xf>
    <xf numFmtId="187" fontId="32" fillId="4" borderId="10" xfId="9" applyNumberFormat="1" applyFont="1" applyFill="1" applyBorder="1" applyAlignment="1" applyProtection="1">
      <alignment horizontal="center"/>
      <protection locked="0"/>
    </xf>
    <xf numFmtId="187" fontId="32" fillId="0" borderId="0" xfId="9" applyNumberFormat="1" applyFont="1" applyAlignment="1" applyProtection="1">
      <alignment horizontal="right"/>
      <protection locked="0"/>
    </xf>
    <xf numFmtId="187" fontId="27" fillId="0" borderId="8" xfId="9" quotePrefix="1" applyNumberFormat="1" applyFont="1" applyFill="1" applyBorder="1" applyAlignment="1" applyProtection="1">
      <protection locked="0"/>
    </xf>
    <xf numFmtId="187" fontId="32" fillId="5" borderId="11" xfId="9" applyNumberFormat="1" applyFont="1" applyFill="1" applyBorder="1" applyAlignment="1"/>
    <xf numFmtId="187" fontId="51" fillId="5" borderId="11" xfId="9" applyNumberFormat="1" applyFont="1" applyFill="1" applyBorder="1" applyAlignment="1"/>
    <xf numFmtId="187" fontId="23" fillId="2" borderId="8" xfId="9" quotePrefix="1" applyNumberFormat="1" applyFont="1" applyFill="1" applyBorder="1" applyAlignment="1" applyProtection="1">
      <protection locked="0"/>
    </xf>
    <xf numFmtId="187" fontId="2" fillId="4" borderId="10" xfId="9" applyNumberFormat="1" applyFont="1" applyFill="1" applyBorder="1"/>
    <xf numFmtId="0" fontId="2" fillId="2" borderId="0" xfId="0" applyFont="1" applyFill="1"/>
    <xf numFmtId="9" fontId="2" fillId="0" borderId="0" xfId="0" applyNumberFormat="1" applyFont="1"/>
    <xf numFmtId="9" fontId="0" fillId="0" borderId="0" xfId="0" applyNumberFormat="1"/>
    <xf numFmtId="43" fontId="0" fillId="0" borderId="0" xfId="9" applyFont="1"/>
    <xf numFmtId="43" fontId="2" fillId="2" borderId="0" xfId="9" applyFont="1" applyFill="1" applyAlignment="1">
      <alignment horizontal="left" indent="1"/>
    </xf>
    <xf numFmtId="43" fontId="2" fillId="0" borderId="0" xfId="9" applyFont="1"/>
    <xf numFmtId="43" fontId="2" fillId="2" borderId="0" xfId="9" applyFont="1" applyFill="1"/>
    <xf numFmtId="43" fontId="3" fillId="2" borderId="0" xfId="9" applyFont="1" applyFill="1"/>
    <xf numFmtId="43" fontId="32" fillId="0" borderId="0" xfId="9" applyFont="1"/>
    <xf numFmtId="187" fontId="3" fillId="4" borderId="10" xfId="9" applyNumberFormat="1" applyFont="1" applyFill="1" applyBorder="1" applyAlignment="1">
      <alignment horizontal="right"/>
    </xf>
    <xf numFmtId="43" fontId="32" fillId="0" borderId="0" xfId="9" applyFont="1" applyFill="1" applyBorder="1" applyAlignment="1" applyProtection="1">
      <alignment horizontal="left"/>
      <protection locked="0"/>
    </xf>
    <xf numFmtId="43" fontId="51" fillId="0" borderId="0" xfId="9" applyFont="1"/>
    <xf numFmtId="43" fontId="29" fillId="0" borderId="0" xfId="9" applyFont="1" applyAlignment="1">
      <alignment horizontal="left"/>
    </xf>
    <xf numFmtId="43" fontId="3" fillId="0" borderId="0" xfId="9" applyFont="1"/>
    <xf numFmtId="43" fontId="2" fillId="0" borderId="0" xfId="9" applyFont="1" applyAlignment="1">
      <alignment horizontal="left" indent="1"/>
    </xf>
    <xf numFmtId="43" fontId="32" fillId="0" borderId="0" xfId="9" applyFont="1" applyAlignment="1">
      <alignment horizontal="left" indent="1"/>
    </xf>
    <xf numFmtId="43" fontId="3" fillId="0" borderId="7" xfId="9" applyFont="1" applyBorder="1"/>
    <xf numFmtId="43" fontId="3" fillId="0" borderId="0" xfId="9" applyFont="1" applyBorder="1"/>
    <xf numFmtId="43" fontId="33" fillId="0" borderId="0" xfId="9" applyFont="1" applyFill="1" applyBorder="1" applyProtection="1">
      <protection locked="0"/>
    </xf>
    <xf numFmtId="43" fontId="2" fillId="0" borderId="0" xfId="9" applyFont="1" applyBorder="1" applyAlignment="1">
      <alignment horizontal="left" indent="1"/>
    </xf>
    <xf numFmtId="43" fontId="2" fillId="0" borderId="0" xfId="9" applyFont="1" applyBorder="1" applyAlignment="1">
      <alignment horizontal="left"/>
    </xf>
    <xf numFmtId="43" fontId="32" fillId="0" borderId="7" xfId="9" applyFont="1" applyBorder="1"/>
    <xf numFmtId="43" fontId="2" fillId="0" borderId="0" xfId="9" applyFont="1" applyFill="1" applyBorder="1" applyAlignment="1">
      <alignment horizontal="left" indent="1"/>
    </xf>
    <xf numFmtId="43" fontId="2" fillId="0" borderId="7" xfId="9" applyFont="1" applyBorder="1" applyAlignment="1">
      <alignment horizontal="left"/>
    </xf>
    <xf numFmtId="43" fontId="2" fillId="0" borderId="0" xfId="9" applyFont="1" applyAlignment="1">
      <alignment horizontal="left" indent="2"/>
    </xf>
    <xf numFmtId="43" fontId="2" fillId="0" borderId="7" xfId="9" applyFont="1" applyBorder="1"/>
    <xf numFmtId="43" fontId="33" fillId="0" borderId="0" xfId="9" applyFont="1" applyAlignment="1">
      <alignment horizontal="left" indent="1"/>
    </xf>
    <xf numFmtId="43" fontId="27" fillId="0" borderId="0" xfId="9" applyFont="1"/>
    <xf numFmtId="43" fontId="51" fillId="2" borderId="0" xfId="9" applyFont="1" applyFill="1"/>
    <xf numFmtId="175" fontId="32" fillId="0" borderId="0" xfId="0" applyNumberFormat="1" applyFont="1"/>
    <xf numFmtId="187" fontId="24" fillId="0" borderId="0" xfId="9" applyNumberFormat="1" applyFont="1" applyAlignment="1" applyProtection="1">
      <alignment horizontal="right"/>
      <protection locked="0"/>
    </xf>
    <xf numFmtId="187" fontId="54" fillId="0" borderId="0" xfId="9" applyNumberFormat="1" applyFont="1" applyAlignment="1" applyProtection="1">
      <alignment horizontal="right"/>
      <protection locked="0"/>
    </xf>
    <xf numFmtId="0" fontId="39" fillId="0" borderId="0" xfId="0" applyFont="1"/>
    <xf numFmtId="9" fontId="37" fillId="3" borderId="0" xfId="7" applyNumberFormat="1" applyFont="1" applyFill="1" applyAlignment="1">
      <alignment horizontal="right" vertical="center"/>
    </xf>
    <xf numFmtId="9" fontId="33" fillId="3" borderId="0" xfId="7" applyNumberFormat="1" applyFont="1" applyFill="1" applyAlignment="1">
      <alignment horizontal="right" vertical="center"/>
    </xf>
    <xf numFmtId="43" fontId="43" fillId="0" borderId="0" xfId="9" applyFont="1" applyAlignment="1">
      <alignment horizontal="left" indent="2"/>
    </xf>
    <xf numFmtId="0" fontId="30" fillId="0" borderId="0" xfId="7" applyFont="1" applyAlignment="1">
      <alignment vertical="center"/>
    </xf>
    <xf numFmtId="187" fontId="32" fillId="5" borderId="10" xfId="1" applyNumberFormat="1" applyFont="1" applyFill="1" applyBorder="1" applyAlignment="1">
      <alignment horizontal="right"/>
    </xf>
    <xf numFmtId="43" fontId="29" fillId="2" borderId="0" xfId="9" applyFont="1" applyFill="1" applyAlignment="1">
      <alignment horizontal="left"/>
    </xf>
    <xf numFmtId="39" fontId="44" fillId="2" borderId="0" xfId="8" applyNumberFormat="1" applyFont="1" applyFill="1">
      <protection locked="0"/>
    </xf>
    <xf numFmtId="0" fontId="29" fillId="6" borderId="0" xfId="0" applyFont="1" applyFill="1"/>
    <xf numFmtId="0" fontId="3" fillId="2" borderId="0" xfId="0" applyFont="1" applyFill="1"/>
    <xf numFmtId="187" fontId="27" fillId="5" borderId="11" xfId="9" applyNumberFormat="1" applyFont="1" applyFill="1" applyBorder="1" applyAlignment="1"/>
    <xf numFmtId="43" fontId="4" fillId="0" borderId="0" xfId="9" applyFont="1"/>
    <xf numFmtId="175" fontId="32" fillId="0" borderId="0" xfId="1" quotePrefix="1" applyNumberFormat="1" applyFont="1" applyFill="1" applyBorder="1" applyAlignment="1" applyProtection="1">
      <alignment horizontal="right"/>
      <protection locked="0"/>
    </xf>
    <xf numFmtId="187" fontId="32" fillId="4" borderId="10" xfId="9" applyNumberFormat="1" applyFont="1" applyFill="1" applyBorder="1"/>
    <xf numFmtId="175" fontId="32" fillId="0" borderId="0" xfId="1" applyNumberFormat="1" applyFont="1" applyFill="1" applyBorder="1" applyAlignment="1" applyProtection="1">
      <alignment horizontal="right"/>
      <protection locked="0"/>
    </xf>
    <xf numFmtId="187" fontId="3" fillId="0" borderId="0" xfId="9" applyNumberFormat="1" applyFont="1" applyFill="1" applyBorder="1"/>
    <xf numFmtId="187" fontId="27" fillId="0" borderId="8" xfId="9" applyNumberFormat="1" applyFont="1" applyFill="1" applyBorder="1"/>
    <xf numFmtId="187" fontId="24" fillId="0" borderId="0" xfId="9" quotePrefix="1" applyNumberFormat="1" applyFont="1" applyFill="1" applyBorder="1" applyAlignment="1" applyProtection="1">
      <alignment horizontal="center"/>
      <protection locked="0"/>
    </xf>
    <xf numFmtId="169" fontId="22" fillId="2" borderId="0" xfId="8" applyNumberFormat="1" applyFont="1" applyFill="1" applyAlignment="1">
      <alignment horizontal="center"/>
      <protection locked="0"/>
    </xf>
    <xf numFmtId="187" fontId="22" fillId="0" borderId="0" xfId="9" applyNumberFormat="1" applyFont="1" applyAlignment="1" applyProtection="1">
      <alignment horizontal="center"/>
      <protection locked="0"/>
    </xf>
    <xf numFmtId="187" fontId="22" fillId="4" borderId="10" xfId="9" applyNumberFormat="1" applyFont="1" applyFill="1" applyBorder="1" applyAlignment="1" applyProtection="1">
      <alignment horizontal="center"/>
      <protection locked="0"/>
    </xf>
    <xf numFmtId="187" fontId="54" fillId="4" borderId="10" xfId="9" applyNumberFormat="1" applyFont="1" applyFill="1" applyBorder="1"/>
    <xf numFmtId="167" fontId="26" fillId="2" borderId="0" xfId="7" applyNumberFormat="1" applyFont="1" applyFill="1" applyAlignment="1">
      <alignment horizontal="centerContinuous" vertical="top"/>
    </xf>
    <xf numFmtId="0" fontId="22" fillId="2" borderId="0" xfId="8" applyFont="1" applyFill="1" applyAlignment="1">
      <alignment horizontal="center"/>
      <protection locked="0"/>
    </xf>
    <xf numFmtId="169" fontId="29" fillId="2" borderId="0" xfId="8" applyNumberFormat="1" applyFont="1" applyFill="1" applyAlignment="1">
      <alignment horizontal="center"/>
      <protection locked="0"/>
    </xf>
    <xf numFmtId="187" fontId="54" fillId="0" borderId="0" xfId="9" applyNumberFormat="1" applyFont="1" applyAlignment="1" applyProtection="1">
      <alignment horizontal="center"/>
      <protection locked="0"/>
    </xf>
    <xf numFmtId="187" fontId="24" fillId="0" borderId="0" xfId="9" applyNumberFormat="1" applyFont="1" applyProtection="1">
      <protection locked="0"/>
    </xf>
    <xf numFmtId="187" fontId="54" fillId="4" borderId="10" xfId="9" applyNumberFormat="1" applyFont="1" applyFill="1" applyBorder="1" applyAlignment="1" applyProtection="1">
      <alignment horizontal="center"/>
      <protection locked="0"/>
    </xf>
    <xf numFmtId="43" fontId="52" fillId="0" borderId="0" xfId="9" applyFont="1" applyFill="1" applyBorder="1" applyAlignment="1" applyProtection="1">
      <alignment horizontal="left" indent="2"/>
      <protection locked="0"/>
    </xf>
    <xf numFmtId="43" fontId="30" fillId="0" borderId="0" xfId="9" applyFont="1"/>
    <xf numFmtId="9" fontId="52" fillId="0" borderId="0" xfId="9" applyNumberFormat="1" applyFont="1"/>
    <xf numFmtId="187" fontId="52" fillId="0" borderId="0" xfId="9" applyNumberFormat="1" applyFont="1" applyFill="1" applyBorder="1" applyAlignment="1" applyProtection="1">
      <alignment horizontal="right"/>
      <protection locked="0"/>
    </xf>
    <xf numFmtId="187" fontId="52" fillId="5" borderId="10" xfId="9" applyNumberFormat="1" applyFont="1" applyFill="1" applyBorder="1" applyAlignment="1">
      <alignment horizontal="right"/>
    </xf>
    <xf numFmtId="175" fontId="23" fillId="0" borderId="0" xfId="1" applyNumberFormat="1" applyFont="1" applyFill="1" applyBorder="1" applyAlignment="1" applyProtection="1">
      <alignment horizontal="right"/>
      <protection locked="0"/>
    </xf>
    <xf numFmtId="187" fontId="55" fillId="0" borderId="0" xfId="9" applyNumberFormat="1" applyFont="1"/>
    <xf numFmtId="37" fontId="27" fillId="0" borderId="0" xfId="0" applyNumberFormat="1" applyFont="1"/>
    <xf numFmtId="43" fontId="27" fillId="0" borderId="7" xfId="9" applyFont="1" applyBorder="1"/>
    <xf numFmtId="187" fontId="27" fillId="0" borderId="8" xfId="9" applyNumberFormat="1" applyFont="1" applyFill="1" applyBorder="1" applyAlignment="1" applyProtection="1">
      <protection locked="0"/>
    </xf>
    <xf numFmtId="187" fontId="27" fillId="4" borderId="11" xfId="9" applyNumberFormat="1" applyFont="1" applyFill="1" applyBorder="1"/>
    <xf numFmtId="175" fontId="51" fillId="0" borderId="0" xfId="0" applyNumberFormat="1" applyFont="1"/>
    <xf numFmtId="43" fontId="27" fillId="0" borderId="7" xfId="9" applyFont="1" applyFill="1" applyBorder="1" applyAlignment="1" applyProtection="1">
      <alignment horizontal="left"/>
      <protection locked="0"/>
    </xf>
    <xf numFmtId="7" fontId="29" fillId="0" borderId="8" xfId="1" applyNumberFormat="1" applyFont="1" applyFill="1" applyBorder="1" applyAlignment="1" applyProtection="1">
      <alignment horizontal="right"/>
      <protection locked="0"/>
    </xf>
    <xf numFmtId="7" fontId="3" fillId="4" borderId="11" xfId="1" applyNumberFormat="1" applyFont="1" applyFill="1" applyBorder="1" applyAlignment="1">
      <alignment horizontal="right"/>
    </xf>
    <xf numFmtId="175" fontId="4" fillId="0" borderId="0" xfId="1" applyNumberFormat="1" applyFont="1"/>
    <xf numFmtId="175" fontId="32" fillId="5" borderId="10" xfId="1" applyNumberFormat="1" applyFont="1" applyFill="1" applyBorder="1" applyAlignment="1">
      <alignment horizontal="right"/>
    </xf>
    <xf numFmtId="175" fontId="51" fillId="0" borderId="0" xfId="1" applyNumberFormat="1" applyFont="1"/>
    <xf numFmtId="175" fontId="33" fillId="0" borderId="0" xfId="1" applyNumberFormat="1" applyFont="1" applyFill="1" applyBorder="1" applyAlignment="1" applyProtection="1">
      <alignment horizontal="left" indent="1"/>
      <protection locked="0"/>
    </xf>
    <xf numFmtId="175" fontId="33" fillId="0" borderId="0" xfId="1" applyNumberFormat="1" applyFont="1" applyAlignment="1">
      <alignment horizontal="right" vertical="center"/>
    </xf>
    <xf numFmtId="175" fontId="36" fillId="3" borderId="0" xfId="1" applyNumberFormat="1" applyFont="1" applyFill="1" applyAlignment="1">
      <alignment horizontal="right" vertical="center"/>
    </xf>
    <xf numFmtId="175" fontId="33" fillId="3" borderId="0" xfId="1" applyNumberFormat="1" applyFont="1" applyFill="1" applyAlignment="1">
      <alignment horizontal="right" vertical="center"/>
    </xf>
    <xf numFmtId="175" fontId="33" fillId="0" borderId="0" xfId="1" applyNumberFormat="1" applyFont="1" applyAlignment="1">
      <alignment vertical="center"/>
    </xf>
    <xf numFmtId="175" fontId="61" fillId="0" borderId="0" xfId="1" quotePrefix="1" applyNumberFormat="1" applyFont="1" applyFill="1" applyBorder="1" applyAlignment="1" applyProtection="1">
      <alignment horizontal="right"/>
      <protection locked="0"/>
    </xf>
    <xf numFmtId="175" fontId="61" fillId="0" borderId="0" xfId="1" applyNumberFormat="1" applyFont="1" applyFill="1" applyBorder="1" applyAlignment="1" applyProtection="1">
      <alignment horizontal="right"/>
      <protection locked="0"/>
    </xf>
    <xf numFmtId="175" fontId="61" fillId="5" borderId="10" xfId="1" applyNumberFormat="1" applyFont="1" applyFill="1" applyBorder="1" applyAlignment="1">
      <alignment horizontal="right"/>
    </xf>
    <xf numFmtId="39" fontId="61" fillId="0" borderId="0" xfId="1" quotePrefix="1" applyNumberFormat="1" applyFont="1" applyFill="1" applyBorder="1" applyAlignment="1" applyProtection="1">
      <protection locked="0"/>
    </xf>
    <xf numFmtId="39" fontId="61" fillId="5" borderId="10" xfId="0" applyNumberFormat="1" applyFont="1" applyFill="1" applyBorder="1" applyAlignment="1">
      <alignment horizontal="right"/>
    </xf>
    <xf numFmtId="0" fontId="27" fillId="2" borderId="7" xfId="7" applyFont="1" applyFill="1" applyBorder="1" applyAlignment="1">
      <alignment horizontal="left" vertical="center" indent="1"/>
    </xf>
    <xf numFmtId="175" fontId="32" fillId="4" borderId="10" xfId="1" applyNumberFormat="1" applyFont="1" applyFill="1" applyBorder="1" applyAlignment="1">
      <alignment horizontal="right"/>
    </xf>
    <xf numFmtId="43" fontId="2" fillId="2" borderId="7" xfId="9" applyFont="1" applyFill="1" applyBorder="1"/>
    <xf numFmtId="43" fontId="4" fillId="2" borderId="0" xfId="9" applyFont="1" applyFill="1"/>
    <xf numFmtId="175" fontId="51" fillId="0" borderId="0" xfId="1" applyNumberFormat="1" applyFont="1" applyFill="1" applyBorder="1" applyAlignment="1" applyProtection="1">
      <alignment horizontal="right"/>
      <protection locked="0"/>
    </xf>
    <xf numFmtId="175" fontId="51" fillId="5" borderId="10" xfId="1" applyNumberFormat="1" applyFont="1" applyFill="1" applyBorder="1"/>
    <xf numFmtId="175" fontId="24" fillId="0" borderId="0" xfId="1" applyNumberFormat="1" applyFont="1" applyFill="1" applyBorder="1" applyAlignment="1" applyProtection="1">
      <alignment horizontal="right"/>
      <protection locked="0"/>
    </xf>
    <xf numFmtId="43" fontId="29" fillId="0" borderId="7" xfId="9" applyFont="1" applyBorder="1"/>
    <xf numFmtId="189" fontId="3" fillId="4" borderId="11" xfId="9" applyNumberFormat="1" applyFont="1" applyFill="1" applyBorder="1" applyAlignment="1">
      <alignment horizontal="right"/>
    </xf>
    <xf numFmtId="189" fontId="51" fillId="0" borderId="0" xfId="9" applyNumberFormat="1" applyFont="1"/>
    <xf numFmtId="7" fontId="29" fillId="2" borderId="8" xfId="1" applyNumberFormat="1" applyFont="1" applyFill="1" applyBorder="1" applyAlignment="1" applyProtection="1">
      <alignment horizontal="right"/>
      <protection locked="0"/>
    </xf>
    <xf numFmtId="185" fontId="32" fillId="0" borderId="0" xfId="1" applyNumberFormat="1" applyFont="1" applyFill="1" applyBorder="1" applyAlignment="1" applyProtection="1">
      <alignment horizontal="right"/>
      <protection locked="0"/>
    </xf>
    <xf numFmtId="185" fontId="43" fillId="0" borderId="0" xfId="0" applyNumberFormat="1" applyFont="1" applyAlignment="1">
      <alignment horizontal="right"/>
    </xf>
    <xf numFmtId="185" fontId="2" fillId="0" borderId="0" xfId="0" applyNumberFormat="1" applyFont="1"/>
    <xf numFmtId="43" fontId="22" fillId="0" borderId="0" xfId="9" applyFont="1" applyProtection="1">
      <protection locked="0"/>
    </xf>
    <xf numFmtId="43" fontId="51" fillId="0" borderId="7" xfId="9" applyFont="1" applyBorder="1"/>
    <xf numFmtId="43" fontId="52" fillId="2" borderId="0" xfId="9" applyFont="1" applyFill="1" applyBorder="1" applyAlignment="1" applyProtection="1">
      <alignment horizontal="left"/>
      <protection locked="0"/>
    </xf>
    <xf numFmtId="43" fontId="36" fillId="0" borderId="0" xfId="9" applyFont="1" applyFill="1" applyBorder="1" applyProtection="1">
      <protection locked="0"/>
    </xf>
    <xf numFmtId="43" fontId="51" fillId="0" borderId="0" xfId="9" applyFont="1" applyFill="1" applyBorder="1" applyAlignment="1" applyProtection="1">
      <alignment horizontal="left" indent="2"/>
      <protection locked="0"/>
    </xf>
    <xf numFmtId="185" fontId="43" fillId="0" borderId="0" xfId="1" applyNumberFormat="1" applyFont="1" applyFill="1" applyBorder="1" applyAlignment="1">
      <alignment horizontal="right"/>
    </xf>
    <xf numFmtId="43" fontId="39" fillId="0" borderId="0" xfId="9" applyFont="1"/>
    <xf numFmtId="187" fontId="31" fillId="0" borderId="0" xfId="9" applyNumberFormat="1" applyFont="1" applyProtection="1">
      <protection locked="0"/>
    </xf>
    <xf numFmtId="187" fontId="43" fillId="4" borderId="10" xfId="9" applyNumberFormat="1" applyFont="1" applyFill="1" applyBorder="1"/>
    <xf numFmtId="43" fontId="2" fillId="0" borderId="0" xfId="9" applyFont="1" applyAlignment="1">
      <alignment horizontal="left"/>
    </xf>
    <xf numFmtId="43" fontId="43" fillId="0" borderId="0" xfId="9" applyFont="1" applyAlignment="1">
      <alignment horizontal="left" indent="1"/>
    </xf>
    <xf numFmtId="189" fontId="51" fillId="0" borderId="0" xfId="0" applyNumberFormat="1" applyFont="1"/>
    <xf numFmtId="187" fontId="27" fillId="2" borderId="8" xfId="9" quotePrefix="1" applyNumberFormat="1" applyFont="1" applyFill="1" applyBorder="1" applyAlignment="1" applyProtection="1">
      <protection locked="0"/>
    </xf>
    <xf numFmtId="175" fontId="61" fillId="2" borderId="0" xfId="1" quotePrefix="1" applyNumberFormat="1" applyFont="1" applyFill="1" applyBorder="1" applyAlignment="1" applyProtection="1">
      <alignment horizontal="right"/>
      <protection locked="0"/>
    </xf>
    <xf numFmtId="175" fontId="61" fillId="2" borderId="0" xfId="1" applyNumberFormat="1" applyFont="1" applyFill="1" applyBorder="1" applyAlignment="1" applyProtection="1">
      <alignment horizontal="right"/>
      <protection locked="0"/>
    </xf>
    <xf numFmtId="43" fontId="29" fillId="0" borderId="0" xfId="9" applyFont="1" applyFill="1" applyBorder="1" applyAlignment="1" applyProtection="1">
      <alignment horizontal="left"/>
      <protection locked="0"/>
    </xf>
    <xf numFmtId="187" fontId="32" fillId="2" borderId="8" xfId="9" quotePrefix="1" applyNumberFormat="1" applyFont="1" applyFill="1" applyBorder="1" applyAlignment="1" applyProtection="1">
      <protection locked="0"/>
    </xf>
    <xf numFmtId="187" fontId="27" fillId="0" borderId="0" xfId="9" applyNumberFormat="1" applyFont="1"/>
    <xf numFmtId="189" fontId="32" fillId="2" borderId="8" xfId="9" quotePrefix="1" applyNumberFormat="1" applyFont="1" applyFill="1" applyBorder="1" applyAlignment="1" applyProtection="1">
      <protection locked="0"/>
    </xf>
    <xf numFmtId="189" fontId="32" fillId="5" borderId="11" xfId="9" applyNumberFormat="1" applyFont="1" applyFill="1" applyBorder="1" applyAlignment="1"/>
    <xf numFmtId="187" fontId="23" fillId="5" borderId="11" xfId="9" applyNumberFormat="1" applyFont="1" applyFill="1" applyBorder="1" applyAlignment="1"/>
    <xf numFmtId="187" fontId="44" fillId="0" borderId="0" xfId="9" applyNumberFormat="1" applyFont="1" applyFill="1" applyBorder="1" applyProtection="1">
      <protection locked="0"/>
    </xf>
    <xf numFmtId="187" fontId="42" fillId="4" borderId="10" xfId="9" applyNumberFormat="1" applyFont="1" applyFill="1" applyBorder="1" applyAlignment="1">
      <alignment horizontal="right"/>
    </xf>
    <xf numFmtId="187" fontId="54" fillId="0" borderId="0" xfId="9" applyNumberFormat="1" applyFont="1" applyFill="1" applyBorder="1" applyProtection="1">
      <protection locked="0"/>
    </xf>
    <xf numFmtId="43" fontId="23" fillId="0" borderId="0" xfId="9" applyFont="1" applyFill="1" applyBorder="1" applyProtection="1">
      <protection locked="0"/>
    </xf>
    <xf numFmtId="43" fontId="23" fillId="4" borderId="10" xfId="9" applyFont="1" applyFill="1" applyBorder="1" applyProtection="1">
      <protection locked="0"/>
    </xf>
    <xf numFmtId="187" fontId="32" fillId="0" borderId="0" xfId="9" applyNumberFormat="1" applyFont="1" applyFill="1" applyBorder="1" applyProtection="1">
      <protection locked="0"/>
    </xf>
    <xf numFmtId="187" fontId="32" fillId="4" borderId="10" xfId="9" applyNumberFormat="1" applyFont="1" applyFill="1" applyBorder="1" applyProtection="1">
      <protection locked="0"/>
    </xf>
    <xf numFmtId="187" fontId="44" fillId="0" borderId="0" xfId="9" quotePrefix="1" applyNumberFormat="1" applyFont="1" applyFill="1" applyBorder="1" applyAlignment="1" applyProtection="1">
      <protection locked="0"/>
    </xf>
    <xf numFmtId="187" fontId="44" fillId="0" borderId="0" xfId="9" applyNumberFormat="1" applyFont="1" applyFill="1" applyBorder="1" applyAlignment="1" applyProtection="1">
      <protection locked="0"/>
    </xf>
    <xf numFmtId="187" fontId="44" fillId="4" borderId="10" xfId="9" applyNumberFormat="1" applyFont="1" applyFill="1" applyBorder="1" applyAlignment="1"/>
    <xf numFmtId="187" fontId="54" fillId="0" borderId="0" xfId="9" quotePrefix="1" applyNumberFormat="1" applyFont="1" applyFill="1" applyBorder="1" applyAlignment="1" applyProtection="1">
      <protection locked="0"/>
    </xf>
    <xf numFmtId="187" fontId="54" fillId="0" borderId="0" xfId="9" applyNumberFormat="1" applyFont="1" applyFill="1" applyBorder="1" applyAlignment="1" applyProtection="1">
      <protection locked="0"/>
    </xf>
    <xf numFmtId="187" fontId="54" fillId="4" borderId="10" xfId="9" applyNumberFormat="1" applyFont="1" applyFill="1" applyBorder="1" applyAlignment="1"/>
    <xf numFmtId="173" fontId="23" fillId="0" borderId="8" xfId="8" applyNumberFormat="1" applyFont="1" applyBorder="1">
      <protection locked="0"/>
    </xf>
    <xf numFmtId="9" fontId="23" fillId="0" borderId="8" xfId="1" applyFont="1" applyFill="1" applyBorder="1" applyAlignment="1" applyProtection="1">
      <alignment horizontal="right"/>
      <protection locked="0"/>
    </xf>
    <xf numFmtId="187" fontId="54" fillId="4" borderId="11" xfId="9" applyNumberFormat="1" applyFont="1" applyFill="1" applyBorder="1"/>
    <xf numFmtId="187" fontId="32" fillId="5" borderId="10" xfId="1" applyNumberFormat="1" applyFont="1" applyFill="1" applyBorder="1"/>
    <xf numFmtId="9" fontId="43" fillId="0" borderId="0" xfId="9" applyNumberFormat="1" applyFont="1" applyAlignment="1">
      <alignment horizontal="left" indent="2"/>
    </xf>
    <xf numFmtId="9" fontId="33" fillId="0" borderId="0" xfId="1" applyFont="1" applyFill="1" applyBorder="1" applyAlignment="1">
      <alignment horizontal="right"/>
    </xf>
    <xf numFmtId="9" fontId="43" fillId="4" borderId="10" xfId="1" applyFont="1" applyFill="1" applyBorder="1" applyAlignment="1">
      <alignment horizontal="right"/>
    </xf>
    <xf numFmtId="9" fontId="43" fillId="0" borderId="0" xfId="0" applyNumberFormat="1" applyFont="1"/>
    <xf numFmtId="187" fontId="44" fillId="0" borderId="8" xfId="9" quotePrefix="1" applyNumberFormat="1" applyFont="1" applyFill="1" applyBorder="1" applyAlignment="1" applyProtection="1">
      <protection locked="0"/>
    </xf>
    <xf numFmtId="187" fontId="44" fillId="0" borderId="8" xfId="9" applyNumberFormat="1" applyFont="1" applyFill="1" applyBorder="1" applyAlignment="1" applyProtection="1">
      <protection locked="0"/>
    </xf>
    <xf numFmtId="187" fontId="44" fillId="4" borderId="11" xfId="9" applyNumberFormat="1" applyFont="1" applyFill="1" applyBorder="1" applyAlignment="1"/>
    <xf numFmtId="187" fontId="3" fillId="2" borderId="0" xfId="9" applyNumberFormat="1" applyFont="1" applyFill="1" applyBorder="1"/>
    <xf numFmtId="9" fontId="23" fillId="5" borderId="10" xfId="1" applyFont="1" applyFill="1" applyBorder="1"/>
    <xf numFmtId="0" fontId="0" fillId="2" borderId="0" xfId="0" applyFill="1"/>
    <xf numFmtId="43" fontId="29" fillId="0" borderId="0" xfId="9" applyFont="1"/>
    <xf numFmtId="14" fontId="3" fillId="0" borderId="0" xfId="0" applyNumberFormat="1" applyFont="1"/>
    <xf numFmtId="14" fontId="3" fillId="0" borderId="0" xfId="0" applyNumberFormat="1" applyFont="1" applyAlignment="1">
      <alignment horizontal="left"/>
    </xf>
    <xf numFmtId="0" fontId="5" fillId="0" borderId="0" xfId="2"/>
    <xf numFmtId="164" fontId="5" fillId="2" borderId="0" xfId="3" applyFont="1" applyFill="1" applyAlignment="1" applyProtection="1"/>
    <xf numFmtId="0" fontId="0" fillId="0" borderId="0" xfId="0" applyAlignment="1">
      <alignment horizontal="left" indent="1"/>
    </xf>
    <xf numFmtId="43" fontId="32" fillId="0" borderId="8" xfId="9" quotePrefix="1" applyFont="1" applyFill="1" applyBorder="1" applyAlignment="1" applyProtection="1">
      <protection locked="0"/>
    </xf>
    <xf numFmtId="43" fontId="32" fillId="4" borderId="11" xfId="9" applyFont="1" applyFill="1" applyBorder="1" applyAlignment="1"/>
    <xf numFmtId="43" fontId="31" fillId="0" borderId="0" xfId="9" applyFont="1" applyFill="1" applyBorder="1" applyAlignment="1" applyProtection="1">
      <alignment horizontal="left" indent="1"/>
      <protection locked="0"/>
    </xf>
    <xf numFmtId="187" fontId="42" fillId="0" borderId="0" xfId="9" applyNumberFormat="1" applyFont="1" applyFill="1" applyBorder="1" applyAlignment="1" applyProtection="1">
      <alignment horizontal="right"/>
      <protection locked="0"/>
    </xf>
    <xf numFmtId="187" fontId="42" fillId="4" borderId="10" xfId="9" applyNumberFormat="1" applyFont="1" applyFill="1" applyBorder="1"/>
    <xf numFmtId="187" fontId="42" fillId="0" borderId="0" xfId="9" quotePrefix="1" applyNumberFormat="1" applyFont="1" applyFill="1" applyBorder="1" applyAlignment="1" applyProtection="1">
      <alignment horizontal="right"/>
      <protection locked="0"/>
    </xf>
    <xf numFmtId="43" fontId="31" fillId="0" borderId="0" xfId="9" applyFont="1" applyFill="1" applyBorder="1" applyAlignment="1" applyProtection="1">
      <alignment horizontal="left" indent="2"/>
      <protection locked="0"/>
    </xf>
    <xf numFmtId="9" fontId="32" fillId="4" borderId="11" xfId="9" applyNumberFormat="1" applyFont="1" applyFill="1" applyBorder="1" applyAlignment="1"/>
    <xf numFmtId="9" fontId="32" fillId="0" borderId="8" xfId="9" quotePrefix="1" applyNumberFormat="1" applyFont="1" applyFill="1" applyBorder="1" applyAlignment="1" applyProtection="1">
      <protection locked="0"/>
    </xf>
    <xf numFmtId="9" fontId="42" fillId="4" borderId="10" xfId="1" applyFont="1" applyFill="1" applyBorder="1"/>
    <xf numFmtId="9" fontId="42" fillId="0" borderId="0" xfId="1" quotePrefix="1" applyFont="1" applyFill="1" applyBorder="1" applyAlignment="1" applyProtection="1">
      <alignment horizontal="right"/>
      <protection locked="0"/>
    </xf>
    <xf numFmtId="9" fontId="42" fillId="0" borderId="0" xfId="1" applyFont="1" applyFill="1" applyBorder="1" applyAlignment="1" applyProtection="1">
      <alignment horizontal="right"/>
      <protection locked="0"/>
    </xf>
    <xf numFmtId="0" fontId="2" fillId="7" borderId="12" xfId="0" applyFont="1" applyFill="1" applyBorder="1"/>
    <xf numFmtId="189" fontId="23" fillId="0" borderId="0" xfId="9" applyNumberFormat="1" applyFont="1" applyProtection="1">
      <protection locked="0"/>
    </xf>
    <xf numFmtId="189" fontId="23" fillId="4" borderId="10" xfId="9" applyNumberFormat="1" applyFont="1" applyFill="1" applyBorder="1" applyAlignment="1">
      <alignment horizontal="right"/>
    </xf>
    <xf numFmtId="9" fontId="23" fillId="2" borderId="0" xfId="1" applyFont="1" applyFill="1" applyBorder="1" applyAlignment="1" applyProtection="1">
      <alignment horizontal="right"/>
      <protection locked="0"/>
    </xf>
    <xf numFmtId="9" fontId="23" fillId="2" borderId="0" xfId="1" quotePrefix="1" applyFont="1" applyFill="1" applyBorder="1" applyAlignment="1" applyProtection="1">
      <alignment horizontal="right"/>
      <protection locked="0"/>
    </xf>
    <xf numFmtId="187" fontId="51" fillId="2" borderId="0" xfId="9" applyNumberFormat="1" applyFont="1" applyFill="1" applyAlignment="1" applyProtection="1">
      <alignment horizontal="right"/>
      <protection locked="0"/>
    </xf>
    <xf numFmtId="187" fontId="51" fillId="2" borderId="0" xfId="8" applyNumberFormat="1" applyFont="1" applyFill="1" applyAlignment="1">
      <alignment horizontal="right"/>
      <protection locked="0"/>
    </xf>
    <xf numFmtId="189" fontId="4" fillId="0" borderId="0" xfId="9" applyNumberFormat="1" applyFont="1"/>
    <xf numFmtId="189" fontId="23" fillId="0" borderId="0" xfId="9" applyNumberFormat="1" applyFont="1" applyAlignment="1" applyProtection="1">
      <alignment horizontal="right"/>
      <protection locked="0"/>
    </xf>
    <xf numFmtId="189" fontId="2" fillId="4" borderId="10" xfId="9" applyNumberFormat="1" applyFont="1" applyFill="1" applyBorder="1" applyAlignment="1">
      <alignment horizontal="right"/>
    </xf>
    <xf numFmtId="189" fontId="2" fillId="0" borderId="0" xfId="9" applyNumberFormat="1" applyFont="1"/>
    <xf numFmtId="189" fontId="32" fillId="0" borderId="0" xfId="9" applyNumberFormat="1" applyFont="1" applyProtection="1">
      <protection locked="0"/>
    </xf>
    <xf numFmtId="189" fontId="32" fillId="0" borderId="0" xfId="9" applyNumberFormat="1" applyFont="1" applyAlignment="1" applyProtection="1">
      <alignment horizontal="right"/>
      <protection locked="0"/>
    </xf>
    <xf numFmtId="189" fontId="32" fillId="5" borderId="10" xfId="9" applyNumberFormat="1" applyFont="1" applyFill="1" applyBorder="1" applyAlignment="1">
      <alignment horizontal="right"/>
    </xf>
    <xf numFmtId="189" fontId="54" fillId="4" borderId="10" xfId="9" applyNumberFormat="1" applyFont="1" applyFill="1" applyBorder="1" applyAlignment="1">
      <alignment horizontal="right"/>
    </xf>
    <xf numFmtId="189" fontId="51" fillId="0" borderId="0" xfId="9" applyNumberFormat="1" applyFont="1" applyAlignment="1">
      <alignment horizontal="left" indent="1"/>
    </xf>
    <xf numFmtId="189" fontId="23" fillId="0" borderId="0" xfId="8" applyNumberFormat="1" applyFont="1">
      <protection locked="0"/>
    </xf>
    <xf numFmtId="189" fontId="23" fillId="0" borderId="0" xfId="8" applyNumberFormat="1" applyFont="1" applyAlignment="1">
      <alignment horizontal="right"/>
      <protection locked="0"/>
    </xf>
    <xf numFmtId="189" fontId="0" fillId="4" borderId="12" xfId="0" applyNumberFormat="1" applyFill="1" applyBorder="1"/>
    <xf numFmtId="189" fontId="54" fillId="0" borderId="0" xfId="8" applyNumberFormat="1" applyFont="1">
      <protection locked="0"/>
    </xf>
    <xf numFmtId="189" fontId="2" fillId="4" borderId="10" xfId="9" applyNumberFormat="1" applyFont="1" applyFill="1" applyBorder="1"/>
    <xf numFmtId="189" fontId="54" fillId="0" borderId="0" xfId="9" applyNumberFormat="1" applyFont="1" applyProtection="1">
      <protection locked="0"/>
    </xf>
    <xf numFmtId="189" fontId="29" fillId="5" borderId="11" xfId="9" applyNumberFormat="1" applyFont="1" applyFill="1" applyBorder="1" applyAlignment="1"/>
    <xf numFmtId="189" fontId="51" fillId="5" borderId="11" xfId="9" applyNumberFormat="1" applyFont="1" applyFill="1" applyBorder="1" applyAlignment="1"/>
    <xf numFmtId="185" fontId="51" fillId="0" borderId="0" xfId="9" applyNumberFormat="1" applyFont="1"/>
    <xf numFmtId="185" fontId="23" fillId="0" borderId="0" xfId="1" applyNumberFormat="1" applyFont="1" applyFill="1" applyBorder="1" applyAlignment="1" applyProtection="1">
      <alignment horizontal="right"/>
      <protection locked="0"/>
    </xf>
    <xf numFmtId="185" fontId="32" fillId="4" borderId="10" xfId="1" applyNumberFormat="1" applyFont="1" applyFill="1" applyBorder="1" applyAlignment="1">
      <alignment horizontal="right"/>
    </xf>
    <xf numFmtId="185" fontId="23" fillId="4" borderId="10" xfId="1" applyNumberFormat="1" applyFont="1" applyFill="1" applyBorder="1" applyAlignment="1">
      <alignment horizontal="right"/>
    </xf>
    <xf numFmtId="185" fontId="54" fillId="0" borderId="0" xfId="1" applyNumberFormat="1" applyFont="1" applyFill="1" applyBorder="1" applyAlignment="1" applyProtection="1">
      <alignment horizontal="right"/>
      <protection locked="0"/>
    </xf>
    <xf numFmtId="185" fontId="54" fillId="5" borderId="10" xfId="1" applyNumberFormat="1" applyFont="1" applyFill="1" applyBorder="1" applyAlignment="1">
      <alignment horizontal="right"/>
    </xf>
    <xf numFmtId="185" fontId="51" fillId="0" borderId="0" xfId="0" applyNumberFormat="1" applyFont="1"/>
    <xf numFmtId="185" fontId="22" fillId="0" borderId="8" xfId="9" applyNumberFormat="1" applyFont="1" applyBorder="1" applyAlignment="1" applyProtection="1">
      <alignment horizontal="right"/>
      <protection locked="0"/>
    </xf>
    <xf numFmtId="185" fontId="3" fillId="4" borderId="11" xfId="9" applyNumberFormat="1" applyFont="1" applyFill="1" applyBorder="1" applyAlignment="1">
      <alignment horizontal="right"/>
    </xf>
    <xf numFmtId="185" fontId="27" fillId="0" borderId="8" xfId="9" quotePrefix="1" applyNumberFormat="1" applyFont="1" applyFill="1" applyBorder="1" applyAlignment="1" applyProtection="1">
      <protection locked="0"/>
    </xf>
    <xf numFmtId="185" fontId="27" fillId="4" borderId="11" xfId="9" applyNumberFormat="1" applyFont="1" applyFill="1" applyBorder="1" applyAlignment="1"/>
    <xf numFmtId="185" fontId="32" fillId="0" borderId="0" xfId="1" quotePrefix="1" applyNumberFormat="1" applyFont="1" applyFill="1" applyBorder="1" applyAlignment="1" applyProtection="1">
      <alignment horizontal="right"/>
      <protection locked="0"/>
    </xf>
    <xf numFmtId="185" fontId="32" fillId="5" borderId="10" xfId="1" applyNumberFormat="1" applyFont="1" applyFill="1" applyBorder="1" applyAlignment="1">
      <alignment horizontal="right"/>
    </xf>
    <xf numFmtId="185" fontId="32" fillId="2" borderId="0" xfId="1" quotePrefix="1" applyNumberFormat="1" applyFont="1" applyFill="1" applyBorder="1" applyAlignment="1" applyProtection="1">
      <alignment horizontal="right"/>
      <protection locked="0"/>
    </xf>
    <xf numFmtId="185" fontId="32" fillId="2" borderId="0" xfId="1" applyNumberFormat="1" applyFont="1" applyFill="1" applyBorder="1" applyAlignment="1" applyProtection="1">
      <alignment horizontal="right"/>
      <protection locked="0"/>
    </xf>
    <xf numFmtId="185" fontId="32" fillId="0" borderId="0" xfId="0" applyNumberFormat="1" applyFont="1"/>
    <xf numFmtId="185" fontId="29" fillId="0" borderId="0" xfId="9" applyNumberFormat="1" applyFont="1"/>
    <xf numFmtId="189" fontId="0" fillId="0" borderId="0" xfId="9" applyNumberFormat="1" applyFont="1"/>
    <xf numFmtId="189" fontId="32" fillId="0" borderId="0" xfId="9" applyNumberFormat="1" applyFont="1" applyAlignment="1">
      <alignment horizontal="left" indent="1"/>
    </xf>
    <xf numFmtId="189" fontId="32" fillId="4" borderId="10" xfId="9" applyNumberFormat="1" applyFont="1" applyFill="1" applyBorder="1"/>
    <xf numFmtId="189" fontId="23" fillId="0" borderId="0" xfId="9" quotePrefix="1" applyNumberFormat="1" applyFont="1" applyFill="1" applyBorder="1" applyAlignment="1" applyProtection="1">
      <alignment horizontal="right"/>
      <protection locked="0"/>
    </xf>
    <xf numFmtId="189" fontId="23" fillId="0" borderId="0" xfId="9" applyNumberFormat="1" applyFont="1" applyFill="1" applyBorder="1" applyAlignment="1" applyProtection="1">
      <alignment horizontal="right"/>
      <protection locked="0"/>
    </xf>
    <xf numFmtId="189" fontId="23" fillId="2" borderId="0" xfId="9" applyNumberFormat="1" applyFont="1" applyFill="1" applyBorder="1" applyAlignment="1" applyProtection="1">
      <alignment horizontal="right"/>
      <protection locked="0"/>
    </xf>
    <xf numFmtId="189" fontId="3" fillId="0" borderId="8" xfId="9" applyNumberFormat="1" applyFont="1" applyFill="1" applyBorder="1"/>
    <xf numFmtId="189" fontId="3" fillId="0" borderId="0" xfId="9" applyNumberFormat="1" applyFont="1"/>
    <xf numFmtId="189" fontId="32" fillId="0" borderId="0" xfId="9" applyNumberFormat="1" applyFont="1" applyAlignment="1">
      <alignment horizontal="left" indent="2"/>
    </xf>
    <xf numFmtId="189" fontId="39" fillId="0" borderId="0" xfId="9" applyNumberFormat="1" applyFont="1"/>
    <xf numFmtId="189" fontId="3" fillId="0" borderId="0" xfId="9" applyNumberFormat="1" applyFont="1" applyBorder="1"/>
    <xf numFmtId="189" fontId="3" fillId="0" borderId="0" xfId="9" applyNumberFormat="1" applyFont="1" applyFill="1" applyBorder="1"/>
    <xf numFmtId="189" fontId="3" fillId="4" borderId="10" xfId="9" applyNumberFormat="1" applyFont="1" applyFill="1" applyBorder="1"/>
    <xf numFmtId="189" fontId="3" fillId="2" borderId="0" xfId="9" applyNumberFormat="1" applyFont="1" applyFill="1" applyBorder="1"/>
    <xf numFmtId="189" fontId="24" fillId="0" borderId="0" xfId="9" quotePrefix="1" applyNumberFormat="1" applyFont="1" applyFill="1" applyBorder="1" applyAlignment="1" applyProtection="1">
      <alignment horizontal="center"/>
      <protection locked="0"/>
    </xf>
    <xf numFmtId="189" fontId="24" fillId="0" borderId="0" xfId="9" applyNumberFormat="1" applyFont="1" applyFill="1" applyBorder="1" applyAlignment="1" applyProtection="1">
      <alignment horizontal="right"/>
      <protection locked="0"/>
    </xf>
    <xf numFmtId="189" fontId="24" fillId="2" borderId="0" xfId="9" applyNumberFormat="1" applyFont="1" applyFill="1" applyBorder="1" applyAlignment="1" applyProtection="1">
      <alignment horizontal="right"/>
      <protection locked="0"/>
    </xf>
    <xf numFmtId="189" fontId="24" fillId="0" borderId="0" xfId="9" quotePrefix="1" applyNumberFormat="1" applyFont="1" applyFill="1" applyBorder="1" applyAlignment="1" applyProtection="1">
      <alignment horizontal="right"/>
      <protection locked="0"/>
    </xf>
    <xf numFmtId="189" fontId="32" fillId="0" borderId="0" xfId="9" applyNumberFormat="1" applyFont="1"/>
    <xf numFmtId="189" fontId="23" fillId="4" borderId="10" xfId="9" applyNumberFormat="1" applyFont="1" applyFill="1" applyBorder="1"/>
    <xf numFmtId="189" fontId="32" fillId="0" borderId="0" xfId="9" quotePrefix="1" applyNumberFormat="1" applyFont="1" applyFill="1" applyBorder="1" applyAlignment="1" applyProtection="1">
      <alignment horizontal="right"/>
      <protection locked="0"/>
    </xf>
    <xf numFmtId="189" fontId="4" fillId="0" borderId="0" xfId="0" applyNumberFormat="1" applyFont="1"/>
    <xf numFmtId="189" fontId="32" fillId="0" borderId="0" xfId="9" applyNumberFormat="1" applyFont="1" applyFill="1" applyBorder="1" applyAlignment="1" applyProtection="1">
      <alignment horizontal="right"/>
      <protection locked="0"/>
    </xf>
    <xf numFmtId="189" fontId="2" fillId="0" borderId="0" xfId="0" applyNumberFormat="1" applyFont="1"/>
    <xf numFmtId="189" fontId="39" fillId="0" borderId="0" xfId="0" applyNumberFormat="1" applyFont="1"/>
    <xf numFmtId="189" fontId="23" fillId="0" borderId="0" xfId="9" applyNumberFormat="1" applyFont="1"/>
    <xf numFmtId="187" fontId="32" fillId="2" borderId="0" xfId="1" applyNumberFormat="1" applyFont="1" applyFill="1" applyBorder="1" applyAlignment="1" applyProtection="1">
      <alignment horizontal="right"/>
      <protection locked="0"/>
    </xf>
    <xf numFmtId="185" fontId="55" fillId="2" borderId="8" xfId="9" quotePrefix="1" applyNumberFormat="1" applyFont="1" applyFill="1" applyBorder="1" applyAlignment="1" applyProtection="1">
      <protection locked="0"/>
    </xf>
    <xf numFmtId="185" fontId="27" fillId="2" borderId="8" xfId="9" quotePrefix="1" applyNumberFormat="1" applyFont="1" applyFill="1" applyBorder="1" applyAlignment="1" applyProtection="1">
      <protection locked="0"/>
    </xf>
    <xf numFmtId="175" fontId="51" fillId="2" borderId="0" xfId="1" applyNumberFormat="1" applyFont="1" applyFill="1" applyBorder="1" applyAlignment="1" applyProtection="1">
      <alignment horizontal="right"/>
      <protection locked="0"/>
    </xf>
    <xf numFmtId="9" fontId="27" fillId="2" borderId="0" xfId="1" quotePrefix="1" applyFont="1" applyFill="1" applyBorder="1" applyAlignment="1" applyProtection="1">
      <alignment horizontal="right"/>
      <protection locked="0"/>
    </xf>
    <xf numFmtId="175" fontId="24" fillId="2" borderId="0" xfId="1" applyNumberFormat="1" applyFont="1" applyFill="1" applyBorder="1" applyAlignment="1" applyProtection="1">
      <alignment horizontal="right"/>
      <protection locked="0"/>
    </xf>
    <xf numFmtId="9" fontId="51" fillId="2" borderId="0" xfId="1" quotePrefix="1" applyFont="1" applyFill="1" applyBorder="1" applyAlignment="1" applyProtection="1">
      <alignment horizontal="right"/>
      <protection locked="0"/>
    </xf>
    <xf numFmtId="185" fontId="22" fillId="2" borderId="8" xfId="9" applyNumberFormat="1" applyFont="1" applyFill="1" applyBorder="1" applyAlignment="1" applyProtection="1">
      <alignment horizontal="right"/>
      <protection locked="0"/>
    </xf>
    <xf numFmtId="9" fontId="32" fillId="2" borderId="0" xfId="1" quotePrefix="1" applyFont="1" applyFill="1" applyBorder="1" applyAlignment="1" applyProtection="1">
      <alignment horizontal="right"/>
      <protection locked="0"/>
    </xf>
    <xf numFmtId="7" fontId="51" fillId="2" borderId="0" xfId="1" applyNumberFormat="1" applyFont="1" applyFill="1" applyBorder="1" applyAlignment="1" applyProtection="1">
      <alignment horizontal="right"/>
      <protection locked="0"/>
    </xf>
    <xf numFmtId="39" fontId="32" fillId="2" borderId="0" xfId="1" quotePrefix="1" applyNumberFormat="1" applyFont="1" applyFill="1" applyBorder="1" applyAlignment="1" applyProtection="1">
      <protection locked="0"/>
    </xf>
    <xf numFmtId="185" fontId="23" fillId="2" borderId="0" xfId="1" applyNumberFormat="1" applyFont="1" applyFill="1" applyBorder="1" applyAlignment="1" applyProtection="1">
      <alignment horizontal="right"/>
      <protection locked="0"/>
    </xf>
    <xf numFmtId="189" fontId="23" fillId="2" borderId="0" xfId="9" applyNumberFormat="1" applyFont="1" applyFill="1" applyProtection="1">
      <protection locked="0"/>
    </xf>
    <xf numFmtId="189" fontId="54" fillId="2" borderId="0" xfId="9" applyNumberFormat="1" applyFont="1" applyFill="1" applyProtection="1">
      <protection locked="0"/>
    </xf>
    <xf numFmtId="189" fontId="23" fillId="2" borderId="0" xfId="9" quotePrefix="1" applyNumberFormat="1" applyFont="1" applyFill="1" applyBorder="1" applyAlignment="1" applyProtection="1">
      <alignment horizontal="right"/>
      <protection locked="0"/>
    </xf>
    <xf numFmtId="189" fontId="4" fillId="2" borderId="0" xfId="0" applyNumberFormat="1" applyFont="1" applyFill="1"/>
    <xf numFmtId="189" fontId="2" fillId="2" borderId="0" xfId="0" applyNumberFormat="1" applyFont="1" applyFill="1"/>
    <xf numFmtId="189" fontId="3" fillId="4" borderId="10" xfId="9" applyNumberFormat="1" applyFont="1" applyFill="1" applyBorder="1" applyAlignment="1">
      <alignment horizontal="right"/>
    </xf>
    <xf numFmtId="189" fontId="24" fillId="2" borderId="0" xfId="9" quotePrefix="1" applyNumberFormat="1" applyFont="1" applyFill="1" applyBorder="1" applyAlignment="1" applyProtection="1">
      <alignment horizontal="right"/>
      <protection locked="0"/>
    </xf>
    <xf numFmtId="189" fontId="54" fillId="0" borderId="0" xfId="9" quotePrefix="1" applyNumberFormat="1" applyFont="1" applyFill="1" applyBorder="1" applyAlignment="1" applyProtection="1">
      <alignment horizontal="right"/>
      <protection locked="0"/>
    </xf>
    <xf numFmtId="189" fontId="41" fillId="0" borderId="0" xfId="9" quotePrefix="1" applyNumberFormat="1" applyFont="1" applyFill="1" applyBorder="1" applyAlignment="1" applyProtection="1">
      <alignment horizontal="right"/>
      <protection locked="0"/>
    </xf>
    <xf numFmtId="189" fontId="41" fillId="2" borderId="0" xfId="9" quotePrefix="1" applyNumberFormat="1" applyFont="1" applyFill="1" applyBorder="1" applyAlignment="1" applyProtection="1">
      <alignment horizontal="right"/>
      <protection locked="0"/>
    </xf>
    <xf numFmtId="187" fontId="22" fillId="2" borderId="0" xfId="9" applyNumberFormat="1" applyFont="1" applyFill="1" applyAlignment="1" applyProtection="1">
      <alignment horizontal="center"/>
      <protection locked="0"/>
    </xf>
    <xf numFmtId="187" fontId="27" fillId="0" borderId="7" xfId="9" applyNumberFormat="1" applyFont="1" applyBorder="1" applyAlignment="1">
      <alignment horizontal="left" vertical="center" indent="1"/>
    </xf>
    <xf numFmtId="187" fontId="27" fillId="0" borderId="8" xfId="9" applyNumberFormat="1" applyFont="1" applyBorder="1" applyAlignment="1">
      <alignment horizontal="left" vertical="center" indent="1"/>
    </xf>
    <xf numFmtId="187" fontId="27" fillId="0" borderId="8" xfId="9" applyNumberFormat="1" applyFont="1" applyBorder="1" applyAlignment="1">
      <alignment horizontal="right" vertical="center"/>
    </xf>
    <xf numFmtId="187" fontId="27" fillId="3" borderId="8" xfId="9" applyNumberFormat="1" applyFont="1" applyFill="1" applyBorder="1" applyAlignment="1">
      <alignment horizontal="right" vertical="center"/>
    </xf>
    <xf numFmtId="187" fontId="32" fillId="0" borderId="0" xfId="9" applyNumberFormat="1" applyFont="1" applyAlignment="1">
      <alignment vertical="center"/>
    </xf>
    <xf numFmtId="187" fontId="4" fillId="0" borderId="0" xfId="7" applyNumberFormat="1" applyFont="1" applyAlignment="1">
      <alignment vertical="center"/>
    </xf>
    <xf numFmtId="187" fontId="27" fillId="0" borderId="7" xfId="7" applyNumberFormat="1" applyFont="1" applyBorder="1" applyAlignment="1">
      <alignment horizontal="left" vertical="center" indent="1"/>
    </xf>
    <xf numFmtId="187" fontId="27" fillId="0" borderId="8" xfId="7" applyNumberFormat="1" applyFont="1" applyBorder="1" applyAlignment="1">
      <alignment horizontal="left" vertical="center" indent="1"/>
    </xf>
    <xf numFmtId="187" fontId="27" fillId="0" borderId="8" xfId="7" applyNumberFormat="1" applyFont="1" applyBorder="1" applyAlignment="1">
      <alignment horizontal="right" vertical="center"/>
    </xf>
    <xf numFmtId="187" fontId="27" fillId="3" borderId="8" xfId="7" applyNumberFormat="1" applyFont="1" applyFill="1" applyBorder="1" applyAlignment="1">
      <alignment horizontal="right" vertical="center"/>
    </xf>
    <xf numFmtId="187" fontId="32" fillId="0" borderId="0" xfId="7" applyNumberFormat="1" applyFont="1" applyAlignment="1">
      <alignment vertical="center"/>
    </xf>
    <xf numFmtId="187" fontId="4" fillId="0" borderId="0" xfId="0" applyNumberFormat="1" applyFont="1"/>
    <xf numFmtId="187" fontId="27" fillId="2" borderId="7" xfId="7" applyNumberFormat="1" applyFont="1" applyFill="1" applyBorder="1" applyAlignment="1">
      <alignment horizontal="left" vertical="center" indent="1"/>
    </xf>
    <xf numFmtId="175" fontId="32" fillId="2" borderId="0" xfId="1" applyNumberFormat="1" applyFont="1" applyFill="1" applyBorder="1" applyAlignment="1" applyProtection="1">
      <alignment horizontal="right"/>
      <protection locked="0"/>
    </xf>
    <xf numFmtId="189" fontId="28" fillId="5" borderId="11" xfId="9" applyNumberFormat="1" applyFont="1" applyFill="1" applyBorder="1" applyAlignment="1"/>
    <xf numFmtId="189" fontId="28" fillId="2" borderId="8" xfId="9" quotePrefix="1" applyNumberFormat="1" applyFont="1" applyFill="1" applyBorder="1" applyAlignment="1" applyProtection="1">
      <protection locked="0"/>
    </xf>
    <xf numFmtId="189" fontId="27" fillId="2" borderId="8" xfId="9" quotePrefix="1" applyNumberFormat="1" applyFont="1" applyFill="1" applyBorder="1" applyAlignment="1" applyProtection="1">
      <protection locked="0"/>
    </xf>
    <xf numFmtId="184" fontId="60" fillId="0" borderId="8" xfId="9" applyNumberFormat="1" applyFont="1" applyFill="1" applyBorder="1" applyProtection="1">
      <protection locked="0"/>
    </xf>
    <xf numFmtId="184" fontId="60" fillId="0" borderId="8" xfId="9" applyNumberFormat="1" applyFont="1" applyFill="1" applyBorder="1" applyAlignment="1" applyProtection="1">
      <alignment horizontal="right"/>
      <protection locked="0"/>
    </xf>
    <xf numFmtId="184" fontId="60" fillId="4" borderId="11" xfId="9" applyNumberFormat="1" applyFont="1" applyFill="1" applyBorder="1"/>
    <xf numFmtId="184" fontId="60" fillId="0" borderId="0" xfId="0" applyNumberFormat="1" applyFont="1"/>
    <xf numFmtId="190" fontId="32" fillId="7" borderId="10" xfId="8" applyNumberFormat="1" applyFont="1" applyFill="1" applyBorder="1">
      <protection locked="0"/>
    </xf>
    <xf numFmtId="43" fontId="32" fillId="0" borderId="0" xfId="9" applyFont="1" applyAlignment="1">
      <alignment horizontal="left"/>
    </xf>
    <xf numFmtId="39" fontId="61" fillId="2" borderId="0" xfId="1" quotePrefix="1" applyNumberFormat="1" applyFont="1" applyFill="1" applyBorder="1" applyAlignment="1" applyProtection="1">
      <protection locked="0"/>
    </xf>
    <xf numFmtId="187" fontId="32" fillId="2" borderId="0" xfId="1" quotePrefix="1" applyNumberFormat="1" applyFont="1" applyFill="1" applyBorder="1" applyAlignment="1" applyProtection="1">
      <alignment horizontal="right"/>
      <protection locked="0"/>
    </xf>
    <xf numFmtId="187" fontId="32" fillId="2" borderId="0" xfId="9" quotePrefix="1" applyNumberFormat="1" applyFont="1" applyFill="1" applyBorder="1" applyAlignment="1" applyProtection="1">
      <alignment horizontal="right"/>
      <protection locked="0"/>
    </xf>
    <xf numFmtId="187" fontId="42" fillId="2" borderId="0" xfId="9" quotePrefix="1" applyNumberFormat="1" applyFont="1" applyFill="1" applyBorder="1" applyAlignment="1" applyProtection="1">
      <alignment horizontal="right"/>
      <protection locked="0"/>
    </xf>
    <xf numFmtId="9" fontId="42" fillId="2" borderId="0" xfId="1" quotePrefix="1" applyFont="1" applyFill="1" applyBorder="1" applyAlignment="1" applyProtection="1">
      <alignment horizontal="right"/>
      <protection locked="0"/>
    </xf>
    <xf numFmtId="43" fontId="32" fillId="2" borderId="8" xfId="9" quotePrefix="1" applyFont="1" applyFill="1" applyBorder="1" applyAlignment="1" applyProtection="1">
      <protection locked="0"/>
    </xf>
    <xf numFmtId="9" fontId="32" fillId="2" borderId="8" xfId="9" quotePrefix="1" applyNumberFormat="1" applyFont="1" applyFill="1" applyBorder="1" applyAlignment="1" applyProtection="1">
      <protection locked="0"/>
    </xf>
    <xf numFmtId="189" fontId="23" fillId="5" borderId="11" xfId="9" applyNumberFormat="1" applyFont="1" applyFill="1" applyBorder="1" applyAlignment="1"/>
    <xf numFmtId="189" fontId="23" fillId="4" borderId="10" xfId="0" applyNumberFormat="1" applyFont="1" applyFill="1" applyBorder="1"/>
    <xf numFmtId="189" fontId="23" fillId="4" borderId="12" xfId="0" applyNumberFormat="1" applyFont="1" applyFill="1" applyBorder="1"/>
    <xf numFmtId="189" fontId="54" fillId="2" borderId="0" xfId="9" applyNumberFormat="1" applyFont="1" applyFill="1" applyAlignment="1" applyProtection="1">
      <alignment horizontal="right"/>
      <protection locked="0"/>
    </xf>
    <xf numFmtId="189" fontId="0" fillId="4" borderId="10" xfId="0" applyNumberFormat="1" applyFill="1" applyBorder="1"/>
    <xf numFmtId="175" fontId="32" fillId="0" borderId="0" xfId="1" applyNumberFormat="1" applyFont="1"/>
    <xf numFmtId="189" fontId="32" fillId="0" borderId="0" xfId="9" applyNumberFormat="1" applyFont="1" applyFill="1" applyBorder="1"/>
    <xf numFmtId="189" fontId="32" fillId="0" borderId="0" xfId="8" applyNumberFormat="1" applyFont="1" applyAlignment="1">
      <alignment horizontal="right"/>
      <protection locked="0"/>
    </xf>
    <xf numFmtId="189" fontId="23" fillId="2" borderId="0" xfId="8" applyNumberFormat="1" applyFont="1" applyFill="1">
      <protection locked="0"/>
    </xf>
    <xf numFmtId="189" fontId="23" fillId="2" borderId="0" xfId="8" applyNumberFormat="1" applyFont="1" applyFill="1" applyAlignment="1">
      <alignment horizontal="right"/>
      <protection locked="0"/>
    </xf>
    <xf numFmtId="189" fontId="32" fillId="2" borderId="0" xfId="8" applyNumberFormat="1" applyFont="1" applyFill="1" applyAlignment="1">
      <alignment horizontal="right"/>
      <protection locked="0"/>
    </xf>
    <xf numFmtId="189" fontId="54" fillId="0" borderId="0" xfId="9" applyNumberFormat="1" applyFont="1" applyFill="1" applyBorder="1" applyAlignment="1" applyProtection="1">
      <alignment horizontal="right"/>
      <protection locked="0"/>
    </xf>
    <xf numFmtId="189" fontId="54" fillId="5" borderId="10" xfId="9" applyNumberFormat="1" applyFont="1" applyFill="1" applyBorder="1" applyAlignment="1">
      <alignment horizontal="right"/>
    </xf>
    <xf numFmtId="9" fontId="33" fillId="4" borderId="10" xfId="9" applyNumberFormat="1" applyFont="1" applyFill="1" applyBorder="1"/>
    <xf numFmtId="9" fontId="33" fillId="0" borderId="0" xfId="9" applyNumberFormat="1" applyFont="1" applyProtection="1">
      <protection locked="0"/>
    </xf>
    <xf numFmtId="189" fontId="27" fillId="0" borderId="0" xfId="9" applyNumberFormat="1" applyFont="1"/>
    <xf numFmtId="43" fontId="33" fillId="0" borderId="0" xfId="9" applyFont="1" applyAlignment="1">
      <alignment horizontal="left" indent="2"/>
    </xf>
    <xf numFmtId="187" fontId="32" fillId="0" borderId="0" xfId="9" applyNumberFormat="1" applyFont="1" applyProtection="1">
      <protection locked="0"/>
    </xf>
    <xf numFmtId="9" fontId="33" fillId="0" borderId="0" xfId="0" applyNumberFormat="1" applyFont="1"/>
    <xf numFmtId="9" fontId="33" fillId="0" borderId="0" xfId="9" applyNumberFormat="1" applyFont="1" applyAlignment="1">
      <alignment horizontal="left" indent="2"/>
    </xf>
    <xf numFmtId="185" fontId="33" fillId="0" borderId="0" xfId="1" applyNumberFormat="1" applyFont="1" applyFill="1" applyBorder="1" applyAlignment="1">
      <alignment horizontal="center"/>
    </xf>
    <xf numFmtId="185" fontId="33" fillId="4" borderId="10" xfId="0" applyNumberFormat="1" applyFont="1" applyFill="1" applyBorder="1" applyAlignment="1">
      <alignment horizontal="center"/>
    </xf>
    <xf numFmtId="185" fontId="43" fillId="4" borderId="10" xfId="0" applyNumberFormat="1" applyFont="1" applyFill="1" applyBorder="1" applyAlignment="1">
      <alignment horizontal="center"/>
    </xf>
    <xf numFmtId="185" fontId="43" fillId="0" borderId="0" xfId="0" applyNumberFormat="1" applyFont="1" applyAlignment="1">
      <alignment horizontal="center"/>
    </xf>
    <xf numFmtId="9" fontId="51" fillId="2" borderId="0" xfId="1" quotePrefix="1" applyFont="1" applyFill="1" applyBorder="1" applyAlignment="1" applyProtection="1">
      <alignment horizontal="center"/>
      <protection locked="0"/>
    </xf>
    <xf numFmtId="9" fontId="32" fillId="2" borderId="0" xfId="1" applyFont="1" applyFill="1" applyBorder="1" applyProtection="1">
      <protection locked="0"/>
    </xf>
    <xf numFmtId="189" fontId="32" fillId="4" borderId="10" xfId="0" applyNumberFormat="1" applyFont="1" applyFill="1" applyBorder="1"/>
    <xf numFmtId="189" fontId="32" fillId="0" borderId="0" xfId="8" applyNumberFormat="1" applyFont="1">
      <protection locked="0"/>
    </xf>
    <xf numFmtId="189" fontId="32" fillId="2" borderId="0" xfId="8" applyNumberFormat="1" applyFont="1" applyFill="1">
      <protection locked="0"/>
    </xf>
    <xf numFmtId="189" fontId="54" fillId="4" borderId="10" xfId="0" applyNumberFormat="1" applyFont="1" applyFill="1" applyBorder="1"/>
    <xf numFmtId="189" fontId="54" fillId="2" borderId="0" xfId="8" applyNumberFormat="1" applyFont="1" applyFill="1">
      <protection locked="0"/>
    </xf>
    <xf numFmtId="189" fontId="54" fillId="2" borderId="0" xfId="8" applyNumberFormat="1" applyFont="1" applyFill="1" applyAlignment="1">
      <alignment horizontal="right"/>
      <protection locked="0"/>
    </xf>
    <xf numFmtId="189" fontId="54" fillId="0" borderId="0" xfId="8" applyNumberFormat="1" applyFont="1" applyAlignment="1">
      <alignment horizontal="right"/>
      <protection locked="0"/>
    </xf>
    <xf numFmtId="43" fontId="29" fillId="0" borderId="0" xfId="9" applyFont="1" applyBorder="1"/>
    <xf numFmtId="185" fontId="27" fillId="0" borderId="0" xfId="9" quotePrefix="1" applyNumberFormat="1" applyFont="1" applyFill="1" applyBorder="1" applyAlignment="1" applyProtection="1">
      <protection locked="0"/>
    </xf>
    <xf numFmtId="185" fontId="27" fillId="4" borderId="10" xfId="9" applyNumberFormat="1" applyFont="1" applyFill="1" applyBorder="1" applyAlignment="1"/>
    <xf numFmtId="185" fontId="27" fillId="2" borderId="0" xfId="9" quotePrefix="1" applyNumberFormat="1" applyFont="1" applyFill="1" applyBorder="1" applyAlignment="1" applyProtection="1">
      <protection locked="0"/>
    </xf>
    <xf numFmtId="189" fontId="23" fillId="2" borderId="8" xfId="9" quotePrefix="1" applyNumberFormat="1" applyFont="1" applyFill="1" applyBorder="1" applyAlignment="1" applyProtection="1">
      <protection locked="0"/>
    </xf>
    <xf numFmtId="189" fontId="32" fillId="5" borderId="10" xfId="9" applyNumberFormat="1" applyFont="1" applyFill="1" applyBorder="1"/>
    <xf numFmtId="9" fontId="32" fillId="4" borderId="10" xfId="9" applyNumberFormat="1" applyFont="1" applyFill="1" applyBorder="1" applyAlignment="1"/>
    <xf numFmtId="9" fontId="32" fillId="2" borderId="0" xfId="9" quotePrefix="1" applyNumberFormat="1" applyFont="1" applyFill="1" applyBorder="1" applyAlignment="1" applyProtection="1">
      <protection locked="0"/>
    </xf>
    <xf numFmtId="9" fontId="32" fillId="0" borderId="0" xfId="9" quotePrefix="1" applyNumberFormat="1" applyFont="1" applyFill="1" applyBorder="1" applyAlignment="1" applyProtection="1">
      <protection locked="0"/>
    </xf>
    <xf numFmtId="189" fontId="54" fillId="2" borderId="0" xfId="9" applyNumberFormat="1" applyFont="1" applyFill="1" applyBorder="1" applyAlignment="1" applyProtection="1">
      <alignment horizontal="right"/>
      <protection locked="0"/>
    </xf>
    <xf numFmtId="187" fontId="32" fillId="4" borderId="10" xfId="9" applyNumberFormat="1" applyFont="1" applyFill="1" applyBorder="1" applyAlignment="1">
      <alignment horizontal="right"/>
    </xf>
    <xf numFmtId="9" fontId="32" fillId="0" borderId="0" xfId="9" applyNumberFormat="1" applyFont="1" applyFill="1" applyBorder="1" applyAlignment="1" applyProtection="1">
      <protection locked="0"/>
    </xf>
    <xf numFmtId="189" fontId="28" fillId="2" borderId="8" xfId="9" quotePrefix="1" applyNumberFormat="1" applyFont="1" applyFill="1" applyBorder="1" applyAlignment="1" applyProtection="1">
      <alignment horizontal="center"/>
      <protection locked="0"/>
    </xf>
    <xf numFmtId="10" fontId="28" fillId="2" borderId="8" xfId="9" quotePrefix="1" applyNumberFormat="1" applyFont="1" applyFill="1" applyBorder="1" applyAlignment="1" applyProtection="1">
      <alignment horizontal="center"/>
      <protection locked="0"/>
    </xf>
    <xf numFmtId="189" fontId="27" fillId="5" borderId="11" xfId="9" applyNumberFormat="1" applyFont="1" applyFill="1" applyBorder="1" applyAlignment="1"/>
    <xf numFmtId="43" fontId="27" fillId="0" borderId="0" xfId="9" applyFont="1" applyBorder="1"/>
    <xf numFmtId="189" fontId="27" fillId="2" borderId="0" xfId="9" quotePrefix="1" applyNumberFormat="1" applyFont="1" applyFill="1" applyBorder="1" applyAlignment="1" applyProtection="1">
      <protection locked="0"/>
    </xf>
    <xf numFmtId="189" fontId="27" fillId="5" borderId="10" xfId="9" applyNumberFormat="1" applyFont="1" applyFill="1" applyBorder="1" applyAlignment="1"/>
    <xf numFmtId="189" fontId="32" fillId="2" borderId="0" xfId="9" quotePrefix="1" applyNumberFormat="1" applyFont="1" applyFill="1" applyBorder="1" applyAlignment="1" applyProtection="1">
      <protection locked="0"/>
    </xf>
    <xf numFmtId="189" fontId="32" fillId="5" borderId="10" xfId="9" applyNumberFormat="1" applyFont="1" applyFill="1" applyBorder="1" applyAlignment="1"/>
    <xf numFmtId="43" fontId="32" fillId="0" borderId="0" xfId="9" applyFont="1" applyBorder="1" applyAlignment="1">
      <alignment horizontal="left" indent="1"/>
    </xf>
    <xf numFmtId="189" fontId="23" fillId="2" borderId="0" xfId="9" quotePrefix="1" applyNumberFormat="1" applyFont="1" applyFill="1" applyBorder="1" applyAlignment="1" applyProtection="1">
      <protection locked="0"/>
    </xf>
    <xf numFmtId="189" fontId="54" fillId="2" borderId="0" xfId="9" quotePrefix="1" applyNumberFormat="1" applyFont="1" applyFill="1" applyBorder="1" applyAlignment="1" applyProtection="1">
      <protection locked="0"/>
    </xf>
    <xf numFmtId="189" fontId="54" fillId="5" borderId="10" xfId="9" applyNumberFormat="1" applyFont="1" applyFill="1" applyBorder="1" applyAlignment="1"/>
    <xf numFmtId="189" fontId="29" fillId="2" borderId="0" xfId="9" applyNumberFormat="1" applyFont="1" applyFill="1" applyAlignment="1" applyProtection="1">
      <alignment horizontal="center"/>
      <protection locked="0"/>
    </xf>
    <xf numFmtId="189" fontId="29" fillId="5" borderId="10" xfId="9" applyNumberFormat="1" applyFont="1" applyFill="1" applyBorder="1" applyAlignment="1" applyProtection="1">
      <alignment horizontal="center"/>
      <protection locked="0"/>
    </xf>
    <xf numFmtId="189" fontId="55" fillId="2" borderId="0" xfId="9" quotePrefix="1" applyNumberFormat="1" applyFont="1" applyFill="1" applyBorder="1" applyAlignment="1" applyProtection="1">
      <protection locked="0"/>
    </xf>
    <xf numFmtId="189" fontId="55" fillId="5" borderId="10" xfId="9" applyNumberFormat="1" applyFont="1" applyFill="1" applyBorder="1" applyAlignment="1"/>
    <xf numFmtId="169" fontId="53" fillId="5" borderId="10" xfId="8" applyNumberFormat="1" applyFont="1" applyFill="1" applyBorder="1" applyAlignment="1">
      <alignment horizontal="center"/>
      <protection locked="0"/>
    </xf>
    <xf numFmtId="189" fontId="28" fillId="2" borderId="0" xfId="9" quotePrefix="1" applyNumberFormat="1" applyFont="1" applyFill="1" applyBorder="1" applyAlignment="1" applyProtection="1">
      <protection locked="0"/>
    </xf>
    <xf numFmtId="189" fontId="23" fillId="2" borderId="0" xfId="9" quotePrefix="1" applyNumberFormat="1" applyFont="1" applyFill="1" applyBorder="1" applyAlignment="1" applyProtection="1">
      <alignment horizontal="center"/>
      <protection locked="0"/>
    </xf>
    <xf numFmtId="189" fontId="23" fillId="5" borderId="10" xfId="9" applyNumberFormat="1" applyFont="1" applyFill="1" applyBorder="1" applyAlignment="1"/>
    <xf numFmtId="189" fontId="51" fillId="5" borderId="10" xfId="9" applyNumberFormat="1" applyFont="1" applyFill="1" applyBorder="1" applyAlignment="1"/>
    <xf numFmtId="189" fontId="32" fillId="2" borderId="0" xfId="9" quotePrefix="1" applyNumberFormat="1" applyFont="1" applyFill="1" applyBorder="1" applyAlignment="1" applyProtection="1">
      <alignment horizontal="right"/>
      <protection locked="0"/>
    </xf>
    <xf numFmtId="189" fontId="32" fillId="2" borderId="0" xfId="9" applyNumberFormat="1" applyFont="1" applyFill="1" applyBorder="1" applyAlignment="1" applyProtection="1">
      <alignment horizontal="right"/>
      <protection locked="0"/>
    </xf>
    <xf numFmtId="189" fontId="32" fillId="2" borderId="0" xfId="9" quotePrefix="1" applyNumberFormat="1" applyFont="1" applyFill="1" applyBorder="1" applyAlignment="1" applyProtection="1">
      <alignment horizontal="center"/>
      <protection locked="0"/>
    </xf>
    <xf numFmtId="189" fontId="23" fillId="5" borderId="10" xfId="9" applyNumberFormat="1" applyFont="1" applyFill="1" applyBorder="1" applyAlignment="1">
      <alignment horizontal="center"/>
    </xf>
    <xf numFmtId="189" fontId="54" fillId="2" borderId="0" xfId="9" quotePrefix="1" applyNumberFormat="1" applyFont="1" applyFill="1" applyBorder="1" applyAlignment="1" applyProtection="1">
      <alignment horizontal="center"/>
      <protection locked="0"/>
    </xf>
    <xf numFmtId="189" fontId="23" fillId="5" borderId="10" xfId="9" applyNumberFormat="1" applyFont="1" applyFill="1" applyBorder="1" applyAlignment="1">
      <alignment horizontal="right"/>
    </xf>
    <xf numFmtId="189" fontId="32" fillId="2" borderId="2" xfId="9" quotePrefix="1" applyNumberFormat="1" applyFont="1" applyFill="1" applyBorder="1" applyAlignment="1" applyProtection="1">
      <alignment horizontal="right"/>
      <protection locked="0"/>
    </xf>
    <xf numFmtId="189" fontId="32" fillId="0" borderId="2" xfId="9" applyNumberFormat="1" applyFont="1" applyFill="1" applyBorder="1" applyAlignment="1" applyProtection="1">
      <alignment horizontal="right"/>
      <protection locked="0"/>
    </xf>
    <xf numFmtId="189" fontId="23" fillId="5" borderId="9" xfId="9" applyNumberFormat="1" applyFont="1" applyFill="1" applyBorder="1" applyAlignment="1">
      <alignment horizontal="right"/>
    </xf>
    <xf numFmtId="189" fontId="23" fillId="2" borderId="2" xfId="9" quotePrefix="1" applyNumberFormat="1" applyFont="1" applyFill="1" applyBorder="1" applyAlignment="1" applyProtection="1">
      <alignment horizontal="right"/>
      <protection locked="0"/>
    </xf>
    <xf numFmtId="189" fontId="23" fillId="2" borderId="2" xfId="9" applyNumberFormat="1" applyFont="1" applyFill="1" applyBorder="1" applyAlignment="1" applyProtection="1">
      <alignment horizontal="right"/>
      <protection locked="0"/>
    </xf>
    <xf numFmtId="189" fontId="32" fillId="5" borderId="9" xfId="9" applyNumberFormat="1" applyFont="1" applyFill="1" applyBorder="1" applyAlignment="1">
      <alignment horizontal="right"/>
    </xf>
    <xf numFmtId="189" fontId="32" fillId="2" borderId="2" xfId="9" applyNumberFormat="1" applyFont="1" applyFill="1" applyBorder="1" applyAlignment="1" applyProtection="1">
      <alignment horizontal="right"/>
      <protection locked="0"/>
    </xf>
    <xf numFmtId="189" fontId="32" fillId="2" borderId="0" xfId="9" applyNumberFormat="1" applyFont="1" applyFill="1" applyProtection="1">
      <protection locked="0"/>
    </xf>
    <xf numFmtId="189" fontId="3" fillId="2" borderId="8" xfId="9" applyNumberFormat="1" applyFont="1" applyFill="1" applyBorder="1"/>
    <xf numFmtId="43" fontId="2" fillId="0" borderId="0" xfId="9" quotePrefix="1" applyFont="1" applyAlignment="1">
      <alignment horizontal="left"/>
    </xf>
    <xf numFmtId="43" fontId="51" fillId="0" borderId="0" xfId="9" applyFont="1" applyFill="1" applyBorder="1" applyAlignment="1" applyProtection="1">
      <alignment horizontal="left" indent="1"/>
      <protection locked="0"/>
    </xf>
    <xf numFmtId="43" fontId="24" fillId="0" borderId="0" xfId="9" applyFont="1" applyProtection="1">
      <protection locked="0"/>
    </xf>
    <xf numFmtId="43" fontId="22" fillId="0" borderId="0" xfId="9" applyFont="1" applyAlignment="1" applyProtection="1">
      <alignment horizontal="right"/>
      <protection locked="0"/>
    </xf>
    <xf numFmtId="43" fontId="22" fillId="2" borderId="0" xfId="9" applyFont="1" applyFill="1" applyAlignment="1" applyProtection="1">
      <alignment horizontal="right"/>
      <protection locked="0"/>
    </xf>
    <xf numFmtId="43" fontId="24" fillId="2" borderId="0" xfId="9" applyFont="1" applyFill="1" applyProtection="1">
      <protection locked="0"/>
    </xf>
    <xf numFmtId="43" fontId="52" fillId="2" borderId="0" xfId="9" applyFont="1" applyFill="1" applyAlignment="1" applyProtection="1">
      <alignment horizontal="center"/>
      <protection locked="0"/>
    </xf>
    <xf numFmtId="43" fontId="52" fillId="2" borderId="0" xfId="9" applyFont="1" applyFill="1" applyProtection="1">
      <protection locked="0"/>
    </xf>
    <xf numFmtId="43" fontId="53" fillId="2" borderId="0" xfId="9" applyFont="1" applyFill="1" applyAlignment="1" applyProtection="1">
      <alignment horizontal="right"/>
      <protection locked="0"/>
    </xf>
    <xf numFmtId="43" fontId="24" fillId="2" borderId="0" xfId="9" applyFont="1" applyFill="1" applyAlignment="1" applyProtection="1">
      <alignment horizontal="right"/>
      <protection locked="0"/>
    </xf>
    <xf numFmtId="43" fontId="24" fillId="0" borderId="0" xfId="9" applyFont="1" applyAlignment="1" applyProtection="1">
      <alignment horizontal="right"/>
      <protection locked="0"/>
    </xf>
    <xf numFmtId="43" fontId="51" fillId="2" borderId="0" xfId="9" applyFont="1" applyFill="1" applyProtection="1">
      <protection locked="0"/>
    </xf>
    <xf numFmtId="43" fontId="29" fillId="2" borderId="0" xfId="9" applyFont="1" applyFill="1" applyAlignment="1" applyProtection="1">
      <alignment horizontal="right"/>
      <protection locked="0"/>
    </xf>
    <xf numFmtId="43" fontId="29" fillId="0" borderId="0" xfId="9" applyFont="1" applyAlignment="1" applyProtection="1">
      <alignment horizontal="right"/>
      <protection locked="0"/>
    </xf>
    <xf numFmtId="43" fontId="51" fillId="0" borderId="0" xfId="9" applyFont="1" applyProtection="1">
      <protection locked="0"/>
    </xf>
    <xf numFmtId="43" fontId="51" fillId="2" borderId="0" xfId="9" applyFont="1" applyFill="1" applyAlignment="1" applyProtection="1">
      <alignment horizontal="centerContinuous"/>
      <protection locked="0"/>
    </xf>
    <xf numFmtId="43" fontId="29" fillId="2" borderId="0" xfId="9" applyFont="1" applyFill="1" applyAlignment="1" applyProtection="1">
      <alignment horizontal="centerContinuous"/>
      <protection locked="0"/>
    </xf>
    <xf numFmtId="43" fontId="51" fillId="2" borderId="0" xfId="9" applyFont="1" applyFill="1" applyAlignment="1" applyProtection="1">
      <alignment horizontal="right"/>
      <protection locked="0"/>
    </xf>
    <xf numFmtId="43" fontId="51" fillId="0" borderId="0" xfId="9" applyFont="1" applyAlignment="1" applyProtection="1">
      <alignment horizontal="right"/>
      <protection locked="0"/>
    </xf>
    <xf numFmtId="43" fontId="51" fillId="0" borderId="0" xfId="9" applyFont="1" applyAlignment="1" applyProtection="1">
      <alignment horizontal="centerContinuous"/>
      <protection locked="0"/>
    </xf>
    <xf numFmtId="43" fontId="29" fillId="0" borderId="0" xfId="9" applyFont="1" applyAlignment="1" applyProtection="1">
      <alignment horizontal="centerContinuous"/>
      <protection locked="0"/>
    </xf>
    <xf numFmtId="43" fontId="29" fillId="0" borderId="0" xfId="9" applyFont="1" applyAlignment="1">
      <alignment wrapText="1"/>
    </xf>
    <xf numFmtId="169" fontId="29" fillId="2" borderId="0" xfId="8" applyNumberFormat="1" applyFont="1" applyFill="1" applyAlignment="1">
      <alignment horizontal="center" wrapText="1"/>
      <protection locked="0"/>
    </xf>
    <xf numFmtId="3" fontId="28" fillId="2" borderId="8" xfId="9" quotePrefix="1" applyNumberFormat="1" applyFont="1" applyFill="1" applyBorder="1" applyAlignment="1" applyProtection="1">
      <alignment horizontal="center"/>
      <protection locked="0"/>
    </xf>
    <xf numFmtId="3" fontId="23" fillId="2" borderId="0" xfId="9" quotePrefix="1" applyNumberFormat="1" applyFont="1" applyFill="1" applyBorder="1" applyAlignment="1" applyProtection="1">
      <alignment horizontal="center"/>
      <protection locked="0"/>
    </xf>
    <xf numFmtId="3" fontId="32" fillId="2" borderId="0" xfId="9" quotePrefix="1" applyNumberFormat="1" applyFont="1" applyFill="1" applyBorder="1" applyAlignment="1" applyProtection="1">
      <alignment horizontal="center"/>
      <protection locked="0"/>
    </xf>
    <xf numFmtId="3" fontId="32" fillId="2" borderId="2" xfId="9" quotePrefix="1" applyNumberFormat="1" applyFont="1" applyFill="1" applyBorder="1" applyAlignment="1" applyProtection="1">
      <alignment horizontal="center"/>
      <protection locked="0"/>
    </xf>
    <xf numFmtId="3" fontId="32" fillId="2" borderId="0" xfId="1" quotePrefix="1" applyNumberFormat="1" applyFont="1" applyFill="1" applyBorder="1" applyAlignment="1" applyProtection="1">
      <alignment horizontal="center"/>
      <protection locked="0"/>
    </xf>
    <xf numFmtId="3" fontId="32" fillId="0" borderId="0" xfId="1" quotePrefix="1" applyNumberFormat="1" applyFont="1" applyFill="1" applyBorder="1" applyAlignment="1" applyProtection="1">
      <alignment horizontal="center"/>
      <protection locked="0"/>
    </xf>
    <xf numFmtId="10" fontId="28" fillId="5" borderId="11" xfId="9" applyNumberFormat="1" applyFont="1" applyFill="1" applyBorder="1" applyAlignment="1"/>
    <xf numFmtId="10" fontId="28" fillId="2" borderId="8" xfId="9" quotePrefix="1" applyNumberFormat="1" applyFont="1" applyFill="1" applyBorder="1" applyAlignment="1" applyProtection="1">
      <protection locked="0"/>
    </xf>
    <xf numFmtId="10" fontId="27" fillId="5" borderId="11" xfId="9" applyNumberFormat="1" applyFont="1" applyFill="1" applyBorder="1" applyAlignment="1"/>
    <xf numFmtId="10" fontId="28" fillId="8" borderId="8" xfId="9" quotePrefix="1" applyNumberFormat="1" applyFont="1" applyFill="1" applyBorder="1" applyAlignment="1" applyProtection="1">
      <protection locked="0"/>
    </xf>
    <xf numFmtId="10" fontId="29" fillId="5" borderId="11" xfId="9" applyNumberFormat="1" applyFont="1" applyFill="1" applyBorder="1" applyAlignment="1"/>
    <xf numFmtId="10" fontId="51" fillId="0" borderId="0" xfId="9" applyNumberFormat="1" applyFont="1"/>
    <xf numFmtId="189" fontId="32" fillId="8" borderId="2" xfId="9" applyNumberFormat="1" applyFont="1" applyFill="1" applyBorder="1" applyAlignment="1" applyProtection="1">
      <alignment horizontal="right"/>
      <protection locked="0"/>
    </xf>
    <xf numFmtId="10" fontId="32" fillId="2" borderId="0" xfId="1" applyNumberFormat="1" applyFont="1" applyFill="1" applyBorder="1" applyAlignment="1" applyProtection="1">
      <alignment horizontal="right"/>
      <protection locked="0"/>
    </xf>
    <xf numFmtId="184" fontId="32" fillId="2" borderId="0" xfId="1" applyNumberFormat="1" applyFont="1" applyFill="1" applyBorder="1" applyAlignment="1" applyProtection="1">
      <alignment horizontal="right"/>
      <protection locked="0"/>
    </xf>
    <xf numFmtId="43" fontId="32" fillId="2" borderId="0" xfId="1" quotePrefix="1" applyNumberFormat="1" applyFont="1" applyFill="1" applyBorder="1" applyAlignment="1" applyProtection="1">
      <alignment horizontal="right"/>
      <protection locked="0"/>
    </xf>
    <xf numFmtId="189" fontId="51" fillId="2" borderId="0" xfId="9" applyNumberFormat="1" applyFont="1" applyFill="1"/>
    <xf numFmtId="187" fontId="28" fillId="2" borderId="8" xfId="9" quotePrefix="1" applyNumberFormat="1" applyFont="1" applyFill="1" applyBorder="1" applyAlignment="1" applyProtection="1">
      <protection locked="0"/>
    </xf>
    <xf numFmtId="187" fontId="28" fillId="5" borderId="11" xfId="9" applyNumberFormat="1" applyFont="1" applyFill="1" applyBorder="1" applyAlignment="1"/>
    <xf numFmtId="187" fontId="29" fillId="5" borderId="11" xfId="9" applyNumberFormat="1" applyFont="1" applyFill="1" applyBorder="1" applyAlignment="1"/>
    <xf numFmtId="187" fontId="32" fillId="5" borderId="10" xfId="9" applyNumberFormat="1" applyFont="1" applyFill="1" applyBorder="1"/>
    <xf numFmtId="187" fontId="32" fillId="2" borderId="0" xfId="9" applyNumberFormat="1" applyFont="1" applyFill="1" applyBorder="1" applyAlignment="1" applyProtection="1">
      <alignment horizontal="right"/>
      <protection locked="0"/>
    </xf>
    <xf numFmtId="189" fontId="23" fillId="2" borderId="0" xfId="9" applyNumberFormat="1" applyFont="1" applyFill="1" applyAlignment="1" applyProtection="1">
      <alignment horizontal="right"/>
      <protection locked="0"/>
    </xf>
    <xf numFmtId="189" fontId="23" fillId="0" borderId="8" xfId="8" applyNumberFormat="1" applyFont="1" applyBorder="1">
      <protection locked="0"/>
    </xf>
    <xf numFmtId="189" fontId="23" fillId="0" borderId="8" xfId="8" applyNumberFormat="1" applyFont="1" applyBorder="1" applyAlignment="1">
      <alignment horizontal="right"/>
      <protection locked="0"/>
    </xf>
    <xf numFmtId="189" fontId="23" fillId="4" borderId="11" xfId="0" applyNumberFormat="1" applyFont="1" applyFill="1" applyBorder="1"/>
    <xf numFmtId="189" fontId="32" fillId="0" borderId="8" xfId="8" applyNumberFormat="1" applyFont="1" applyBorder="1" applyAlignment="1">
      <alignment horizontal="right"/>
      <protection locked="0"/>
    </xf>
    <xf numFmtId="189" fontId="32" fillId="2" borderId="8" xfId="8" applyNumberFormat="1" applyFont="1" applyFill="1" applyBorder="1">
      <protection locked="0"/>
    </xf>
    <xf numFmtId="189" fontId="32" fillId="2" borderId="8" xfId="8" applyNumberFormat="1" applyFont="1" applyFill="1" applyBorder="1" applyAlignment="1">
      <alignment horizontal="right"/>
      <protection locked="0"/>
    </xf>
    <xf numFmtId="189" fontId="0" fillId="4" borderId="11" xfId="0" applyNumberFormat="1" applyFill="1" applyBorder="1"/>
    <xf numFmtId="189" fontId="32" fillId="2" borderId="0" xfId="9" applyNumberFormat="1" applyFont="1" applyFill="1" applyAlignment="1" applyProtection="1">
      <alignment horizontal="right"/>
      <protection locked="0"/>
    </xf>
    <xf numFmtId="189" fontId="32" fillId="4" borderId="11" xfId="0" applyNumberFormat="1" applyFont="1" applyFill="1" applyBorder="1"/>
    <xf numFmtId="175" fontId="32" fillId="2" borderId="0" xfId="8" applyNumberFormat="1" applyFont="1" applyFill="1">
      <protection locked="0"/>
    </xf>
    <xf numFmtId="175" fontId="32" fillId="2" borderId="0" xfId="8" applyNumberFormat="1" applyFont="1" applyFill="1" applyAlignment="1">
      <alignment horizontal="right"/>
      <protection locked="0"/>
    </xf>
    <xf numFmtId="175" fontId="23" fillId="0" borderId="0" xfId="8" applyNumberFormat="1" applyFont="1">
      <protection locked="0"/>
    </xf>
    <xf numFmtId="175" fontId="23" fillId="0" borderId="0" xfId="8" applyNumberFormat="1" applyFont="1" applyAlignment="1">
      <alignment horizontal="right"/>
      <protection locked="0"/>
    </xf>
    <xf numFmtId="184" fontId="23" fillId="0" borderId="0" xfId="1" quotePrefix="1" applyNumberFormat="1" applyFont="1" applyFill="1" applyBorder="1" applyAlignment="1" applyProtection="1">
      <alignment horizontal="right"/>
      <protection locked="0"/>
    </xf>
    <xf numFmtId="184" fontId="23" fillId="0" borderId="0" xfId="1" applyNumberFormat="1" applyFont="1" applyFill="1" applyBorder="1" applyAlignment="1" applyProtection="1">
      <alignment horizontal="right"/>
      <protection locked="0"/>
    </xf>
    <xf numFmtId="184" fontId="32" fillId="5" borderId="10" xfId="1" applyNumberFormat="1" applyFont="1" applyFill="1" applyBorder="1" applyAlignment="1">
      <alignment horizontal="right"/>
    </xf>
    <xf numFmtId="175" fontId="32" fillId="5" borderId="10" xfId="1" applyNumberFormat="1" applyFont="1" applyFill="1" applyBorder="1"/>
    <xf numFmtId="175" fontId="23" fillId="0" borderId="0" xfId="1" quotePrefix="1" applyNumberFormat="1" applyFont="1" applyFill="1" applyBorder="1" applyAlignment="1" applyProtection="1">
      <alignment horizontal="right"/>
      <protection locked="0"/>
    </xf>
    <xf numFmtId="189" fontId="23" fillId="2" borderId="8" xfId="8" applyNumberFormat="1" applyFont="1" applyFill="1" applyBorder="1">
      <protection locked="0"/>
    </xf>
    <xf numFmtId="189" fontId="23" fillId="2" borderId="8" xfId="8" applyNumberFormat="1" applyFont="1" applyFill="1" applyBorder="1" applyAlignment="1">
      <alignment horizontal="right"/>
      <protection locked="0"/>
    </xf>
    <xf numFmtId="189" fontId="32" fillId="0" borderId="8" xfId="8" applyNumberFormat="1" applyFont="1" applyBorder="1">
      <protection locked="0"/>
    </xf>
    <xf numFmtId="189" fontId="29" fillId="0" borderId="0" xfId="9" applyNumberFormat="1" applyFont="1"/>
    <xf numFmtId="189" fontId="27" fillId="0" borderId="8" xfId="9" quotePrefix="1" applyNumberFormat="1" applyFont="1" applyFill="1" applyBorder="1" applyAlignment="1" applyProtection="1">
      <protection locked="0"/>
    </xf>
    <xf numFmtId="175" fontId="32" fillId="0" borderId="0" xfId="9" applyNumberFormat="1" applyFont="1"/>
    <xf numFmtId="175" fontId="32" fillId="0" borderId="8" xfId="9" quotePrefix="1" applyNumberFormat="1" applyFont="1" applyFill="1" applyBorder="1" applyAlignment="1" applyProtection="1">
      <protection locked="0"/>
    </xf>
    <xf numFmtId="175" fontId="32" fillId="4" borderId="11" xfId="9" applyNumberFormat="1" applyFont="1" applyFill="1" applyBorder="1" applyAlignment="1"/>
    <xf numFmtId="175" fontId="32" fillId="2" borderId="8" xfId="9" quotePrefix="1" applyNumberFormat="1" applyFont="1" applyFill="1" applyBorder="1" applyAlignment="1" applyProtection="1">
      <protection locked="0"/>
    </xf>
    <xf numFmtId="175" fontId="51" fillId="0" borderId="0" xfId="9" applyNumberFormat="1" applyFont="1"/>
    <xf numFmtId="185" fontId="32" fillId="0" borderId="0" xfId="9" quotePrefix="1" applyNumberFormat="1" applyFont="1" applyFill="1" applyBorder="1" applyAlignment="1" applyProtection="1">
      <protection locked="0"/>
    </xf>
    <xf numFmtId="185" fontId="32" fillId="4" borderId="10" xfId="9" applyNumberFormat="1" applyFont="1" applyFill="1" applyBorder="1" applyAlignment="1"/>
    <xf numFmtId="185" fontId="32" fillId="2" borderId="0" xfId="9" quotePrefix="1" applyNumberFormat="1" applyFont="1" applyFill="1" applyBorder="1" applyAlignment="1" applyProtection="1">
      <protection locked="0"/>
    </xf>
    <xf numFmtId="175" fontId="32" fillId="2" borderId="0" xfId="9" quotePrefix="1" applyNumberFormat="1" applyFont="1" applyFill="1" applyBorder="1" applyAlignment="1" applyProtection="1">
      <protection locked="0"/>
    </xf>
    <xf numFmtId="43" fontId="51" fillId="0" borderId="0" xfId="9" applyFont="1" applyBorder="1"/>
    <xf numFmtId="175" fontId="32" fillId="4" borderId="10" xfId="9" applyNumberFormat="1" applyFont="1" applyFill="1" applyBorder="1" applyAlignment="1"/>
    <xf numFmtId="175" fontId="23" fillId="0" borderId="8" xfId="9" quotePrefix="1" applyNumberFormat="1" applyFont="1" applyFill="1" applyBorder="1" applyAlignment="1" applyProtection="1">
      <protection locked="0"/>
    </xf>
    <xf numFmtId="9" fontId="23" fillId="0" borderId="0" xfId="9" quotePrefix="1" applyNumberFormat="1" applyFont="1" applyFill="1" applyBorder="1" applyAlignment="1" applyProtection="1">
      <protection locked="0"/>
    </xf>
    <xf numFmtId="43" fontId="51" fillId="0" borderId="0" xfId="9" applyFont="1" applyAlignment="1">
      <alignment horizontal="left" indent="2"/>
    </xf>
    <xf numFmtId="43" fontId="51" fillId="0" borderId="0" xfId="9" applyFont="1" applyAlignment="1">
      <alignment horizontal="left" indent="1"/>
    </xf>
    <xf numFmtId="175" fontId="54" fillId="0" borderId="0" xfId="1" applyNumberFormat="1" applyFont="1" applyFill="1" applyBorder="1" applyAlignment="1" applyProtection="1">
      <alignment horizontal="right"/>
      <protection locked="0"/>
    </xf>
    <xf numFmtId="9" fontId="54" fillId="5" borderId="10" xfId="1" applyFont="1" applyFill="1" applyBorder="1" applyAlignment="1">
      <alignment horizontal="right"/>
    </xf>
    <xf numFmtId="0" fontId="0" fillId="0" borderId="20" xfId="0" applyBorder="1"/>
    <xf numFmtId="0" fontId="0" fillId="0" borderId="21" xfId="0" applyBorder="1"/>
    <xf numFmtId="187" fontId="0" fillId="0" borderId="0" xfId="9" applyNumberFormat="1" applyFont="1" applyBorder="1"/>
    <xf numFmtId="0" fontId="0" fillId="0" borderId="23" xfId="0" applyBorder="1"/>
    <xf numFmtId="0" fontId="0" fillId="0" borderId="16" xfId="0" applyBorder="1"/>
    <xf numFmtId="0" fontId="0" fillId="0" borderId="25" xfId="0" applyBorder="1"/>
    <xf numFmtId="0" fontId="4" fillId="9" borderId="14" xfId="0" applyFont="1" applyFill="1" applyBorder="1"/>
    <xf numFmtId="0" fontId="39" fillId="9" borderId="22" xfId="0" applyFont="1" applyFill="1" applyBorder="1" applyAlignment="1">
      <alignment horizontal="center"/>
    </xf>
    <xf numFmtId="0" fontId="4" fillId="9" borderId="15" xfId="0" applyFont="1" applyFill="1" applyBorder="1"/>
    <xf numFmtId="187" fontId="2" fillId="0" borderId="0" xfId="9" applyNumberFormat="1" applyFont="1" applyBorder="1"/>
    <xf numFmtId="43" fontId="4" fillId="9" borderId="22" xfId="9" applyFont="1" applyFill="1" applyBorder="1"/>
    <xf numFmtId="43" fontId="0" fillId="0" borderId="0" xfId="9" applyFont="1" applyBorder="1"/>
    <xf numFmtId="43" fontId="0" fillId="0" borderId="0" xfId="9" applyFont="1" applyFill="1" applyBorder="1"/>
    <xf numFmtId="43" fontId="0" fillId="0" borderId="16" xfId="9" applyFont="1" applyBorder="1"/>
    <xf numFmtId="0" fontId="39" fillId="9" borderId="22" xfId="0" applyFont="1" applyFill="1" applyBorder="1" applyAlignment="1">
      <alignment horizontal="centerContinuous"/>
    </xf>
    <xf numFmtId="0" fontId="39" fillId="9" borderId="14" xfId="0" applyFont="1" applyFill="1" applyBorder="1" applyAlignment="1">
      <alignment horizontal="centerContinuous"/>
    </xf>
    <xf numFmtId="43" fontId="39" fillId="9" borderId="22" xfId="9" applyFont="1" applyFill="1" applyBorder="1" applyAlignment="1">
      <alignment horizontal="centerContinuous"/>
    </xf>
    <xf numFmtId="0" fontId="39" fillId="9" borderId="15" xfId="0" applyFont="1" applyFill="1" applyBorder="1" applyAlignment="1">
      <alignment horizontal="centerContinuous"/>
    </xf>
    <xf numFmtId="192" fontId="0" fillId="0" borderId="21" xfId="0" applyNumberFormat="1" applyBorder="1"/>
    <xf numFmtId="192" fontId="23" fillId="0" borderId="0" xfId="0" applyNumberFormat="1" applyFont="1"/>
    <xf numFmtId="184" fontId="23" fillId="0" borderId="0" xfId="9" applyNumberFormat="1" applyFont="1" applyBorder="1"/>
    <xf numFmtId="189" fontId="24" fillId="2" borderId="0" xfId="9" quotePrefix="1" applyNumberFormat="1" applyFont="1" applyFill="1" applyBorder="1" applyAlignment="1" applyProtection="1">
      <alignment horizontal="center"/>
      <protection locked="0"/>
    </xf>
    <xf numFmtId="43" fontId="0" fillId="0" borderId="0" xfId="9" applyFont="1" applyAlignment="1">
      <alignment horizontal="left" indent="1"/>
    </xf>
    <xf numFmtId="43" fontId="0" fillId="0" borderId="0" xfId="9" applyFont="1" applyAlignment="1">
      <alignment horizontal="left" indent="2"/>
    </xf>
    <xf numFmtId="43" fontId="29" fillId="2" borderId="7" xfId="9" applyFont="1" applyFill="1" applyBorder="1"/>
    <xf numFmtId="10" fontId="23" fillId="0" borderId="0" xfId="9" applyNumberFormat="1" applyFont="1" applyFill="1" applyBorder="1" applyAlignment="1" applyProtection="1">
      <alignment horizontal="right"/>
      <protection locked="0"/>
    </xf>
    <xf numFmtId="9" fontId="23" fillId="2" borderId="0" xfId="9" quotePrefix="1" applyNumberFormat="1" applyFont="1" applyFill="1" applyBorder="1" applyAlignment="1" applyProtection="1">
      <alignment horizontal="center"/>
      <protection locked="0"/>
    </xf>
    <xf numFmtId="9" fontId="23" fillId="5" borderId="10" xfId="9" applyNumberFormat="1" applyFont="1" applyFill="1" applyBorder="1" applyAlignment="1"/>
    <xf numFmtId="9" fontId="23" fillId="2" borderId="0" xfId="9" quotePrefix="1" applyNumberFormat="1" applyFont="1" applyFill="1" applyBorder="1" applyAlignment="1" applyProtection="1">
      <protection locked="0"/>
    </xf>
    <xf numFmtId="9" fontId="32" fillId="5" borderId="10" xfId="9" applyNumberFormat="1" applyFont="1" applyFill="1" applyBorder="1" applyAlignment="1"/>
    <xf numFmtId="9" fontId="51" fillId="5" borderId="10" xfId="9" applyNumberFormat="1" applyFont="1" applyFill="1" applyBorder="1" applyAlignment="1"/>
    <xf numFmtId="9" fontId="51" fillId="0" borderId="0" xfId="9" applyNumberFormat="1" applyFont="1"/>
    <xf numFmtId="43" fontId="51" fillId="0" borderId="0" xfId="9" applyFont="1" applyBorder="1" applyAlignment="1">
      <alignment horizontal="left" indent="1"/>
    </xf>
    <xf numFmtId="43" fontId="51" fillId="0" borderId="2" xfId="9" applyFont="1" applyFill="1" applyBorder="1" applyAlignment="1" applyProtection="1">
      <alignment horizontal="left" indent="1"/>
      <protection locked="0"/>
    </xf>
    <xf numFmtId="43" fontId="51" fillId="2" borderId="0" xfId="9" applyFont="1" applyFill="1" applyBorder="1" applyAlignment="1">
      <alignment horizontal="left" indent="1"/>
    </xf>
    <xf numFmtId="43" fontId="51" fillId="2" borderId="0" xfId="9" applyFont="1" applyFill="1" applyBorder="1" applyAlignment="1">
      <alignment horizontal="left" indent="2"/>
    </xf>
    <xf numFmtId="43" fontId="51" fillId="2" borderId="0" xfId="9" applyFont="1" applyFill="1" applyBorder="1" applyAlignment="1" applyProtection="1">
      <alignment horizontal="left" indent="1"/>
      <protection locked="0"/>
    </xf>
    <xf numFmtId="43" fontId="51" fillId="2" borderId="0" xfId="9" applyFont="1" applyFill="1" applyBorder="1" applyAlignment="1" applyProtection="1">
      <alignment horizontal="left" indent="2"/>
      <protection locked="0"/>
    </xf>
    <xf numFmtId="43" fontId="52" fillId="2" borderId="0" xfId="9" applyFont="1" applyFill="1" applyBorder="1" applyAlignment="1" applyProtection="1">
      <alignment horizontal="left" indent="2"/>
      <protection locked="0"/>
    </xf>
    <xf numFmtId="175" fontId="32" fillId="5" borderId="10" xfId="9" applyNumberFormat="1" applyFont="1" applyFill="1" applyBorder="1" applyAlignment="1">
      <alignment horizontal="right"/>
    </xf>
    <xf numFmtId="175" fontId="23" fillId="2" borderId="0" xfId="9" applyNumberFormat="1" applyFont="1" applyFill="1" applyBorder="1" applyAlignment="1" applyProtection="1">
      <alignment horizontal="right"/>
      <protection locked="0"/>
    </xf>
    <xf numFmtId="175" fontId="32" fillId="0" borderId="8" xfId="1" applyNumberFormat="1" applyFont="1" applyFill="1" applyBorder="1" applyAlignment="1" applyProtection="1">
      <alignment horizontal="right"/>
      <protection locked="0"/>
    </xf>
    <xf numFmtId="175" fontId="2" fillId="4" borderId="11" xfId="1" applyNumberFormat="1" applyFont="1" applyFill="1" applyBorder="1"/>
    <xf numFmtId="175" fontId="32" fillId="0" borderId="8" xfId="1" applyNumberFormat="1" applyFont="1" applyFill="1" applyBorder="1" applyProtection="1">
      <protection locked="0"/>
    </xf>
    <xf numFmtId="43" fontId="32" fillId="2" borderId="7" xfId="9" applyFont="1" applyFill="1" applyBorder="1"/>
    <xf numFmtId="175" fontId="44" fillId="0" borderId="0" xfId="9" applyNumberFormat="1" applyFont="1" applyFill="1" applyBorder="1" applyAlignment="1" applyProtection="1">
      <protection locked="0"/>
    </xf>
    <xf numFmtId="175" fontId="44" fillId="4" borderId="10" xfId="9" applyNumberFormat="1" applyFont="1" applyFill="1" applyBorder="1" applyAlignment="1"/>
    <xf numFmtId="175" fontId="44" fillId="0" borderId="0" xfId="9" quotePrefix="1" applyNumberFormat="1" applyFont="1" applyFill="1" applyBorder="1" applyAlignment="1" applyProtection="1">
      <protection locked="0"/>
    </xf>
    <xf numFmtId="9" fontId="44" fillId="0" borderId="0" xfId="9" applyNumberFormat="1" applyFont="1" applyFill="1" applyBorder="1" applyAlignment="1" applyProtection="1">
      <protection locked="0"/>
    </xf>
    <xf numFmtId="9" fontId="44" fillId="4" borderId="10" xfId="9" applyNumberFormat="1" applyFont="1" applyFill="1" applyBorder="1" applyAlignment="1"/>
    <xf numFmtId="9" fontId="44" fillId="0" borderId="0" xfId="9" quotePrefix="1" applyNumberFormat="1" applyFont="1" applyFill="1" applyBorder="1" applyAlignment="1" applyProtection="1">
      <protection locked="0"/>
    </xf>
    <xf numFmtId="175" fontId="32" fillId="0" borderId="0" xfId="9" applyNumberFormat="1" applyFont="1" applyFill="1" applyBorder="1" applyAlignment="1" applyProtection="1">
      <protection locked="0"/>
    </xf>
    <xf numFmtId="175" fontId="32" fillId="0" borderId="0" xfId="9" quotePrefix="1" applyNumberFormat="1" applyFont="1" applyFill="1" applyBorder="1" applyAlignment="1" applyProtection="1">
      <protection locked="0"/>
    </xf>
    <xf numFmtId="175" fontId="2" fillId="0" borderId="0" xfId="0" applyNumberFormat="1" applyFont="1"/>
    <xf numFmtId="175" fontId="23" fillId="0" borderId="0" xfId="9" quotePrefix="1" applyNumberFormat="1" applyFont="1" applyFill="1" applyBorder="1" applyAlignment="1" applyProtection="1">
      <protection locked="0"/>
    </xf>
    <xf numFmtId="175" fontId="23" fillId="0" borderId="0" xfId="9" applyNumberFormat="1" applyFont="1" applyFill="1" applyBorder="1" applyAlignment="1" applyProtection="1">
      <protection locked="0"/>
    </xf>
    <xf numFmtId="175" fontId="23" fillId="0" borderId="8" xfId="1" applyNumberFormat="1" applyFont="1" applyFill="1" applyBorder="1" applyAlignment="1" applyProtection="1">
      <alignment horizontal="right"/>
      <protection locked="0"/>
    </xf>
    <xf numFmtId="187" fontId="32" fillId="0" borderId="8" xfId="9" applyNumberFormat="1" applyFont="1" applyFill="1" applyBorder="1" applyProtection="1">
      <protection locked="0"/>
    </xf>
    <xf numFmtId="187" fontId="2" fillId="4" borderId="11" xfId="9" applyNumberFormat="1" applyFont="1" applyFill="1" applyBorder="1"/>
    <xf numFmtId="187" fontId="23" fillId="0" borderId="8" xfId="9" applyNumberFormat="1" applyFont="1" applyFill="1" applyBorder="1" applyAlignment="1" applyProtection="1">
      <alignment horizontal="right"/>
      <protection locked="0"/>
    </xf>
    <xf numFmtId="175" fontId="0" fillId="4" borderId="10" xfId="0" applyNumberFormat="1" applyFill="1" applyBorder="1"/>
    <xf numFmtId="185" fontId="55" fillId="4" borderId="11" xfId="9" applyNumberFormat="1" applyFont="1" applyFill="1" applyBorder="1" applyAlignment="1"/>
    <xf numFmtId="189" fontId="54" fillId="2" borderId="0" xfId="9" quotePrefix="1" applyNumberFormat="1" applyFont="1" applyFill="1" applyBorder="1" applyAlignment="1" applyProtection="1">
      <alignment horizontal="right"/>
      <protection locked="0"/>
    </xf>
    <xf numFmtId="9" fontId="33" fillId="2" borderId="0" xfId="9" applyNumberFormat="1" applyFont="1" applyFill="1" applyProtection="1">
      <protection locked="0"/>
    </xf>
    <xf numFmtId="187" fontId="24" fillId="2" borderId="0" xfId="9" quotePrefix="1" applyNumberFormat="1" applyFont="1" applyFill="1" applyBorder="1" applyAlignment="1" applyProtection="1">
      <alignment horizontal="center"/>
      <protection locked="0"/>
    </xf>
    <xf numFmtId="187" fontId="27" fillId="2" borderId="0" xfId="9" quotePrefix="1" applyNumberFormat="1" applyFont="1" applyFill="1" applyBorder="1" applyAlignment="1" applyProtection="1">
      <protection locked="0"/>
    </xf>
    <xf numFmtId="187" fontId="27" fillId="5" borderId="10" xfId="9" applyNumberFormat="1" applyFont="1" applyFill="1" applyBorder="1" applyAlignment="1"/>
    <xf numFmtId="187" fontId="32" fillId="2" borderId="0" xfId="9" quotePrefix="1" applyNumberFormat="1" applyFont="1" applyFill="1" applyBorder="1" applyAlignment="1" applyProtection="1">
      <protection locked="0"/>
    </xf>
    <xf numFmtId="187" fontId="32" fillId="5" borderId="10" xfId="9" applyNumberFormat="1" applyFont="1" applyFill="1" applyBorder="1" applyAlignment="1"/>
    <xf numFmtId="187" fontId="23" fillId="2" borderId="0" xfId="9" quotePrefix="1" applyNumberFormat="1" applyFont="1" applyFill="1" applyBorder="1" applyAlignment="1" applyProtection="1">
      <protection locked="0"/>
    </xf>
    <xf numFmtId="43" fontId="51" fillId="0" borderId="0" xfId="9" applyFont="1" applyBorder="1" applyAlignment="1">
      <alignment horizontal="left" indent="2"/>
    </xf>
    <xf numFmtId="187" fontId="54" fillId="2" borderId="0" xfId="9" quotePrefix="1" applyNumberFormat="1" applyFont="1" applyFill="1" applyBorder="1" applyAlignment="1" applyProtection="1">
      <protection locked="0"/>
    </xf>
    <xf numFmtId="187" fontId="54" fillId="5" borderId="10" xfId="9" applyNumberFormat="1" applyFont="1" applyFill="1" applyBorder="1" applyAlignment="1"/>
    <xf numFmtId="175" fontId="23" fillId="4" borderId="10" xfId="0" applyNumberFormat="1" applyFont="1" applyFill="1" applyBorder="1"/>
    <xf numFmtId="175" fontId="23" fillId="2" borderId="0" xfId="8" applyNumberFormat="1" applyFont="1" applyFill="1">
      <protection locked="0"/>
    </xf>
    <xf numFmtId="175" fontId="23" fillId="2" borderId="0" xfId="8" applyNumberFormat="1" applyFont="1" applyFill="1" applyAlignment="1">
      <alignment horizontal="right"/>
      <protection locked="0"/>
    </xf>
    <xf numFmtId="9" fontId="33" fillId="0" borderId="0" xfId="9" applyNumberFormat="1" applyFont="1" applyAlignment="1">
      <alignment horizontal="left" indent="1"/>
    </xf>
    <xf numFmtId="43" fontId="29" fillId="0" borderId="0" xfId="9" applyFont="1" applyFill="1" applyBorder="1" applyAlignment="1" applyProtection="1">
      <alignment horizontal="left" indent="1"/>
      <protection locked="0"/>
    </xf>
    <xf numFmtId="193" fontId="2" fillId="2" borderId="0" xfId="0" applyNumberFormat="1" applyFont="1" applyFill="1"/>
    <xf numFmtId="193" fontId="32" fillId="2" borderId="0" xfId="1" applyNumberFormat="1" applyFont="1" applyFill="1" applyBorder="1" applyAlignment="1" applyProtection="1">
      <protection locked="0"/>
    </xf>
    <xf numFmtId="193" fontId="32" fillId="7" borderId="10" xfId="1" applyNumberFormat="1" applyFont="1" applyFill="1" applyBorder="1" applyAlignment="1">
      <alignment horizontal="right"/>
    </xf>
    <xf numFmtId="193" fontId="32" fillId="2" borderId="0" xfId="1" applyNumberFormat="1" applyFont="1" applyFill="1" applyBorder="1" applyAlignment="1" applyProtection="1">
      <alignment horizontal="right"/>
      <protection locked="0"/>
    </xf>
    <xf numFmtId="43" fontId="0" fillId="0" borderId="0" xfId="9" applyFont="1" applyBorder="1" applyAlignment="1">
      <alignment horizontal="left" indent="1"/>
    </xf>
    <xf numFmtId="187" fontId="54" fillId="5" borderId="11" xfId="9" applyNumberFormat="1" applyFont="1" applyFill="1" applyBorder="1" applyAlignment="1"/>
    <xf numFmtId="187" fontId="54" fillId="2" borderId="8" xfId="9" quotePrefix="1" applyNumberFormat="1" applyFont="1" applyFill="1" applyBorder="1" applyAlignment="1" applyProtection="1">
      <protection locked="0"/>
    </xf>
    <xf numFmtId="187" fontId="54" fillId="0" borderId="0" xfId="9" applyNumberFormat="1" applyFont="1"/>
    <xf numFmtId="187" fontId="55" fillId="5" borderId="11" xfId="9" applyNumberFormat="1" applyFont="1" applyFill="1" applyBorder="1" applyAlignment="1"/>
    <xf numFmtId="187" fontId="55" fillId="2" borderId="8" xfId="9" quotePrefix="1" applyNumberFormat="1" applyFont="1" applyFill="1" applyBorder="1" applyAlignment="1" applyProtection="1">
      <protection locked="0"/>
    </xf>
    <xf numFmtId="187" fontId="23" fillId="5" borderId="10" xfId="9" applyNumberFormat="1" applyFont="1" applyFill="1" applyBorder="1" applyAlignment="1"/>
    <xf numFmtId="187" fontId="32" fillId="2" borderId="0" xfId="9" quotePrefix="1" applyNumberFormat="1" applyFont="1" applyFill="1" applyBorder="1" applyAlignment="1" applyProtection="1">
      <alignment horizontal="center"/>
      <protection locked="0"/>
    </xf>
    <xf numFmtId="187" fontId="23" fillId="5" borderId="10" xfId="9" applyNumberFormat="1" applyFont="1" applyFill="1" applyBorder="1" applyAlignment="1">
      <alignment horizontal="center"/>
    </xf>
    <xf numFmtId="187" fontId="23" fillId="2" borderId="0" xfId="9" quotePrefix="1" applyNumberFormat="1" applyFont="1" applyFill="1" applyBorder="1" applyAlignment="1" applyProtection="1">
      <alignment horizontal="center"/>
      <protection locked="0"/>
    </xf>
    <xf numFmtId="187" fontId="54" fillId="2" borderId="0" xfId="9" quotePrefix="1" applyNumberFormat="1" applyFont="1" applyFill="1" applyBorder="1" applyAlignment="1" applyProtection="1">
      <alignment horizontal="center"/>
      <protection locked="0"/>
    </xf>
    <xf numFmtId="187" fontId="54" fillId="0" borderId="8" xfId="9" applyNumberFormat="1" applyFont="1" applyFill="1" applyBorder="1" applyAlignment="1" applyProtection="1">
      <protection locked="0"/>
    </xf>
    <xf numFmtId="37" fontId="54" fillId="4" borderId="11" xfId="1" applyNumberFormat="1" applyFont="1" applyFill="1" applyBorder="1" applyAlignment="1"/>
    <xf numFmtId="37" fontId="54" fillId="0" borderId="8" xfId="1" applyNumberFormat="1" applyFont="1" applyFill="1" applyBorder="1" applyAlignment="1" applyProtection="1">
      <protection locked="0"/>
    </xf>
    <xf numFmtId="43" fontId="0" fillId="0" borderId="20" xfId="9" applyFont="1" applyBorder="1"/>
    <xf numFmtId="0" fontId="3" fillId="0" borderId="21" xfId="0" applyFont="1" applyBorder="1"/>
    <xf numFmtId="187" fontId="0" fillId="0" borderId="21" xfId="9" applyNumberFormat="1" applyFont="1" applyBorder="1"/>
    <xf numFmtId="43" fontId="0" fillId="0" borderId="20" xfId="9" applyFont="1" applyBorder="1" applyAlignment="1">
      <alignment horizontal="left" indent="1"/>
    </xf>
    <xf numFmtId="9" fontId="0" fillId="0" borderId="21" xfId="0" applyNumberFormat="1" applyBorder="1"/>
    <xf numFmtId="187" fontId="2" fillId="0" borderId="21" xfId="9" applyNumberFormat="1" applyFont="1" applyBorder="1"/>
    <xf numFmtId="43" fontId="0" fillId="0" borderId="20" xfId="9" applyFont="1" applyFill="1" applyBorder="1"/>
    <xf numFmtId="43" fontId="0" fillId="0" borderId="23" xfId="9" applyFont="1" applyBorder="1"/>
    <xf numFmtId="191" fontId="54" fillId="0" borderId="0" xfId="0" applyNumberFormat="1" applyFont="1"/>
    <xf numFmtId="191" fontId="0" fillId="0" borderId="0" xfId="0" applyNumberFormat="1"/>
    <xf numFmtId="191" fontId="0" fillId="0" borderId="0" xfId="9" applyNumberFormat="1" applyFont="1"/>
    <xf numFmtId="191" fontId="0" fillId="0" borderId="20" xfId="0" applyNumberFormat="1" applyBorder="1"/>
    <xf numFmtId="191" fontId="0" fillId="0" borderId="0" xfId="9" applyNumberFormat="1" applyFont="1" applyBorder="1"/>
    <xf numFmtId="191" fontId="23" fillId="0" borderId="0" xfId="0" applyNumberFormat="1" applyFont="1"/>
    <xf numFmtId="191" fontId="0" fillId="0" borderId="21" xfId="0" applyNumberFormat="1" applyBorder="1"/>
    <xf numFmtId="187" fontId="0" fillId="0" borderId="0" xfId="0" applyNumberFormat="1"/>
    <xf numFmtId="187" fontId="0" fillId="0" borderId="0" xfId="9" applyNumberFormat="1" applyFont="1"/>
    <xf numFmtId="187" fontId="54" fillId="2" borderId="0" xfId="1" quotePrefix="1" applyNumberFormat="1" applyFont="1" applyFill="1" applyBorder="1" applyAlignment="1" applyProtection="1">
      <alignment horizontal="right"/>
      <protection locked="0"/>
    </xf>
    <xf numFmtId="187" fontId="54" fillId="0" borderId="0" xfId="1" applyNumberFormat="1" applyFont="1" applyFill="1" applyBorder="1" applyAlignment="1" applyProtection="1">
      <alignment horizontal="right"/>
      <protection locked="0"/>
    </xf>
    <xf numFmtId="187" fontId="54" fillId="0" borderId="0" xfId="1" quotePrefix="1" applyNumberFormat="1" applyFont="1" applyFill="1" applyBorder="1" applyAlignment="1" applyProtection="1">
      <alignment horizontal="right"/>
      <protection locked="0"/>
    </xf>
    <xf numFmtId="9" fontId="54" fillId="0" borderId="0" xfId="1" applyFont="1" applyFill="1" applyBorder="1" applyAlignment="1" applyProtection="1">
      <alignment horizontal="right"/>
      <protection locked="0"/>
    </xf>
    <xf numFmtId="0" fontId="54" fillId="0" borderId="0" xfId="0" applyFont="1"/>
    <xf numFmtId="43" fontId="33" fillId="0" borderId="0" xfId="9" applyFont="1" applyFill="1" applyBorder="1" applyAlignment="1" applyProtection="1">
      <alignment horizontal="left" indent="2"/>
      <protection locked="0"/>
    </xf>
    <xf numFmtId="43" fontId="51" fillId="0" borderId="0" xfId="9" applyFont="1" applyFill="1" applyBorder="1" applyAlignment="1" applyProtection="1">
      <alignment horizontal="left" indent="3"/>
      <protection locked="0"/>
    </xf>
    <xf numFmtId="189" fontId="32" fillId="0" borderId="0" xfId="1" applyNumberFormat="1" applyFont="1" applyFill="1" applyBorder="1" applyAlignment="1" applyProtection="1">
      <alignment horizontal="right"/>
      <protection locked="0"/>
    </xf>
    <xf numFmtId="185" fontId="55" fillId="4" borderId="10" xfId="9" applyNumberFormat="1" applyFont="1" applyFill="1" applyBorder="1" applyAlignment="1"/>
    <xf numFmtId="43" fontId="51" fillId="2" borderId="7" xfId="9" applyFont="1" applyFill="1" applyBorder="1"/>
    <xf numFmtId="184" fontId="52" fillId="2" borderId="0" xfId="9" applyNumberFormat="1" applyFont="1" applyFill="1" applyProtection="1">
      <protection locked="0"/>
    </xf>
    <xf numFmtId="184" fontId="52" fillId="2" borderId="0" xfId="9" applyNumberFormat="1" applyFont="1" applyFill="1" applyAlignment="1" applyProtection="1">
      <alignment horizontal="right"/>
      <protection locked="0"/>
    </xf>
    <xf numFmtId="185" fontId="63" fillId="4" borderId="10" xfId="9" applyNumberFormat="1" applyFont="1" applyFill="1" applyBorder="1" applyAlignment="1"/>
    <xf numFmtId="184" fontId="63" fillId="2" borderId="0" xfId="9" applyNumberFormat="1" applyFont="1" applyFill="1" applyAlignment="1" applyProtection="1">
      <alignment horizontal="right"/>
      <protection locked="0"/>
    </xf>
    <xf numFmtId="184" fontId="52" fillId="0" borderId="0" xfId="9" applyNumberFormat="1" applyFont="1"/>
    <xf numFmtId="184" fontId="52" fillId="0" borderId="0" xfId="9" applyNumberFormat="1" applyFont="1" applyAlignment="1" applyProtection="1">
      <alignment horizontal="right"/>
      <protection locked="0"/>
    </xf>
    <xf numFmtId="43" fontId="52" fillId="0" borderId="0" xfId="9" applyFont="1" applyFill="1" applyBorder="1" applyAlignment="1" applyProtection="1">
      <alignment horizontal="left" indent="3"/>
      <protection locked="0"/>
    </xf>
    <xf numFmtId="43" fontId="52" fillId="2" borderId="0" xfId="9" applyFont="1" applyFill="1" applyAlignment="1">
      <alignment horizontal="left" indent="2"/>
    </xf>
    <xf numFmtId="43" fontId="52" fillId="0" borderId="0" xfId="9" applyFont="1" applyAlignment="1">
      <alignment horizontal="left" indent="1"/>
    </xf>
    <xf numFmtId="10" fontId="51" fillId="0" borderId="0" xfId="1" applyNumberFormat="1" applyFont="1" applyFill="1" applyBorder="1" applyAlignment="1" applyProtection="1">
      <alignment horizontal="right"/>
      <protection locked="0"/>
    </xf>
    <xf numFmtId="10" fontId="51" fillId="5" borderId="10" xfId="1" applyNumberFormat="1" applyFont="1" applyFill="1" applyBorder="1"/>
    <xf numFmtId="10" fontId="51" fillId="2" borderId="0" xfId="1" applyNumberFormat="1" applyFont="1" applyFill="1" applyBorder="1" applyAlignment="1" applyProtection="1">
      <alignment horizontal="right"/>
      <protection locked="0"/>
    </xf>
    <xf numFmtId="10" fontId="23" fillId="0" borderId="0" xfId="1" applyNumberFormat="1" applyFont="1" applyFill="1" applyBorder="1" applyAlignment="1" applyProtection="1">
      <alignment horizontal="right"/>
      <protection locked="0"/>
    </xf>
    <xf numFmtId="10" fontId="51" fillId="0" borderId="0" xfId="1" applyNumberFormat="1" applyFont="1"/>
    <xf numFmtId="10" fontId="51" fillId="0" borderId="0" xfId="0" applyNumberFormat="1" applyFont="1"/>
    <xf numFmtId="43" fontId="31" fillId="2" borderId="26" xfId="9" applyFont="1" applyFill="1" applyBorder="1" applyAlignment="1" applyProtection="1">
      <alignment horizontal="left" indent="2"/>
      <protection locked="0"/>
    </xf>
    <xf numFmtId="43" fontId="51" fillId="0" borderId="0" xfId="9" applyFont="1" applyFill="1" applyBorder="1" applyAlignment="1" applyProtection="1">
      <alignment horizontal="left"/>
      <protection locked="0"/>
    </xf>
    <xf numFmtId="10" fontId="27" fillId="0" borderId="0" xfId="1" quotePrefix="1" applyNumberFormat="1" applyFont="1" applyFill="1" applyBorder="1" applyAlignment="1" applyProtection="1">
      <alignment horizontal="right"/>
      <protection locked="0"/>
    </xf>
    <xf numFmtId="43" fontId="2" fillId="0" borderId="20" xfId="9" applyFont="1" applyBorder="1"/>
    <xf numFmtId="43" fontId="3" fillId="0" borderId="20" xfId="9" applyFont="1" applyBorder="1" applyAlignment="1">
      <alignment horizontal="left" indent="1"/>
    </xf>
    <xf numFmtId="9" fontId="51" fillId="2" borderId="0" xfId="1" applyFont="1" applyFill="1" applyProtection="1">
      <protection locked="0"/>
    </xf>
    <xf numFmtId="0" fontId="39" fillId="9" borderId="19" xfId="0" applyFont="1" applyFill="1" applyBorder="1" applyAlignment="1">
      <alignment horizontal="centerContinuous"/>
    </xf>
    <xf numFmtId="0" fontId="39" fillId="9" borderId="16" xfId="0" applyFont="1" applyFill="1" applyBorder="1" applyAlignment="1">
      <alignment horizontal="center"/>
    </xf>
    <xf numFmtId="0" fontId="39" fillId="9" borderId="25" xfId="0" applyFont="1" applyFill="1" applyBorder="1" applyAlignment="1">
      <alignment horizontal="center"/>
    </xf>
    <xf numFmtId="43" fontId="39" fillId="9" borderId="23" xfId="9" applyFont="1" applyFill="1" applyBorder="1"/>
    <xf numFmtId="9" fontId="0" fillId="0" borderId="0" xfId="0" applyNumberFormat="1" applyAlignment="1">
      <alignment horizontal="center"/>
    </xf>
    <xf numFmtId="191" fontId="32" fillId="0" borderId="0" xfId="0" applyNumberFormat="1" applyFont="1" applyAlignment="1">
      <alignment horizontal="center"/>
    </xf>
    <xf numFmtId="191" fontId="32" fillId="0" borderId="21" xfId="0" applyNumberFormat="1" applyFont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191" fontId="32" fillId="0" borderId="16" xfId="0" applyNumberFormat="1" applyFont="1" applyBorder="1" applyAlignment="1">
      <alignment horizontal="center"/>
    </xf>
    <xf numFmtId="191" fontId="32" fillId="0" borderId="25" xfId="0" applyNumberFormat="1" applyFont="1" applyBorder="1" applyAlignment="1">
      <alignment horizontal="center"/>
    </xf>
    <xf numFmtId="0" fontId="64" fillId="9" borderId="18" xfId="0" applyFont="1" applyFill="1" applyBorder="1" applyAlignment="1">
      <alignment horizontal="centerContinuous"/>
    </xf>
    <xf numFmtId="0" fontId="64" fillId="9" borderId="19" xfId="0" applyFont="1" applyFill="1" applyBorder="1" applyAlignment="1">
      <alignment horizontal="centerContinuous"/>
    </xf>
    <xf numFmtId="191" fontId="32" fillId="0" borderId="21" xfId="0" applyNumberFormat="1" applyFont="1" applyBorder="1" applyAlignment="1">
      <alignment horizontal="right"/>
    </xf>
    <xf numFmtId="43" fontId="39" fillId="9" borderId="17" xfId="9" applyFont="1" applyFill="1" applyBorder="1" applyAlignment="1">
      <alignment horizontal="centerContinuous"/>
    </xf>
    <xf numFmtId="187" fontId="0" fillId="0" borderId="21" xfId="0" applyNumberFormat="1" applyBorder="1"/>
    <xf numFmtId="43" fontId="39" fillId="9" borderId="17" xfId="9" applyFont="1" applyFill="1" applyBorder="1" applyAlignment="1">
      <alignment horizontal="center"/>
    </xf>
    <xf numFmtId="43" fontId="3" fillId="7" borderId="14" xfId="9" applyFont="1" applyFill="1" applyBorder="1"/>
    <xf numFmtId="9" fontId="3" fillId="7" borderId="22" xfId="0" applyNumberFormat="1" applyFont="1" applyFill="1" applyBorder="1" applyAlignment="1">
      <alignment horizontal="center"/>
    </xf>
    <xf numFmtId="191" fontId="27" fillId="7" borderId="22" xfId="0" applyNumberFormat="1" applyFont="1" applyFill="1" applyBorder="1" applyAlignment="1">
      <alignment horizontal="center"/>
    </xf>
    <xf numFmtId="191" fontId="27" fillId="7" borderId="15" xfId="0" applyNumberFormat="1" applyFont="1" applyFill="1" applyBorder="1" applyAlignment="1">
      <alignment horizontal="center"/>
    </xf>
    <xf numFmtId="194" fontId="27" fillId="0" borderId="0" xfId="9" applyNumberFormat="1" applyFont="1"/>
    <xf numFmtId="194" fontId="27" fillId="2" borderId="8" xfId="9" quotePrefix="1" applyNumberFormat="1" applyFont="1" applyFill="1" applyBorder="1" applyAlignment="1" applyProtection="1">
      <protection locked="0"/>
    </xf>
    <xf numFmtId="194" fontId="27" fillId="5" borderId="11" xfId="9" applyNumberFormat="1" applyFont="1" applyFill="1" applyBorder="1" applyAlignment="1"/>
    <xf numFmtId="194" fontId="36" fillId="0" borderId="0" xfId="9" applyNumberFormat="1" applyFont="1"/>
    <xf numFmtId="194" fontId="33" fillId="2" borderId="0" xfId="9" quotePrefix="1" applyNumberFormat="1" applyFont="1" applyFill="1" applyBorder="1" applyAlignment="1" applyProtection="1">
      <protection locked="0"/>
    </xf>
    <xf numFmtId="194" fontId="33" fillId="5" borderId="10" xfId="9" applyNumberFormat="1" applyFont="1" applyFill="1" applyBorder="1" applyAlignment="1"/>
    <xf numFmtId="43" fontId="32" fillId="5" borderId="10" xfId="9" applyFont="1" applyFill="1" applyBorder="1" applyAlignment="1"/>
    <xf numFmtId="43" fontId="32" fillId="5" borderId="10" xfId="9" applyFont="1" applyFill="1" applyBorder="1" applyAlignment="1">
      <alignment horizontal="right"/>
    </xf>
    <xf numFmtId="43" fontId="32" fillId="2" borderId="0" xfId="9" quotePrefix="1" applyFont="1" applyFill="1" applyBorder="1" applyAlignment="1" applyProtection="1">
      <alignment horizontal="right"/>
      <protection locked="0"/>
    </xf>
    <xf numFmtId="43" fontId="32" fillId="0" borderId="0" xfId="9" applyFont="1" applyFill="1" applyBorder="1" applyAlignment="1" applyProtection="1">
      <alignment horizontal="right"/>
      <protection locked="0"/>
    </xf>
    <xf numFmtId="43" fontId="32" fillId="0" borderId="0" xfId="9" quotePrefix="1" applyFont="1" applyFill="1" applyBorder="1" applyAlignment="1" applyProtection="1">
      <alignment horizontal="right"/>
      <protection locked="0"/>
    </xf>
    <xf numFmtId="43" fontId="27" fillId="0" borderId="7" xfId="9" applyFont="1" applyBorder="1" applyAlignment="1">
      <alignment horizontal="left" indent="1"/>
    </xf>
    <xf numFmtId="175" fontId="27" fillId="2" borderId="8" xfId="9" quotePrefix="1" applyNumberFormat="1" applyFont="1" applyFill="1" applyBorder="1" applyAlignment="1" applyProtection="1">
      <protection locked="0"/>
    </xf>
    <xf numFmtId="175" fontId="27" fillId="5" borderId="11" xfId="9" applyNumberFormat="1" applyFont="1" applyFill="1" applyBorder="1" applyAlignment="1"/>
    <xf numFmtId="175" fontId="32" fillId="5" borderId="10" xfId="9" applyNumberFormat="1" applyFont="1" applyFill="1" applyBorder="1" applyAlignment="1"/>
    <xf numFmtId="191" fontId="27" fillId="2" borderId="8" xfId="9" quotePrefix="1" applyNumberFormat="1" applyFont="1" applyFill="1" applyBorder="1" applyAlignment="1" applyProtection="1">
      <protection locked="0"/>
    </xf>
    <xf numFmtId="191" fontId="27" fillId="5" borderId="11" xfId="9" applyNumberFormat="1" applyFont="1" applyFill="1" applyBorder="1" applyAlignment="1"/>
    <xf numFmtId="187" fontId="54" fillId="0" borderId="0" xfId="9" quotePrefix="1" applyNumberFormat="1" applyFont="1" applyFill="1" applyBorder="1" applyAlignment="1" applyProtection="1">
      <alignment horizontal="right"/>
      <protection locked="0"/>
    </xf>
    <xf numFmtId="187" fontId="54" fillId="0" borderId="0" xfId="9" applyNumberFormat="1" applyFont="1" applyFill="1" applyBorder="1" applyAlignment="1" applyProtection="1">
      <alignment horizontal="right"/>
      <protection locked="0"/>
    </xf>
    <xf numFmtId="187" fontId="54" fillId="5" borderId="10" xfId="9" applyNumberFormat="1" applyFont="1" applyFill="1" applyBorder="1" applyAlignment="1">
      <alignment horizontal="right"/>
    </xf>
    <xf numFmtId="187" fontId="54" fillId="2" borderId="0" xfId="9" applyNumberFormat="1" applyFont="1" applyFill="1" applyAlignment="1" applyProtection="1">
      <alignment horizontal="right"/>
      <protection locked="0"/>
    </xf>
    <xf numFmtId="10" fontId="32" fillId="2" borderId="0" xfId="9" applyNumberFormat="1" applyFont="1" applyFill="1" applyBorder="1" applyAlignment="1" applyProtection="1">
      <alignment horizontal="right"/>
      <protection locked="0"/>
    </xf>
    <xf numFmtId="175" fontId="32" fillId="2" borderId="0" xfId="9" applyNumberFormat="1" applyFont="1" applyFill="1" applyBorder="1" applyAlignment="1" applyProtection="1">
      <alignment horizontal="right"/>
      <protection locked="0"/>
    </xf>
    <xf numFmtId="10" fontId="32" fillId="2" borderId="0" xfId="9" quotePrefix="1" applyNumberFormat="1" applyFont="1" applyFill="1" applyBorder="1" applyAlignment="1" applyProtection="1">
      <alignment horizontal="right"/>
      <protection locked="0"/>
    </xf>
    <xf numFmtId="10" fontId="32" fillId="5" borderId="10" xfId="9" applyNumberFormat="1" applyFont="1" applyFill="1" applyBorder="1" applyAlignment="1">
      <alignment horizontal="right"/>
    </xf>
    <xf numFmtId="175" fontId="32" fillId="2" borderId="0" xfId="9" quotePrefix="1" applyNumberFormat="1" applyFont="1" applyFill="1" applyBorder="1" applyAlignment="1" applyProtection="1">
      <alignment horizontal="right"/>
      <protection locked="0"/>
    </xf>
    <xf numFmtId="175" fontId="32" fillId="0" borderId="0" xfId="9" applyNumberFormat="1" applyFont="1" applyFill="1" applyBorder="1" applyAlignment="1" applyProtection="1">
      <alignment horizontal="right"/>
      <protection locked="0"/>
    </xf>
    <xf numFmtId="175" fontId="23" fillId="2" borderId="0" xfId="9" quotePrefix="1" applyNumberFormat="1" applyFont="1" applyFill="1" applyBorder="1" applyAlignment="1" applyProtection="1">
      <alignment horizontal="right"/>
      <protection locked="0"/>
    </xf>
    <xf numFmtId="43" fontId="29" fillId="2" borderId="0" xfId="9" applyFont="1" applyFill="1"/>
    <xf numFmtId="43" fontId="52" fillId="2" borderId="0" xfId="9" applyFont="1" applyFill="1" applyBorder="1" applyAlignment="1">
      <alignment horizontal="left" indent="2"/>
    </xf>
    <xf numFmtId="191" fontId="32" fillId="2" borderId="21" xfId="0" applyNumberFormat="1" applyFont="1" applyFill="1" applyBorder="1" applyAlignment="1">
      <alignment horizontal="center"/>
    </xf>
    <xf numFmtId="187" fontId="57" fillId="0" borderId="0" xfId="9" applyNumberFormat="1" applyFont="1" applyFill="1" applyBorder="1" applyProtection="1">
      <protection locked="0"/>
    </xf>
    <xf numFmtId="196" fontId="43" fillId="0" borderId="0" xfId="0" applyNumberFormat="1" applyFont="1" applyAlignment="1">
      <alignment horizontal="right"/>
    </xf>
    <xf numFmtId="189" fontId="31" fillId="2" borderId="0" xfId="9" applyNumberFormat="1" applyFont="1" applyFill="1" applyProtection="1">
      <protection locked="0"/>
    </xf>
    <xf numFmtId="189" fontId="29" fillId="2" borderId="0" xfId="9" applyNumberFormat="1" applyFont="1" applyFill="1" applyAlignment="1" applyProtection="1">
      <alignment horizontal="right"/>
      <protection locked="0"/>
    </xf>
    <xf numFmtId="195" fontId="51" fillId="2" borderId="0" xfId="8" applyNumberFormat="1" applyFont="1" applyFill="1" applyAlignment="1">
      <alignment horizontal="right"/>
      <protection locked="0"/>
    </xf>
    <xf numFmtId="43" fontId="27" fillId="2" borderId="8" xfId="9" quotePrefix="1" applyFont="1" applyFill="1" applyBorder="1" applyAlignment="1" applyProtection="1">
      <protection locked="0"/>
    </xf>
    <xf numFmtId="187" fontId="3" fillId="0" borderId="0" xfId="0" applyNumberFormat="1" applyFont="1"/>
    <xf numFmtId="10" fontId="32" fillId="0" borderId="0" xfId="1" quotePrefix="1" applyNumberFormat="1" applyFont="1" applyFill="1" applyBorder="1" applyAlignment="1" applyProtection="1">
      <alignment horizontal="right"/>
      <protection locked="0"/>
    </xf>
    <xf numFmtId="43" fontId="27" fillId="0" borderId="0" xfId="9" quotePrefix="1" applyFont="1" applyFill="1" applyBorder="1" applyAlignment="1" applyProtection="1">
      <alignment horizontal="right"/>
      <protection locked="0"/>
    </xf>
    <xf numFmtId="189" fontId="32" fillId="10" borderId="10" xfId="9" applyNumberFormat="1" applyFont="1" applyFill="1" applyBorder="1" applyAlignment="1">
      <alignment horizontal="right"/>
    </xf>
    <xf numFmtId="9" fontId="0" fillId="0" borderId="13" xfId="0" applyNumberFormat="1" applyBorder="1" applyAlignment="1">
      <alignment horizontal="center"/>
    </xf>
    <xf numFmtId="9" fontId="0" fillId="0" borderId="24" xfId="0" applyNumberFormat="1" applyBorder="1" applyAlignment="1">
      <alignment horizontal="center"/>
    </xf>
    <xf numFmtId="9" fontId="0" fillId="2" borderId="13" xfId="0" applyNumberFormat="1" applyFill="1" applyBorder="1" applyAlignment="1">
      <alignment horizontal="center"/>
    </xf>
    <xf numFmtId="191" fontId="32" fillId="2" borderId="13" xfId="0" applyNumberFormat="1" applyFont="1" applyFill="1" applyBorder="1" applyAlignment="1">
      <alignment horizontal="center"/>
    </xf>
    <xf numFmtId="191" fontId="32" fillId="0" borderId="24" xfId="0" applyNumberFormat="1" applyFont="1" applyBorder="1" applyAlignment="1">
      <alignment horizontal="center"/>
    </xf>
    <xf numFmtId="0" fontId="39" fillId="9" borderId="18" xfId="0" applyFont="1" applyFill="1" applyBorder="1" applyAlignment="1">
      <alignment horizontal="centerContinuous"/>
    </xf>
    <xf numFmtId="0" fontId="4" fillId="2" borderId="0" xfId="0" applyFont="1" applyFill="1"/>
    <xf numFmtId="0" fontId="24" fillId="2" borderId="0" xfId="8" applyFont="1" applyFill="1">
      <protection locked="0"/>
    </xf>
    <xf numFmtId="0" fontId="24" fillId="2" borderId="0" xfId="8" applyFont="1" applyFill="1" applyAlignment="1">
      <alignment horizontal="right"/>
      <protection locked="0"/>
    </xf>
    <xf numFmtId="9" fontId="2" fillId="2" borderId="0" xfId="1" applyFont="1" applyFill="1" applyBorder="1" applyAlignment="1">
      <alignment horizontal="right"/>
    </xf>
    <xf numFmtId="9" fontId="2" fillId="2" borderId="0" xfId="1" applyFont="1" applyFill="1"/>
    <xf numFmtId="9" fontId="24" fillId="2" borderId="0" xfId="1" applyFont="1" applyFill="1" applyProtection="1">
      <protection locked="0"/>
    </xf>
    <xf numFmtId="9" fontId="24" fillId="2" borderId="0" xfId="1" applyFont="1" applyFill="1" applyAlignment="1" applyProtection="1">
      <alignment horizontal="right"/>
      <protection locked="0"/>
    </xf>
    <xf numFmtId="9" fontId="3" fillId="2" borderId="0" xfId="1" applyFont="1" applyFill="1"/>
    <xf numFmtId="9" fontId="22" fillId="2" borderId="0" xfId="1" applyFont="1" applyFill="1" applyProtection="1">
      <protection locked="0"/>
    </xf>
    <xf numFmtId="9" fontId="22" fillId="2" borderId="0" xfId="1" applyFont="1" applyFill="1" applyAlignment="1" applyProtection="1">
      <alignment horizontal="right"/>
      <protection locked="0"/>
    </xf>
    <xf numFmtId="9" fontId="3" fillId="2" borderId="0" xfId="1" applyFont="1" applyFill="1" applyBorder="1" applyAlignment="1">
      <alignment horizontal="right"/>
    </xf>
    <xf numFmtId="187" fontId="51" fillId="0" borderId="0" xfId="9" applyNumberFormat="1" applyFont="1" applyFill="1" applyBorder="1" applyAlignment="1" applyProtection="1">
      <alignment horizontal="left" indent="2"/>
      <protection locked="0"/>
    </xf>
    <xf numFmtId="175" fontId="27" fillId="10" borderId="11" xfId="9" applyNumberFormat="1" applyFont="1" applyFill="1" applyBorder="1" applyAlignment="1"/>
    <xf numFmtId="9" fontId="32" fillId="2" borderId="0" xfId="1" quotePrefix="1" applyFont="1" applyFill="1" applyBorder="1" applyAlignment="1" applyProtection="1">
      <protection locked="0"/>
    </xf>
    <xf numFmtId="175" fontId="32" fillId="2" borderId="0" xfId="1" quotePrefix="1" applyNumberFormat="1" applyFont="1" applyFill="1" applyBorder="1" applyAlignment="1" applyProtection="1">
      <alignment horizontal="right"/>
      <protection locked="0"/>
    </xf>
    <xf numFmtId="187" fontId="61" fillId="2" borderId="0" xfId="9" quotePrefix="1" applyNumberFormat="1" applyFont="1" applyFill="1" applyBorder="1" applyAlignment="1" applyProtection="1">
      <protection locked="0"/>
    </xf>
    <xf numFmtId="187" fontId="61" fillId="5" borderId="10" xfId="9" applyNumberFormat="1" applyFont="1" applyFill="1" applyBorder="1" applyAlignment="1"/>
    <xf numFmtId="189" fontId="61" fillId="2" borderId="0" xfId="9" applyNumberFormat="1" applyFont="1" applyFill="1" applyAlignment="1" applyProtection="1">
      <alignment horizontal="center"/>
      <protection locked="0"/>
    </xf>
    <xf numFmtId="189" fontId="61" fillId="5" borderId="10" xfId="9" applyNumberFormat="1" applyFont="1" applyFill="1" applyBorder="1" applyAlignment="1" applyProtection="1">
      <alignment horizontal="center"/>
      <protection locked="0"/>
    </xf>
    <xf numFmtId="9" fontId="23" fillId="2" borderId="0" xfId="1" quotePrefix="1" applyFont="1" applyFill="1" applyBorder="1" applyAlignment="1" applyProtection="1">
      <protection locked="0"/>
    </xf>
    <xf numFmtId="43" fontId="32" fillId="2" borderId="0" xfId="9" applyFont="1" applyFill="1" applyBorder="1" applyAlignment="1">
      <alignment horizontal="left" indent="1"/>
    </xf>
    <xf numFmtId="10" fontId="32" fillId="0" borderId="0" xfId="1" applyNumberFormat="1" applyFont="1" applyFill="1" applyBorder="1" applyAlignment="1" applyProtection="1">
      <alignment horizontal="right"/>
      <protection locked="0"/>
    </xf>
    <xf numFmtId="10" fontId="32" fillId="5" borderId="10" xfId="1" applyNumberFormat="1" applyFont="1" applyFill="1" applyBorder="1" applyAlignment="1">
      <alignment horizontal="right"/>
    </xf>
    <xf numFmtId="10" fontId="23" fillId="0" borderId="0" xfId="1" quotePrefix="1" applyNumberFormat="1" applyFont="1" applyFill="1" applyBorder="1" applyAlignment="1" applyProtection="1">
      <alignment horizontal="right"/>
      <protection locked="0"/>
    </xf>
    <xf numFmtId="10" fontId="23" fillId="5" borderId="10" xfId="1" applyNumberFormat="1" applyFont="1" applyFill="1" applyBorder="1" applyAlignment="1">
      <alignment horizontal="right"/>
    </xf>
    <xf numFmtId="175" fontId="23" fillId="2" borderId="0" xfId="1" quotePrefix="1" applyNumberFormat="1" applyFont="1" applyFill="1" applyBorder="1" applyAlignment="1" applyProtection="1">
      <alignment horizontal="right"/>
      <protection locked="0"/>
    </xf>
    <xf numFmtId="9" fontId="29" fillId="0" borderId="0" xfId="1" applyFont="1" applyAlignment="1" applyProtection="1">
      <alignment horizontal="right"/>
      <protection locked="0"/>
    </xf>
    <xf numFmtId="175" fontId="23" fillId="2" borderId="0" xfId="1" applyNumberFormat="1" applyFont="1" applyFill="1" applyBorder="1" applyAlignment="1" applyProtection="1">
      <alignment horizontal="right"/>
      <protection locked="0"/>
    </xf>
    <xf numFmtId="189" fontId="65" fillId="2" borderId="0" xfId="9" quotePrefix="1" applyNumberFormat="1" applyFont="1" applyFill="1" applyBorder="1" applyAlignment="1" applyProtection="1">
      <alignment horizontal="right"/>
      <protection locked="0"/>
    </xf>
    <xf numFmtId="189" fontId="65" fillId="5" borderId="10" xfId="9" applyNumberFormat="1" applyFont="1" applyFill="1" applyBorder="1" applyAlignment="1">
      <alignment horizontal="right"/>
    </xf>
    <xf numFmtId="9" fontId="52" fillId="2" borderId="0" xfId="1" applyFont="1" applyFill="1" applyProtection="1">
      <protection locked="0"/>
    </xf>
    <xf numFmtId="187" fontId="23" fillId="0" borderId="0" xfId="1" quotePrefix="1" applyNumberFormat="1" applyFont="1" applyFill="1" applyBorder="1" applyAlignment="1" applyProtection="1">
      <alignment horizontal="right"/>
      <protection locked="0"/>
    </xf>
    <xf numFmtId="187" fontId="23" fillId="0" borderId="0" xfId="1" applyNumberFormat="1" applyFont="1" applyFill="1" applyBorder="1" applyAlignment="1" applyProtection="1">
      <alignment horizontal="right"/>
      <protection locked="0"/>
    </xf>
    <xf numFmtId="185" fontId="22" fillId="0" borderId="0" xfId="9" applyNumberFormat="1" applyFont="1" applyBorder="1" applyAlignment="1" applyProtection="1">
      <alignment horizontal="right"/>
      <protection locked="0"/>
    </xf>
    <xf numFmtId="185" fontId="3" fillId="4" borderId="10" xfId="9" applyNumberFormat="1" applyFont="1" applyFill="1" applyBorder="1" applyAlignment="1">
      <alignment horizontal="right"/>
    </xf>
    <xf numFmtId="185" fontId="22" fillId="2" borderId="0" xfId="9" applyNumberFormat="1" applyFont="1" applyFill="1" applyBorder="1" applyAlignment="1" applyProtection="1">
      <alignment horizontal="right"/>
      <protection locked="0"/>
    </xf>
    <xf numFmtId="9" fontId="32" fillId="4" borderId="10" xfId="0" applyNumberFormat="1" applyFont="1" applyFill="1" applyBorder="1"/>
    <xf numFmtId="9" fontId="0" fillId="2" borderId="0" xfId="0" applyNumberFormat="1" applyFill="1" applyAlignment="1">
      <alignment horizontal="center"/>
    </xf>
    <xf numFmtId="191" fontId="32" fillId="2" borderId="0" xfId="0" applyNumberFormat="1" applyFont="1" applyFill="1" applyAlignment="1">
      <alignment horizontal="center"/>
    </xf>
    <xf numFmtId="0" fontId="39" fillId="9" borderId="21" xfId="0" applyFont="1" applyFill="1" applyBorder="1" applyAlignment="1">
      <alignment horizontal="center"/>
    </xf>
    <xf numFmtId="9" fontId="0" fillId="0" borderId="27" xfId="0" applyNumberFormat="1" applyBorder="1" applyAlignment="1">
      <alignment horizontal="center"/>
    </xf>
    <xf numFmtId="191" fontId="32" fillId="0" borderId="27" xfId="0" applyNumberFormat="1" applyFont="1" applyBorder="1" applyAlignment="1">
      <alignment horizontal="center"/>
    </xf>
    <xf numFmtId="43" fontId="3" fillId="0" borderId="17" xfId="9" applyFont="1" applyBorder="1" applyAlignment="1">
      <alignment horizontal="left" indent="1"/>
    </xf>
    <xf numFmtId="43" fontId="3" fillId="2" borderId="20" xfId="9" applyFont="1" applyFill="1" applyBorder="1" applyAlignment="1">
      <alignment horizontal="left" indent="1"/>
    </xf>
    <xf numFmtId="43" fontId="3" fillId="0" borderId="23" xfId="9" applyFont="1" applyBorder="1" applyAlignment="1">
      <alignment horizontal="left" indent="1"/>
    </xf>
    <xf numFmtId="43" fontId="4" fillId="9" borderId="23" xfId="9" applyFont="1" applyFill="1" applyBorder="1"/>
    <xf numFmtId="0" fontId="3" fillId="7" borderId="0" xfId="0" applyFont="1" applyFill="1"/>
    <xf numFmtId="187" fontId="3" fillId="7" borderId="21" xfId="0" applyNumberFormat="1" applyFont="1" applyFill="1" applyBorder="1"/>
    <xf numFmtId="43" fontId="3" fillId="7" borderId="20" xfId="9" applyFont="1" applyFill="1" applyBorder="1"/>
    <xf numFmtId="9" fontId="4" fillId="0" borderId="0" xfId="0" applyNumberFormat="1" applyFont="1"/>
    <xf numFmtId="9" fontId="66" fillId="0" borderId="0" xfId="1" applyFont="1" applyFill="1" applyBorder="1" applyProtection="1">
      <protection locked="0"/>
    </xf>
    <xf numFmtId="187" fontId="66" fillId="0" borderId="0" xfId="9" applyNumberFormat="1" applyFont="1" applyFill="1" applyBorder="1" applyProtection="1">
      <protection locked="0"/>
    </xf>
    <xf numFmtId="175" fontId="4" fillId="0" borderId="0" xfId="1" applyNumberFormat="1" applyFont="1" applyFill="1" applyBorder="1"/>
    <xf numFmtId="9" fontId="4" fillId="0" borderId="0" xfId="1" applyFont="1" applyFill="1" applyBorder="1"/>
    <xf numFmtId="9" fontId="4" fillId="0" borderId="0" xfId="1" applyFont="1" applyFill="1" applyBorder="1" applyAlignment="1">
      <alignment horizontal="right"/>
    </xf>
    <xf numFmtId="0" fontId="4" fillId="0" borderId="0" xfId="0" applyFont="1" applyAlignment="1">
      <alignment horizontal="right"/>
    </xf>
    <xf numFmtId="10" fontId="4" fillId="0" borderId="0" xfId="1" applyNumberFormat="1" applyFont="1" applyFill="1" applyBorder="1"/>
    <xf numFmtId="193" fontId="4" fillId="2" borderId="0" xfId="0" applyNumberFormat="1" applyFont="1" applyFill="1"/>
    <xf numFmtId="185" fontId="4" fillId="0" borderId="0" xfId="9" applyNumberFormat="1" applyFont="1"/>
    <xf numFmtId="185" fontId="4" fillId="0" borderId="0" xfId="1" applyNumberFormat="1" applyFont="1" applyFill="1" applyBorder="1"/>
    <xf numFmtId="185" fontId="39" fillId="0" borderId="0" xfId="9" applyNumberFormat="1" applyFont="1" applyAlignment="1">
      <alignment horizontal="right"/>
    </xf>
    <xf numFmtId="185" fontId="4" fillId="0" borderId="0" xfId="0" applyNumberFormat="1" applyFont="1"/>
    <xf numFmtId="175" fontId="4" fillId="0" borderId="0" xfId="9" applyNumberFormat="1" applyFont="1"/>
    <xf numFmtId="175" fontId="4" fillId="0" borderId="0" xfId="0" applyNumberFormat="1" applyFont="1"/>
    <xf numFmtId="9" fontId="51" fillId="0" borderId="0" xfId="1" applyFont="1"/>
    <xf numFmtId="43" fontId="51" fillId="2" borderId="0" xfId="9" applyFont="1" applyFill="1" applyAlignment="1">
      <alignment horizontal="left" indent="1"/>
    </xf>
    <xf numFmtId="187" fontId="32" fillId="5" borderId="10" xfId="9" applyNumberFormat="1" applyFont="1" applyFill="1" applyBorder="1" applyAlignment="1">
      <alignment horizontal="center"/>
    </xf>
    <xf numFmtId="9" fontId="32" fillId="5" borderId="10" xfId="1" applyFont="1" applyFill="1" applyBorder="1" applyAlignment="1"/>
    <xf numFmtId="175" fontId="23" fillId="5" borderId="10" xfId="9" applyNumberFormat="1" applyFont="1" applyFill="1" applyBorder="1" applyAlignment="1">
      <alignment horizontal="right"/>
    </xf>
    <xf numFmtId="175" fontId="23" fillId="0" borderId="0" xfId="9" applyNumberFormat="1" applyFont="1"/>
    <xf numFmtId="43" fontId="32" fillId="2" borderId="0" xfId="9" applyFont="1" applyFill="1" applyBorder="1" applyAlignment="1" applyProtection="1">
      <alignment horizontal="left" indent="2"/>
      <protection locked="0"/>
    </xf>
    <xf numFmtId="184" fontId="30" fillId="0" borderId="0" xfId="9" applyNumberFormat="1" applyFont="1"/>
    <xf numFmtId="189" fontId="27" fillId="4" borderId="11" xfId="9" applyNumberFormat="1" applyFont="1" applyFill="1" applyBorder="1" applyAlignment="1"/>
    <xf numFmtId="189" fontId="0" fillId="4" borderId="10" xfId="9" applyNumberFormat="1" applyFont="1" applyFill="1" applyBorder="1"/>
    <xf numFmtId="187" fontId="32" fillId="0" borderId="0" xfId="0" applyNumberFormat="1" applyFont="1"/>
    <xf numFmtId="175" fontId="32" fillId="2" borderId="0" xfId="9" quotePrefix="1" applyNumberFormat="1" applyFont="1" applyFill="1" applyBorder="1" applyAlignment="1" applyProtection="1">
      <alignment horizontal="center"/>
      <protection locked="0"/>
    </xf>
    <xf numFmtId="43" fontId="33" fillId="2" borderId="0" xfId="9" applyFont="1" applyFill="1" applyBorder="1" applyAlignment="1" applyProtection="1">
      <alignment horizontal="left" indent="2"/>
      <protection locked="0"/>
    </xf>
    <xf numFmtId="43" fontId="51" fillId="2" borderId="0" xfId="9" applyFont="1" applyFill="1" applyBorder="1" applyAlignment="1" applyProtection="1">
      <alignment horizontal="left" indent="3"/>
      <protection locked="0"/>
    </xf>
    <xf numFmtId="187" fontId="54" fillId="5" borderId="10" xfId="9" applyNumberFormat="1" applyFont="1" applyFill="1" applyBorder="1"/>
    <xf numFmtId="187" fontId="54" fillId="2" borderId="0" xfId="9" quotePrefix="1" applyNumberFormat="1" applyFont="1" applyFill="1" applyBorder="1" applyAlignment="1" applyProtection="1">
      <alignment horizontal="right"/>
      <protection locked="0"/>
    </xf>
    <xf numFmtId="43" fontId="43" fillId="0" borderId="0" xfId="9" applyFont="1" applyBorder="1" applyAlignment="1">
      <alignment horizontal="left" indent="1"/>
    </xf>
    <xf numFmtId="43" fontId="43" fillId="2" borderId="0" xfId="9" applyFont="1" applyFill="1" applyAlignment="1">
      <alignment horizontal="left" indent="1"/>
    </xf>
    <xf numFmtId="43" fontId="52" fillId="0" borderId="0" xfId="9" applyFont="1" applyFill="1" applyBorder="1" applyAlignment="1" applyProtection="1">
      <alignment horizontal="left" indent="1"/>
      <protection locked="0"/>
    </xf>
    <xf numFmtId="187" fontId="32" fillId="0" borderId="0" xfId="9" quotePrefix="1" applyNumberFormat="1" applyFont="1" applyFill="1" applyBorder="1" applyAlignment="1" applyProtection="1">
      <protection locked="0"/>
    </xf>
    <xf numFmtId="187" fontId="32" fillId="0" borderId="0" xfId="9" applyNumberFormat="1" applyFont="1" applyFill="1" applyBorder="1" applyAlignment="1" applyProtection="1">
      <protection locked="0"/>
    </xf>
    <xf numFmtId="187" fontId="32" fillId="4" borderId="10" xfId="9" applyNumberFormat="1" applyFont="1" applyFill="1" applyBorder="1" applyAlignment="1"/>
    <xf numFmtId="189" fontId="23" fillId="4" borderId="9" xfId="0" applyNumberFormat="1" applyFont="1" applyFill="1" applyBorder="1"/>
    <xf numFmtId="189" fontId="0" fillId="4" borderId="9" xfId="0" applyNumberFormat="1" applyFill="1" applyBorder="1"/>
    <xf numFmtId="173" fontId="23" fillId="2" borderId="8" xfId="8" applyNumberFormat="1" applyFont="1" applyFill="1" applyBorder="1">
      <protection locked="0"/>
    </xf>
    <xf numFmtId="175" fontId="23" fillId="0" borderId="8" xfId="1" applyNumberFormat="1" applyFont="1" applyBorder="1" applyProtection="1">
      <protection locked="0"/>
    </xf>
    <xf numFmtId="175" fontId="2" fillId="2" borderId="7" xfId="1" applyNumberFormat="1" applyFont="1" applyFill="1" applyBorder="1"/>
    <xf numFmtId="175" fontId="32" fillId="4" borderId="11" xfId="1" applyNumberFormat="1" applyFont="1" applyFill="1" applyBorder="1"/>
    <xf numFmtId="175" fontId="2" fillId="0" borderId="0" xfId="1" applyNumberFormat="1" applyFont="1"/>
    <xf numFmtId="184" fontId="43" fillId="0" borderId="0" xfId="9" applyNumberFormat="1" applyFont="1" applyAlignment="1">
      <alignment horizontal="left" indent="1"/>
    </xf>
    <xf numFmtId="184" fontId="54" fillId="0" borderId="0" xfId="9" quotePrefix="1" applyNumberFormat="1" applyFont="1" applyFill="1" applyBorder="1" applyAlignment="1" applyProtection="1">
      <protection locked="0"/>
    </xf>
    <xf numFmtId="184" fontId="54" fillId="0" borderId="0" xfId="9" applyNumberFormat="1" applyFont="1" applyFill="1" applyBorder="1" applyAlignment="1" applyProtection="1">
      <protection locked="0"/>
    </xf>
    <xf numFmtId="184" fontId="54" fillId="4" borderId="10" xfId="9" applyNumberFormat="1" applyFont="1" applyFill="1" applyBorder="1" applyAlignment="1"/>
    <xf numFmtId="184" fontId="32" fillId="0" borderId="0" xfId="9" quotePrefix="1" applyNumberFormat="1" applyFont="1" applyFill="1" applyBorder="1" applyAlignment="1" applyProtection="1">
      <protection locked="0"/>
    </xf>
    <xf numFmtId="184" fontId="32" fillId="0" borderId="0" xfId="9" applyNumberFormat="1" applyFont="1" applyFill="1" applyBorder="1" applyAlignment="1" applyProtection="1">
      <protection locked="0"/>
    </xf>
    <xf numFmtId="184" fontId="32" fillId="4" borderId="10" xfId="9" applyNumberFormat="1" applyFont="1" applyFill="1" applyBorder="1" applyAlignment="1"/>
    <xf numFmtId="184" fontId="2" fillId="0" borderId="0" xfId="0" applyNumberFormat="1" applyFont="1"/>
    <xf numFmtId="43" fontId="23" fillId="0" borderId="0" xfId="9" applyFont="1" applyFill="1" applyBorder="1" applyAlignment="1" applyProtection="1">
      <alignment horizontal="right"/>
      <protection locked="0"/>
    </xf>
    <xf numFmtId="43" fontId="54" fillId="4" borderId="10" xfId="9" applyFont="1" applyFill="1" applyBorder="1"/>
    <xf numFmtId="43" fontId="54" fillId="2" borderId="0" xfId="9" applyFont="1" applyFill="1" applyProtection="1">
      <protection locked="0"/>
    </xf>
    <xf numFmtId="43" fontId="54" fillId="2" borderId="0" xfId="9" applyFont="1" applyFill="1" applyAlignment="1" applyProtection="1">
      <alignment horizontal="right"/>
      <protection locked="0"/>
    </xf>
    <xf numFmtId="43" fontId="0" fillId="0" borderId="20" xfId="9" applyFont="1" applyFill="1" applyBorder="1" applyAlignment="1">
      <alignment horizontal="left" indent="1"/>
    </xf>
    <xf numFmtId="197" fontId="0" fillId="0" borderId="0" xfId="0" applyNumberFormat="1"/>
    <xf numFmtId="10" fontId="0" fillId="0" borderId="0" xfId="0" applyNumberFormat="1"/>
    <xf numFmtId="43" fontId="0" fillId="0" borderId="0" xfId="0" applyNumberFormat="1"/>
    <xf numFmtId="43" fontId="0" fillId="2" borderId="0" xfId="0" applyNumberFormat="1" applyFill="1"/>
    <xf numFmtId="197" fontId="3" fillId="0" borderId="0" xfId="0" applyNumberFormat="1" applyFont="1"/>
    <xf numFmtId="9" fontId="0" fillId="0" borderId="0" xfId="1" applyFont="1"/>
    <xf numFmtId="189" fontId="0" fillId="0" borderId="0" xfId="0" applyNumberFormat="1"/>
    <xf numFmtId="195" fontId="0" fillId="0" borderId="0" xfId="0" applyNumberFormat="1"/>
    <xf numFmtId="43" fontId="3" fillId="0" borderId="0" xfId="0" applyNumberFormat="1" applyFont="1"/>
    <xf numFmtId="9" fontId="0" fillId="2" borderId="0" xfId="0" applyNumberFormat="1" applyFill="1"/>
    <xf numFmtId="189" fontId="0" fillId="2" borderId="0" xfId="9" applyNumberFormat="1" applyFont="1" applyFill="1"/>
    <xf numFmtId="9" fontId="0" fillId="2" borderId="0" xfId="1" applyFont="1" applyFill="1"/>
    <xf numFmtId="189" fontId="0" fillId="2" borderId="0" xfId="0" applyNumberFormat="1" applyFill="1"/>
    <xf numFmtId="9" fontId="3" fillId="0" borderId="0" xfId="0" applyNumberFormat="1" applyFont="1"/>
    <xf numFmtId="187" fontId="23" fillId="0" borderId="0" xfId="0" applyNumberFormat="1" applyFont="1"/>
    <xf numFmtId="187" fontId="23" fillId="0" borderId="21" xfId="0" applyNumberFormat="1" applyFont="1" applyBorder="1"/>
    <xf numFmtId="175" fontId="0" fillId="0" borderId="21" xfId="0" applyNumberFormat="1" applyBorder="1"/>
    <xf numFmtId="43" fontId="3" fillId="11" borderId="14" xfId="9" applyFont="1" applyFill="1" applyBorder="1"/>
    <xf numFmtId="9" fontId="3" fillId="11" borderId="22" xfId="0" applyNumberFormat="1" applyFont="1" applyFill="1" applyBorder="1" applyAlignment="1">
      <alignment horizontal="center"/>
    </xf>
    <xf numFmtId="191" fontId="27" fillId="11" borderId="22" xfId="0" applyNumberFormat="1" applyFont="1" applyFill="1" applyBorder="1" applyAlignment="1">
      <alignment horizontal="center"/>
    </xf>
    <xf numFmtId="191" fontId="27" fillId="11" borderId="15" xfId="0" applyNumberFormat="1" applyFont="1" applyFill="1" applyBorder="1" applyAlignment="1">
      <alignment horizontal="center"/>
    </xf>
    <xf numFmtId="9" fontId="3" fillId="7" borderId="28" xfId="0" applyNumberFormat="1" applyFont="1" applyFill="1" applyBorder="1" applyAlignment="1">
      <alignment horizontal="center"/>
    </xf>
    <xf numFmtId="191" fontId="27" fillId="7" borderId="28" xfId="0" applyNumberFormat="1" applyFont="1" applyFill="1" applyBorder="1" applyAlignment="1">
      <alignment horizontal="center"/>
    </xf>
    <xf numFmtId="9" fontId="3" fillId="11" borderId="28" xfId="0" applyNumberFormat="1" applyFont="1" applyFill="1" applyBorder="1" applyAlignment="1">
      <alignment horizontal="center"/>
    </xf>
    <xf numFmtId="175" fontId="2" fillId="2" borderId="7" xfId="9" applyNumberFormat="1" applyFont="1" applyFill="1" applyBorder="1"/>
    <xf numFmtId="189" fontId="28" fillId="4" borderId="10" xfId="9" applyNumberFormat="1" applyFont="1" applyFill="1" applyBorder="1" applyAlignment="1">
      <alignment horizontal="right"/>
    </xf>
    <xf numFmtId="187" fontId="23" fillId="2" borderId="0" xfId="1" applyNumberFormat="1" applyFont="1" applyFill="1" applyBorder="1" applyAlignment="1" applyProtection="1">
      <alignment horizontal="right"/>
      <protection locked="0"/>
    </xf>
    <xf numFmtId="187" fontId="23" fillId="2" borderId="0" xfId="1" quotePrefix="1" applyNumberFormat="1" applyFont="1" applyFill="1" applyBorder="1" applyAlignment="1" applyProtection="1">
      <alignment horizontal="right"/>
      <protection locked="0"/>
    </xf>
    <xf numFmtId="9" fontId="29" fillId="0" borderId="0" xfId="1" applyFont="1" applyAlignment="1" applyProtection="1">
      <alignment horizontal="centerContinuous"/>
      <protection locked="0"/>
    </xf>
    <xf numFmtId="9" fontId="51" fillId="0" borderId="0" xfId="1" applyFont="1" applyProtection="1">
      <protection locked="0"/>
    </xf>
    <xf numFmtId="0" fontId="3" fillId="0" borderId="17" xfId="0" applyFont="1" applyBorder="1"/>
    <xf numFmtId="0" fontId="3" fillId="0" borderId="18" xfId="0" applyFont="1" applyBorder="1"/>
    <xf numFmtId="43" fontId="3" fillId="0" borderId="19" xfId="0" applyNumberFormat="1" applyFont="1" applyBorder="1"/>
    <xf numFmtId="0" fontId="3" fillId="0" borderId="23" xfId="0" applyFont="1" applyBorder="1"/>
    <xf numFmtId="0" fontId="3" fillId="0" borderId="16" xfId="0" applyFont="1" applyBorder="1"/>
    <xf numFmtId="9" fontId="3" fillId="0" borderId="25" xfId="1" applyFont="1" applyBorder="1"/>
    <xf numFmtId="43" fontId="43" fillId="0" borderId="20" xfId="9" applyFont="1" applyBorder="1" applyAlignment="1">
      <alignment horizontal="left" indent="1"/>
    </xf>
    <xf numFmtId="187" fontId="43" fillId="0" borderId="21" xfId="0" applyNumberFormat="1" applyFont="1" applyBorder="1"/>
    <xf numFmtId="175" fontId="23" fillId="0" borderId="0" xfId="9" applyNumberFormat="1" applyFont="1" applyFill="1" applyBorder="1" applyAlignment="1" applyProtection="1">
      <alignment horizontal="right"/>
      <protection locked="0"/>
    </xf>
    <xf numFmtId="175" fontId="54" fillId="4" borderId="10" xfId="9" applyNumberFormat="1" applyFont="1" applyFill="1" applyBorder="1"/>
    <xf numFmtId="175" fontId="54" fillId="2" borderId="0" xfId="9" applyNumberFormat="1" applyFont="1" applyFill="1" applyProtection="1">
      <protection locked="0"/>
    </xf>
    <xf numFmtId="175" fontId="54" fillId="2" borderId="0" xfId="9" applyNumberFormat="1" applyFont="1" applyFill="1" applyAlignment="1" applyProtection="1">
      <alignment horizontal="right"/>
      <protection locked="0"/>
    </xf>
    <xf numFmtId="43" fontId="54" fillId="0" borderId="0" xfId="9" applyFont="1" applyFill="1" applyBorder="1" applyAlignment="1" applyProtection="1">
      <alignment horizontal="right"/>
      <protection locked="0"/>
    </xf>
    <xf numFmtId="10" fontId="51" fillId="0" borderId="0" xfId="9" applyNumberFormat="1" applyFont="1" applyProtection="1">
      <protection locked="0"/>
    </xf>
    <xf numFmtId="43" fontId="29" fillId="5" borderId="10" xfId="9" applyFont="1" applyFill="1" applyBorder="1" applyAlignment="1" applyProtection="1">
      <alignment horizontal="center"/>
      <protection locked="0"/>
    </xf>
    <xf numFmtId="43" fontId="27" fillId="5" borderId="10" xfId="0" applyNumberFormat="1" applyFont="1" applyFill="1" applyBorder="1" applyAlignment="1">
      <alignment horizontal="right"/>
    </xf>
    <xf numFmtId="10" fontId="22" fillId="0" borderId="0" xfId="9" applyNumberFormat="1" applyFont="1" applyAlignment="1" applyProtection="1">
      <alignment horizontal="right"/>
      <protection locked="0"/>
    </xf>
    <xf numFmtId="43" fontId="32" fillId="2" borderId="0" xfId="1" applyNumberFormat="1" applyFont="1" applyFill="1" applyBorder="1" applyAlignment="1" applyProtection="1">
      <alignment horizontal="right"/>
      <protection locked="0"/>
    </xf>
    <xf numFmtId="9" fontId="4" fillId="2" borderId="0" xfId="1" applyFont="1" applyFill="1"/>
    <xf numFmtId="185" fontId="54" fillId="2" borderId="0" xfId="1" applyNumberFormat="1" applyFont="1" applyFill="1" applyBorder="1" applyAlignment="1" applyProtection="1">
      <alignment horizontal="right"/>
      <protection locked="0"/>
    </xf>
    <xf numFmtId="173" fontId="23" fillId="12" borderId="8" xfId="8" applyNumberFormat="1" applyFont="1" applyFill="1" applyBorder="1">
      <protection locked="0"/>
    </xf>
    <xf numFmtId="9" fontId="32" fillId="2" borderId="0" xfId="8" applyNumberFormat="1" applyFont="1" applyFill="1">
      <protection locked="0"/>
    </xf>
    <xf numFmtId="9" fontId="32" fillId="2" borderId="0" xfId="8" applyNumberFormat="1" applyFont="1" applyFill="1" applyAlignment="1">
      <alignment horizontal="right"/>
      <protection locked="0"/>
    </xf>
    <xf numFmtId="43" fontId="51" fillId="2" borderId="7" xfId="9" applyFont="1" applyFill="1" applyBorder="1" applyAlignment="1">
      <alignment horizontal="left" indent="1"/>
    </xf>
    <xf numFmtId="43" fontId="51" fillId="2" borderId="0" xfId="9" applyFont="1" applyFill="1" applyAlignment="1">
      <alignment horizontal="left" indent="2"/>
    </xf>
    <xf numFmtId="187" fontId="32" fillId="0" borderId="0" xfId="9" applyNumberFormat="1" applyFont="1" applyAlignment="1">
      <alignment horizontal="left" indent="1"/>
    </xf>
    <xf numFmtId="187" fontId="32" fillId="0" borderId="0" xfId="9" applyNumberFormat="1" applyFont="1" applyFill="1" applyBorder="1"/>
    <xf numFmtId="187" fontId="32" fillId="0" borderId="0" xfId="9" applyNumberFormat="1" applyFont="1" applyAlignment="1">
      <alignment horizontal="left" indent="2"/>
    </xf>
    <xf numFmtId="9" fontId="32" fillId="0" borderId="0" xfId="9" applyNumberFormat="1" applyFont="1" applyFill="1" applyBorder="1"/>
    <xf numFmtId="9" fontId="32" fillId="4" borderId="10" xfId="9" applyNumberFormat="1" applyFont="1" applyFill="1" applyBorder="1"/>
    <xf numFmtId="10" fontId="32" fillId="0" borderId="0" xfId="9" applyNumberFormat="1" applyFont="1" applyFill="1" applyBorder="1" applyAlignment="1" applyProtection="1">
      <alignment horizontal="right"/>
      <protection locked="0"/>
    </xf>
    <xf numFmtId="10" fontId="23" fillId="5" borderId="10" xfId="9" applyNumberFormat="1" applyFont="1" applyFill="1" applyBorder="1" applyAlignment="1">
      <alignment horizontal="right"/>
    </xf>
    <xf numFmtId="9" fontId="23" fillId="5" borderId="10" xfId="9" applyNumberFormat="1" applyFont="1" applyFill="1" applyBorder="1" applyAlignment="1">
      <alignment horizontal="right"/>
    </xf>
    <xf numFmtId="9" fontId="23" fillId="0" borderId="0" xfId="9" applyNumberFormat="1" applyFont="1" applyFill="1" applyBorder="1" applyAlignment="1" applyProtection="1">
      <alignment horizontal="right"/>
      <protection locked="0"/>
    </xf>
    <xf numFmtId="9" fontId="23" fillId="2" borderId="0" xfId="9" applyNumberFormat="1" applyFont="1" applyFill="1" applyBorder="1" applyAlignment="1" applyProtection="1">
      <alignment horizontal="right"/>
      <protection locked="0"/>
    </xf>
    <xf numFmtId="9" fontId="23" fillId="0" borderId="0" xfId="9" applyNumberFormat="1" applyFont="1"/>
    <xf numFmtId="10" fontId="32" fillId="2" borderId="0" xfId="9" quotePrefix="1" applyNumberFormat="1" applyFont="1" applyFill="1" applyBorder="1" applyAlignment="1" applyProtection="1">
      <alignment horizontal="center"/>
      <protection locked="0"/>
    </xf>
    <xf numFmtId="10" fontId="23" fillId="2" borderId="0" xfId="9" applyNumberFormat="1" applyFont="1" applyFill="1" applyBorder="1" applyAlignment="1" applyProtection="1">
      <alignment horizontal="right"/>
      <protection locked="0"/>
    </xf>
    <xf numFmtId="10" fontId="23" fillId="0" borderId="0" xfId="9" applyNumberFormat="1" applyFont="1"/>
    <xf numFmtId="12" fontId="22" fillId="0" borderId="0" xfId="9" applyNumberFormat="1" applyFont="1" applyAlignment="1" applyProtection="1">
      <alignment horizontal="right"/>
      <protection locked="0"/>
    </xf>
    <xf numFmtId="12" fontId="53" fillId="2" borderId="0" xfId="9" applyNumberFormat="1" applyFont="1" applyFill="1" applyAlignment="1" applyProtection="1">
      <alignment horizontal="right"/>
      <protection locked="0"/>
    </xf>
    <xf numFmtId="187" fontId="31" fillId="2" borderId="0" xfId="9" applyNumberFormat="1" applyFont="1" applyFill="1" applyProtection="1">
      <protection locked="0"/>
    </xf>
    <xf numFmtId="187" fontId="24" fillId="2" borderId="0" xfId="9" applyNumberFormat="1" applyFont="1" applyFill="1" applyBorder="1" applyAlignment="1" applyProtection="1">
      <alignment horizontal="right"/>
      <protection locked="0"/>
    </xf>
    <xf numFmtId="185" fontId="33" fillId="2" borderId="0" xfId="1" applyNumberFormat="1" applyFont="1" applyFill="1" applyBorder="1" applyAlignment="1">
      <alignment horizontal="center"/>
    </xf>
    <xf numFmtId="9" fontId="24" fillId="2" borderId="0" xfId="1" applyFont="1" applyFill="1" applyBorder="1" applyAlignment="1" applyProtection="1">
      <alignment horizontal="right"/>
      <protection locked="0"/>
    </xf>
    <xf numFmtId="9" fontId="33" fillId="2" borderId="0" xfId="1" applyFont="1" applyFill="1" applyBorder="1" applyAlignment="1">
      <alignment horizontal="right"/>
    </xf>
    <xf numFmtId="9" fontId="23" fillId="2" borderId="0" xfId="1" applyFont="1" applyFill="1" applyProtection="1">
      <protection locked="0"/>
    </xf>
    <xf numFmtId="0" fontId="31" fillId="2" borderId="0" xfId="8" applyFont="1" applyFill="1" applyAlignment="1">
      <alignment horizontal="right"/>
      <protection locked="0"/>
    </xf>
    <xf numFmtId="39" fontId="24" fillId="2" borderId="0" xfId="8" applyNumberFormat="1" applyFont="1" applyFill="1" applyAlignment="1">
      <alignment horizontal="right"/>
      <protection locked="0"/>
    </xf>
    <xf numFmtId="9" fontId="23" fillId="2" borderId="0" xfId="1" applyFont="1" applyFill="1" applyAlignment="1" applyProtection="1">
      <alignment horizontal="right"/>
      <protection locked="0"/>
    </xf>
    <xf numFmtId="0" fontId="24" fillId="2" borderId="0" xfId="11" applyFont="1" applyFill="1" applyAlignment="1">
      <alignment horizontal="centerContinuous" vertical="center"/>
    </xf>
    <xf numFmtId="37" fontId="24" fillId="2" borderId="0" xfId="14" applyNumberFormat="1" applyFont="1" applyFill="1" applyBorder="1" applyAlignment="1">
      <alignment horizontal="right"/>
    </xf>
    <xf numFmtId="176" fontId="24" fillId="2" borderId="0" xfId="14" applyNumberFormat="1" applyFont="1" applyFill="1" applyBorder="1" applyAlignment="1">
      <alignment horizontal="right"/>
    </xf>
    <xf numFmtId="37" fontId="24" fillId="2" borderId="0" xfId="15" applyNumberFormat="1" applyFont="1" applyFill="1" applyBorder="1" applyAlignment="1" applyProtection="1">
      <alignment horizontal="right"/>
      <protection locked="0"/>
    </xf>
    <xf numFmtId="1" fontId="32" fillId="2" borderId="0" xfId="15" applyNumberFormat="1" applyFont="1" applyFill="1" applyBorder="1" applyAlignment="1" applyProtection="1">
      <alignment horizontal="right"/>
      <protection locked="0"/>
    </xf>
    <xf numFmtId="5" fontId="24" fillId="2" borderId="0" xfId="15" applyNumberFormat="1" applyFont="1" applyFill="1" applyBorder="1" applyAlignment="1" applyProtection="1">
      <alignment horizontal="right"/>
      <protection locked="0"/>
    </xf>
    <xf numFmtId="176" fontId="31" fillId="2" borderId="0" xfId="14" applyNumberFormat="1" applyFont="1" applyFill="1" applyBorder="1" applyAlignment="1">
      <alignment horizontal="right"/>
    </xf>
    <xf numFmtId="177" fontId="49" fillId="2" borderId="0" xfId="8" applyNumberFormat="1" applyFont="1" applyFill="1" applyAlignment="1">
      <alignment horizontal="right"/>
      <protection locked="0"/>
    </xf>
    <xf numFmtId="177" fontId="32" fillId="2" borderId="0" xfId="8" applyNumberFormat="1" applyFont="1" applyFill="1" applyAlignment="1">
      <alignment horizontal="right"/>
      <protection locked="0"/>
    </xf>
    <xf numFmtId="0" fontId="32" fillId="2" borderId="0" xfId="8" applyFont="1" applyFill="1" applyAlignment="1">
      <alignment horizontal="right"/>
      <protection locked="0"/>
    </xf>
    <xf numFmtId="178" fontId="40" fillId="2" borderId="0" xfId="10" applyNumberFormat="1" applyFont="1" applyFill="1" applyBorder="1" applyAlignment="1" applyProtection="1">
      <alignment horizontal="right"/>
      <protection locked="0"/>
    </xf>
    <xf numFmtId="17" fontId="24" fillId="2" borderId="0" xfId="16" applyNumberFormat="1" applyFont="1" applyFill="1" applyBorder="1" applyAlignment="1">
      <alignment horizontal="center" vertical="center"/>
      <protection hidden="1"/>
    </xf>
    <xf numFmtId="176" fontId="24" fillId="2" borderId="0" xfId="8" applyNumberFormat="1" applyFont="1" applyFill="1" applyAlignment="1">
      <alignment horizontal="right"/>
      <protection locked="0"/>
    </xf>
    <xf numFmtId="15" fontId="32" fillId="2" borderId="0" xfId="8" applyNumberFormat="1" applyFont="1" applyFill="1">
      <protection locked="0"/>
    </xf>
    <xf numFmtId="0" fontId="32" fillId="2" borderId="0" xfId="8" applyFont="1" applyFill="1">
      <protection locked="0"/>
    </xf>
    <xf numFmtId="2" fontId="24" fillId="2" borderId="0" xfId="8" applyNumberFormat="1" applyFont="1" applyFill="1" applyAlignment="1">
      <alignment horizontal="right"/>
      <protection locked="0"/>
    </xf>
    <xf numFmtId="177" fontId="24" fillId="2" borderId="0" xfId="8" applyNumberFormat="1" applyFont="1" applyFill="1" applyAlignment="1">
      <alignment horizontal="right"/>
      <protection locked="0"/>
    </xf>
    <xf numFmtId="177" fontId="32" fillId="2" borderId="0" xfId="1" applyNumberFormat="1" applyFont="1" applyFill="1" applyBorder="1" applyAlignment="1" applyProtection="1">
      <alignment horizontal="right"/>
      <protection locked="0"/>
    </xf>
    <xf numFmtId="177" fontId="50" fillId="2" borderId="0" xfId="1" applyNumberFormat="1" applyFont="1" applyFill="1" applyBorder="1" applyAlignment="1" applyProtection="1">
      <alignment horizontal="right"/>
      <protection locked="0"/>
    </xf>
    <xf numFmtId="9" fontId="50" fillId="2" borderId="0" xfId="1" applyFont="1" applyFill="1" applyBorder="1" applyAlignment="1" applyProtection="1">
      <alignment horizontal="right"/>
      <protection locked="0"/>
    </xf>
    <xf numFmtId="1" fontId="24" fillId="2" borderId="0" xfId="8" applyNumberFormat="1" applyFont="1" applyFill="1" applyAlignment="1">
      <alignment horizontal="right"/>
      <protection locked="0"/>
    </xf>
    <xf numFmtId="180" fontId="24" fillId="2" borderId="0" xfId="1" applyNumberFormat="1" applyFont="1" applyFill="1" applyBorder="1" applyAlignment="1" applyProtection="1">
      <alignment horizontal="right"/>
      <protection locked="0"/>
    </xf>
    <xf numFmtId="3" fontId="24" fillId="2" borderId="0" xfId="8" applyNumberFormat="1" applyFont="1" applyFill="1" applyAlignment="1">
      <alignment horizontal="right"/>
      <protection locked="0"/>
    </xf>
    <xf numFmtId="175" fontId="24" fillId="2" borderId="0" xfId="8" applyNumberFormat="1" applyFont="1" applyFill="1" applyAlignment="1">
      <alignment horizontal="right"/>
      <protection locked="0"/>
    </xf>
    <xf numFmtId="3" fontId="50" fillId="2" borderId="0" xfId="1" applyNumberFormat="1" applyFont="1" applyFill="1" applyBorder="1" applyAlignment="1" applyProtection="1">
      <alignment horizontal="right"/>
      <protection locked="0"/>
    </xf>
    <xf numFmtId="44" fontId="24" fillId="2" borderId="0" xfId="10" applyFont="1" applyFill="1" applyBorder="1" applyAlignment="1" applyProtection="1">
      <alignment horizontal="right"/>
      <protection locked="0"/>
    </xf>
    <xf numFmtId="3" fontId="32" fillId="2" borderId="0" xfId="8" applyNumberFormat="1" applyFont="1" applyFill="1" applyAlignment="1">
      <alignment horizontal="right"/>
      <protection locked="0"/>
    </xf>
    <xf numFmtId="37" fontId="24" fillId="2" borderId="0" xfId="10" applyNumberFormat="1" applyFont="1" applyFill="1" applyBorder="1" applyAlignment="1" applyProtection="1">
      <alignment horizontal="right"/>
      <protection locked="0"/>
    </xf>
    <xf numFmtId="5" fontId="24" fillId="2" borderId="0" xfId="10" applyNumberFormat="1" applyFont="1" applyFill="1" applyBorder="1" applyAlignment="1" applyProtection="1">
      <alignment horizontal="right"/>
      <protection locked="0"/>
    </xf>
    <xf numFmtId="181" fontId="31" fillId="2" borderId="0" xfId="8" applyNumberFormat="1" applyFont="1" applyFill="1" applyAlignment="1">
      <alignment horizontal="right"/>
      <protection locked="0"/>
    </xf>
    <xf numFmtId="9" fontId="31" fillId="2" borderId="0" xfId="1" applyFont="1" applyFill="1" applyBorder="1" applyAlignment="1" applyProtection="1">
      <alignment horizontal="right"/>
      <protection locked="0"/>
    </xf>
    <xf numFmtId="177" fontId="24" fillId="2" borderId="0" xfId="1" applyNumberFormat="1" applyFont="1" applyFill="1" applyBorder="1" applyAlignment="1" applyProtection="1">
      <alignment horizontal="right"/>
      <protection locked="0"/>
    </xf>
    <xf numFmtId="0" fontId="23" fillId="2" borderId="0" xfId="8" applyFont="1" applyFill="1" applyAlignment="1">
      <alignment horizontal="right"/>
      <protection locked="0"/>
    </xf>
    <xf numFmtId="2" fontId="32" fillId="2" borderId="0" xfId="8" applyNumberFormat="1" applyFont="1" applyFill="1">
      <protection locked="0"/>
    </xf>
    <xf numFmtId="0" fontId="44" fillId="2" borderId="0" xfId="8" applyFont="1" applyFill="1">
      <protection locked="0"/>
    </xf>
    <xf numFmtId="182" fontId="32" fillId="2" borderId="0" xfId="1" applyNumberFormat="1" applyFont="1" applyFill="1" applyBorder="1" applyProtection="1">
      <protection locked="0"/>
    </xf>
    <xf numFmtId="37" fontId="32" fillId="2" borderId="0" xfId="8" applyNumberFormat="1" applyFont="1" applyFill="1">
      <protection locked="0"/>
    </xf>
    <xf numFmtId="1" fontId="32" fillId="2" borderId="0" xfId="8" applyNumberFormat="1" applyFont="1" applyFill="1">
      <protection locked="0"/>
    </xf>
    <xf numFmtId="0" fontId="33" fillId="2" borderId="0" xfId="8" applyFont="1" applyFill="1">
      <protection locked="0"/>
    </xf>
    <xf numFmtId="177" fontId="32" fillId="2" borderId="0" xfId="8" applyNumberFormat="1" applyFont="1" applyFill="1">
      <protection locked="0"/>
    </xf>
    <xf numFmtId="177" fontId="48" fillId="2" borderId="0" xfId="8" applyNumberFormat="1" applyFont="1" applyFill="1">
      <protection locked="0"/>
    </xf>
    <xf numFmtId="178" fontId="32" fillId="2" borderId="0" xfId="10" applyNumberFormat="1" applyFont="1" applyFill="1" applyBorder="1" applyProtection="1">
      <protection locked="0"/>
    </xf>
    <xf numFmtId="0" fontId="48" fillId="2" borderId="0" xfId="8" applyFont="1" applyFill="1">
      <protection locked="0"/>
    </xf>
    <xf numFmtId="3" fontId="32" fillId="2" borderId="0" xfId="8" applyNumberFormat="1" applyFont="1" applyFill="1">
      <protection locked="0"/>
    </xf>
    <xf numFmtId="175" fontId="32" fillId="2" borderId="0" xfId="1" applyNumberFormat="1" applyFont="1" applyFill="1" applyBorder="1" applyProtection="1">
      <protection locked="0"/>
    </xf>
    <xf numFmtId="183" fontId="32" fillId="2" borderId="0" xfId="1" applyNumberFormat="1" applyFont="1" applyFill="1" applyBorder="1" applyProtection="1">
      <protection locked="0"/>
    </xf>
    <xf numFmtId="183" fontId="33" fillId="2" borderId="0" xfId="8" applyNumberFormat="1" applyFont="1" applyFill="1">
      <protection locked="0"/>
    </xf>
    <xf numFmtId="184" fontId="33" fillId="2" borderId="0" xfId="9" applyNumberFormat="1" applyFont="1" applyFill="1" applyBorder="1" applyProtection="1">
      <protection locked="0"/>
    </xf>
    <xf numFmtId="9" fontId="40" fillId="2" borderId="0" xfId="1" applyFont="1" applyFill="1" applyBorder="1" applyProtection="1">
      <protection locked="0"/>
    </xf>
    <xf numFmtId="5" fontId="32" fillId="2" borderId="0" xfId="8" applyNumberFormat="1" applyFont="1" applyFill="1">
      <protection locked="0"/>
    </xf>
    <xf numFmtId="177" fontId="32" fillId="2" borderId="0" xfId="1" applyNumberFormat="1" applyFont="1" applyFill="1" applyBorder="1" applyProtection="1">
      <protection locked="0"/>
    </xf>
    <xf numFmtId="174" fontId="24" fillId="2" borderId="0" xfId="1" applyNumberFormat="1" applyFont="1" applyFill="1" applyBorder="1" applyAlignment="1" applyProtection="1">
      <alignment horizontal="right"/>
      <protection locked="0"/>
    </xf>
    <xf numFmtId="187" fontId="44" fillId="2" borderId="8" xfId="9" applyNumberFormat="1" applyFont="1" applyFill="1" applyBorder="1" applyAlignment="1" applyProtection="1">
      <protection locked="0"/>
    </xf>
    <xf numFmtId="37" fontId="54" fillId="2" borderId="8" xfId="1" applyNumberFormat="1" applyFont="1" applyFill="1" applyBorder="1" applyAlignment="1" applyProtection="1">
      <protection locked="0"/>
    </xf>
    <xf numFmtId="187" fontId="52" fillId="2" borderId="0" xfId="9" applyNumberFormat="1" applyFont="1" applyFill="1" applyBorder="1" applyAlignment="1" applyProtection="1">
      <alignment horizontal="right"/>
      <protection locked="0"/>
    </xf>
    <xf numFmtId="37" fontId="39" fillId="0" borderId="0" xfId="0" applyNumberFormat="1" applyFont="1"/>
    <xf numFmtId="189" fontId="4" fillId="0" borderId="0" xfId="0" applyNumberFormat="1" applyFont="1" applyAlignment="1">
      <alignment horizontal="right"/>
    </xf>
    <xf numFmtId="185" fontId="4" fillId="0" borderId="0" xfId="1" applyNumberFormat="1" applyFont="1"/>
    <xf numFmtId="37" fontId="4" fillId="0" borderId="0" xfId="1" applyNumberFormat="1" applyFont="1" applyBorder="1"/>
    <xf numFmtId="37" fontId="56" fillId="0" borderId="0" xfId="7" applyNumberFormat="1" applyFont="1"/>
    <xf numFmtId="173" fontId="4" fillId="0" borderId="0" xfId="0" applyNumberFormat="1" applyFont="1"/>
    <xf numFmtId="174" fontId="4" fillId="0" borderId="0" xfId="0" applyNumberFormat="1" applyFont="1"/>
    <xf numFmtId="175" fontId="4" fillId="2" borderId="0" xfId="1" applyNumberFormat="1" applyFont="1" applyFill="1"/>
    <xf numFmtId="174" fontId="4" fillId="2" borderId="0" xfId="0" applyNumberFormat="1" applyFont="1" applyFill="1"/>
    <xf numFmtId="175" fontId="4" fillId="2" borderId="0" xfId="0" applyNumberFormat="1" applyFont="1" applyFill="1"/>
    <xf numFmtId="9" fontId="4" fillId="2" borderId="0" xfId="0" applyNumberFormat="1" applyFont="1" applyFill="1"/>
    <xf numFmtId="184" fontId="4" fillId="0" borderId="0" xfId="0" applyNumberFormat="1" applyFont="1"/>
    <xf numFmtId="187" fontId="4" fillId="2" borderId="0" xfId="9" applyNumberFormat="1" applyFont="1" applyFill="1"/>
    <xf numFmtId="184" fontId="39" fillId="0" borderId="0" xfId="1" applyNumberFormat="1" applyFont="1"/>
    <xf numFmtId="9" fontId="39" fillId="2" borderId="0" xfId="1" applyFont="1" applyFill="1"/>
    <xf numFmtId="187" fontId="32" fillId="0" borderId="0" xfId="9" applyNumberFormat="1" applyFont="1" applyAlignment="1" applyProtection="1">
      <alignment horizontal="center"/>
      <protection locked="0"/>
    </xf>
    <xf numFmtId="9" fontId="32" fillId="4" borderId="10" xfId="1" quotePrefix="1" applyFont="1" applyFill="1" applyBorder="1" applyAlignment="1" applyProtection="1">
      <alignment horizontal="right"/>
      <protection locked="0"/>
    </xf>
    <xf numFmtId="9" fontId="32" fillId="4" borderId="10" xfId="1" applyFont="1" applyFill="1" applyBorder="1" applyAlignment="1" applyProtection="1">
      <alignment horizontal="center"/>
      <protection locked="0"/>
    </xf>
    <xf numFmtId="187" fontId="39" fillId="0" borderId="0" xfId="0" applyNumberFormat="1" applyFont="1"/>
    <xf numFmtId="187" fontId="29" fillId="0" borderId="7" xfId="9" applyNumberFormat="1" applyFont="1" applyBorder="1" applyAlignment="1">
      <alignment horizontal="left"/>
    </xf>
    <xf numFmtId="187" fontId="28" fillId="0" borderId="8" xfId="8" applyNumberFormat="1" applyFont="1" applyBorder="1">
      <protection locked="0"/>
    </xf>
    <xf numFmtId="187" fontId="28" fillId="0" borderId="8" xfId="8" applyNumberFormat="1" applyFont="1" applyBorder="1" applyAlignment="1">
      <alignment horizontal="right"/>
      <protection locked="0"/>
    </xf>
    <xf numFmtId="187" fontId="28" fillId="4" borderId="11" xfId="0" applyNumberFormat="1" applyFont="1" applyFill="1" applyBorder="1"/>
    <xf numFmtId="187" fontId="28" fillId="2" borderId="8" xfId="8" applyNumberFormat="1" applyFont="1" applyFill="1" applyBorder="1">
      <protection locked="0"/>
    </xf>
    <xf numFmtId="187" fontId="28" fillId="2" borderId="8" xfId="8" applyNumberFormat="1" applyFont="1" applyFill="1" applyBorder="1" applyAlignment="1">
      <alignment horizontal="right"/>
      <protection locked="0"/>
    </xf>
    <xf numFmtId="187" fontId="27" fillId="2" borderId="8" xfId="8" applyNumberFormat="1" applyFont="1" applyFill="1" applyBorder="1" applyAlignment="1">
      <alignment horizontal="right"/>
      <protection locked="0"/>
    </xf>
    <xf numFmtId="187" fontId="3" fillId="4" borderId="11" xfId="0" applyNumberFormat="1" applyFont="1" applyFill="1" applyBorder="1"/>
    <xf numFmtId="187" fontId="27" fillId="2" borderId="8" xfId="8" applyNumberFormat="1" applyFont="1" applyFill="1" applyBorder="1">
      <protection locked="0"/>
    </xf>
    <xf numFmtId="187" fontId="3" fillId="7" borderId="11" xfId="0" applyNumberFormat="1" applyFont="1" applyFill="1" applyBorder="1"/>
    <xf numFmtId="187" fontId="29" fillId="0" borderId="0" xfId="0" applyNumberFormat="1" applyFont="1"/>
    <xf numFmtId="9" fontId="52" fillId="2" borderId="0" xfId="9" applyNumberFormat="1" applyFont="1" applyFill="1" applyBorder="1" applyAlignment="1" applyProtection="1">
      <alignment horizontal="left" indent="2"/>
      <protection locked="0"/>
    </xf>
    <xf numFmtId="187" fontId="60" fillId="0" borderId="8" xfId="9" applyNumberFormat="1" applyFont="1" applyFill="1" applyBorder="1" applyAlignment="1" applyProtection="1">
      <alignment horizontal="right"/>
      <protection locked="0"/>
    </xf>
    <xf numFmtId="187" fontId="60" fillId="4" borderId="11" xfId="9" applyNumberFormat="1" applyFont="1" applyFill="1" applyBorder="1"/>
    <xf numFmtId="187" fontId="60" fillId="0" borderId="8" xfId="9" applyNumberFormat="1" applyFont="1" applyFill="1" applyBorder="1" applyProtection="1">
      <protection locked="0"/>
    </xf>
    <xf numFmtId="187" fontId="60" fillId="2" borderId="8" xfId="9" applyNumberFormat="1" applyFont="1" applyFill="1" applyBorder="1" applyAlignment="1" applyProtection="1">
      <alignment horizontal="right"/>
      <protection locked="0"/>
    </xf>
    <xf numFmtId="9" fontId="23" fillId="5" borderId="10" xfId="1" applyFont="1" applyFill="1" applyBorder="1" applyAlignment="1">
      <alignment horizontal="right"/>
    </xf>
    <xf numFmtId="187" fontId="51" fillId="0" borderId="7" xfId="9" applyNumberFormat="1" applyFont="1" applyBorder="1"/>
    <xf numFmtId="187" fontId="52" fillId="0" borderId="0" xfId="9" applyNumberFormat="1" applyFont="1" applyFill="1" applyBorder="1" applyAlignment="1" applyProtection="1">
      <alignment horizontal="left" indent="2"/>
      <protection locked="0"/>
    </xf>
    <xf numFmtId="189" fontId="54" fillId="5" borderId="10" xfId="9" applyNumberFormat="1" applyFont="1" applyFill="1" applyBorder="1"/>
    <xf numFmtId="187" fontId="51" fillId="0" borderId="0" xfId="9" applyNumberFormat="1" applyFont="1" applyFill="1" applyBorder="1" applyAlignment="1" applyProtection="1">
      <alignment horizontal="left" indent="3"/>
      <protection locked="0"/>
    </xf>
    <xf numFmtId="187" fontId="32" fillId="0" borderId="0" xfId="9" applyNumberFormat="1" applyFont="1" applyFill="1" applyBorder="1" applyAlignment="1" applyProtection="1">
      <alignment horizontal="left" indent="2"/>
      <protection locked="0"/>
    </xf>
    <xf numFmtId="9" fontId="32" fillId="5" borderId="10" xfId="9" applyNumberFormat="1" applyFont="1" applyFill="1" applyBorder="1"/>
    <xf numFmtId="9" fontId="32" fillId="2" borderId="0" xfId="9" quotePrefix="1" applyNumberFormat="1" applyFont="1" applyFill="1" applyBorder="1" applyAlignment="1" applyProtection="1">
      <alignment horizontal="right"/>
      <protection locked="0"/>
    </xf>
    <xf numFmtId="43" fontId="29" fillId="0" borderId="0" xfId="9" applyFont="1" applyBorder="1" applyAlignment="1">
      <alignment horizontal="left" indent="1"/>
    </xf>
    <xf numFmtId="189" fontId="28" fillId="0" borderId="0" xfId="8" applyNumberFormat="1" applyFont="1">
      <protection locked="0"/>
    </xf>
    <xf numFmtId="189" fontId="28" fillId="0" borderId="0" xfId="8" applyNumberFormat="1" applyFont="1" applyAlignment="1">
      <alignment horizontal="right"/>
      <protection locked="0"/>
    </xf>
    <xf numFmtId="189" fontId="27" fillId="4" borderId="10" xfId="0" applyNumberFormat="1" applyFont="1" applyFill="1" applyBorder="1"/>
    <xf numFmtId="189" fontId="27" fillId="2" borderId="0" xfId="8" applyNumberFormat="1" applyFont="1" applyFill="1">
      <protection locked="0"/>
    </xf>
    <xf numFmtId="189" fontId="27" fillId="2" borderId="0" xfId="8" applyNumberFormat="1" applyFont="1" applyFill="1" applyAlignment="1">
      <alignment horizontal="right"/>
      <protection locked="0"/>
    </xf>
    <xf numFmtId="189" fontId="27" fillId="0" borderId="0" xfId="8" applyNumberFormat="1" applyFont="1" applyAlignment="1">
      <alignment horizontal="right"/>
      <protection locked="0"/>
    </xf>
    <xf numFmtId="189" fontId="27" fillId="0" borderId="0" xfId="8" applyNumberFormat="1" applyFont="1">
      <protection locked="0"/>
    </xf>
    <xf numFmtId="9" fontId="32" fillId="0" borderId="0" xfId="8" applyNumberFormat="1" applyFont="1" applyAlignment="1">
      <alignment horizontal="right"/>
      <protection locked="0"/>
    </xf>
    <xf numFmtId="9" fontId="32" fillId="0" borderId="0" xfId="8" applyNumberFormat="1" applyFont="1">
      <protection locked="0"/>
    </xf>
    <xf numFmtId="187" fontId="39" fillId="0" borderId="0" xfId="9" applyNumberFormat="1" applyFont="1"/>
    <xf numFmtId="187" fontId="29" fillId="2" borderId="7" xfId="9" applyNumberFormat="1" applyFont="1" applyFill="1" applyBorder="1"/>
    <xf numFmtId="187" fontId="29" fillId="0" borderId="0" xfId="9" applyNumberFormat="1" applyFont="1"/>
    <xf numFmtId="187" fontId="29" fillId="0" borderId="7" xfId="9" applyNumberFormat="1" applyFont="1" applyBorder="1"/>
    <xf numFmtId="187" fontId="51" fillId="2" borderId="7" xfId="9" applyNumberFormat="1" applyFont="1" applyFill="1" applyBorder="1"/>
    <xf numFmtId="43" fontId="24" fillId="0" borderId="0" xfId="9" quotePrefix="1" applyFont="1" applyFill="1" applyBorder="1" applyAlignment="1" applyProtection="1">
      <alignment horizontal="center"/>
      <protection locked="0"/>
    </xf>
    <xf numFmtId="43" fontId="24" fillId="0" borderId="0" xfId="9" applyFont="1" applyFill="1" applyBorder="1" applyAlignment="1" applyProtection="1">
      <alignment horizontal="right"/>
      <protection locked="0"/>
    </xf>
    <xf numFmtId="187" fontId="55" fillId="2" borderId="0" xfId="9" quotePrefix="1" applyNumberFormat="1" applyFont="1" applyFill="1" applyBorder="1" applyAlignment="1" applyProtection="1">
      <protection locked="0"/>
    </xf>
    <xf numFmtId="187" fontId="39" fillId="2" borderId="0" xfId="9" applyNumberFormat="1" applyFont="1" applyFill="1"/>
    <xf numFmtId="0" fontId="4" fillId="2" borderId="0" xfId="0" applyFont="1" applyFill="1" applyAlignment="1">
      <alignment horizontal="right"/>
    </xf>
    <xf numFmtId="187" fontId="66" fillId="2" borderId="0" xfId="9" applyNumberFormat="1" applyFont="1" applyFill="1" applyBorder="1" applyProtection="1">
      <protection locked="0"/>
    </xf>
    <xf numFmtId="194" fontId="39" fillId="0" borderId="0" xfId="9" applyNumberFormat="1" applyFont="1"/>
    <xf numFmtId="194" fontId="67" fillId="0" borderId="0" xfId="9" applyNumberFormat="1" applyFont="1"/>
    <xf numFmtId="43" fontId="39" fillId="2" borderId="0" xfId="9" applyFont="1" applyFill="1"/>
    <xf numFmtId="189" fontId="4" fillId="2" borderId="0" xfId="9" applyNumberFormat="1" applyFont="1" applyFill="1"/>
    <xf numFmtId="9" fontId="4" fillId="0" borderId="0" xfId="9" applyNumberFormat="1" applyFont="1"/>
    <xf numFmtId="10" fontId="4" fillId="0" borderId="0" xfId="9" applyNumberFormat="1" applyFont="1"/>
    <xf numFmtId="9" fontId="62" fillId="2" borderId="0" xfId="1" applyFont="1" applyFill="1" applyBorder="1" applyAlignment="1">
      <alignment horizontal="right"/>
    </xf>
    <xf numFmtId="187" fontId="27" fillId="7" borderId="11" xfId="0" applyNumberFormat="1" applyFont="1" applyFill="1" applyBorder="1"/>
    <xf numFmtId="187" fontId="32" fillId="5" borderId="10" xfId="9" applyNumberFormat="1" applyFont="1" applyFill="1" applyBorder="1" applyAlignment="1">
      <alignment horizontal="right"/>
    </xf>
    <xf numFmtId="187" fontId="23" fillId="2" borderId="0" xfId="9" applyNumberFormat="1" applyFont="1" applyFill="1" applyBorder="1" applyAlignment="1" applyProtection="1">
      <alignment horizontal="right"/>
      <protection locked="0"/>
    </xf>
    <xf numFmtId="3" fontId="23" fillId="2" borderId="8" xfId="9" quotePrefix="1" applyNumberFormat="1" applyFont="1" applyFill="1" applyBorder="1" applyAlignment="1" applyProtection="1">
      <alignment horizontal="center"/>
      <protection locked="0"/>
    </xf>
    <xf numFmtId="189" fontId="23" fillId="2" borderId="8" xfId="9" quotePrefix="1" applyNumberFormat="1" applyFont="1" applyFill="1" applyBorder="1" applyAlignment="1" applyProtection="1">
      <alignment horizontal="center"/>
      <protection locked="0"/>
    </xf>
    <xf numFmtId="10" fontId="23" fillId="2" borderId="8" xfId="9" quotePrefix="1" applyNumberFormat="1" applyFont="1" applyFill="1" applyBorder="1" applyAlignment="1" applyProtection="1">
      <alignment horizontal="center"/>
      <protection locked="0"/>
    </xf>
    <xf numFmtId="10" fontId="32" fillId="2" borderId="8" xfId="9" quotePrefix="1" applyNumberFormat="1" applyFont="1" applyFill="1" applyBorder="1" applyAlignment="1" applyProtection="1">
      <alignment horizontal="center"/>
      <protection locked="0"/>
    </xf>
    <xf numFmtId="43" fontId="32" fillId="0" borderId="0" xfId="9" applyFont="1" applyBorder="1" applyAlignment="1">
      <alignment horizontal="left" indent="2"/>
    </xf>
    <xf numFmtId="10" fontId="32" fillId="2" borderId="0" xfId="9" quotePrefix="1" applyNumberFormat="1" applyFont="1" applyFill="1" applyBorder="1" applyAlignment="1" applyProtection="1">
      <protection locked="0"/>
    </xf>
    <xf numFmtId="43" fontId="32" fillId="0" borderId="0" xfId="1" applyNumberFormat="1" applyFont="1" applyFill="1" applyBorder="1" applyAlignment="1" applyProtection="1">
      <alignment horizontal="right"/>
      <protection locked="0"/>
    </xf>
    <xf numFmtId="187" fontId="27" fillId="4" borderId="11" xfId="9" applyNumberFormat="1" applyFont="1" applyFill="1" applyBorder="1" applyAlignment="1"/>
    <xf numFmtId="187" fontId="55" fillId="4" borderId="11" xfId="9" applyNumberFormat="1" applyFont="1" applyFill="1" applyBorder="1" applyAlignment="1"/>
    <xf numFmtId="187" fontId="55" fillId="0" borderId="8" xfId="9" quotePrefix="1" applyNumberFormat="1" applyFont="1" applyFill="1" applyBorder="1" applyAlignment="1" applyProtection="1">
      <protection locked="0"/>
    </xf>
    <xf numFmtId="187" fontId="54" fillId="2" borderId="0" xfId="8" applyNumberFormat="1" applyFont="1" applyFill="1" applyAlignment="1">
      <alignment horizontal="right"/>
      <protection locked="0"/>
    </xf>
    <xf numFmtId="187" fontId="54" fillId="4" borderId="10" xfId="0" applyNumberFormat="1" applyFont="1" applyFill="1" applyBorder="1"/>
    <xf numFmtId="187" fontId="54" fillId="2" borderId="0" xfId="8" applyNumberFormat="1" applyFont="1" applyFill="1">
      <protection locked="0"/>
    </xf>
    <xf numFmtId="187" fontId="51" fillId="0" borderId="0" xfId="9" applyNumberFormat="1" applyFont="1" applyAlignment="1">
      <alignment horizontal="left" indent="1"/>
    </xf>
    <xf numFmtId="187" fontId="23" fillId="0" borderId="0" xfId="8" applyNumberFormat="1" applyFont="1">
      <protection locked="0"/>
    </xf>
    <xf numFmtId="187" fontId="23" fillId="0" borderId="0" xfId="8" applyNumberFormat="1" applyFont="1" applyAlignment="1">
      <alignment horizontal="right"/>
      <protection locked="0"/>
    </xf>
    <xf numFmtId="187" fontId="23" fillId="4" borderId="10" xfId="0" applyNumberFormat="1" applyFont="1" applyFill="1" applyBorder="1"/>
    <xf numFmtId="187" fontId="23" fillId="2" borderId="0" xfId="8" applyNumberFormat="1" applyFont="1" applyFill="1">
      <protection locked="0"/>
    </xf>
    <xf numFmtId="187" fontId="23" fillId="2" borderId="0" xfId="8" applyNumberFormat="1" applyFont="1" applyFill="1" applyAlignment="1">
      <alignment horizontal="right"/>
      <protection locked="0"/>
    </xf>
    <xf numFmtId="187" fontId="0" fillId="4" borderId="10" xfId="0" applyNumberFormat="1" applyFill="1" applyBorder="1"/>
    <xf numFmtId="187" fontId="51" fillId="0" borderId="0" xfId="0" applyNumberFormat="1" applyFont="1"/>
    <xf numFmtId="187" fontId="23" fillId="0" borderId="0" xfId="9" applyNumberFormat="1" applyFont="1" applyProtection="1">
      <protection locked="0"/>
    </xf>
    <xf numFmtId="187" fontId="23" fillId="0" borderId="0" xfId="9" applyNumberFormat="1" applyFont="1" applyAlignment="1" applyProtection="1">
      <alignment horizontal="right"/>
      <protection locked="0"/>
    </xf>
    <xf numFmtId="187" fontId="23" fillId="4" borderId="10" xfId="9" applyNumberFormat="1" applyFont="1" applyFill="1" applyBorder="1"/>
    <xf numFmtId="187" fontId="23" fillId="2" borderId="0" xfId="9" applyNumberFormat="1" applyFont="1" applyFill="1" applyProtection="1">
      <protection locked="0"/>
    </xf>
    <xf numFmtId="187" fontId="23" fillId="2" borderId="0" xfId="9" applyNumberFormat="1" applyFont="1" applyFill="1" applyAlignment="1" applyProtection="1">
      <alignment horizontal="right"/>
      <protection locked="0"/>
    </xf>
    <xf numFmtId="187" fontId="32" fillId="2" borderId="0" xfId="9" applyNumberFormat="1" applyFont="1" applyFill="1" applyAlignment="1" applyProtection="1">
      <alignment horizontal="right"/>
      <protection locked="0"/>
    </xf>
    <xf numFmtId="187" fontId="54" fillId="2" borderId="0" xfId="9" applyNumberFormat="1" applyFont="1" applyFill="1" applyProtection="1">
      <protection locked="0"/>
    </xf>
    <xf numFmtId="187" fontId="54" fillId="0" borderId="0" xfId="9" applyNumberFormat="1" applyFont="1" applyProtection="1">
      <protection locked="0"/>
    </xf>
    <xf numFmtId="187" fontId="29" fillId="0" borderId="7" xfId="9" applyNumberFormat="1" applyFont="1" applyBorder="1" applyAlignment="1">
      <alignment horizontal="left" indent="1"/>
    </xf>
    <xf numFmtId="187" fontId="27" fillId="4" borderId="11" xfId="0" applyNumberFormat="1" applyFont="1" applyFill="1" applyBorder="1"/>
    <xf numFmtId="187" fontId="27" fillId="0" borderId="8" xfId="8" applyNumberFormat="1" applyFont="1" applyBorder="1" applyAlignment="1">
      <alignment horizontal="right"/>
      <protection locked="0"/>
    </xf>
    <xf numFmtId="187" fontId="27" fillId="0" borderId="8" xfId="8" applyNumberFormat="1" applyFont="1" applyBorder="1">
      <protection locked="0"/>
    </xf>
    <xf numFmtId="187" fontId="32" fillId="4" borderId="10" xfId="0" applyNumberFormat="1" applyFont="1" applyFill="1" applyBorder="1"/>
    <xf numFmtId="187" fontId="32" fillId="2" borderId="0" xfId="8" applyNumberFormat="1" applyFont="1" applyFill="1">
      <protection locked="0"/>
    </xf>
    <xf numFmtId="187" fontId="32" fillId="2" borderId="0" xfId="8" applyNumberFormat="1" applyFont="1" applyFill="1" applyAlignment="1">
      <alignment horizontal="right"/>
      <protection locked="0"/>
    </xf>
    <xf numFmtId="43" fontId="29" fillId="0" borderId="0" xfId="9" applyFont="1" applyAlignment="1" applyProtection="1">
      <alignment horizontal="center"/>
      <protection locked="0"/>
    </xf>
    <xf numFmtId="43" fontId="29" fillId="2" borderId="0" xfId="9" applyFont="1" applyFill="1" applyAlignment="1" applyProtection="1">
      <alignment horizontal="center"/>
      <protection locked="0"/>
    </xf>
    <xf numFmtId="189" fontId="29" fillId="0" borderId="0" xfId="9" applyNumberFormat="1" applyFont="1" applyAlignment="1" applyProtection="1">
      <alignment horizontal="center"/>
      <protection locked="0"/>
    </xf>
    <xf numFmtId="187" fontId="54" fillId="2" borderId="0" xfId="9" applyNumberFormat="1" applyFont="1" applyFill="1" applyBorder="1" applyAlignment="1" applyProtection="1">
      <alignment horizontal="right"/>
      <protection locked="0"/>
    </xf>
    <xf numFmtId="187" fontId="23" fillId="2" borderId="0" xfId="9" quotePrefix="1" applyNumberFormat="1" applyFont="1" applyFill="1" applyBorder="1" applyAlignment="1" applyProtection="1">
      <alignment horizontal="right"/>
      <protection locked="0"/>
    </xf>
    <xf numFmtId="187" fontId="32" fillId="2" borderId="2" xfId="9" quotePrefix="1" applyNumberFormat="1" applyFont="1" applyFill="1" applyBorder="1" applyAlignment="1" applyProtection="1">
      <alignment horizontal="right"/>
      <protection locked="0"/>
    </xf>
    <xf numFmtId="187" fontId="32" fillId="0" borderId="2" xfId="9" applyNumberFormat="1" applyFont="1" applyFill="1" applyBorder="1" applyAlignment="1" applyProtection="1">
      <alignment horizontal="right"/>
      <protection locked="0"/>
    </xf>
    <xf numFmtId="187" fontId="32" fillId="5" borderId="9" xfId="9" applyNumberFormat="1" applyFont="1" applyFill="1" applyBorder="1" applyAlignment="1">
      <alignment horizontal="right"/>
    </xf>
    <xf numFmtId="187" fontId="32" fillId="2" borderId="2" xfId="9" applyNumberFormat="1" applyFont="1" applyFill="1" applyBorder="1" applyAlignment="1" applyProtection="1">
      <alignment horizontal="right"/>
      <protection locked="0"/>
    </xf>
    <xf numFmtId="187" fontId="23" fillId="2" borderId="2" xfId="9" applyNumberFormat="1" applyFont="1" applyFill="1" applyBorder="1" applyAlignment="1" applyProtection="1">
      <alignment horizontal="right"/>
      <protection locked="0"/>
    </xf>
    <xf numFmtId="187" fontId="65" fillId="2" borderId="0" xfId="9" quotePrefix="1" applyNumberFormat="1" applyFont="1" applyFill="1" applyBorder="1" applyAlignment="1" applyProtection="1">
      <alignment horizontal="right"/>
      <protection locked="0"/>
    </xf>
    <xf numFmtId="187" fontId="65" fillId="5" borderId="10" xfId="9" applyNumberFormat="1" applyFont="1" applyFill="1" applyBorder="1" applyAlignment="1">
      <alignment horizontal="right"/>
    </xf>
    <xf numFmtId="187" fontId="27" fillId="2" borderId="0" xfId="9" quotePrefix="1" applyNumberFormat="1" applyFont="1" applyFill="1" applyBorder="1" applyAlignment="1" applyProtection="1">
      <alignment horizontal="right"/>
      <protection locked="0"/>
    </xf>
    <xf numFmtId="187" fontId="27" fillId="0" borderId="0" xfId="9" applyNumberFormat="1" applyFont="1" applyFill="1" applyBorder="1" applyAlignment="1" applyProtection="1">
      <alignment horizontal="right"/>
      <protection locked="0"/>
    </xf>
    <xf numFmtId="187" fontId="27" fillId="5" borderId="10" xfId="9" applyNumberFormat="1" applyFont="1" applyFill="1" applyBorder="1" applyAlignment="1">
      <alignment horizontal="right"/>
    </xf>
    <xf numFmtId="187" fontId="27" fillId="2" borderId="0" xfId="9" applyNumberFormat="1" applyFont="1" applyFill="1" applyBorder="1" applyAlignment="1" applyProtection="1">
      <alignment horizontal="right"/>
      <protection locked="0"/>
    </xf>
    <xf numFmtId="187" fontId="28" fillId="2" borderId="0" xfId="9" applyNumberFormat="1" applyFont="1" applyFill="1" applyBorder="1" applyAlignment="1" applyProtection="1">
      <alignment horizontal="right"/>
      <protection locked="0"/>
    </xf>
    <xf numFmtId="10" fontId="23" fillId="0" borderId="8" xfId="9" applyNumberFormat="1" applyFont="1" applyFill="1" applyBorder="1" applyAlignment="1" applyProtection="1">
      <alignment horizontal="right"/>
      <protection locked="0"/>
    </xf>
    <xf numFmtId="187" fontId="32" fillId="2" borderId="0" xfId="9" applyNumberFormat="1" applyFont="1" applyFill="1"/>
    <xf numFmtId="43" fontId="33" fillId="0" borderId="0" xfId="9" applyFont="1" applyFill="1" applyBorder="1" applyAlignment="1" applyProtection="1">
      <alignment horizontal="left" indent="3"/>
      <protection locked="0"/>
    </xf>
    <xf numFmtId="9" fontId="54" fillId="5" borderId="10" xfId="9" applyNumberFormat="1" applyFont="1" applyFill="1" applyBorder="1"/>
    <xf numFmtId="9" fontId="54" fillId="2" borderId="0" xfId="9" applyNumberFormat="1" applyFont="1" applyFill="1" applyBorder="1" applyAlignment="1" applyProtection="1">
      <alignment horizontal="right"/>
      <protection locked="0"/>
    </xf>
    <xf numFmtId="9" fontId="54" fillId="0" borderId="0" xfId="9" applyNumberFormat="1" applyFont="1" applyFill="1" applyBorder="1" applyAlignment="1" applyProtection="1">
      <alignment horizontal="right"/>
      <protection locked="0"/>
    </xf>
    <xf numFmtId="189" fontId="32" fillId="4" borderId="10" xfId="9" applyNumberFormat="1" applyFont="1" applyFill="1" applyBorder="1" applyAlignment="1">
      <alignment horizontal="right"/>
    </xf>
    <xf numFmtId="43" fontId="51" fillId="5" borderId="11" xfId="9" applyFont="1" applyFill="1" applyBorder="1" applyAlignment="1"/>
    <xf numFmtId="43" fontId="32" fillId="2" borderId="0" xfId="9" applyFont="1" applyFill="1" applyBorder="1" applyAlignment="1" applyProtection="1">
      <alignment horizontal="right"/>
      <protection locked="0"/>
    </xf>
    <xf numFmtId="43" fontId="54" fillId="2" borderId="0" xfId="9" quotePrefix="1" applyFont="1" applyFill="1" applyBorder="1" applyAlignment="1" applyProtection="1">
      <protection locked="0"/>
    </xf>
    <xf numFmtId="2" fontId="51" fillId="0" borderId="0" xfId="1" applyNumberFormat="1" applyFont="1" applyProtection="1">
      <protection locked="0"/>
    </xf>
    <xf numFmtId="175" fontId="32" fillId="2" borderId="0" xfId="1" quotePrefix="1" applyNumberFormat="1" applyFont="1" applyFill="1" applyBorder="1" applyAlignment="1" applyProtection="1">
      <protection locked="0"/>
    </xf>
    <xf numFmtId="184" fontId="4" fillId="0" borderId="0" xfId="9" applyNumberFormat="1" applyFont="1"/>
    <xf numFmtId="184" fontId="54" fillId="2" borderId="8" xfId="9" quotePrefix="1" applyNumberFormat="1" applyFont="1" applyFill="1" applyBorder="1" applyAlignment="1" applyProtection="1">
      <protection locked="0"/>
    </xf>
    <xf numFmtId="184" fontId="54" fillId="5" borderId="11" xfId="9" applyNumberFormat="1" applyFont="1" applyFill="1" applyBorder="1" applyAlignment="1"/>
    <xf numFmtId="184" fontId="51" fillId="0" borderId="0" xfId="9" applyNumberFormat="1" applyFont="1"/>
    <xf numFmtId="187" fontId="55" fillId="2" borderId="8" xfId="8" applyNumberFormat="1" applyFont="1" applyFill="1" applyBorder="1">
      <protection locked="0"/>
    </xf>
    <xf numFmtId="187" fontId="55" fillId="2" borderId="8" xfId="8" applyNumberFormat="1" applyFont="1" applyFill="1" applyBorder="1" applyAlignment="1">
      <alignment horizontal="right"/>
      <protection locked="0"/>
    </xf>
    <xf numFmtId="187" fontId="55" fillId="4" borderId="11" xfId="0" applyNumberFormat="1" applyFont="1" applyFill="1" applyBorder="1"/>
    <xf numFmtId="174" fontId="29" fillId="0" borderId="7" xfId="9" applyNumberFormat="1" applyFont="1" applyBorder="1"/>
    <xf numFmtId="174" fontId="51" fillId="0" borderId="0" xfId="9" applyNumberFormat="1" applyFont="1"/>
    <xf numFmtId="37" fontId="4" fillId="0" borderId="0" xfId="9" applyNumberFormat="1" applyFont="1"/>
    <xf numFmtId="37" fontId="29" fillId="0" borderId="7" xfId="9" applyNumberFormat="1" applyFont="1" applyBorder="1"/>
    <xf numFmtId="37" fontId="55" fillId="0" borderId="8" xfId="9" quotePrefix="1" applyNumberFormat="1" applyFont="1" applyFill="1" applyBorder="1" applyAlignment="1" applyProtection="1">
      <protection locked="0"/>
    </xf>
    <xf numFmtId="37" fontId="55" fillId="5" borderId="11" xfId="9" applyNumberFormat="1" applyFont="1" applyFill="1" applyBorder="1" applyAlignment="1"/>
    <xf numFmtId="37" fontId="55" fillId="2" borderId="8" xfId="9" quotePrefix="1" applyNumberFormat="1" applyFont="1" applyFill="1" applyBorder="1" applyAlignment="1" applyProtection="1">
      <protection locked="0"/>
    </xf>
    <xf numFmtId="37" fontId="51" fillId="0" borderId="0" xfId="9" applyNumberFormat="1" applyFont="1"/>
    <xf numFmtId="37" fontId="51" fillId="0" borderId="7" xfId="9" applyNumberFormat="1" applyFont="1" applyBorder="1"/>
    <xf numFmtId="37" fontId="23" fillId="0" borderId="8" xfId="9" quotePrefix="1" applyNumberFormat="1" applyFont="1" applyFill="1" applyBorder="1" applyAlignment="1" applyProtection="1">
      <protection locked="0"/>
    </xf>
    <xf numFmtId="37" fontId="23" fillId="5" borderId="11" xfId="9" applyNumberFormat="1" applyFont="1" applyFill="1" applyBorder="1" applyAlignment="1"/>
    <xf numFmtId="37" fontId="32" fillId="2" borderId="8" xfId="9" quotePrefix="1" applyNumberFormat="1" applyFont="1" applyFill="1" applyBorder="1" applyAlignment="1" applyProtection="1">
      <protection locked="0"/>
    </xf>
    <xf numFmtId="37" fontId="23" fillId="2" borderId="8" xfId="9" quotePrefix="1" applyNumberFormat="1" applyFont="1" applyFill="1" applyBorder="1" applyAlignment="1" applyProtection="1">
      <protection locked="0"/>
    </xf>
    <xf numFmtId="37" fontId="32" fillId="5" borderId="11" xfId="9" applyNumberFormat="1" applyFont="1" applyFill="1" applyBorder="1" applyAlignment="1"/>
    <xf numFmtId="37" fontId="54" fillId="0" borderId="8" xfId="9" quotePrefix="1" applyNumberFormat="1" applyFont="1" applyFill="1" applyBorder="1" applyAlignment="1" applyProtection="1">
      <protection locked="0"/>
    </xf>
    <xf numFmtId="37" fontId="4" fillId="0" borderId="0" xfId="9" applyNumberFormat="1" applyFont="1" applyAlignment="1">
      <alignment horizontal="left"/>
    </xf>
    <xf numFmtId="37" fontId="51" fillId="0" borderId="7" xfId="9" applyNumberFormat="1" applyFont="1" applyBorder="1" applyAlignment="1">
      <alignment horizontal="left" indent="1"/>
    </xf>
    <xf numFmtId="37" fontId="23" fillId="0" borderId="8" xfId="9" quotePrefix="1" applyNumberFormat="1" applyFont="1" applyFill="1" applyBorder="1" applyAlignment="1" applyProtection="1">
      <alignment horizontal="right"/>
      <protection locked="0"/>
    </xf>
    <xf numFmtId="37" fontId="23" fillId="0" borderId="8" xfId="9" applyNumberFormat="1" applyFont="1" applyFill="1" applyBorder="1" applyAlignment="1" applyProtection="1">
      <alignment horizontal="right"/>
      <protection locked="0"/>
    </xf>
    <xf numFmtId="37" fontId="27" fillId="0" borderId="8" xfId="9" quotePrefix="1" applyNumberFormat="1" applyFont="1" applyFill="1" applyBorder="1" applyAlignment="1" applyProtection="1">
      <protection locked="0"/>
    </xf>
    <xf numFmtId="37" fontId="29" fillId="5" borderId="11" xfId="9" applyNumberFormat="1" applyFont="1" applyFill="1" applyBorder="1" applyAlignment="1"/>
    <xf numFmtId="37" fontId="27" fillId="2" borderId="8" xfId="9" quotePrefix="1" applyNumberFormat="1" applyFont="1" applyFill="1" applyBorder="1" applyAlignment="1" applyProtection="1">
      <protection locked="0"/>
    </xf>
    <xf numFmtId="37" fontId="29" fillId="0" borderId="0" xfId="9" applyNumberFormat="1" applyFont="1"/>
    <xf numFmtId="198" fontId="4" fillId="2" borderId="0" xfId="0" applyNumberFormat="1" applyFont="1" applyFill="1"/>
    <xf numFmtId="198" fontId="31" fillId="2" borderId="26" xfId="1" applyNumberFormat="1" applyFont="1" applyFill="1" applyBorder="1" applyAlignment="1" applyProtection="1">
      <alignment horizontal="left" indent="2"/>
      <protection locked="0"/>
    </xf>
    <xf numFmtId="198" fontId="32" fillId="2" borderId="0" xfId="1" applyNumberFormat="1" applyFont="1" applyFill="1" applyBorder="1" applyAlignment="1" applyProtection="1">
      <protection locked="0"/>
    </xf>
    <xf numFmtId="198" fontId="32" fillId="7" borderId="10" xfId="1" applyNumberFormat="1" applyFont="1" applyFill="1" applyBorder="1" applyAlignment="1">
      <alignment horizontal="right"/>
    </xf>
    <xf numFmtId="198" fontId="32" fillId="2" borderId="0" xfId="1" applyNumberFormat="1" applyFont="1" applyFill="1" applyBorder="1" applyAlignment="1" applyProtection="1">
      <alignment horizontal="right"/>
      <protection locked="0"/>
    </xf>
    <xf numFmtId="198" fontId="2" fillId="2" borderId="0" xfId="0" applyNumberFormat="1" applyFont="1" applyFill="1"/>
    <xf numFmtId="37" fontId="29" fillId="0" borderId="7" xfId="9" applyNumberFormat="1" applyFont="1" applyBorder="1" applyAlignment="1">
      <alignment horizontal="left"/>
    </xf>
    <xf numFmtId="37" fontId="51" fillId="0" borderId="0" xfId="9" applyNumberFormat="1" applyFont="1" applyAlignment="1">
      <alignment horizontal="left" indent="2"/>
    </xf>
    <xf numFmtId="37" fontId="23" fillId="0" borderId="0" xfId="8" applyNumberFormat="1" applyFont="1">
      <protection locked="0"/>
    </xf>
    <xf numFmtId="37" fontId="23" fillId="0" borderId="0" xfId="8" applyNumberFormat="1" applyFont="1" applyAlignment="1">
      <alignment horizontal="right"/>
      <protection locked="0"/>
    </xf>
    <xf numFmtId="37" fontId="23" fillId="4" borderId="10" xfId="0" applyNumberFormat="1" applyFont="1" applyFill="1" applyBorder="1"/>
    <xf numFmtId="37" fontId="23" fillId="2" borderId="0" xfId="8" applyNumberFormat="1" applyFont="1" applyFill="1">
      <protection locked="0"/>
    </xf>
    <xf numFmtId="37" fontId="23" fillId="2" borderId="0" xfId="8" applyNumberFormat="1" applyFont="1" applyFill="1" applyAlignment="1">
      <alignment horizontal="right"/>
      <protection locked="0"/>
    </xf>
    <xf numFmtId="37" fontId="32" fillId="0" borderId="0" xfId="8" applyNumberFormat="1" applyFont="1" applyAlignment="1">
      <alignment horizontal="right"/>
      <protection locked="0"/>
    </xf>
    <xf numFmtId="37" fontId="0" fillId="4" borderId="10" xfId="0" applyNumberFormat="1" applyFill="1" applyBorder="1"/>
    <xf numFmtId="37" fontId="54" fillId="0" borderId="0" xfId="8" applyNumberFormat="1" applyFont="1" applyAlignment="1">
      <alignment horizontal="right"/>
      <protection locked="0"/>
    </xf>
    <xf numFmtId="37" fontId="54" fillId="4" borderId="10" xfId="0" applyNumberFormat="1" applyFont="1" applyFill="1" applyBorder="1"/>
    <xf numFmtId="37" fontId="51" fillId="0" borderId="0" xfId="0" applyNumberFormat="1" applyFont="1"/>
    <xf numFmtId="37" fontId="23" fillId="0" borderId="8" xfId="8" applyNumberFormat="1" applyFont="1" applyBorder="1">
      <protection locked="0"/>
    </xf>
    <xf numFmtId="37" fontId="23" fillId="0" borderId="8" xfId="8" applyNumberFormat="1" applyFont="1" applyBorder="1" applyAlignment="1">
      <alignment horizontal="right"/>
      <protection locked="0"/>
    </xf>
    <xf numFmtId="37" fontId="23" fillId="4" borderId="11" xfId="0" applyNumberFormat="1" applyFont="1" applyFill="1" applyBorder="1"/>
    <xf numFmtId="37" fontId="32" fillId="0" borderId="8" xfId="8" applyNumberFormat="1" applyFont="1" applyBorder="1" applyAlignment="1">
      <alignment horizontal="right"/>
      <protection locked="0"/>
    </xf>
    <xf numFmtId="37" fontId="32" fillId="2" borderId="8" xfId="8" applyNumberFormat="1" applyFont="1" applyFill="1" applyBorder="1">
      <protection locked="0"/>
    </xf>
    <xf numFmtId="37" fontId="32" fillId="2" borderId="8" xfId="8" applyNumberFormat="1" applyFont="1" applyFill="1" applyBorder="1" applyAlignment="1">
      <alignment horizontal="right"/>
      <protection locked="0"/>
    </xf>
    <xf numFmtId="37" fontId="0" fillId="4" borderId="11" xfId="0" applyNumberFormat="1" applyFill="1" applyBorder="1"/>
    <xf numFmtId="37" fontId="23" fillId="2" borderId="8" xfId="8" applyNumberFormat="1" applyFont="1" applyFill="1" applyBorder="1">
      <protection locked="0"/>
    </xf>
    <xf numFmtId="37" fontId="23" fillId="2" borderId="8" xfId="8" applyNumberFormat="1" applyFont="1" applyFill="1" applyBorder="1" applyAlignment="1">
      <alignment horizontal="right"/>
      <protection locked="0"/>
    </xf>
    <xf numFmtId="37" fontId="32" fillId="4" borderId="11" xfId="0" applyNumberFormat="1" applyFont="1" applyFill="1" applyBorder="1"/>
    <xf numFmtId="37" fontId="51" fillId="0" borderId="0" xfId="9" applyNumberFormat="1" applyFont="1" applyAlignment="1">
      <alignment horizontal="left" indent="1"/>
    </xf>
    <xf numFmtId="37" fontId="32" fillId="2" borderId="0" xfId="8" applyNumberFormat="1" applyFont="1" applyFill="1" applyAlignment="1">
      <alignment horizontal="right"/>
      <protection locked="0"/>
    </xf>
    <xf numFmtId="37" fontId="23" fillId="4" borderId="12" xfId="0" applyNumberFormat="1" applyFont="1" applyFill="1" applyBorder="1"/>
    <xf numFmtId="37" fontId="27" fillId="4" borderId="11" xfId="9" applyNumberFormat="1" applyFont="1" applyFill="1" applyBorder="1" applyAlignment="1"/>
    <xf numFmtId="37" fontId="51" fillId="0" borderId="0" xfId="9" applyNumberFormat="1" applyFont="1" applyFill="1" applyBorder="1" applyAlignment="1" applyProtection="1">
      <alignment horizontal="left"/>
      <protection locked="0"/>
    </xf>
    <xf numFmtId="37" fontId="23" fillId="0" borderId="0" xfId="9" applyNumberFormat="1" applyFont="1" applyProtection="1">
      <protection locked="0"/>
    </xf>
    <xf numFmtId="37" fontId="23" fillId="0" borderId="0" xfId="9" applyNumberFormat="1" applyFont="1" applyAlignment="1" applyProtection="1">
      <alignment horizontal="right"/>
      <protection locked="0"/>
    </xf>
    <xf numFmtId="37" fontId="23" fillId="4" borderId="10" xfId="9" applyNumberFormat="1" applyFont="1" applyFill="1" applyBorder="1"/>
    <xf numFmtId="37" fontId="23" fillId="2" borderId="0" xfId="9" applyNumberFormat="1" applyFont="1" applyFill="1" applyProtection="1">
      <protection locked="0"/>
    </xf>
    <xf numFmtId="37" fontId="23" fillId="2" borderId="0" xfId="9" applyNumberFormat="1" applyFont="1" applyFill="1" applyAlignment="1" applyProtection="1">
      <alignment horizontal="right"/>
      <protection locked="0"/>
    </xf>
    <xf numFmtId="37" fontId="54" fillId="0" borderId="0" xfId="9" applyNumberFormat="1" applyFont="1" applyAlignment="1" applyProtection="1">
      <alignment horizontal="right"/>
      <protection locked="0"/>
    </xf>
    <xf numFmtId="37" fontId="39" fillId="0" borderId="0" xfId="9" applyNumberFormat="1" applyFont="1" applyAlignment="1">
      <alignment horizontal="right"/>
    </xf>
    <xf numFmtId="37" fontId="22" fillId="0" borderId="8" xfId="9" applyNumberFormat="1" applyFont="1" applyBorder="1" applyAlignment="1" applyProtection="1">
      <alignment horizontal="right"/>
      <protection locked="0"/>
    </xf>
    <xf numFmtId="37" fontId="3" fillId="4" borderId="11" xfId="9" applyNumberFormat="1" applyFont="1" applyFill="1" applyBorder="1" applyAlignment="1">
      <alignment horizontal="right"/>
    </xf>
    <xf numFmtId="37" fontId="22" fillId="2" borderId="8" xfId="9" applyNumberFormat="1" applyFont="1" applyFill="1" applyBorder="1" applyAlignment="1" applyProtection="1">
      <alignment horizontal="right"/>
      <protection locked="0"/>
    </xf>
    <xf numFmtId="43" fontId="54" fillId="2" borderId="0" xfId="9" applyFont="1" applyFill="1" applyBorder="1" applyAlignment="1" applyProtection="1">
      <alignment horizontal="right"/>
      <protection locked="0"/>
    </xf>
    <xf numFmtId="184" fontId="29" fillId="0" borderId="7" xfId="9" applyNumberFormat="1" applyFont="1" applyBorder="1"/>
    <xf numFmtId="184" fontId="55" fillId="0" borderId="8" xfId="9" quotePrefix="1" applyNumberFormat="1" applyFont="1" applyFill="1" applyBorder="1" applyAlignment="1" applyProtection="1">
      <protection locked="0"/>
    </xf>
    <xf numFmtId="184" fontId="55" fillId="5" borderId="11" xfId="9" applyNumberFormat="1" applyFont="1" applyFill="1" applyBorder="1" applyAlignment="1"/>
    <xf numFmtId="184" fontId="55" fillId="2" borderId="8" xfId="9" quotePrefix="1" applyNumberFormat="1" applyFont="1" applyFill="1" applyBorder="1" applyAlignment="1" applyProtection="1">
      <protection locked="0"/>
    </xf>
    <xf numFmtId="184" fontId="51" fillId="0" borderId="7" xfId="9" applyNumberFormat="1" applyFont="1" applyBorder="1"/>
    <xf numFmtId="184" fontId="23" fillId="0" borderId="8" xfId="9" quotePrefix="1" applyNumberFormat="1" applyFont="1" applyFill="1" applyBorder="1" applyAlignment="1" applyProtection="1">
      <protection locked="0"/>
    </xf>
    <xf numFmtId="184" fontId="32" fillId="0" borderId="8" xfId="9" quotePrefix="1" applyNumberFormat="1" applyFont="1" applyFill="1" applyBorder="1" applyAlignment="1" applyProtection="1">
      <protection locked="0"/>
    </xf>
    <xf numFmtId="184" fontId="32" fillId="5" borderId="11" xfId="9" applyNumberFormat="1" applyFont="1" applyFill="1" applyBorder="1" applyAlignment="1"/>
    <xf numFmtId="184" fontId="32" fillId="0" borderId="0" xfId="9" applyNumberFormat="1" applyFont="1"/>
    <xf numFmtId="184" fontId="27" fillId="0" borderId="8" xfId="9" quotePrefix="1" applyNumberFormat="1" applyFont="1" applyFill="1" applyBorder="1" applyAlignment="1" applyProtection="1">
      <protection locked="0"/>
    </xf>
    <xf numFmtId="184" fontId="29" fillId="5" borderId="11" xfId="9" applyNumberFormat="1" applyFont="1" applyFill="1" applyBorder="1" applyAlignment="1"/>
    <xf numFmtId="184" fontId="27" fillId="2" borderId="8" xfId="9" quotePrefix="1" applyNumberFormat="1" applyFont="1" applyFill="1" applyBorder="1" applyAlignment="1" applyProtection="1">
      <protection locked="0"/>
    </xf>
    <xf numFmtId="184" fontId="29" fillId="0" borderId="0" xfId="9" applyNumberFormat="1" applyFont="1"/>
    <xf numFmtId="9" fontId="52" fillId="0" borderId="0" xfId="9" applyNumberFormat="1" applyFont="1" applyFill="1" applyBorder="1" applyAlignment="1" applyProtection="1">
      <alignment horizontal="left" indent="2"/>
      <protection locked="0"/>
    </xf>
    <xf numFmtId="184" fontId="4" fillId="0" borderId="0" xfId="9" applyNumberFormat="1" applyFont="1" applyAlignment="1">
      <alignment horizontal="left"/>
    </xf>
    <xf numFmtId="184" fontId="51" fillId="0" borderId="7" xfId="9" applyNumberFormat="1" applyFont="1" applyBorder="1" applyAlignment="1">
      <alignment horizontal="left" indent="1"/>
    </xf>
    <xf numFmtId="184" fontId="23" fillId="0" borderId="8" xfId="9" quotePrefix="1" applyNumberFormat="1" applyFont="1" applyFill="1" applyBorder="1" applyAlignment="1" applyProtection="1">
      <alignment horizontal="right"/>
      <protection locked="0"/>
    </xf>
    <xf numFmtId="184" fontId="23" fillId="0" borderId="8" xfId="9" applyNumberFormat="1" applyFont="1" applyFill="1" applyBorder="1" applyAlignment="1" applyProtection="1">
      <alignment horizontal="right"/>
      <protection locked="0"/>
    </xf>
    <xf numFmtId="184" fontId="54" fillId="2" borderId="8" xfId="9" applyNumberFormat="1" applyFont="1" applyFill="1" applyBorder="1" applyAlignment="1" applyProtection="1">
      <alignment horizontal="right"/>
      <protection locked="0"/>
    </xf>
    <xf numFmtId="184" fontId="29" fillId="0" borderId="7" xfId="9" applyNumberFormat="1" applyFont="1" applyBorder="1" applyAlignment="1">
      <alignment horizontal="left"/>
    </xf>
    <xf numFmtId="184" fontId="51" fillId="0" borderId="0" xfId="9" applyNumberFormat="1" applyFont="1" applyAlignment="1">
      <alignment horizontal="left" indent="2"/>
    </xf>
    <xf numFmtId="184" fontId="32" fillId="0" borderId="0" xfId="1" quotePrefix="1" applyNumberFormat="1" applyFont="1" applyFill="1" applyBorder="1" applyAlignment="1" applyProtection="1">
      <alignment horizontal="right"/>
      <protection locked="0"/>
    </xf>
    <xf numFmtId="184" fontId="32" fillId="0" borderId="0" xfId="1" applyNumberFormat="1" applyFont="1" applyFill="1" applyBorder="1" applyAlignment="1" applyProtection="1">
      <alignment horizontal="right"/>
      <protection locked="0"/>
    </xf>
    <xf numFmtId="184" fontId="54" fillId="4" borderId="10" xfId="9" applyNumberFormat="1" applyFont="1" applyFill="1" applyBorder="1" applyAlignment="1">
      <alignment horizontal="right"/>
    </xf>
    <xf numFmtId="184" fontId="54" fillId="2" borderId="0" xfId="9" quotePrefix="1" applyNumberFormat="1" applyFont="1" applyFill="1" applyBorder="1" applyAlignment="1" applyProtection="1">
      <alignment horizontal="right"/>
      <protection locked="0"/>
    </xf>
    <xf numFmtId="184" fontId="54" fillId="2" borderId="0" xfId="9" applyNumberFormat="1" applyFont="1" applyFill="1" applyBorder="1" applyAlignment="1" applyProtection="1">
      <alignment horizontal="right"/>
      <protection locked="0"/>
    </xf>
    <xf numFmtId="184" fontId="54" fillId="0" borderId="0" xfId="8" applyNumberFormat="1" applyFont="1" applyAlignment="1">
      <alignment horizontal="right"/>
      <protection locked="0"/>
    </xf>
    <xf numFmtId="184" fontId="54" fillId="4" borderId="10" xfId="0" applyNumberFormat="1" applyFont="1" applyFill="1" applyBorder="1"/>
    <xf numFmtId="184" fontId="23" fillId="0" borderId="0" xfId="9" applyNumberFormat="1" applyFont="1"/>
    <xf numFmtId="184" fontId="32" fillId="0" borderId="0" xfId="9" quotePrefix="1" applyNumberFormat="1" applyFont="1" applyFill="1" applyBorder="1" applyAlignment="1" applyProtection="1">
      <alignment horizontal="right"/>
      <protection locked="0"/>
    </xf>
    <xf numFmtId="184" fontId="32" fillId="0" borderId="0" xfId="9" applyNumberFormat="1" applyFont="1" applyFill="1" applyBorder="1" applyAlignment="1" applyProtection="1">
      <alignment horizontal="right"/>
      <protection locked="0"/>
    </xf>
    <xf numFmtId="184" fontId="54" fillId="0" borderId="0" xfId="9" applyNumberFormat="1" applyFont="1" applyAlignment="1" applyProtection="1">
      <alignment horizontal="right"/>
      <protection locked="0"/>
    </xf>
    <xf numFmtId="184" fontId="54" fillId="4" borderId="10" xfId="9" applyNumberFormat="1" applyFont="1" applyFill="1" applyBorder="1"/>
    <xf numFmtId="184" fontId="23" fillId="0" borderId="8" xfId="8" applyNumberFormat="1" applyFont="1" applyBorder="1">
      <protection locked="0"/>
    </xf>
    <xf numFmtId="184" fontId="23" fillId="0" borderId="8" xfId="8" applyNumberFormat="1" applyFont="1" applyBorder="1" applyAlignment="1">
      <alignment horizontal="right"/>
      <protection locked="0"/>
    </xf>
    <xf numFmtId="184" fontId="54" fillId="4" borderId="11" xfId="0" applyNumberFormat="1" applyFont="1" applyFill="1" applyBorder="1"/>
    <xf numFmtId="184" fontId="54" fillId="2" borderId="8" xfId="8" applyNumberFormat="1" applyFont="1" applyFill="1" applyBorder="1">
      <protection locked="0"/>
    </xf>
    <xf numFmtId="184" fontId="54" fillId="2" borderId="8" xfId="8" applyNumberFormat="1" applyFont="1" applyFill="1" applyBorder="1" applyAlignment="1">
      <alignment horizontal="right"/>
      <protection locked="0"/>
    </xf>
    <xf numFmtId="184" fontId="32" fillId="0" borderId="8" xfId="8" applyNumberFormat="1" applyFont="1" applyBorder="1" applyAlignment="1">
      <alignment horizontal="right"/>
      <protection locked="0"/>
    </xf>
    <xf numFmtId="184" fontId="32" fillId="4" borderId="11" xfId="0" applyNumberFormat="1" applyFont="1" applyFill="1" applyBorder="1"/>
    <xf numFmtId="184" fontId="32" fillId="0" borderId="8" xfId="8" applyNumberFormat="1" applyFont="1" applyBorder="1">
      <protection locked="0"/>
    </xf>
    <xf numFmtId="184" fontId="51" fillId="0" borderId="0" xfId="0" applyNumberFormat="1" applyFont="1"/>
    <xf numFmtId="184" fontId="51" fillId="0" borderId="0" xfId="9" applyNumberFormat="1" applyFont="1" applyAlignment="1">
      <alignment horizontal="left" indent="1"/>
    </xf>
    <xf numFmtId="184" fontId="23" fillId="0" borderId="0" xfId="8" applyNumberFormat="1" applyFont="1">
      <protection locked="0"/>
    </xf>
    <xf numFmtId="184" fontId="23" fillId="0" borderId="0" xfId="8" applyNumberFormat="1" applyFont="1" applyAlignment="1">
      <alignment horizontal="right"/>
      <protection locked="0"/>
    </xf>
    <xf numFmtId="184" fontId="54" fillId="2" borderId="0" xfId="8" applyNumberFormat="1" applyFont="1" applyFill="1">
      <protection locked="0"/>
    </xf>
    <xf numFmtId="184" fontId="54" fillId="2" borderId="0" xfId="8" applyNumberFormat="1" applyFont="1" applyFill="1" applyAlignment="1">
      <alignment horizontal="right"/>
      <protection locked="0"/>
    </xf>
    <xf numFmtId="184" fontId="32" fillId="4" borderId="10" xfId="0" applyNumberFormat="1" applyFont="1" applyFill="1" applyBorder="1"/>
    <xf numFmtId="184" fontId="32" fillId="0" borderId="0" xfId="8" applyNumberFormat="1" applyFont="1" applyAlignment="1">
      <alignment horizontal="right"/>
      <protection locked="0"/>
    </xf>
    <xf numFmtId="184" fontId="32" fillId="0" borderId="0" xfId="8" applyNumberFormat="1" applyFont="1">
      <protection locked="0"/>
    </xf>
    <xf numFmtId="184" fontId="27" fillId="4" borderId="11" xfId="9" applyNumberFormat="1" applyFont="1" applyFill="1" applyBorder="1" applyAlignment="1"/>
    <xf numFmtId="174" fontId="39" fillId="0" borderId="0" xfId="9" applyNumberFormat="1" applyFont="1" applyAlignment="1">
      <alignment horizontal="right"/>
    </xf>
    <xf numFmtId="174" fontId="22" fillId="0" borderId="8" xfId="9" applyNumberFormat="1" applyFont="1" applyBorder="1" applyAlignment="1" applyProtection="1">
      <alignment horizontal="right"/>
      <protection locked="0"/>
    </xf>
    <xf numFmtId="174" fontId="3" fillId="4" borderId="11" xfId="9" applyNumberFormat="1" applyFont="1" applyFill="1" applyBorder="1" applyAlignment="1">
      <alignment horizontal="right"/>
    </xf>
    <xf numFmtId="174" fontId="22" fillId="2" borderId="8" xfId="9" applyNumberFormat="1" applyFont="1" applyFill="1" applyBorder="1" applyAlignment="1" applyProtection="1">
      <alignment horizontal="right"/>
      <protection locked="0"/>
    </xf>
    <xf numFmtId="184" fontId="32" fillId="0" borderId="0" xfId="9" applyNumberFormat="1" applyFont="1" applyAlignment="1">
      <alignment horizontal="left" indent="1"/>
    </xf>
    <xf numFmtId="184" fontId="54" fillId="0" borderId="0" xfId="9" applyNumberFormat="1" applyFont="1" applyProtection="1">
      <protection locked="0"/>
    </xf>
    <xf numFmtId="184" fontId="54" fillId="2" borderId="0" xfId="9" applyNumberFormat="1" applyFont="1" applyFill="1" applyProtection="1">
      <protection locked="0"/>
    </xf>
    <xf numFmtId="184" fontId="44" fillId="0" borderId="0" xfId="9" applyNumberFormat="1" applyFont="1"/>
    <xf numFmtId="184" fontId="32" fillId="0" borderId="0" xfId="9" applyNumberFormat="1" applyFont="1" applyAlignment="1">
      <alignment horizontal="left" indent="2"/>
    </xf>
    <xf numFmtId="184" fontId="32" fillId="4" borderId="10" xfId="9" applyNumberFormat="1" applyFont="1" applyFill="1" applyBorder="1"/>
    <xf numFmtId="184" fontId="32" fillId="0" borderId="0" xfId="9" applyNumberFormat="1" applyFont="1" applyProtection="1">
      <protection locked="0"/>
    </xf>
    <xf numFmtId="184" fontId="32" fillId="2" borderId="0" xfId="9" applyNumberFormat="1" applyFont="1" applyFill="1" applyProtection="1">
      <protection locked="0"/>
    </xf>
    <xf numFmtId="184" fontId="2" fillId="0" borderId="0" xfId="9" applyNumberFormat="1" applyFont="1" applyAlignment="1">
      <alignment horizontal="left" indent="2"/>
    </xf>
    <xf numFmtId="184" fontId="23" fillId="0" borderId="0" xfId="9" applyNumberFormat="1" applyFont="1" applyProtection="1">
      <protection locked="0"/>
    </xf>
    <xf numFmtId="184" fontId="23" fillId="4" borderId="10" xfId="9" applyNumberFormat="1" applyFont="1" applyFill="1" applyBorder="1"/>
    <xf numFmtId="184" fontId="23" fillId="2" borderId="0" xfId="9" applyNumberFormat="1" applyFont="1" applyFill="1" applyProtection="1">
      <protection locked="0"/>
    </xf>
    <xf numFmtId="184" fontId="0" fillId="0" borderId="0" xfId="9" applyNumberFormat="1" applyFont="1" applyAlignment="1">
      <alignment horizontal="left" indent="2"/>
    </xf>
    <xf numFmtId="184" fontId="23" fillId="0" borderId="0" xfId="9" quotePrefix="1" applyNumberFormat="1" applyFont="1" applyFill="1" applyBorder="1" applyAlignment="1" applyProtection="1">
      <alignment horizontal="right"/>
      <protection locked="0"/>
    </xf>
    <xf numFmtId="184" fontId="23" fillId="0" borderId="0" xfId="9" applyNumberFormat="1" applyFont="1" applyFill="1" applyBorder="1" applyAlignment="1" applyProtection="1">
      <alignment horizontal="right"/>
      <protection locked="0"/>
    </xf>
    <xf numFmtId="184" fontId="23" fillId="2" borderId="0" xfId="9" quotePrefix="1" applyNumberFormat="1" applyFont="1" applyFill="1" applyBorder="1" applyAlignment="1" applyProtection="1">
      <alignment horizontal="right"/>
      <protection locked="0"/>
    </xf>
    <xf numFmtId="184" fontId="23" fillId="2" borderId="0" xfId="9" applyNumberFormat="1" applyFont="1" applyFill="1" applyBorder="1" applyAlignment="1" applyProtection="1">
      <alignment horizontal="right"/>
      <protection locked="0"/>
    </xf>
    <xf numFmtId="184" fontId="2" fillId="0" borderId="0" xfId="9" applyNumberFormat="1" applyFont="1"/>
    <xf numFmtId="184" fontId="3" fillId="0" borderId="0" xfId="9" applyNumberFormat="1" applyFont="1" applyAlignment="1">
      <alignment horizontal="left" indent="1"/>
    </xf>
    <xf numFmtId="184" fontId="4" fillId="0" borderId="0" xfId="9" applyNumberFormat="1" applyFont="1" applyAlignment="1">
      <alignment horizontal="right"/>
    </xf>
    <xf numFmtId="184" fontId="2" fillId="0" borderId="0" xfId="9" applyNumberFormat="1" applyFont="1" applyAlignment="1">
      <alignment horizontal="right"/>
    </xf>
    <xf numFmtId="184" fontId="32" fillId="0" borderId="0" xfId="9" applyNumberFormat="1" applyFont="1" applyAlignment="1">
      <alignment horizontal="right"/>
    </xf>
    <xf numFmtId="184" fontId="27" fillId="0" borderId="7" xfId="9" applyNumberFormat="1" applyFont="1" applyBorder="1"/>
    <xf numFmtId="184" fontId="27" fillId="0" borderId="8" xfId="9" applyNumberFormat="1" applyFont="1" applyFill="1" applyBorder="1"/>
    <xf numFmtId="184" fontId="27" fillId="4" borderId="11" xfId="9" applyNumberFormat="1" applyFont="1" applyFill="1" applyBorder="1"/>
    <xf numFmtId="184" fontId="27" fillId="2" borderId="8" xfId="9" applyNumberFormat="1" applyFont="1" applyFill="1" applyBorder="1"/>
    <xf numFmtId="184" fontId="27" fillId="0" borderId="0" xfId="9" applyNumberFormat="1" applyFont="1"/>
    <xf numFmtId="184" fontId="39" fillId="0" borderId="0" xfId="9" applyNumberFormat="1" applyFont="1"/>
    <xf numFmtId="184" fontId="2" fillId="0" borderId="0" xfId="9" applyNumberFormat="1" applyFont="1" applyAlignment="1">
      <alignment horizontal="left" indent="1"/>
    </xf>
    <xf numFmtId="184" fontId="32" fillId="0" borderId="0" xfId="9" applyNumberFormat="1" applyFont="1" applyAlignment="1" applyProtection="1">
      <alignment horizontal="right"/>
      <protection locked="0"/>
    </xf>
    <xf numFmtId="184" fontId="2" fillId="0" borderId="0" xfId="9" applyNumberFormat="1" applyFont="1" applyFill="1" applyBorder="1"/>
    <xf numFmtId="184" fontId="2" fillId="2" borderId="0" xfId="9" applyNumberFormat="1" applyFont="1" applyFill="1" applyBorder="1"/>
    <xf numFmtId="184" fontId="54" fillId="0" borderId="0" xfId="9" applyNumberFormat="1" applyFont="1" applyFill="1" applyBorder="1"/>
    <xf numFmtId="184" fontId="54" fillId="2" borderId="0" xfId="9" applyNumberFormat="1" applyFont="1" applyFill="1" applyBorder="1"/>
    <xf numFmtId="184" fontId="2" fillId="2" borderId="0" xfId="9" applyNumberFormat="1" applyFont="1" applyFill="1" applyAlignment="1">
      <alignment horizontal="left" indent="1"/>
    </xf>
    <xf numFmtId="184" fontId="23" fillId="0" borderId="0" xfId="9" applyNumberFormat="1" applyFont="1" applyFill="1" applyBorder="1"/>
    <xf numFmtId="184" fontId="32" fillId="0" borderId="0" xfId="9" applyNumberFormat="1" applyFont="1" applyFill="1" applyBorder="1"/>
  </cellXfs>
  <cellStyles count="27">
    <cellStyle name="Comma" xfId="9" builtinId="3"/>
    <cellStyle name="Comma 2" xfId="23" xr:uid="{69512B2C-408B-447B-8B74-A4439BB2C482}"/>
    <cellStyle name="Comma_ADBE-wire" xfId="15" xr:uid="{4FFFD70E-D4BE-41C7-B7EA-C3EA6FDEBA58}"/>
    <cellStyle name="Currency" xfId="10" builtinId="4"/>
    <cellStyle name="Currency [0]_Quarterly History" xfId="16" xr:uid="{6A57797D-F059-4662-9364-1F42B0B06CC8}"/>
    <cellStyle name="Currency 114" xfId="22" xr:uid="{372FF7AF-FC7E-4342-B8D1-F532ED792651}"/>
    <cellStyle name="Currency_ADBE-wire" xfId="14" xr:uid="{A35B3B41-9575-417E-B7D5-C46DE67CB552}"/>
    <cellStyle name="Hyperlink" xfId="2" builtinId="8"/>
    <cellStyle name="Hyperlink 2 2" xfId="3" xr:uid="{FBA87B92-E1A1-475D-9C1A-5F21DC3F8426}"/>
    <cellStyle name="Hyperlink 3" xfId="6" xr:uid="{59A1D256-7739-4554-AC94-51BC9711CD8D}"/>
    <cellStyle name="Normal" xfId="0" builtinId="0"/>
    <cellStyle name="Normal 2" xfId="17" xr:uid="{62B8DEB2-E4E0-4E7D-888B-302829F06C15}"/>
    <cellStyle name="Normal 2 14" xfId="13" xr:uid="{829A4C05-2645-4258-97F4-FD7C6D8B1534}"/>
    <cellStyle name="Normal 2 2" xfId="24" xr:uid="{80968C4F-05EB-454E-A934-92E2A5389F39}"/>
    <cellStyle name="Normal 2 3" xfId="4" xr:uid="{1C1EF6EF-0812-4D6A-8ABB-30391C3C2E8B}"/>
    <cellStyle name="Normal 2 3 2" xfId="7" xr:uid="{B45F92BC-0462-4C66-B95D-C568F0450F4A}"/>
    <cellStyle name="Normal 2 3 3" xfId="25" xr:uid="{14D36515-F98E-4414-8D0F-136DA15F2155}"/>
    <cellStyle name="Normal 296" xfId="21" xr:uid="{160400E5-4DA7-42A1-9579-4CC37733BA85}"/>
    <cellStyle name="Normal_ADBE-wire" xfId="12" xr:uid="{437D365B-70C5-4EB5-B430-508F690F0B13}"/>
    <cellStyle name="Normal_EFII" xfId="8" xr:uid="{2CBB9996-9312-4381-94B9-050509C14152}"/>
    <cellStyle name="Normal_Quarterly History" xfId="11" xr:uid="{8D9629A5-3858-47CC-A382-6C746A911F59}"/>
    <cellStyle name="Percent" xfId="1" builtinId="5"/>
    <cellStyle name="Percent 10" xfId="5" xr:uid="{AA9F31CF-4C3F-4F83-8B9D-143035AC66C6}"/>
    <cellStyle name="Percent 10 2" xfId="26" xr:uid="{3739D532-F41E-41D1-955A-87830DA94EAB}"/>
    <cellStyle name="Percent 3 10" xfId="20" xr:uid="{A8B2C86A-B58F-4B7F-8157-C45DAF2D8158}"/>
    <cellStyle name="Percent 3 2" xfId="18" xr:uid="{10D418E7-B39E-41E7-A82E-94367627E1F8}"/>
    <cellStyle name="Percent 43" xfId="19" xr:uid="{6E79D1E8-B6F6-4BE5-8B31-0160354825CA}"/>
  </cellStyles>
  <dxfs count="0"/>
  <tableStyles count="1" defaultTableStyle="TableStyleMedium2" defaultPivotStyle="PivotStyleLight16">
    <tableStyle name="Invisible" pivot="0" table="0" count="0" xr9:uid="{B3534C57-54C5-4F51-9E65-F13526899CC6}"/>
  </tableStyles>
  <colors>
    <mruColors>
      <color rgb="FF0000FF"/>
      <color rgb="FF0033CC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</xdr:row>
      <xdr:rowOff>9525</xdr:rowOff>
    </xdr:from>
    <xdr:to>
      <xdr:col>1</xdr:col>
      <xdr:colOff>552450</xdr:colOff>
      <xdr:row>4</xdr:row>
      <xdr:rowOff>47438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F045752A-D692-41B1-BA45-BF615BD5C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6700" y="171450"/>
          <a:ext cx="533400" cy="52368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firmwide.corp.gs.com\root\Projects\Research\ny\Software%20and%20Internet\Models%20-%20Current%20Coverage\NTNX\NTNX%20Model%20-%20Live_Final.xlsx" TargetMode="External"/><Relationship Id="rId1" Type="http://schemas.openxmlformats.org/officeDocument/2006/relationships/externalLinkPath" Target="/Projects/Research/ny/Software%20and%20Internet/Models%20-%20Current%20Coverage/NTNX/NTNX%20Model%20-%20Live_Fina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M:\Software%20and%20Internet\Banking\CoreWeave\CoreWeave%20Model%20_WIP_4.13.xlsb" TargetMode="External"/><Relationship Id="rId1" Type="http://schemas.openxmlformats.org/officeDocument/2006/relationships/externalLinkPath" Target="/Projects/Research/ny/Software%20and%20Internet/Banking/CoreWeave/CoreWeave%20Model%20_WIP_4.13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__FDSCACHE__"/>
      <sheetName val="Cover"/>
      <sheetName val="Revenue Build"/>
      <sheetName val="Sensitivity"/>
      <sheetName val="VMware Analysis"/>
      <sheetName val="VMware"/>
      <sheetName val="IS (GAAP)"/>
      <sheetName val="IS (Non-GAAP)"/>
      <sheetName val="BS"/>
      <sheetName val="NTNX_Live_Sheet"/>
      <sheetName val="NTNX_Validation_Sheet"/>
      <sheetName val="NTNX_Annotation_Sheet"/>
      <sheetName val="CF"/>
      <sheetName val="CF Inputs"/>
      <sheetName val="Share Count Forecast"/>
      <sheetName val="DR &amp; Billings"/>
      <sheetName val="Guidance"/>
      <sheetName val="Dates "/>
      <sheetName val="Consensus"/>
      <sheetName val="Comp Sheet"/>
      <sheetName val="NTNX_Exchange_Sheet"/>
      <sheetName val="Gartner-IDC"/>
      <sheetName val="Q4"/>
      <sheetName val="Q1-Q3"/>
      <sheetName val="Est. vs Guidance"/>
      <sheetName val="First Read"/>
      <sheetName val="SumVal"/>
      <sheetName val="GS Framework"/>
      <sheetName val="Long-Term Scenario"/>
      <sheetName val="Analyst Day"/>
    </sheetNames>
    <sheetDataSet>
      <sheetData sheetId="0"/>
      <sheetData sheetId="1"/>
      <sheetData sheetId="2"/>
      <sheetData sheetId="3"/>
      <sheetData sheetId="4"/>
      <sheetData sheetId="5"/>
      <sheetData sheetId="6">
        <row r="9">
          <cell r="BH9">
            <v>448.58100000000002</v>
          </cell>
        </row>
      </sheetData>
      <sheetData sheetId="7">
        <row r="46">
          <cell r="BH46">
            <v>376.98599999999999</v>
          </cell>
        </row>
      </sheetData>
      <sheetData sheetId="8"/>
      <sheetData sheetId="9">
        <row r="1">
          <cell r="A1" t="str">
            <v>Issuer: Nutanix Inc.</v>
          </cell>
          <cell r="C1">
            <v>2514458667</v>
          </cell>
          <cell r="F1">
            <v>2012</v>
          </cell>
          <cell r="G1">
            <v>2013</v>
          </cell>
          <cell r="H1">
            <v>2014</v>
          </cell>
          <cell r="I1">
            <v>2015</v>
          </cell>
          <cell r="J1">
            <v>2016</v>
          </cell>
          <cell r="K1" t="str">
            <v>2017 Q1</v>
          </cell>
          <cell r="L1" t="str">
            <v>2017 Q2</v>
          </cell>
          <cell r="M1" t="str">
            <v>2017 Q3</v>
          </cell>
          <cell r="N1" t="str">
            <v>2017 Q4</v>
          </cell>
          <cell r="O1">
            <v>2017</v>
          </cell>
          <cell r="P1" t="str">
            <v>2018 Q1</v>
          </cell>
          <cell r="Q1" t="str">
            <v>2018 Q2</v>
          </cell>
          <cell r="R1" t="str">
            <v>2018 Q3</v>
          </cell>
          <cell r="S1" t="str">
            <v>2018 Q4</v>
          </cell>
          <cell r="T1">
            <v>2018</v>
          </cell>
          <cell r="U1" t="str">
            <v>2019 Q1</v>
          </cell>
          <cell r="V1" t="str">
            <v>2019 Q2</v>
          </cell>
          <cell r="W1" t="str">
            <v>2019 Q3</v>
          </cell>
          <cell r="X1" t="str">
            <v>2019 Q4</v>
          </cell>
          <cell r="Y1">
            <v>2019</v>
          </cell>
          <cell r="Z1" t="str">
            <v>2020 Q1</v>
          </cell>
          <cell r="AA1" t="str">
            <v>2020 Q2</v>
          </cell>
          <cell r="AB1" t="str">
            <v>2020 Q3</v>
          </cell>
          <cell r="AC1" t="str">
            <v>2020 Q4</v>
          </cell>
          <cell r="AD1">
            <v>2020</v>
          </cell>
          <cell r="AE1" t="str">
            <v>2021 Q1</v>
          </cell>
          <cell r="AF1" t="str">
            <v>2021 Q2</v>
          </cell>
          <cell r="AG1" t="str">
            <v>2021 Q3</v>
          </cell>
          <cell r="AH1" t="str">
            <v>2021 Q4</v>
          </cell>
          <cell r="AI1">
            <v>2021</v>
          </cell>
          <cell r="AJ1" t="str">
            <v>2022 Q1</v>
          </cell>
          <cell r="AK1" t="str">
            <v>2022 Q2</v>
          </cell>
          <cell r="AL1" t="str">
            <v>2022 Q3</v>
          </cell>
          <cell r="AM1" t="str">
            <v>2022 Q4</v>
          </cell>
          <cell r="AN1">
            <v>2022</v>
          </cell>
          <cell r="AO1" t="str">
            <v>2023 Q1</v>
          </cell>
          <cell r="AP1" t="str">
            <v>2023 Q2</v>
          </cell>
          <cell r="AQ1" t="str">
            <v>2023 Q3</v>
          </cell>
          <cell r="AR1" t="str">
            <v>2023 Q4</v>
          </cell>
          <cell r="AS1">
            <v>2023</v>
          </cell>
          <cell r="AT1" t="str">
            <v>2024 Q1</v>
          </cell>
          <cell r="AU1" t="str">
            <v>2024 Q2</v>
          </cell>
          <cell r="AV1" t="str">
            <v>2024 Q3</v>
          </cell>
          <cell r="AW1" t="str">
            <v>2024 Q4</v>
          </cell>
          <cell r="AX1">
            <v>2024</v>
          </cell>
          <cell r="AY1" t="str">
            <v>2025 Q1</v>
          </cell>
          <cell r="AZ1" t="str">
            <v>2025 Q2</v>
          </cell>
          <cell r="BA1" t="str">
            <v>2025 Q3</v>
          </cell>
          <cell r="BB1" t="str">
            <v>2025 Q4</v>
          </cell>
          <cell r="BC1">
            <v>2025</v>
          </cell>
          <cell r="BD1" t="str">
            <v>2026 Q1</v>
          </cell>
          <cell r="BE1" t="str">
            <v>2026 Q2</v>
          </cell>
          <cell r="BF1" t="str">
            <v>2026 Q3</v>
          </cell>
          <cell r="BG1" t="str">
            <v>2026 Q4</v>
          </cell>
          <cell r="BH1">
            <v>2026</v>
          </cell>
          <cell r="BI1" t="str">
            <v>2027 Q1</v>
          </cell>
          <cell r="BJ1" t="str">
            <v>2027 Q2</v>
          </cell>
          <cell r="BK1" t="str">
            <v>2027 Q3</v>
          </cell>
          <cell r="BL1" t="str">
            <v>2027 Q4</v>
          </cell>
          <cell r="BM1">
            <v>2027</v>
          </cell>
          <cell r="BN1" t="str">
            <v>2028 Q1</v>
          </cell>
          <cell r="BO1" t="str">
            <v>2028 Q2</v>
          </cell>
          <cell r="BP1" t="str">
            <v>2028 Q3</v>
          </cell>
          <cell r="BQ1" t="str">
            <v>2028 Q4</v>
          </cell>
          <cell r="BR1">
            <v>2028</v>
          </cell>
          <cell r="BS1" t="str">
            <v>2029 Q1</v>
          </cell>
          <cell r="BT1" t="str">
            <v>2029 Q2</v>
          </cell>
          <cell r="BU1" t="str">
            <v>2029 Q3</v>
          </cell>
          <cell r="BV1" t="str">
            <v>2029 Q4</v>
          </cell>
          <cell r="BW1">
            <v>2029</v>
          </cell>
          <cell r="BX1" t="str">
            <v>2030 Q1</v>
          </cell>
          <cell r="BY1" t="str">
            <v>2030 Q2</v>
          </cell>
          <cell r="BZ1" t="str">
            <v>2030 Q3</v>
          </cell>
          <cell r="CA1" t="str">
            <v>2030 Q4</v>
          </cell>
          <cell r="CB1">
            <v>2030</v>
          </cell>
        </row>
        <row r="2">
          <cell r="F2" t="str">
            <v>Actual</v>
          </cell>
          <cell r="G2" t="str">
            <v>Actual</v>
          </cell>
          <cell r="H2" t="str">
            <v>Actual</v>
          </cell>
          <cell r="I2" t="str">
            <v>Actual</v>
          </cell>
          <cell r="J2" t="str">
            <v>Actual</v>
          </cell>
          <cell r="K2" t="str">
            <v>Actual</v>
          </cell>
          <cell r="L2" t="str">
            <v>Actual</v>
          </cell>
          <cell r="M2" t="str">
            <v>Actual</v>
          </cell>
          <cell r="N2" t="str">
            <v>Actual</v>
          </cell>
          <cell r="O2" t="str">
            <v>Actual</v>
          </cell>
          <cell r="P2" t="str">
            <v>Actual</v>
          </cell>
          <cell r="Q2" t="str">
            <v>Actual</v>
          </cell>
          <cell r="R2" t="str">
            <v>Actual</v>
          </cell>
          <cell r="S2" t="str">
            <v>Actual</v>
          </cell>
          <cell r="T2" t="str">
            <v>Actual</v>
          </cell>
          <cell r="U2" t="str">
            <v>Actual</v>
          </cell>
          <cell r="V2" t="str">
            <v>Actual</v>
          </cell>
          <cell r="W2" t="str">
            <v>Actual</v>
          </cell>
          <cell r="X2" t="str">
            <v>Actual</v>
          </cell>
          <cell r="Y2" t="str">
            <v>Actual</v>
          </cell>
          <cell r="Z2" t="str">
            <v>Actual</v>
          </cell>
          <cell r="AA2" t="str">
            <v>Actual</v>
          </cell>
          <cell r="AB2" t="str">
            <v>Actual</v>
          </cell>
          <cell r="AC2" t="str">
            <v>Actual</v>
          </cell>
          <cell r="AD2" t="str">
            <v>Actual</v>
          </cell>
          <cell r="AE2" t="str">
            <v>Actual</v>
          </cell>
          <cell r="AF2" t="str">
            <v>Actual</v>
          </cell>
          <cell r="AG2" t="str">
            <v>Actual</v>
          </cell>
          <cell r="AH2" t="str">
            <v>Actual</v>
          </cell>
          <cell r="AI2" t="str">
            <v>Actual</v>
          </cell>
          <cell r="AJ2" t="str">
            <v>Actual</v>
          </cell>
          <cell r="AK2" t="str">
            <v>Actual</v>
          </cell>
          <cell r="AL2" t="str">
            <v>Actual</v>
          </cell>
          <cell r="AM2" t="str">
            <v>Actual</v>
          </cell>
          <cell r="AN2" t="str">
            <v>Actual</v>
          </cell>
          <cell r="AO2" t="str">
            <v>Actual</v>
          </cell>
          <cell r="AP2" t="str">
            <v>Actual</v>
          </cell>
          <cell r="AQ2" t="str">
            <v>Actual</v>
          </cell>
          <cell r="AR2" t="str">
            <v>Actual</v>
          </cell>
          <cell r="AS2" t="str">
            <v>Actual</v>
          </cell>
          <cell r="AT2" t="str">
            <v>Actual</v>
          </cell>
          <cell r="AU2" t="str">
            <v>Actual</v>
          </cell>
          <cell r="AV2" t="str">
            <v>Actual</v>
          </cell>
          <cell r="AW2" t="str">
            <v>Actual</v>
          </cell>
          <cell r="AX2" t="str">
            <v>Actual</v>
          </cell>
          <cell r="AY2" t="str">
            <v>Estimate</v>
          </cell>
          <cell r="AZ2" t="str">
            <v>Estimate</v>
          </cell>
          <cell r="BA2" t="str">
            <v>Estimate</v>
          </cell>
          <cell r="BB2" t="str">
            <v>Estimate</v>
          </cell>
          <cell r="BD2" t="str">
            <v>Estimate</v>
          </cell>
          <cell r="BE2" t="str">
            <v>Estimate</v>
          </cell>
          <cell r="BF2" t="str">
            <v>Estimate</v>
          </cell>
          <cell r="BG2" t="str">
            <v>Estimate</v>
          </cell>
          <cell r="BH2" t="str">
            <v>Estimate</v>
          </cell>
          <cell r="BI2" t="str">
            <v>Estimate</v>
          </cell>
          <cell r="BJ2" t="str">
            <v>Estimate</v>
          </cell>
          <cell r="BK2" t="str">
            <v>Estimate</v>
          </cell>
          <cell r="BL2" t="str">
            <v>Estimate</v>
          </cell>
          <cell r="BM2" t="str">
            <v>Estimate</v>
          </cell>
          <cell r="BN2" t="str">
            <v>Estimate</v>
          </cell>
          <cell r="BO2" t="str">
            <v>Estimate</v>
          </cell>
          <cell r="BP2" t="str">
            <v>Estimate</v>
          </cell>
          <cell r="BQ2" t="str">
            <v>Estimate</v>
          </cell>
          <cell r="BR2" t="str">
            <v>Estimate</v>
          </cell>
          <cell r="BS2" t="str">
            <v>Estimate</v>
          </cell>
          <cell r="BT2" t="str">
            <v>Estimate</v>
          </cell>
          <cell r="BU2" t="str">
            <v>Estimate</v>
          </cell>
          <cell r="BV2" t="str">
            <v>Estimate</v>
          </cell>
          <cell r="BW2" t="str">
            <v>Estimate</v>
          </cell>
          <cell r="BX2" t="str">
            <v>Estimate</v>
          </cell>
          <cell r="BY2" t="str">
            <v>Estimate</v>
          </cell>
          <cell r="BZ2" t="str">
            <v>Estimate</v>
          </cell>
          <cell r="CA2" t="str">
            <v>Estimate</v>
          </cell>
          <cell r="CB2" t="str">
            <v>Estimate</v>
          </cell>
        </row>
        <row r="3">
          <cell r="F3">
            <v>41274</v>
          </cell>
          <cell r="G3">
            <v>41639</v>
          </cell>
          <cell r="H3">
            <v>42004</v>
          </cell>
          <cell r="I3">
            <v>42369</v>
          </cell>
          <cell r="J3">
            <v>42735</v>
          </cell>
          <cell r="K3">
            <v>42825</v>
          </cell>
          <cell r="L3">
            <v>42916</v>
          </cell>
          <cell r="M3">
            <v>43008</v>
          </cell>
          <cell r="N3">
            <v>43100</v>
          </cell>
          <cell r="O3">
            <v>43100</v>
          </cell>
          <cell r="P3">
            <v>43190</v>
          </cell>
          <cell r="Q3">
            <v>43281</v>
          </cell>
          <cell r="R3">
            <v>43373</v>
          </cell>
          <cell r="S3">
            <v>43465</v>
          </cell>
          <cell r="T3">
            <v>43465</v>
          </cell>
          <cell r="U3">
            <v>43555</v>
          </cell>
          <cell r="V3">
            <v>43646</v>
          </cell>
          <cell r="W3">
            <v>43738</v>
          </cell>
          <cell r="X3">
            <v>43830</v>
          </cell>
          <cell r="Y3">
            <v>43830</v>
          </cell>
          <cell r="Z3">
            <v>43921</v>
          </cell>
          <cell r="AA3">
            <v>44012</v>
          </cell>
          <cell r="AB3">
            <v>44104</v>
          </cell>
          <cell r="AC3">
            <v>44196</v>
          </cell>
          <cell r="AD3">
            <v>44196</v>
          </cell>
          <cell r="AE3">
            <v>44286</v>
          </cell>
          <cell r="AF3">
            <v>44377</v>
          </cell>
          <cell r="AG3">
            <v>44469</v>
          </cell>
          <cell r="AH3">
            <v>44561</v>
          </cell>
          <cell r="AI3">
            <v>44561</v>
          </cell>
          <cell r="AJ3">
            <v>44651</v>
          </cell>
          <cell r="AK3">
            <v>44742</v>
          </cell>
          <cell r="AL3">
            <v>44834</v>
          </cell>
          <cell r="AM3">
            <v>44926</v>
          </cell>
          <cell r="AN3">
            <v>44926</v>
          </cell>
          <cell r="AO3">
            <v>45016</v>
          </cell>
          <cell r="AP3">
            <v>45107</v>
          </cell>
          <cell r="AQ3">
            <v>45199</v>
          </cell>
          <cell r="AR3">
            <v>45291</v>
          </cell>
          <cell r="AS3">
            <v>45291</v>
          </cell>
          <cell r="AT3">
            <v>45382</v>
          </cell>
          <cell r="AU3">
            <v>45473</v>
          </cell>
          <cell r="AV3">
            <v>45565</v>
          </cell>
          <cell r="AW3">
            <v>45657</v>
          </cell>
          <cell r="AX3">
            <v>45657</v>
          </cell>
          <cell r="AY3">
            <v>45747</v>
          </cell>
          <cell r="AZ3">
            <v>45838</v>
          </cell>
          <cell r="BA3">
            <v>45930</v>
          </cell>
          <cell r="BB3">
            <v>46022</v>
          </cell>
          <cell r="BD3">
            <v>46112</v>
          </cell>
          <cell r="BE3">
            <v>46203</v>
          </cell>
          <cell r="BF3">
            <v>46295</v>
          </cell>
          <cell r="BG3">
            <v>46387</v>
          </cell>
          <cell r="BH3">
            <v>46387</v>
          </cell>
          <cell r="BI3">
            <v>46477</v>
          </cell>
          <cell r="BJ3">
            <v>46568</v>
          </cell>
          <cell r="BK3">
            <v>46660</v>
          </cell>
          <cell r="BL3">
            <v>46752</v>
          </cell>
          <cell r="BM3">
            <v>46752</v>
          </cell>
          <cell r="BN3">
            <v>46843</v>
          </cell>
          <cell r="BO3">
            <v>46934</v>
          </cell>
          <cell r="BP3">
            <v>47026</v>
          </cell>
          <cell r="BQ3">
            <v>47118</v>
          </cell>
          <cell r="BR3">
            <v>47118</v>
          </cell>
          <cell r="BS3">
            <v>47208</v>
          </cell>
          <cell r="BT3">
            <v>47299</v>
          </cell>
          <cell r="BU3">
            <v>47391</v>
          </cell>
          <cell r="BV3">
            <v>47483</v>
          </cell>
          <cell r="BW3">
            <v>47483</v>
          </cell>
          <cell r="BX3">
            <v>47573</v>
          </cell>
          <cell r="BY3">
            <v>47664</v>
          </cell>
          <cell r="BZ3">
            <v>47756</v>
          </cell>
          <cell r="CA3">
            <v>47848</v>
          </cell>
          <cell r="CB3">
            <v>47848</v>
          </cell>
        </row>
        <row r="4">
          <cell r="A4" t="str">
            <v>Issuer: Nutanix Inc.</v>
          </cell>
          <cell r="B4" t="str">
            <v>1510E1C</v>
          </cell>
        </row>
        <row r="5">
          <cell r="A5" t="str">
            <v>Reference Data</v>
          </cell>
        </row>
        <row r="6">
          <cell r="B6" t="str">
            <v>Issuer Name</v>
          </cell>
          <cell r="C6" t="str">
            <v>Issuer Name</v>
          </cell>
          <cell r="E6" t="str">
            <v>Nutanix Inc.</v>
          </cell>
        </row>
        <row r="7">
          <cell r="B7" t="str">
            <v>Reporting Currency</v>
          </cell>
          <cell r="C7" t="str">
            <v>CURRENCY_ISO</v>
          </cell>
        </row>
        <row r="8">
          <cell r="A8" t="str">
            <v>General Information</v>
          </cell>
        </row>
        <row r="9">
          <cell r="B9" t="str">
            <v>M&amp;A probability (1 = high, 3 = low)</v>
          </cell>
          <cell r="C9" t="str">
            <v>MA_PROB</v>
          </cell>
        </row>
        <row r="10">
          <cell r="A10" t="str">
            <v>Income Statement</v>
          </cell>
        </row>
        <row r="11">
          <cell r="B11" t="str">
            <v>Sales, net revenue</v>
          </cell>
          <cell r="C11" t="str">
            <v>SALES</v>
          </cell>
          <cell r="D11">
            <v>0</v>
          </cell>
        </row>
        <row r="12">
          <cell r="B12" t="str">
            <v>Cost of goods sold, COGS</v>
          </cell>
          <cell r="C12" t="str">
            <v>COST_GD_SD</v>
          </cell>
          <cell r="D12">
            <v>0</v>
          </cell>
        </row>
        <row r="13">
          <cell r="B13" t="str">
            <v>SG&amp;A, selling, general and admin. expense</v>
          </cell>
          <cell r="C13" t="str">
            <v>SEL_GL_AD</v>
          </cell>
          <cell r="D13">
            <v>0</v>
          </cell>
        </row>
        <row r="14">
          <cell r="B14" t="str">
            <v>Total operating expense</v>
          </cell>
          <cell r="C14" t="str">
            <v>OP_COST</v>
          </cell>
          <cell r="D14">
            <v>0</v>
          </cell>
        </row>
        <row r="15">
          <cell r="B15" t="str">
            <v>R&amp;D expense</v>
          </cell>
          <cell r="C15" t="str">
            <v>RD_EXP</v>
          </cell>
          <cell r="D15">
            <v>0</v>
          </cell>
        </row>
        <row r="16">
          <cell r="B16" t="str">
            <v>ESO expense (pre-tax)</v>
          </cell>
          <cell r="C16" t="str">
            <v>ESO_PRE_TAX</v>
          </cell>
          <cell r="D16">
            <v>0</v>
          </cell>
        </row>
        <row r="17">
          <cell r="B17" t="str">
            <v>Other operating income/(expense) (incl. leases)</v>
          </cell>
          <cell r="C17" t="str">
            <v>OTH_OP_INC_EXP</v>
          </cell>
          <cell r="D17">
            <v>0</v>
          </cell>
        </row>
        <row r="18">
          <cell r="B18" t="str">
            <v>Total operating expense (incl. D&amp;A)</v>
          </cell>
          <cell r="C18" t="str">
            <v>TOT_OPS_EXP_DDA</v>
          </cell>
          <cell r="D18">
            <v>0</v>
          </cell>
        </row>
        <row r="19">
          <cell r="B19" t="str">
            <v>Total operating expense (excl. D&amp;A)</v>
          </cell>
          <cell r="C19" t="str">
            <v>TOT_OPS_EXP</v>
          </cell>
          <cell r="D19">
            <v>0</v>
          </cell>
        </row>
        <row r="20">
          <cell r="B20" t="str">
            <v>EBITDA</v>
          </cell>
          <cell r="C20" t="str">
            <v>EBITDA_CALC</v>
          </cell>
          <cell r="D20">
            <v>0</v>
          </cell>
        </row>
        <row r="21">
          <cell r="B21" t="str">
            <v>Depreciation</v>
          </cell>
          <cell r="C21" t="str">
            <v>DEPREC</v>
          </cell>
          <cell r="D21">
            <v>0</v>
          </cell>
        </row>
        <row r="22">
          <cell r="B22" t="str">
            <v>Amortization</v>
          </cell>
          <cell r="C22" t="str">
            <v>GOODWILL_AMORT</v>
          </cell>
          <cell r="D22">
            <v>0</v>
          </cell>
        </row>
        <row r="23">
          <cell r="B23" t="str">
            <v>EBIT, operating profit</v>
          </cell>
          <cell r="C23" t="str">
            <v>EBIT</v>
          </cell>
          <cell r="D23">
            <v>0</v>
          </cell>
        </row>
        <row r="24">
          <cell r="B24" t="str">
            <v>Interest income</v>
          </cell>
          <cell r="C24" t="str">
            <v>INT_INC_IND</v>
          </cell>
          <cell r="D24">
            <v>0</v>
          </cell>
        </row>
        <row r="25">
          <cell r="B25" t="str">
            <v>Interest expense</v>
          </cell>
          <cell r="C25" t="str">
            <v>INT_EXP_IND</v>
          </cell>
          <cell r="D25">
            <v>0</v>
          </cell>
        </row>
        <row r="26">
          <cell r="B26" t="str">
            <v>Net interest income/(expense)</v>
          </cell>
          <cell r="C26" t="str">
            <v>NET_INT_EXP</v>
          </cell>
          <cell r="D26">
            <v>0</v>
          </cell>
        </row>
        <row r="27">
          <cell r="B27" t="str">
            <v>Income/(loss) from unconsolidated subs &amp; associates</v>
          </cell>
          <cell r="C27" t="str">
            <v>ASSOCIATE</v>
          </cell>
          <cell r="D27">
            <v>0</v>
          </cell>
        </row>
        <row r="28">
          <cell r="B28" t="str">
            <v>Profit/(loss) on disposals of assets, pre-tax</v>
          </cell>
          <cell r="C28" t="str">
            <v>PROFIT_ON_DISP</v>
          </cell>
          <cell r="D28">
            <v>0</v>
          </cell>
        </row>
        <row r="29">
          <cell r="B29" t="str">
            <v>Other non-ops income/(expense)</v>
          </cell>
          <cell r="C29" t="str">
            <v>OTH_COST_INC</v>
          </cell>
          <cell r="D29">
            <v>0</v>
          </cell>
        </row>
        <row r="30">
          <cell r="B30" t="str">
            <v>Pre-tax profit</v>
          </cell>
          <cell r="C30" t="str">
            <v>PT_PROF</v>
          </cell>
          <cell r="D30">
            <v>0</v>
          </cell>
        </row>
        <row r="31">
          <cell r="A31" t="str">
            <v>Additional Income Statement Items</v>
          </cell>
        </row>
        <row r="32">
          <cell r="B32" t="str">
            <v>Operating lease cost</v>
          </cell>
          <cell r="C32" t="str">
            <v>LEASE_PAY</v>
          </cell>
          <cell r="D32">
            <v>0</v>
          </cell>
        </row>
        <row r="33">
          <cell r="B33" t="str">
            <v>Lease payments (deemed interest portion)</v>
          </cell>
          <cell r="C33" t="str">
            <v>LEASE_DEEM_INT</v>
          </cell>
          <cell r="D33">
            <v>0</v>
          </cell>
        </row>
        <row r="34">
          <cell r="B34" t="str">
            <v>Lease payments (deemed depreciation portion)</v>
          </cell>
          <cell r="C34" t="str">
            <v>LEASE_DEEM_DEPR</v>
          </cell>
          <cell r="D34">
            <v>0</v>
          </cell>
        </row>
        <row r="35">
          <cell r="B35" t="str">
            <v>Gross interest charge</v>
          </cell>
          <cell r="C35" t="str">
            <v>NET_INT_CH</v>
          </cell>
          <cell r="D35">
            <v>0</v>
          </cell>
        </row>
        <row r="36">
          <cell r="B36" t="str">
            <v>Income from associates (operating)</v>
          </cell>
          <cell r="C36" t="str">
            <v>ASSOCIATE_OP</v>
          </cell>
          <cell r="D36">
            <v>0</v>
          </cell>
        </row>
        <row r="37">
          <cell r="B37" t="str">
            <v>Depreciation ROU assets   (applicable to IFRS cos.)</v>
          </cell>
          <cell r="C37" t="str">
            <v>DEPR_ROU_ASSETS</v>
          </cell>
          <cell r="D37">
            <v>0</v>
          </cell>
        </row>
        <row r="38">
          <cell r="B38" t="str">
            <v>Lease interest charge  (applicable to IFRS cos.)</v>
          </cell>
          <cell r="C38" t="str">
            <v>LEASE_INT_CHG</v>
          </cell>
          <cell r="D38">
            <v>0</v>
          </cell>
        </row>
        <row r="39">
          <cell r="B39" t="str">
            <v>Lease standard adopted (US GAAP ASC 842/ IFRS 16)</v>
          </cell>
          <cell r="C39" t="str">
            <v>LEASE_ADOPT</v>
          </cell>
        </row>
        <row r="40">
          <cell r="B40" t="str">
            <v>Stock-based compensation related to cost of goods sold (Americas software)</v>
          </cell>
          <cell r="C40" t="str">
            <v>SBC_COST_OF_GOODS_SOLD</v>
          </cell>
          <cell r="D40">
            <v>0</v>
          </cell>
        </row>
        <row r="41">
          <cell r="B41" t="str">
            <v>Stock-based compensation related to sales &amp; marketing (Americas software)</v>
          </cell>
          <cell r="C41" t="str">
            <v>SBC_SALES_MARKETING</v>
          </cell>
          <cell r="D41">
            <v>0</v>
          </cell>
        </row>
        <row r="42">
          <cell r="B42" t="str">
            <v>Stock-based compensation related to research &amp; development (Americas software)</v>
          </cell>
          <cell r="C42" t="str">
            <v>SBC_RESEARCH_DEVELOPMENT</v>
          </cell>
          <cell r="D42">
            <v>0</v>
          </cell>
        </row>
        <row r="43">
          <cell r="B43" t="str">
            <v>Stock-based compensation related to general &amp; administrative (Americas software)</v>
          </cell>
          <cell r="C43" t="str">
            <v>SBC_GEN_ADMINISTRATIVE</v>
          </cell>
          <cell r="D43">
            <v>0</v>
          </cell>
        </row>
        <row r="44">
          <cell r="B44" t="str">
            <v>Total stock-based compensation (Americas software)</v>
          </cell>
          <cell r="C44" t="str">
            <v>SBC_TOTAL</v>
          </cell>
          <cell r="D44">
            <v>0</v>
          </cell>
        </row>
        <row r="45">
          <cell r="B45" t="str">
            <v>Non-GAAP cost of goods sold</v>
          </cell>
          <cell r="C45" t="str">
            <v>COGS_N_GAAP</v>
          </cell>
          <cell r="D45">
            <v>0</v>
          </cell>
        </row>
        <row r="46">
          <cell r="B46" t="str">
            <v>Non-GAAP gross profit</v>
          </cell>
          <cell r="C46" t="str">
            <v>GROSS_PROFIT_N_GAAP</v>
          </cell>
          <cell r="D46">
            <v>0</v>
          </cell>
        </row>
        <row r="47">
          <cell r="B47" t="str">
            <v>Non-GAAP general and administrative expenses</v>
          </cell>
          <cell r="C47" t="str">
            <v>GEN_ADMIN_N_GAAP</v>
          </cell>
          <cell r="D47">
            <v>0</v>
          </cell>
        </row>
        <row r="48">
          <cell r="B48" t="str">
            <v>Non-GAAP sales &amp; marketing</v>
          </cell>
          <cell r="C48" t="str">
            <v>SALES_MARKETING_N_GAAP</v>
          </cell>
          <cell r="D48">
            <v>0</v>
          </cell>
        </row>
        <row r="49">
          <cell r="B49" t="str">
            <v>Non-GAAP research &amp; development</v>
          </cell>
          <cell r="C49" t="str">
            <v>RD_N_GAAP</v>
          </cell>
          <cell r="D49">
            <v>0</v>
          </cell>
        </row>
        <row r="50">
          <cell r="B50" t="str">
            <v>Non-GAAP operating expenses</v>
          </cell>
          <cell r="C50" t="str">
            <v>OPS_EXP_N_GAAP</v>
          </cell>
          <cell r="D50">
            <v>0</v>
          </cell>
        </row>
        <row r="51">
          <cell r="B51" t="str">
            <v>Non-GAAP operating income</v>
          </cell>
          <cell r="C51" t="str">
            <v>OP_INC_N_GAAP</v>
          </cell>
          <cell r="D51">
            <v>0</v>
          </cell>
        </row>
        <row r="52">
          <cell r="B52" t="str">
            <v>Non-GAAP net income</v>
          </cell>
          <cell r="C52" t="str">
            <v>NET_INC_N_GAAP</v>
          </cell>
          <cell r="D52">
            <v>0</v>
          </cell>
        </row>
        <row r="53">
          <cell r="A53" t="str">
            <v>Balance Sheet</v>
          </cell>
        </row>
        <row r="54">
          <cell r="B54" t="str">
            <v>Cash &amp; cash equivalents</v>
          </cell>
          <cell r="C54" t="str">
            <v>CASH_EQ</v>
          </cell>
          <cell r="D54">
            <v>0</v>
          </cell>
        </row>
        <row r="55">
          <cell r="B55" t="str">
            <v>Accounts receivable</v>
          </cell>
          <cell r="C55" t="str">
            <v>DEBTORS</v>
          </cell>
          <cell r="D55">
            <v>0</v>
          </cell>
        </row>
        <row r="56">
          <cell r="B56" t="str">
            <v>Inventory</v>
          </cell>
          <cell r="C56" t="str">
            <v>STOCKS</v>
          </cell>
          <cell r="D56">
            <v>0</v>
          </cell>
        </row>
        <row r="57">
          <cell r="B57" t="str">
            <v>Other current assets</v>
          </cell>
          <cell r="C57" t="str">
            <v>OTH_CUR_ASS</v>
          </cell>
          <cell r="D57">
            <v>0</v>
          </cell>
        </row>
        <row r="58">
          <cell r="B58" t="str">
            <v>Total current assets</v>
          </cell>
          <cell r="C58" t="str">
            <v>CUR_ASS</v>
          </cell>
          <cell r="D58">
            <v>0</v>
          </cell>
        </row>
        <row r="59">
          <cell r="B59" t="str">
            <v>Gross fixed assets, PP&amp;E</v>
          </cell>
          <cell r="C59" t="str">
            <v>GR_FIX_ASS</v>
          </cell>
          <cell r="D59">
            <v>0</v>
          </cell>
        </row>
        <row r="60">
          <cell r="B60" t="str">
            <v>Accumulated depreciation</v>
          </cell>
          <cell r="C60" t="str">
            <v>ACC_DDA</v>
          </cell>
          <cell r="D60">
            <v>0</v>
          </cell>
        </row>
        <row r="61">
          <cell r="B61" t="str">
            <v>Net PP&amp;E</v>
          </cell>
          <cell r="C61" t="str">
            <v>NET_FIX_ASS</v>
          </cell>
          <cell r="D61">
            <v>0</v>
          </cell>
        </row>
        <row r="62">
          <cell r="B62" t="str">
            <v>Gross intangibles</v>
          </cell>
          <cell r="C62" t="str">
            <v>GR_INTANG</v>
          </cell>
          <cell r="D62">
            <v>0</v>
          </cell>
        </row>
        <row r="63">
          <cell r="B63" t="str">
            <v>Accumulated amortization</v>
          </cell>
          <cell r="C63" t="str">
            <v>ACC_AMORT</v>
          </cell>
          <cell r="D63">
            <v>0</v>
          </cell>
        </row>
        <row r="64">
          <cell r="B64" t="str">
            <v>Net intangible assets</v>
          </cell>
          <cell r="C64" t="str">
            <v>NET_INTANG</v>
          </cell>
          <cell r="D64">
            <v>0</v>
          </cell>
        </row>
        <row r="65">
          <cell r="B65" t="str">
            <v>Equity method investments</v>
          </cell>
          <cell r="C65" t="str">
            <v>FIX_ASS_INV</v>
          </cell>
          <cell r="D65">
            <v>0</v>
          </cell>
        </row>
        <row r="66">
          <cell r="B66" t="str">
            <v>Investments in securities</v>
          </cell>
          <cell r="C66" t="str">
            <v>INV_SECUR</v>
          </cell>
          <cell r="D66">
            <v>0</v>
          </cell>
        </row>
        <row r="67">
          <cell r="B67" t="str">
            <v>Other long-term assets</v>
          </cell>
          <cell r="C67" t="str">
            <v>OTH_LT_ASS</v>
          </cell>
          <cell r="D67">
            <v>0</v>
          </cell>
        </row>
        <row r="68">
          <cell r="B68" t="str">
            <v>Total assets</v>
          </cell>
          <cell r="C68" t="str">
            <v>TOT_ASSET</v>
          </cell>
          <cell r="D68">
            <v>0</v>
          </cell>
        </row>
        <row r="69">
          <cell r="B69" t="str">
            <v>Accounts payable</v>
          </cell>
          <cell r="C69" t="str">
            <v>ACC_PAY_GQ</v>
          </cell>
          <cell r="D69">
            <v>0</v>
          </cell>
        </row>
        <row r="70">
          <cell r="B70" t="str">
            <v>Short-term debt</v>
          </cell>
          <cell r="C70" t="str">
            <v>SHORT_T_DEBT</v>
          </cell>
          <cell r="D70">
            <v>0</v>
          </cell>
        </row>
        <row r="71">
          <cell r="B71" t="str">
            <v>Current lease liabilities (op lease: US GAAP)</v>
          </cell>
          <cell r="C71" t="str">
            <v>ST_LEASE_LIAB</v>
          </cell>
          <cell r="D71">
            <v>0</v>
          </cell>
        </row>
        <row r="72">
          <cell r="B72" t="str">
            <v>Other current liabilities</v>
          </cell>
          <cell r="C72" t="str">
            <v>OTH_CUR_LIABS</v>
          </cell>
          <cell r="D72">
            <v>0</v>
          </cell>
        </row>
        <row r="73">
          <cell r="B73" t="str">
            <v>Total current liabilities</v>
          </cell>
          <cell r="C73" t="str">
            <v>SHORT_TERM_LIABS</v>
          </cell>
          <cell r="D73">
            <v>0</v>
          </cell>
        </row>
        <row r="74">
          <cell r="B74" t="str">
            <v>Deferred revenue</v>
          </cell>
          <cell r="C74" t="str">
            <v>TOT_DEF_REV</v>
          </cell>
          <cell r="D74">
            <v>0</v>
          </cell>
        </row>
        <row r="75">
          <cell r="B75" t="str">
            <v>Long-term  debt</v>
          </cell>
          <cell r="C75" t="str">
            <v>LT_DEBT</v>
          </cell>
          <cell r="D75">
            <v>0</v>
          </cell>
        </row>
        <row r="76">
          <cell r="B76" t="str">
            <v>Non-current lease liabilities (op lease: US GAAP)</v>
          </cell>
          <cell r="C76" t="str">
            <v>LT_LEASE_LIAB</v>
          </cell>
          <cell r="D76">
            <v>0</v>
          </cell>
        </row>
        <row r="77">
          <cell r="B77" t="str">
            <v>Other long-term liabilities</v>
          </cell>
          <cell r="C77" t="str">
            <v>OTH_LT_CRED_GQ</v>
          </cell>
          <cell r="D77">
            <v>0</v>
          </cell>
        </row>
        <row r="78">
          <cell r="B78" t="str">
            <v>Total long-term liabilities</v>
          </cell>
          <cell r="C78" t="str">
            <v>TOT_LT_LIAB</v>
          </cell>
          <cell r="D78">
            <v>0</v>
          </cell>
        </row>
        <row r="79">
          <cell r="B79" t="str">
            <v>Total liabilities</v>
          </cell>
          <cell r="C79" t="str">
            <v>TOT_LIAB</v>
          </cell>
          <cell r="D79">
            <v>0</v>
          </cell>
        </row>
        <row r="80">
          <cell r="B80" t="str">
            <v>Preferred shares</v>
          </cell>
          <cell r="C80" t="str">
            <v>PREF_SH</v>
          </cell>
          <cell r="D80">
            <v>0</v>
          </cell>
        </row>
        <row r="81">
          <cell r="B81" t="str">
            <v>Total common equity</v>
          </cell>
          <cell r="C81" t="str">
            <v>ORD_SH_FUND</v>
          </cell>
          <cell r="D81">
            <v>0</v>
          </cell>
        </row>
        <row r="82">
          <cell r="B82" t="str">
            <v>Minority interest</v>
          </cell>
          <cell r="C82" t="str">
            <v>MINORITIES</v>
          </cell>
          <cell r="D82">
            <v>0</v>
          </cell>
        </row>
        <row r="83">
          <cell r="B83" t="str">
            <v>Total shareholders' equity</v>
          </cell>
          <cell r="C83" t="str">
            <v>EQ</v>
          </cell>
          <cell r="D83">
            <v>0</v>
          </cell>
        </row>
        <row r="84">
          <cell r="B84" t="str">
            <v>Total liabilities and equity</v>
          </cell>
          <cell r="C84" t="str">
            <v>TOT_LIAB_EQ</v>
          </cell>
          <cell r="D84">
            <v>0</v>
          </cell>
        </row>
        <row r="85">
          <cell r="A85" t="str">
            <v>Additional Balance Sheet Items</v>
          </cell>
        </row>
        <row r="86">
          <cell r="B86" t="str">
            <v>Total US$ debt (in US$)</v>
          </cell>
          <cell r="C86" t="str">
            <v>TOT_USD_DEBT</v>
          </cell>
        </row>
        <row r="87">
          <cell r="B87" t="str">
            <v>% US$ debt hedged (principal)</v>
          </cell>
          <cell r="C87" t="str">
            <v>TOT_PCT_USD_DEBT_HEDGED</v>
          </cell>
        </row>
        <row r="88">
          <cell r="B88" t="str">
            <v>% Floating debt (local currency debt)</v>
          </cell>
          <cell r="C88" t="str">
            <v>FLOATING_PCT_LOCAL_DEBT</v>
          </cell>
        </row>
        <row r="89">
          <cell r="B89" t="str">
            <v>% floating debt hedged (rates)</v>
          </cell>
          <cell r="C89" t="str">
            <v>FLOATING_PCT_LOCAL_DEBT_HEDGED</v>
          </cell>
        </row>
        <row r="90">
          <cell r="B90" t="str">
            <v>Net debt</v>
          </cell>
          <cell r="C90" t="str">
            <v>NET_DEBT</v>
          </cell>
          <cell r="D90">
            <v>0</v>
          </cell>
        </row>
        <row r="91">
          <cell r="B91" t="str">
            <v>Capitalized operating leases (off-balance sheet)</v>
          </cell>
          <cell r="C91" t="str">
            <v>CAP_LEASES</v>
          </cell>
          <cell r="D91">
            <v>0</v>
          </cell>
        </row>
        <row r="92">
          <cell r="B92" t="str">
            <v>Deferred income taxes</v>
          </cell>
          <cell r="C92" t="str">
            <v>DEF_INC_TAX</v>
          </cell>
          <cell r="D92">
            <v>0</v>
          </cell>
        </row>
        <row r="93">
          <cell r="B93" t="str">
            <v>Net operating loss carryforwards (NOLs)</v>
          </cell>
          <cell r="C93" t="str">
            <v>NET_OP_LOSS_CFWD</v>
          </cell>
          <cell r="D93">
            <v>0</v>
          </cell>
        </row>
        <row r="94">
          <cell r="B94" t="str">
            <v>Associates (mkt value) used in EV calculation</v>
          </cell>
          <cell r="C94" t="str">
            <v>MV_ASSOCIATES</v>
          </cell>
          <cell r="D94">
            <v>0</v>
          </cell>
        </row>
        <row r="95">
          <cell r="B95" t="str">
            <v>Net debt adjustment</v>
          </cell>
          <cell r="C95" t="str">
            <v>NET_DEBT_ADJ</v>
          </cell>
          <cell r="D95">
            <v>0</v>
          </cell>
        </row>
        <row r="96">
          <cell r="B96" t="str">
            <v>Company borrowing margin</v>
          </cell>
          <cell r="C96" t="str">
            <v>CO_BOR_MARGIN</v>
          </cell>
        </row>
        <row r="97">
          <cell r="B97" t="str">
            <v>Unfunded pensions &amp; other provisions</v>
          </cell>
          <cell r="C97" t="str">
            <v>UNF_PENS</v>
          </cell>
          <cell r="D97">
            <v>0</v>
          </cell>
        </row>
        <row r="98">
          <cell r="B98" t="str">
            <v>Unfunded pension liabilities (off balance sheet)</v>
          </cell>
          <cell r="C98" t="str">
            <v>UNF_PENS_OFF</v>
          </cell>
          <cell r="D98">
            <v>0</v>
          </cell>
        </row>
        <row r="99">
          <cell r="B99" t="str">
            <v>Unfunded pension liabilities &amp; other, used in EV</v>
          </cell>
          <cell r="C99" t="str">
            <v>UNF_PENS_LIAB_OTH</v>
          </cell>
          <cell r="D99">
            <v>0</v>
          </cell>
        </row>
        <row r="100">
          <cell r="B100" t="str">
            <v>Adjustment for unfunded pensions &amp; goodwill</v>
          </cell>
          <cell r="C100" t="str">
            <v>ADJ_UNF_PENS_GOOD</v>
          </cell>
          <cell r="D100">
            <v>0</v>
          </cell>
        </row>
        <row r="101">
          <cell r="B101" t="str">
            <v>Other GCI adjustments</v>
          </cell>
          <cell r="C101" t="str">
            <v>OTH_GCI_ADJ</v>
          </cell>
          <cell r="D101">
            <v>0</v>
          </cell>
        </row>
        <row r="102">
          <cell r="B102" t="str">
            <v>GCI inflator</v>
          </cell>
          <cell r="C102" t="str">
            <v>GCI_INFL</v>
          </cell>
        </row>
        <row r="103">
          <cell r="B103" t="str">
            <v>Minority interest</v>
          </cell>
          <cell r="C103" t="str">
            <v>BAL_MINO_INT</v>
          </cell>
          <cell r="D103">
            <v>0</v>
          </cell>
        </row>
        <row r="104">
          <cell r="B104" t="str">
            <v>Right-of-use assets (op lease assets under US GAAP)</v>
          </cell>
          <cell r="C104" t="str">
            <v>ROU_ASSET</v>
          </cell>
          <cell r="D104">
            <v>0</v>
          </cell>
        </row>
        <row r="105">
          <cell r="A105" t="str">
            <v>Cash Flow Statement</v>
          </cell>
        </row>
        <row r="106">
          <cell r="B106" t="str">
            <v>Minority interest add-back</v>
          </cell>
          <cell r="C106" t="str">
            <v>CF_INC_MINORITY</v>
          </cell>
          <cell r="D106">
            <v>0</v>
          </cell>
        </row>
        <row r="107">
          <cell r="B107" t="str">
            <v>Depreciation &amp; amortization add-back</v>
          </cell>
          <cell r="C107" t="str">
            <v>DEPR_AMORT</v>
          </cell>
          <cell r="D107">
            <v>0</v>
          </cell>
        </row>
        <row r="108">
          <cell r="B108" t="str">
            <v>(Increase)/decrease in working capital</v>
          </cell>
          <cell r="C108" t="str">
            <v>WORK_CAP</v>
          </cell>
          <cell r="D108">
            <v>0</v>
          </cell>
        </row>
        <row r="109">
          <cell r="B109" t="str">
            <v>Other operating cash flow items</v>
          </cell>
          <cell r="C109" t="str">
            <v>OTH_OP_CF</v>
          </cell>
          <cell r="D109">
            <v>0</v>
          </cell>
        </row>
        <row r="110">
          <cell r="B110" t="str">
            <v>Cash flow from operating activities</v>
          </cell>
          <cell r="C110" t="str">
            <v>CF_OPS</v>
          </cell>
          <cell r="D110">
            <v>0</v>
          </cell>
        </row>
        <row r="111">
          <cell r="B111" t="str">
            <v>Capital expenditures, Capex</v>
          </cell>
          <cell r="C111" t="str">
            <v>CAPEX</v>
          </cell>
          <cell r="D111">
            <v>0</v>
          </cell>
        </row>
        <row r="112">
          <cell r="B112" t="str">
            <v>Acquisitions</v>
          </cell>
          <cell r="C112" t="str">
            <v>ACQ</v>
          </cell>
          <cell r="D112">
            <v>0</v>
          </cell>
        </row>
        <row r="113">
          <cell r="B113" t="str">
            <v>Divestitures</v>
          </cell>
          <cell r="C113" t="str">
            <v>DIVEST</v>
          </cell>
          <cell r="D113">
            <v>0</v>
          </cell>
        </row>
        <row r="114">
          <cell r="B114" t="str">
            <v>Other investing cash flow items</v>
          </cell>
          <cell r="C114" t="str">
            <v>OTH_INV_CF</v>
          </cell>
          <cell r="D114">
            <v>0</v>
          </cell>
        </row>
        <row r="115">
          <cell r="B115" t="str">
            <v>Cash flow from investing</v>
          </cell>
          <cell r="C115" t="str">
            <v>CF_INV</v>
          </cell>
          <cell r="D115">
            <v>0</v>
          </cell>
        </row>
        <row r="116">
          <cell r="B116" t="str">
            <v>Dividends paid</v>
          </cell>
          <cell r="C116" t="str">
            <v>DIV_PAID</v>
          </cell>
          <cell r="D116">
            <v>0</v>
          </cell>
        </row>
        <row r="117">
          <cell r="B117" t="str">
            <v>Common stock issuance/(repurchase)</v>
          </cell>
          <cell r="C117" t="str">
            <v>SH_REPUR</v>
          </cell>
          <cell r="D117">
            <v>0</v>
          </cell>
        </row>
        <row r="118">
          <cell r="B118" t="str">
            <v>Increase/(decrease) in total debt</v>
          </cell>
          <cell r="C118" t="str">
            <v>CHG_LT_DEBT</v>
          </cell>
          <cell r="D118">
            <v>0</v>
          </cell>
        </row>
        <row r="119">
          <cell r="B119" t="str">
            <v>Lease principal payments  (applicable to IFRS cos.)</v>
          </cell>
          <cell r="C119" t="str">
            <v>LEASE_PRINCIPAL_CASH</v>
          </cell>
          <cell r="D119">
            <v>0</v>
          </cell>
        </row>
        <row r="120">
          <cell r="B120" t="str">
            <v>Other financing cash flow items</v>
          </cell>
          <cell r="C120" t="str">
            <v>OTH_FIN_CF</v>
          </cell>
          <cell r="D120">
            <v>0</v>
          </cell>
        </row>
        <row r="121">
          <cell r="B121" t="str">
            <v>Cash flow from financing</v>
          </cell>
          <cell r="C121" t="str">
            <v>CF_FIN</v>
          </cell>
          <cell r="D121">
            <v>0</v>
          </cell>
        </row>
        <row r="122">
          <cell r="B122" t="str">
            <v>Total cash flow</v>
          </cell>
          <cell r="C122" t="str">
            <v>TOT_CF</v>
          </cell>
          <cell r="D122">
            <v>0</v>
          </cell>
        </row>
        <row r="123">
          <cell r="A123" t="str">
            <v>Additional Cash Flow Items</v>
          </cell>
        </row>
        <row r="124">
          <cell r="B124" t="str">
            <v>Associate and JV add-back</v>
          </cell>
          <cell r="C124" t="str">
            <v>ASSOC_JV_ADDBK</v>
          </cell>
          <cell r="D124">
            <v>0</v>
          </cell>
        </row>
        <row r="125">
          <cell r="B125" t="str">
            <v>Profit/(loss) on sale of assets</v>
          </cell>
          <cell r="C125" t="str">
            <v>PL_SALE_ASSETS</v>
          </cell>
          <cell r="D125">
            <v>0</v>
          </cell>
        </row>
        <row r="126">
          <cell r="B126" t="str">
            <v>Other non-cash adjustments</v>
          </cell>
          <cell r="C126" t="str">
            <v>OTH_NONCASH_ADJ</v>
          </cell>
          <cell r="D126">
            <v>0</v>
          </cell>
        </row>
        <row r="127">
          <cell r="B127" t="str">
            <v>Other DACF adjustments</v>
          </cell>
          <cell r="C127" t="str">
            <v>OTH_DACF_ADJ</v>
          </cell>
          <cell r="D127">
            <v>0</v>
          </cell>
        </row>
        <row r="128">
          <cell r="B128" t="str">
            <v>Change in LT deferred income taxes (Cash flow)</v>
          </cell>
          <cell r="C128" t="str">
            <v>CHG_DEF_TAX_CF</v>
          </cell>
          <cell r="D128">
            <v>0</v>
          </cell>
        </row>
        <row r="129">
          <cell r="B129" t="str">
            <v>Other items/adjustments for computing cash tax rate (except def taxes)</v>
          </cell>
          <cell r="C129" t="str">
            <v>OTH_ADJ_CASH_TAX</v>
          </cell>
          <cell r="D129">
            <v>0</v>
          </cell>
        </row>
        <row r="130">
          <cell r="B130" t="str">
            <v>Cash interest expense</v>
          </cell>
          <cell r="C130" t="str">
            <v>CASH_INT_EXP</v>
          </cell>
          <cell r="D130">
            <v>0</v>
          </cell>
        </row>
        <row r="131">
          <cell r="B131" t="str">
            <v>Cash tax expense</v>
          </cell>
          <cell r="C131" t="str">
            <v>CASH_TAX_EXP</v>
          </cell>
          <cell r="D131">
            <v>0</v>
          </cell>
        </row>
        <row r="132">
          <cell r="B132" t="str">
            <v>Dividends received from associates/JVs</v>
          </cell>
          <cell r="C132" t="str">
            <v>DIVDS_ASSOC_JV</v>
          </cell>
          <cell r="D132">
            <v>0</v>
          </cell>
        </row>
        <row r="133">
          <cell r="B133" t="str">
            <v>Capex maintenance</v>
          </cell>
          <cell r="C133" t="str">
            <v>CAPEX_MAINTENANCE</v>
          </cell>
          <cell r="D133">
            <v>0</v>
          </cell>
        </row>
        <row r="134">
          <cell r="B134" t="str">
            <v>Capex expansion</v>
          </cell>
          <cell r="C134" t="str">
            <v>CAPEX_EXPANSION</v>
          </cell>
          <cell r="D134">
            <v>0</v>
          </cell>
        </row>
        <row r="135">
          <cell r="B135" t="str">
            <v>Non-PP&amp;E capex</v>
          </cell>
          <cell r="C135" t="str">
            <v>NONPPE_CAPEX</v>
          </cell>
          <cell r="D135">
            <v>0</v>
          </cell>
        </row>
        <row r="136">
          <cell r="B136" t="str">
            <v>Dividends paid to minorities</v>
          </cell>
          <cell r="C136" t="str">
            <v>DIVDS_PD_MINORITIES</v>
          </cell>
          <cell r="D136">
            <v>0</v>
          </cell>
        </row>
        <row r="137">
          <cell r="B137" t="str">
            <v>Free cash flow (unlevered)</v>
          </cell>
          <cell r="C137" t="str">
            <v>FCF_UNLEVERED</v>
          </cell>
          <cell r="D137">
            <v>0</v>
          </cell>
        </row>
        <row r="138">
          <cell r="A138" t="str">
            <v>Other Items</v>
          </cell>
        </row>
        <row r="139">
          <cell r="B139" t="str">
            <v>License revenue</v>
          </cell>
          <cell r="C139" t="str">
            <v>LICENSE_REV</v>
          </cell>
          <cell r="D139">
            <v>0</v>
          </cell>
        </row>
        <row r="140">
          <cell r="B140" t="str">
            <v>Maintenance revenue</v>
          </cell>
          <cell r="C140" t="str">
            <v>MAINTEN_REV</v>
          </cell>
          <cell r="D140">
            <v>0</v>
          </cell>
        </row>
        <row r="141">
          <cell r="B141" t="str">
            <v>Number of employees</v>
          </cell>
          <cell r="C141" t="str">
            <v>EMPLOYEES</v>
          </cell>
        </row>
        <row r="142">
          <cell r="B142" t="str">
            <v>Total billings (revenue plus change in deferred revenue)</v>
          </cell>
          <cell r="C142" t="str">
            <v>TOT_BILLINGS</v>
          </cell>
          <cell r="D142">
            <v>0</v>
          </cell>
        </row>
        <row r="143">
          <cell r="B143" t="str">
            <v>Short term billings (revenue plus change in short term deferred revenue)</v>
          </cell>
          <cell r="C143" t="str">
            <v>ST_BILLINGS</v>
          </cell>
          <cell r="D143">
            <v>0</v>
          </cell>
        </row>
        <row r="144">
          <cell r="B144" t="str">
            <v>Remaining performance obligations</v>
          </cell>
          <cell r="C144" t="str">
            <v>REM_PERF_OBLIG</v>
          </cell>
          <cell r="D144">
            <v>0</v>
          </cell>
        </row>
        <row r="145">
          <cell r="B145" t="str">
            <v>Current remaining performance obligations</v>
          </cell>
          <cell r="C145" t="str">
            <v>CUR_REM_PERF_OBLIG</v>
          </cell>
          <cell r="D145">
            <v>0</v>
          </cell>
        </row>
        <row r="146">
          <cell r="B146" t="str">
            <v>Segment revenue name 1</v>
          </cell>
          <cell r="C146" t="str">
            <v>SEGMENT1_REV_NAME</v>
          </cell>
        </row>
        <row r="147">
          <cell r="B147" t="str">
            <v>Segment revenue value 1</v>
          </cell>
          <cell r="C147" t="str">
            <v>SEGMENT1_REV_VALUE</v>
          </cell>
          <cell r="D147">
            <v>0</v>
          </cell>
        </row>
        <row r="148">
          <cell r="B148" t="str">
            <v>Segment revenue name 2</v>
          </cell>
          <cell r="C148" t="str">
            <v>SEGMENT2_REV_NAME</v>
          </cell>
        </row>
        <row r="149">
          <cell r="B149" t="str">
            <v>Segment revenue value 2</v>
          </cell>
          <cell r="C149" t="str">
            <v>SEGMENT2_REV_VALUE</v>
          </cell>
          <cell r="D149">
            <v>0</v>
          </cell>
        </row>
        <row r="150">
          <cell r="B150" t="str">
            <v>Segment revenue name 3</v>
          </cell>
          <cell r="C150" t="str">
            <v>SEGMENT3_REV_NAME</v>
          </cell>
        </row>
        <row r="151">
          <cell r="B151" t="str">
            <v>Segment revenue value 3</v>
          </cell>
          <cell r="C151" t="str">
            <v>SEGMENT3_REV_VALUE</v>
          </cell>
          <cell r="D151">
            <v>0</v>
          </cell>
        </row>
        <row r="152">
          <cell r="B152" t="str">
            <v>Segment revenue name 4</v>
          </cell>
          <cell r="C152" t="str">
            <v>SEGMENT4_REV_NAME</v>
          </cell>
        </row>
        <row r="153">
          <cell r="B153" t="str">
            <v>Segment revenue value 4</v>
          </cell>
          <cell r="C153" t="str">
            <v>SEGMENT4_REV_VALUE</v>
          </cell>
          <cell r="D153">
            <v>0</v>
          </cell>
        </row>
        <row r="154">
          <cell r="B154" t="str">
            <v>Segment revenue name 5</v>
          </cell>
          <cell r="C154" t="str">
            <v>SEGMENT5_REV_NAME</v>
          </cell>
        </row>
        <row r="155">
          <cell r="B155" t="str">
            <v>Segment revenue value 5</v>
          </cell>
          <cell r="C155" t="str">
            <v>SEGMENT5_REV_VALUE</v>
          </cell>
          <cell r="D155">
            <v>0</v>
          </cell>
        </row>
        <row r="156">
          <cell r="B156" t="str">
            <v>Segment revenue name 6</v>
          </cell>
          <cell r="C156" t="str">
            <v>SEGMENT6_REV_NAME</v>
          </cell>
        </row>
        <row r="157">
          <cell r="B157" t="str">
            <v>Segment revenue value 6</v>
          </cell>
          <cell r="C157" t="str">
            <v>SEGMENT6_REV_VALUE</v>
          </cell>
          <cell r="D157">
            <v>0</v>
          </cell>
        </row>
        <row r="158">
          <cell r="B158" t="str">
            <v>Segment revenue name 7</v>
          </cell>
          <cell r="C158" t="str">
            <v>SEGMENT7_REV_NAME</v>
          </cell>
        </row>
        <row r="159">
          <cell r="B159" t="str">
            <v>Segment revenue value 7</v>
          </cell>
          <cell r="C159" t="str">
            <v>SEGMENT7_REV_VALUE</v>
          </cell>
          <cell r="D159">
            <v>0</v>
          </cell>
        </row>
        <row r="160">
          <cell r="B160" t="str">
            <v>Segment revenue name 8</v>
          </cell>
          <cell r="C160" t="str">
            <v>SEGMENT8_REV_NAME</v>
          </cell>
        </row>
        <row r="161">
          <cell r="B161" t="str">
            <v>Segment revenue value 8</v>
          </cell>
          <cell r="C161" t="str">
            <v>SEGMENT8_REV_VALUE</v>
          </cell>
          <cell r="D161">
            <v>0</v>
          </cell>
        </row>
        <row r="162">
          <cell r="B162" t="str">
            <v>Segment revenue name 9</v>
          </cell>
          <cell r="C162" t="str">
            <v>SEGMENT9_REV_NAME</v>
          </cell>
        </row>
        <row r="163">
          <cell r="B163" t="str">
            <v>Segment revenue value 9</v>
          </cell>
          <cell r="C163" t="str">
            <v>SEGMENT9_REV_VALUE</v>
          </cell>
          <cell r="D163">
            <v>0</v>
          </cell>
        </row>
        <row r="164">
          <cell r="B164" t="str">
            <v>Segment revenue name 10</v>
          </cell>
          <cell r="C164" t="str">
            <v>SEGMENT10_REV_NAME</v>
          </cell>
        </row>
        <row r="165">
          <cell r="B165" t="str">
            <v>Segment revenue value 10</v>
          </cell>
          <cell r="C165" t="str">
            <v>SEGMENT10_REV_VALUE</v>
          </cell>
          <cell r="D165">
            <v>0</v>
          </cell>
        </row>
        <row r="166">
          <cell r="A166" t="str">
            <v>Geographical Breakdown</v>
          </cell>
        </row>
        <row r="167">
          <cell r="B167" t="str">
            <v>Sales - % Canada</v>
          </cell>
          <cell r="C167" t="str">
            <v>SALES_CANADA</v>
          </cell>
        </row>
        <row r="168">
          <cell r="B168" t="str">
            <v>Sales - % United States</v>
          </cell>
          <cell r="C168" t="str">
            <v>SALES_US</v>
          </cell>
        </row>
        <row r="169">
          <cell r="B169" t="str">
            <v>Sales - % Other North Americas</v>
          </cell>
          <cell r="C169" t="str">
            <v>SALES_OTH_NO_AMER</v>
          </cell>
        </row>
        <row r="170">
          <cell r="B170" t="str">
            <v>Sales - % Argentina</v>
          </cell>
          <cell r="C170" t="str">
            <v>SALES_ARGENTINA</v>
          </cell>
        </row>
        <row r="171">
          <cell r="B171" t="str">
            <v>Sales - % Brazil</v>
          </cell>
          <cell r="C171" t="str">
            <v>SALES_BRAZIL</v>
          </cell>
        </row>
        <row r="172">
          <cell r="B172" t="str">
            <v>Sales - % Chile</v>
          </cell>
          <cell r="C172" t="str">
            <v>SALES_CHILE</v>
          </cell>
        </row>
        <row r="173">
          <cell r="B173" t="str">
            <v>Sales - % Colombia</v>
          </cell>
          <cell r="C173" t="str">
            <v>SALES_COLOMBIA</v>
          </cell>
        </row>
        <row r="174">
          <cell r="B174" t="str">
            <v>Sales - % Mexico</v>
          </cell>
          <cell r="C174" t="str">
            <v>SALES_MEXICO</v>
          </cell>
        </row>
        <row r="175">
          <cell r="B175" t="str">
            <v>Sales - % Venezuela</v>
          </cell>
          <cell r="C175" t="str">
            <v>SALES_VENEZUELA</v>
          </cell>
        </row>
        <row r="176">
          <cell r="B176" t="str">
            <v>Sales - % Other Latin Americas</v>
          </cell>
          <cell r="C176" t="str">
            <v>SALES_OTH_LATAM</v>
          </cell>
        </row>
        <row r="177">
          <cell r="B177" t="str">
            <v>Sales - % Austria</v>
          </cell>
          <cell r="C177" t="str">
            <v>SALES_AUSTRIA</v>
          </cell>
        </row>
        <row r="178">
          <cell r="B178" t="str">
            <v>Sales - % Belgium</v>
          </cell>
          <cell r="C178" t="str">
            <v>SALES_BEL</v>
          </cell>
        </row>
        <row r="179">
          <cell r="B179" t="str">
            <v>Sales - % France</v>
          </cell>
          <cell r="C179" t="str">
            <v>SALES_FRA</v>
          </cell>
        </row>
        <row r="180">
          <cell r="B180" t="str">
            <v>Sales - % Germany</v>
          </cell>
          <cell r="C180" t="str">
            <v>SALES_GER</v>
          </cell>
        </row>
        <row r="181">
          <cell r="B181" t="str">
            <v>Sales - % Greece</v>
          </cell>
          <cell r="C181" t="str">
            <v>SALES_GRE</v>
          </cell>
        </row>
        <row r="182">
          <cell r="B182" t="str">
            <v>Sales - % Ireland</v>
          </cell>
          <cell r="C182" t="str">
            <v>SALES_IRE</v>
          </cell>
        </row>
        <row r="183">
          <cell r="B183" t="str">
            <v>Sales - % Italy</v>
          </cell>
          <cell r="C183" t="str">
            <v>SALES_ITA</v>
          </cell>
        </row>
        <row r="184">
          <cell r="B184" t="str">
            <v>Sales - % Netherlands</v>
          </cell>
          <cell r="C184" t="str">
            <v>SALES_NETH</v>
          </cell>
        </row>
        <row r="185">
          <cell r="B185" t="str">
            <v>Sales - % Norway</v>
          </cell>
          <cell r="C185" t="str">
            <v>SALES_NOR</v>
          </cell>
        </row>
        <row r="186">
          <cell r="B186" t="str">
            <v>Sales - % Portugal</v>
          </cell>
          <cell r="C186" t="str">
            <v>SALES_POR</v>
          </cell>
        </row>
        <row r="187">
          <cell r="B187" t="str">
            <v>Sales - % Spain</v>
          </cell>
          <cell r="C187" t="str">
            <v>SALES_SPA</v>
          </cell>
        </row>
        <row r="188">
          <cell r="B188" t="str">
            <v>Sales - % Sweden</v>
          </cell>
          <cell r="C188" t="str">
            <v>SALES_SWE</v>
          </cell>
        </row>
        <row r="189">
          <cell r="B189" t="str">
            <v>Sales - % Switzerland</v>
          </cell>
          <cell r="C189" t="str">
            <v>SALES_SWIT</v>
          </cell>
        </row>
        <row r="190">
          <cell r="B190" t="str">
            <v>Sales - % UK</v>
          </cell>
          <cell r="C190" t="str">
            <v>SALES_UK</v>
          </cell>
        </row>
        <row r="191">
          <cell r="B191" t="str">
            <v>Sales - % Other Western Europe</v>
          </cell>
          <cell r="C191" t="str">
            <v>SALES_OTH_WEST_EURO</v>
          </cell>
        </row>
        <row r="192">
          <cell r="B192" t="str">
            <v>Sales - % Poland</v>
          </cell>
          <cell r="C192" t="str">
            <v>SALES_POLAND</v>
          </cell>
        </row>
        <row r="193">
          <cell r="B193" t="str">
            <v>Sales - % Russia</v>
          </cell>
          <cell r="C193" t="str">
            <v>SALES_RUSSIA</v>
          </cell>
        </row>
        <row r="194">
          <cell r="B194" t="str">
            <v>Sales - % Turkey</v>
          </cell>
          <cell r="C194" t="str">
            <v>SALES_TURKEY</v>
          </cell>
        </row>
        <row r="195">
          <cell r="B195" t="str">
            <v>Sales - % Other CEE</v>
          </cell>
          <cell r="C195" t="str">
            <v>SALES_OTH_CEE</v>
          </cell>
        </row>
        <row r="196">
          <cell r="B196" t="str">
            <v>Sales - % Saudi Arabia</v>
          </cell>
          <cell r="C196" t="str">
            <v>SALES_SAUDI_ARABIA</v>
          </cell>
        </row>
        <row r="197">
          <cell r="B197" t="str">
            <v>Sales - % United Arab Emirates</v>
          </cell>
          <cell r="C197" t="str">
            <v>SALES_UAE</v>
          </cell>
        </row>
        <row r="198">
          <cell r="B198" t="str">
            <v>Sales - % Other Middle East</v>
          </cell>
          <cell r="C198" t="str">
            <v>SALES_OTH_ME</v>
          </cell>
        </row>
        <row r="199">
          <cell r="B199" t="str">
            <v>Sales - % Nigeria</v>
          </cell>
          <cell r="C199" t="str">
            <v>SALES_NIGERIA</v>
          </cell>
        </row>
        <row r="200">
          <cell r="B200" t="str">
            <v>Sales - % South Africa</v>
          </cell>
          <cell r="C200" t="str">
            <v>SALES_SO_AFRICA</v>
          </cell>
        </row>
        <row r="201">
          <cell r="B201" t="str">
            <v>Sales - % Other Africa</v>
          </cell>
          <cell r="C201" t="str">
            <v>SALES_OTH_AFRICA</v>
          </cell>
        </row>
        <row r="202">
          <cell r="B202" t="str">
            <v>Sales - % Hong Kong</v>
          </cell>
          <cell r="C202" t="str">
            <v>SALES_HONG_KONG</v>
          </cell>
        </row>
        <row r="203">
          <cell r="B203" t="str">
            <v>Sales - % Japan</v>
          </cell>
          <cell r="C203" t="str">
            <v>SALES_JAPAN</v>
          </cell>
        </row>
        <row r="204">
          <cell r="B204" t="str">
            <v>Sales - % Singapore</v>
          </cell>
          <cell r="C204" t="str">
            <v>SALES_SINGAPORE</v>
          </cell>
        </row>
        <row r="205">
          <cell r="B205" t="str">
            <v>Sales - % South Korea</v>
          </cell>
          <cell r="C205" t="str">
            <v>SALES_SK</v>
          </cell>
        </row>
        <row r="206">
          <cell r="B206" t="str">
            <v>Sales - % Taiwan</v>
          </cell>
          <cell r="C206" t="str">
            <v>SALES_TAIWAN</v>
          </cell>
        </row>
        <row r="207">
          <cell r="B207" t="str">
            <v>Sales - % Other Developed Asia</v>
          </cell>
          <cell r="C207" t="str">
            <v>SALES_OTH_DEV_ASIA</v>
          </cell>
        </row>
        <row r="208">
          <cell r="B208" t="str">
            <v>Sales - % China</v>
          </cell>
          <cell r="C208" t="str">
            <v>SALES_CHINA</v>
          </cell>
        </row>
        <row r="209">
          <cell r="B209" t="str">
            <v>Sales - % India</v>
          </cell>
          <cell r="C209" t="str">
            <v>SALES_INDIA</v>
          </cell>
        </row>
        <row r="210">
          <cell r="B210" t="str">
            <v>Sales - % Indonesia</v>
          </cell>
          <cell r="C210" t="str">
            <v>SALES_INDONESIA</v>
          </cell>
        </row>
        <row r="211">
          <cell r="B211" t="str">
            <v>Sales - % Thailand</v>
          </cell>
          <cell r="C211" t="str">
            <v>SALES_THAILAND</v>
          </cell>
        </row>
        <row r="212">
          <cell r="B212" t="str">
            <v>Sales - % Other Emerging Asia</v>
          </cell>
          <cell r="C212" t="str">
            <v>SALES_OTH_EMERG_ASIA</v>
          </cell>
        </row>
        <row r="213">
          <cell r="B213" t="str">
            <v>Sales - % Australia</v>
          </cell>
          <cell r="C213" t="str">
            <v>SALES_AUSTRA</v>
          </cell>
        </row>
        <row r="214">
          <cell r="B214" t="str">
            <v>Sales - % New Zealand</v>
          </cell>
          <cell r="C214" t="str">
            <v>SALES_NZ</v>
          </cell>
        </row>
        <row r="215">
          <cell r="B215" t="str">
            <v>Sales - % Others</v>
          </cell>
          <cell r="C215" t="str">
            <v>SALES_OTHER</v>
          </cell>
        </row>
        <row r="216">
          <cell r="B216" t="str">
            <v>% of CoGS from U.S. (GS estimate)</v>
          </cell>
          <cell r="C216" t="str">
            <v>COGS_PCT_US</v>
          </cell>
        </row>
        <row r="217">
          <cell r="B217" t="str">
            <v>% of CoGS from non-U.S. (GS estimate)</v>
          </cell>
          <cell r="C217" t="str">
            <v>COGS_PCT_ROW</v>
          </cell>
        </row>
        <row r="218">
          <cell r="B218" t="str">
            <v>% of SG&amp;A from U.S. (GS estimate)</v>
          </cell>
          <cell r="C218" t="str">
            <v>SGA_PCT_US</v>
          </cell>
        </row>
        <row r="219">
          <cell r="B219" t="str">
            <v>% of SG&amp;A from non-U.S. (GS estimate)</v>
          </cell>
          <cell r="C219" t="str">
            <v>SGA_PCT_ROW</v>
          </cell>
        </row>
        <row r="220">
          <cell r="B220" t="str">
            <v>Sales -% Consumer (C)</v>
          </cell>
          <cell r="C220" t="str">
            <v>SALES_CONS</v>
          </cell>
        </row>
        <row r="221">
          <cell r="B221" t="str">
            <v>Sales -% Industry (I)</v>
          </cell>
          <cell r="C221" t="str">
            <v>SALES_IND</v>
          </cell>
        </row>
        <row r="222">
          <cell r="B222" t="str">
            <v>Sales -% Government (G)</v>
          </cell>
          <cell r="C222" t="str">
            <v>SALES_GOV</v>
          </cell>
        </row>
        <row r="223">
          <cell r="B223" t="str">
            <v>Sales - % Industry Sub-Segment: Financial Services</v>
          </cell>
          <cell r="C223" t="str">
            <v>SALES_FINAN</v>
          </cell>
        </row>
        <row r="224">
          <cell r="B224" t="str">
            <v>Sales - % Industry Sub-Segment: Oil &amp; Gas</v>
          </cell>
          <cell r="C224" t="str">
            <v>SALES_OIL_GAS</v>
          </cell>
        </row>
        <row r="225">
          <cell r="B225" t="str">
            <v>Sales (%) SMB</v>
          </cell>
          <cell r="C225" t="str">
            <v>SALES_SMB</v>
          </cell>
        </row>
        <row r="226">
          <cell r="B226" t="str">
            <v>% of total cash balance held overseas (outside the US)</v>
          </cell>
          <cell r="C226" t="str">
            <v>CASH_PCT_OS_US</v>
          </cell>
        </row>
        <row r="227">
          <cell r="B227" t="str">
            <v>Sales - % from Captive Financing Business</v>
          </cell>
          <cell r="C227" t="str">
            <v>REV_FIN_SEGMENT</v>
          </cell>
        </row>
        <row r="228">
          <cell r="B228" t="str">
            <v>Operating Earnings - % from Captive Financing Business</v>
          </cell>
          <cell r="C228" t="str">
            <v>EBIT_FIN_SEGMENT</v>
          </cell>
        </row>
        <row r="229">
          <cell r="A229" t="str">
            <v>Commodities Exposure - Expense</v>
          </cell>
        </row>
        <row r="230">
          <cell r="B230" t="str">
            <v>Expense - % Oil/Petrol/Fuel</v>
          </cell>
          <cell r="C230" t="str">
            <v>EXP_OIL_PETRO_FUEL</v>
          </cell>
        </row>
        <row r="231">
          <cell r="B231" t="str">
            <v>Expense - % Oil derivatives/NGLs/plastics</v>
          </cell>
          <cell r="C231" t="str">
            <v>EXP_OIL_DERIV_NGLS_PLASTICS</v>
          </cell>
        </row>
        <row r="232">
          <cell r="A232" t="str">
            <v>FX Exposure - Sales</v>
          </cell>
        </row>
        <row r="233">
          <cell r="B233" t="str">
            <v>Sales - % FX: British Pounds/Pence</v>
          </cell>
          <cell r="C233" t="str">
            <v>SALES_FX_GPB</v>
          </cell>
        </row>
        <row r="234">
          <cell r="B234" t="str">
            <v>Sales - % FX: Euro</v>
          </cell>
          <cell r="C234" t="str">
            <v>SALES_FX_EUR</v>
          </cell>
        </row>
        <row r="235">
          <cell r="B235" t="str">
            <v>Sales - % FX: New Russian Ruble</v>
          </cell>
          <cell r="C235" t="str">
            <v>SALES_FX_RUB</v>
          </cell>
        </row>
        <row r="236">
          <cell r="B236" t="str">
            <v>Sales - % FX: U.S. Dollar</v>
          </cell>
          <cell r="C236" t="str">
            <v>SALES_FX_USD</v>
          </cell>
        </row>
        <row r="237">
          <cell r="B237" t="str">
            <v>Sales - % FX: Brazilian Real</v>
          </cell>
          <cell r="C237" t="str">
            <v>SALES_FX_BRL</v>
          </cell>
        </row>
        <row r="238">
          <cell r="B238" t="str">
            <v>Sales - % FX: Japanese Yen</v>
          </cell>
          <cell r="C238" t="str">
            <v>SALES_FX_YEN</v>
          </cell>
        </row>
        <row r="239">
          <cell r="B239" t="str">
            <v>Sales - % FX: Chinese Renminbi</v>
          </cell>
          <cell r="C239" t="str">
            <v>SALES_FX_CNY</v>
          </cell>
        </row>
        <row r="240">
          <cell r="B240" t="str">
            <v>Sales - % FX: Indian Rupee</v>
          </cell>
          <cell r="C240" t="str">
            <v>SALES_FX_INR</v>
          </cell>
        </row>
        <row r="241">
          <cell r="B241" t="str">
            <v>Sales - % FX: Canadian Dollar</v>
          </cell>
          <cell r="C241" t="str">
            <v>SALES_FX_CAD</v>
          </cell>
        </row>
        <row r="242">
          <cell r="B242" t="str">
            <v>Sales - % FX: Mexican Peso</v>
          </cell>
          <cell r="C242" t="str">
            <v>SALES_FX_MXN</v>
          </cell>
        </row>
        <row r="243">
          <cell r="B243" t="str">
            <v>Sales - % FX: Colombian Peso</v>
          </cell>
          <cell r="C243" t="str">
            <v>SALES_FX_COP</v>
          </cell>
        </row>
        <row r="244">
          <cell r="B244" t="str">
            <v>Sales - % FX: Argentine Peso</v>
          </cell>
          <cell r="C244" t="str">
            <v>SALES_FX_ARS</v>
          </cell>
        </row>
        <row r="245">
          <cell r="B245" t="str">
            <v>Sales - % FX: Chilean Peso</v>
          </cell>
          <cell r="C245" t="str">
            <v>SALES_FX_CLP</v>
          </cell>
        </row>
        <row r="246">
          <cell r="B246" t="str">
            <v>Sales - % FX: Venezuelan bolivar</v>
          </cell>
          <cell r="C246" t="str">
            <v>SALES_FX_VEF</v>
          </cell>
        </row>
        <row r="247">
          <cell r="B247" t="str">
            <v>Sales - % FX: Other Currency</v>
          </cell>
          <cell r="C247" t="str">
            <v>SALES_FX_OTH</v>
          </cell>
        </row>
        <row r="248">
          <cell r="A248" t="str">
            <v>Items to be removed</v>
          </cell>
        </row>
        <row r="249">
          <cell r="B249" t="str">
            <v>Sales - Total % Americas</v>
          </cell>
          <cell r="C249" t="str">
            <v>SALES_TOT_AM</v>
          </cell>
        </row>
        <row r="250">
          <cell r="B250" t="str">
            <v>Sales - % Other Americas</v>
          </cell>
          <cell r="C250" t="str">
            <v>SALES_OTH_AM</v>
          </cell>
        </row>
        <row r="251">
          <cell r="B251" t="str">
            <v>Sales - Total % EMEA</v>
          </cell>
          <cell r="C251" t="str">
            <v>SALES_TOT_EMEA</v>
          </cell>
        </row>
        <row r="252">
          <cell r="B252" t="str">
            <v>Sales - % Western Europe-Ex UK</v>
          </cell>
          <cell r="C252" t="str">
            <v>SALES_EU_EX_UK</v>
          </cell>
        </row>
        <row r="253">
          <cell r="B253" t="str">
            <v>Sales - % Central &amp; Eastern Europe</v>
          </cell>
          <cell r="C253" t="str">
            <v>SALES_CEE</v>
          </cell>
        </row>
        <row r="254">
          <cell r="B254" t="str">
            <v>Sales - % Middle East</v>
          </cell>
          <cell r="C254" t="str">
            <v>SALES_ME</v>
          </cell>
        </row>
        <row r="255">
          <cell r="B255" t="str">
            <v>Sales - % Total Africa</v>
          </cell>
          <cell r="C255" t="str">
            <v>SALES_TOT_AFRICA</v>
          </cell>
        </row>
        <row r="256">
          <cell r="B256" t="str">
            <v>Sales - % Other EMEA</v>
          </cell>
          <cell r="C256" t="str">
            <v>SALES_OTH_EMEA</v>
          </cell>
        </row>
        <row r="257">
          <cell r="B257" t="str">
            <v>Sales - Total % Asia (incl Australia &amp; New Zealand)</v>
          </cell>
          <cell r="C257" t="str">
            <v>SALES_TOT_ASIA</v>
          </cell>
        </row>
        <row r="258">
          <cell r="B258" t="str">
            <v>Sales - % Other Asia</v>
          </cell>
          <cell r="C258" t="str">
            <v>SALES_OTH_AEJ</v>
          </cell>
        </row>
        <row r="259">
          <cell r="A259" t="str">
            <v>Security: Nutanix Inc.</v>
          </cell>
          <cell r="B259" t="str">
            <v>1510E1C</v>
          </cell>
        </row>
        <row r="260">
          <cell r="A260" t="str">
            <v>Reference Data</v>
          </cell>
        </row>
        <row r="261">
          <cell r="B261" t="str">
            <v>Ticker</v>
          </cell>
          <cell r="C261" t="str">
            <v>Ticker</v>
          </cell>
          <cell r="E261" t="str">
            <v>NTNX</v>
          </cell>
        </row>
        <row r="262">
          <cell r="B262" t="str">
            <v>Security Name</v>
          </cell>
          <cell r="C262" t="str">
            <v>Security Name</v>
          </cell>
          <cell r="E262" t="str">
            <v>Nutanix Inc.</v>
          </cell>
        </row>
        <row r="263">
          <cell r="B263" t="str">
            <v>Interim Type</v>
          </cell>
          <cell r="C263" t="str">
            <v>Interim Type</v>
          </cell>
          <cell r="E263" t="str">
            <v>Q</v>
          </cell>
        </row>
        <row r="264">
          <cell r="B264" t="str">
            <v>Publishing Currency</v>
          </cell>
          <cell r="C264" t="str">
            <v>PUB_CURRENCY_ISO</v>
          </cell>
        </row>
        <row r="265">
          <cell r="B265" t="str">
            <v>Pricing Currency</v>
          </cell>
          <cell r="C265" t="str">
            <v>PRICE_CURRENCY_ISO</v>
          </cell>
        </row>
        <row r="266">
          <cell r="B266" t="str">
            <v>Reporting Currency</v>
          </cell>
          <cell r="C266" t="str">
            <v>CURRENCY_ISO</v>
          </cell>
        </row>
        <row r="267">
          <cell r="A267" t="str">
            <v>General Information</v>
          </cell>
        </row>
        <row r="268">
          <cell r="B268" t="str">
            <v>Americas Investment List</v>
          </cell>
          <cell r="C268" t="str">
            <v>AMER_LIST</v>
          </cell>
        </row>
        <row r="269">
          <cell r="B269" t="str">
            <v>Americas Conviction List</v>
          </cell>
          <cell r="C269" t="str">
            <v>NOT IN USE</v>
          </cell>
        </row>
        <row r="270">
          <cell r="B270" t="str">
            <v>Legal rating</v>
          </cell>
          <cell r="C270" t="str">
            <v>LEGAL_RATING</v>
          </cell>
        </row>
        <row r="271">
          <cell r="B271" t="str">
            <v>Target price</v>
          </cell>
          <cell r="C271" t="str">
            <v>TARGET_PRICE</v>
          </cell>
          <cell r="D271">
            <v>0</v>
          </cell>
        </row>
        <row r="272">
          <cell r="B272" t="str">
            <v>Target price period</v>
          </cell>
          <cell r="C272" t="str">
            <v>TP_PERIOD</v>
          </cell>
        </row>
        <row r="273">
          <cell r="B273" t="str">
            <v>Fundamental value</v>
          </cell>
          <cell r="C273" t="str">
            <v>TARGET_PRICE_FUNDAMENTAL</v>
          </cell>
          <cell r="D273">
            <v>0</v>
          </cell>
        </row>
        <row r="274">
          <cell r="B274" t="str">
            <v>M&amp;A value</v>
          </cell>
          <cell r="C274" t="str">
            <v>TARGET_PRICE_MA</v>
          </cell>
          <cell r="D274">
            <v>0</v>
          </cell>
        </row>
        <row r="275">
          <cell r="B275" t="str">
            <v>Current shares outstanding (mn)</v>
          </cell>
          <cell r="C275" t="str">
            <v>NUM_SH</v>
          </cell>
        </row>
        <row r="276">
          <cell r="B276" t="str">
            <v>Free float</v>
          </cell>
          <cell r="C276" t="str">
            <v>FREE_FLOAT</v>
          </cell>
        </row>
        <row r="277">
          <cell r="A277" t="str">
            <v>Publishing Items</v>
          </cell>
        </row>
        <row r="278">
          <cell r="B278" t="str">
            <v>Book value per share, BVPS (Pub)</v>
          </cell>
          <cell r="C278" t="str">
            <v>BVPS_PUB</v>
          </cell>
          <cell r="D278">
            <v>0</v>
          </cell>
        </row>
        <row r="279">
          <cell r="B279" t="str">
            <v>DPS, dividend per share (Pub)</v>
          </cell>
          <cell r="C279" t="str">
            <v>DPS_PUB</v>
          </cell>
          <cell r="D279">
            <v>0</v>
          </cell>
        </row>
        <row r="280">
          <cell r="B280" t="str">
            <v>Special dividend per share</v>
          </cell>
          <cell r="C280" t="str">
            <v>DPS_SPECIAL_PUB</v>
          </cell>
          <cell r="D280">
            <v>0</v>
          </cell>
        </row>
        <row r="281">
          <cell r="B281" t="str">
            <v>EBITDA (Pub)</v>
          </cell>
          <cell r="C281" t="str">
            <v>EBITDA_PUB</v>
          </cell>
          <cell r="D281">
            <v>0</v>
          </cell>
        </row>
        <row r="282">
          <cell r="B282" t="str">
            <v>EPS (Pub)</v>
          </cell>
          <cell r="C282" t="str">
            <v>EPS_PUB</v>
          </cell>
          <cell r="D282">
            <v>0</v>
          </cell>
        </row>
        <row r="283">
          <cell r="B283" t="str">
            <v>Consensus earnings equivalent estimate</v>
          </cell>
          <cell r="C283" t="str">
            <v>CEEE_EPS</v>
          </cell>
          <cell r="D283">
            <v>0</v>
          </cell>
        </row>
        <row r="284">
          <cell r="B284" t="str">
            <v>EPS (excl. ESO) (Pub)</v>
          </cell>
          <cell r="C284" t="str">
            <v>EPS_PUB_EX_ESO</v>
          </cell>
          <cell r="D284">
            <v>0</v>
          </cell>
        </row>
        <row r="285">
          <cell r="B285" t="str">
            <v>EV adjustment (Pub)</v>
          </cell>
          <cell r="C285" t="str">
            <v>EV_ADJ_PUB</v>
          </cell>
          <cell r="D285">
            <v>0</v>
          </cell>
        </row>
        <row r="286">
          <cell r="B286" t="str">
            <v>Net debt (Pub)</v>
          </cell>
          <cell r="C286" t="str">
            <v>NET_DEBT_PUB</v>
          </cell>
          <cell r="D286">
            <v>0</v>
          </cell>
        </row>
        <row r="287">
          <cell r="B287" t="str">
            <v>Net Debt (ex leases) (Pub)</v>
          </cell>
          <cell r="C287" t="str">
            <v>NET_DEBT_EX_LEASES_PUB</v>
          </cell>
          <cell r="D287">
            <v>0</v>
          </cell>
        </row>
        <row r="288">
          <cell r="B288" t="str">
            <v>Consensus equivalent net debt</v>
          </cell>
          <cell r="C288" t="str">
            <v>CEEE_NDEBT</v>
          </cell>
          <cell r="D288">
            <v>0</v>
          </cell>
        </row>
        <row r="289">
          <cell r="B289" t="str">
            <v>Net income (Pub)</v>
          </cell>
          <cell r="C289" t="str">
            <v>NI_PUB</v>
          </cell>
          <cell r="D289">
            <v>0</v>
          </cell>
        </row>
        <row r="290">
          <cell r="B290" t="str">
            <v>EBIT, operating profit (Pub)</v>
          </cell>
          <cell r="C290" t="str">
            <v>EBIT_PUB</v>
          </cell>
          <cell r="D290">
            <v>0</v>
          </cell>
        </row>
        <row r="291">
          <cell r="B291" t="str">
            <v>Pre-tax profit (Pub)</v>
          </cell>
          <cell r="C291" t="str">
            <v>PTP_PUB</v>
          </cell>
          <cell r="D291">
            <v>0</v>
          </cell>
        </row>
        <row r="292">
          <cell r="B292" t="str">
            <v>Sales, revenue (Pub)</v>
          </cell>
          <cell r="C292" t="str">
            <v>REVS_PUB</v>
          </cell>
          <cell r="D292">
            <v>0</v>
          </cell>
        </row>
        <row r="293">
          <cell r="B293" t="str">
            <v>Total shareholders' equity (Pub)</v>
          </cell>
          <cell r="C293" t="str">
            <v>EQ_PUB</v>
          </cell>
          <cell r="D293">
            <v>0</v>
          </cell>
        </row>
        <row r="294">
          <cell r="A294" t="str">
            <v>Income Statement</v>
          </cell>
        </row>
        <row r="295">
          <cell r="B295" t="str">
            <v>Provision for income tax</v>
          </cell>
          <cell r="C295" t="str">
            <v>PROV_INC_TAX</v>
          </cell>
          <cell r="D295">
            <v>0</v>
          </cell>
        </row>
        <row r="296">
          <cell r="B296" t="str">
            <v>Minority interest</v>
          </cell>
          <cell r="C296" t="str">
            <v>INC_MINORITY</v>
          </cell>
          <cell r="D296">
            <v>0</v>
          </cell>
        </row>
        <row r="297">
          <cell r="B297" t="str">
            <v>Net income (pre-preferred dividends)</v>
          </cell>
          <cell r="C297" t="str">
            <v>NI_PRE_PREF</v>
          </cell>
          <cell r="D297">
            <v>0</v>
          </cell>
        </row>
        <row r="298">
          <cell r="B298" t="str">
            <v>Preferred dividends</v>
          </cell>
          <cell r="C298" t="str">
            <v>PREF_DIV</v>
          </cell>
          <cell r="D298">
            <v>0</v>
          </cell>
        </row>
        <row r="299">
          <cell r="B299" t="str">
            <v>Net income (pre-exceptionals)</v>
          </cell>
          <cell r="C299" t="str">
            <v>NET_EARNING</v>
          </cell>
          <cell r="D299">
            <v>0</v>
          </cell>
        </row>
        <row r="300">
          <cell r="B300" t="str">
            <v>Post-tax exceptionals</v>
          </cell>
          <cell r="C300" t="str">
            <v>TAX_EXC</v>
          </cell>
          <cell r="D300">
            <v>0</v>
          </cell>
        </row>
        <row r="301">
          <cell r="B301" t="str">
            <v>Net income (post-exceptionals)</v>
          </cell>
          <cell r="C301" t="str">
            <v>NET_INC</v>
          </cell>
          <cell r="D301">
            <v>0</v>
          </cell>
        </row>
        <row r="302">
          <cell r="B302" t="str">
            <v>EPS (pre-exceptionals, basic)</v>
          </cell>
          <cell r="C302" t="str">
            <v>EPS</v>
          </cell>
          <cell r="D302">
            <v>0</v>
          </cell>
        </row>
        <row r="303">
          <cell r="B303" t="str">
            <v>EPS (pre-exceptionals, diluted)</v>
          </cell>
          <cell r="C303" t="str">
            <v>EPS_FUL_DIL</v>
          </cell>
          <cell r="D303">
            <v>0</v>
          </cell>
        </row>
        <row r="304">
          <cell r="B304" t="str">
            <v>EPS (post-exceptionals, basic)</v>
          </cell>
          <cell r="C304" t="str">
            <v>EPS_POST_BASIC</v>
          </cell>
          <cell r="D304">
            <v>0</v>
          </cell>
        </row>
        <row r="305">
          <cell r="B305" t="str">
            <v>EPS (post-exceptionals, diluted)</v>
          </cell>
          <cell r="C305" t="str">
            <v>FULLY_DIL_EPS</v>
          </cell>
          <cell r="D305">
            <v>0</v>
          </cell>
        </row>
        <row r="306">
          <cell r="B306" t="str">
            <v>Common dividends paid</v>
          </cell>
          <cell r="C306" t="str">
            <v>COMMON_DIV_PAID</v>
          </cell>
          <cell r="D306">
            <v>0</v>
          </cell>
        </row>
        <row r="307">
          <cell r="B307" t="str">
            <v>DPS, dividend per share</v>
          </cell>
          <cell r="C307" t="str">
            <v>DPS</v>
          </cell>
          <cell r="D307">
            <v>0</v>
          </cell>
        </row>
        <row r="308">
          <cell r="B308" t="str">
            <v>Weighted average shares outstanding, basic</v>
          </cell>
          <cell r="C308" t="str">
            <v>SH</v>
          </cell>
        </row>
        <row r="309">
          <cell r="B309" t="str">
            <v>Diluted average shares outstanding (mn)</v>
          </cell>
          <cell r="C309" t="str">
            <v>DILUTE_SHARES</v>
          </cell>
        </row>
        <row r="310">
          <cell r="B310" t="str">
            <v>Period-end shares outstanding</v>
          </cell>
          <cell r="C310" t="str">
            <v>NON_OP_ADD</v>
          </cell>
        </row>
        <row r="311">
          <cell r="A311" t="str">
            <v>Additional Income Statement Items</v>
          </cell>
        </row>
        <row r="312">
          <cell r="B312" t="str">
            <v>Marginal tax rate</v>
          </cell>
          <cell r="C312" t="str">
            <v>MARGIN_TAX_RATE</v>
          </cell>
        </row>
        <row r="313">
          <cell r="A313" t="str">
            <v>ESO</v>
          </cell>
        </row>
        <row r="314">
          <cell r="B314" t="str">
            <v>Fair value of grant</v>
          </cell>
          <cell r="C314" t="str">
            <v>FV_GRANT</v>
          </cell>
          <cell r="D314">
            <v>0</v>
          </cell>
        </row>
        <row r="315">
          <cell r="B315" t="str">
            <v>ESO expense (post-tax)</v>
          </cell>
          <cell r="C315" t="str">
            <v>ESO_POST_TAX</v>
          </cell>
          <cell r="D315">
            <v>0</v>
          </cell>
        </row>
        <row r="316">
          <cell r="B316" t="str">
            <v>EPS (excl. ESO expense, basic)</v>
          </cell>
          <cell r="C316" t="str">
            <v>EPS_EX_ESO_B</v>
          </cell>
          <cell r="D316">
            <v>0</v>
          </cell>
        </row>
        <row r="317">
          <cell r="B317" t="str">
            <v>EPS (excl. ESO expense, diluted)</v>
          </cell>
          <cell r="C317" t="str">
            <v>EPS_EX_ESO_D</v>
          </cell>
          <cell r="D317">
            <v>0</v>
          </cell>
        </row>
        <row r="318">
          <cell r="B318" t="str">
            <v>Year that ESO expense takes effect</v>
          </cell>
          <cell r="C318" t="str">
            <v>ESO_YEAR</v>
          </cell>
        </row>
        <row r="319">
          <cell r="A319" t="str">
            <v>Balance Sheet</v>
          </cell>
        </row>
        <row r="320">
          <cell r="B320" t="str">
            <v>BVPS, book value per share</v>
          </cell>
          <cell r="C320" t="str">
            <v>BVPS</v>
          </cell>
          <cell r="D320">
            <v>0</v>
          </cell>
        </row>
        <row r="321">
          <cell r="A321" t="str">
            <v>Additional Balance Sheet Items</v>
          </cell>
        </row>
        <row r="322">
          <cell r="B322" t="str">
            <v>Total repurchase authorization</v>
          </cell>
          <cell r="C322" t="str">
            <v>REPUR_TOT_AUTH</v>
          </cell>
          <cell r="D322">
            <v>0</v>
          </cell>
        </row>
        <row r="323">
          <cell r="B323" t="str">
            <v>Remaining repurchase authorization</v>
          </cell>
          <cell r="C323" t="str">
            <v>REPUR_REMAINING</v>
          </cell>
          <cell r="D323">
            <v>0</v>
          </cell>
        </row>
        <row r="324">
          <cell r="B324" t="str">
            <v>Suspended repurchase authorization</v>
          </cell>
          <cell r="C324" t="str">
            <v>REPUR_SUSPENDED</v>
          </cell>
          <cell r="D324">
            <v>0</v>
          </cell>
        </row>
        <row r="325">
          <cell r="B325" t="str">
            <v>Shares repurchased during period</v>
          </cell>
          <cell r="C325" t="str">
            <v>REPUR_ACTUAL</v>
          </cell>
          <cell r="D325">
            <v>0</v>
          </cell>
        </row>
        <row r="326">
          <cell r="A326" t="str">
            <v>Cash Flow Statement</v>
          </cell>
        </row>
        <row r="327">
          <cell r="B327" t="str">
            <v>Net income (pre-preferred dividends)</v>
          </cell>
          <cell r="C327" t="str">
            <v>CF_NI_PRE_PREF</v>
          </cell>
          <cell r="D327">
            <v>0</v>
          </cell>
        </row>
        <row r="328">
          <cell r="A328" t="str">
            <v>Other Items</v>
          </cell>
        </row>
        <row r="329">
          <cell r="B329" t="str">
            <v>Beta</v>
          </cell>
          <cell r="C329" t="str">
            <v>BETA_ANALYST</v>
          </cell>
        </row>
        <row r="330">
          <cell r="B330" t="str">
            <v>Market equity risk premium</v>
          </cell>
          <cell r="C330" t="str">
            <v>MKT_EQ_RISK_PREM</v>
          </cell>
        </row>
        <row r="331">
          <cell r="B331" t="str">
            <v>Risk-free rate</v>
          </cell>
          <cell r="C331" t="str">
            <v>RISK_FR_RATE</v>
          </cell>
        </row>
      </sheetData>
      <sheetData sheetId="10">
        <row r="1">
          <cell r="A1" t="str">
            <v>e969527d-d445-4979-87c1-bd2ff88ad834</v>
          </cell>
        </row>
        <row r="2">
          <cell r="A2" t="str">
            <v>\\firmwide.corp.gs.com\root\Projects\Research\ny\Software and Internet\Models - Current Coverage\NTNX\[NTNX Model - Live_Final.xlsx]NTNX_Validation_Sheet</v>
          </cell>
        </row>
        <row r="7">
          <cell r="A7" t="str">
            <v>Scalar|||208017108|||ISSR|||CURRENCY_ISO|||False|||</v>
          </cell>
          <cell r="C7" t="str">
            <v>V_KEYWORD_ISSR_208017108_CURRENCY_ISO</v>
          </cell>
        </row>
        <row r="9">
          <cell r="A9" t="str">
            <v>Scalar|||208017108|||ISSR|||MA_PROB|||False|||</v>
          </cell>
          <cell r="C9" t="str">
            <v>V_KEYWORD_ISSR_208017108_MA_PROB</v>
          </cell>
        </row>
        <row r="11">
          <cell r="A11" t="str">
            <v>Vector|||208017108|||ISSR|||SALES|||False|||</v>
          </cell>
          <cell r="C11" t="str">
            <v>V_KEYWORD_ISSR_208017108_SALES</v>
          </cell>
        </row>
        <row r="12">
          <cell r="A12" t="str">
            <v>Vector|||208017108|||ISSR|||COST_GD_SD|||False|||</v>
          </cell>
          <cell r="C12" t="str">
            <v>V_KEYWORD_ISSR_208017108_COST_GD_SD</v>
          </cell>
        </row>
        <row r="13">
          <cell r="A13" t="str">
            <v>Vector|||208017108|||ISSR|||SEL_GL_AD|||False|||</v>
          </cell>
          <cell r="C13" t="str">
            <v>V_KEYWORD_ISSR_208017108_SEL_GL_AD</v>
          </cell>
        </row>
        <row r="14">
          <cell r="A14" t="str">
            <v>Vector|||208017108|||ISSR|||OP_COST|||False|||</v>
          </cell>
          <cell r="C14" t="str">
            <v>V_KEYWORD_ISSR_208017108_OP_COST</v>
          </cell>
        </row>
        <row r="15">
          <cell r="A15" t="str">
            <v>Vector|||208017108|||ISSR|||RD_EXP|||False|||</v>
          </cell>
          <cell r="C15" t="str">
            <v>V_KEYWORD_ISSR_208017108_RD_EXP</v>
          </cell>
        </row>
        <row r="16">
          <cell r="A16" t="str">
            <v>Vector|||208017108|||ISSR|||ESO_PRE_TAX|||False|||</v>
          </cell>
          <cell r="C16" t="str">
            <v>V_KEYWORD_ISSR_208017108_ESO_PRE_TAX</v>
          </cell>
        </row>
        <row r="17">
          <cell r="A17" t="str">
            <v>Vector|||208017108|||ISSR|||OTH_OP_INC_EXP|||False|||</v>
          </cell>
          <cell r="C17" t="str">
            <v>V_KEYWORD_ISSR_208017108_OTH_OP_INC_EXP</v>
          </cell>
        </row>
        <row r="18">
          <cell r="A18" t="str">
            <v>Vector|||208017108|||ISSR|||TOT_OPS_EXP_DDA|||False|||</v>
          </cell>
          <cell r="C18" t="str">
            <v>V_KEYWORD_ISSR_208017108_TOT_OPS_EXP_DDA</v>
          </cell>
        </row>
        <row r="19">
          <cell r="A19" t="str">
            <v>Vector|||208017108|||ISSR|||TOT_OPS_EXP|||False|||</v>
          </cell>
          <cell r="C19" t="str">
            <v>V_KEYWORD_ISSR_208017108_TOT_OPS_EXP</v>
          </cell>
        </row>
        <row r="20">
          <cell r="A20" t="str">
            <v>Vector|||208017108|||ISSR|||EBITDA_CALC|||False|||</v>
          </cell>
          <cell r="C20" t="str">
            <v>V_KEYWORD_ISSR_208017108_EBITDA_CALC</v>
          </cell>
        </row>
        <row r="21">
          <cell r="A21" t="str">
            <v>Vector|||208017108|||ISSR|||DEPREC|||False|||</v>
          </cell>
          <cell r="C21" t="str">
            <v>V_KEYWORD_ISSR_208017108_DEPREC</v>
          </cell>
        </row>
        <row r="22">
          <cell r="A22" t="str">
            <v>Vector|||208017108|||ISSR|||GOODWILL_AMORT|||False|||</v>
          </cell>
          <cell r="C22" t="str">
            <v>V_KEYWORD_ISSR_208017108_GOODWILL_AMORT</v>
          </cell>
        </row>
        <row r="23">
          <cell r="A23" t="str">
            <v>Vector|||208017108|||ISSR|||EBIT|||False|||</v>
          </cell>
          <cell r="C23" t="str">
            <v>V_KEYWORD_ISSR_208017108_EBIT</v>
          </cell>
        </row>
        <row r="24">
          <cell r="A24" t="str">
            <v>Vector|||208017108|||ISSR|||INT_INC_IND|||False|||</v>
          </cell>
          <cell r="C24" t="str">
            <v>V_KEYWORD_ISSR_208017108_INT_INC_IND</v>
          </cell>
        </row>
        <row r="25">
          <cell r="A25" t="str">
            <v>Vector|||208017108|||ISSR|||INT_EXP_IND|||False|||</v>
          </cell>
          <cell r="C25" t="str">
            <v>V_KEYWORD_ISSR_208017108_INT_EXP_IND</v>
          </cell>
        </row>
        <row r="26">
          <cell r="A26" t="str">
            <v>Vector|||208017108|||ISSR|||NET_INT_EXP|||False|||</v>
          </cell>
          <cell r="C26" t="str">
            <v>V_KEYWORD_ISSR_208017108_NET_INT_EXP</v>
          </cell>
        </row>
        <row r="27">
          <cell r="A27" t="str">
            <v>Vector|||208017108|||ISSR|||ASSOCIATE|||False|||</v>
          </cell>
          <cell r="C27" t="str">
            <v>V_KEYWORD_ISSR_208017108_ASSOCIATE</v>
          </cell>
        </row>
        <row r="28">
          <cell r="A28" t="str">
            <v>Vector|||208017108|||ISSR|||PROFIT_ON_DISP|||False|||</v>
          </cell>
          <cell r="C28" t="str">
            <v>V_KEYWORD_ISSR_208017108_PROFIT_ON_DISP</v>
          </cell>
        </row>
        <row r="29">
          <cell r="A29" t="str">
            <v>Vector|||208017108|||ISSR|||OTH_COST_INC|||False|||</v>
          </cell>
          <cell r="C29" t="str">
            <v>V_KEYWORD_ISSR_208017108_OTH_COST_INC</v>
          </cell>
        </row>
        <row r="30">
          <cell r="A30" t="str">
            <v>Vector|||208017108|||ISSR|||PT_PROF|||False|||</v>
          </cell>
          <cell r="C30" t="str">
            <v>V_KEYWORD_ISSR_208017108_PT_PROF</v>
          </cell>
        </row>
        <row r="32">
          <cell r="A32" t="str">
            <v>Vector|||208017108|||ISSR|||LEASE_PAY|||False|||</v>
          </cell>
          <cell r="C32" t="str">
            <v>V_KEYWORD_ISSR_208017108_LEASE_PAY</v>
          </cell>
        </row>
        <row r="33">
          <cell r="A33" t="str">
            <v>Vector|||208017108|||ISSR|||LEASE_DEEM_INT|||False|||</v>
          </cell>
          <cell r="C33" t="str">
            <v>V_KEYWORD_ISSR_208017108_LEASE_DEEM_INT</v>
          </cell>
        </row>
        <row r="34">
          <cell r="A34" t="str">
            <v>Vector|||208017108|||ISSR|||LEASE_DEEM_DEPR|||False|||</v>
          </cell>
          <cell r="C34" t="str">
            <v>V_KEYWORD_ISSR_208017108_LEASE_DEEM_DEPR</v>
          </cell>
        </row>
        <row r="35">
          <cell r="A35" t="str">
            <v>Vector|||208017108|||ISSR|||NET_INT_CH|||False|||</v>
          </cell>
          <cell r="C35" t="str">
            <v>V_KEYWORD_ISSR_208017108_NET_INT_CH</v>
          </cell>
        </row>
        <row r="36">
          <cell r="A36" t="str">
            <v>Vector|||208017108|||ISSR|||ASSOCIATE_OP|||False|||</v>
          </cell>
          <cell r="C36" t="str">
            <v>V_KEYWORD_ISSR_208017108_ASSOCIATE_OP</v>
          </cell>
        </row>
        <row r="37">
          <cell r="A37" t="str">
            <v>Vector|||208017108|||ISSR|||DEPR_ROU_ASSETS|||False|||</v>
          </cell>
          <cell r="C37" t="str">
            <v>V_KEYWORD_ISSR_208017108_DEPR_ROU_ASSETS</v>
          </cell>
        </row>
        <row r="38">
          <cell r="A38" t="str">
            <v>Vector|||208017108|||ISSR|||LEASE_INT_CHG|||False|||</v>
          </cell>
          <cell r="C38" t="str">
            <v>V_KEYWORD_ISSR_208017108_LEASE_INT_CHG</v>
          </cell>
        </row>
        <row r="39">
          <cell r="A39" t="str">
            <v>Scalar|||208017108|||ISSR|||LEASE_ADOPT|||False|||</v>
          </cell>
          <cell r="C39" t="str">
            <v>V_KEYWORD_ISSR_208017108_LEASE_ADOPT</v>
          </cell>
        </row>
        <row r="40">
          <cell r="A40" t="str">
            <v>Vector|||208017108|||ISSR|||SBC_COST_OF_GOODS_SOLD|||False|||</v>
          </cell>
          <cell r="C40" t="str">
            <v>V_KEYWORD_ISSR_208017108_SBC_COST_OF_GOODS_SOLD</v>
          </cell>
        </row>
        <row r="41">
          <cell r="A41" t="str">
            <v>Vector|||208017108|||ISSR|||SBC_SALES_MARKETING|||False|||</v>
          </cell>
          <cell r="C41" t="str">
            <v>V_KEYWORD_ISSR_208017108_SBC_SALES_MARKETING</v>
          </cell>
        </row>
        <row r="42">
          <cell r="A42" t="str">
            <v>Vector|||208017108|||ISSR|||SBC_RESEARCH_DEVELOPMENT|||False|||</v>
          </cell>
          <cell r="C42" t="str">
            <v>V_KEYWORD_ISSR_208017108_SBC_RESEARCH_DEVELOPMENT</v>
          </cell>
        </row>
        <row r="43">
          <cell r="A43" t="str">
            <v>Vector|||208017108|||ISSR|||SBC_GEN_ADMINISTRATIVE|||False|||</v>
          </cell>
          <cell r="C43" t="str">
            <v>V_KEYWORD_ISSR_208017108_SBC_GEN_ADMINISTRATIVE</v>
          </cell>
        </row>
        <row r="44">
          <cell r="A44" t="str">
            <v>Vector|||208017108|||ISSR|||SBC_TOTAL|||False|||</v>
          </cell>
          <cell r="C44" t="str">
            <v>V_KEYWORD_ISSR_208017108_SBC_TOTAL</v>
          </cell>
        </row>
        <row r="45">
          <cell r="A45" t="str">
            <v>Vector|||208017108|||ISSR|||COGS_N_GAAP|||False|||</v>
          </cell>
          <cell r="C45" t="str">
            <v>V_KEYWORD_ISSR_208017108_COGS_N_GAAP</v>
          </cell>
        </row>
        <row r="46">
          <cell r="A46" t="str">
            <v>Vector|||208017108|||ISSR|||GROSS_PROFIT_N_GAAP|||False|||</v>
          </cell>
          <cell r="C46" t="str">
            <v>V_KEYWORD_ISSR_208017108_GROSS_PROFIT_N_GAAP</v>
          </cell>
        </row>
        <row r="47">
          <cell r="A47" t="str">
            <v>Vector|||208017108|||ISSR|||GEN_ADMIN_N_GAAP|||False|||</v>
          </cell>
          <cell r="C47" t="str">
            <v>V_KEYWORD_ISSR_208017108_GEN_ADMIN_N_GAAP</v>
          </cell>
        </row>
        <row r="48">
          <cell r="A48" t="str">
            <v>Vector|||208017108|||ISSR|||SALES_MARKETING_N_GAAP|||False|||</v>
          </cell>
          <cell r="C48" t="str">
            <v>V_KEYWORD_ISSR_208017108_SALES_MARKETING_N_GAAP</v>
          </cell>
        </row>
        <row r="49">
          <cell r="A49" t="str">
            <v>Vector|||208017108|||ISSR|||RD_N_GAAP|||False|||</v>
          </cell>
          <cell r="C49" t="str">
            <v>V_KEYWORD_ISSR_208017108_RD_N_GAAP</v>
          </cell>
        </row>
        <row r="50">
          <cell r="A50" t="str">
            <v>Vector|||208017108|||ISSR|||OPS_EXP_N_GAAP|||False|||</v>
          </cell>
          <cell r="C50" t="str">
            <v>V_KEYWORD_ISSR_208017108_OPS_EXP_N_GAAP</v>
          </cell>
        </row>
        <row r="51">
          <cell r="A51" t="str">
            <v>Vector|||208017108|||ISSR|||OP_INC_N_GAAP|||False|||</v>
          </cell>
          <cell r="C51" t="str">
            <v>V_KEYWORD_ISSR_208017108_OP_INC_N_GAAP</v>
          </cell>
        </row>
        <row r="52">
          <cell r="A52" t="str">
            <v>Vector|||208017108|||ISSR|||NET_INC_N_GAAP|||False|||</v>
          </cell>
          <cell r="C52" t="str">
            <v>V_KEYWORD_ISSR_208017108_NET_INC_N_GAAP</v>
          </cell>
        </row>
        <row r="54">
          <cell r="A54" t="str">
            <v>Vector|||208017108|||ISSR|||CASH_EQ|||False|||</v>
          </cell>
          <cell r="C54" t="str">
            <v>V_KEYWORD_ISSR_208017108_CASH_EQ</v>
          </cell>
        </row>
        <row r="55">
          <cell r="A55" t="str">
            <v>Vector|||208017108|||ISSR|||DEBTORS|||False|||</v>
          </cell>
          <cell r="C55" t="str">
            <v>V_KEYWORD_ISSR_208017108_DEBTORS</v>
          </cell>
        </row>
        <row r="56">
          <cell r="A56" t="str">
            <v>Vector|||208017108|||ISSR|||STOCKS|||False|||</v>
          </cell>
          <cell r="C56" t="str">
            <v>V_KEYWORD_ISSR_208017108_STOCKS</v>
          </cell>
        </row>
        <row r="57">
          <cell r="A57" t="str">
            <v>Vector|||208017108|||ISSR|||OTH_CUR_ASS|||False|||</v>
          </cell>
          <cell r="C57" t="str">
            <v>V_KEYWORD_ISSR_208017108_OTH_CUR_ASS</v>
          </cell>
        </row>
        <row r="58">
          <cell r="A58" t="str">
            <v>Vector|||208017108|||ISSR|||CUR_ASS|||False|||</v>
          </cell>
          <cell r="C58" t="str">
            <v>V_KEYWORD_ISSR_208017108_CUR_ASS</v>
          </cell>
        </row>
        <row r="59">
          <cell r="A59" t="str">
            <v>Vector|||208017108|||ISSR|||GR_FIX_ASS|||False|||</v>
          </cell>
          <cell r="C59" t="str">
            <v>V_KEYWORD_ISSR_208017108_GR_FIX_ASS</v>
          </cell>
        </row>
        <row r="60">
          <cell r="A60" t="str">
            <v>Vector|||208017108|||ISSR|||ACC_DDA|||False|||</v>
          </cell>
          <cell r="C60" t="str">
            <v>V_KEYWORD_ISSR_208017108_ACC_DDA</v>
          </cell>
        </row>
        <row r="61">
          <cell r="A61" t="str">
            <v>Vector|||208017108|||ISSR|||NET_FIX_ASS|||False|||</v>
          </cell>
          <cell r="C61" t="str">
            <v>V_KEYWORD_ISSR_208017108_NET_FIX_ASS</v>
          </cell>
        </row>
        <row r="62">
          <cell r="A62" t="str">
            <v>Vector|||208017108|||ISSR|||GR_INTANG|||False|||</v>
          </cell>
          <cell r="C62" t="str">
            <v>V_KEYWORD_ISSR_208017108_GR_INTANG</v>
          </cell>
        </row>
        <row r="63">
          <cell r="A63" t="str">
            <v>Vector|||208017108|||ISSR|||ACC_AMORT|||False|||</v>
          </cell>
          <cell r="C63" t="str">
            <v>V_KEYWORD_ISSR_208017108_ACC_AMORT</v>
          </cell>
        </row>
        <row r="64">
          <cell r="A64" t="str">
            <v>Vector|||208017108|||ISSR|||NET_INTANG|||False|||</v>
          </cell>
          <cell r="C64" t="str">
            <v>V_KEYWORD_ISSR_208017108_NET_INTANG</v>
          </cell>
        </row>
        <row r="65">
          <cell r="A65" t="str">
            <v>Vector|||208017108|||ISSR|||FIX_ASS_INV|||False|||</v>
          </cell>
          <cell r="C65" t="str">
            <v>V_KEYWORD_ISSR_208017108_FIX_ASS_INV</v>
          </cell>
        </row>
        <row r="66">
          <cell r="A66" t="str">
            <v>Vector|||208017108|||ISSR|||INV_SECUR|||False|||</v>
          </cell>
          <cell r="C66" t="str">
            <v>V_KEYWORD_ISSR_208017108_INV_SECUR</v>
          </cell>
        </row>
        <row r="67">
          <cell r="A67" t="str">
            <v>Vector|||208017108|||ISSR|||OTH_LT_ASS|||False|||</v>
          </cell>
          <cell r="C67" t="str">
            <v>V_KEYWORD_ISSR_208017108_OTH_LT_ASS</v>
          </cell>
        </row>
        <row r="68">
          <cell r="A68" t="str">
            <v>Vector|||208017108|||ISSR|||TOT_ASSET|||False|||</v>
          </cell>
          <cell r="C68" t="str">
            <v>V_KEYWORD_ISSR_208017108_TOT_ASSET</v>
          </cell>
        </row>
        <row r="69">
          <cell r="A69" t="str">
            <v>Vector|||208017108|||ISSR|||ACC_PAY_GQ|||False|||</v>
          </cell>
          <cell r="C69" t="str">
            <v>V_KEYWORD_ISSR_208017108_ACC_PAY_GQ</v>
          </cell>
        </row>
        <row r="70">
          <cell r="A70" t="str">
            <v>Vector|||208017108|||ISSR|||SHORT_T_DEBT|||False|||</v>
          </cell>
          <cell r="C70" t="str">
            <v>V_KEYWORD_ISSR_208017108_SHORT_T_DEBT</v>
          </cell>
        </row>
        <row r="71">
          <cell r="A71" t="str">
            <v>Vector|||208017108|||ISSR|||ST_LEASE_LIAB|||False|||</v>
          </cell>
          <cell r="C71" t="str">
            <v>V_KEYWORD_ISSR_208017108_ST_LEASE_LIAB</v>
          </cell>
        </row>
        <row r="72">
          <cell r="A72" t="str">
            <v>Vector|||208017108|||ISSR|||OTH_CUR_LIABS|||False|||</v>
          </cell>
          <cell r="C72" t="str">
            <v>V_KEYWORD_ISSR_208017108_OTH_CUR_LIABS</v>
          </cell>
        </row>
        <row r="73">
          <cell r="A73" t="str">
            <v>Vector|||208017108|||ISSR|||SHORT_TERM_LIABS|||False|||</v>
          </cell>
          <cell r="C73" t="str">
            <v>V_KEYWORD_ISSR_208017108_SHORT_TERM_LIABS</v>
          </cell>
        </row>
        <row r="74">
          <cell r="A74" t="str">
            <v>Vector|||208017108|||ISSR|||TOT_DEF_REV|||False|||</v>
          </cell>
          <cell r="C74" t="str">
            <v>V_KEYWORD_ISSR_208017108_TOT_DEF_REV</v>
          </cell>
        </row>
        <row r="75">
          <cell r="A75" t="str">
            <v>Vector|||208017108|||ISSR|||LT_DEBT|||False|||</v>
          </cell>
          <cell r="C75" t="str">
            <v>V_KEYWORD_ISSR_208017108_LT_DEBT</v>
          </cell>
        </row>
        <row r="76">
          <cell r="A76" t="str">
            <v>Vector|||208017108|||ISSR|||LT_LEASE_LIAB|||False|||</v>
          </cell>
          <cell r="C76" t="str">
            <v>V_KEYWORD_ISSR_208017108_LT_LEASE_LIAB</v>
          </cell>
        </row>
        <row r="77">
          <cell r="A77" t="str">
            <v>Vector|||208017108|||ISSR|||OTH_LT_CRED_GQ|||False|||</v>
          </cell>
          <cell r="C77" t="str">
            <v>V_KEYWORD_ISSR_208017108_OTH_LT_CRED_GQ</v>
          </cell>
        </row>
        <row r="78">
          <cell r="A78" t="str">
            <v>Vector|||208017108|||ISSR|||TOT_LT_LIAB|||False|||</v>
          </cell>
          <cell r="C78" t="str">
            <v>V_KEYWORD_ISSR_208017108_TOT_LT_LIAB</v>
          </cell>
        </row>
        <row r="79">
          <cell r="A79" t="str">
            <v>Vector|||208017108|||ISSR|||TOT_LIAB|||False|||</v>
          </cell>
          <cell r="C79" t="str">
            <v>V_KEYWORD_ISSR_208017108_TOT_LIAB</v>
          </cell>
        </row>
        <row r="80">
          <cell r="A80" t="str">
            <v>Vector|||208017108|||ISSR|||PREF_SH|||False|||</v>
          </cell>
          <cell r="C80" t="str">
            <v>V_KEYWORD_ISSR_208017108_PREF_SH</v>
          </cell>
        </row>
        <row r="81">
          <cell r="A81" t="str">
            <v>Vector|||208017108|||ISSR|||ORD_SH_FUND|||False|||</v>
          </cell>
          <cell r="C81" t="str">
            <v>V_KEYWORD_ISSR_208017108_ORD_SH_FUND</v>
          </cell>
        </row>
        <row r="82">
          <cell r="A82" t="str">
            <v>Vector|||208017108|||ISSR|||MINORITIES|||False|||</v>
          </cell>
          <cell r="C82" t="str">
            <v>V_KEYWORD_ISSR_208017108_MINORITIES</v>
          </cell>
        </row>
        <row r="83">
          <cell r="A83" t="str">
            <v>Vector|||208017108|||ISSR|||EQ|||False|||</v>
          </cell>
          <cell r="C83" t="str">
            <v>V_KEYWORD_ISSR_208017108_EQ</v>
          </cell>
        </row>
        <row r="84">
          <cell r="A84" t="str">
            <v>Vector|||208017108|||ISSR|||TOT_LIAB_EQ|||False|||</v>
          </cell>
          <cell r="C84" t="str">
            <v>V_KEYWORD_ISSR_208017108_TOT_LIAB_EQ</v>
          </cell>
        </row>
        <row r="86">
          <cell r="A86" t="str">
            <v>Vector|||208017108|||ISSR|||TOT_USD_DEBT|||False|||</v>
          </cell>
          <cell r="C86" t="str">
            <v>V_KEYWORD_ISSR_208017108_TOT_USD_DEBT</v>
          </cell>
        </row>
        <row r="87">
          <cell r="A87" t="str">
            <v>Vector|||208017108|||ISSR|||TOT_PCT_USD_DEBT_HEDGED|||False|||</v>
          </cell>
          <cell r="C87" t="str">
            <v>V_KEYWORD_ISSR_208017108_TOT_PCT_USD_DEBT_HEDGED</v>
          </cell>
        </row>
        <row r="88">
          <cell r="A88" t="str">
            <v>Vector|||208017108|||ISSR|||FLOATING_PCT_LOCAL_DEBT|||False|||</v>
          </cell>
          <cell r="C88" t="str">
            <v>V_KEYWORD_ISSR_208017108_FLOATING_PCT_LOCAL_DEBT</v>
          </cell>
        </row>
        <row r="89">
          <cell r="A89" t="str">
            <v>Vector|||208017108|||ISSR|||FLOATING_PCT_LOCAL_DEBT_HEDGED|||False|||</v>
          </cell>
          <cell r="C89" t="str">
            <v>V_KEYWORD_ISSR_208017108_FLOATING_PCT_LOCAL_DEBT_HEDGED</v>
          </cell>
        </row>
        <row r="90">
          <cell r="A90" t="str">
            <v>Vector|||208017108|||ISSR|||NET_DEBT|||False|||</v>
          </cell>
          <cell r="C90" t="str">
            <v>V_KEYWORD_ISSR_208017108_NET_DEBT</v>
          </cell>
        </row>
        <row r="91">
          <cell r="A91" t="str">
            <v>Vector|||208017108|||ISSR|||CAP_LEASES|||False|||</v>
          </cell>
          <cell r="C91" t="str">
            <v>V_KEYWORD_ISSR_208017108_CAP_LEASES</v>
          </cell>
        </row>
        <row r="92">
          <cell r="A92" t="str">
            <v>Vector|||208017108|||ISSR|||DEF_INC_TAX|||False|||</v>
          </cell>
          <cell r="C92" t="str">
            <v>V_KEYWORD_ISSR_208017108_DEF_INC_TAX</v>
          </cell>
        </row>
        <row r="93">
          <cell r="A93" t="str">
            <v>Vector|||208017108|||ISSR|||NET_OP_LOSS_CFWD|||False|||</v>
          </cell>
          <cell r="C93" t="str">
            <v>V_KEYWORD_ISSR_208017108_NET_OP_LOSS_CFWD</v>
          </cell>
        </row>
        <row r="94">
          <cell r="A94" t="str">
            <v>Vector|||208017108|||ISSR|||MV_ASSOCIATES|||False|||</v>
          </cell>
          <cell r="C94" t="str">
            <v>V_KEYWORD_ISSR_208017108_MV_ASSOCIATES</v>
          </cell>
        </row>
        <row r="95">
          <cell r="A95" t="str">
            <v>Vector|||208017108|||ISSR|||NET_DEBT_ADJ|||False|||</v>
          </cell>
          <cell r="C95" t="str">
            <v>V_KEYWORD_ISSR_208017108_NET_DEBT_ADJ</v>
          </cell>
        </row>
        <row r="96">
          <cell r="A96" t="str">
            <v>Vector|||208017108|||ISSR|||CO_BOR_MARGIN|||False|||</v>
          </cell>
          <cell r="C96" t="str">
            <v>V_KEYWORD_ISSR_208017108_CO_BOR_MARGIN</v>
          </cell>
        </row>
        <row r="97">
          <cell r="A97" t="str">
            <v>Vector|||208017108|||ISSR|||UNF_PENS|||False|||</v>
          </cell>
          <cell r="C97" t="str">
            <v>V_KEYWORD_ISSR_208017108_UNF_PENS</v>
          </cell>
        </row>
        <row r="98">
          <cell r="A98" t="str">
            <v>Vector|||208017108|||ISSR|||UNF_PENS_OFF|||False|||</v>
          </cell>
          <cell r="C98" t="str">
            <v>V_KEYWORD_ISSR_208017108_UNF_PENS_OFF</v>
          </cell>
        </row>
        <row r="99">
          <cell r="A99" t="str">
            <v>Vector|||208017108|||ISSR|||UNF_PENS_LIAB_OTH|||False|||</v>
          </cell>
          <cell r="C99" t="str">
            <v>V_KEYWORD_ISSR_208017108_UNF_PENS_LIAB_OTH</v>
          </cell>
        </row>
        <row r="100">
          <cell r="A100" t="str">
            <v>Vector|||208017108|||ISSR|||ADJ_UNF_PENS_GOOD|||False|||</v>
          </cell>
          <cell r="C100" t="str">
            <v>V_KEYWORD_ISSR_208017108_ADJ_UNF_PENS_GOOD</v>
          </cell>
        </row>
        <row r="101">
          <cell r="A101" t="str">
            <v>Vector|||208017108|||ISSR|||OTH_GCI_ADJ|||False|||</v>
          </cell>
          <cell r="C101" t="str">
            <v>V_KEYWORD_ISSR_208017108_OTH_GCI_ADJ</v>
          </cell>
        </row>
        <row r="102">
          <cell r="A102" t="str">
            <v>Vector|||208017108|||ISSR|||GCI_INFL|||False|||</v>
          </cell>
          <cell r="C102" t="str">
            <v>V_KEYWORD_ISSR_208017108_GCI_INFL</v>
          </cell>
        </row>
        <row r="103">
          <cell r="A103" t="str">
            <v>Vector|||208017108|||ISSR|||BAL_MINO_INT|||False|||</v>
          </cell>
          <cell r="C103" t="str">
            <v>V_KEYWORD_ISSR_208017108_BAL_MINO_INT</v>
          </cell>
        </row>
        <row r="104">
          <cell r="A104" t="str">
            <v>Vector|||208017108|||ISSR|||ROU_ASSET|||False|||</v>
          </cell>
          <cell r="C104" t="str">
            <v>V_KEYWORD_ISSR_208017108_ROU_ASSET</v>
          </cell>
        </row>
        <row r="106">
          <cell r="A106" t="str">
            <v>Vector|||208017108|||ISSR|||CF_INC_MINORITY|||False|||</v>
          </cell>
          <cell r="C106" t="str">
            <v>V_KEYWORD_ISSR_208017108_CF_INC_MINORITY</v>
          </cell>
        </row>
        <row r="107">
          <cell r="A107" t="str">
            <v>Vector|||208017108|||ISSR|||DEPR_AMORT|||False|||</v>
          </cell>
          <cell r="C107" t="str">
            <v>V_KEYWORD_ISSR_208017108_DEPR_AMORT</v>
          </cell>
        </row>
        <row r="108">
          <cell r="A108" t="str">
            <v>Vector|||208017108|||ISSR|||WORK_CAP|||False|||</v>
          </cell>
          <cell r="C108" t="str">
            <v>V_KEYWORD_ISSR_208017108_WORK_CAP</v>
          </cell>
        </row>
        <row r="109">
          <cell r="A109" t="str">
            <v>Vector|||208017108|||ISSR|||OTH_OP_CF|||False|||</v>
          </cell>
          <cell r="C109" t="str">
            <v>V_KEYWORD_ISSR_208017108_OTH_OP_CF</v>
          </cell>
        </row>
        <row r="110">
          <cell r="A110" t="str">
            <v>Vector|||208017108|||ISSR|||CF_OPS|||False|||</v>
          </cell>
          <cell r="C110" t="str">
            <v>V_KEYWORD_ISSR_208017108_CF_OPS</v>
          </cell>
        </row>
        <row r="111">
          <cell r="A111" t="str">
            <v>Vector|||208017108|||ISSR|||CAPEX|||False|||</v>
          </cell>
          <cell r="C111" t="str">
            <v>V_KEYWORD_ISSR_208017108_CAPEX</v>
          </cell>
        </row>
        <row r="112">
          <cell r="A112" t="str">
            <v>Vector|||208017108|||ISSR|||ACQ|||False|||</v>
          </cell>
          <cell r="C112" t="str">
            <v>V_KEYWORD_ISSR_208017108_ACQ</v>
          </cell>
        </row>
        <row r="113">
          <cell r="A113" t="str">
            <v>Vector|||208017108|||ISSR|||DIVEST|||False|||</v>
          </cell>
          <cell r="C113" t="str">
            <v>V_KEYWORD_ISSR_208017108_DIVEST</v>
          </cell>
        </row>
        <row r="114">
          <cell r="A114" t="str">
            <v>Vector|||208017108|||ISSR|||OTH_INV_CF|||False|||</v>
          </cell>
          <cell r="C114" t="str">
            <v>V_KEYWORD_ISSR_208017108_OTH_INV_CF</v>
          </cell>
        </row>
        <row r="115">
          <cell r="A115" t="str">
            <v>Vector|||208017108|||ISSR|||CF_INV|||False|||</v>
          </cell>
          <cell r="C115" t="str">
            <v>V_KEYWORD_ISSR_208017108_CF_INV</v>
          </cell>
        </row>
        <row r="116">
          <cell r="A116" t="str">
            <v>Vector|||208017108|||ISSR|||DIV_PAID|||False|||</v>
          </cell>
          <cell r="C116" t="str">
            <v>V_KEYWORD_ISSR_208017108_DIV_PAID</v>
          </cell>
        </row>
        <row r="117">
          <cell r="A117" t="str">
            <v>Vector|||208017108|||ISSR|||SH_REPUR|||False|||</v>
          </cell>
          <cell r="C117" t="str">
            <v>V_KEYWORD_ISSR_208017108_SH_REPUR</v>
          </cell>
        </row>
        <row r="118">
          <cell r="A118" t="str">
            <v>Vector|||208017108|||ISSR|||CHG_LT_DEBT|||False|||</v>
          </cell>
          <cell r="C118" t="str">
            <v>V_KEYWORD_ISSR_208017108_CHG_LT_DEBT</v>
          </cell>
        </row>
        <row r="119">
          <cell r="A119" t="str">
            <v>Vector|||208017108|||ISSR|||LEASE_PRINCIPAL_CASH|||False|||</v>
          </cell>
          <cell r="C119" t="str">
            <v>V_KEYWORD_ISSR_208017108_LEASE_PRINCIPAL_CASH</v>
          </cell>
        </row>
        <row r="120">
          <cell r="A120" t="str">
            <v>Vector|||208017108|||ISSR|||OTH_FIN_CF|||False|||</v>
          </cell>
          <cell r="C120" t="str">
            <v>V_KEYWORD_ISSR_208017108_OTH_FIN_CF</v>
          </cell>
        </row>
        <row r="121">
          <cell r="A121" t="str">
            <v>Vector|||208017108|||ISSR|||CF_FIN|||False|||</v>
          </cell>
          <cell r="C121" t="str">
            <v>V_KEYWORD_ISSR_208017108_CF_FIN</v>
          </cell>
        </row>
        <row r="122">
          <cell r="A122" t="str">
            <v>Vector|||208017108|||ISSR|||TOT_CF|||False|||</v>
          </cell>
          <cell r="C122" t="str">
            <v>V_KEYWORD_ISSR_208017108_TOT_CF</v>
          </cell>
        </row>
        <row r="124">
          <cell r="A124" t="str">
            <v>Vector|||208017108|||ISSR|||ASSOC_JV_ADDBK|||False|||</v>
          </cell>
          <cell r="C124" t="str">
            <v>V_KEYWORD_ISSR_208017108_ASSOC_JV_ADDBK</v>
          </cell>
        </row>
        <row r="125">
          <cell r="A125" t="str">
            <v>Vector|||208017108|||ISSR|||PL_SALE_ASSETS|||False|||</v>
          </cell>
          <cell r="C125" t="str">
            <v>V_KEYWORD_ISSR_208017108_PL_SALE_ASSETS</v>
          </cell>
        </row>
        <row r="126">
          <cell r="A126" t="str">
            <v>Vector|||208017108|||ISSR|||OTH_NONCASH_ADJ|||False|||</v>
          </cell>
          <cell r="C126" t="str">
            <v>V_KEYWORD_ISSR_208017108_OTH_NONCASH_ADJ</v>
          </cell>
        </row>
        <row r="127">
          <cell r="A127" t="str">
            <v>Vector|||208017108|||ISSR|||OTH_DACF_ADJ|||False|||</v>
          </cell>
          <cell r="C127" t="str">
            <v>V_KEYWORD_ISSR_208017108_OTH_DACF_ADJ</v>
          </cell>
        </row>
        <row r="128">
          <cell r="A128" t="str">
            <v>Vector|||208017108|||ISSR|||CHG_DEF_TAX_CF|||False|||</v>
          </cell>
          <cell r="C128" t="str">
            <v>V_KEYWORD_ISSR_208017108_CHG_DEF_TAX_CF</v>
          </cell>
        </row>
        <row r="129">
          <cell r="A129" t="str">
            <v>Vector|||208017108|||ISSR|||OTH_ADJ_CASH_TAX|||False|||</v>
          </cell>
          <cell r="C129" t="str">
            <v>V_KEYWORD_ISSR_208017108_OTH_ADJ_CASH_TAX</v>
          </cell>
        </row>
        <row r="130">
          <cell r="A130" t="str">
            <v>Vector|||208017108|||ISSR|||CASH_INT_EXP|||False|||</v>
          </cell>
          <cell r="C130" t="str">
            <v>V_KEYWORD_ISSR_208017108_CASH_INT_EXP</v>
          </cell>
        </row>
        <row r="131">
          <cell r="A131" t="str">
            <v>Vector|||208017108|||ISSR|||CASH_TAX_EXP|||False|||</v>
          </cell>
          <cell r="C131" t="str">
            <v>V_KEYWORD_ISSR_208017108_CASH_TAX_EXP</v>
          </cell>
        </row>
        <row r="132">
          <cell r="A132" t="str">
            <v>Vector|||208017108|||ISSR|||DIVDS_ASSOC_JV|||False|||</v>
          </cell>
          <cell r="C132" t="str">
            <v>V_KEYWORD_ISSR_208017108_DIVDS_ASSOC_JV</v>
          </cell>
        </row>
        <row r="133">
          <cell r="A133" t="str">
            <v>Vector|||208017108|||ISSR|||CAPEX_MAINTENANCE|||False|||</v>
          </cell>
          <cell r="C133" t="str">
            <v>V_KEYWORD_ISSR_208017108_CAPEX_MAINTENANCE</v>
          </cell>
        </row>
        <row r="134">
          <cell r="A134" t="str">
            <v>Vector|||208017108|||ISSR|||CAPEX_EXPANSION|||False|||</v>
          </cell>
          <cell r="C134" t="str">
            <v>V_KEYWORD_ISSR_208017108_CAPEX_EXPANSION</v>
          </cell>
        </row>
        <row r="135">
          <cell r="A135" t="str">
            <v>Vector|||208017108|||ISSR|||NONPPE_CAPEX|||False|||</v>
          </cell>
          <cell r="C135" t="str">
            <v>V_KEYWORD_ISSR_208017108_NONPPE_CAPEX</v>
          </cell>
        </row>
        <row r="136">
          <cell r="A136" t="str">
            <v>Vector|||208017108|||ISSR|||DIVDS_PD_MINORITIES|||False|||</v>
          </cell>
          <cell r="C136" t="str">
            <v>V_KEYWORD_ISSR_208017108_DIVDS_PD_MINORITIES</v>
          </cell>
        </row>
        <row r="137">
          <cell r="A137" t="str">
            <v>Vector|||208017108|||ISSR|||FCF_UNLEVERED|||False|||</v>
          </cell>
          <cell r="C137" t="str">
            <v>V_KEYWORD_ISSR_208017108_FCF_UNLEVERED</v>
          </cell>
        </row>
        <row r="139">
          <cell r="A139" t="str">
            <v>Vector|||208017108|||ISSR|||LICENSE_REV|||False|||</v>
          </cell>
          <cell r="C139" t="str">
            <v>V_KEYWORD_ISSR_208017108_LICENSE_REV</v>
          </cell>
        </row>
        <row r="140">
          <cell r="A140" t="str">
            <v>Vector|||208017108|||ISSR|||MAINTEN_REV|||False|||</v>
          </cell>
          <cell r="C140" t="str">
            <v>V_KEYWORD_ISSR_208017108_MAINTEN_REV</v>
          </cell>
        </row>
        <row r="141">
          <cell r="A141" t="str">
            <v>Vector|||208017108|||ISSR|||EMPLOYEES|||False|||</v>
          </cell>
          <cell r="C141" t="str">
            <v>V_KEYWORD_ISSR_208017108_EMPLOYEES</v>
          </cell>
        </row>
        <row r="142">
          <cell r="A142" t="str">
            <v>Vector|||208017108|||ISSR|||TOT_BILLINGS|||False|||</v>
          </cell>
          <cell r="C142" t="str">
            <v>V_KEYWORD_ISSR_208017108_TOT_BILLINGS</v>
          </cell>
        </row>
        <row r="143">
          <cell r="A143" t="str">
            <v>Vector|||208017108|||ISSR|||ST_BILLINGS|||False|||</v>
          </cell>
          <cell r="C143" t="str">
            <v>V_KEYWORD_ISSR_208017108_ST_BILLINGS</v>
          </cell>
        </row>
        <row r="144">
          <cell r="A144" t="str">
            <v>Vector|||208017108|||ISSR|||REM_PERF_OBLIG|||False|||</v>
          </cell>
          <cell r="C144" t="str">
            <v>V_KEYWORD_ISSR_208017108_REM_PERF_OBLIG</v>
          </cell>
        </row>
        <row r="145">
          <cell r="A145" t="str">
            <v>Vector|||208017108|||ISSR|||CUR_REM_PERF_OBLIG|||False|||</v>
          </cell>
          <cell r="C145" t="str">
            <v>V_KEYWORD_ISSR_208017108_CUR_REM_PERF_OBLIG</v>
          </cell>
        </row>
        <row r="146">
          <cell r="A146" t="str">
            <v>Scalar|||208017108|||ISSR|||SEGMENT1_REV_NAME|||False|||</v>
          </cell>
          <cell r="C146" t="str">
            <v>V_KEYWORD_ISSR_208017108_SEGMENT1_REV_NAME</v>
          </cell>
        </row>
        <row r="147">
          <cell r="A147" t="str">
            <v>Vector|||208017108|||ISSR|||SEGMENT1_REV_VALUE|||False|||</v>
          </cell>
          <cell r="C147" t="str">
            <v>V_KEYWORD_ISSR_208017108_SEGMENT1_REV_VALUE</v>
          </cell>
        </row>
        <row r="148">
          <cell r="A148" t="str">
            <v>Scalar|||208017108|||ISSR|||SEGMENT2_REV_NAME|||False|||</v>
          </cell>
          <cell r="C148" t="str">
            <v>V_KEYWORD_ISSR_208017108_SEGMENT2_REV_NAME</v>
          </cell>
        </row>
        <row r="149">
          <cell r="A149" t="str">
            <v>Vector|||208017108|||ISSR|||SEGMENT2_REV_VALUE|||False|||</v>
          </cell>
          <cell r="C149" t="str">
            <v>V_KEYWORD_ISSR_208017108_SEGMENT2_REV_VALUE</v>
          </cell>
        </row>
        <row r="150">
          <cell r="A150" t="str">
            <v>Scalar|||208017108|||ISSR|||SEGMENT3_REV_NAME|||False|||</v>
          </cell>
          <cell r="C150" t="str">
            <v>V_KEYWORD_ISSR_208017108_SEGMENT3_REV_NAME</v>
          </cell>
        </row>
        <row r="151">
          <cell r="A151" t="str">
            <v>Vector|||208017108|||ISSR|||SEGMENT3_REV_VALUE|||False|||</v>
          </cell>
          <cell r="C151" t="str">
            <v>V_KEYWORD_ISSR_208017108_SEGMENT3_REV_VALUE</v>
          </cell>
        </row>
        <row r="152">
          <cell r="A152" t="str">
            <v>Scalar|||208017108|||ISSR|||SEGMENT4_REV_NAME|||False|||</v>
          </cell>
          <cell r="C152" t="str">
            <v>V_KEYWORD_ISSR_208017108_SEGMENT4_REV_NAME</v>
          </cell>
        </row>
        <row r="153">
          <cell r="A153" t="str">
            <v>Vector|||208017108|||ISSR|||SEGMENT4_REV_VALUE|||False|||</v>
          </cell>
          <cell r="C153" t="str">
            <v>V_KEYWORD_ISSR_208017108_SEGMENT4_REV_VALUE</v>
          </cell>
        </row>
        <row r="154">
          <cell r="A154" t="str">
            <v>Scalar|||208017108|||ISSR|||SEGMENT5_REV_NAME|||False|||</v>
          </cell>
          <cell r="C154" t="str">
            <v>V_KEYWORD_ISSR_208017108_SEGMENT5_REV_NAME</v>
          </cell>
        </row>
        <row r="155">
          <cell r="A155" t="str">
            <v>Vector|||208017108|||ISSR|||SEGMENT5_REV_VALUE|||False|||</v>
          </cell>
          <cell r="C155" t="str">
            <v>V_KEYWORD_ISSR_208017108_SEGMENT5_REV_VALUE</v>
          </cell>
        </row>
        <row r="156">
          <cell r="A156" t="str">
            <v>Scalar|||208017108|||ISSR|||SEGMENT6_REV_NAME|||False|||</v>
          </cell>
          <cell r="C156" t="str">
            <v>V_KEYWORD_ISSR_208017108_SEGMENT6_REV_NAME</v>
          </cell>
        </row>
        <row r="157">
          <cell r="A157" t="str">
            <v>Vector|||208017108|||ISSR|||SEGMENT6_REV_VALUE|||False|||</v>
          </cell>
          <cell r="C157" t="str">
            <v>V_KEYWORD_ISSR_208017108_SEGMENT6_REV_VALUE</v>
          </cell>
        </row>
        <row r="158">
          <cell r="A158" t="str">
            <v>Scalar|||208017108|||ISSR|||SEGMENT7_REV_NAME|||False|||</v>
          </cell>
          <cell r="C158" t="str">
            <v>V_KEYWORD_ISSR_208017108_SEGMENT7_REV_NAME</v>
          </cell>
        </row>
        <row r="159">
          <cell r="A159" t="str">
            <v>Vector|||208017108|||ISSR|||SEGMENT7_REV_VALUE|||False|||</v>
          </cell>
          <cell r="C159" t="str">
            <v>V_KEYWORD_ISSR_208017108_SEGMENT7_REV_VALUE</v>
          </cell>
        </row>
        <row r="160">
          <cell r="A160" t="str">
            <v>Scalar|||208017108|||ISSR|||SEGMENT8_REV_NAME|||False|||</v>
          </cell>
          <cell r="C160" t="str">
            <v>V_KEYWORD_ISSR_208017108_SEGMENT8_REV_NAME</v>
          </cell>
        </row>
        <row r="161">
          <cell r="A161" t="str">
            <v>Vector|||208017108|||ISSR|||SEGMENT8_REV_VALUE|||False|||</v>
          </cell>
          <cell r="C161" t="str">
            <v>V_KEYWORD_ISSR_208017108_SEGMENT8_REV_VALUE</v>
          </cell>
        </row>
        <row r="162">
          <cell r="A162" t="str">
            <v>Scalar|||208017108|||ISSR|||SEGMENT9_REV_NAME|||False|||</v>
          </cell>
          <cell r="C162" t="str">
            <v>V_KEYWORD_ISSR_208017108_SEGMENT9_REV_NAME</v>
          </cell>
        </row>
        <row r="163">
          <cell r="A163" t="str">
            <v>Vector|||208017108|||ISSR|||SEGMENT9_REV_VALUE|||False|||</v>
          </cell>
          <cell r="C163" t="str">
            <v>V_KEYWORD_ISSR_208017108_SEGMENT9_REV_VALUE</v>
          </cell>
        </row>
        <row r="164">
          <cell r="A164" t="str">
            <v>Scalar|||208017108|||ISSR|||SEGMENT10_REV_NAME|||False|||</v>
          </cell>
          <cell r="C164" t="str">
            <v>V_KEYWORD_ISSR_208017108_SEGMENT10_REV_NAME</v>
          </cell>
        </row>
        <row r="165">
          <cell r="A165" t="str">
            <v>Vector|||208017108|||ISSR|||SEGMENT10_REV_VALUE|||False|||</v>
          </cell>
          <cell r="C165" t="str">
            <v>V_KEYWORD_ISSR_208017108_SEGMENT10_REV_VALUE</v>
          </cell>
        </row>
        <row r="167">
          <cell r="A167" t="str">
            <v>Vector|||208017108|||ISSR|||SALES_CANADA|||False|||</v>
          </cell>
          <cell r="C167" t="str">
            <v>V_KEYWORD_ISSR_208017108_SALES_CANADA</v>
          </cell>
        </row>
        <row r="168">
          <cell r="A168" t="str">
            <v>Vector|||208017108|||ISSR|||SALES_US|||False|||</v>
          </cell>
          <cell r="C168" t="str">
            <v>V_KEYWORD_ISSR_208017108_SALES_US</v>
          </cell>
        </row>
        <row r="169">
          <cell r="A169" t="str">
            <v>Vector|||208017108|||ISSR|||SALES_OTH_NO_AMER|||False|||</v>
          </cell>
          <cell r="C169" t="str">
            <v>V_KEYWORD_ISSR_208017108_SALES_OTH_NO_AMER</v>
          </cell>
        </row>
        <row r="170">
          <cell r="A170" t="str">
            <v>Vector|||208017108|||ISSR|||SALES_ARGENTINA|||False|||</v>
          </cell>
          <cell r="C170" t="str">
            <v>V_KEYWORD_ISSR_208017108_SALES_ARGENTINA</v>
          </cell>
        </row>
        <row r="171">
          <cell r="A171" t="str">
            <v>Vector|||208017108|||ISSR|||SALES_BRAZIL|||False|||</v>
          </cell>
          <cell r="C171" t="str">
            <v>V_KEYWORD_ISSR_208017108_SALES_BRAZIL</v>
          </cell>
        </row>
        <row r="172">
          <cell r="A172" t="str">
            <v>Vector|||208017108|||ISSR|||SALES_CHILE|||False|||</v>
          </cell>
          <cell r="C172" t="str">
            <v>V_KEYWORD_ISSR_208017108_SALES_CHILE</v>
          </cell>
        </row>
        <row r="173">
          <cell r="A173" t="str">
            <v>Vector|||208017108|||ISSR|||SALES_COLOMBIA|||False|||</v>
          </cell>
          <cell r="C173" t="str">
            <v>V_KEYWORD_ISSR_208017108_SALES_COLOMBIA</v>
          </cell>
        </row>
        <row r="174">
          <cell r="A174" t="str">
            <v>Vector|||208017108|||ISSR|||SALES_MEXICO|||False|||</v>
          </cell>
          <cell r="C174" t="str">
            <v>V_KEYWORD_ISSR_208017108_SALES_MEXICO</v>
          </cell>
        </row>
        <row r="175">
          <cell r="A175" t="str">
            <v>Vector|||208017108|||ISSR|||SALES_VENEZUELA|||False|||</v>
          </cell>
          <cell r="C175" t="str">
            <v>V_KEYWORD_ISSR_208017108_SALES_VENEZUELA</v>
          </cell>
        </row>
        <row r="176">
          <cell r="A176" t="str">
            <v>Vector|||208017108|||ISSR|||SALES_OTH_LATAM|||False|||</v>
          </cell>
          <cell r="C176" t="str">
            <v>V_KEYWORD_ISSR_208017108_SALES_OTH_LATAM</v>
          </cell>
        </row>
        <row r="177">
          <cell r="A177" t="str">
            <v>Vector|||208017108|||ISSR|||SALES_AUSTRIA|||False|||</v>
          </cell>
          <cell r="C177" t="str">
            <v>V_KEYWORD_ISSR_208017108_SALES_AUSTRIA</v>
          </cell>
        </row>
        <row r="178">
          <cell r="A178" t="str">
            <v>Vector|||208017108|||ISSR|||SALES_BEL|||False|||</v>
          </cell>
          <cell r="C178" t="str">
            <v>V_KEYWORD_ISSR_208017108_SALES_BEL</v>
          </cell>
        </row>
        <row r="179">
          <cell r="A179" t="str">
            <v>Vector|||208017108|||ISSR|||SALES_FRA|||False|||</v>
          </cell>
          <cell r="C179" t="str">
            <v>V_KEYWORD_ISSR_208017108_SALES_FRA</v>
          </cell>
        </row>
        <row r="180">
          <cell r="A180" t="str">
            <v>Vector|||208017108|||ISSR|||SALES_GER|||False|||</v>
          </cell>
          <cell r="C180" t="str">
            <v>V_KEYWORD_ISSR_208017108_SALES_GER</v>
          </cell>
        </row>
        <row r="181">
          <cell r="A181" t="str">
            <v>Vector|||208017108|||ISSR|||SALES_GRE|||False|||</v>
          </cell>
          <cell r="C181" t="str">
            <v>V_KEYWORD_ISSR_208017108_SALES_GRE</v>
          </cell>
        </row>
        <row r="182">
          <cell r="A182" t="str">
            <v>Vector|||208017108|||ISSR|||SALES_IRE|||False|||</v>
          </cell>
          <cell r="C182" t="str">
            <v>V_KEYWORD_ISSR_208017108_SALES_IRE</v>
          </cell>
        </row>
        <row r="183">
          <cell r="A183" t="str">
            <v>Vector|||208017108|||ISSR|||SALES_ITA|||False|||</v>
          </cell>
          <cell r="C183" t="str">
            <v>V_KEYWORD_ISSR_208017108_SALES_ITA</v>
          </cell>
        </row>
        <row r="184">
          <cell r="A184" t="str">
            <v>Vector|||208017108|||ISSR|||SALES_NETH|||False|||</v>
          </cell>
          <cell r="C184" t="str">
            <v>V_KEYWORD_ISSR_208017108_SALES_NETH</v>
          </cell>
        </row>
        <row r="185">
          <cell r="A185" t="str">
            <v>Vector|||208017108|||ISSR|||SALES_NOR|||False|||</v>
          </cell>
          <cell r="C185" t="str">
            <v>V_KEYWORD_ISSR_208017108_SALES_NOR</v>
          </cell>
        </row>
        <row r="186">
          <cell r="A186" t="str">
            <v>Vector|||208017108|||ISSR|||SALES_POR|||False|||</v>
          </cell>
          <cell r="C186" t="str">
            <v>V_KEYWORD_ISSR_208017108_SALES_POR</v>
          </cell>
        </row>
        <row r="187">
          <cell r="A187" t="str">
            <v>Vector|||208017108|||ISSR|||SALES_SPA|||False|||</v>
          </cell>
          <cell r="C187" t="str">
            <v>V_KEYWORD_ISSR_208017108_SALES_SPA</v>
          </cell>
        </row>
        <row r="188">
          <cell r="A188" t="str">
            <v>Vector|||208017108|||ISSR|||SALES_SWE|||False|||</v>
          </cell>
          <cell r="C188" t="str">
            <v>V_KEYWORD_ISSR_208017108_SALES_SWE</v>
          </cell>
        </row>
        <row r="189">
          <cell r="A189" t="str">
            <v>Vector|||208017108|||ISSR|||SALES_SWIT|||False|||</v>
          </cell>
          <cell r="C189" t="str">
            <v>V_KEYWORD_ISSR_208017108_SALES_SWIT</v>
          </cell>
        </row>
        <row r="190">
          <cell r="A190" t="str">
            <v>Vector|||208017108|||ISSR|||SALES_UK|||False|||</v>
          </cell>
          <cell r="C190" t="str">
            <v>V_KEYWORD_ISSR_208017108_SALES_UK</v>
          </cell>
        </row>
        <row r="191">
          <cell r="A191" t="str">
            <v>Vector|||208017108|||ISSR|||SALES_OTH_WEST_EURO|||False|||</v>
          </cell>
          <cell r="C191" t="str">
            <v>V_KEYWORD_ISSR_208017108_SALES_OTH_WEST_EURO</v>
          </cell>
        </row>
        <row r="192">
          <cell r="A192" t="str">
            <v>Vector|||208017108|||ISSR|||SALES_POLAND|||False|||</v>
          </cell>
          <cell r="C192" t="str">
            <v>V_KEYWORD_ISSR_208017108_SALES_POLAND</v>
          </cell>
        </row>
        <row r="193">
          <cell r="A193" t="str">
            <v>Vector|||208017108|||ISSR|||SALES_RUSSIA|||False|||</v>
          </cell>
          <cell r="C193" t="str">
            <v>V_KEYWORD_ISSR_208017108_SALES_RUSSIA</v>
          </cell>
        </row>
        <row r="194">
          <cell r="A194" t="str">
            <v>Vector|||208017108|||ISSR|||SALES_TURKEY|||False|||</v>
          </cell>
          <cell r="C194" t="str">
            <v>V_KEYWORD_ISSR_208017108_SALES_TURKEY</v>
          </cell>
        </row>
        <row r="195">
          <cell r="A195" t="str">
            <v>Vector|||208017108|||ISSR|||SALES_OTH_CEE|||False|||</v>
          </cell>
          <cell r="C195" t="str">
            <v>V_KEYWORD_ISSR_208017108_SALES_OTH_CEE</v>
          </cell>
        </row>
        <row r="196">
          <cell r="A196" t="str">
            <v>Vector|||208017108|||ISSR|||SALES_SAUDI_ARABIA|||False|||</v>
          </cell>
          <cell r="C196" t="str">
            <v>V_KEYWORD_ISSR_208017108_SALES_SAUDI_ARABIA</v>
          </cell>
        </row>
        <row r="197">
          <cell r="A197" t="str">
            <v>Vector|||208017108|||ISSR|||SALES_UAE|||False|||</v>
          </cell>
          <cell r="C197" t="str">
            <v>V_KEYWORD_ISSR_208017108_SALES_UAE</v>
          </cell>
        </row>
        <row r="198">
          <cell r="A198" t="str">
            <v>Vector|||208017108|||ISSR|||SALES_OTH_ME|||False|||</v>
          </cell>
          <cell r="C198" t="str">
            <v>V_KEYWORD_ISSR_208017108_SALES_OTH_ME</v>
          </cell>
        </row>
        <row r="199">
          <cell r="A199" t="str">
            <v>Vector|||208017108|||ISSR|||SALES_NIGERIA|||False|||</v>
          </cell>
          <cell r="C199" t="str">
            <v>V_KEYWORD_ISSR_208017108_SALES_NIGERIA</v>
          </cell>
        </row>
        <row r="200">
          <cell r="A200" t="str">
            <v>Vector|||208017108|||ISSR|||SALES_SO_AFRICA|||False|||</v>
          </cell>
          <cell r="C200" t="str">
            <v>V_KEYWORD_ISSR_208017108_SALES_SO_AFRICA</v>
          </cell>
        </row>
        <row r="201">
          <cell r="A201" t="str">
            <v>Vector|||208017108|||ISSR|||SALES_OTH_AFRICA|||False|||</v>
          </cell>
          <cell r="C201" t="str">
            <v>V_KEYWORD_ISSR_208017108_SALES_OTH_AFRICA</v>
          </cell>
        </row>
        <row r="202">
          <cell r="A202" t="str">
            <v>Vector|||208017108|||ISSR|||SALES_HONG_KONG|||False|||</v>
          </cell>
          <cell r="C202" t="str">
            <v>V_KEYWORD_ISSR_208017108_SALES_HONG_KONG</v>
          </cell>
        </row>
        <row r="203">
          <cell r="A203" t="str">
            <v>Vector|||208017108|||ISSR|||SALES_JAPAN|||False|||</v>
          </cell>
          <cell r="C203" t="str">
            <v>V_KEYWORD_ISSR_208017108_SALES_JAPAN</v>
          </cell>
        </row>
        <row r="204">
          <cell r="A204" t="str">
            <v>Vector|||208017108|||ISSR|||SALES_SINGAPORE|||False|||</v>
          </cell>
          <cell r="C204" t="str">
            <v>V_KEYWORD_ISSR_208017108_SALES_SINGAPORE</v>
          </cell>
        </row>
        <row r="205">
          <cell r="A205" t="str">
            <v>Vector|||208017108|||ISSR|||SALES_SK|||False|||</v>
          </cell>
          <cell r="C205" t="str">
            <v>V_KEYWORD_ISSR_208017108_SALES_SK</v>
          </cell>
        </row>
        <row r="206">
          <cell r="A206" t="str">
            <v>Vector|||208017108|||ISSR|||SALES_TAIWAN|||False|||</v>
          </cell>
          <cell r="C206" t="str">
            <v>V_KEYWORD_ISSR_208017108_SALES_TAIWAN</v>
          </cell>
        </row>
        <row r="207">
          <cell r="A207" t="str">
            <v>Vector|||208017108|||ISSR|||SALES_OTH_DEV_ASIA|||False|||</v>
          </cell>
          <cell r="C207" t="str">
            <v>V_KEYWORD_ISSR_208017108_SALES_OTH_DEV_ASIA</v>
          </cell>
        </row>
        <row r="208">
          <cell r="A208" t="str">
            <v>Vector|||208017108|||ISSR|||SALES_CHINA|||False|||</v>
          </cell>
          <cell r="C208" t="str">
            <v>V_KEYWORD_ISSR_208017108_SALES_CHINA</v>
          </cell>
        </row>
        <row r="209">
          <cell r="A209" t="str">
            <v>Vector|||208017108|||ISSR|||SALES_INDIA|||False|||</v>
          </cell>
          <cell r="C209" t="str">
            <v>V_KEYWORD_ISSR_208017108_SALES_INDIA</v>
          </cell>
        </row>
        <row r="210">
          <cell r="A210" t="str">
            <v>Vector|||208017108|||ISSR|||SALES_INDONESIA|||False|||</v>
          </cell>
          <cell r="C210" t="str">
            <v>V_KEYWORD_ISSR_208017108_SALES_INDONESIA</v>
          </cell>
        </row>
        <row r="211">
          <cell r="A211" t="str">
            <v>Vector|||208017108|||ISSR|||SALES_THAILAND|||False|||</v>
          </cell>
          <cell r="C211" t="str">
            <v>V_KEYWORD_ISSR_208017108_SALES_THAILAND</v>
          </cell>
        </row>
        <row r="212">
          <cell r="A212" t="str">
            <v>Vector|||208017108|||ISSR|||SALES_OTH_EMERG_ASIA|||False|||</v>
          </cell>
          <cell r="C212" t="str">
            <v>V_KEYWORD_ISSR_208017108_SALES_OTH_EMERG_ASIA</v>
          </cell>
        </row>
        <row r="213">
          <cell r="A213" t="str">
            <v>Vector|||208017108|||ISSR|||SALES_AUSTRA|||False|||</v>
          </cell>
          <cell r="C213" t="str">
            <v>V_KEYWORD_ISSR_208017108_SALES_AUSTRA</v>
          </cell>
        </row>
        <row r="214">
          <cell r="A214" t="str">
            <v>Vector|||208017108|||ISSR|||SALES_NZ|||False|||</v>
          </cell>
          <cell r="C214" t="str">
            <v>V_KEYWORD_ISSR_208017108_SALES_NZ</v>
          </cell>
        </row>
        <row r="215">
          <cell r="A215" t="str">
            <v>Vector|||208017108|||ISSR|||SALES_OTHER|||False|||</v>
          </cell>
          <cell r="C215" t="str">
            <v>V_KEYWORD_ISSR_208017108_SALES_OTHER</v>
          </cell>
        </row>
        <row r="216">
          <cell r="A216" t="str">
            <v>Vector|||208017108|||ISSR|||COGS_PCT_US|||False|||</v>
          </cell>
          <cell r="C216" t="str">
            <v>V_KEYWORD_ISSR_208017108_COGS_PCT_US</v>
          </cell>
        </row>
        <row r="217">
          <cell r="A217" t="str">
            <v>Vector|||208017108|||ISSR|||COGS_PCT_ROW|||False|||</v>
          </cell>
          <cell r="C217" t="str">
            <v>V_KEYWORD_ISSR_208017108_COGS_PCT_ROW</v>
          </cell>
        </row>
        <row r="218">
          <cell r="A218" t="str">
            <v>Vector|||208017108|||ISSR|||SGA_PCT_US|||False|||</v>
          </cell>
          <cell r="C218" t="str">
            <v>V_KEYWORD_ISSR_208017108_SGA_PCT_US</v>
          </cell>
        </row>
        <row r="219">
          <cell r="A219" t="str">
            <v>Vector|||208017108|||ISSR|||SGA_PCT_ROW|||False|||</v>
          </cell>
          <cell r="C219" t="str">
            <v>V_KEYWORD_ISSR_208017108_SGA_PCT_ROW</v>
          </cell>
        </row>
        <row r="220">
          <cell r="A220" t="str">
            <v>Vector|||208017108|||ISSR|||SALES_CONS|||False|||</v>
          </cell>
          <cell r="C220" t="str">
            <v>V_KEYWORD_ISSR_208017108_SALES_CONS</v>
          </cell>
        </row>
        <row r="221">
          <cell r="A221" t="str">
            <v>Vector|||208017108|||ISSR|||SALES_IND|||False|||</v>
          </cell>
          <cell r="C221" t="str">
            <v>V_KEYWORD_ISSR_208017108_SALES_IND</v>
          </cell>
        </row>
        <row r="222">
          <cell r="A222" t="str">
            <v>Vector|||208017108|||ISSR|||SALES_GOV|||False|||</v>
          </cell>
          <cell r="C222" t="str">
            <v>V_KEYWORD_ISSR_208017108_SALES_GOV</v>
          </cell>
        </row>
        <row r="223">
          <cell r="A223" t="str">
            <v>Vector|||208017108|||ISSR|||SALES_FINAN|||False|||</v>
          </cell>
          <cell r="C223" t="str">
            <v>V_KEYWORD_ISSR_208017108_SALES_FINAN</v>
          </cell>
        </row>
        <row r="224">
          <cell r="A224" t="str">
            <v>Vector|||208017108|||ISSR|||SALES_OIL_GAS|||False|||</v>
          </cell>
          <cell r="C224" t="str">
            <v>V_KEYWORD_ISSR_208017108_SALES_OIL_GAS</v>
          </cell>
        </row>
        <row r="225">
          <cell r="A225" t="str">
            <v>Vector|||208017108|||ISSR|||SALES_SMB|||False|||</v>
          </cell>
          <cell r="C225" t="str">
            <v>V_KEYWORD_ISSR_208017108_SALES_SMB</v>
          </cell>
        </row>
        <row r="226">
          <cell r="A226" t="str">
            <v>Vector|||208017108|||ISSR|||CASH_PCT_OS_US|||False|||</v>
          </cell>
          <cell r="C226" t="str">
            <v>V_KEYWORD_ISSR_208017108_CASH_PCT_OS_US</v>
          </cell>
        </row>
        <row r="227">
          <cell r="A227" t="str">
            <v>Vector|||208017108|||ISSR|||REV_FIN_SEGMENT|||False|||</v>
          </cell>
          <cell r="C227" t="str">
            <v>V_KEYWORD_ISSR_208017108_REV_FIN_SEGMENT</v>
          </cell>
        </row>
        <row r="228">
          <cell r="A228" t="str">
            <v>Vector|||208017108|||ISSR|||EBIT_FIN_SEGMENT|||False|||</v>
          </cell>
          <cell r="C228" t="str">
            <v>V_KEYWORD_ISSR_208017108_EBIT_FIN_SEGMENT</v>
          </cell>
        </row>
        <row r="230">
          <cell r="A230" t="str">
            <v>Vector|||208017108|||ISSR|||EXP_OIL_PETRO_FUEL|||False|||</v>
          </cell>
          <cell r="C230" t="str">
            <v>V_KEYWORD_ISSR_208017108_EXP_OIL_PETRO_FUEL</v>
          </cell>
        </row>
        <row r="231">
          <cell r="A231" t="str">
            <v>Vector|||208017108|||ISSR|||EXP_OIL_DERIV_NGLS_PLASTICS|||False|||</v>
          </cell>
          <cell r="C231" t="str">
            <v>V_KEYWORD_ISSR_208017108_EXP_OIL_DERIV_NGLS_PLASTICS</v>
          </cell>
        </row>
        <row r="233">
          <cell r="A233" t="str">
            <v>Vector|||208017108|||ISSR|||SALES_FX_GPB|||False|||</v>
          </cell>
          <cell r="C233" t="str">
            <v>V_KEYWORD_ISSR_208017108_SALES_FX_GPB</v>
          </cell>
        </row>
        <row r="234">
          <cell r="A234" t="str">
            <v>Vector|||208017108|||ISSR|||SALES_FX_EUR|||False|||</v>
          </cell>
          <cell r="C234" t="str">
            <v>V_KEYWORD_ISSR_208017108_SALES_FX_EUR</v>
          </cell>
        </row>
        <row r="235">
          <cell r="A235" t="str">
            <v>Vector|||208017108|||ISSR|||SALES_FX_RUB|||False|||</v>
          </cell>
          <cell r="C235" t="str">
            <v>V_KEYWORD_ISSR_208017108_SALES_FX_RUB</v>
          </cell>
        </row>
        <row r="236">
          <cell r="A236" t="str">
            <v>Vector|||208017108|||ISSR|||SALES_FX_USD|||False|||</v>
          </cell>
          <cell r="C236" t="str">
            <v>V_KEYWORD_ISSR_208017108_SALES_FX_USD</v>
          </cell>
        </row>
        <row r="237">
          <cell r="A237" t="str">
            <v>Vector|||208017108|||ISSR|||SALES_FX_BRL|||False|||</v>
          </cell>
          <cell r="C237" t="str">
            <v>V_KEYWORD_ISSR_208017108_SALES_FX_BRL</v>
          </cell>
        </row>
        <row r="238">
          <cell r="A238" t="str">
            <v>Vector|||208017108|||ISSR|||SALES_FX_YEN|||False|||</v>
          </cell>
          <cell r="C238" t="str">
            <v>V_KEYWORD_ISSR_208017108_SALES_FX_YEN</v>
          </cell>
        </row>
        <row r="239">
          <cell r="A239" t="str">
            <v>Vector|||208017108|||ISSR|||SALES_FX_CNY|||False|||</v>
          </cell>
          <cell r="C239" t="str">
            <v>V_KEYWORD_ISSR_208017108_SALES_FX_CNY</v>
          </cell>
        </row>
        <row r="240">
          <cell r="A240" t="str">
            <v>Vector|||208017108|||ISSR|||SALES_FX_INR|||False|||</v>
          </cell>
          <cell r="C240" t="str">
            <v>V_KEYWORD_ISSR_208017108_SALES_FX_INR</v>
          </cell>
        </row>
        <row r="241">
          <cell r="A241" t="str">
            <v>Vector|||208017108|||ISSR|||SALES_FX_CAD|||False|||</v>
          </cell>
          <cell r="C241" t="str">
            <v>V_KEYWORD_ISSR_208017108_SALES_FX_CAD</v>
          </cell>
        </row>
        <row r="242">
          <cell r="A242" t="str">
            <v>Vector|||208017108|||ISSR|||SALES_FX_MXN|||False|||</v>
          </cell>
          <cell r="C242" t="str">
            <v>V_KEYWORD_ISSR_208017108_SALES_FX_MXN</v>
          </cell>
        </row>
        <row r="243">
          <cell r="A243" t="str">
            <v>Vector|||208017108|||ISSR|||SALES_FX_COP|||False|||</v>
          </cell>
          <cell r="C243" t="str">
            <v>V_KEYWORD_ISSR_208017108_SALES_FX_COP</v>
          </cell>
        </row>
        <row r="244">
          <cell r="A244" t="str">
            <v>Vector|||208017108|||ISSR|||SALES_FX_ARS|||False|||</v>
          </cell>
          <cell r="C244" t="str">
            <v>V_KEYWORD_ISSR_208017108_SALES_FX_ARS</v>
          </cell>
        </row>
        <row r="245">
          <cell r="A245" t="str">
            <v>Vector|||208017108|||ISSR|||SALES_FX_CLP|||False|||</v>
          </cell>
          <cell r="C245" t="str">
            <v>V_KEYWORD_ISSR_208017108_SALES_FX_CLP</v>
          </cell>
        </row>
        <row r="246">
          <cell r="A246" t="str">
            <v>Vector|||208017108|||ISSR|||SALES_FX_VEF|||False|||</v>
          </cell>
          <cell r="C246" t="str">
            <v>V_KEYWORD_ISSR_208017108_SALES_FX_VEF</v>
          </cell>
        </row>
        <row r="247">
          <cell r="A247" t="str">
            <v>Vector|||208017108|||ISSR|||SALES_FX_OTH|||False|||</v>
          </cell>
          <cell r="C247" t="str">
            <v>V_KEYWORD_ISSR_208017108_SALES_FX_OTH</v>
          </cell>
        </row>
        <row r="249">
          <cell r="A249" t="str">
            <v>Vector|||208017108|||ISSR|||SALES_TOT_AM|||False|||</v>
          </cell>
          <cell r="C249" t="str">
            <v>V_KEYWORD_ISSR_208017108_SALES_TOT_AM</v>
          </cell>
        </row>
        <row r="250">
          <cell r="A250" t="str">
            <v>Vector|||208017108|||ISSR|||SALES_OTH_AM|||False|||</v>
          </cell>
          <cell r="C250" t="str">
            <v>V_KEYWORD_ISSR_208017108_SALES_OTH_AM</v>
          </cell>
        </row>
        <row r="251">
          <cell r="A251" t="str">
            <v>Vector|||208017108|||ISSR|||SALES_TOT_EMEA|||False|||</v>
          </cell>
          <cell r="C251" t="str">
            <v>V_KEYWORD_ISSR_208017108_SALES_TOT_EMEA</v>
          </cell>
        </row>
        <row r="252">
          <cell r="A252" t="str">
            <v>Vector|||208017108|||ISSR|||SALES_EU_EX_UK|||False|||</v>
          </cell>
          <cell r="C252" t="str">
            <v>V_KEYWORD_ISSR_208017108_SALES_EU_EX_UK</v>
          </cell>
        </row>
        <row r="253">
          <cell r="A253" t="str">
            <v>Vector|||208017108|||ISSR|||SALES_CEE|||False|||</v>
          </cell>
          <cell r="C253" t="str">
            <v>V_KEYWORD_ISSR_208017108_SALES_CEE</v>
          </cell>
        </row>
        <row r="254">
          <cell r="A254" t="str">
            <v>Vector|||208017108|||ISSR|||SALES_ME|||False|||</v>
          </cell>
          <cell r="C254" t="str">
            <v>V_KEYWORD_ISSR_208017108_SALES_ME</v>
          </cell>
        </row>
        <row r="255">
          <cell r="A255" t="str">
            <v>Vector|||208017108|||ISSR|||SALES_TOT_AFRICA|||False|||</v>
          </cell>
          <cell r="C255" t="str">
            <v>V_KEYWORD_ISSR_208017108_SALES_TOT_AFRICA</v>
          </cell>
        </row>
        <row r="256">
          <cell r="A256" t="str">
            <v>Vector|||208017108|||ISSR|||SALES_OTH_EMEA|||False|||</v>
          </cell>
          <cell r="C256" t="str">
            <v>V_KEYWORD_ISSR_208017108_SALES_OTH_EMEA</v>
          </cell>
        </row>
        <row r="257">
          <cell r="A257" t="str">
            <v>Vector|||208017108|||ISSR|||SALES_TOT_ASIA|||False|||</v>
          </cell>
          <cell r="C257" t="str">
            <v>V_KEYWORD_ISSR_208017108_SALES_TOT_ASIA</v>
          </cell>
        </row>
        <row r="258">
          <cell r="A258" t="str">
            <v>Vector|||208017108|||ISSR|||SALES_OTH_AEJ|||False|||</v>
          </cell>
          <cell r="C258" t="str">
            <v>V_KEYWORD_ISSR_208017108_SALES_OTH_AEJ</v>
          </cell>
        </row>
        <row r="264">
          <cell r="A264" t="str">
            <v>Scalar|||200019019|||EQTY|||PUB_CURRENCY_ISO|||False|||</v>
          </cell>
          <cell r="C264" t="str">
            <v>V_KEYWORD_EQTY_200019019_PUB_CURRENCY_ISO</v>
          </cell>
        </row>
        <row r="265">
          <cell r="A265" t="str">
            <v>Scalar|||200019019|||EQTY|||PRICE_CURRENCY_ISO|||False|||</v>
          </cell>
          <cell r="C265" t="str">
            <v>V_KEYWORD_EQTY_200019019_PRICE_CURRENCY_ISO</v>
          </cell>
        </row>
        <row r="266">
          <cell r="A266" t="str">
            <v>Scalar|||200019019|||EQTY|||CURRENCY_ISO|||False|||</v>
          </cell>
          <cell r="C266" t="str">
            <v>V_KEYWORD_EQTY_200019019_CURRENCY_ISO</v>
          </cell>
        </row>
        <row r="268">
          <cell r="A268" t="str">
            <v>Scalar|||200019019|||EQTY|||AMER_LIST|||False|||</v>
          </cell>
          <cell r="C268" t="str">
            <v>V_KEYWORD_EQTY_200019019_AMER_LIST</v>
          </cell>
        </row>
        <row r="269">
          <cell r="A269" t="str">
            <v>Scalar|||200019019|||EQTY|||NOT IN USE|||False|||</v>
          </cell>
          <cell r="C269" t="str">
            <v>V_KEYWORD_EQTY_200019019_NOT_IN_USE</v>
          </cell>
        </row>
        <row r="270">
          <cell r="A270" t="str">
            <v>Scalar|||200019019|||EQTY|||LEGAL_RATING|||False|||</v>
          </cell>
          <cell r="C270" t="str">
            <v>V_KEYWORD_EQTY_200019019_LEGAL_RATING</v>
          </cell>
        </row>
        <row r="271">
          <cell r="A271" t="str">
            <v>Scalar|||200019019|||EQTY|||TARGET_PRICE|||False|||</v>
          </cell>
          <cell r="C271" t="str">
            <v>V_KEYWORD_EQTY_200019019_TARGET_PRICE</v>
          </cell>
        </row>
        <row r="272">
          <cell r="A272" t="str">
            <v>Scalar|||200019019|||EQTY|||TP_PERIOD|||False|||</v>
          </cell>
          <cell r="C272" t="str">
            <v>V_KEYWORD_EQTY_200019019_TP_PERIOD</v>
          </cell>
        </row>
        <row r="273">
          <cell r="A273" t="str">
            <v>Scalar|||200019019|||EQTY|||TARGET_PRICE_FUNDAMENTAL|||False|||</v>
          </cell>
          <cell r="C273" t="str">
            <v>V_KEYWORD_EQTY_200019019_TARGET_PRICE_FUNDAMENTAL</v>
          </cell>
        </row>
        <row r="274">
          <cell r="A274" t="str">
            <v>Scalar|||200019019|||EQTY|||TARGET_PRICE_MA|||False|||</v>
          </cell>
          <cell r="C274" t="str">
            <v>V_KEYWORD_EQTY_200019019_TARGET_PRICE_MA</v>
          </cell>
        </row>
        <row r="275">
          <cell r="A275" t="str">
            <v>Scalar|||200019019|||EQTY|||NUM_SH|||False|||</v>
          </cell>
          <cell r="C275" t="str">
            <v>V_KEYWORD_EQTY_200019019_NUM_SH</v>
          </cell>
        </row>
        <row r="276">
          <cell r="A276" t="str">
            <v>Scalar|||200019019|||EQTY|||FREE_FLOAT|||False|||</v>
          </cell>
          <cell r="C276" t="str">
            <v>V_KEYWORD_EQTY_200019019_FREE_FLOAT</v>
          </cell>
        </row>
        <row r="278">
          <cell r="A278" t="str">
            <v>Vector|||200019019|||EQTY|||BVPS_PUB|||False|||</v>
          </cell>
          <cell r="C278" t="str">
            <v>V_KEYWORD_EQTY_200019019_BVPS_PUB</v>
          </cell>
        </row>
        <row r="279">
          <cell r="A279" t="str">
            <v>Vector|||200019019|||EQTY|||DPS_PUB|||False|||</v>
          </cell>
          <cell r="C279" t="str">
            <v>V_KEYWORD_EQTY_200019019_DPS_PUB</v>
          </cell>
        </row>
        <row r="280">
          <cell r="A280" t="str">
            <v>Vector|||200019019|||EQTY|||DPS_SPECIAL_PUB|||False|||</v>
          </cell>
          <cell r="C280" t="str">
            <v>V_KEYWORD_EQTY_200019019_DPS_SPECIAL_PUB</v>
          </cell>
        </row>
        <row r="281">
          <cell r="A281" t="str">
            <v>Vector|||200019019|||EQTY|||EBITDA_PUB|||False|||</v>
          </cell>
          <cell r="C281" t="str">
            <v>V_KEYWORD_EQTY_200019019_EBITDA_PUB</v>
          </cell>
        </row>
        <row r="282">
          <cell r="A282" t="str">
            <v>Vector|||200019019|||EQTY|||EPS_PUB|||False|||</v>
          </cell>
          <cell r="C282" t="str">
            <v>V_KEYWORD_EQTY_200019019_EPS_PUB</v>
          </cell>
        </row>
        <row r="283">
          <cell r="A283" t="str">
            <v>Vector|||200019019|||EQTY|||CEEE_EPS|||False|||</v>
          </cell>
          <cell r="C283" t="str">
            <v>V_KEYWORD_EQTY_200019019_CEEE_EPS</v>
          </cell>
        </row>
        <row r="284">
          <cell r="A284" t="str">
            <v>Vector|||200019019|||EQTY|||EPS_PUB_EX_ESO|||False|||</v>
          </cell>
          <cell r="C284" t="str">
            <v>V_KEYWORD_EQTY_200019019_EPS_PUB_EX_ESO</v>
          </cell>
        </row>
        <row r="285">
          <cell r="A285" t="str">
            <v>Vector|||200019019|||EQTY|||EV_ADJ_PUB|||False|||</v>
          </cell>
          <cell r="C285" t="str">
            <v>V_KEYWORD_EQTY_200019019_EV_ADJ_PUB</v>
          </cell>
        </row>
        <row r="286">
          <cell r="A286" t="str">
            <v>Vector|||200019019|||EQTY|||NET_DEBT_PUB|||False|||</v>
          </cell>
          <cell r="C286" t="str">
            <v>V_KEYWORD_EQTY_200019019_NET_DEBT_PUB</v>
          </cell>
        </row>
        <row r="287">
          <cell r="A287" t="str">
            <v>Vector|||200019019|||EQTY|||NET_DEBT_EX_LEASES_PUB|||False|||</v>
          </cell>
          <cell r="C287" t="str">
            <v>V_KEYWORD_EQTY_200019019_NET_DEBT_EX_LEASES_PUB</v>
          </cell>
        </row>
        <row r="288">
          <cell r="A288" t="str">
            <v>Vector|||200019019|||EQTY|||CEEE_NDEBT|||False|||</v>
          </cell>
          <cell r="C288" t="str">
            <v>V_KEYWORD_EQTY_200019019_CEEE_NDEBT</v>
          </cell>
        </row>
        <row r="289">
          <cell r="A289" t="str">
            <v>Vector|||200019019|||EQTY|||NI_PUB|||False|||</v>
          </cell>
          <cell r="C289" t="str">
            <v>V_KEYWORD_EQTY_200019019_NI_PUB</v>
          </cell>
        </row>
        <row r="290">
          <cell r="A290" t="str">
            <v>Vector|||200019019|||EQTY|||EBIT_PUB|||False|||</v>
          </cell>
          <cell r="C290" t="str">
            <v>V_KEYWORD_EQTY_200019019_EBIT_PUB</v>
          </cell>
        </row>
        <row r="291">
          <cell r="A291" t="str">
            <v>Vector|||200019019|||EQTY|||PTP_PUB|||False|||</v>
          </cell>
          <cell r="C291" t="str">
            <v>V_KEYWORD_EQTY_200019019_PTP_PUB</v>
          </cell>
        </row>
        <row r="292">
          <cell r="A292" t="str">
            <v>Vector|||200019019|||EQTY|||REVS_PUB|||False|||</v>
          </cell>
          <cell r="C292" t="str">
            <v>V_KEYWORD_EQTY_200019019_REVS_PUB</v>
          </cell>
        </row>
        <row r="293">
          <cell r="A293" t="str">
            <v>Vector|||200019019|||EQTY|||EQ_PUB|||False|||</v>
          </cell>
          <cell r="C293" t="str">
            <v>V_KEYWORD_EQTY_200019019_EQ_PUB</v>
          </cell>
        </row>
        <row r="295">
          <cell r="A295" t="str">
            <v>Vector|||200019019|||EQTY|||PROV_INC_TAX|||False|||</v>
          </cell>
          <cell r="C295" t="str">
            <v>V_KEYWORD_EQTY_200019019_PROV_INC_TAX</v>
          </cell>
        </row>
        <row r="296">
          <cell r="A296" t="str">
            <v>Vector|||200019019|||EQTY|||INC_MINORITY|||False|||</v>
          </cell>
          <cell r="C296" t="str">
            <v>V_KEYWORD_EQTY_200019019_INC_MINORITY</v>
          </cell>
        </row>
        <row r="297">
          <cell r="A297" t="str">
            <v>Vector|||200019019|||EQTY|||NI_PRE_PREF|||False|||</v>
          </cell>
          <cell r="C297" t="str">
            <v>V_KEYWORD_EQTY_200019019_NI_PRE_PREF</v>
          </cell>
        </row>
        <row r="298">
          <cell r="A298" t="str">
            <v>Vector|||200019019|||EQTY|||PREF_DIV|||False|||</v>
          </cell>
          <cell r="C298" t="str">
            <v>V_KEYWORD_EQTY_200019019_PREF_DIV</v>
          </cell>
        </row>
        <row r="299">
          <cell r="A299" t="str">
            <v>Vector|||200019019|||EQTY|||NET_EARNING|||False|||</v>
          </cell>
          <cell r="C299" t="str">
            <v>V_KEYWORD_EQTY_200019019_NET_EARNING</v>
          </cell>
        </row>
        <row r="300">
          <cell r="A300" t="str">
            <v>Vector|||200019019|||EQTY|||TAX_EXC|||False|||</v>
          </cell>
          <cell r="C300" t="str">
            <v>V_KEYWORD_EQTY_200019019_TAX_EXC</v>
          </cell>
        </row>
        <row r="301">
          <cell r="A301" t="str">
            <v>Vector|||200019019|||EQTY|||NET_INC|||False|||</v>
          </cell>
          <cell r="C301" t="str">
            <v>V_KEYWORD_EQTY_200019019_NET_INC</v>
          </cell>
        </row>
        <row r="302">
          <cell r="A302" t="str">
            <v>Vector|||200019019|||EQTY|||EPS|||False|||</v>
          </cell>
          <cell r="C302" t="str">
            <v>V_KEYWORD_EQTY_200019019_EPS</v>
          </cell>
        </row>
        <row r="303">
          <cell r="A303" t="str">
            <v>Vector|||200019019|||EQTY|||EPS_FUL_DIL|||False|||</v>
          </cell>
          <cell r="C303" t="str">
            <v>V_KEYWORD_EQTY_200019019_EPS_FUL_DIL</v>
          </cell>
        </row>
        <row r="304">
          <cell r="A304" t="str">
            <v>Vector|||200019019|||EQTY|||EPS_POST_BASIC|||False|||</v>
          </cell>
          <cell r="C304" t="str">
            <v>V_KEYWORD_EQTY_200019019_EPS_POST_BASIC</v>
          </cell>
        </row>
        <row r="305">
          <cell r="A305" t="str">
            <v>Vector|||200019019|||EQTY|||FULLY_DIL_EPS|||False|||</v>
          </cell>
          <cell r="C305" t="str">
            <v>V_KEYWORD_EQTY_200019019_FULLY_DIL_EPS</v>
          </cell>
        </row>
        <row r="306">
          <cell r="A306" t="str">
            <v>Vector|||200019019|||EQTY|||COMMON_DIV_PAID|||False|||</v>
          </cell>
          <cell r="C306" t="str">
            <v>V_KEYWORD_EQTY_200019019_COMMON_DIV_PAID</v>
          </cell>
        </row>
        <row r="307">
          <cell r="A307" t="str">
            <v>Vector|||200019019|||EQTY|||DPS|||False|||</v>
          </cell>
          <cell r="C307" t="str">
            <v>V_KEYWORD_EQTY_200019019_DPS</v>
          </cell>
        </row>
        <row r="308">
          <cell r="A308" t="str">
            <v>Vector|||200019019|||EQTY|||SH|||False|||</v>
          </cell>
          <cell r="C308" t="str">
            <v>V_KEYWORD_EQTY_200019019_SH</v>
          </cell>
        </row>
        <row r="309">
          <cell r="A309" t="str">
            <v>Vector|||200019019|||EQTY|||DILUTE_SHARES|||False|||</v>
          </cell>
          <cell r="C309" t="str">
            <v>V_KEYWORD_EQTY_200019019_DILUTE_SHARES</v>
          </cell>
        </row>
        <row r="310">
          <cell r="A310" t="str">
            <v>Vector|||200019019|||EQTY|||NON_OP_ADD|||False|||</v>
          </cell>
          <cell r="C310" t="str">
            <v>V_KEYWORD_EQTY_200019019_NON_OP_ADD</v>
          </cell>
        </row>
        <row r="312">
          <cell r="A312" t="str">
            <v>Vector|||200019019|||EQTY|||MARGIN_TAX_RATE|||False|||</v>
          </cell>
          <cell r="C312" t="str">
            <v>V_KEYWORD_EQTY_200019019_MARGIN_TAX_RATE</v>
          </cell>
        </row>
        <row r="314">
          <cell r="A314" t="str">
            <v>Vector|||200019019|||EQTY|||FV_GRANT|||False|||</v>
          </cell>
          <cell r="C314" t="str">
            <v>V_KEYWORD_EQTY_200019019_FV_GRANT</v>
          </cell>
        </row>
        <row r="315">
          <cell r="A315" t="str">
            <v>Vector|||200019019|||EQTY|||ESO_POST_TAX|||False|||</v>
          </cell>
          <cell r="C315" t="str">
            <v>V_KEYWORD_EQTY_200019019_ESO_POST_TAX</v>
          </cell>
        </row>
        <row r="316">
          <cell r="A316" t="str">
            <v>Vector|||200019019|||EQTY|||EPS_EX_ESO_B|||False|||</v>
          </cell>
          <cell r="C316" t="str">
            <v>V_KEYWORD_EQTY_200019019_EPS_EX_ESO_B</v>
          </cell>
        </row>
        <row r="317">
          <cell r="A317" t="str">
            <v>Vector|||200019019|||EQTY|||EPS_EX_ESO_D|||False|||</v>
          </cell>
          <cell r="C317" t="str">
            <v>V_KEYWORD_EQTY_200019019_EPS_EX_ESO_D</v>
          </cell>
        </row>
        <row r="318">
          <cell r="A318" t="str">
            <v>Scalar|||200019019|||EQTY|||ESO_YEAR|||False|||</v>
          </cell>
          <cell r="C318" t="str">
            <v>V_KEYWORD_EQTY_200019019_ESO_YEAR</v>
          </cell>
        </row>
        <row r="320">
          <cell r="A320" t="str">
            <v>Vector|||200019019|||EQTY|||BVPS|||False|||</v>
          </cell>
          <cell r="C320" t="str">
            <v>V_KEYWORD_EQTY_200019019_BVPS</v>
          </cell>
        </row>
        <row r="322">
          <cell r="A322" t="str">
            <v>Scalar|||200019019|||EQTY|||REPUR_TOT_AUTH|||False|||</v>
          </cell>
          <cell r="C322" t="str">
            <v>V_KEYWORD_EQTY_200019019_REPUR_TOT_AUTH</v>
          </cell>
        </row>
        <row r="323">
          <cell r="A323" t="str">
            <v>Scalar|||200019019|||EQTY|||REPUR_REMAINING|||False|||</v>
          </cell>
          <cell r="C323" t="str">
            <v>V_KEYWORD_EQTY_200019019_REPUR_REMAINING</v>
          </cell>
        </row>
        <row r="324">
          <cell r="A324" t="str">
            <v>Scalar|||200019019|||EQTY|||REPUR_SUSPENDED|||False|||</v>
          </cell>
          <cell r="C324" t="str">
            <v>V_KEYWORD_EQTY_200019019_REPUR_SUSPENDED</v>
          </cell>
        </row>
        <row r="325">
          <cell r="A325" t="str">
            <v>Vector|||200019019|||EQTY|||REPUR_ACTUAL|||False|||</v>
          </cell>
          <cell r="C325" t="str">
            <v>V_KEYWORD_EQTY_200019019_REPUR_ACTUAL</v>
          </cell>
        </row>
        <row r="327">
          <cell r="A327" t="str">
            <v>Vector|||200019019|||EQTY|||CF_NI_PRE_PREF|||False|||</v>
          </cell>
          <cell r="C327" t="str">
            <v>V_KEYWORD_EQTY_200019019_CF_NI_PRE_PREF</v>
          </cell>
        </row>
        <row r="329">
          <cell r="A329" t="str">
            <v>Scalar|||200019019|||EQTY|||BETA_ANALYST|||False|||</v>
          </cell>
          <cell r="C329" t="str">
            <v>V_KEYWORD_EQTY_200019019_BETA_ANALYST</v>
          </cell>
        </row>
        <row r="330">
          <cell r="A330" t="str">
            <v>Scalar|||200019019|||EQTY|||MKT_EQ_RISK_PREM|||False|||</v>
          </cell>
          <cell r="C330" t="str">
            <v>V_KEYWORD_EQTY_200019019_MKT_EQ_RISK_PREM</v>
          </cell>
        </row>
        <row r="331">
          <cell r="A331" t="str">
            <v>Scalar|||200019019|||EQTY|||RISK_FR_RATE|||False|||</v>
          </cell>
          <cell r="C331" t="str">
            <v>V_KEYWORD_EQTY_200019019_RISK_FR_RATE</v>
          </cell>
        </row>
      </sheetData>
      <sheetData sheetId="11">
        <row r="1">
          <cell r="A1" t="str">
            <v>Issuer: Nutanix Inc.</v>
          </cell>
          <cell r="F1">
            <v>2012</v>
          </cell>
          <cell r="G1">
            <v>2013</v>
          </cell>
          <cell r="H1">
            <v>2014</v>
          </cell>
          <cell r="I1">
            <v>2015</v>
          </cell>
          <cell r="J1">
            <v>2016</v>
          </cell>
          <cell r="K1" t="str">
            <v>2017 Q1</v>
          </cell>
          <cell r="L1" t="str">
            <v>2017 Q2</v>
          </cell>
          <cell r="M1" t="str">
            <v>2017 Q3</v>
          </cell>
          <cell r="N1" t="str">
            <v>2017 Q4</v>
          </cell>
          <cell r="O1">
            <v>2017</v>
          </cell>
          <cell r="P1" t="str">
            <v>2018 Q1</v>
          </cell>
          <cell r="Q1" t="str">
            <v>2018 Q2</v>
          </cell>
          <cell r="R1" t="str">
            <v>2018 Q3</v>
          </cell>
          <cell r="S1" t="str">
            <v>2018 Q4</v>
          </cell>
          <cell r="T1">
            <v>2018</v>
          </cell>
          <cell r="U1" t="str">
            <v>2019 Q1</v>
          </cell>
          <cell r="V1" t="str">
            <v>2019 Q2</v>
          </cell>
          <cell r="W1" t="str">
            <v>2019 Q3</v>
          </cell>
          <cell r="X1" t="str">
            <v>2019 Q4</v>
          </cell>
          <cell r="Y1">
            <v>2019</v>
          </cell>
          <cell r="Z1" t="str">
            <v>2020 Q1</v>
          </cell>
          <cell r="AA1" t="str">
            <v>2020 Q2</v>
          </cell>
          <cell r="AB1" t="str">
            <v>2020 Q3</v>
          </cell>
          <cell r="AC1" t="str">
            <v>2020 Q4</v>
          </cell>
          <cell r="AD1">
            <v>2020</v>
          </cell>
          <cell r="AE1" t="str">
            <v>2021 Q1</v>
          </cell>
          <cell r="AF1" t="str">
            <v>2021 Q2</v>
          </cell>
          <cell r="AG1" t="str">
            <v>2021 Q3</v>
          </cell>
          <cell r="AH1" t="str">
            <v>2021 Q4</v>
          </cell>
          <cell r="AI1">
            <v>2021</v>
          </cell>
          <cell r="AJ1" t="str">
            <v>2022 Q1</v>
          </cell>
          <cell r="AK1" t="str">
            <v>2022 Q2</v>
          </cell>
          <cell r="AL1" t="str">
            <v>2022 Q3</v>
          </cell>
          <cell r="AM1" t="str">
            <v>2022 Q4</v>
          </cell>
          <cell r="AN1">
            <v>2022</v>
          </cell>
          <cell r="AO1" t="str">
            <v>2023 Q1</v>
          </cell>
          <cell r="AP1" t="str">
            <v>2023 Q2</v>
          </cell>
          <cell r="AQ1" t="str">
            <v>2023 Q3</v>
          </cell>
          <cell r="AR1" t="str">
            <v>2023 Q4</v>
          </cell>
          <cell r="AS1">
            <v>2023</v>
          </cell>
          <cell r="AT1" t="str">
            <v>2024 Q1</v>
          </cell>
          <cell r="AU1" t="str">
            <v>2024 Q2</v>
          </cell>
          <cell r="AV1" t="str">
            <v>2024 Q3</v>
          </cell>
          <cell r="AW1" t="str">
            <v>2024 Q4</v>
          </cell>
          <cell r="AX1">
            <v>2024</v>
          </cell>
          <cell r="AY1" t="str">
            <v>2025 Q1</v>
          </cell>
          <cell r="AZ1" t="str">
            <v>2025 Q2</v>
          </cell>
          <cell r="BA1" t="str">
            <v>2025 Q3</v>
          </cell>
          <cell r="BB1" t="str">
            <v>2025 Q4</v>
          </cell>
          <cell r="BC1">
            <v>2025</v>
          </cell>
          <cell r="BD1" t="str">
            <v>2026 Q1</v>
          </cell>
          <cell r="BE1" t="str">
            <v>2026 Q2</v>
          </cell>
          <cell r="BF1" t="str">
            <v>2026 Q3</v>
          </cell>
          <cell r="BG1" t="str">
            <v>2026 Q4</v>
          </cell>
          <cell r="BH1">
            <v>2026</v>
          </cell>
          <cell r="BI1" t="str">
            <v>2027 Q1</v>
          </cell>
          <cell r="BJ1" t="str">
            <v>2027 Q2</v>
          </cell>
          <cell r="BK1" t="str">
            <v>2027 Q3</v>
          </cell>
          <cell r="BL1" t="str">
            <v>2027 Q4</v>
          </cell>
          <cell r="BM1">
            <v>2027</v>
          </cell>
          <cell r="BN1" t="str">
            <v>2028 Q1</v>
          </cell>
          <cell r="BO1" t="str">
            <v>2028 Q2</v>
          </cell>
          <cell r="BP1" t="str">
            <v>2028 Q3</v>
          </cell>
          <cell r="BQ1" t="str">
            <v>2028 Q4</v>
          </cell>
          <cell r="BR1">
            <v>2028</v>
          </cell>
          <cell r="BS1" t="str">
            <v>2029 Q1</v>
          </cell>
          <cell r="BT1" t="str">
            <v>2029 Q2</v>
          </cell>
          <cell r="BU1" t="str">
            <v>2029 Q3</v>
          </cell>
          <cell r="BV1" t="str">
            <v>2029 Q4</v>
          </cell>
          <cell r="BW1">
            <v>2029</v>
          </cell>
          <cell r="BX1" t="str">
            <v>2030 Q1</v>
          </cell>
          <cell r="BY1" t="str">
            <v>2030 Q2</v>
          </cell>
          <cell r="BZ1" t="str">
            <v>2030 Q3</v>
          </cell>
          <cell r="CA1" t="str">
            <v>2030 Q4</v>
          </cell>
          <cell r="CB1">
            <v>2030</v>
          </cell>
        </row>
        <row r="4">
          <cell r="A4" t="str">
            <v>Issuer: Nutanix Inc.</v>
          </cell>
        </row>
        <row r="5">
          <cell r="A5" t="str">
            <v>Reference Data</v>
          </cell>
        </row>
        <row r="6">
          <cell r="B6" t="str">
            <v>Issuer Name</v>
          </cell>
          <cell r="C6" t="str">
            <v>Issuer Name</v>
          </cell>
          <cell r="E6" t="str">
            <v>Nutanix Inc.</v>
          </cell>
        </row>
        <row r="7">
          <cell r="B7" t="str">
            <v>Reporting Currency</v>
          </cell>
          <cell r="C7" t="str">
            <v>CURRENCY_ISO</v>
          </cell>
          <cell r="E7" t="str">
            <v>USD</v>
          </cell>
        </row>
        <row r="8">
          <cell r="A8" t="str">
            <v>General Information</v>
          </cell>
        </row>
        <row r="9">
          <cell r="B9" t="str">
            <v>M&amp;A probability (1 = high, 3 = low)</v>
          </cell>
          <cell r="C9" t="str">
            <v>MA_PROB</v>
          </cell>
        </row>
        <row r="10">
          <cell r="A10" t="str">
            <v>Income Statement</v>
          </cell>
        </row>
        <row r="11">
          <cell r="B11" t="str">
            <v>Sales, net revenue</v>
          </cell>
          <cell r="C11" t="str">
            <v>SALES</v>
          </cell>
          <cell r="D11" t="e">
            <v>#NAME?</v>
          </cell>
        </row>
        <row r="12">
          <cell r="B12" t="str">
            <v>Cost of goods sold, COGS</v>
          </cell>
          <cell r="C12" t="str">
            <v>COST_GD_SD</v>
          </cell>
          <cell r="D12" t="e">
            <v>#NAME?</v>
          </cell>
        </row>
        <row r="13">
          <cell r="B13" t="str">
            <v>SG&amp;A, selling, general and admin. expense</v>
          </cell>
          <cell r="C13" t="str">
            <v>SEL_GL_AD</v>
          </cell>
          <cell r="D13" t="e">
            <v>#NAME?</v>
          </cell>
        </row>
        <row r="14">
          <cell r="B14" t="str">
            <v>Total operating expense</v>
          </cell>
          <cell r="C14" t="str">
            <v>OP_COST</v>
          </cell>
          <cell r="D14" t="e">
            <v>#NAME?</v>
          </cell>
        </row>
        <row r="15">
          <cell r="B15" t="str">
            <v>R&amp;D expense</v>
          </cell>
          <cell r="C15" t="str">
            <v>RD_EXP</v>
          </cell>
          <cell r="D15" t="e">
            <v>#NAME?</v>
          </cell>
        </row>
        <row r="16">
          <cell r="B16" t="str">
            <v>ESO expense (pre-tax)</v>
          </cell>
          <cell r="C16" t="str">
            <v>ESO_PRE_TAX</v>
          </cell>
          <cell r="D16" t="e">
            <v>#NAME?</v>
          </cell>
        </row>
        <row r="17">
          <cell r="B17" t="str">
            <v>Other operating income/(expense) (incl. leases)</v>
          </cell>
          <cell r="C17" t="str">
            <v>OTH_OP_INC_EXP</v>
          </cell>
          <cell r="D17" t="e">
            <v>#NAME?</v>
          </cell>
        </row>
        <row r="18">
          <cell r="B18" t="str">
            <v>Total operating expense (incl. D&amp;A)</v>
          </cell>
          <cell r="C18" t="str">
            <v>TOT_OPS_EXP_DDA</v>
          </cell>
          <cell r="D18" t="e">
            <v>#NAME?</v>
          </cell>
        </row>
        <row r="19">
          <cell r="B19" t="str">
            <v>Total operating expense (excl. D&amp;A)</v>
          </cell>
          <cell r="C19" t="str">
            <v>TOT_OPS_EXP</v>
          </cell>
          <cell r="D19" t="e">
            <v>#NAME?</v>
          </cell>
        </row>
        <row r="20">
          <cell r="B20" t="str">
            <v>EBITDA</v>
          </cell>
          <cell r="C20" t="str">
            <v>EBITDA_CALC</v>
          </cell>
          <cell r="D20" t="e">
            <v>#NAME?</v>
          </cell>
        </row>
        <row r="21">
          <cell r="B21" t="str">
            <v>Depreciation</v>
          </cell>
          <cell r="C21" t="str">
            <v>DEPREC</v>
          </cell>
          <cell r="D21" t="e">
            <v>#NAME?</v>
          </cell>
        </row>
        <row r="22">
          <cell r="B22" t="str">
            <v>Amortization</v>
          </cell>
          <cell r="C22" t="str">
            <v>GOODWILL_AMORT</v>
          </cell>
          <cell r="D22" t="e">
            <v>#NAME?</v>
          </cell>
        </row>
        <row r="23">
          <cell r="B23" t="str">
            <v>EBIT, operating profit</v>
          </cell>
          <cell r="C23" t="str">
            <v>EBIT</v>
          </cell>
          <cell r="D23" t="e">
            <v>#NAME?</v>
          </cell>
        </row>
        <row r="24">
          <cell r="B24" t="str">
            <v>Interest income</v>
          </cell>
          <cell r="C24" t="str">
            <v>INT_INC_IND</v>
          </cell>
          <cell r="D24" t="e">
            <v>#NAME?</v>
          </cell>
        </row>
        <row r="25">
          <cell r="B25" t="str">
            <v>Interest expense</v>
          </cell>
          <cell r="C25" t="str">
            <v>INT_EXP_IND</v>
          </cell>
          <cell r="D25" t="e">
            <v>#NAME?</v>
          </cell>
        </row>
        <row r="26">
          <cell r="B26" t="str">
            <v>Net interest income/(expense)</v>
          </cell>
          <cell r="C26" t="str">
            <v>NET_INT_EXP</v>
          </cell>
          <cell r="D26" t="e">
            <v>#NAME?</v>
          </cell>
        </row>
        <row r="27">
          <cell r="B27" t="str">
            <v>Income/(loss) from unconsolidated subs &amp; associates</v>
          </cell>
          <cell r="C27" t="str">
            <v>ASSOCIATE</v>
          </cell>
          <cell r="D27" t="e">
            <v>#NAME?</v>
          </cell>
        </row>
        <row r="28">
          <cell r="B28" t="str">
            <v>Profit/(loss) on disposals of assets, pre-tax</v>
          </cell>
          <cell r="C28" t="str">
            <v>PROFIT_ON_DISP</v>
          </cell>
          <cell r="D28" t="e">
            <v>#NAME?</v>
          </cell>
        </row>
        <row r="29">
          <cell r="B29" t="str">
            <v>Other non-ops income/(expense)</v>
          </cell>
          <cell r="C29" t="str">
            <v>OTH_COST_INC</v>
          </cell>
          <cell r="D29" t="e">
            <v>#NAME?</v>
          </cell>
        </row>
        <row r="30">
          <cell r="B30" t="str">
            <v>Pre-tax profit</v>
          </cell>
          <cell r="C30" t="str">
            <v>PT_PROF</v>
          </cell>
          <cell r="D30" t="e">
            <v>#NAME?</v>
          </cell>
        </row>
        <row r="31">
          <cell r="A31" t="str">
            <v>Additional Income Statement Items</v>
          </cell>
        </row>
        <row r="32">
          <cell r="B32" t="str">
            <v>Operating lease cost</v>
          </cell>
          <cell r="C32" t="str">
            <v>LEASE_PAY</v>
          </cell>
          <cell r="D32" t="e">
            <v>#NAME?</v>
          </cell>
        </row>
        <row r="33">
          <cell r="B33" t="str">
            <v>Lease payments (deemed interest portion)</v>
          </cell>
          <cell r="C33" t="str">
            <v>LEASE_DEEM_INT</v>
          </cell>
          <cell r="D33" t="e">
            <v>#NAME?</v>
          </cell>
        </row>
        <row r="34">
          <cell r="B34" t="str">
            <v>Lease payments (deemed depreciation portion)</v>
          </cell>
          <cell r="C34" t="str">
            <v>LEASE_DEEM_DEPR</v>
          </cell>
          <cell r="D34" t="e">
            <v>#NAME?</v>
          </cell>
        </row>
        <row r="35">
          <cell r="B35" t="str">
            <v>Gross interest charge</v>
          </cell>
          <cell r="C35" t="str">
            <v>NET_INT_CH</v>
          </cell>
          <cell r="D35" t="e">
            <v>#NAME?</v>
          </cell>
        </row>
        <row r="36">
          <cell r="B36" t="str">
            <v>Income from associates (operating)</v>
          </cell>
          <cell r="C36" t="str">
            <v>ASSOCIATE_OP</v>
          </cell>
          <cell r="D36" t="e">
            <v>#NAME?</v>
          </cell>
        </row>
        <row r="37">
          <cell r="B37" t="str">
            <v>Depreciation ROU assets   (applicable to IFRS cos.)</v>
          </cell>
          <cell r="C37" t="str">
            <v>DEPR_ROU_ASSETS</v>
          </cell>
          <cell r="D37" t="e">
            <v>#NAME?</v>
          </cell>
        </row>
        <row r="38">
          <cell r="B38" t="str">
            <v>Lease interest charge  (applicable to IFRS cos.)</v>
          </cell>
          <cell r="C38" t="str">
            <v>LEASE_INT_CHG</v>
          </cell>
          <cell r="D38" t="e">
            <v>#NAME?</v>
          </cell>
        </row>
        <row r="39">
          <cell r="B39" t="str">
            <v>Lease standard adopted (US GAAP ASC 842/ IFRS 16)</v>
          </cell>
          <cell r="C39" t="str">
            <v>LEASE_ADOPT</v>
          </cell>
        </row>
        <row r="40">
          <cell r="B40" t="str">
            <v>Stock-based compensation related to cost of goods sold (Americas software)</v>
          </cell>
          <cell r="C40" t="str">
            <v>SBC_COST_OF_GOODS_SOLD</v>
          </cell>
          <cell r="D40" t="e">
            <v>#NAME?</v>
          </cell>
        </row>
        <row r="41">
          <cell r="B41" t="str">
            <v>Stock-based compensation related to sales &amp; marketing (Americas software)</v>
          </cell>
          <cell r="C41" t="str">
            <v>SBC_SALES_MARKETING</v>
          </cell>
          <cell r="D41" t="e">
            <v>#NAME?</v>
          </cell>
        </row>
        <row r="42">
          <cell r="B42" t="str">
            <v>Stock-based compensation related to research &amp; development (Americas software)</v>
          </cell>
          <cell r="C42" t="str">
            <v>SBC_RESEARCH_DEVELOPMENT</v>
          </cell>
          <cell r="D42" t="e">
            <v>#NAME?</v>
          </cell>
        </row>
        <row r="43">
          <cell r="B43" t="str">
            <v>Stock-based compensation related to general &amp; administrative (Americas software)</v>
          </cell>
          <cell r="C43" t="str">
            <v>SBC_GEN_ADMINISTRATIVE</v>
          </cell>
          <cell r="D43" t="e">
            <v>#NAME?</v>
          </cell>
        </row>
        <row r="44">
          <cell r="B44" t="str">
            <v>Total stock-based compensation (Americas software)</v>
          </cell>
          <cell r="C44" t="str">
            <v>SBC_TOTAL</v>
          </cell>
          <cell r="D44" t="e">
            <v>#NAME?</v>
          </cell>
        </row>
        <row r="45">
          <cell r="B45" t="str">
            <v>Non-GAAP cost of goods sold</v>
          </cell>
          <cell r="C45" t="str">
            <v>COGS_N_GAAP</v>
          </cell>
          <cell r="D45" t="e">
            <v>#NAME?</v>
          </cell>
        </row>
        <row r="46">
          <cell r="B46" t="str">
            <v>Non-GAAP gross profit</v>
          </cell>
          <cell r="C46" t="str">
            <v>GROSS_PROFIT_N_GAAP</v>
          </cell>
          <cell r="D46" t="e">
            <v>#NAME?</v>
          </cell>
        </row>
        <row r="47">
          <cell r="B47" t="str">
            <v>Non-GAAP general and administrative expenses</v>
          </cell>
          <cell r="C47" t="str">
            <v>GEN_ADMIN_N_GAAP</v>
          </cell>
          <cell r="D47" t="e">
            <v>#NAME?</v>
          </cell>
        </row>
        <row r="48">
          <cell r="B48" t="str">
            <v>Non-GAAP sales &amp; marketing</v>
          </cell>
          <cell r="C48" t="str">
            <v>SALES_MARKETING_N_GAAP</v>
          </cell>
          <cell r="D48" t="e">
            <v>#NAME?</v>
          </cell>
        </row>
        <row r="49">
          <cell r="B49" t="str">
            <v>Non-GAAP research &amp; development</v>
          </cell>
          <cell r="C49" t="str">
            <v>RD_N_GAAP</v>
          </cell>
          <cell r="D49" t="e">
            <v>#NAME?</v>
          </cell>
        </row>
        <row r="50">
          <cell r="B50" t="str">
            <v>Non-GAAP operating expenses</v>
          </cell>
          <cell r="C50" t="str">
            <v>OPS_EXP_N_GAAP</v>
          </cell>
          <cell r="D50" t="e">
            <v>#NAME?</v>
          </cell>
        </row>
        <row r="51">
          <cell r="B51" t="str">
            <v>Non-GAAP operating income</v>
          </cell>
          <cell r="C51" t="str">
            <v>OP_INC_N_GAAP</v>
          </cell>
          <cell r="D51" t="e">
            <v>#NAME?</v>
          </cell>
        </row>
        <row r="52">
          <cell r="B52" t="str">
            <v>Non-GAAP net income</v>
          </cell>
          <cell r="C52" t="str">
            <v>NET_INC_N_GAAP</v>
          </cell>
          <cell r="D52" t="e">
            <v>#NAME?</v>
          </cell>
        </row>
        <row r="53">
          <cell r="A53" t="str">
            <v>Balance Sheet</v>
          </cell>
        </row>
        <row r="54">
          <cell r="B54" t="str">
            <v>Cash &amp; cash equivalents</v>
          </cell>
          <cell r="C54" t="str">
            <v>CASH_EQ</v>
          </cell>
          <cell r="D54" t="e">
            <v>#NAME?</v>
          </cell>
        </row>
        <row r="55">
          <cell r="B55" t="str">
            <v>Accounts receivable</v>
          </cell>
          <cell r="C55" t="str">
            <v>DEBTORS</v>
          </cell>
          <cell r="D55" t="e">
            <v>#NAME?</v>
          </cell>
        </row>
        <row r="56">
          <cell r="B56" t="str">
            <v>Inventory</v>
          </cell>
          <cell r="C56" t="str">
            <v>STOCKS</v>
          </cell>
          <cell r="D56" t="e">
            <v>#NAME?</v>
          </cell>
        </row>
        <row r="57">
          <cell r="B57" t="str">
            <v>Other current assets</v>
          </cell>
          <cell r="C57" t="str">
            <v>OTH_CUR_ASS</v>
          </cell>
          <cell r="D57" t="e">
            <v>#NAME?</v>
          </cell>
        </row>
        <row r="58">
          <cell r="B58" t="str">
            <v>Total current assets</v>
          </cell>
          <cell r="C58" t="str">
            <v>CUR_ASS</v>
          </cell>
          <cell r="D58" t="e">
            <v>#NAME?</v>
          </cell>
        </row>
        <row r="59">
          <cell r="B59" t="str">
            <v>Gross fixed assets, PP&amp;E</v>
          </cell>
          <cell r="C59" t="str">
            <v>GR_FIX_ASS</v>
          </cell>
          <cell r="D59" t="e">
            <v>#NAME?</v>
          </cell>
        </row>
        <row r="60">
          <cell r="B60" t="str">
            <v>Accumulated depreciation</v>
          </cell>
          <cell r="C60" t="str">
            <v>ACC_DDA</v>
          </cell>
          <cell r="D60" t="e">
            <v>#NAME?</v>
          </cell>
        </row>
        <row r="61">
          <cell r="B61" t="str">
            <v>Net PP&amp;E</v>
          </cell>
          <cell r="C61" t="str">
            <v>NET_FIX_ASS</v>
          </cell>
          <cell r="D61" t="e">
            <v>#NAME?</v>
          </cell>
        </row>
        <row r="62">
          <cell r="B62" t="str">
            <v>Gross intangibles</v>
          </cell>
          <cell r="C62" t="str">
            <v>GR_INTANG</v>
          </cell>
          <cell r="D62" t="e">
            <v>#NAME?</v>
          </cell>
        </row>
        <row r="63">
          <cell r="B63" t="str">
            <v>Accumulated amortization</v>
          </cell>
          <cell r="C63" t="str">
            <v>ACC_AMORT</v>
          </cell>
          <cell r="D63" t="e">
            <v>#NAME?</v>
          </cell>
        </row>
        <row r="64">
          <cell r="B64" t="str">
            <v>Net intangible assets</v>
          </cell>
          <cell r="C64" t="str">
            <v>NET_INTANG</v>
          </cell>
          <cell r="D64" t="e">
            <v>#NAME?</v>
          </cell>
        </row>
        <row r="65">
          <cell r="B65" t="str">
            <v>Equity method investments</v>
          </cell>
          <cell r="C65" t="str">
            <v>FIX_ASS_INV</v>
          </cell>
          <cell r="D65" t="e">
            <v>#NAME?</v>
          </cell>
        </row>
        <row r="66">
          <cell r="B66" t="str">
            <v>Investments in securities</v>
          </cell>
          <cell r="C66" t="str">
            <v>INV_SECUR</v>
          </cell>
          <cell r="D66" t="e">
            <v>#NAME?</v>
          </cell>
        </row>
        <row r="67">
          <cell r="B67" t="str">
            <v>Other long-term assets</v>
          </cell>
          <cell r="C67" t="str">
            <v>OTH_LT_ASS</v>
          </cell>
          <cell r="D67" t="e">
            <v>#NAME?</v>
          </cell>
        </row>
        <row r="68">
          <cell r="B68" t="str">
            <v>Total assets</v>
          </cell>
          <cell r="C68" t="str">
            <v>TOT_ASSET</v>
          </cell>
          <cell r="D68" t="e">
            <v>#NAME?</v>
          </cell>
        </row>
        <row r="69">
          <cell r="B69" t="str">
            <v>Accounts payable</v>
          </cell>
          <cell r="C69" t="str">
            <v>ACC_PAY_GQ</v>
          </cell>
          <cell r="D69" t="e">
            <v>#NAME?</v>
          </cell>
        </row>
        <row r="70">
          <cell r="B70" t="str">
            <v>Short-term debt</v>
          </cell>
          <cell r="C70" t="str">
            <v>SHORT_T_DEBT</v>
          </cell>
          <cell r="D70" t="e">
            <v>#NAME?</v>
          </cell>
        </row>
        <row r="71">
          <cell r="B71" t="str">
            <v>Current lease liabilities (op lease: US GAAP)</v>
          </cell>
          <cell r="C71" t="str">
            <v>ST_LEASE_LIAB</v>
          </cell>
          <cell r="D71" t="e">
            <v>#NAME?</v>
          </cell>
        </row>
        <row r="72">
          <cell r="B72" t="str">
            <v>Other current liabilities</v>
          </cell>
          <cell r="C72" t="str">
            <v>OTH_CUR_LIABS</v>
          </cell>
          <cell r="D72" t="e">
            <v>#NAME?</v>
          </cell>
        </row>
        <row r="73">
          <cell r="B73" t="str">
            <v>Total current liabilities</v>
          </cell>
          <cell r="C73" t="str">
            <v>SHORT_TERM_LIABS</v>
          </cell>
          <cell r="D73" t="e">
            <v>#NAME?</v>
          </cell>
        </row>
        <row r="74">
          <cell r="B74" t="str">
            <v>Deferred revenue</v>
          </cell>
          <cell r="C74" t="str">
            <v>TOT_DEF_REV</v>
          </cell>
          <cell r="D74" t="e">
            <v>#NAME?</v>
          </cell>
        </row>
        <row r="75">
          <cell r="B75" t="str">
            <v>Long-term  debt</v>
          </cell>
          <cell r="C75" t="str">
            <v>LT_DEBT</v>
          </cell>
          <cell r="D75" t="e">
            <v>#NAME?</v>
          </cell>
        </row>
        <row r="76">
          <cell r="B76" t="str">
            <v>Non-current lease liabilities (op lease: US GAAP)</v>
          </cell>
          <cell r="C76" t="str">
            <v>LT_LEASE_LIAB</v>
          </cell>
          <cell r="D76" t="e">
            <v>#NAME?</v>
          </cell>
        </row>
        <row r="77">
          <cell r="B77" t="str">
            <v>Other long-term liabilities</v>
          </cell>
          <cell r="C77" t="str">
            <v>OTH_LT_CRED_GQ</v>
          </cell>
          <cell r="D77" t="e">
            <v>#NAME?</v>
          </cell>
        </row>
        <row r="78">
          <cell r="B78" t="str">
            <v>Total long-term liabilities</v>
          </cell>
          <cell r="C78" t="str">
            <v>TOT_LT_LIAB</v>
          </cell>
          <cell r="D78" t="e">
            <v>#NAME?</v>
          </cell>
        </row>
        <row r="79">
          <cell r="B79" t="str">
            <v>Total liabilities</v>
          </cell>
          <cell r="C79" t="str">
            <v>TOT_LIAB</v>
          </cell>
          <cell r="D79" t="e">
            <v>#NAME?</v>
          </cell>
        </row>
        <row r="80">
          <cell r="B80" t="str">
            <v>Preferred shares</v>
          </cell>
          <cell r="C80" t="str">
            <v>PREF_SH</v>
          </cell>
          <cell r="D80" t="e">
            <v>#NAME?</v>
          </cell>
        </row>
        <row r="81">
          <cell r="B81" t="str">
            <v>Total common equity</v>
          </cell>
          <cell r="C81" t="str">
            <v>ORD_SH_FUND</v>
          </cell>
          <cell r="D81" t="e">
            <v>#NAME?</v>
          </cell>
        </row>
        <row r="82">
          <cell r="B82" t="str">
            <v>Minority interest</v>
          </cell>
          <cell r="C82" t="str">
            <v>MINORITIES</v>
          </cell>
          <cell r="D82" t="e">
            <v>#NAME?</v>
          </cell>
        </row>
        <row r="83">
          <cell r="B83" t="str">
            <v>Total shareholders' equity</v>
          </cell>
          <cell r="C83" t="str">
            <v>EQ</v>
          </cell>
          <cell r="D83" t="e">
            <v>#NAME?</v>
          </cell>
        </row>
        <row r="84">
          <cell r="B84" t="str">
            <v>Total liabilities and equity</v>
          </cell>
          <cell r="C84" t="str">
            <v>TOT_LIAB_EQ</v>
          </cell>
          <cell r="D84" t="e">
            <v>#NAME?</v>
          </cell>
        </row>
        <row r="85">
          <cell r="A85" t="str">
            <v>Additional Balance Sheet Items</v>
          </cell>
        </row>
        <row r="86">
          <cell r="B86" t="str">
            <v>Total US$ debt (in US$)</v>
          </cell>
          <cell r="C86" t="str">
            <v>TOT_USD_DEBT</v>
          </cell>
        </row>
        <row r="87">
          <cell r="B87" t="str">
            <v>% US$ debt hedged (principal)</v>
          </cell>
          <cell r="C87" t="str">
            <v>TOT_PCT_USD_DEBT_HEDGED</v>
          </cell>
        </row>
        <row r="88">
          <cell r="B88" t="str">
            <v>% Floating debt (local currency debt)</v>
          </cell>
          <cell r="C88" t="str">
            <v>FLOATING_PCT_LOCAL_DEBT</v>
          </cell>
        </row>
        <row r="89">
          <cell r="B89" t="str">
            <v>% floating debt hedged (rates)</v>
          </cell>
          <cell r="C89" t="str">
            <v>FLOATING_PCT_LOCAL_DEBT_HEDGED</v>
          </cell>
        </row>
        <row r="90">
          <cell r="B90" t="str">
            <v>Net debt</v>
          </cell>
          <cell r="C90" t="str">
            <v>NET_DEBT</v>
          </cell>
          <cell r="D90" t="e">
            <v>#NAME?</v>
          </cell>
        </row>
        <row r="91">
          <cell r="B91" t="str">
            <v>Capitalized operating leases (off-balance sheet)</v>
          </cell>
          <cell r="C91" t="str">
            <v>CAP_LEASES</v>
          </cell>
          <cell r="D91" t="e">
            <v>#NAME?</v>
          </cell>
        </row>
        <row r="92">
          <cell r="B92" t="str">
            <v>Deferred income taxes</v>
          </cell>
          <cell r="C92" t="str">
            <v>DEF_INC_TAX</v>
          </cell>
          <cell r="D92" t="e">
            <v>#NAME?</v>
          </cell>
        </row>
        <row r="93">
          <cell r="B93" t="str">
            <v>Net operating loss carryforwards (NOLs)</v>
          </cell>
          <cell r="C93" t="str">
            <v>NET_OP_LOSS_CFWD</v>
          </cell>
          <cell r="D93" t="e">
            <v>#NAME?</v>
          </cell>
        </row>
        <row r="94">
          <cell r="B94" t="str">
            <v>Associates (mkt value) used in EV calculation</v>
          </cell>
          <cell r="C94" t="str">
            <v>MV_ASSOCIATES</v>
          </cell>
          <cell r="D94" t="e">
            <v>#NAME?</v>
          </cell>
        </row>
        <row r="95">
          <cell r="B95" t="str">
            <v>Net debt adjustment</v>
          </cell>
          <cell r="C95" t="str">
            <v>NET_DEBT_ADJ</v>
          </cell>
          <cell r="D95" t="e">
            <v>#NAME?</v>
          </cell>
        </row>
        <row r="96">
          <cell r="B96" t="str">
            <v>Company borrowing margin</v>
          </cell>
          <cell r="C96" t="str">
            <v>CO_BOR_MARGIN</v>
          </cell>
        </row>
        <row r="97">
          <cell r="B97" t="str">
            <v>Unfunded pensions &amp; other provisions</v>
          </cell>
          <cell r="C97" t="str">
            <v>UNF_PENS</v>
          </cell>
          <cell r="D97" t="e">
            <v>#NAME?</v>
          </cell>
        </row>
        <row r="98">
          <cell r="B98" t="str">
            <v>Unfunded pension liabilities (off balance sheet)</v>
          </cell>
          <cell r="C98" t="str">
            <v>UNF_PENS_OFF</v>
          </cell>
          <cell r="D98" t="e">
            <v>#NAME?</v>
          </cell>
        </row>
        <row r="99">
          <cell r="B99" t="str">
            <v>Unfunded pension liabilities &amp; other, used in EV</v>
          </cell>
          <cell r="C99" t="str">
            <v>UNF_PENS_LIAB_OTH</v>
          </cell>
          <cell r="D99" t="e">
            <v>#NAME?</v>
          </cell>
        </row>
        <row r="100">
          <cell r="B100" t="str">
            <v>Adjustment for unfunded pensions &amp; goodwill</v>
          </cell>
          <cell r="C100" t="str">
            <v>ADJ_UNF_PENS_GOOD</v>
          </cell>
          <cell r="D100" t="e">
            <v>#NAME?</v>
          </cell>
        </row>
        <row r="101">
          <cell r="B101" t="str">
            <v>Other GCI adjustments</v>
          </cell>
          <cell r="C101" t="str">
            <v>OTH_GCI_ADJ</v>
          </cell>
          <cell r="D101" t="e">
            <v>#NAME?</v>
          </cell>
        </row>
        <row r="102">
          <cell r="B102" t="str">
            <v>GCI inflator</v>
          </cell>
          <cell r="C102" t="str">
            <v>GCI_INFL</v>
          </cell>
        </row>
        <row r="103">
          <cell r="B103" t="str">
            <v>Minority interest</v>
          </cell>
          <cell r="C103" t="str">
            <v>BAL_MINO_INT</v>
          </cell>
          <cell r="D103" t="e">
            <v>#NAME?</v>
          </cell>
        </row>
        <row r="104">
          <cell r="B104" t="str">
            <v>Right-of-use assets (op lease assets under US GAAP)</v>
          </cell>
          <cell r="C104" t="str">
            <v>ROU_ASSET</v>
          </cell>
          <cell r="D104" t="e">
            <v>#NAME?</v>
          </cell>
        </row>
        <row r="105">
          <cell r="A105" t="str">
            <v>Cash Flow Statement</v>
          </cell>
        </row>
        <row r="106">
          <cell r="B106" t="str">
            <v>Minority interest add-back</v>
          </cell>
          <cell r="C106" t="str">
            <v>CF_INC_MINORITY</v>
          </cell>
          <cell r="D106" t="e">
            <v>#NAME?</v>
          </cell>
        </row>
        <row r="107">
          <cell r="B107" t="str">
            <v>Depreciation &amp; amortization add-back</v>
          </cell>
          <cell r="C107" t="str">
            <v>DEPR_AMORT</v>
          </cell>
          <cell r="D107" t="e">
            <v>#NAME?</v>
          </cell>
        </row>
        <row r="108">
          <cell r="B108" t="str">
            <v>(Increase)/decrease in working capital</v>
          </cell>
          <cell r="C108" t="str">
            <v>WORK_CAP</v>
          </cell>
          <cell r="D108" t="e">
            <v>#NAME?</v>
          </cell>
        </row>
        <row r="109">
          <cell r="B109" t="str">
            <v>Other operating cash flow items</v>
          </cell>
          <cell r="C109" t="str">
            <v>OTH_OP_CF</v>
          </cell>
          <cell r="D109" t="e">
            <v>#NAME?</v>
          </cell>
        </row>
        <row r="110">
          <cell r="B110" t="str">
            <v>Cash flow from operating activities</v>
          </cell>
          <cell r="C110" t="str">
            <v>CF_OPS</v>
          </cell>
          <cell r="D110" t="e">
            <v>#NAME?</v>
          </cell>
        </row>
        <row r="111">
          <cell r="B111" t="str">
            <v>Capital expenditures, Capex</v>
          </cell>
          <cell r="C111" t="str">
            <v>CAPEX</v>
          </cell>
          <cell r="D111" t="e">
            <v>#NAME?</v>
          </cell>
        </row>
        <row r="112">
          <cell r="B112" t="str">
            <v>Acquisitions</v>
          </cell>
          <cell r="C112" t="str">
            <v>ACQ</v>
          </cell>
          <cell r="D112" t="e">
            <v>#NAME?</v>
          </cell>
        </row>
        <row r="113">
          <cell r="B113" t="str">
            <v>Divestitures</v>
          </cell>
          <cell r="C113" t="str">
            <v>DIVEST</v>
          </cell>
          <cell r="D113" t="e">
            <v>#NAME?</v>
          </cell>
        </row>
        <row r="114">
          <cell r="B114" t="str">
            <v>Other investing cash flow items</v>
          </cell>
          <cell r="C114" t="str">
            <v>OTH_INV_CF</v>
          </cell>
          <cell r="D114" t="e">
            <v>#NAME?</v>
          </cell>
        </row>
        <row r="115">
          <cell r="B115" t="str">
            <v>Cash flow from investing</v>
          </cell>
          <cell r="C115" t="str">
            <v>CF_INV</v>
          </cell>
          <cell r="D115" t="e">
            <v>#NAME?</v>
          </cell>
        </row>
        <row r="116">
          <cell r="B116" t="str">
            <v>Dividends paid</v>
          </cell>
          <cell r="C116" t="str">
            <v>DIV_PAID</v>
          </cell>
          <cell r="D116" t="e">
            <v>#NAME?</v>
          </cell>
        </row>
        <row r="117">
          <cell r="B117" t="str">
            <v>Common stock issuance/(repurchase)</v>
          </cell>
          <cell r="C117" t="str">
            <v>SH_REPUR</v>
          </cell>
          <cell r="D117" t="e">
            <v>#NAME?</v>
          </cell>
        </row>
        <row r="118">
          <cell r="B118" t="str">
            <v>Increase/(decrease) in total debt</v>
          </cell>
          <cell r="C118" t="str">
            <v>CHG_LT_DEBT</v>
          </cell>
          <cell r="D118" t="e">
            <v>#NAME?</v>
          </cell>
        </row>
        <row r="119">
          <cell r="B119" t="str">
            <v>Lease principal payments  (applicable to IFRS cos.)</v>
          </cell>
          <cell r="C119" t="str">
            <v>LEASE_PRINCIPAL_CASH</v>
          </cell>
          <cell r="D119" t="e">
            <v>#NAME?</v>
          </cell>
        </row>
        <row r="120">
          <cell r="B120" t="str">
            <v>Other financing cash flow items</v>
          </cell>
          <cell r="C120" t="str">
            <v>OTH_FIN_CF</v>
          </cell>
          <cell r="D120" t="e">
            <v>#NAME?</v>
          </cell>
        </row>
        <row r="121">
          <cell r="B121" t="str">
            <v>Cash flow from financing</v>
          </cell>
          <cell r="C121" t="str">
            <v>CF_FIN</v>
          </cell>
          <cell r="D121" t="e">
            <v>#NAME?</v>
          </cell>
        </row>
        <row r="122">
          <cell r="B122" t="str">
            <v>Total cash flow</v>
          </cell>
          <cell r="C122" t="str">
            <v>TOT_CF</v>
          </cell>
          <cell r="D122" t="e">
            <v>#NAME?</v>
          </cell>
        </row>
        <row r="123">
          <cell r="A123" t="str">
            <v>Additional Cash Flow Items</v>
          </cell>
        </row>
        <row r="124">
          <cell r="B124" t="str">
            <v>Associate and JV add-back</v>
          </cell>
          <cell r="C124" t="str">
            <v>ASSOC_JV_ADDBK</v>
          </cell>
          <cell r="D124" t="e">
            <v>#NAME?</v>
          </cell>
        </row>
        <row r="125">
          <cell r="B125" t="str">
            <v>Profit/(loss) on sale of assets</v>
          </cell>
          <cell r="C125" t="str">
            <v>PL_SALE_ASSETS</v>
          </cell>
          <cell r="D125" t="e">
            <v>#NAME?</v>
          </cell>
        </row>
        <row r="126">
          <cell r="B126" t="str">
            <v>Other non-cash adjustments</v>
          </cell>
          <cell r="C126" t="str">
            <v>OTH_NONCASH_ADJ</v>
          </cell>
          <cell r="D126" t="e">
            <v>#NAME?</v>
          </cell>
        </row>
        <row r="127">
          <cell r="B127" t="str">
            <v>Other DACF adjustments</v>
          </cell>
          <cell r="C127" t="str">
            <v>OTH_DACF_ADJ</v>
          </cell>
          <cell r="D127" t="e">
            <v>#NAME?</v>
          </cell>
        </row>
        <row r="128">
          <cell r="B128" t="str">
            <v>Change in LT deferred income taxes (Cash flow)</v>
          </cell>
          <cell r="C128" t="str">
            <v>CHG_DEF_TAX_CF</v>
          </cell>
          <cell r="D128" t="e">
            <v>#NAME?</v>
          </cell>
        </row>
        <row r="129">
          <cell r="B129" t="str">
            <v>Other items/adjustments for computing cash tax rate (except def taxes)</v>
          </cell>
          <cell r="C129" t="str">
            <v>OTH_ADJ_CASH_TAX</v>
          </cell>
          <cell r="D129" t="e">
            <v>#NAME?</v>
          </cell>
        </row>
        <row r="130">
          <cell r="B130" t="str">
            <v>Cash interest expense</v>
          </cell>
          <cell r="C130" t="str">
            <v>CASH_INT_EXP</v>
          </cell>
          <cell r="D130" t="e">
            <v>#NAME?</v>
          </cell>
        </row>
        <row r="131">
          <cell r="B131" t="str">
            <v>Cash tax expense</v>
          </cell>
          <cell r="C131" t="str">
            <v>CASH_TAX_EXP</v>
          </cell>
          <cell r="D131" t="e">
            <v>#NAME?</v>
          </cell>
        </row>
        <row r="132">
          <cell r="B132" t="str">
            <v>Dividends received from associates/JVs</v>
          </cell>
          <cell r="C132" t="str">
            <v>DIVDS_ASSOC_JV</v>
          </cell>
          <cell r="D132" t="e">
            <v>#NAME?</v>
          </cell>
        </row>
        <row r="133">
          <cell r="B133" t="str">
            <v>Capex maintenance</v>
          </cell>
          <cell r="C133" t="str">
            <v>CAPEX_MAINTENANCE</v>
          </cell>
          <cell r="D133" t="e">
            <v>#NAME?</v>
          </cell>
        </row>
        <row r="134">
          <cell r="B134" t="str">
            <v>Capex expansion</v>
          </cell>
          <cell r="C134" t="str">
            <v>CAPEX_EXPANSION</v>
          </cell>
          <cell r="D134" t="e">
            <v>#NAME?</v>
          </cell>
        </row>
        <row r="135">
          <cell r="B135" t="str">
            <v>Non-PP&amp;E capex</v>
          </cell>
          <cell r="C135" t="str">
            <v>NONPPE_CAPEX</v>
          </cell>
          <cell r="D135" t="e">
            <v>#NAME?</v>
          </cell>
        </row>
        <row r="136">
          <cell r="B136" t="str">
            <v>Dividends paid to minorities</v>
          </cell>
          <cell r="C136" t="str">
            <v>DIVDS_PD_MINORITIES</v>
          </cell>
          <cell r="D136" t="e">
            <v>#NAME?</v>
          </cell>
        </row>
        <row r="137">
          <cell r="B137" t="str">
            <v>Free cash flow (unlevered)</v>
          </cell>
          <cell r="C137" t="str">
            <v>FCF_UNLEVERED</v>
          </cell>
          <cell r="D137" t="e">
            <v>#NAME?</v>
          </cell>
        </row>
        <row r="138">
          <cell r="A138" t="str">
            <v>Other Items</v>
          </cell>
        </row>
        <row r="139">
          <cell r="B139" t="str">
            <v>License revenue</v>
          </cell>
          <cell r="C139" t="str">
            <v>LICENSE_REV</v>
          </cell>
          <cell r="D139" t="e">
            <v>#NAME?</v>
          </cell>
        </row>
        <row r="140">
          <cell r="B140" t="str">
            <v>Maintenance revenue</v>
          </cell>
          <cell r="C140" t="str">
            <v>MAINTEN_REV</v>
          </cell>
          <cell r="D140" t="e">
            <v>#NAME?</v>
          </cell>
        </row>
        <row r="141">
          <cell r="B141" t="str">
            <v>Number of employees</v>
          </cell>
          <cell r="C141" t="str">
            <v>EMPLOYEES</v>
          </cell>
        </row>
        <row r="142">
          <cell r="B142" t="str">
            <v>Total billings (revenue plus change in deferred revenue)</v>
          </cell>
          <cell r="C142" t="str">
            <v>TOT_BILLINGS</v>
          </cell>
          <cell r="D142" t="e">
            <v>#NAME?</v>
          </cell>
        </row>
        <row r="143">
          <cell r="B143" t="str">
            <v>Short term billings (revenue plus change in short term deferred revenue)</v>
          </cell>
          <cell r="C143" t="str">
            <v>ST_BILLINGS</v>
          </cell>
          <cell r="D143" t="e">
            <v>#NAME?</v>
          </cell>
        </row>
        <row r="144">
          <cell r="B144" t="str">
            <v>Remaining performance obligations</v>
          </cell>
          <cell r="C144" t="str">
            <v>REM_PERF_OBLIG</v>
          </cell>
          <cell r="D144" t="e">
            <v>#NAME?</v>
          </cell>
        </row>
        <row r="145">
          <cell r="B145" t="str">
            <v>Current remaining performance obligations</v>
          </cell>
          <cell r="C145" t="str">
            <v>CUR_REM_PERF_OBLIG</v>
          </cell>
          <cell r="D145" t="e">
            <v>#NAME?</v>
          </cell>
        </row>
        <row r="146">
          <cell r="B146" t="str">
            <v>Segment revenue name 1</v>
          </cell>
          <cell r="C146" t="str">
            <v>SEGMENT1_REV_NAME</v>
          </cell>
        </row>
        <row r="147">
          <cell r="B147" t="str">
            <v>Segment revenue value 1</v>
          </cell>
          <cell r="C147" t="str">
            <v>SEGMENT1_REV_VALUE</v>
          </cell>
          <cell r="D147" t="e">
            <v>#NAME?</v>
          </cell>
        </row>
        <row r="148">
          <cell r="B148" t="str">
            <v>Segment revenue name 2</v>
          </cell>
          <cell r="C148" t="str">
            <v>SEGMENT2_REV_NAME</v>
          </cell>
        </row>
        <row r="149">
          <cell r="B149" t="str">
            <v>Segment revenue value 2</v>
          </cell>
          <cell r="C149" t="str">
            <v>SEGMENT2_REV_VALUE</v>
          </cell>
          <cell r="D149" t="e">
            <v>#NAME?</v>
          </cell>
        </row>
        <row r="150">
          <cell r="B150" t="str">
            <v>Segment revenue name 3</v>
          </cell>
          <cell r="C150" t="str">
            <v>SEGMENT3_REV_NAME</v>
          </cell>
        </row>
        <row r="151">
          <cell r="B151" t="str">
            <v>Segment revenue value 3</v>
          </cell>
          <cell r="C151" t="str">
            <v>SEGMENT3_REV_VALUE</v>
          </cell>
          <cell r="D151" t="e">
            <v>#NAME?</v>
          </cell>
        </row>
        <row r="152">
          <cell r="B152" t="str">
            <v>Segment revenue name 4</v>
          </cell>
          <cell r="C152" t="str">
            <v>SEGMENT4_REV_NAME</v>
          </cell>
        </row>
        <row r="153">
          <cell r="B153" t="str">
            <v>Segment revenue value 4</v>
          </cell>
          <cell r="C153" t="str">
            <v>SEGMENT4_REV_VALUE</v>
          </cell>
          <cell r="D153" t="e">
            <v>#NAME?</v>
          </cell>
        </row>
        <row r="154">
          <cell r="B154" t="str">
            <v>Segment revenue name 5</v>
          </cell>
          <cell r="C154" t="str">
            <v>SEGMENT5_REV_NAME</v>
          </cell>
        </row>
        <row r="155">
          <cell r="B155" t="str">
            <v>Segment revenue value 5</v>
          </cell>
          <cell r="C155" t="str">
            <v>SEGMENT5_REV_VALUE</v>
          </cell>
          <cell r="D155" t="e">
            <v>#NAME?</v>
          </cell>
        </row>
        <row r="156">
          <cell r="B156" t="str">
            <v>Segment revenue name 6</v>
          </cell>
          <cell r="C156" t="str">
            <v>SEGMENT6_REV_NAME</v>
          </cell>
        </row>
        <row r="157">
          <cell r="B157" t="str">
            <v>Segment revenue value 6</v>
          </cell>
          <cell r="C157" t="str">
            <v>SEGMENT6_REV_VALUE</v>
          </cell>
          <cell r="D157" t="e">
            <v>#NAME?</v>
          </cell>
        </row>
        <row r="158">
          <cell r="B158" t="str">
            <v>Segment revenue name 7</v>
          </cell>
          <cell r="C158" t="str">
            <v>SEGMENT7_REV_NAME</v>
          </cell>
        </row>
        <row r="159">
          <cell r="B159" t="str">
            <v>Segment revenue value 7</v>
          </cell>
          <cell r="C159" t="str">
            <v>SEGMENT7_REV_VALUE</v>
          </cell>
          <cell r="D159" t="e">
            <v>#NAME?</v>
          </cell>
        </row>
        <row r="160">
          <cell r="B160" t="str">
            <v>Segment revenue name 8</v>
          </cell>
          <cell r="C160" t="str">
            <v>SEGMENT8_REV_NAME</v>
          </cell>
        </row>
        <row r="161">
          <cell r="B161" t="str">
            <v>Segment revenue value 8</v>
          </cell>
          <cell r="C161" t="str">
            <v>SEGMENT8_REV_VALUE</v>
          </cell>
          <cell r="D161" t="e">
            <v>#NAME?</v>
          </cell>
        </row>
        <row r="162">
          <cell r="B162" t="str">
            <v>Segment revenue name 9</v>
          </cell>
          <cell r="C162" t="str">
            <v>SEGMENT9_REV_NAME</v>
          </cell>
        </row>
        <row r="163">
          <cell r="B163" t="str">
            <v>Segment revenue value 9</v>
          </cell>
          <cell r="C163" t="str">
            <v>SEGMENT9_REV_VALUE</v>
          </cell>
          <cell r="D163" t="e">
            <v>#NAME?</v>
          </cell>
        </row>
        <row r="164">
          <cell r="B164" t="str">
            <v>Segment revenue name 10</v>
          </cell>
          <cell r="C164" t="str">
            <v>SEGMENT10_REV_NAME</v>
          </cell>
        </row>
        <row r="165">
          <cell r="B165" t="str">
            <v>Segment revenue value 10</v>
          </cell>
          <cell r="C165" t="str">
            <v>SEGMENT10_REV_VALUE</v>
          </cell>
          <cell r="D165" t="e">
            <v>#NAME?</v>
          </cell>
        </row>
        <row r="166">
          <cell r="A166" t="str">
            <v>Geographical Breakdown</v>
          </cell>
        </row>
        <row r="167">
          <cell r="B167" t="str">
            <v>Sales - % Canada</v>
          </cell>
          <cell r="C167" t="str">
            <v>SALES_CANADA</v>
          </cell>
        </row>
        <row r="168">
          <cell r="B168" t="str">
            <v>Sales - % United States</v>
          </cell>
          <cell r="C168" t="str">
            <v>SALES_US</v>
          </cell>
        </row>
        <row r="169">
          <cell r="B169" t="str">
            <v>Sales - % Other North Americas</v>
          </cell>
          <cell r="C169" t="str">
            <v>SALES_OTH_NO_AMER</v>
          </cell>
        </row>
        <row r="170">
          <cell r="B170" t="str">
            <v>Sales - % Argentina</v>
          </cell>
          <cell r="C170" t="str">
            <v>SALES_ARGENTINA</v>
          </cell>
        </row>
        <row r="171">
          <cell r="B171" t="str">
            <v>Sales - % Brazil</v>
          </cell>
          <cell r="C171" t="str">
            <v>SALES_BRAZIL</v>
          </cell>
        </row>
        <row r="172">
          <cell r="B172" t="str">
            <v>Sales - % Chile</v>
          </cell>
          <cell r="C172" t="str">
            <v>SALES_CHILE</v>
          </cell>
        </row>
        <row r="173">
          <cell r="B173" t="str">
            <v>Sales - % Colombia</v>
          </cell>
          <cell r="C173" t="str">
            <v>SALES_COLOMBIA</v>
          </cell>
        </row>
        <row r="174">
          <cell r="B174" t="str">
            <v>Sales - % Mexico</v>
          </cell>
          <cell r="C174" t="str">
            <v>SALES_MEXICO</v>
          </cell>
        </row>
        <row r="175">
          <cell r="B175" t="str">
            <v>Sales - % Venezuela</v>
          </cell>
          <cell r="C175" t="str">
            <v>SALES_VENEZUELA</v>
          </cell>
        </row>
        <row r="176">
          <cell r="B176" t="str">
            <v>Sales - % Other Latin Americas</v>
          </cell>
          <cell r="C176" t="str">
            <v>SALES_OTH_LATAM</v>
          </cell>
        </row>
        <row r="177">
          <cell r="B177" t="str">
            <v>Sales - % Austria</v>
          </cell>
          <cell r="C177" t="str">
            <v>SALES_AUSTRIA</v>
          </cell>
        </row>
        <row r="178">
          <cell r="B178" t="str">
            <v>Sales - % Belgium</v>
          </cell>
          <cell r="C178" t="str">
            <v>SALES_BEL</v>
          </cell>
        </row>
        <row r="179">
          <cell r="B179" t="str">
            <v>Sales - % France</v>
          </cell>
          <cell r="C179" t="str">
            <v>SALES_FRA</v>
          </cell>
        </row>
        <row r="180">
          <cell r="B180" t="str">
            <v>Sales - % Germany</v>
          </cell>
          <cell r="C180" t="str">
            <v>SALES_GER</v>
          </cell>
        </row>
        <row r="181">
          <cell r="B181" t="str">
            <v>Sales - % Greece</v>
          </cell>
          <cell r="C181" t="str">
            <v>SALES_GRE</v>
          </cell>
        </row>
        <row r="182">
          <cell r="B182" t="str">
            <v>Sales - % Ireland</v>
          </cell>
          <cell r="C182" t="str">
            <v>SALES_IRE</v>
          </cell>
        </row>
        <row r="183">
          <cell r="B183" t="str">
            <v>Sales - % Italy</v>
          </cell>
          <cell r="C183" t="str">
            <v>SALES_ITA</v>
          </cell>
        </row>
        <row r="184">
          <cell r="B184" t="str">
            <v>Sales - % Netherlands</v>
          </cell>
          <cell r="C184" t="str">
            <v>SALES_NETH</v>
          </cell>
        </row>
        <row r="185">
          <cell r="B185" t="str">
            <v>Sales - % Norway</v>
          </cell>
          <cell r="C185" t="str">
            <v>SALES_NOR</v>
          </cell>
        </row>
        <row r="186">
          <cell r="B186" t="str">
            <v>Sales - % Portugal</v>
          </cell>
          <cell r="C186" t="str">
            <v>SALES_POR</v>
          </cell>
        </row>
        <row r="187">
          <cell r="B187" t="str">
            <v>Sales - % Spain</v>
          </cell>
          <cell r="C187" t="str">
            <v>SALES_SPA</v>
          </cell>
        </row>
        <row r="188">
          <cell r="B188" t="str">
            <v>Sales - % Sweden</v>
          </cell>
          <cell r="C188" t="str">
            <v>SALES_SWE</v>
          </cell>
        </row>
        <row r="189">
          <cell r="B189" t="str">
            <v>Sales - % Switzerland</v>
          </cell>
          <cell r="C189" t="str">
            <v>SALES_SWIT</v>
          </cell>
        </row>
        <row r="190">
          <cell r="B190" t="str">
            <v>Sales - % UK</v>
          </cell>
          <cell r="C190" t="str">
            <v>SALES_UK</v>
          </cell>
        </row>
        <row r="191">
          <cell r="B191" t="str">
            <v>Sales - % Other Western Europe</v>
          </cell>
          <cell r="C191" t="str">
            <v>SALES_OTH_WEST_EURO</v>
          </cell>
        </row>
        <row r="192">
          <cell r="B192" t="str">
            <v>Sales - % Poland</v>
          </cell>
          <cell r="C192" t="str">
            <v>SALES_POLAND</v>
          </cell>
        </row>
        <row r="193">
          <cell r="B193" t="str">
            <v>Sales - % Russia</v>
          </cell>
          <cell r="C193" t="str">
            <v>SALES_RUSSIA</v>
          </cell>
        </row>
        <row r="194">
          <cell r="B194" t="str">
            <v>Sales - % Turkey</v>
          </cell>
          <cell r="C194" t="str">
            <v>SALES_TURKEY</v>
          </cell>
        </row>
        <row r="195">
          <cell r="B195" t="str">
            <v>Sales - % Other CEE</v>
          </cell>
          <cell r="C195" t="str">
            <v>SALES_OTH_CEE</v>
          </cell>
        </row>
        <row r="196">
          <cell r="B196" t="str">
            <v>Sales - % Saudi Arabia</v>
          </cell>
          <cell r="C196" t="str">
            <v>SALES_SAUDI_ARABIA</v>
          </cell>
        </row>
        <row r="197">
          <cell r="B197" t="str">
            <v>Sales - % United Arab Emirates</v>
          </cell>
          <cell r="C197" t="str">
            <v>SALES_UAE</v>
          </cell>
        </row>
        <row r="198">
          <cell r="B198" t="str">
            <v>Sales - % Other Middle East</v>
          </cell>
          <cell r="C198" t="str">
            <v>SALES_OTH_ME</v>
          </cell>
        </row>
        <row r="199">
          <cell r="B199" t="str">
            <v>Sales - % Nigeria</v>
          </cell>
          <cell r="C199" t="str">
            <v>SALES_NIGERIA</v>
          </cell>
        </row>
        <row r="200">
          <cell r="B200" t="str">
            <v>Sales - % South Africa</v>
          </cell>
          <cell r="C200" t="str">
            <v>SALES_SO_AFRICA</v>
          </cell>
        </row>
        <row r="201">
          <cell r="B201" t="str">
            <v>Sales - % Other Africa</v>
          </cell>
          <cell r="C201" t="str">
            <v>SALES_OTH_AFRICA</v>
          </cell>
        </row>
        <row r="202">
          <cell r="B202" t="str">
            <v>Sales - % Hong Kong</v>
          </cell>
          <cell r="C202" t="str">
            <v>SALES_HONG_KONG</v>
          </cell>
        </row>
        <row r="203">
          <cell r="B203" t="str">
            <v>Sales - % Japan</v>
          </cell>
          <cell r="C203" t="str">
            <v>SALES_JAPAN</v>
          </cell>
        </row>
        <row r="204">
          <cell r="B204" t="str">
            <v>Sales - % Singapore</v>
          </cell>
          <cell r="C204" t="str">
            <v>SALES_SINGAPORE</v>
          </cell>
        </row>
        <row r="205">
          <cell r="B205" t="str">
            <v>Sales - % South Korea</v>
          </cell>
          <cell r="C205" t="str">
            <v>SALES_SK</v>
          </cell>
        </row>
        <row r="206">
          <cell r="B206" t="str">
            <v>Sales - % Taiwan</v>
          </cell>
          <cell r="C206" t="str">
            <v>SALES_TAIWAN</v>
          </cell>
        </row>
        <row r="207">
          <cell r="B207" t="str">
            <v>Sales - % Other Developed Asia</v>
          </cell>
          <cell r="C207" t="str">
            <v>SALES_OTH_DEV_ASIA</v>
          </cell>
        </row>
        <row r="208">
          <cell r="B208" t="str">
            <v>Sales - % China</v>
          </cell>
          <cell r="C208" t="str">
            <v>SALES_CHINA</v>
          </cell>
        </row>
        <row r="209">
          <cell r="B209" t="str">
            <v>Sales - % India</v>
          </cell>
          <cell r="C209" t="str">
            <v>SALES_INDIA</v>
          </cell>
        </row>
        <row r="210">
          <cell r="B210" t="str">
            <v>Sales - % Indonesia</v>
          </cell>
          <cell r="C210" t="str">
            <v>SALES_INDONESIA</v>
          </cell>
        </row>
        <row r="211">
          <cell r="B211" t="str">
            <v>Sales - % Thailand</v>
          </cell>
          <cell r="C211" t="str">
            <v>SALES_THAILAND</v>
          </cell>
        </row>
        <row r="212">
          <cell r="B212" t="str">
            <v>Sales - % Other Emerging Asia</v>
          </cell>
          <cell r="C212" t="str">
            <v>SALES_OTH_EMERG_ASIA</v>
          </cell>
        </row>
        <row r="213">
          <cell r="B213" t="str">
            <v>Sales - % Australia</v>
          </cell>
          <cell r="C213" t="str">
            <v>SALES_AUSTRA</v>
          </cell>
        </row>
        <row r="214">
          <cell r="B214" t="str">
            <v>Sales - % New Zealand</v>
          </cell>
          <cell r="C214" t="str">
            <v>SALES_NZ</v>
          </cell>
        </row>
        <row r="215">
          <cell r="B215" t="str">
            <v>Sales - % Others</v>
          </cell>
          <cell r="C215" t="str">
            <v>SALES_OTHER</v>
          </cell>
        </row>
        <row r="216">
          <cell r="B216" t="str">
            <v>% of CoGS from U.S. (GS estimate)</v>
          </cell>
          <cell r="C216" t="str">
            <v>COGS_PCT_US</v>
          </cell>
        </row>
        <row r="217">
          <cell r="B217" t="str">
            <v>% of CoGS from non-U.S. (GS estimate)</v>
          </cell>
          <cell r="C217" t="str">
            <v>COGS_PCT_ROW</v>
          </cell>
        </row>
        <row r="218">
          <cell r="B218" t="str">
            <v>% of SG&amp;A from U.S. (GS estimate)</v>
          </cell>
          <cell r="C218" t="str">
            <v>SGA_PCT_US</v>
          </cell>
        </row>
        <row r="219">
          <cell r="B219" t="str">
            <v>% of SG&amp;A from non-U.S. (GS estimate)</v>
          </cell>
          <cell r="C219" t="str">
            <v>SGA_PCT_ROW</v>
          </cell>
        </row>
        <row r="220">
          <cell r="B220" t="str">
            <v>Sales -% Consumer (C)</v>
          </cell>
          <cell r="C220" t="str">
            <v>SALES_CONS</v>
          </cell>
        </row>
        <row r="221">
          <cell r="B221" t="str">
            <v>Sales -% Industry (I)</v>
          </cell>
          <cell r="C221" t="str">
            <v>SALES_IND</v>
          </cell>
        </row>
        <row r="222">
          <cell r="B222" t="str">
            <v>Sales -% Government (G)</v>
          </cell>
          <cell r="C222" t="str">
            <v>SALES_GOV</v>
          </cell>
        </row>
        <row r="223">
          <cell r="B223" t="str">
            <v>Sales - % Industry Sub-Segment: Financial Services</v>
          </cell>
          <cell r="C223" t="str">
            <v>SALES_FINAN</v>
          </cell>
        </row>
        <row r="224">
          <cell r="B224" t="str">
            <v>Sales - % Industry Sub-Segment: Oil &amp; Gas</v>
          </cell>
          <cell r="C224" t="str">
            <v>SALES_OIL_GAS</v>
          </cell>
        </row>
        <row r="225">
          <cell r="B225" t="str">
            <v>Sales (%) SMB</v>
          </cell>
          <cell r="C225" t="str">
            <v>SALES_SMB</v>
          </cell>
        </row>
        <row r="226">
          <cell r="B226" t="str">
            <v>% of total cash balance held overseas (outside the US)</v>
          </cell>
          <cell r="C226" t="str">
            <v>CASH_PCT_OS_US</v>
          </cell>
        </row>
        <row r="227">
          <cell r="B227" t="str">
            <v>Sales - % from Captive Financing Business</v>
          </cell>
          <cell r="C227" t="str">
            <v>REV_FIN_SEGMENT</v>
          </cell>
        </row>
        <row r="228">
          <cell r="B228" t="str">
            <v>Operating Earnings - % from Captive Financing Business</v>
          </cell>
          <cell r="C228" t="str">
            <v>EBIT_FIN_SEGMENT</v>
          </cell>
        </row>
        <row r="229">
          <cell r="A229" t="str">
            <v>Commodities Exposure - Expense</v>
          </cell>
        </row>
        <row r="230">
          <cell r="B230" t="str">
            <v>Expense - % Oil/Petrol/Fuel</v>
          </cell>
          <cell r="C230" t="str">
            <v>EXP_OIL_PETRO_FUEL</v>
          </cell>
        </row>
        <row r="231">
          <cell r="B231" t="str">
            <v>Expense - % Oil derivatives/NGLs/plastics</v>
          </cell>
          <cell r="C231" t="str">
            <v>EXP_OIL_DERIV_NGLS_PLASTICS</v>
          </cell>
        </row>
        <row r="232">
          <cell r="A232" t="str">
            <v>FX Exposure - Sales</v>
          </cell>
        </row>
        <row r="233">
          <cell r="B233" t="str">
            <v>Sales - % FX: British Pounds/Pence</v>
          </cell>
          <cell r="C233" t="str">
            <v>SALES_FX_GPB</v>
          </cell>
        </row>
        <row r="234">
          <cell r="B234" t="str">
            <v>Sales - % FX: Euro</v>
          </cell>
          <cell r="C234" t="str">
            <v>SALES_FX_EUR</v>
          </cell>
        </row>
        <row r="235">
          <cell r="B235" t="str">
            <v>Sales - % FX: New Russian Ruble</v>
          </cell>
          <cell r="C235" t="str">
            <v>SALES_FX_RUB</v>
          </cell>
        </row>
        <row r="236">
          <cell r="B236" t="str">
            <v>Sales - % FX: U.S. Dollar</v>
          </cell>
          <cell r="C236" t="str">
            <v>SALES_FX_USD</v>
          </cell>
        </row>
        <row r="237">
          <cell r="B237" t="str">
            <v>Sales - % FX: Brazilian Real</v>
          </cell>
          <cell r="C237" t="str">
            <v>SALES_FX_BRL</v>
          </cell>
        </row>
        <row r="238">
          <cell r="B238" t="str">
            <v>Sales - % FX: Japanese Yen</v>
          </cell>
          <cell r="C238" t="str">
            <v>SALES_FX_YEN</v>
          </cell>
        </row>
        <row r="239">
          <cell r="B239" t="str">
            <v>Sales - % FX: Chinese Renminbi</v>
          </cell>
          <cell r="C239" t="str">
            <v>SALES_FX_CNY</v>
          </cell>
        </row>
        <row r="240">
          <cell r="B240" t="str">
            <v>Sales - % FX: Indian Rupee</v>
          </cell>
          <cell r="C240" t="str">
            <v>SALES_FX_INR</v>
          </cell>
        </row>
        <row r="241">
          <cell r="B241" t="str">
            <v>Sales - % FX: Canadian Dollar</v>
          </cell>
          <cell r="C241" t="str">
            <v>SALES_FX_CAD</v>
          </cell>
        </row>
        <row r="242">
          <cell r="B242" t="str">
            <v>Sales - % FX: Mexican Peso</v>
          </cell>
          <cell r="C242" t="str">
            <v>SALES_FX_MXN</v>
          </cell>
        </row>
        <row r="243">
          <cell r="B243" t="str">
            <v>Sales - % FX: Colombian Peso</v>
          </cell>
          <cell r="C243" t="str">
            <v>SALES_FX_COP</v>
          </cell>
        </row>
        <row r="244">
          <cell r="B244" t="str">
            <v>Sales - % FX: Argentine Peso</v>
          </cell>
          <cell r="C244" t="str">
            <v>SALES_FX_ARS</v>
          </cell>
        </row>
        <row r="245">
          <cell r="B245" t="str">
            <v>Sales - % FX: Chilean Peso</v>
          </cell>
          <cell r="C245" t="str">
            <v>SALES_FX_CLP</v>
          </cell>
        </row>
        <row r="246">
          <cell r="B246" t="str">
            <v>Sales - % FX: Venezuelan bolivar</v>
          </cell>
          <cell r="C246" t="str">
            <v>SALES_FX_VEF</v>
          </cell>
        </row>
        <row r="247">
          <cell r="B247" t="str">
            <v>Sales - % FX: Other Currency</v>
          </cell>
          <cell r="C247" t="str">
            <v>SALES_FX_OTH</v>
          </cell>
        </row>
        <row r="248">
          <cell r="A248" t="str">
            <v>Items to be removed</v>
          </cell>
        </row>
        <row r="249">
          <cell r="B249" t="str">
            <v>Sales - Total % Americas</v>
          </cell>
          <cell r="C249" t="str">
            <v>SALES_TOT_AM</v>
          </cell>
        </row>
        <row r="250">
          <cell r="B250" t="str">
            <v>Sales - % Other Americas</v>
          </cell>
          <cell r="C250" t="str">
            <v>SALES_OTH_AM</v>
          </cell>
        </row>
        <row r="251">
          <cell r="B251" t="str">
            <v>Sales - Total % EMEA</v>
          </cell>
          <cell r="C251" t="str">
            <v>SALES_TOT_EMEA</v>
          </cell>
        </row>
        <row r="252">
          <cell r="B252" t="str">
            <v>Sales - % Western Europe-Ex UK</v>
          </cell>
          <cell r="C252" t="str">
            <v>SALES_EU_EX_UK</v>
          </cell>
        </row>
        <row r="253">
          <cell r="B253" t="str">
            <v>Sales - % Central &amp; Eastern Europe</v>
          </cell>
          <cell r="C253" t="str">
            <v>SALES_CEE</v>
          </cell>
        </row>
        <row r="254">
          <cell r="B254" t="str">
            <v>Sales - % Middle East</v>
          </cell>
          <cell r="C254" t="str">
            <v>SALES_ME</v>
          </cell>
        </row>
        <row r="255">
          <cell r="B255" t="str">
            <v>Sales - % Total Africa</v>
          </cell>
          <cell r="C255" t="str">
            <v>SALES_TOT_AFRICA</v>
          </cell>
        </row>
        <row r="256">
          <cell r="B256" t="str">
            <v>Sales - % Other EMEA</v>
          </cell>
          <cell r="C256" t="str">
            <v>SALES_OTH_EMEA</v>
          </cell>
        </row>
        <row r="257">
          <cell r="B257" t="str">
            <v>Sales - Total % Asia (incl Australia &amp; New Zealand)</v>
          </cell>
          <cell r="C257" t="str">
            <v>SALES_TOT_ASIA</v>
          </cell>
        </row>
        <row r="258">
          <cell r="B258" t="str">
            <v>Sales - % Other Asia</v>
          </cell>
          <cell r="C258" t="str">
            <v>SALES_OTH_AEJ</v>
          </cell>
        </row>
        <row r="259">
          <cell r="A259" t="str">
            <v>Security: Nutanix Inc.</v>
          </cell>
        </row>
        <row r="260">
          <cell r="A260" t="str">
            <v>Reference Data</v>
          </cell>
        </row>
        <row r="261">
          <cell r="B261" t="str">
            <v>Ticker</v>
          </cell>
          <cell r="C261" t="str">
            <v>Ticker</v>
          </cell>
          <cell r="E261" t="str">
            <v>NTNX</v>
          </cell>
        </row>
        <row r="262">
          <cell r="B262" t="str">
            <v>Security Name</v>
          </cell>
          <cell r="C262" t="str">
            <v>Security Name</v>
          </cell>
          <cell r="E262" t="str">
            <v>Nutanix Inc.</v>
          </cell>
        </row>
        <row r="263">
          <cell r="B263" t="str">
            <v>Interim Type</v>
          </cell>
          <cell r="C263" t="str">
            <v>Interim Type</v>
          </cell>
          <cell r="E263" t="str">
            <v>Q</v>
          </cell>
        </row>
        <row r="264">
          <cell r="B264" t="str">
            <v>Publishing Currency</v>
          </cell>
          <cell r="C264" t="str">
            <v>PUB_CURRENCY_ISO</v>
          </cell>
          <cell r="E264" t="str">
            <v>USD</v>
          </cell>
        </row>
        <row r="265">
          <cell r="B265" t="str">
            <v>Pricing Currency</v>
          </cell>
          <cell r="C265" t="str">
            <v>PRICE_CURRENCY_ISO</v>
          </cell>
          <cell r="E265" t="str">
            <v>USD</v>
          </cell>
        </row>
        <row r="266">
          <cell r="B266" t="str">
            <v>Reporting Currency</v>
          </cell>
          <cell r="C266" t="str">
            <v>CURRENCY_ISO</v>
          </cell>
          <cell r="E266" t="str">
            <v>USD</v>
          </cell>
        </row>
        <row r="267">
          <cell r="A267" t="str">
            <v>General Information</v>
          </cell>
        </row>
        <row r="268">
          <cell r="B268" t="str">
            <v>Americas Investment List</v>
          </cell>
          <cell r="C268" t="str">
            <v>AMER_LIST</v>
          </cell>
        </row>
        <row r="269">
          <cell r="B269" t="str">
            <v>Americas Conviction List</v>
          </cell>
          <cell r="C269" t="str">
            <v>NOT IN USE</v>
          </cell>
        </row>
        <row r="270">
          <cell r="B270" t="str">
            <v>Legal rating</v>
          </cell>
          <cell r="C270" t="str">
            <v>LEGAL_RATING</v>
          </cell>
        </row>
        <row r="271">
          <cell r="B271" t="str">
            <v>Target price</v>
          </cell>
          <cell r="C271" t="str">
            <v>TARGET_PRICE</v>
          </cell>
          <cell r="D271" t="e">
            <v>#NAME?</v>
          </cell>
        </row>
        <row r="272">
          <cell r="B272" t="str">
            <v>Target price period</v>
          </cell>
          <cell r="C272" t="str">
            <v>TP_PERIOD</v>
          </cell>
        </row>
        <row r="273">
          <cell r="B273" t="str">
            <v>Fundamental value</v>
          </cell>
          <cell r="C273" t="str">
            <v>TARGET_PRICE_FUNDAMENTAL</v>
          </cell>
          <cell r="D273" t="e">
            <v>#NAME?</v>
          </cell>
        </row>
        <row r="274">
          <cell r="B274" t="str">
            <v>M&amp;A value</v>
          </cell>
          <cell r="C274" t="str">
            <v>TARGET_PRICE_MA</v>
          </cell>
          <cell r="D274" t="e">
            <v>#NAME?</v>
          </cell>
        </row>
        <row r="275">
          <cell r="B275" t="str">
            <v>Current shares outstanding (mn)</v>
          </cell>
          <cell r="C275" t="str">
            <v>NUM_SH</v>
          </cell>
        </row>
        <row r="276">
          <cell r="B276" t="str">
            <v>Free float</v>
          </cell>
          <cell r="C276" t="str">
            <v>FREE_FLOAT</v>
          </cell>
        </row>
        <row r="277">
          <cell r="A277" t="str">
            <v>Publishing Items</v>
          </cell>
        </row>
        <row r="278">
          <cell r="B278" t="str">
            <v>Book value per share, BVPS (Pub)</v>
          </cell>
          <cell r="C278" t="str">
            <v>BVPS_PUB</v>
          </cell>
          <cell r="D278" t="e">
            <v>#NAME?</v>
          </cell>
        </row>
        <row r="279">
          <cell r="B279" t="str">
            <v>DPS, dividend per share (Pub)</v>
          </cell>
          <cell r="C279" t="str">
            <v>DPS_PUB</v>
          </cell>
          <cell r="D279" t="e">
            <v>#NAME?</v>
          </cell>
        </row>
        <row r="280">
          <cell r="B280" t="str">
            <v>Special dividend per share</v>
          </cell>
          <cell r="C280" t="str">
            <v>DPS_SPECIAL_PUB</v>
          </cell>
          <cell r="D280" t="e">
            <v>#NAME?</v>
          </cell>
        </row>
        <row r="281">
          <cell r="B281" t="str">
            <v>EBITDA (Pub)</v>
          </cell>
          <cell r="C281" t="str">
            <v>EBITDA_PUB</v>
          </cell>
          <cell r="D281" t="e">
            <v>#NAME?</v>
          </cell>
        </row>
        <row r="282">
          <cell r="B282" t="str">
            <v>EPS (Pub)</v>
          </cell>
          <cell r="C282" t="str">
            <v>EPS_PUB</v>
          </cell>
          <cell r="D282" t="e">
            <v>#NAME?</v>
          </cell>
        </row>
        <row r="283">
          <cell r="B283" t="str">
            <v>Consensus earnings equivalent estimate</v>
          </cell>
          <cell r="C283" t="str">
            <v>CEEE_EPS</v>
          </cell>
          <cell r="D283" t="e">
            <v>#NAME?</v>
          </cell>
        </row>
        <row r="284">
          <cell r="B284" t="str">
            <v>EPS (excl. ESO) (Pub)</v>
          </cell>
          <cell r="C284" t="str">
            <v>EPS_PUB_EX_ESO</v>
          </cell>
          <cell r="D284" t="e">
            <v>#NAME?</v>
          </cell>
        </row>
        <row r="285">
          <cell r="B285" t="str">
            <v>EV adjustment (Pub)</v>
          </cell>
          <cell r="C285" t="str">
            <v>EV_ADJ_PUB</v>
          </cell>
          <cell r="D285" t="e">
            <v>#NAME?</v>
          </cell>
        </row>
        <row r="286">
          <cell r="B286" t="str">
            <v>Net debt (Pub)</v>
          </cell>
          <cell r="C286" t="str">
            <v>NET_DEBT_PUB</v>
          </cell>
          <cell r="D286" t="e">
            <v>#NAME?</v>
          </cell>
        </row>
        <row r="287">
          <cell r="B287" t="str">
            <v>Net Debt (ex leases) (Pub)</v>
          </cell>
          <cell r="C287" t="str">
            <v>NET_DEBT_EX_LEASES_PUB</v>
          </cell>
          <cell r="D287" t="e">
            <v>#NAME?</v>
          </cell>
        </row>
        <row r="288">
          <cell r="B288" t="str">
            <v>Consensus equivalent net debt</v>
          </cell>
          <cell r="C288" t="str">
            <v>CEEE_NDEBT</v>
          </cell>
          <cell r="D288" t="e">
            <v>#NAME?</v>
          </cell>
        </row>
        <row r="289">
          <cell r="B289" t="str">
            <v>Net income (Pub)</v>
          </cell>
          <cell r="C289" t="str">
            <v>NI_PUB</v>
          </cell>
          <cell r="D289" t="e">
            <v>#NAME?</v>
          </cell>
        </row>
        <row r="290">
          <cell r="B290" t="str">
            <v>EBIT, operating profit (Pub)</v>
          </cell>
          <cell r="C290" t="str">
            <v>EBIT_PUB</v>
          </cell>
          <cell r="D290" t="e">
            <v>#NAME?</v>
          </cell>
        </row>
        <row r="291">
          <cell r="B291" t="str">
            <v>Pre-tax profit (Pub)</v>
          </cell>
          <cell r="C291" t="str">
            <v>PTP_PUB</v>
          </cell>
          <cell r="D291" t="e">
            <v>#NAME?</v>
          </cell>
        </row>
        <row r="292">
          <cell r="B292" t="str">
            <v>Sales, revenue (Pub)</v>
          </cell>
          <cell r="C292" t="str">
            <v>REVS_PUB</v>
          </cell>
          <cell r="D292" t="e">
            <v>#NAME?</v>
          </cell>
        </row>
        <row r="293">
          <cell r="B293" t="str">
            <v>Total shareholders' equity (Pub)</v>
          </cell>
          <cell r="C293" t="str">
            <v>EQ_PUB</v>
          </cell>
          <cell r="D293" t="e">
            <v>#NAME?</v>
          </cell>
        </row>
        <row r="294">
          <cell r="A294" t="str">
            <v>Income Statement</v>
          </cell>
        </row>
        <row r="295">
          <cell r="B295" t="str">
            <v>Provision for income tax</v>
          </cell>
          <cell r="C295" t="str">
            <v>PROV_INC_TAX</v>
          </cell>
          <cell r="D295" t="e">
            <v>#NAME?</v>
          </cell>
        </row>
        <row r="296">
          <cell r="B296" t="str">
            <v>Minority interest</v>
          </cell>
          <cell r="C296" t="str">
            <v>INC_MINORITY</v>
          </cell>
          <cell r="D296" t="e">
            <v>#NAME?</v>
          </cell>
        </row>
        <row r="297">
          <cell r="B297" t="str">
            <v>Net income (pre-preferred dividends)</v>
          </cell>
          <cell r="C297" t="str">
            <v>NI_PRE_PREF</v>
          </cell>
          <cell r="D297" t="e">
            <v>#NAME?</v>
          </cell>
        </row>
        <row r="298">
          <cell r="B298" t="str">
            <v>Preferred dividends</v>
          </cell>
          <cell r="C298" t="str">
            <v>PREF_DIV</v>
          </cell>
          <cell r="D298" t="e">
            <v>#NAME?</v>
          </cell>
        </row>
        <row r="299">
          <cell r="B299" t="str">
            <v>Net income (pre-exceptionals)</v>
          </cell>
          <cell r="C299" t="str">
            <v>NET_EARNING</v>
          </cell>
          <cell r="D299" t="e">
            <v>#NAME?</v>
          </cell>
        </row>
        <row r="300">
          <cell r="B300" t="str">
            <v>Post-tax exceptionals</v>
          </cell>
          <cell r="C300" t="str">
            <v>TAX_EXC</v>
          </cell>
          <cell r="D300" t="e">
            <v>#NAME?</v>
          </cell>
        </row>
        <row r="301">
          <cell r="B301" t="str">
            <v>Net income (post-exceptionals)</v>
          </cell>
          <cell r="C301" t="str">
            <v>NET_INC</v>
          </cell>
          <cell r="D301" t="e">
            <v>#NAME?</v>
          </cell>
        </row>
        <row r="302">
          <cell r="B302" t="str">
            <v>EPS (pre-exceptionals, basic)</v>
          </cell>
          <cell r="C302" t="str">
            <v>EPS</v>
          </cell>
          <cell r="D302" t="e">
            <v>#NAME?</v>
          </cell>
        </row>
        <row r="303">
          <cell r="B303" t="str">
            <v>EPS (pre-exceptionals, diluted)</v>
          </cell>
          <cell r="C303" t="str">
            <v>EPS_FUL_DIL</v>
          </cell>
          <cell r="D303" t="e">
            <v>#NAME?</v>
          </cell>
        </row>
        <row r="304">
          <cell r="B304" t="str">
            <v>EPS (post-exceptionals, basic)</v>
          </cell>
          <cell r="C304" t="str">
            <v>EPS_POST_BASIC</v>
          </cell>
          <cell r="D304" t="e">
            <v>#NAME?</v>
          </cell>
        </row>
        <row r="305">
          <cell r="B305" t="str">
            <v>EPS (post-exceptionals, diluted)</v>
          </cell>
          <cell r="C305" t="str">
            <v>FULLY_DIL_EPS</v>
          </cell>
          <cell r="D305" t="e">
            <v>#NAME?</v>
          </cell>
        </row>
        <row r="306">
          <cell r="B306" t="str">
            <v>Common dividends paid</v>
          </cell>
          <cell r="C306" t="str">
            <v>COMMON_DIV_PAID</v>
          </cell>
          <cell r="D306" t="e">
            <v>#NAME?</v>
          </cell>
        </row>
        <row r="307">
          <cell r="B307" t="str">
            <v>DPS, dividend per share</v>
          </cell>
          <cell r="C307" t="str">
            <v>DPS</v>
          </cell>
          <cell r="D307" t="e">
            <v>#NAME?</v>
          </cell>
        </row>
        <row r="308">
          <cell r="B308" t="str">
            <v>Weighted average shares outstanding, basic</v>
          </cell>
          <cell r="C308" t="str">
            <v>SH</v>
          </cell>
        </row>
        <row r="309">
          <cell r="B309" t="str">
            <v>Diluted average shares outstanding (mn)</v>
          </cell>
          <cell r="C309" t="str">
            <v>DILUTE_SHARES</v>
          </cell>
        </row>
        <row r="310">
          <cell r="B310" t="str">
            <v>Period-end shares outstanding</v>
          </cell>
          <cell r="C310" t="str">
            <v>NON_OP_ADD</v>
          </cell>
        </row>
        <row r="311">
          <cell r="A311" t="str">
            <v>Additional Income Statement Items</v>
          </cell>
        </row>
        <row r="312">
          <cell r="B312" t="str">
            <v>Marginal tax rate</v>
          </cell>
          <cell r="C312" t="str">
            <v>MARGIN_TAX_RATE</v>
          </cell>
        </row>
        <row r="313">
          <cell r="A313" t="str">
            <v>ESO</v>
          </cell>
        </row>
        <row r="314">
          <cell r="B314" t="str">
            <v>Fair value of grant</v>
          </cell>
          <cell r="C314" t="str">
            <v>FV_GRANT</v>
          </cell>
          <cell r="D314" t="e">
            <v>#NAME?</v>
          </cell>
        </row>
        <row r="315">
          <cell r="B315" t="str">
            <v>ESO expense (post-tax)</v>
          </cell>
          <cell r="C315" t="str">
            <v>ESO_POST_TAX</v>
          </cell>
          <cell r="D315" t="e">
            <v>#NAME?</v>
          </cell>
        </row>
        <row r="316">
          <cell r="B316" t="str">
            <v>EPS (excl. ESO expense, basic)</v>
          </cell>
          <cell r="C316" t="str">
            <v>EPS_EX_ESO_B</v>
          </cell>
          <cell r="D316" t="e">
            <v>#NAME?</v>
          </cell>
        </row>
        <row r="317">
          <cell r="B317" t="str">
            <v>EPS (excl. ESO expense, diluted)</v>
          </cell>
          <cell r="C317" t="str">
            <v>EPS_EX_ESO_D</v>
          </cell>
          <cell r="D317" t="e">
            <v>#NAME?</v>
          </cell>
        </row>
        <row r="318">
          <cell r="B318" t="str">
            <v>Year that ESO expense takes effect</v>
          </cell>
          <cell r="C318" t="str">
            <v>ESO_YEAR</v>
          </cell>
        </row>
        <row r="319">
          <cell r="A319" t="str">
            <v>Balance Sheet</v>
          </cell>
        </row>
        <row r="320">
          <cell r="B320" t="str">
            <v>BVPS, book value per share</v>
          </cell>
          <cell r="C320" t="str">
            <v>BVPS</v>
          </cell>
          <cell r="D320" t="e">
            <v>#NAME?</v>
          </cell>
        </row>
        <row r="321">
          <cell r="A321" t="str">
            <v>Additional Balance Sheet Items</v>
          </cell>
        </row>
        <row r="322">
          <cell r="B322" t="str">
            <v>Total repurchase authorization</v>
          </cell>
          <cell r="C322" t="str">
            <v>REPUR_TOT_AUTH</v>
          </cell>
          <cell r="D322" t="e">
            <v>#NAME?</v>
          </cell>
        </row>
        <row r="323">
          <cell r="B323" t="str">
            <v>Remaining repurchase authorization</v>
          </cell>
          <cell r="C323" t="str">
            <v>REPUR_REMAINING</v>
          </cell>
          <cell r="D323" t="e">
            <v>#NAME?</v>
          </cell>
        </row>
        <row r="324">
          <cell r="B324" t="str">
            <v>Suspended repurchase authorization</v>
          </cell>
          <cell r="C324" t="str">
            <v>REPUR_SUSPENDED</v>
          </cell>
          <cell r="D324" t="e">
            <v>#NAME?</v>
          </cell>
        </row>
        <row r="325">
          <cell r="B325" t="str">
            <v>Shares repurchased during period</v>
          </cell>
          <cell r="C325" t="str">
            <v>REPUR_ACTUAL</v>
          </cell>
          <cell r="D325" t="e">
            <v>#NAME?</v>
          </cell>
        </row>
        <row r="326">
          <cell r="A326" t="str">
            <v>Cash Flow Statement</v>
          </cell>
        </row>
        <row r="327">
          <cell r="B327" t="str">
            <v>Net income (pre-preferred dividends)</v>
          </cell>
          <cell r="C327" t="str">
            <v>CF_NI_PRE_PREF</v>
          </cell>
          <cell r="D327" t="e">
            <v>#NAME?</v>
          </cell>
        </row>
        <row r="328">
          <cell r="A328" t="str">
            <v>Other Items</v>
          </cell>
        </row>
        <row r="329">
          <cell r="B329" t="str">
            <v>Beta</v>
          </cell>
          <cell r="C329" t="str">
            <v>BETA_ANALYST</v>
          </cell>
        </row>
        <row r="330">
          <cell r="B330" t="str">
            <v>Market equity risk premium</v>
          </cell>
          <cell r="C330" t="str">
            <v>MKT_EQ_RISK_PREM</v>
          </cell>
        </row>
        <row r="331">
          <cell r="B331" t="str">
            <v>Risk-free rate</v>
          </cell>
          <cell r="C331" t="str">
            <v>RISK_FR_RATE</v>
          </cell>
        </row>
      </sheetData>
      <sheetData sheetId="12">
        <row r="99">
          <cell r="BC99">
            <v>52.666000000000054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>
        <row r="1">
          <cell r="A1" t="str">
            <v>Issuer: Nutanix Inc.</v>
          </cell>
          <cell r="F1" t="str">
            <v>2012</v>
          </cell>
          <cell r="G1" t="str">
            <v>2013</v>
          </cell>
          <cell r="H1" t="str">
            <v>2014</v>
          </cell>
          <cell r="I1" t="str">
            <v>2015</v>
          </cell>
          <cell r="J1" t="str">
            <v>2016</v>
          </cell>
          <cell r="K1" t="str">
            <v>2017 Q1</v>
          </cell>
          <cell r="L1" t="str">
            <v>2017 Q2</v>
          </cell>
          <cell r="M1" t="str">
            <v>2017 Q3</v>
          </cell>
          <cell r="N1" t="str">
            <v>2017 Q4</v>
          </cell>
          <cell r="O1" t="str">
            <v>2017</v>
          </cell>
          <cell r="P1" t="str">
            <v>2018 Q1</v>
          </cell>
          <cell r="Q1" t="str">
            <v>2018 Q2</v>
          </cell>
          <cell r="R1" t="str">
            <v>2018 Q3</v>
          </cell>
          <cell r="S1" t="str">
            <v>2018 Q4</v>
          </cell>
          <cell r="T1" t="str">
            <v>2018</v>
          </cell>
          <cell r="U1" t="str">
            <v>2019 Q1</v>
          </cell>
          <cell r="V1" t="str">
            <v>2019 Q2</v>
          </cell>
          <cell r="W1" t="str">
            <v>2019 Q3</v>
          </cell>
          <cell r="X1" t="str">
            <v>2019 Q4</v>
          </cell>
          <cell r="Y1" t="str">
            <v>2019</v>
          </cell>
          <cell r="Z1" t="str">
            <v>2020 Q1</v>
          </cell>
          <cell r="AA1" t="str">
            <v>2020 Q2</v>
          </cell>
          <cell r="AB1" t="str">
            <v>2020 Q3</v>
          </cell>
          <cell r="AC1" t="str">
            <v>2020 Q4</v>
          </cell>
          <cell r="AD1" t="str">
            <v>2020</v>
          </cell>
          <cell r="AE1" t="str">
            <v>2021 Q1</v>
          </cell>
          <cell r="AF1" t="str">
            <v>2021 Q2</v>
          </cell>
          <cell r="AG1" t="str">
            <v>2021 Q3</v>
          </cell>
          <cell r="AH1" t="str">
            <v>2021 Q4</v>
          </cell>
          <cell r="AI1" t="str">
            <v>2021</v>
          </cell>
          <cell r="AJ1" t="str">
            <v>2022 Q1</v>
          </cell>
          <cell r="AK1" t="str">
            <v>2022 Q2</v>
          </cell>
          <cell r="AL1" t="str">
            <v>2022 Q3</v>
          </cell>
          <cell r="AM1" t="str">
            <v>2022 Q4</v>
          </cell>
          <cell r="AN1" t="str">
            <v>2022</v>
          </cell>
          <cell r="AO1" t="str">
            <v>2023 Q1</v>
          </cell>
          <cell r="AP1" t="str">
            <v>2023 Q2</v>
          </cell>
          <cell r="AQ1" t="str">
            <v>2023 Q3</v>
          </cell>
          <cell r="AR1" t="str">
            <v>2023 Q4</v>
          </cell>
          <cell r="AS1" t="str">
            <v>2023</v>
          </cell>
          <cell r="AT1" t="str">
            <v>2024 Q1</v>
          </cell>
          <cell r="AU1" t="str">
            <v>2024 Q2</v>
          </cell>
          <cell r="AV1" t="str">
            <v>2024 Q3</v>
          </cell>
          <cell r="AW1" t="str">
            <v>2024 Q4</v>
          </cell>
          <cell r="AX1" t="str">
            <v>2024</v>
          </cell>
          <cell r="AY1" t="str">
            <v>2025 Q1</v>
          </cell>
          <cell r="AZ1" t="str">
            <v>2025 Q2</v>
          </cell>
          <cell r="BA1" t="str">
            <v>2025 Q3</v>
          </cell>
          <cell r="BB1" t="str">
            <v>2025 Q4</v>
          </cell>
          <cell r="BC1">
            <v>2025</v>
          </cell>
          <cell r="BD1" t="str">
            <v>2026 Q1</v>
          </cell>
          <cell r="BE1" t="str">
            <v>2026 Q2</v>
          </cell>
          <cell r="BF1" t="str">
            <v>2026 Q3</v>
          </cell>
          <cell r="BG1" t="str">
            <v>2026 Q4</v>
          </cell>
          <cell r="BH1" t="str">
            <v>2026</v>
          </cell>
          <cell r="BI1" t="str">
            <v>2027 Q1</v>
          </cell>
          <cell r="BJ1" t="str">
            <v>2027 Q2</v>
          </cell>
          <cell r="BK1" t="str">
            <v>2027 Q3</v>
          </cell>
          <cell r="BL1" t="str">
            <v>2027 Q4</v>
          </cell>
          <cell r="BM1" t="str">
            <v>2027</v>
          </cell>
          <cell r="BN1" t="str">
            <v>2028 Q1</v>
          </cell>
          <cell r="BO1" t="str">
            <v>2028 Q2</v>
          </cell>
          <cell r="BP1" t="str">
            <v>2028 Q3</v>
          </cell>
          <cell r="BQ1" t="str">
            <v>2028 Q4</v>
          </cell>
          <cell r="BR1" t="str">
            <v>2028</v>
          </cell>
          <cell r="BS1" t="str">
            <v>2029 Q1</v>
          </cell>
          <cell r="BT1" t="str">
            <v>2029 Q2</v>
          </cell>
          <cell r="BU1" t="str">
            <v>2029 Q3</v>
          </cell>
          <cell r="BV1" t="str">
            <v>2029 Q4</v>
          </cell>
          <cell r="BW1" t="str">
            <v>2029</v>
          </cell>
          <cell r="BX1" t="str">
            <v>2030 Q1</v>
          </cell>
          <cell r="BY1" t="str">
            <v>2030 Q2</v>
          </cell>
          <cell r="BZ1" t="str">
            <v>2030 Q3</v>
          </cell>
          <cell r="CA1" t="str">
            <v>2030 Q4</v>
          </cell>
          <cell r="CB1" t="str">
            <v>2030</v>
          </cell>
        </row>
        <row r="2">
          <cell r="A2"/>
          <cell r="B2"/>
          <cell r="C2"/>
          <cell r="D2"/>
          <cell r="F2" t="str">
            <v>Actual</v>
          </cell>
          <cell r="G2" t="str">
            <v>Actual</v>
          </cell>
          <cell r="H2" t="str">
            <v>Actual</v>
          </cell>
          <cell r="I2" t="str">
            <v>Actual</v>
          </cell>
          <cell r="J2" t="str">
            <v>Actual</v>
          </cell>
          <cell r="K2" t="str">
            <v>Actual</v>
          </cell>
          <cell r="L2" t="str">
            <v>Actual</v>
          </cell>
          <cell r="M2" t="str">
            <v>Actual</v>
          </cell>
          <cell r="N2" t="str">
            <v>Actual</v>
          </cell>
          <cell r="O2" t="str">
            <v>Actual</v>
          </cell>
          <cell r="P2" t="str">
            <v>Actual</v>
          </cell>
          <cell r="Q2" t="str">
            <v>Actual</v>
          </cell>
          <cell r="R2" t="str">
            <v>Actual</v>
          </cell>
          <cell r="S2" t="str">
            <v>Actual</v>
          </cell>
          <cell r="T2" t="str">
            <v>Actual</v>
          </cell>
          <cell r="U2" t="str">
            <v>Actual</v>
          </cell>
          <cell r="V2" t="str">
            <v>Actual</v>
          </cell>
          <cell r="W2" t="str">
            <v>Actual</v>
          </cell>
          <cell r="X2" t="str">
            <v>Actual</v>
          </cell>
          <cell r="Y2" t="str">
            <v>Actual</v>
          </cell>
          <cell r="Z2" t="str">
            <v>Actual</v>
          </cell>
          <cell r="AA2" t="str">
            <v>Actual</v>
          </cell>
          <cell r="AB2" t="str">
            <v>Actual</v>
          </cell>
          <cell r="AC2" t="str">
            <v>Actual</v>
          </cell>
          <cell r="AD2" t="str">
            <v>Actual</v>
          </cell>
          <cell r="AE2" t="str">
            <v>Actual</v>
          </cell>
          <cell r="AF2" t="str">
            <v>Actual</v>
          </cell>
          <cell r="AG2" t="str">
            <v>Actual</v>
          </cell>
          <cell r="AH2" t="str">
            <v>Actual</v>
          </cell>
          <cell r="AI2" t="str">
            <v>Actual</v>
          </cell>
          <cell r="AJ2" t="str">
            <v>Actual</v>
          </cell>
          <cell r="AK2" t="str">
            <v>Actual</v>
          </cell>
          <cell r="AL2" t="str">
            <v>Actual</v>
          </cell>
          <cell r="AM2" t="str">
            <v>Actual</v>
          </cell>
          <cell r="AN2" t="str">
            <v>Actual</v>
          </cell>
          <cell r="AO2" t="str">
            <v>Actual</v>
          </cell>
          <cell r="AP2" t="str">
            <v>Actual</v>
          </cell>
          <cell r="AQ2" t="str">
            <v>Actual</v>
          </cell>
          <cell r="AR2" t="str">
            <v>Actual</v>
          </cell>
          <cell r="AS2" t="str">
            <v>Actual</v>
          </cell>
          <cell r="AT2" t="str">
            <v>Actual</v>
          </cell>
          <cell r="AU2" t="str">
            <v>Actual</v>
          </cell>
          <cell r="AV2" t="str">
            <v>Actual</v>
          </cell>
          <cell r="AW2" t="str">
            <v>Actual</v>
          </cell>
          <cell r="AX2" t="str">
            <v>Actual</v>
          </cell>
          <cell r="AY2" t="str">
            <v>Actual</v>
          </cell>
          <cell r="AZ2" t="str">
            <v>Actual</v>
          </cell>
          <cell r="BA2" t="str">
            <v>Estimate</v>
          </cell>
          <cell r="BB2" t="str">
            <v>Estimate</v>
          </cell>
          <cell r="BC2" t="str">
            <v>Estimate</v>
          </cell>
          <cell r="BD2" t="str">
            <v>Estimate</v>
          </cell>
          <cell r="BE2" t="str">
            <v>Estimate</v>
          </cell>
          <cell r="BF2" t="str">
            <v>Estimate</v>
          </cell>
          <cell r="BG2" t="str">
            <v>Estimate</v>
          </cell>
          <cell r="BH2" t="str">
            <v>Estimate</v>
          </cell>
          <cell r="BI2" t="str">
            <v>Estimate</v>
          </cell>
          <cell r="BJ2" t="str">
            <v>Estimate</v>
          </cell>
          <cell r="BK2" t="str">
            <v>Estimate</v>
          </cell>
          <cell r="BL2" t="str">
            <v>Estimate</v>
          </cell>
          <cell r="BM2" t="str">
            <v>Estimate</v>
          </cell>
          <cell r="BN2" t="str">
            <v>Estimate</v>
          </cell>
          <cell r="BO2" t="str">
            <v>Estimate</v>
          </cell>
          <cell r="BP2" t="str">
            <v>Estimate</v>
          </cell>
          <cell r="BQ2" t="str">
            <v>Estimate</v>
          </cell>
          <cell r="BR2" t="str">
            <v>Estimate</v>
          </cell>
          <cell r="BS2" t="str">
            <v>Estimate</v>
          </cell>
          <cell r="BT2" t="str">
            <v>Estimate</v>
          </cell>
          <cell r="BU2" t="str">
            <v>Estimate</v>
          </cell>
          <cell r="BV2" t="str">
            <v>Estimate</v>
          </cell>
          <cell r="BW2" t="str">
            <v>Estimate</v>
          </cell>
          <cell r="BX2" t="str">
            <v>Estimate</v>
          </cell>
          <cell r="BY2" t="str">
            <v>Estimate</v>
          </cell>
          <cell r="BZ2" t="str">
            <v>Estimate</v>
          </cell>
          <cell r="CA2" t="str">
            <v>Estimate</v>
          </cell>
          <cell r="CB2" t="str">
            <v>Estimate</v>
          </cell>
        </row>
        <row r="3">
          <cell r="A3"/>
          <cell r="B3"/>
          <cell r="C3"/>
          <cell r="D3"/>
          <cell r="F3">
            <v>41121</v>
          </cell>
          <cell r="G3">
            <v>41486</v>
          </cell>
          <cell r="H3">
            <v>41851</v>
          </cell>
          <cell r="I3">
            <v>42216</v>
          </cell>
          <cell r="J3">
            <v>42582</v>
          </cell>
          <cell r="K3">
            <v>42674</v>
          </cell>
          <cell r="L3">
            <v>42766</v>
          </cell>
          <cell r="M3">
            <v>42855</v>
          </cell>
          <cell r="N3">
            <v>42947</v>
          </cell>
          <cell r="O3">
            <v>42947</v>
          </cell>
          <cell r="P3">
            <v>43039</v>
          </cell>
          <cell r="Q3">
            <v>43131</v>
          </cell>
          <cell r="R3">
            <v>43220</v>
          </cell>
          <cell r="S3">
            <v>43312</v>
          </cell>
          <cell r="T3">
            <v>43312</v>
          </cell>
          <cell r="U3">
            <v>43404</v>
          </cell>
          <cell r="V3">
            <v>43496</v>
          </cell>
          <cell r="W3">
            <v>43585</v>
          </cell>
          <cell r="X3">
            <v>43677</v>
          </cell>
          <cell r="Y3">
            <v>43677</v>
          </cell>
          <cell r="Z3">
            <v>43769</v>
          </cell>
          <cell r="AA3">
            <v>43861</v>
          </cell>
          <cell r="AB3">
            <v>43951</v>
          </cell>
          <cell r="AC3">
            <v>44043</v>
          </cell>
          <cell r="AD3">
            <v>44043</v>
          </cell>
          <cell r="AE3">
            <v>44135</v>
          </cell>
          <cell r="AF3">
            <v>44227</v>
          </cell>
          <cell r="AG3">
            <v>44316</v>
          </cell>
          <cell r="AH3">
            <v>44408</v>
          </cell>
          <cell r="AI3">
            <v>44408</v>
          </cell>
          <cell r="AJ3">
            <v>44500</v>
          </cell>
          <cell r="AK3">
            <v>44592</v>
          </cell>
          <cell r="AL3">
            <v>44681</v>
          </cell>
          <cell r="AM3">
            <v>44773</v>
          </cell>
          <cell r="AN3">
            <v>44773</v>
          </cell>
          <cell r="AO3">
            <v>44865</v>
          </cell>
          <cell r="AP3">
            <v>44957</v>
          </cell>
          <cell r="AQ3">
            <v>45046</v>
          </cell>
          <cell r="AR3">
            <v>45138</v>
          </cell>
          <cell r="AS3">
            <v>45138</v>
          </cell>
          <cell r="AT3">
            <v>45230</v>
          </cell>
          <cell r="AU3">
            <v>45322</v>
          </cell>
          <cell r="AV3">
            <v>45412</v>
          </cell>
          <cell r="AW3">
            <v>45504</v>
          </cell>
          <cell r="AX3">
            <v>45504</v>
          </cell>
          <cell r="AY3">
            <v>45596</v>
          </cell>
          <cell r="AZ3">
            <v>45688</v>
          </cell>
          <cell r="BA3">
            <v>45777</v>
          </cell>
          <cell r="BB3">
            <v>45869</v>
          </cell>
          <cell r="BC3">
            <v>45869</v>
          </cell>
          <cell r="BD3">
            <v>45961</v>
          </cell>
          <cell r="BE3">
            <v>46053</v>
          </cell>
          <cell r="BF3">
            <v>46142</v>
          </cell>
          <cell r="BG3">
            <v>46234</v>
          </cell>
          <cell r="BH3">
            <v>46234</v>
          </cell>
          <cell r="BI3">
            <v>46326</v>
          </cell>
          <cell r="BJ3">
            <v>46418</v>
          </cell>
          <cell r="BK3">
            <v>46507</v>
          </cell>
          <cell r="BL3">
            <v>46599</v>
          </cell>
          <cell r="BM3">
            <v>46599</v>
          </cell>
          <cell r="BN3">
            <v>46691</v>
          </cell>
          <cell r="BO3">
            <v>46783</v>
          </cell>
          <cell r="BP3">
            <v>46873</v>
          </cell>
          <cell r="BQ3">
            <v>46965</v>
          </cell>
          <cell r="BR3">
            <v>46965</v>
          </cell>
          <cell r="BS3">
            <v>47057</v>
          </cell>
          <cell r="BT3">
            <v>47149</v>
          </cell>
          <cell r="BU3">
            <v>47238</v>
          </cell>
          <cell r="BV3">
            <v>47330</v>
          </cell>
          <cell r="BW3">
            <v>47330</v>
          </cell>
          <cell r="BX3">
            <v>47422</v>
          </cell>
          <cell r="BY3">
            <v>47514</v>
          </cell>
          <cell r="BZ3">
            <v>47603</v>
          </cell>
          <cell r="CA3">
            <v>47695</v>
          </cell>
          <cell r="CB3">
            <v>47695</v>
          </cell>
        </row>
        <row r="4">
          <cell r="A4" t="str">
            <v>Issuer: Nutanix Inc.</v>
          </cell>
          <cell r="B4"/>
          <cell r="C4"/>
          <cell r="D4"/>
        </row>
        <row r="5">
          <cell r="A5" t="str">
            <v>Reference Data</v>
          </cell>
          <cell r="B5"/>
          <cell r="C5"/>
          <cell r="D5"/>
        </row>
        <row r="6">
          <cell r="B6" t="str">
            <v>Issuer Name</v>
          </cell>
          <cell r="C6" t="str">
            <v>Issuer Name</v>
          </cell>
          <cell r="E6" t="str">
            <v>Nutanix Inc.</v>
          </cell>
        </row>
        <row r="7">
          <cell r="B7" t="str">
            <v>Reporting Currency</v>
          </cell>
          <cell r="C7" t="str">
            <v>CURRENCY_ISO</v>
          </cell>
          <cell r="E7" t="str">
            <v>USD</v>
          </cell>
        </row>
        <row r="8">
          <cell r="A8" t="str">
            <v>General Information</v>
          </cell>
          <cell r="B8"/>
          <cell r="C8"/>
          <cell r="D8"/>
        </row>
        <row r="9">
          <cell r="B9" t="str">
            <v>M&amp;A probability (1 = high, 3 = low)</v>
          </cell>
          <cell r="C9" t="str">
            <v>MA_PROB</v>
          </cell>
          <cell r="E9">
            <v>3</v>
          </cell>
        </row>
        <row r="10">
          <cell r="A10" t="str">
            <v>Income Statement</v>
          </cell>
          <cell r="B10"/>
          <cell r="C10"/>
          <cell r="D10"/>
          <cell r="F10" t="str">
            <v>FY12 (A)</v>
          </cell>
          <cell r="G10" t="str">
            <v>FY13 (A)</v>
          </cell>
          <cell r="H10" t="str">
            <v>FY14 (A)</v>
          </cell>
          <cell r="I10" t="str">
            <v>FY15 (A)</v>
          </cell>
          <cell r="J10" t="str">
            <v>FY16 (A)</v>
          </cell>
          <cell r="K10" t="str">
            <v>1Q17 (A)</v>
          </cell>
          <cell r="L10" t="str">
            <v>2Q17 (A)</v>
          </cell>
          <cell r="M10" t="str">
            <v>3Q17 (A)</v>
          </cell>
          <cell r="N10" t="str">
            <v>4Q17 (A)</v>
          </cell>
          <cell r="O10" t="str">
            <v>FY17 (A)</v>
          </cell>
          <cell r="P10" t="str">
            <v>1Q18 (A)</v>
          </cell>
          <cell r="Q10" t="str">
            <v>2Q18 (A)</v>
          </cell>
          <cell r="R10" t="str">
            <v>3Q18 (A)</v>
          </cell>
          <cell r="S10" t="str">
            <v>4Q18 (A)</v>
          </cell>
          <cell r="T10" t="str">
            <v>FY18 (A)</v>
          </cell>
          <cell r="U10" t="str">
            <v>1Q19 (A)</v>
          </cell>
          <cell r="V10" t="str">
            <v>2Q19 (A)</v>
          </cell>
          <cell r="W10" t="str">
            <v>3Q19 (A)</v>
          </cell>
          <cell r="X10" t="str">
            <v>4Q19 (A)</v>
          </cell>
          <cell r="Y10" t="str">
            <v>FY19 (A)</v>
          </cell>
          <cell r="Z10" t="str">
            <v>1Q20 (A)</v>
          </cell>
          <cell r="AA10" t="str">
            <v>2Q20 (A)</v>
          </cell>
          <cell r="AB10" t="str">
            <v>3Q20 (A)</v>
          </cell>
          <cell r="AC10" t="str">
            <v>4Q20 (A)</v>
          </cell>
          <cell r="AD10" t="str">
            <v>FY20 (A)</v>
          </cell>
          <cell r="AE10" t="str">
            <v>1Q21 (A)</v>
          </cell>
          <cell r="AF10" t="str">
            <v>2Q21 (A)</v>
          </cell>
          <cell r="AG10" t="str">
            <v>3Q21 (A)</v>
          </cell>
          <cell r="AH10" t="str">
            <v>4Q21 (A)</v>
          </cell>
          <cell r="AI10" t="str">
            <v>FY21 (A)</v>
          </cell>
          <cell r="AJ10" t="str">
            <v>1Q22 (A)</v>
          </cell>
          <cell r="AK10" t="str">
            <v>2Q22 (A)</v>
          </cell>
          <cell r="AL10" t="str">
            <v>3Q22 (A)</v>
          </cell>
          <cell r="AM10" t="str">
            <v>4Q22 (A)</v>
          </cell>
          <cell r="AN10" t="str">
            <v>FY22 (A)</v>
          </cell>
          <cell r="AO10" t="str">
            <v>1Q23 (A)</v>
          </cell>
          <cell r="AP10" t="str">
            <v>2Q23 (A)</v>
          </cell>
          <cell r="AQ10" t="str">
            <v>3Q23 (A)</v>
          </cell>
          <cell r="AR10" t="str">
            <v>4Q23 (A)</v>
          </cell>
          <cell r="AS10" t="str">
            <v>FY23 (A)</v>
          </cell>
          <cell r="AT10" t="str">
            <v>1Q24 (A)</v>
          </cell>
          <cell r="AU10" t="str">
            <v>2Q24 (A)</v>
          </cell>
          <cell r="AV10" t="str">
            <v>3Q24 (A)</v>
          </cell>
          <cell r="AW10" t="str">
            <v>4Q24 (A)</v>
          </cell>
          <cell r="AX10" t="str">
            <v>FY24 (A)</v>
          </cell>
          <cell r="AY10" t="str">
            <v>1Q25 (A)</v>
          </cell>
          <cell r="AZ10" t="str">
            <v>2Q25 (A)</v>
          </cell>
          <cell r="BA10" t="str">
            <v>3Q25 (E)</v>
          </cell>
          <cell r="BB10" t="str">
            <v>4Q25 (E)</v>
          </cell>
          <cell r="BC10" t="str">
            <v>FY25 (E)</v>
          </cell>
          <cell r="BD10" t="str">
            <v>1Q26 (E)</v>
          </cell>
          <cell r="BE10" t="str">
            <v>2Q26 (E)</v>
          </cell>
          <cell r="BF10" t="str">
            <v>3Q26 (E)</v>
          </cell>
          <cell r="BG10" t="str">
            <v>4Q26 (E)</v>
          </cell>
          <cell r="BH10" t="str">
            <v>FY26 (E)</v>
          </cell>
          <cell r="BI10" t="str">
            <v>1Q27 (E)</v>
          </cell>
          <cell r="BJ10" t="str">
            <v>2Q27 (E)</v>
          </cell>
          <cell r="BK10" t="str">
            <v>3Q27 (E)</v>
          </cell>
          <cell r="BL10" t="str">
            <v>4Q27 (E)</v>
          </cell>
          <cell r="BM10" t="str">
            <v>FY27 (E)</v>
          </cell>
          <cell r="BN10" t="str">
            <v>1Q28 (E)</v>
          </cell>
          <cell r="BO10" t="str">
            <v>2Q28 (E)</v>
          </cell>
          <cell r="BP10" t="str">
            <v>3Q28 (E)</v>
          </cell>
          <cell r="BQ10" t="str">
            <v>4Q28 (E)</v>
          </cell>
          <cell r="BR10" t="str">
            <v>FY28 (E)</v>
          </cell>
          <cell r="BS10" t="str">
            <v>1Q29 (E)</v>
          </cell>
          <cell r="BT10" t="str">
            <v>2Q29 (E)</v>
          </cell>
          <cell r="BU10" t="str">
            <v>3Q29 (E)</v>
          </cell>
          <cell r="BV10" t="str">
            <v>4Q29 (E)</v>
          </cell>
          <cell r="BW10" t="str">
            <v>FY29 (E)</v>
          </cell>
          <cell r="BX10" t="str">
            <v>1Q30 (E)</v>
          </cell>
          <cell r="BY10" t="str">
            <v>2Q30 (E)</v>
          </cell>
          <cell r="BZ10" t="str">
            <v>3Q30 (E)</v>
          </cell>
          <cell r="CA10" t="str">
            <v>4Q30 (E)</v>
          </cell>
          <cell r="CB10" t="str">
            <v>FY30 (E)</v>
          </cell>
        </row>
        <row r="11">
          <cell r="B11" t="str">
            <v>Sales, net revenue</v>
          </cell>
          <cell r="C11" t="str">
            <v>SALES</v>
          </cell>
          <cell r="D11" t="str">
            <v>USD</v>
          </cell>
          <cell r="F11">
            <v>6.5860000000000003</v>
          </cell>
          <cell r="G11">
            <v>30.533000000000001</v>
          </cell>
          <cell r="H11">
            <v>127.127</v>
          </cell>
          <cell r="I11">
            <v>241.43199999999999</v>
          </cell>
          <cell r="J11">
            <v>503.41</v>
          </cell>
          <cell r="K11">
            <v>188.56100000000001</v>
          </cell>
          <cell r="L11">
            <v>199.214</v>
          </cell>
          <cell r="M11">
            <v>205.67</v>
          </cell>
          <cell r="N11">
            <v>252.458</v>
          </cell>
          <cell r="O11">
            <v>845.90300000000002</v>
          </cell>
          <cell r="P11">
            <v>275.55200000000002</v>
          </cell>
          <cell r="Q11">
            <v>286.74399999999997</v>
          </cell>
          <cell r="R11">
            <v>289.41300000000001</v>
          </cell>
          <cell r="S11">
            <v>303.74799999999999</v>
          </cell>
          <cell r="T11">
            <v>1155.4569999999999</v>
          </cell>
          <cell r="U11">
            <v>313.28300000000002</v>
          </cell>
          <cell r="V11">
            <v>335.36</v>
          </cell>
          <cell r="W11">
            <v>287.62400000000002</v>
          </cell>
          <cell r="X11">
            <v>299.87599999999998</v>
          </cell>
          <cell r="Y11">
            <v>1236.143</v>
          </cell>
          <cell r="Z11">
            <v>314.76799999999997</v>
          </cell>
          <cell r="AA11">
            <v>346.767</v>
          </cell>
          <cell r="AB11">
            <v>318.27300000000002</v>
          </cell>
          <cell r="AC11">
            <v>327.87400000000002</v>
          </cell>
          <cell r="AD11">
            <v>1307.6819999999998</v>
          </cell>
          <cell r="AE11">
            <v>312.75400000000002</v>
          </cell>
          <cell r="AF11">
            <v>346.38200000000001</v>
          </cell>
          <cell r="AG11">
            <v>344.50799999999998</v>
          </cell>
          <cell r="AH11">
            <v>390.72</v>
          </cell>
          <cell r="AI11">
            <v>1394.364</v>
          </cell>
          <cell r="AJ11">
            <v>378.517</v>
          </cell>
          <cell r="AK11">
            <v>413.08100000000002</v>
          </cell>
          <cell r="AL11">
            <v>403.65800000000002</v>
          </cell>
          <cell r="AM11">
            <v>385.53999999999996</v>
          </cell>
          <cell r="AN11">
            <v>1580.7959999999998</v>
          </cell>
          <cell r="AO11">
            <v>433.60900000000004</v>
          </cell>
          <cell r="AP11">
            <v>486.495</v>
          </cell>
          <cell r="AQ11">
            <v>448.58100000000002</v>
          </cell>
          <cell r="AR11">
            <v>494.21000000000004</v>
          </cell>
          <cell r="AS11">
            <v>1862.895</v>
          </cell>
          <cell r="AT11">
            <v>511.05399999999997</v>
          </cell>
          <cell r="AU11">
            <v>565.23299999999995</v>
          </cell>
          <cell r="AV11">
            <v>524.577</v>
          </cell>
          <cell r="AW11">
            <v>547.952</v>
          </cell>
          <cell r="AX11">
            <v>2148.8159999999998</v>
          </cell>
          <cell r="AY11">
            <v>590.9559999999999</v>
          </cell>
          <cell r="AZ11">
            <v>654.721</v>
          </cell>
          <cell r="BA11">
            <v>625.05342387470989</v>
          </cell>
          <cell r="BB11">
            <v>634.31378036939304</v>
          </cell>
          <cell r="BC11">
            <v>2505.0442042441027</v>
          </cell>
          <cell r="BD11">
            <v>689.44532772038724</v>
          </cell>
          <cell r="BE11">
            <v>755.78863548831373</v>
          </cell>
          <cell r="BF11">
            <v>710.32947702807428</v>
          </cell>
          <cell r="BG11">
            <v>722.11529395258208</v>
          </cell>
          <cell r="BH11">
            <v>2877.6787341893569</v>
          </cell>
          <cell r="BI11">
            <v>795.31008219311707</v>
          </cell>
          <cell r="BJ11">
            <v>868.8123797485523</v>
          </cell>
          <cell r="BK11">
            <v>806.10213766249888</v>
          </cell>
          <cell r="BL11">
            <v>819.55046470760738</v>
          </cell>
          <cell r="BM11">
            <v>3289.7750643117756</v>
          </cell>
          <cell r="BN11">
            <v>914.68492742977799</v>
          </cell>
          <cell r="BO11">
            <v>995.54070764522817</v>
          </cell>
          <cell r="BP11">
            <v>912.43915902530557</v>
          </cell>
          <cell r="BQ11">
            <v>927.26990030480863</v>
          </cell>
          <cell r="BR11">
            <v>3749.9346944051204</v>
          </cell>
          <cell r="BS11">
            <v>1048.7723778894785</v>
          </cell>
          <cell r="BT11">
            <v>1137.1557155352955</v>
          </cell>
          <cell r="BU11">
            <v>1029.9131825874588</v>
          </cell>
          <cell r="BV11">
            <v>1046.1289270840809</v>
          </cell>
          <cell r="BW11">
            <v>4261.9702030963144</v>
          </cell>
          <cell r="BX11">
            <v>1199.1382665320657</v>
          </cell>
          <cell r="BY11">
            <v>1295.1543341290935</v>
          </cell>
          <cell r="BZ11">
            <v>1159.4316462980196</v>
          </cell>
          <cell r="CA11">
            <v>1177.1165663234524</v>
          </cell>
          <cell r="CB11">
            <v>4830.8408132826316</v>
          </cell>
        </row>
        <row r="12">
          <cell r="B12" t="str">
            <v>Cost of goods sold, COGS</v>
          </cell>
          <cell r="C12" t="str">
            <v>COST_GD_SD</v>
          </cell>
          <cell r="D12" t="str">
            <v>USD</v>
          </cell>
          <cell r="F12">
            <v>-4.7530000000000001</v>
          </cell>
          <cell r="G12">
            <v>-26.503</v>
          </cell>
          <cell r="H12">
            <v>-60.593999999999994</v>
          </cell>
          <cell r="I12">
            <v>-99.878000000000014</v>
          </cell>
          <cell r="J12">
            <v>-169.428</v>
          </cell>
          <cell r="K12">
            <v>-65.207999999999998</v>
          </cell>
          <cell r="L12">
            <v>-73.248999999999995</v>
          </cell>
          <cell r="M12">
            <v>-79.76700000000001</v>
          </cell>
          <cell r="N12">
            <v>-94.316000000000003</v>
          </cell>
          <cell r="O12">
            <v>-312.53999999999996</v>
          </cell>
          <cell r="P12">
            <v>-105.08500000000002</v>
          </cell>
          <cell r="Q12">
            <v>-104.547</v>
          </cell>
          <cell r="R12">
            <v>-91.582999999999998</v>
          </cell>
          <cell r="S12">
            <v>-67.649000000000001</v>
          </cell>
          <cell r="T12">
            <v>-368.86400000000003</v>
          </cell>
          <cell r="U12">
            <v>-67.082999999999998</v>
          </cell>
          <cell r="V12">
            <v>-77.882000000000005</v>
          </cell>
          <cell r="W12">
            <v>-65.888000000000005</v>
          </cell>
          <cell r="X12">
            <v>-60.003</v>
          </cell>
          <cell r="Y12">
            <v>-270.85599999999999</v>
          </cell>
          <cell r="Z12">
            <v>-62.644000000000005</v>
          </cell>
          <cell r="AA12">
            <v>-64.393999999999991</v>
          </cell>
          <cell r="AB12">
            <v>-61.272999999999996</v>
          </cell>
          <cell r="AC12">
            <v>-55.714999999999996</v>
          </cell>
          <cell r="AD12">
            <v>-244.02600000000001</v>
          </cell>
          <cell r="AE12">
            <v>-56.713000000000001</v>
          </cell>
          <cell r="AF12">
            <v>-59.837000000000003</v>
          </cell>
          <cell r="AG12">
            <v>-63.152000000000001</v>
          </cell>
          <cell r="AH12">
            <v>-66.932000000000002</v>
          </cell>
          <cell r="AI12">
            <v>-246.63399999999999</v>
          </cell>
          <cell r="AJ12">
            <v>-67.768000000000001</v>
          </cell>
          <cell r="AK12">
            <v>-66.847000000000008</v>
          </cell>
          <cell r="AL12">
            <v>-67.343999999999994</v>
          </cell>
          <cell r="AM12">
            <v>-67.175000000000011</v>
          </cell>
          <cell r="AN12">
            <v>-269.13400000000001</v>
          </cell>
          <cell r="AO12">
            <v>-71.914999999999992</v>
          </cell>
          <cell r="AP12">
            <v>-74.024000000000015</v>
          </cell>
          <cell r="AQ12">
            <v>-71.594999999999999</v>
          </cell>
          <cell r="AR12">
            <v>-69.975999999999999</v>
          </cell>
          <cell r="AS12">
            <v>-287.51</v>
          </cell>
          <cell r="AT12">
            <v>-71.804000000000002</v>
          </cell>
          <cell r="AU12">
            <v>-71.927000000000007</v>
          </cell>
          <cell r="AV12">
            <v>-70.885999999999996</v>
          </cell>
          <cell r="AW12">
            <v>-71.995999999999995</v>
          </cell>
          <cell r="AX12">
            <v>-286.61299999999994</v>
          </cell>
          <cell r="AY12">
            <v>-73.870999999999995</v>
          </cell>
          <cell r="AZ12">
            <v>-76.384</v>
          </cell>
          <cell r="BA12">
            <v>-78.684994546930056</v>
          </cell>
          <cell r="BB12">
            <v>-81.410176724201861</v>
          </cell>
          <cell r="BC12">
            <v>-310.3501712711319</v>
          </cell>
          <cell r="BD12">
            <v>-84.781282820494454</v>
          </cell>
          <cell r="BE12">
            <v>-88.175206130763129</v>
          </cell>
          <cell r="BF12">
            <v>-89.419990182601026</v>
          </cell>
          <cell r="BG12">
            <v>-92.678947731032608</v>
          </cell>
          <cell r="BH12">
            <v>-355.05542686489122</v>
          </cell>
          <cell r="BI12">
            <v>-97.799500986322357</v>
          </cell>
          <cell r="BJ12">
            <v>-101.36128948775651</v>
          </cell>
          <cell r="BK12">
            <v>-101.47635367398033</v>
          </cell>
          <cell r="BL12">
            <v>-105.18413793153569</v>
          </cell>
          <cell r="BM12">
            <v>-405.82128207959488</v>
          </cell>
          <cell r="BN12">
            <v>-112.47905875361599</v>
          </cell>
          <cell r="BO12">
            <v>-116.1462384936074</v>
          </cell>
          <cell r="BP12">
            <v>-114.86261415424671</v>
          </cell>
          <cell r="BQ12">
            <v>-119.00924872054065</v>
          </cell>
          <cell r="BR12">
            <v>-462.49716012201077</v>
          </cell>
          <cell r="BS12">
            <v>-128.96782965832415</v>
          </cell>
          <cell r="BT12">
            <v>-132.66796417931917</v>
          </cell>
          <cell r="BU12">
            <v>-129.65085872715667</v>
          </cell>
          <cell r="BV12">
            <v>-134.26405584412572</v>
          </cell>
          <cell r="BW12">
            <v>-525.55070840892574</v>
          </cell>
          <cell r="BX12">
            <v>-147.45836461301508</v>
          </cell>
          <cell r="BY12">
            <v>-151.10110819435562</v>
          </cell>
          <cell r="BZ12">
            <v>-145.95532042839363</v>
          </cell>
          <cell r="CA12">
            <v>-151.07549395122979</v>
          </cell>
          <cell r="CB12">
            <v>-595.59028718699415</v>
          </cell>
        </row>
        <row r="13">
          <cell r="B13" t="str">
            <v>SG&amp;A, selling, general and admin. expense</v>
          </cell>
          <cell r="C13" t="str">
            <v>SEL_GL_AD</v>
          </cell>
          <cell r="D13" t="str">
            <v>USD</v>
          </cell>
          <cell r="F13">
            <v>-8.2199999999999989</v>
          </cell>
          <cell r="G13">
            <v>-30.978999999999999</v>
          </cell>
          <cell r="H13">
            <v>-103.19800000000001</v>
          </cell>
          <cell r="I13">
            <v>-175.08</v>
          </cell>
          <cell r="J13">
            <v>-308.41099999999994</v>
          </cell>
          <cell r="K13">
            <v>-104.58600000000001</v>
          </cell>
          <cell r="L13">
            <v>-105.70999999999998</v>
          </cell>
          <cell r="M13">
            <v>-122.173</v>
          </cell>
          <cell r="N13">
            <v>-133.41200000000001</v>
          </cell>
          <cell r="O13">
            <v>-465.88100000000003</v>
          </cell>
          <cell r="P13">
            <v>-143.63300000000001</v>
          </cell>
          <cell r="Q13">
            <v>-148.49499999999998</v>
          </cell>
          <cell r="R13">
            <v>-167.58100000000002</v>
          </cell>
          <cell r="S13">
            <v>-184.14700000000002</v>
          </cell>
          <cell r="T13">
            <v>-643.85599999999999</v>
          </cell>
          <cell r="U13">
            <v>-192.54300000000001</v>
          </cell>
          <cell r="V13">
            <v>-208.14400000000001</v>
          </cell>
          <cell r="W13">
            <v>-230.79900000000001</v>
          </cell>
          <cell r="X13">
            <v>-247.881</v>
          </cell>
          <cell r="Y13">
            <v>-879.36699999999996</v>
          </cell>
          <cell r="Z13">
            <v>-285.69400000000002</v>
          </cell>
          <cell r="AA13">
            <v>-296.15199999999999</v>
          </cell>
          <cell r="AB13">
            <v>-288.37599999999998</v>
          </cell>
          <cell r="AC13">
            <v>-250.21499999999997</v>
          </cell>
          <cell r="AD13">
            <v>-1120.4369999999999</v>
          </cell>
          <cell r="AE13">
            <v>-245.86099999999999</v>
          </cell>
          <cell r="AF13">
            <v>-254.01400000000001</v>
          </cell>
          <cell r="AG13">
            <v>-257.37099999999998</v>
          </cell>
          <cell r="AH13">
            <v>-266.827</v>
          </cell>
          <cell r="AI13">
            <v>-1024.0730000000001</v>
          </cell>
          <cell r="AJ13">
            <v>-246.93199999999999</v>
          </cell>
          <cell r="AK13">
            <v>-241.53299999999999</v>
          </cell>
          <cell r="AL13">
            <v>-235.2</v>
          </cell>
          <cell r="AM13">
            <v>-246.60899999999998</v>
          </cell>
          <cell r="AN13">
            <v>-970.27399999999989</v>
          </cell>
          <cell r="AO13">
            <v>-242.29300000000001</v>
          </cell>
          <cell r="AP13">
            <v>-236.71799999999999</v>
          </cell>
          <cell r="AQ13">
            <v>-248.78399999999999</v>
          </cell>
          <cell r="AR13">
            <v>-246.36700000000002</v>
          </cell>
          <cell r="AS13">
            <v>-974.16200000000003</v>
          </cell>
          <cell r="AT13">
            <v>-246.19299999999998</v>
          </cell>
          <cell r="AU13">
            <v>-249.56799999999998</v>
          </cell>
          <cell r="AV13">
            <v>-259.91399999999999</v>
          </cell>
          <cell r="AW13">
            <v>-277.21300000000002</v>
          </cell>
          <cell r="AX13">
            <v>-1032.8879999999999</v>
          </cell>
          <cell r="AY13">
            <v>-268.46700000000004</v>
          </cell>
          <cell r="AZ13">
            <v>-281.02800000000002</v>
          </cell>
          <cell r="BA13">
            <v>-300.32160362336225</v>
          </cell>
          <cell r="BB13">
            <v>-331.05308872097572</v>
          </cell>
          <cell r="BC13">
            <v>-1180.8696923443379</v>
          </cell>
          <cell r="BD13">
            <v>-306.31552986385776</v>
          </cell>
          <cell r="BE13">
            <v>-316.85169979556849</v>
          </cell>
          <cell r="BF13">
            <v>-334.19119221868471</v>
          </cell>
          <cell r="BG13">
            <v>-369.65619999523426</v>
          </cell>
          <cell r="BH13">
            <v>-1327.0146218733453</v>
          </cell>
          <cell r="BI13">
            <v>-345.39736721090787</v>
          </cell>
          <cell r="BJ13">
            <v>-355.54688371741418</v>
          </cell>
          <cell r="BK13">
            <v>-371.18866929165858</v>
          </cell>
          <cell r="BL13">
            <v>-411.33848531995528</v>
          </cell>
          <cell r="BM13">
            <v>-1483.4714055399359</v>
          </cell>
          <cell r="BN13">
            <v>-388.09414242864864</v>
          </cell>
          <cell r="BO13">
            <v>-397.45291774453159</v>
          </cell>
          <cell r="BP13">
            <v>-411.0296576600241</v>
          </cell>
          <cell r="BQ13">
            <v>-456.13097374118803</v>
          </cell>
          <cell r="BR13">
            <v>-1652.7076915743924</v>
          </cell>
          <cell r="BS13">
            <v>-434.49874576268365</v>
          </cell>
          <cell r="BT13">
            <v>-442.61877553372148</v>
          </cell>
          <cell r="BU13">
            <v>-453.6494598924786</v>
          </cell>
          <cell r="BV13">
            <v>-504.13732545053858</v>
          </cell>
          <cell r="BW13">
            <v>-1834.9043066394224</v>
          </cell>
          <cell r="BX13">
            <v>-484.80285389983004</v>
          </cell>
          <cell r="BY13">
            <v>-491.16554253164963</v>
          </cell>
          <cell r="BZ13">
            <v>-499.10459390918481</v>
          </cell>
          <cell r="CA13">
            <v>-555.49007922358328</v>
          </cell>
          <cell r="CB13">
            <v>-2030.5630695642476</v>
          </cell>
        </row>
        <row r="14">
          <cell r="B14" t="str">
            <v>Total operating expense</v>
          </cell>
          <cell r="C14" t="str">
            <v>OP_COST</v>
          </cell>
          <cell r="D14" t="str">
            <v>USD</v>
          </cell>
          <cell r="F14">
            <v>-12.972999999999999</v>
          </cell>
          <cell r="G14">
            <v>-57.481999999999999</v>
          </cell>
          <cell r="H14">
            <v>-163.792</v>
          </cell>
          <cell r="I14">
            <v>-274.95800000000003</v>
          </cell>
          <cell r="J14">
            <v>-477.83899999999994</v>
          </cell>
          <cell r="K14">
            <v>-169.79400000000001</v>
          </cell>
          <cell r="L14">
            <v>-178.95899999999997</v>
          </cell>
          <cell r="M14">
            <v>-201.94</v>
          </cell>
          <cell r="N14">
            <v>-227.72800000000001</v>
          </cell>
          <cell r="O14">
            <v>-778.42100000000005</v>
          </cell>
          <cell r="P14">
            <v>-248.71800000000002</v>
          </cell>
          <cell r="Q14">
            <v>-253.04199999999997</v>
          </cell>
          <cell r="R14">
            <v>-259.16399999999999</v>
          </cell>
          <cell r="S14">
            <v>-251.79600000000002</v>
          </cell>
          <cell r="T14">
            <v>-1012.72</v>
          </cell>
          <cell r="U14">
            <v>-259.62599999999998</v>
          </cell>
          <cell r="V14">
            <v>-286.02600000000001</v>
          </cell>
          <cell r="W14">
            <v>-296.68700000000001</v>
          </cell>
          <cell r="X14">
            <v>-307.88400000000001</v>
          </cell>
          <cell r="Y14">
            <v>-1150.223</v>
          </cell>
          <cell r="Z14">
            <v>-348.33800000000002</v>
          </cell>
          <cell r="AA14">
            <v>-360.54599999999999</v>
          </cell>
          <cell r="AB14">
            <v>-349.649</v>
          </cell>
          <cell r="AC14">
            <v>-305.92999999999995</v>
          </cell>
          <cell r="AD14">
            <v>-1364.463</v>
          </cell>
          <cell r="AE14">
            <v>-302.57400000000001</v>
          </cell>
          <cell r="AF14">
            <v>-313.851</v>
          </cell>
          <cell r="AG14">
            <v>-320.52299999999997</v>
          </cell>
          <cell r="AH14">
            <v>-333.75900000000001</v>
          </cell>
          <cell r="AI14">
            <v>-1270.7070000000001</v>
          </cell>
          <cell r="AJ14">
            <v>-314.7</v>
          </cell>
          <cell r="AK14">
            <v>-308.38</v>
          </cell>
          <cell r="AL14">
            <v>-302.54399999999998</v>
          </cell>
          <cell r="AM14">
            <v>-313.78399999999999</v>
          </cell>
          <cell r="AN14">
            <v>-1239.4079999999999</v>
          </cell>
          <cell r="AO14">
            <v>-314.20799999999997</v>
          </cell>
          <cell r="AP14">
            <v>-310.74200000000002</v>
          </cell>
          <cell r="AQ14">
            <v>-320.37900000000002</v>
          </cell>
          <cell r="AR14">
            <v>-316.34300000000002</v>
          </cell>
          <cell r="AS14">
            <v>-1261.672</v>
          </cell>
          <cell r="AT14">
            <v>-317.99699999999996</v>
          </cell>
          <cell r="AU14">
            <v>-321.495</v>
          </cell>
          <cell r="AV14">
            <v>-330.79999999999995</v>
          </cell>
          <cell r="AW14">
            <v>-349.209</v>
          </cell>
          <cell r="AX14">
            <v>-1319.5009999999997</v>
          </cell>
          <cell r="AY14">
            <v>-342.33800000000002</v>
          </cell>
          <cell r="AZ14">
            <v>-357.41200000000003</v>
          </cell>
          <cell r="BA14">
            <v>-379.00659817029231</v>
          </cell>
          <cell r="BB14">
            <v>-412.46326544517757</v>
          </cell>
          <cell r="BC14">
            <v>-1491.2198636154699</v>
          </cell>
          <cell r="BD14">
            <v>-391.09681268435224</v>
          </cell>
          <cell r="BE14">
            <v>-405.02690592633161</v>
          </cell>
          <cell r="BF14">
            <v>-423.61118240128576</v>
          </cell>
          <cell r="BG14">
            <v>-462.33514772626688</v>
          </cell>
          <cell r="BH14">
            <v>-1682.0700487382364</v>
          </cell>
          <cell r="BI14">
            <v>-443.19686819723023</v>
          </cell>
          <cell r="BJ14">
            <v>-456.90817320517067</v>
          </cell>
          <cell r="BK14">
            <v>-472.66502296563891</v>
          </cell>
          <cell r="BL14">
            <v>-516.52262325149093</v>
          </cell>
          <cell r="BM14">
            <v>-1889.2926876195306</v>
          </cell>
          <cell r="BN14">
            <v>-500.5732011822646</v>
          </cell>
          <cell r="BO14">
            <v>-513.59915623813902</v>
          </cell>
          <cell r="BP14">
            <v>-525.89227181427077</v>
          </cell>
          <cell r="BQ14">
            <v>-575.14022246172863</v>
          </cell>
          <cell r="BR14">
            <v>-2115.2048516964032</v>
          </cell>
          <cell r="BS14">
            <v>-563.46657542100775</v>
          </cell>
          <cell r="BT14">
            <v>-575.28673971304067</v>
          </cell>
          <cell r="BU14">
            <v>-583.30031861963528</v>
          </cell>
          <cell r="BV14">
            <v>-638.40138129466436</v>
          </cell>
          <cell r="BW14">
            <v>-2360.4550150483483</v>
          </cell>
          <cell r="BX14">
            <v>-632.26121851284506</v>
          </cell>
          <cell r="BY14">
            <v>-642.26665072600531</v>
          </cell>
          <cell r="BZ14">
            <v>-645.05991433757845</v>
          </cell>
          <cell r="CA14">
            <v>-706.56557317481304</v>
          </cell>
          <cell r="CB14">
            <v>-2626.1533567512415</v>
          </cell>
        </row>
        <row r="15">
          <cell r="B15" t="str">
            <v>R&amp;D expense</v>
          </cell>
          <cell r="C15" t="str">
            <v>RD_EXP</v>
          </cell>
          <cell r="D15" t="str">
            <v>USD</v>
          </cell>
          <cell r="F15">
            <v>-6.1419999999999995</v>
          </cell>
          <cell r="G15">
            <v>-12.660999999999998</v>
          </cell>
          <cell r="H15">
            <v>-35.793999999999997</v>
          </cell>
          <cell r="I15">
            <v>-68.099000000000004</v>
          </cell>
          <cell r="J15">
            <v>-110.14100000000001</v>
          </cell>
          <cell r="K15">
            <v>-41.255000000000003</v>
          </cell>
          <cell r="L15">
            <v>-42.155000000000001</v>
          </cell>
          <cell r="M15">
            <v>-47.566000000000003</v>
          </cell>
          <cell r="N15">
            <v>-48.59899999999999</v>
          </cell>
          <cell r="O15">
            <v>-179.57499999999999</v>
          </cell>
          <cell r="P15">
            <v>-48.97</v>
          </cell>
          <cell r="Q15">
            <v>-53.90100000000001</v>
          </cell>
          <cell r="R15">
            <v>-64.816999999999993</v>
          </cell>
          <cell r="S15">
            <v>-71.699999999999989</v>
          </cell>
          <cell r="T15">
            <v>-239.38799999999998</v>
          </cell>
          <cell r="U15">
            <v>-79.522000000000006</v>
          </cell>
          <cell r="V15">
            <v>-88.358000000000004</v>
          </cell>
          <cell r="W15">
            <v>-95.716999999999999</v>
          </cell>
          <cell r="X15">
            <v>-96.603000000000009</v>
          </cell>
          <cell r="Y15">
            <v>-360.2</v>
          </cell>
          <cell r="Z15">
            <v>-100.64299999999999</v>
          </cell>
          <cell r="AA15">
            <v>-100.16399999999999</v>
          </cell>
          <cell r="AB15">
            <v>-101.884</v>
          </cell>
          <cell r="AC15">
            <v>-95.57</v>
          </cell>
          <cell r="AD15">
            <v>-398.26099999999997</v>
          </cell>
          <cell r="AE15">
            <v>-95.382000000000005</v>
          </cell>
          <cell r="AF15">
            <v>-99.513000000000005</v>
          </cell>
          <cell r="AG15">
            <v>-104.11500000000001</v>
          </cell>
          <cell r="AH15">
            <v>-105.67699999999998</v>
          </cell>
          <cell r="AI15">
            <v>-404.68699999999995</v>
          </cell>
          <cell r="AJ15">
            <v>-106.04799999999999</v>
          </cell>
          <cell r="AK15">
            <v>-106.107</v>
          </cell>
          <cell r="AL15">
            <v>-106.867</v>
          </cell>
          <cell r="AM15">
            <v>-109.58500000000001</v>
          </cell>
          <cell r="AN15">
            <v>-428.60699999999997</v>
          </cell>
          <cell r="AO15">
            <v>-109.20500000000001</v>
          </cell>
          <cell r="AP15">
            <v>-105.76499999999999</v>
          </cell>
          <cell r="AQ15">
            <v>-111.01299999999999</v>
          </cell>
          <cell r="AR15">
            <v>-114.244</v>
          </cell>
          <cell r="AS15">
            <v>-440.22699999999998</v>
          </cell>
          <cell r="AT15">
            <v>-113.571</v>
          </cell>
          <cell r="AU15">
            <v>-119.86000000000001</v>
          </cell>
          <cell r="AV15">
            <v>-120.501</v>
          </cell>
          <cell r="AW15">
            <v>-128.27599999999998</v>
          </cell>
          <cell r="AX15">
            <v>-482.20799999999997</v>
          </cell>
          <cell r="AY15">
            <v>-130.39699999999999</v>
          </cell>
          <cell r="AZ15">
            <v>-136.01999999999998</v>
          </cell>
          <cell r="BA15">
            <v>-136.70593160018694</v>
          </cell>
          <cell r="BB15">
            <v>-158.64238211368834</v>
          </cell>
          <cell r="BC15">
            <v>-561.76531371387523</v>
          </cell>
          <cell r="BD15">
            <v>-152.12909658038049</v>
          </cell>
          <cell r="BE15">
            <v>-157.01706558842685</v>
          </cell>
          <cell r="BF15">
            <v>-155.35672502717327</v>
          </cell>
          <cell r="BG15">
            <v>-180.60161065183061</v>
          </cell>
          <cell r="BH15">
            <v>-645.10449784781122</v>
          </cell>
          <cell r="BI15">
            <v>-175.48861300627439</v>
          </cell>
          <cell r="BJ15">
            <v>-180.49804404226848</v>
          </cell>
          <cell r="BK15">
            <v>-176.30323982697374</v>
          </cell>
          <cell r="BL15">
            <v>-204.97022452812004</v>
          </cell>
          <cell r="BM15">
            <v>-737.26012140363662</v>
          </cell>
          <cell r="BN15">
            <v>-201.82918945244785</v>
          </cell>
          <cell r="BO15">
            <v>-206.82618558730192</v>
          </cell>
          <cell r="BP15">
            <v>-199.56029436621156</v>
          </cell>
          <cell r="BQ15">
            <v>-231.91094123954056</v>
          </cell>
          <cell r="BR15">
            <v>-840.12661064550184</v>
          </cell>
          <cell r="BS15">
            <v>-231.41616594070345</v>
          </cell>
          <cell r="BT15">
            <v>-236.24707383314552</v>
          </cell>
          <cell r="BU15">
            <v>-225.25313151656931</v>
          </cell>
          <cell r="BV15">
            <v>-261.63767858552347</v>
          </cell>
          <cell r="BW15">
            <v>-954.5540498759417</v>
          </cell>
          <cell r="BX15">
            <v>-264.59505029305359</v>
          </cell>
          <cell r="BY15">
            <v>-269.07170004969942</v>
          </cell>
          <cell r="BZ15">
            <v>-253.58021775380323</v>
          </cell>
          <cell r="CA15">
            <v>-294.39779157610201</v>
          </cell>
          <cell r="CB15">
            <v>-1081.6447596726582</v>
          </cell>
        </row>
        <row r="16">
          <cell r="B16" t="str">
            <v>ESO expense (pre-tax)</v>
          </cell>
          <cell r="C16" t="str">
            <v>ESO_PRE_TAX</v>
          </cell>
          <cell r="D16" t="str">
            <v>USD</v>
          </cell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  <cell r="Q16"/>
          <cell r="R16"/>
          <cell r="S16"/>
          <cell r="T16"/>
          <cell r="U16"/>
          <cell r="V16"/>
          <cell r="W16"/>
          <cell r="X16"/>
          <cell r="Y16"/>
          <cell r="Z16"/>
          <cell r="AA16"/>
          <cell r="AB16"/>
          <cell r="AC16"/>
          <cell r="AD16"/>
          <cell r="AE16"/>
          <cell r="AF16"/>
          <cell r="AG16"/>
          <cell r="AH16"/>
          <cell r="AI16"/>
          <cell r="AJ16"/>
          <cell r="AK16"/>
          <cell r="AL16"/>
          <cell r="AM16"/>
          <cell r="AN16"/>
          <cell r="AO16"/>
          <cell r="AP16"/>
          <cell r="AQ16"/>
          <cell r="AR16"/>
          <cell r="AS16"/>
          <cell r="AT16"/>
          <cell r="AU16"/>
          <cell r="AV16"/>
          <cell r="AW16"/>
          <cell r="AX16"/>
          <cell r="AY16"/>
          <cell r="AZ16"/>
          <cell r="BA16"/>
          <cell r="BB16"/>
          <cell r="BC16"/>
          <cell r="BD16"/>
          <cell r="BE16"/>
          <cell r="BF16"/>
          <cell r="BG16"/>
          <cell r="BH16"/>
          <cell r="BI16"/>
          <cell r="BJ16"/>
          <cell r="BK16"/>
          <cell r="BL16"/>
          <cell r="BM16"/>
          <cell r="BN16"/>
          <cell r="BO16"/>
          <cell r="BP16"/>
          <cell r="BQ16"/>
          <cell r="BR16"/>
          <cell r="BS16"/>
          <cell r="BT16"/>
          <cell r="BU16"/>
          <cell r="BV16"/>
          <cell r="BW16"/>
          <cell r="BX16"/>
          <cell r="BY16"/>
          <cell r="BZ16"/>
          <cell r="CA16"/>
          <cell r="CB16"/>
        </row>
        <row r="17">
          <cell r="B17" t="str">
            <v>Other operating income/(expense) (incl. leases)</v>
          </cell>
          <cell r="C17" t="str">
            <v>OTH_OP_INC_EXP</v>
          </cell>
          <cell r="D17" t="str">
            <v>USD</v>
          </cell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  <cell r="Q17"/>
          <cell r="R17"/>
          <cell r="S17"/>
          <cell r="T17"/>
          <cell r="U17"/>
          <cell r="V17"/>
          <cell r="W17"/>
          <cell r="X17"/>
          <cell r="Y17"/>
          <cell r="Z17"/>
          <cell r="AA17"/>
          <cell r="AB17"/>
          <cell r="AC17"/>
          <cell r="AD17"/>
          <cell r="AE17"/>
          <cell r="AF17"/>
          <cell r="AG17"/>
          <cell r="AH17"/>
          <cell r="AI17"/>
          <cell r="AJ17"/>
          <cell r="AK17"/>
          <cell r="AL17"/>
          <cell r="AM17"/>
          <cell r="AN17"/>
          <cell r="AO17"/>
          <cell r="AP17"/>
          <cell r="AQ17"/>
          <cell r="AR17"/>
          <cell r="AS17"/>
          <cell r="AT17"/>
          <cell r="AU17"/>
          <cell r="AV17"/>
          <cell r="AW17"/>
          <cell r="AX17"/>
          <cell r="AY17"/>
          <cell r="AZ17"/>
          <cell r="BA17"/>
          <cell r="BB17"/>
          <cell r="BC17"/>
          <cell r="BD17"/>
          <cell r="BE17"/>
          <cell r="BF17"/>
          <cell r="BG17"/>
          <cell r="BH17"/>
          <cell r="BI17"/>
          <cell r="BJ17"/>
          <cell r="BK17"/>
          <cell r="BL17"/>
          <cell r="BM17"/>
          <cell r="BN17"/>
          <cell r="BO17"/>
          <cell r="BP17"/>
          <cell r="BQ17"/>
          <cell r="BR17"/>
          <cell r="BS17"/>
          <cell r="BT17"/>
          <cell r="BU17"/>
          <cell r="BV17"/>
          <cell r="BW17"/>
          <cell r="BX17"/>
          <cell r="BY17"/>
          <cell r="BZ17"/>
          <cell r="CA17"/>
          <cell r="CB17"/>
        </row>
        <row r="18">
          <cell r="B18" t="str">
            <v>Total operating expense (incl. D&amp;A)</v>
          </cell>
          <cell r="C18" t="str">
            <v>TOT_OPS_EXP_DDA</v>
          </cell>
          <cell r="D18" t="str">
            <v>USD</v>
          </cell>
          <cell r="F18">
            <v>-19.114999999999998</v>
          </cell>
          <cell r="G18">
            <v>-70.143000000000001</v>
          </cell>
          <cell r="H18">
            <v>-199.58600000000001</v>
          </cell>
          <cell r="I18">
            <v>-343.05700000000002</v>
          </cell>
          <cell r="J18">
            <v>-587.9799999999999</v>
          </cell>
          <cell r="K18">
            <v>-211.04900000000001</v>
          </cell>
          <cell r="L18">
            <v>-221.11399999999998</v>
          </cell>
          <cell r="M18">
            <v>-249.506</v>
          </cell>
          <cell r="N18">
            <v>-276.327</v>
          </cell>
          <cell r="O18">
            <v>-957.99600000000009</v>
          </cell>
          <cell r="P18">
            <v>-297.68799999999999</v>
          </cell>
          <cell r="Q18">
            <v>-306.94299999999998</v>
          </cell>
          <cell r="R18">
            <v>-323.98099999999999</v>
          </cell>
          <cell r="S18">
            <v>-323.49599999999998</v>
          </cell>
          <cell r="T18">
            <v>-1252.1079999999999</v>
          </cell>
          <cell r="U18">
            <v>-339.14799999999997</v>
          </cell>
          <cell r="V18">
            <v>-374.38400000000001</v>
          </cell>
          <cell r="W18">
            <v>-392.404</v>
          </cell>
          <cell r="X18">
            <v>-404.48700000000002</v>
          </cell>
          <cell r="Y18">
            <v>-1510.423</v>
          </cell>
          <cell r="Z18">
            <v>-448.98099999999999</v>
          </cell>
          <cell r="AA18">
            <v>-460.71</v>
          </cell>
          <cell r="AB18">
            <v>-451.53300000000002</v>
          </cell>
          <cell r="AC18">
            <v>-401.49999999999994</v>
          </cell>
          <cell r="AD18">
            <v>-1762.7239999999999</v>
          </cell>
          <cell r="AE18">
            <v>-397.95600000000002</v>
          </cell>
          <cell r="AF18">
            <v>-413.36400000000003</v>
          </cell>
          <cell r="AG18">
            <v>-424.63799999999998</v>
          </cell>
          <cell r="AH18">
            <v>-439.43599999999998</v>
          </cell>
          <cell r="AI18">
            <v>-1675.394</v>
          </cell>
          <cell r="AJ18">
            <v>-420.74799999999999</v>
          </cell>
          <cell r="AK18">
            <v>-414.48699999999997</v>
          </cell>
          <cell r="AL18">
            <v>-409.411</v>
          </cell>
          <cell r="AM18">
            <v>-423.36900000000003</v>
          </cell>
          <cell r="AN18">
            <v>-1668.0149999999999</v>
          </cell>
          <cell r="AO18">
            <v>-423.41300000000001</v>
          </cell>
          <cell r="AP18">
            <v>-416.50700000000001</v>
          </cell>
          <cell r="AQ18">
            <v>-431.392</v>
          </cell>
          <cell r="AR18">
            <v>-430.58699999999999</v>
          </cell>
          <cell r="AS18">
            <v>-1701.8989999999999</v>
          </cell>
          <cell r="AT18">
            <v>-431.56799999999998</v>
          </cell>
          <cell r="AU18">
            <v>-441.35500000000002</v>
          </cell>
          <cell r="AV18">
            <v>-451.30099999999993</v>
          </cell>
          <cell r="AW18">
            <v>-477.48500000000001</v>
          </cell>
          <cell r="AX18">
            <v>-1801.7089999999998</v>
          </cell>
          <cell r="AY18">
            <v>-472.73500000000001</v>
          </cell>
          <cell r="AZ18">
            <v>-493.43200000000002</v>
          </cell>
          <cell r="BA18">
            <v>-515.71252977047925</v>
          </cell>
          <cell r="BB18">
            <v>-571.10564755886594</v>
          </cell>
          <cell r="BC18">
            <v>-2052.9851773293449</v>
          </cell>
          <cell r="BD18">
            <v>-543.22590926473276</v>
          </cell>
          <cell r="BE18">
            <v>-562.04397151475848</v>
          </cell>
          <cell r="BF18">
            <v>-578.96790742845906</v>
          </cell>
          <cell r="BG18">
            <v>-642.93675837809747</v>
          </cell>
          <cell r="BH18">
            <v>-2327.1745465860477</v>
          </cell>
          <cell r="BI18">
            <v>-618.68548120350465</v>
          </cell>
          <cell r="BJ18">
            <v>-637.40621724743914</v>
          </cell>
          <cell r="BK18">
            <v>-648.96826279261268</v>
          </cell>
          <cell r="BL18">
            <v>-721.492847779611</v>
          </cell>
          <cell r="BM18">
            <v>-2626.5528090231674</v>
          </cell>
          <cell r="BN18">
            <v>-702.40239063471245</v>
          </cell>
          <cell r="BO18">
            <v>-720.42534182544091</v>
          </cell>
          <cell r="BP18">
            <v>-725.45256618048234</v>
          </cell>
          <cell r="BQ18">
            <v>-807.05116370126916</v>
          </cell>
          <cell r="BR18">
            <v>-2955.3314623419051</v>
          </cell>
          <cell r="BS18">
            <v>-794.88274136171117</v>
          </cell>
          <cell r="BT18">
            <v>-811.53381354618614</v>
          </cell>
          <cell r="BU18">
            <v>-808.55345013620456</v>
          </cell>
          <cell r="BV18">
            <v>-900.03905988018778</v>
          </cell>
          <cell r="BW18">
            <v>-3315.0090649242902</v>
          </cell>
          <cell r="BX18">
            <v>-896.85626880589871</v>
          </cell>
          <cell r="BY18">
            <v>-911.33835077570473</v>
          </cell>
          <cell r="BZ18">
            <v>-898.6401320913817</v>
          </cell>
          <cell r="CA18">
            <v>-1000.963364750915</v>
          </cell>
          <cell r="CB18">
            <v>-3707.7981164239</v>
          </cell>
        </row>
        <row r="19">
          <cell r="B19" t="str">
            <v>Total operating expense (excl. D&amp;A)</v>
          </cell>
          <cell r="C19" t="str">
            <v>TOT_OPS_EXP</v>
          </cell>
          <cell r="D19" t="str">
            <v>USD</v>
          </cell>
          <cell r="F19">
            <v>-19.114999999999998</v>
          </cell>
          <cell r="G19">
            <v>-70.143000000000001</v>
          </cell>
          <cell r="H19">
            <v>-199.58600000000001</v>
          </cell>
          <cell r="I19">
            <v>-343.05700000000002</v>
          </cell>
          <cell r="J19">
            <v>-561.57199999999989</v>
          </cell>
          <cell r="K19">
            <v>-202.477</v>
          </cell>
          <cell r="L19">
            <v>-211.51399999999998</v>
          </cell>
          <cell r="M19">
            <v>-239.744</v>
          </cell>
          <cell r="N19">
            <v>-265.86199999999997</v>
          </cell>
          <cell r="O19">
            <v>-919.59700000000009</v>
          </cell>
          <cell r="P19">
            <v>-286.35500000000002</v>
          </cell>
          <cell r="Q19">
            <v>-295.26099999999997</v>
          </cell>
          <cell r="R19">
            <v>-310.983</v>
          </cell>
          <cell r="S19">
            <v>-309.20699999999999</v>
          </cell>
          <cell r="T19">
            <v>-1201.8059999999998</v>
          </cell>
          <cell r="U19">
            <v>-322.96499999999997</v>
          </cell>
          <cell r="V19">
            <v>-355.56200000000001</v>
          </cell>
          <cell r="W19">
            <v>-371.66899999999998</v>
          </cell>
          <cell r="X19">
            <v>-382.61500000000001</v>
          </cell>
          <cell r="Y19">
            <v>-1432.8109999999999</v>
          </cell>
          <cell r="Z19">
            <v>-426.51899999999995</v>
          </cell>
          <cell r="AA19">
            <v>-437.63199999999995</v>
          </cell>
          <cell r="AB19">
            <v>-427.358</v>
          </cell>
          <cell r="AC19">
            <v>-377.44199999999989</v>
          </cell>
          <cell r="AD19">
            <v>-1668.9509999999998</v>
          </cell>
          <cell r="AE19">
            <v>-374.45699999999999</v>
          </cell>
          <cell r="AF19">
            <v>-389.77600000000001</v>
          </cell>
          <cell r="AG19">
            <v>-401.11599999999999</v>
          </cell>
          <cell r="AH19">
            <v>-415.67199999999991</v>
          </cell>
          <cell r="AI19">
            <v>-1581.021</v>
          </cell>
          <cell r="AJ19">
            <v>-397.45699999999999</v>
          </cell>
          <cell r="AK19">
            <v>-392.19599999999997</v>
          </cell>
          <cell r="AL19">
            <v>-387.87</v>
          </cell>
          <cell r="AM19">
            <v>-402.54000000000008</v>
          </cell>
          <cell r="AN19">
            <v>-1580.0629999999999</v>
          </cell>
          <cell r="AO19">
            <v>-403.57400000000001</v>
          </cell>
          <cell r="AP19">
            <v>-396.86700000000002</v>
          </cell>
          <cell r="AQ19">
            <v>-411.79299999999995</v>
          </cell>
          <cell r="AR19">
            <v>-413.27699999999999</v>
          </cell>
          <cell r="AS19">
            <v>-1625.511</v>
          </cell>
          <cell r="AT19">
            <v>-413.38099999999997</v>
          </cell>
          <cell r="AU19">
            <v>-423.15300000000002</v>
          </cell>
          <cell r="AV19">
            <v>-432.70399999999995</v>
          </cell>
          <cell r="AW19">
            <v>-459.27199999999999</v>
          </cell>
          <cell r="AX19">
            <v>-1728.5099999999998</v>
          </cell>
          <cell r="AY19">
            <v>-454.55500000000001</v>
          </cell>
          <cell r="AZ19">
            <v>-475.185</v>
          </cell>
          <cell r="BA19">
            <v>-497.90552977047929</v>
          </cell>
          <cell r="BB19">
            <v>-552.78595647148222</v>
          </cell>
          <cell r="BC19">
            <v>-1980.4314862419612</v>
          </cell>
          <cell r="BD19">
            <v>-524.33804512895563</v>
          </cell>
          <cell r="BE19">
            <v>-542.89741165733028</v>
          </cell>
          <cell r="BF19">
            <v>-558.46394754338189</v>
          </cell>
          <cell r="BG19">
            <v>-621.45758618805507</v>
          </cell>
          <cell r="BH19">
            <v>-2247.156990517723</v>
          </cell>
          <cell r="BI19">
            <v>-596.20795798277641</v>
          </cell>
          <cell r="BJ19">
            <v>-614.83564974777369</v>
          </cell>
          <cell r="BK19">
            <v>-624.97016461210637</v>
          </cell>
          <cell r="BL19">
            <v>-696.52121010751353</v>
          </cell>
          <cell r="BM19">
            <v>-2532.53498245017</v>
          </cell>
          <cell r="BN19">
            <v>-676.51227752288378</v>
          </cell>
          <cell r="BO19">
            <v>-694.56035790927774</v>
          </cell>
          <cell r="BP19">
            <v>-698.03779786501946</v>
          </cell>
          <cell r="BQ19">
            <v>-778.62441574452839</v>
          </cell>
          <cell r="BR19">
            <v>-2847.7348490417098</v>
          </cell>
          <cell r="BS19">
            <v>-765.36962519762028</v>
          </cell>
          <cell r="BT19">
            <v>-782.14958517606408</v>
          </cell>
          <cell r="BU19">
            <v>-777.46365924485349</v>
          </cell>
          <cell r="BV19">
            <v>-867.87527776207276</v>
          </cell>
          <cell r="BW19">
            <v>-3192.8581473806112</v>
          </cell>
          <cell r="BX19">
            <v>-863.52060355177412</v>
          </cell>
          <cell r="BY19">
            <v>-878.23974899281211</v>
          </cell>
          <cell r="BZ19">
            <v>-863.65546288537951</v>
          </cell>
          <cell r="CA19">
            <v>-964.82664955672305</v>
          </cell>
          <cell r="CB19">
            <v>-3570.2424649866884</v>
          </cell>
        </row>
        <row r="20">
          <cell r="B20" t="str">
            <v>EBITDA</v>
          </cell>
          <cell r="C20" t="str">
            <v>EBITDA_CALC</v>
          </cell>
          <cell r="D20" t="str">
            <v>USD</v>
          </cell>
          <cell r="F20">
            <v>-12.528999999999998</v>
          </cell>
          <cell r="G20">
            <v>-39.61</v>
          </cell>
          <cell r="H20">
            <v>-72.459000000000017</v>
          </cell>
          <cell r="I20">
            <v>-101.62500000000003</v>
          </cell>
          <cell r="J20">
            <v>-58.161999999999864</v>
          </cell>
          <cell r="K20">
            <v>-13.915999999999997</v>
          </cell>
          <cell r="L20">
            <v>-12.299999999999983</v>
          </cell>
          <cell r="M20">
            <v>-34.074000000000012</v>
          </cell>
          <cell r="N20">
            <v>-13.403999999999968</v>
          </cell>
          <cell r="O20">
            <v>-73.694000000000074</v>
          </cell>
          <cell r="P20">
            <v>-10.802999999999997</v>
          </cell>
          <cell r="Q20">
            <v>-8.5169999999999959</v>
          </cell>
          <cell r="R20">
            <v>-21.569999999999993</v>
          </cell>
          <cell r="S20">
            <v>-5.4590000000000032</v>
          </cell>
          <cell r="T20">
            <v>-46.348999999999933</v>
          </cell>
          <cell r="U20">
            <v>-9.6819999999999595</v>
          </cell>
          <cell r="V20">
            <v>-20.201999999999998</v>
          </cell>
          <cell r="W20">
            <v>-84.044999999999959</v>
          </cell>
          <cell r="X20">
            <v>-82.739000000000033</v>
          </cell>
          <cell r="Y20">
            <v>-196.66799999999989</v>
          </cell>
          <cell r="Z20">
            <v>-111.75099999999998</v>
          </cell>
          <cell r="AA20">
            <v>-90.864999999999952</v>
          </cell>
          <cell r="AB20">
            <v>-109.08499999999998</v>
          </cell>
          <cell r="AC20">
            <v>-49.56799999999987</v>
          </cell>
          <cell r="AD20">
            <v>-361.26900000000001</v>
          </cell>
          <cell r="AE20">
            <v>-61.702999999999975</v>
          </cell>
          <cell r="AF20">
            <v>-43.394000000000005</v>
          </cell>
          <cell r="AG20">
            <v>-56.608000000000004</v>
          </cell>
          <cell r="AH20">
            <v>-24.951999999999884</v>
          </cell>
          <cell r="AI20">
            <v>-186.65699999999993</v>
          </cell>
          <cell r="AJ20">
            <v>-18.939999999999998</v>
          </cell>
          <cell r="AK20">
            <v>20.885000000000048</v>
          </cell>
          <cell r="AL20">
            <v>15.788000000000011</v>
          </cell>
          <cell r="AM20">
            <v>-17.000000000000114</v>
          </cell>
          <cell r="AN20">
            <v>0.73299999999994725</v>
          </cell>
          <cell r="AO20">
            <v>30.035000000000025</v>
          </cell>
          <cell r="AP20">
            <v>89.627999999999986</v>
          </cell>
          <cell r="AQ20">
            <v>36.788000000000068</v>
          </cell>
          <cell r="AR20">
            <v>80.93300000000005</v>
          </cell>
          <cell r="AS20">
            <v>237.38400000000001</v>
          </cell>
          <cell r="AT20">
            <v>97.673000000000002</v>
          </cell>
          <cell r="AU20">
            <v>142.07999999999993</v>
          </cell>
          <cell r="AV20">
            <v>91.873000000000047</v>
          </cell>
          <cell r="AW20">
            <v>88.68</v>
          </cell>
          <cell r="AX20">
            <v>420.30600000000004</v>
          </cell>
          <cell r="AY20">
            <v>136.4009999999999</v>
          </cell>
          <cell r="AZ20">
            <v>179.536</v>
          </cell>
          <cell r="BA20">
            <v>127.1478941042306</v>
          </cell>
          <cell r="BB20">
            <v>81.527823897910821</v>
          </cell>
          <cell r="BC20">
            <v>524.61271800214149</v>
          </cell>
          <cell r="BD20">
            <v>165.10728259143161</v>
          </cell>
          <cell r="BE20">
            <v>212.89122383098345</v>
          </cell>
          <cell r="BF20">
            <v>151.86552948469239</v>
          </cell>
          <cell r="BG20">
            <v>100.657707764527</v>
          </cell>
          <cell r="BH20">
            <v>630.52174367163389</v>
          </cell>
          <cell r="BI20">
            <v>199.10212421034066</v>
          </cell>
          <cell r="BJ20">
            <v>253.97673000077862</v>
          </cell>
          <cell r="BK20">
            <v>181.1319730503925</v>
          </cell>
          <cell r="BL20">
            <v>123.02925460009385</v>
          </cell>
          <cell r="BM20">
            <v>757.24008186160563</v>
          </cell>
          <cell r="BN20">
            <v>238.17264990689421</v>
          </cell>
          <cell r="BO20">
            <v>300.98034973595043</v>
          </cell>
          <cell r="BP20">
            <v>214.40136116028611</v>
          </cell>
          <cell r="BQ20">
            <v>148.64548456028024</v>
          </cell>
          <cell r="BR20">
            <v>902.19984536341053</v>
          </cell>
          <cell r="BS20">
            <v>283.40275269185827</v>
          </cell>
          <cell r="BT20">
            <v>355.00613035923141</v>
          </cell>
          <cell r="BU20">
            <v>252.44952334260529</v>
          </cell>
          <cell r="BV20">
            <v>178.25364932200819</v>
          </cell>
          <cell r="BW20">
            <v>1069.1120557157033</v>
          </cell>
          <cell r="BX20">
            <v>335.61766298029158</v>
          </cell>
          <cell r="BY20">
            <v>416.9145851362814</v>
          </cell>
          <cell r="BZ20">
            <v>295.77618341264008</v>
          </cell>
          <cell r="CA20">
            <v>212.28991676672933</v>
          </cell>
          <cell r="CB20">
            <v>1260.5983482959432</v>
          </cell>
        </row>
        <row r="21">
          <cell r="B21" t="str">
            <v>Depreciation</v>
          </cell>
          <cell r="C21" t="str">
            <v>DEPREC</v>
          </cell>
          <cell r="D21" t="str">
            <v>USD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-26.408000000000001</v>
          </cell>
          <cell r="K21">
            <v>-8.1669999999999998</v>
          </cell>
          <cell r="L21">
            <v>-8.9920000000000009</v>
          </cell>
          <cell r="M21">
            <v>-9.1539999999999999</v>
          </cell>
          <cell r="N21">
            <v>-9.8569999999999993</v>
          </cell>
          <cell r="O21">
            <v>-36.17</v>
          </cell>
          <cell r="P21">
            <v>-10.227</v>
          </cell>
          <cell r="Q21">
            <v>-10.326000000000001</v>
          </cell>
          <cell r="R21">
            <v>-11.328999999999997</v>
          </cell>
          <cell r="S21">
            <v>-11.865000000000002</v>
          </cell>
          <cell r="T21">
            <v>-43.747</v>
          </cell>
          <cell r="U21">
            <v>-12.465</v>
          </cell>
          <cell r="V21">
            <v>-14.464000000000002</v>
          </cell>
          <cell r="W21">
            <v>-16.38</v>
          </cell>
          <cell r="X21">
            <v>-17.526999999999994</v>
          </cell>
          <cell r="Y21">
            <v>-60.835999999999991</v>
          </cell>
          <cell r="Z21">
            <v>-18.117000000000001</v>
          </cell>
          <cell r="AA21">
            <v>-18.733000000000001</v>
          </cell>
          <cell r="AB21">
            <v>-19.830000000000005</v>
          </cell>
          <cell r="AC21">
            <v>-19.712999999999994</v>
          </cell>
          <cell r="AD21">
            <v>-76.393000000000001</v>
          </cell>
          <cell r="AE21">
            <v>-19.154</v>
          </cell>
          <cell r="AF21">
            <v>-19.243000000000006</v>
          </cell>
          <cell r="AG21">
            <v>-19.176999999999992</v>
          </cell>
          <cell r="AH21">
            <v>-19.419000000000011</v>
          </cell>
          <cell r="AI21">
            <v>-76.993000000000009</v>
          </cell>
          <cell r="AJ21">
            <v>-19.164000000000001</v>
          </cell>
          <cell r="AK21">
            <v>-18.271999999999998</v>
          </cell>
          <cell r="AL21">
            <v>-17.522000000000006</v>
          </cell>
          <cell r="AM21">
            <v>-16.810999999999993</v>
          </cell>
          <cell r="AN21">
            <v>-71.769000000000005</v>
          </cell>
          <cell r="AO21">
            <v>-16.68</v>
          </cell>
          <cell r="AP21">
            <v>-16.911000000000001</v>
          </cell>
          <cell r="AQ21">
            <v>-16.992000000000004</v>
          </cell>
          <cell r="AR21">
            <v>-15.108000000000002</v>
          </cell>
          <cell r="AS21">
            <v>-65.691000000000003</v>
          </cell>
          <cell r="AT21">
            <v>-17.039000000000001</v>
          </cell>
          <cell r="AU21">
            <v>-17.371000000000002</v>
          </cell>
          <cell r="AV21">
            <v>-17.731999999999996</v>
          </cell>
          <cell r="AW21">
            <v>-17.348000000000003</v>
          </cell>
          <cell r="AX21">
            <v>-69.489999999999995</v>
          </cell>
          <cell r="AY21">
            <v>-17.324999999999999</v>
          </cell>
          <cell r="AZ21">
            <v>-17.391999999999999</v>
          </cell>
          <cell r="BA21">
            <v>-17.391999999999999</v>
          </cell>
          <cell r="BB21">
            <v>-17.90469108738376</v>
          </cell>
          <cell r="BC21">
            <v>-70.013691087383762</v>
          </cell>
          <cell r="BD21">
            <v>-18.693614135777072</v>
          </cell>
          <cell r="BE21">
            <v>-18.952309857428208</v>
          </cell>
          <cell r="BF21">
            <v>-20.309709885077162</v>
          </cell>
          <cell r="BG21">
            <v>-21.284922190042344</v>
          </cell>
          <cell r="BH21">
            <v>-79.240556068324793</v>
          </cell>
          <cell r="BI21">
            <v>-22.28327322072829</v>
          </cell>
          <cell r="BJ21">
            <v>-22.376317499665472</v>
          </cell>
          <cell r="BK21">
            <v>-23.803848180506257</v>
          </cell>
          <cell r="BL21">
            <v>-24.777387672097404</v>
          </cell>
          <cell r="BM21">
            <v>-93.240826572997435</v>
          </cell>
          <cell r="BN21">
            <v>-25.801863111828681</v>
          </cell>
          <cell r="BO21">
            <v>-25.77673391616316</v>
          </cell>
          <cell r="BP21">
            <v>-27.326518315462813</v>
          </cell>
          <cell r="BQ21">
            <v>-28.338497956740721</v>
          </cell>
          <cell r="BR21">
            <v>-107.24361330019538</v>
          </cell>
          <cell r="BS21">
            <v>-29.424866164090894</v>
          </cell>
          <cell r="BT21">
            <v>-29.295978370122068</v>
          </cell>
          <cell r="BU21">
            <v>-31.001540891351063</v>
          </cell>
          <cell r="BV21">
            <v>-32.075532118114971</v>
          </cell>
          <cell r="BW21">
            <v>-121.79791754367901</v>
          </cell>
          <cell r="BX21">
            <v>-33.247415254124562</v>
          </cell>
          <cell r="BY21">
            <v>-33.010351782892542</v>
          </cell>
          <cell r="BZ21">
            <v>-34.896419206002228</v>
          </cell>
          <cell r="CA21">
            <v>-36.048465194191934</v>
          </cell>
          <cell r="CB21">
            <v>-137.20265143721127</v>
          </cell>
        </row>
        <row r="22">
          <cell r="B22" t="str">
            <v>Amortization</v>
          </cell>
          <cell r="C22" t="str">
            <v>GOODWILL_AMORT</v>
          </cell>
          <cell r="D22" t="str">
            <v>USD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-0.40500000000000003</v>
          </cell>
          <cell r="L22">
            <v>-0.60799999999999998</v>
          </cell>
          <cell r="M22">
            <v>-0.60799999999999998</v>
          </cell>
          <cell r="N22">
            <v>-0.60799999999999998</v>
          </cell>
          <cell r="O22">
            <v>-2.2290000000000001</v>
          </cell>
          <cell r="P22">
            <v>-1.1060000000000001</v>
          </cell>
          <cell r="Q22">
            <v>-1.3559999999999999</v>
          </cell>
          <cell r="R22">
            <v>-1.669</v>
          </cell>
          <cell r="S22">
            <v>-2.4239999999999999</v>
          </cell>
          <cell r="T22">
            <v>-6.5549999999999997</v>
          </cell>
          <cell r="U22">
            <v>-3.718</v>
          </cell>
          <cell r="V22">
            <v>-4.3580000000000005</v>
          </cell>
          <cell r="W22">
            <v>-4.3550000000000004</v>
          </cell>
          <cell r="X22">
            <v>-4.3449999999999998</v>
          </cell>
          <cell r="Y22">
            <v>-16.776000000000003</v>
          </cell>
          <cell r="Z22">
            <v>-4.3449999999999998</v>
          </cell>
          <cell r="AA22">
            <v>-4.3449999999999998</v>
          </cell>
          <cell r="AB22">
            <v>-4.3449999999999998</v>
          </cell>
          <cell r="AC22">
            <v>-4.3449999999999998</v>
          </cell>
          <cell r="AD22">
            <v>-17.38</v>
          </cell>
          <cell r="AE22">
            <v>-4.3449999999999998</v>
          </cell>
          <cell r="AF22">
            <v>-4.3449999999999998</v>
          </cell>
          <cell r="AG22">
            <v>-4.3449999999999998</v>
          </cell>
          <cell r="AH22">
            <v>-4.3449999999999998</v>
          </cell>
          <cell r="AI22">
            <v>-17.38</v>
          </cell>
          <cell r="AJ22">
            <v>-4.1269999999999998</v>
          </cell>
          <cell r="AK22">
            <v>-4.0190000000000001</v>
          </cell>
          <cell r="AL22">
            <v>-4.0190000000000001</v>
          </cell>
          <cell r="AM22">
            <v>-4.0179999999999998</v>
          </cell>
          <cell r="AN22">
            <v>-16.183</v>
          </cell>
          <cell r="AO22">
            <v>-3.1589999999999998</v>
          </cell>
          <cell r="AP22">
            <v>-2.7290000000000001</v>
          </cell>
          <cell r="AQ22">
            <v>-2.6070000000000002</v>
          </cell>
          <cell r="AR22">
            <v>-2.2020000000000004</v>
          </cell>
          <cell r="AS22">
            <v>-10.697000000000001</v>
          </cell>
          <cell r="AT22">
            <v>-1.1479999999999999</v>
          </cell>
          <cell r="AU22">
            <v>-0.83099999999999996</v>
          </cell>
          <cell r="AV22">
            <v>-0.86499999999999999</v>
          </cell>
          <cell r="AW22">
            <v>-0.86499999999999999</v>
          </cell>
          <cell r="AX22">
            <v>-3.7090000000000001</v>
          </cell>
          <cell r="AY22">
            <v>-0.85499999999999998</v>
          </cell>
          <cell r="AZ22">
            <v>-0.85499999999999998</v>
          </cell>
          <cell r="BA22">
            <v>-0.41500000000000004</v>
          </cell>
          <cell r="BB22">
            <v>-0.41500000000000004</v>
          </cell>
          <cell r="BC22">
            <v>-2.54</v>
          </cell>
          <cell r="BD22">
            <v>-0.19425000000000001</v>
          </cell>
          <cell r="BE22">
            <v>-0.19425000000000001</v>
          </cell>
          <cell r="BF22">
            <v>-0.19425000000000001</v>
          </cell>
          <cell r="BG22">
            <v>-0.19425000000000001</v>
          </cell>
          <cell r="BH22">
            <v>-0.77700000000000002</v>
          </cell>
          <cell r="BI22">
            <v>-0.19425000000000001</v>
          </cell>
          <cell r="BJ22">
            <v>-0.19425000000000001</v>
          </cell>
          <cell r="BK22">
            <v>-0.19425000000000001</v>
          </cell>
          <cell r="BL22">
            <v>-0.19425000000000001</v>
          </cell>
          <cell r="BM22">
            <v>-0.77700000000000002</v>
          </cell>
          <cell r="BN22">
            <v>-8.8249999999999995E-2</v>
          </cell>
          <cell r="BO22">
            <v>-8.8249999999999995E-2</v>
          </cell>
          <cell r="BP22">
            <v>-8.8249999999999995E-2</v>
          </cell>
          <cell r="BQ22">
            <v>-8.8249999999999995E-2</v>
          </cell>
          <cell r="BR22">
            <v>-0.35299999999999998</v>
          </cell>
          <cell r="BS22">
            <v>-8.8249999999999995E-2</v>
          </cell>
          <cell r="BT22">
            <v>-8.8249999999999995E-2</v>
          </cell>
          <cell r="BU22">
            <v>-8.8249999999999995E-2</v>
          </cell>
          <cell r="BV22">
            <v>-8.8249999999999995E-2</v>
          </cell>
          <cell r="BW22">
            <v>-0.35299999999999998</v>
          </cell>
          <cell r="BX22">
            <v>-8.8249999999999995E-2</v>
          </cell>
          <cell r="BY22">
            <v>-8.8249999999999995E-2</v>
          </cell>
          <cell r="BZ22">
            <v>-8.8249999999999995E-2</v>
          </cell>
          <cell r="CA22">
            <v>-8.8249999999999995E-2</v>
          </cell>
          <cell r="CB22">
            <v>-0.35299999999999998</v>
          </cell>
        </row>
        <row r="23">
          <cell r="B23" t="str">
            <v>EBIT, operating profit</v>
          </cell>
          <cell r="C23" t="str">
            <v>EBIT</v>
          </cell>
          <cell r="D23" t="str">
            <v>USD</v>
          </cell>
          <cell r="F23">
            <v>-12.528999999999998</v>
          </cell>
          <cell r="G23">
            <v>-39.61</v>
          </cell>
          <cell r="H23">
            <v>-72.458999999999989</v>
          </cell>
          <cell r="I23">
            <v>-101.62500000000003</v>
          </cell>
          <cell r="J23">
            <v>-84.57</v>
          </cell>
          <cell r="K23">
            <v>-22.488</v>
          </cell>
          <cell r="L23">
            <v>-21.899999999999977</v>
          </cell>
          <cell r="M23">
            <v>-43.836000000000027</v>
          </cell>
          <cell r="N23">
            <v>-23.869000000000028</v>
          </cell>
          <cell r="O23">
            <v>-112.09300000000007</v>
          </cell>
          <cell r="P23">
            <v>-22.136000000000024</v>
          </cell>
          <cell r="Q23">
            <v>-20.199000000000012</v>
          </cell>
          <cell r="R23">
            <v>-34.567999999999984</v>
          </cell>
          <cell r="S23">
            <v>-19.748000000000019</v>
          </cell>
          <cell r="T23">
            <v>-96.651000000000067</v>
          </cell>
          <cell r="U23">
            <v>-25.864999999999981</v>
          </cell>
          <cell r="V23">
            <v>-39.024000000000001</v>
          </cell>
          <cell r="W23">
            <v>-104.78</v>
          </cell>
          <cell r="X23">
            <v>-104.61100000000005</v>
          </cell>
          <cell r="Y23">
            <v>-274.27999999999997</v>
          </cell>
          <cell r="Z23">
            <v>-134.21300000000002</v>
          </cell>
          <cell r="AA23">
            <v>-113.94299999999998</v>
          </cell>
          <cell r="AB23">
            <v>-133.26</v>
          </cell>
          <cell r="AC23">
            <v>-73.625999999999976</v>
          </cell>
          <cell r="AD23">
            <v>-455.04200000000014</v>
          </cell>
          <cell r="AE23">
            <v>-85.201999999999998</v>
          </cell>
          <cell r="AF23">
            <v>-66.982000000000028</v>
          </cell>
          <cell r="AG23">
            <v>-80.13</v>
          </cell>
          <cell r="AH23">
            <v>-48.715999999999951</v>
          </cell>
          <cell r="AI23">
            <v>-281.02999999999997</v>
          </cell>
          <cell r="AJ23">
            <v>-42.230999999999938</v>
          </cell>
          <cell r="AK23">
            <v>-1.4060000000000059</v>
          </cell>
          <cell r="AL23">
            <v>-5.7529999999999291</v>
          </cell>
          <cell r="AM23">
            <v>-37.829000000000008</v>
          </cell>
          <cell r="AN23">
            <v>-87.219000000000051</v>
          </cell>
          <cell r="AO23">
            <v>10.196000000000026</v>
          </cell>
          <cell r="AP23">
            <v>69.988000000000056</v>
          </cell>
          <cell r="AQ23">
            <v>17.189000000000021</v>
          </cell>
          <cell r="AR23">
            <v>63.623000000000047</v>
          </cell>
          <cell r="AS23">
            <v>160.99600000000009</v>
          </cell>
          <cell r="AT23">
            <v>79.486000000000047</v>
          </cell>
          <cell r="AU23">
            <v>123.87799999999987</v>
          </cell>
          <cell r="AV23">
            <v>73.27600000000001</v>
          </cell>
          <cell r="AW23">
            <v>70.467000000000041</v>
          </cell>
          <cell r="AX23">
            <v>347.10699999999997</v>
          </cell>
          <cell r="AY23">
            <v>118.22099999999989</v>
          </cell>
          <cell r="AZ23">
            <v>161.28899999999999</v>
          </cell>
          <cell r="BA23">
            <v>109.34089410423064</v>
          </cell>
          <cell r="BB23">
            <v>63.208132810527104</v>
          </cell>
          <cell r="BC23">
            <v>452.05902691475785</v>
          </cell>
          <cell r="BD23">
            <v>146.21941845565453</v>
          </cell>
          <cell r="BE23">
            <v>193.74466397355525</v>
          </cell>
          <cell r="BF23">
            <v>131.36156959961522</v>
          </cell>
          <cell r="BG23">
            <v>79.178535574484613</v>
          </cell>
          <cell r="BH23">
            <v>550.50418760330922</v>
          </cell>
          <cell r="BI23">
            <v>176.62460098961242</v>
          </cell>
          <cell r="BJ23">
            <v>231.40616250111316</v>
          </cell>
          <cell r="BK23">
            <v>157.1338748698862</v>
          </cell>
          <cell r="BL23">
            <v>98.057616927996378</v>
          </cell>
          <cell r="BM23">
            <v>663.22225528860827</v>
          </cell>
          <cell r="BN23">
            <v>212.28253679506554</v>
          </cell>
          <cell r="BO23">
            <v>275.11536581978726</v>
          </cell>
          <cell r="BP23">
            <v>186.98659284482324</v>
          </cell>
          <cell r="BQ23">
            <v>120.21873660353947</v>
          </cell>
          <cell r="BR23">
            <v>794.60323206321527</v>
          </cell>
          <cell r="BS23">
            <v>253.88963652776727</v>
          </cell>
          <cell r="BT23">
            <v>325.62190198910935</v>
          </cell>
          <cell r="BU23">
            <v>221.35973245125422</v>
          </cell>
          <cell r="BV23">
            <v>146.08986720389316</v>
          </cell>
          <cell r="BW23">
            <v>946.96113817202468</v>
          </cell>
          <cell r="BX23">
            <v>302.28199772616722</v>
          </cell>
          <cell r="BY23">
            <v>383.81598335338879</v>
          </cell>
          <cell r="BZ23">
            <v>260.79151420663788</v>
          </cell>
          <cell r="CA23">
            <v>176.15320157253723</v>
          </cell>
          <cell r="CB23">
            <v>1123.0426968587317</v>
          </cell>
        </row>
        <row r="24">
          <cell r="B24" t="str">
            <v>Interest income</v>
          </cell>
          <cell r="C24" t="str">
            <v>INT_INC_IND</v>
          </cell>
          <cell r="D24" t="str">
            <v>USD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4.8659999999999997</v>
          </cell>
          <cell r="AA24">
            <v>3.8119999999999998</v>
          </cell>
          <cell r="AB24">
            <v>2.95</v>
          </cell>
          <cell r="AC24">
            <v>1.8249999999999993</v>
          </cell>
          <cell r="AD24">
            <v>13.452999999999999</v>
          </cell>
          <cell r="AE24">
            <v>1.3</v>
          </cell>
          <cell r="AF24">
            <v>1.1779999999999999</v>
          </cell>
          <cell r="AG24">
            <v>0.94</v>
          </cell>
          <cell r="AH24">
            <v>0.64900000000000047</v>
          </cell>
          <cell r="AI24">
            <v>4.0670000000000002</v>
          </cell>
          <cell r="AJ24">
            <v>0.55400000000000005</v>
          </cell>
          <cell r="AK24">
            <v>0.52200000000000002</v>
          </cell>
          <cell r="AL24">
            <v>1.123</v>
          </cell>
          <cell r="AM24">
            <v>2.5659999999999998</v>
          </cell>
          <cell r="AN24">
            <v>4.7649999999999997</v>
          </cell>
          <cell r="AO24">
            <v>5.5119999999999996</v>
          </cell>
          <cell r="AP24">
            <v>8.9459999999999997</v>
          </cell>
          <cell r="AQ24">
            <v>11.179</v>
          </cell>
          <cell r="AR24">
            <v>12.79</v>
          </cell>
          <cell r="AS24">
            <v>38.427</v>
          </cell>
          <cell r="AT24">
            <v>15.385999999999999</v>
          </cell>
          <cell r="AU24">
            <v>17.649000000000001</v>
          </cell>
          <cell r="AV24">
            <v>18.795999999999999</v>
          </cell>
          <cell r="AW24">
            <v>16.655000000000008</v>
          </cell>
          <cell r="AX24">
            <v>68.486000000000004</v>
          </cell>
          <cell r="AY24">
            <v>11.093999999999999</v>
          </cell>
          <cell r="AZ24">
            <v>13.94</v>
          </cell>
          <cell r="BA24">
            <v>13.94</v>
          </cell>
          <cell r="BB24">
            <v>14.482309165297218</v>
          </cell>
          <cell r="BC24">
            <v>53.456309165297213</v>
          </cell>
          <cell r="BD24">
            <v>16.33503180284335</v>
          </cell>
          <cell r="BE24">
            <v>17.787490613100427</v>
          </cell>
          <cell r="BF24">
            <v>19.371747429807318</v>
          </cell>
          <cell r="BG24">
            <v>20.142466551698956</v>
          </cell>
          <cell r="BH24">
            <v>73.636736397450051</v>
          </cell>
          <cell r="BI24">
            <v>22.31330244449487</v>
          </cell>
          <cell r="BJ24">
            <v>24.125679599986562</v>
          </cell>
          <cell r="BK24">
            <v>26.080070772961154</v>
          </cell>
          <cell r="BL24">
            <v>27.165033764674597</v>
          </cell>
          <cell r="BM24">
            <v>99.684086582117175</v>
          </cell>
          <cell r="BN24">
            <v>30.021583675762411</v>
          </cell>
          <cell r="BO24">
            <v>32.45705954886013</v>
          </cell>
          <cell r="BP24">
            <v>35.032273692754508</v>
          </cell>
          <cell r="BQ24">
            <v>36.53328811713277</v>
          </cell>
          <cell r="BR24">
            <v>134.04420503450982</v>
          </cell>
          <cell r="BS24">
            <v>40.037895699579515</v>
          </cell>
          <cell r="BT24">
            <v>43.003964396493842</v>
          </cell>
          <cell r="BU24">
            <v>46.138966515911683</v>
          </cell>
          <cell r="BV24">
            <v>47.943340166600542</v>
          </cell>
          <cell r="BW24">
            <v>177.12416677858556</v>
          </cell>
          <cell r="BX24">
            <v>52.212766093444849</v>
          </cell>
          <cell r="BY24">
            <v>55.802083706250961</v>
          </cell>
          <cell r="BZ24">
            <v>59.610337462507132</v>
          </cell>
          <cell r="CA24">
            <v>61.807583560636822</v>
          </cell>
          <cell r="CB24">
            <v>229.43277082283976</v>
          </cell>
        </row>
        <row r="25">
          <cell r="B25" t="str">
            <v>Interest expense</v>
          </cell>
          <cell r="C25" t="str">
            <v>INT_EXP_IND</v>
          </cell>
          <cell r="D25" t="str">
            <v>USD</v>
          </cell>
          <cell r="F25"/>
          <cell r="G25"/>
          <cell r="H25"/>
          <cell r="I25"/>
          <cell r="J25"/>
          <cell r="K25"/>
          <cell r="L25"/>
          <cell r="M25"/>
          <cell r="N25"/>
          <cell r="O25"/>
          <cell r="P25"/>
          <cell r="Q25"/>
          <cell r="R25"/>
          <cell r="S25"/>
          <cell r="T25"/>
          <cell r="U25"/>
          <cell r="V25"/>
          <cell r="W25"/>
          <cell r="X25"/>
          <cell r="Y25"/>
          <cell r="Z25"/>
          <cell r="AA25"/>
          <cell r="AB25"/>
          <cell r="AC25"/>
          <cell r="AD25"/>
          <cell r="AE25"/>
          <cell r="AF25"/>
          <cell r="AG25"/>
          <cell r="AH25"/>
          <cell r="AI25"/>
          <cell r="AJ25"/>
          <cell r="AK25"/>
          <cell r="AL25"/>
          <cell r="AM25"/>
          <cell r="AN25"/>
          <cell r="AO25"/>
          <cell r="AP25"/>
          <cell r="AQ25"/>
          <cell r="AR25"/>
          <cell r="AS25"/>
          <cell r="AT25"/>
          <cell r="AU25"/>
          <cell r="AV25"/>
          <cell r="AW25"/>
          <cell r="AX25"/>
          <cell r="AY25"/>
          <cell r="AZ25"/>
          <cell r="BA25"/>
          <cell r="BB25"/>
          <cell r="BC25"/>
          <cell r="BD25"/>
          <cell r="BE25"/>
          <cell r="BF25"/>
          <cell r="BG25"/>
          <cell r="BH25"/>
          <cell r="BI25"/>
          <cell r="BJ25"/>
          <cell r="BK25"/>
          <cell r="BL25"/>
          <cell r="BM25"/>
          <cell r="BN25"/>
          <cell r="BO25"/>
          <cell r="BP25"/>
          <cell r="BQ25"/>
          <cell r="BR25"/>
          <cell r="BS25"/>
          <cell r="BT25"/>
          <cell r="BU25"/>
          <cell r="BV25"/>
          <cell r="BW25"/>
          <cell r="BX25"/>
          <cell r="BY25"/>
          <cell r="BZ25"/>
          <cell r="CA25"/>
          <cell r="CB25"/>
        </row>
        <row r="26">
          <cell r="B26" t="str">
            <v>Net interest income/(expense)</v>
          </cell>
          <cell r="C26" t="str">
            <v>NET_INT_EXP</v>
          </cell>
          <cell r="D26" t="str">
            <v>USD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4.8659999999999997</v>
          </cell>
          <cell r="AA26">
            <v>3.8119999999999998</v>
          </cell>
          <cell r="AB26">
            <v>2.95</v>
          </cell>
          <cell r="AC26">
            <v>1.8249999999999993</v>
          </cell>
          <cell r="AD26">
            <v>13.452999999999999</v>
          </cell>
          <cell r="AE26">
            <v>1.3</v>
          </cell>
          <cell r="AF26">
            <v>1.1779999999999999</v>
          </cell>
          <cell r="AG26">
            <v>0.94</v>
          </cell>
          <cell r="AH26">
            <v>0.64900000000000047</v>
          </cell>
          <cell r="AI26">
            <v>4.0670000000000002</v>
          </cell>
          <cell r="AJ26">
            <v>0.55400000000000005</v>
          </cell>
          <cell r="AK26">
            <v>0.52200000000000002</v>
          </cell>
          <cell r="AL26">
            <v>1.123</v>
          </cell>
          <cell r="AM26">
            <v>2.5659999999999998</v>
          </cell>
          <cell r="AN26">
            <v>4.7649999999999997</v>
          </cell>
          <cell r="AO26">
            <v>5.5119999999999996</v>
          </cell>
          <cell r="AP26">
            <v>8.9459999999999997</v>
          </cell>
          <cell r="AQ26">
            <v>11.179</v>
          </cell>
          <cell r="AR26">
            <v>12.79</v>
          </cell>
          <cell r="AS26">
            <v>38.427</v>
          </cell>
          <cell r="AT26">
            <v>15.385999999999999</v>
          </cell>
          <cell r="AU26">
            <v>17.649000000000001</v>
          </cell>
          <cell r="AV26">
            <v>18.795999999999999</v>
          </cell>
          <cell r="AW26">
            <v>16.655000000000008</v>
          </cell>
          <cell r="AX26">
            <v>68.486000000000004</v>
          </cell>
          <cell r="AY26">
            <v>11.093999999999999</v>
          </cell>
          <cell r="AZ26">
            <v>13.94</v>
          </cell>
          <cell r="BA26">
            <v>13.94</v>
          </cell>
          <cell r="BB26">
            <v>14.482309165297218</v>
          </cell>
          <cell r="BC26">
            <v>53.456309165297213</v>
          </cell>
          <cell r="BD26">
            <v>16.33503180284335</v>
          </cell>
          <cell r="BE26">
            <v>17.787490613100427</v>
          </cell>
          <cell r="BF26">
            <v>19.371747429807318</v>
          </cell>
          <cell r="BG26">
            <v>20.142466551698956</v>
          </cell>
          <cell r="BH26">
            <v>73.636736397450051</v>
          </cell>
          <cell r="BI26">
            <v>22.31330244449487</v>
          </cell>
          <cell r="BJ26">
            <v>24.125679599986562</v>
          </cell>
          <cell r="BK26">
            <v>26.080070772961154</v>
          </cell>
          <cell r="BL26">
            <v>27.165033764674597</v>
          </cell>
          <cell r="BM26">
            <v>99.684086582117175</v>
          </cell>
          <cell r="BN26">
            <v>30.021583675762411</v>
          </cell>
          <cell r="BO26">
            <v>32.45705954886013</v>
          </cell>
          <cell r="BP26">
            <v>35.032273692754508</v>
          </cell>
          <cell r="BQ26">
            <v>36.53328811713277</v>
          </cell>
          <cell r="BR26">
            <v>134.04420503450982</v>
          </cell>
          <cell r="BS26">
            <v>40.037895699579515</v>
          </cell>
          <cell r="BT26">
            <v>43.003964396493842</v>
          </cell>
          <cell r="BU26">
            <v>46.138966515911683</v>
          </cell>
          <cell r="BV26">
            <v>47.943340166600542</v>
          </cell>
          <cell r="BW26">
            <v>177.12416677858556</v>
          </cell>
          <cell r="BX26">
            <v>52.212766093444849</v>
          </cell>
          <cell r="BY26">
            <v>55.802083706250961</v>
          </cell>
          <cell r="BZ26">
            <v>59.610337462507132</v>
          </cell>
          <cell r="CA26">
            <v>61.807583560636822</v>
          </cell>
          <cell r="CB26">
            <v>229.43277082283976</v>
          </cell>
        </row>
        <row r="27">
          <cell r="B27" t="str">
            <v>Income/(loss) from unconsolidated subs &amp; associates</v>
          </cell>
          <cell r="C27" t="str">
            <v>ASSOCIATE</v>
          </cell>
          <cell r="D27" t="str">
            <v>USD</v>
          </cell>
          <cell r="F27"/>
          <cell r="G27"/>
          <cell r="H27"/>
          <cell r="I27"/>
          <cell r="J27"/>
          <cell r="K27"/>
          <cell r="L27"/>
          <cell r="M27"/>
          <cell r="N27"/>
          <cell r="O27"/>
          <cell r="P27"/>
          <cell r="Q27"/>
          <cell r="R27"/>
          <cell r="S27"/>
          <cell r="T27"/>
          <cell r="U27"/>
          <cell r="V27"/>
          <cell r="W27"/>
          <cell r="X27"/>
          <cell r="Y27"/>
          <cell r="Z27"/>
          <cell r="AA27"/>
          <cell r="AB27"/>
          <cell r="AC27"/>
          <cell r="AD27"/>
          <cell r="AE27"/>
          <cell r="AF27"/>
          <cell r="AG27"/>
          <cell r="AH27"/>
          <cell r="AI27"/>
          <cell r="AJ27"/>
          <cell r="AK27"/>
          <cell r="AL27"/>
          <cell r="AM27"/>
          <cell r="AN27"/>
          <cell r="AO27"/>
          <cell r="AP27"/>
          <cell r="AQ27"/>
          <cell r="AR27"/>
          <cell r="AS27"/>
          <cell r="AT27"/>
          <cell r="AU27"/>
          <cell r="AV27"/>
          <cell r="AW27"/>
          <cell r="AX27"/>
          <cell r="AY27"/>
          <cell r="AZ27"/>
          <cell r="BA27"/>
          <cell r="BB27"/>
          <cell r="BC27"/>
          <cell r="BD27"/>
          <cell r="BE27"/>
          <cell r="BF27"/>
          <cell r="BG27"/>
          <cell r="BH27"/>
          <cell r="BI27"/>
          <cell r="BJ27"/>
          <cell r="BK27"/>
          <cell r="BL27"/>
          <cell r="BM27"/>
          <cell r="BN27"/>
          <cell r="BO27"/>
          <cell r="BP27"/>
          <cell r="BQ27"/>
          <cell r="BR27"/>
          <cell r="BS27"/>
          <cell r="BT27"/>
          <cell r="BU27"/>
          <cell r="BV27"/>
          <cell r="BW27"/>
          <cell r="BX27"/>
          <cell r="BY27"/>
          <cell r="BZ27"/>
          <cell r="CA27"/>
          <cell r="CB27"/>
        </row>
        <row r="28">
          <cell r="B28" t="str">
            <v>Profit/(loss) on disposals of assets, pre-tax</v>
          </cell>
          <cell r="C28" t="str">
            <v>PROFIT_ON_DISP</v>
          </cell>
          <cell r="D28" t="str">
            <v>USD</v>
          </cell>
          <cell r="F28"/>
          <cell r="G28"/>
          <cell r="H28"/>
          <cell r="I28"/>
          <cell r="J28"/>
          <cell r="K28"/>
          <cell r="L28"/>
          <cell r="M28"/>
          <cell r="N28"/>
          <cell r="O28"/>
          <cell r="P28"/>
          <cell r="Q28"/>
          <cell r="R28"/>
          <cell r="S28"/>
          <cell r="T28"/>
          <cell r="U28"/>
          <cell r="V28"/>
          <cell r="W28"/>
          <cell r="X28"/>
          <cell r="Y28"/>
          <cell r="Z28"/>
          <cell r="AA28"/>
          <cell r="AB28"/>
          <cell r="AC28"/>
          <cell r="AD28"/>
          <cell r="AE28"/>
          <cell r="AF28"/>
          <cell r="AG28"/>
          <cell r="AH28"/>
          <cell r="AI28"/>
          <cell r="AJ28"/>
          <cell r="AK28"/>
          <cell r="AL28"/>
          <cell r="AM28"/>
          <cell r="AN28"/>
          <cell r="AO28"/>
          <cell r="AP28"/>
          <cell r="AQ28"/>
          <cell r="AR28"/>
          <cell r="AS28"/>
          <cell r="AT28"/>
          <cell r="AU28"/>
          <cell r="AV28"/>
          <cell r="AW28"/>
          <cell r="AX28"/>
          <cell r="AY28"/>
          <cell r="AZ28"/>
          <cell r="BA28"/>
          <cell r="BB28"/>
          <cell r="BC28"/>
          <cell r="BD28"/>
          <cell r="BE28"/>
          <cell r="BF28"/>
          <cell r="BG28"/>
          <cell r="BH28"/>
          <cell r="BI28"/>
          <cell r="BJ28"/>
          <cell r="BK28"/>
          <cell r="BL28"/>
          <cell r="BM28"/>
          <cell r="BN28"/>
          <cell r="BO28"/>
          <cell r="BP28"/>
          <cell r="BQ28"/>
          <cell r="BR28"/>
          <cell r="BS28"/>
          <cell r="BT28"/>
          <cell r="BU28"/>
          <cell r="BV28"/>
          <cell r="BW28"/>
          <cell r="BX28"/>
          <cell r="BY28"/>
          <cell r="BZ28"/>
          <cell r="CA28"/>
          <cell r="CB28"/>
        </row>
        <row r="29">
          <cell r="B29" t="str">
            <v>Other non-ops income/(expense)</v>
          </cell>
          <cell r="C29" t="str">
            <v>OTH_COST_INC</v>
          </cell>
          <cell r="D29" t="str">
            <v>USD</v>
          </cell>
          <cell r="F29">
            <v>-0.58599999999999997</v>
          </cell>
          <cell r="G29">
            <v>-5.3999999999999999E-2</v>
          </cell>
          <cell r="H29">
            <v>-5.0759999999999996</v>
          </cell>
          <cell r="I29">
            <v>-5.8179999999999996</v>
          </cell>
          <cell r="J29">
            <v>-1.29</v>
          </cell>
          <cell r="K29">
            <v>-3.3680000000000021</v>
          </cell>
          <cell r="L29">
            <v>-0.59300000000000019</v>
          </cell>
          <cell r="M29">
            <v>0.30299999999999999</v>
          </cell>
          <cell r="N29">
            <v>-0.54700000000000004</v>
          </cell>
          <cell r="O29">
            <v>-4.2050000000000018</v>
          </cell>
          <cell r="P29">
            <v>-0.189</v>
          </cell>
          <cell r="Q29">
            <v>-0.123</v>
          </cell>
          <cell r="R29">
            <v>2.681</v>
          </cell>
          <cell r="S29">
            <v>3.01</v>
          </cell>
          <cell r="T29">
            <v>5.3789999999999996</v>
          </cell>
          <cell r="U29">
            <v>4.4450000000000003</v>
          </cell>
          <cell r="V29">
            <v>2.8680000000000003</v>
          </cell>
          <cell r="W29">
            <v>4.1749999999999989</v>
          </cell>
          <cell r="X29">
            <v>2.806</v>
          </cell>
          <cell r="Y29">
            <v>14.294</v>
          </cell>
          <cell r="Z29">
            <v>-2.2709999999999999</v>
          </cell>
          <cell r="AA29">
            <v>-1.9120000000000004</v>
          </cell>
          <cell r="AB29">
            <v>-0.69799999999999951</v>
          </cell>
          <cell r="AC29">
            <v>-3.5589999999999993</v>
          </cell>
          <cell r="AD29">
            <v>-8.44</v>
          </cell>
          <cell r="AE29">
            <v>-1.6320000000000079</v>
          </cell>
          <cell r="AF29">
            <v>-3.7879999999999994</v>
          </cell>
          <cell r="AG29">
            <v>-2.5170000000000052</v>
          </cell>
          <cell r="AH29">
            <v>-1.9230000000000014</v>
          </cell>
          <cell r="AI29">
            <v>-9.8600000000000136</v>
          </cell>
          <cell r="AJ29">
            <v>-1.3979999999999373</v>
          </cell>
          <cell r="AK29">
            <v>-0.72800000000000131</v>
          </cell>
          <cell r="AL29">
            <v>-1.4740000000000009</v>
          </cell>
          <cell r="AM29">
            <v>1.6849999999999996</v>
          </cell>
          <cell r="AN29">
            <v>-1.9149999999999396</v>
          </cell>
          <cell r="AO29">
            <v>-3.1970000000000001</v>
          </cell>
          <cell r="AP29">
            <v>-3.1709999999999994</v>
          </cell>
          <cell r="AQ29">
            <v>-2.1590000000000007</v>
          </cell>
          <cell r="AR29">
            <v>-3.179000000000002</v>
          </cell>
          <cell r="AS29">
            <v>-11.706000000000003</v>
          </cell>
          <cell r="AT29">
            <v>-5.2339999999999982</v>
          </cell>
          <cell r="AU29">
            <v>0.98799999999999955</v>
          </cell>
          <cell r="AV29">
            <v>-1.3709999999999987</v>
          </cell>
          <cell r="AW29">
            <v>-3.6310000000000215</v>
          </cell>
          <cell r="AX29">
            <v>-9.2480000000000189</v>
          </cell>
          <cell r="AY29">
            <v>-0.88599999999999923</v>
          </cell>
          <cell r="AZ29">
            <v>-1.2940000000000005</v>
          </cell>
          <cell r="BA29">
            <v>-2</v>
          </cell>
          <cell r="BB29">
            <v>-2</v>
          </cell>
          <cell r="BC29">
            <v>-6.18</v>
          </cell>
          <cell r="BD29">
            <v>-2</v>
          </cell>
          <cell r="BE29">
            <v>-2</v>
          </cell>
          <cell r="BF29">
            <v>-2</v>
          </cell>
          <cell r="BG29">
            <v>-2</v>
          </cell>
          <cell r="BH29">
            <v>-8</v>
          </cell>
          <cell r="BI29">
            <v>-2</v>
          </cell>
          <cell r="BJ29">
            <v>-2</v>
          </cell>
          <cell r="BK29">
            <v>-2</v>
          </cell>
          <cell r="BL29">
            <v>-2</v>
          </cell>
          <cell r="BM29">
            <v>-8</v>
          </cell>
          <cell r="BN29">
            <v>-2</v>
          </cell>
          <cell r="BO29">
            <v>-2</v>
          </cell>
          <cell r="BP29">
            <v>-2</v>
          </cell>
          <cell r="BQ29">
            <v>-2</v>
          </cell>
          <cell r="BR29">
            <v>-8</v>
          </cell>
          <cell r="BS29">
            <v>-2</v>
          </cell>
          <cell r="BT29">
            <v>-2</v>
          </cell>
          <cell r="BU29">
            <v>-2</v>
          </cell>
          <cell r="BV29">
            <v>-2</v>
          </cell>
          <cell r="BW29">
            <v>-8</v>
          </cell>
          <cell r="BX29">
            <v>-2</v>
          </cell>
          <cell r="BY29">
            <v>-2</v>
          </cell>
          <cell r="BZ29">
            <v>-2</v>
          </cell>
          <cell r="CA29">
            <v>-2</v>
          </cell>
          <cell r="CB29">
            <v>-8</v>
          </cell>
        </row>
        <row r="30">
          <cell r="B30" t="str">
            <v>Pre-tax profit</v>
          </cell>
          <cell r="C30" t="str">
            <v>PT_PROF</v>
          </cell>
          <cell r="D30" t="str">
            <v>USD</v>
          </cell>
          <cell r="F30">
            <v>-13.114999999999998</v>
          </cell>
          <cell r="G30">
            <v>-39.664000000000001</v>
          </cell>
          <cell r="H30">
            <v>-77.534999999999982</v>
          </cell>
          <cell r="I30">
            <v>-107.44300000000003</v>
          </cell>
          <cell r="J30">
            <v>-85.86</v>
          </cell>
          <cell r="K30">
            <v>-25.856000000000002</v>
          </cell>
          <cell r="L30">
            <v>-22.492999999999977</v>
          </cell>
          <cell r="M30">
            <v>-43.53300000000003</v>
          </cell>
          <cell r="N30">
            <v>-24.416000000000029</v>
          </cell>
          <cell r="O30">
            <v>-116.29800000000007</v>
          </cell>
          <cell r="P30">
            <v>-22.325000000000024</v>
          </cell>
          <cell r="Q30">
            <v>-20.322000000000013</v>
          </cell>
          <cell r="R30">
            <v>-31.886999999999983</v>
          </cell>
          <cell r="S30">
            <v>-16.738000000000021</v>
          </cell>
          <cell r="T30">
            <v>-91.272000000000062</v>
          </cell>
          <cell r="U30">
            <v>-21.41999999999998</v>
          </cell>
          <cell r="V30">
            <v>-36.155999999999999</v>
          </cell>
          <cell r="W30">
            <v>-100.605</v>
          </cell>
          <cell r="X30">
            <v>-101.80500000000005</v>
          </cell>
          <cell r="Y30">
            <v>-259.98599999999999</v>
          </cell>
          <cell r="Z30">
            <v>-131.61800000000002</v>
          </cell>
          <cell r="AA30">
            <v>-112.04299999999998</v>
          </cell>
          <cell r="AB30">
            <v>-131.00799999999998</v>
          </cell>
          <cell r="AC30">
            <v>-75.359999999999971</v>
          </cell>
          <cell r="AD30">
            <v>-450.02900000000017</v>
          </cell>
          <cell r="AE30">
            <v>-85.534000000000006</v>
          </cell>
          <cell r="AF30">
            <v>-69.592000000000027</v>
          </cell>
          <cell r="AG30">
            <v>-81.706999999999994</v>
          </cell>
          <cell r="AH30">
            <v>-49.989999999999952</v>
          </cell>
          <cell r="AI30">
            <v>-286.82299999999998</v>
          </cell>
          <cell r="AJ30">
            <v>-43.074999999999875</v>
          </cell>
          <cell r="AK30">
            <v>-1.6120000000000072</v>
          </cell>
          <cell r="AL30">
            <v>-6.1039999999999299</v>
          </cell>
          <cell r="AM30">
            <v>-33.57800000000001</v>
          </cell>
          <cell r="AN30">
            <v>-84.368999999999986</v>
          </cell>
          <cell r="AO30">
            <v>12.511000000000026</v>
          </cell>
          <cell r="AP30">
            <v>75.763000000000062</v>
          </cell>
          <cell r="AQ30">
            <v>26.209000000000021</v>
          </cell>
          <cell r="AR30">
            <v>73.234000000000037</v>
          </cell>
          <cell r="AS30">
            <v>187.7170000000001</v>
          </cell>
          <cell r="AT30">
            <v>89.638000000000048</v>
          </cell>
          <cell r="AU30">
            <v>142.51499999999987</v>
          </cell>
          <cell r="AV30">
            <v>90.701000000000008</v>
          </cell>
          <cell r="AW30">
            <v>83.491000000000028</v>
          </cell>
          <cell r="AX30">
            <v>406.34499999999997</v>
          </cell>
          <cell r="AY30">
            <v>128.42899999999989</v>
          </cell>
          <cell r="AZ30">
            <v>173.93499999999997</v>
          </cell>
          <cell r="BA30">
            <v>121.28089410423064</v>
          </cell>
          <cell r="BB30">
            <v>75.690441975824328</v>
          </cell>
          <cell r="BC30">
            <v>499.33533608005507</v>
          </cell>
          <cell r="BD30">
            <v>160.55445025849789</v>
          </cell>
          <cell r="BE30">
            <v>209.53215458665568</v>
          </cell>
          <cell r="BF30">
            <v>148.73331702942255</v>
          </cell>
          <cell r="BG30">
            <v>97.321002126183572</v>
          </cell>
          <cell r="BH30">
            <v>616.14092400075924</v>
          </cell>
          <cell r="BI30">
            <v>196.93790343410728</v>
          </cell>
          <cell r="BJ30">
            <v>253.53184210109973</v>
          </cell>
          <cell r="BK30">
            <v>181.21394564284736</v>
          </cell>
          <cell r="BL30">
            <v>123.22265069267098</v>
          </cell>
          <cell r="BM30">
            <v>754.90634187072544</v>
          </cell>
          <cell r="BN30">
            <v>240.30412047082794</v>
          </cell>
          <cell r="BO30">
            <v>305.57242536864737</v>
          </cell>
          <cell r="BP30">
            <v>220.01886653757774</v>
          </cell>
          <cell r="BQ30">
            <v>154.75202472067224</v>
          </cell>
          <cell r="BR30">
            <v>920.64743709772506</v>
          </cell>
          <cell r="BS30">
            <v>291.92753222734677</v>
          </cell>
          <cell r="BT30">
            <v>366.62586638560322</v>
          </cell>
          <cell r="BU30">
            <v>265.49869896716592</v>
          </cell>
          <cell r="BV30">
            <v>192.0332073704937</v>
          </cell>
          <cell r="BW30">
            <v>1116.0853049506102</v>
          </cell>
          <cell r="BX30">
            <v>352.49476381961205</v>
          </cell>
          <cell r="BY30">
            <v>437.61806705963977</v>
          </cell>
          <cell r="BZ30">
            <v>318.401851669145</v>
          </cell>
          <cell r="CA30">
            <v>235.96078513317406</v>
          </cell>
          <cell r="CB30">
            <v>1344.4754676815714</v>
          </cell>
        </row>
        <row r="31">
          <cell r="A31" t="str">
            <v>Additional Income Statement Items</v>
          </cell>
          <cell r="B31"/>
          <cell r="C31"/>
          <cell r="D31"/>
        </row>
        <row r="32">
          <cell r="B32" t="str">
            <v>Operating lease cost</v>
          </cell>
          <cell r="C32" t="str">
            <v>LEASE_PAY</v>
          </cell>
          <cell r="D32" t="str">
            <v>USD</v>
          </cell>
          <cell r="F32"/>
          <cell r="G32"/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/>
          <cell r="T32"/>
          <cell r="U32"/>
          <cell r="V32"/>
          <cell r="W32"/>
          <cell r="X32"/>
          <cell r="Y32"/>
          <cell r="Z32"/>
          <cell r="AA32"/>
          <cell r="AB32"/>
          <cell r="AC32"/>
          <cell r="AD32"/>
          <cell r="AE32"/>
          <cell r="AF32"/>
          <cell r="AG32"/>
          <cell r="AH32"/>
          <cell r="AI32"/>
          <cell r="AJ32"/>
          <cell r="AK32"/>
          <cell r="AL32"/>
          <cell r="AM32"/>
          <cell r="AN32"/>
          <cell r="AO32"/>
          <cell r="AP32"/>
          <cell r="AQ32"/>
          <cell r="AR32"/>
          <cell r="AS32"/>
          <cell r="AT32"/>
          <cell r="AU32"/>
          <cell r="AV32"/>
          <cell r="AW32"/>
          <cell r="AX32"/>
          <cell r="AY32"/>
          <cell r="AZ32"/>
          <cell r="BA32"/>
          <cell r="BB32"/>
          <cell r="BC32"/>
          <cell r="BD32"/>
          <cell r="BE32"/>
          <cell r="BF32"/>
          <cell r="BG32"/>
          <cell r="BH32"/>
          <cell r="BI32"/>
          <cell r="BJ32"/>
          <cell r="BK32"/>
          <cell r="BL32"/>
          <cell r="BM32"/>
          <cell r="BN32"/>
          <cell r="BO32"/>
          <cell r="BP32"/>
          <cell r="BQ32"/>
          <cell r="BR32"/>
          <cell r="BS32"/>
          <cell r="BT32"/>
          <cell r="BU32"/>
          <cell r="BV32"/>
          <cell r="BW32"/>
          <cell r="BX32"/>
          <cell r="BY32"/>
          <cell r="BZ32"/>
          <cell r="CA32"/>
          <cell r="CB32"/>
        </row>
        <row r="33">
          <cell r="B33" t="str">
            <v>Lease payments (deemed interest portion)</v>
          </cell>
          <cell r="C33" t="str">
            <v>LEASE_DEEM_INT</v>
          </cell>
          <cell r="D33" t="str">
            <v>USD</v>
          </cell>
          <cell r="F33"/>
          <cell r="G33"/>
          <cell r="H33"/>
          <cell r="I33"/>
          <cell r="J33"/>
          <cell r="K33"/>
          <cell r="L33"/>
          <cell r="M33"/>
          <cell r="N33"/>
          <cell r="O33"/>
          <cell r="P33"/>
          <cell r="Q33"/>
          <cell r="R33"/>
          <cell r="S33"/>
          <cell r="T33"/>
          <cell r="U33"/>
          <cell r="V33"/>
          <cell r="W33"/>
          <cell r="X33"/>
          <cell r="Y33"/>
          <cell r="Z33"/>
          <cell r="AA33"/>
          <cell r="AB33"/>
          <cell r="AC33"/>
          <cell r="AD33"/>
          <cell r="AE33"/>
          <cell r="AF33"/>
          <cell r="AG33"/>
          <cell r="AH33"/>
          <cell r="AI33"/>
          <cell r="AJ33"/>
          <cell r="AK33"/>
          <cell r="AL33"/>
          <cell r="AM33"/>
          <cell r="AN33"/>
          <cell r="AO33"/>
          <cell r="AP33"/>
          <cell r="AQ33"/>
          <cell r="AR33"/>
          <cell r="AS33"/>
          <cell r="AT33"/>
          <cell r="AU33"/>
          <cell r="AV33"/>
          <cell r="AW33"/>
          <cell r="AX33"/>
          <cell r="AY33"/>
          <cell r="AZ33"/>
          <cell r="BA33"/>
          <cell r="BB33"/>
          <cell r="BC33"/>
          <cell r="BD33"/>
          <cell r="BE33"/>
          <cell r="BF33"/>
          <cell r="BG33"/>
          <cell r="BH33"/>
          <cell r="BI33"/>
          <cell r="BJ33"/>
          <cell r="BK33"/>
          <cell r="BL33"/>
          <cell r="BM33"/>
          <cell r="BN33"/>
          <cell r="BO33"/>
          <cell r="BP33"/>
          <cell r="BQ33"/>
          <cell r="BR33"/>
          <cell r="BS33"/>
          <cell r="BT33"/>
          <cell r="BU33"/>
          <cell r="BV33"/>
          <cell r="BW33"/>
          <cell r="BX33"/>
          <cell r="BY33"/>
          <cell r="BZ33"/>
          <cell r="CA33"/>
          <cell r="CB33"/>
        </row>
        <row r="34">
          <cell r="B34" t="str">
            <v>Lease payments (deemed depreciation portion)</v>
          </cell>
          <cell r="C34" t="str">
            <v>LEASE_DEEM_DEPR</v>
          </cell>
          <cell r="D34" t="str">
            <v>USD</v>
          </cell>
          <cell r="F34"/>
          <cell r="G34"/>
          <cell r="H34"/>
          <cell r="I34"/>
          <cell r="J34"/>
          <cell r="K34"/>
          <cell r="L34"/>
          <cell r="M34"/>
          <cell r="N34"/>
          <cell r="O34"/>
          <cell r="P34"/>
          <cell r="Q34"/>
          <cell r="R34"/>
          <cell r="S34"/>
          <cell r="T34"/>
          <cell r="U34"/>
          <cell r="V34"/>
          <cell r="W34"/>
          <cell r="X34"/>
          <cell r="Y34"/>
          <cell r="Z34"/>
          <cell r="AA34"/>
          <cell r="AB34"/>
          <cell r="AC34"/>
          <cell r="AD34"/>
          <cell r="AE34"/>
          <cell r="AF34"/>
          <cell r="AG34"/>
          <cell r="AH34"/>
          <cell r="AI34"/>
          <cell r="AJ34"/>
          <cell r="AK34"/>
          <cell r="AL34"/>
          <cell r="AM34"/>
          <cell r="AN34"/>
          <cell r="AO34"/>
          <cell r="AP34"/>
          <cell r="AQ34"/>
          <cell r="AR34"/>
          <cell r="AS34"/>
          <cell r="AT34"/>
          <cell r="AU34"/>
          <cell r="AV34"/>
          <cell r="AW34"/>
          <cell r="AX34"/>
          <cell r="AY34"/>
          <cell r="AZ34"/>
          <cell r="BA34"/>
          <cell r="BB34"/>
          <cell r="BC34"/>
          <cell r="BD34"/>
          <cell r="BE34"/>
          <cell r="BF34"/>
          <cell r="BG34"/>
          <cell r="BH34"/>
          <cell r="BI34"/>
          <cell r="BJ34"/>
          <cell r="BK34"/>
          <cell r="BL34"/>
          <cell r="BM34"/>
          <cell r="BN34"/>
          <cell r="BO34"/>
          <cell r="BP34"/>
          <cell r="BQ34"/>
          <cell r="BR34"/>
          <cell r="BS34"/>
          <cell r="BT34"/>
          <cell r="BU34"/>
          <cell r="BV34"/>
          <cell r="BW34"/>
          <cell r="BX34"/>
          <cell r="BY34"/>
          <cell r="BZ34"/>
          <cell r="CA34"/>
          <cell r="CB34"/>
        </row>
        <row r="35">
          <cell r="B35" t="str">
            <v>Gross interest charge</v>
          </cell>
          <cell r="C35" t="str">
            <v>NET_INT_CH</v>
          </cell>
          <cell r="D35" t="str">
            <v>USD</v>
          </cell>
          <cell r="F35"/>
          <cell r="G35"/>
          <cell r="H35"/>
          <cell r="I35"/>
          <cell r="J35"/>
          <cell r="K35"/>
          <cell r="L35"/>
          <cell r="M35"/>
          <cell r="N35"/>
          <cell r="O35"/>
          <cell r="P35"/>
          <cell r="Q35"/>
          <cell r="R35"/>
          <cell r="S35"/>
          <cell r="T35"/>
          <cell r="U35"/>
          <cell r="V35"/>
          <cell r="W35"/>
          <cell r="X35"/>
          <cell r="Y35"/>
          <cell r="Z35"/>
          <cell r="AA35"/>
          <cell r="AB35"/>
          <cell r="AC35"/>
          <cell r="AD35"/>
          <cell r="AE35"/>
          <cell r="AF35"/>
          <cell r="AG35"/>
          <cell r="AH35"/>
          <cell r="AI35"/>
          <cell r="AJ35"/>
          <cell r="AK35"/>
          <cell r="AL35"/>
          <cell r="AM35"/>
          <cell r="AN35"/>
          <cell r="AO35"/>
          <cell r="AP35"/>
          <cell r="AQ35"/>
          <cell r="AR35"/>
          <cell r="AS35"/>
          <cell r="AT35"/>
          <cell r="AU35"/>
          <cell r="AV35"/>
          <cell r="AW35"/>
          <cell r="AX35"/>
          <cell r="AY35"/>
          <cell r="AZ35"/>
          <cell r="BA35"/>
          <cell r="BB35"/>
          <cell r="BC35"/>
          <cell r="BD35"/>
          <cell r="BE35"/>
          <cell r="BF35"/>
          <cell r="BG35"/>
          <cell r="BH35"/>
          <cell r="BI35"/>
          <cell r="BJ35"/>
          <cell r="BK35"/>
          <cell r="BL35"/>
          <cell r="BM35"/>
          <cell r="BN35"/>
          <cell r="BO35"/>
          <cell r="BP35"/>
          <cell r="BQ35"/>
          <cell r="BR35"/>
          <cell r="BS35"/>
          <cell r="BT35"/>
          <cell r="BU35"/>
          <cell r="BV35"/>
          <cell r="BW35"/>
          <cell r="BX35"/>
          <cell r="BY35"/>
          <cell r="BZ35"/>
          <cell r="CA35"/>
          <cell r="CB35"/>
        </row>
        <row r="36">
          <cell r="B36" t="str">
            <v>Income from associates (operating)</v>
          </cell>
          <cell r="C36" t="str">
            <v>ASSOCIATE_OP</v>
          </cell>
          <cell r="D36" t="str">
            <v>USD</v>
          </cell>
          <cell r="F36"/>
          <cell r="G36"/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  <cell r="T36"/>
          <cell r="U36"/>
          <cell r="V36"/>
          <cell r="W36"/>
          <cell r="X36"/>
          <cell r="Y36"/>
          <cell r="Z36"/>
          <cell r="AA36"/>
          <cell r="AB36"/>
          <cell r="AC36"/>
          <cell r="AD36"/>
          <cell r="AE36"/>
          <cell r="AF36"/>
          <cell r="AG36"/>
          <cell r="AH36"/>
          <cell r="AI36"/>
          <cell r="AJ36"/>
          <cell r="AK36"/>
          <cell r="AL36"/>
          <cell r="AM36"/>
          <cell r="AN36"/>
          <cell r="AO36"/>
          <cell r="AP36"/>
          <cell r="AQ36"/>
          <cell r="AR36"/>
          <cell r="AS36"/>
          <cell r="AT36"/>
          <cell r="AU36"/>
          <cell r="AV36"/>
          <cell r="AW36"/>
          <cell r="AX36"/>
          <cell r="AY36"/>
          <cell r="AZ36"/>
          <cell r="BA36"/>
          <cell r="BB36"/>
          <cell r="BC36"/>
          <cell r="BD36"/>
          <cell r="BE36"/>
          <cell r="BF36"/>
          <cell r="BG36"/>
          <cell r="BH36"/>
          <cell r="BI36"/>
          <cell r="BJ36"/>
          <cell r="BK36"/>
          <cell r="BL36"/>
          <cell r="BM36"/>
          <cell r="BN36"/>
          <cell r="BO36"/>
          <cell r="BP36"/>
          <cell r="BQ36"/>
          <cell r="BR36"/>
          <cell r="BS36"/>
          <cell r="BT36"/>
          <cell r="BU36"/>
          <cell r="BV36"/>
          <cell r="BW36"/>
          <cell r="BX36"/>
          <cell r="BY36"/>
          <cell r="BZ36"/>
          <cell r="CA36"/>
          <cell r="CB36"/>
        </row>
        <row r="37">
          <cell r="B37" t="str">
            <v>Depreciation ROU assets   (applicable to IFRS cos.)</v>
          </cell>
          <cell r="C37" t="str">
            <v>DEPR_ROU_ASSETS</v>
          </cell>
          <cell r="D37" t="str">
            <v>USD</v>
          </cell>
          <cell r="F37"/>
          <cell r="G37"/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  <cell r="T37"/>
          <cell r="U37"/>
          <cell r="V37"/>
          <cell r="W37"/>
          <cell r="X37"/>
          <cell r="Y37"/>
          <cell r="Z37"/>
          <cell r="AA37"/>
          <cell r="AB37"/>
          <cell r="AC37"/>
          <cell r="AD37"/>
          <cell r="AE37"/>
          <cell r="AF37"/>
          <cell r="AG37"/>
          <cell r="AH37"/>
          <cell r="AI37"/>
          <cell r="AJ37"/>
          <cell r="AK37"/>
          <cell r="AL37"/>
          <cell r="AM37"/>
          <cell r="AN37"/>
          <cell r="AO37"/>
          <cell r="AP37"/>
          <cell r="AQ37"/>
          <cell r="AR37"/>
          <cell r="AS37"/>
          <cell r="AT37"/>
          <cell r="AU37"/>
          <cell r="AV37"/>
          <cell r="AW37"/>
          <cell r="AX37"/>
          <cell r="AY37"/>
          <cell r="AZ37"/>
          <cell r="BA37"/>
          <cell r="BB37"/>
          <cell r="BC37"/>
          <cell r="BD37"/>
          <cell r="BE37"/>
          <cell r="BF37"/>
          <cell r="BG37"/>
          <cell r="BH37"/>
          <cell r="BI37"/>
          <cell r="BJ37"/>
          <cell r="BK37"/>
          <cell r="BL37"/>
          <cell r="BM37"/>
          <cell r="BN37"/>
          <cell r="BO37"/>
          <cell r="BP37"/>
          <cell r="BQ37"/>
          <cell r="BR37"/>
          <cell r="BS37"/>
          <cell r="BT37"/>
          <cell r="BU37"/>
          <cell r="BV37"/>
          <cell r="BW37"/>
          <cell r="BX37"/>
          <cell r="BY37"/>
          <cell r="BZ37"/>
          <cell r="CA37"/>
          <cell r="CB37"/>
        </row>
        <row r="38">
          <cell r="B38" t="str">
            <v>Lease interest charge  (applicable to IFRS cos.)</v>
          </cell>
          <cell r="C38" t="str">
            <v>LEASE_INT_CHG</v>
          </cell>
          <cell r="D38" t="str">
            <v>USD</v>
          </cell>
          <cell r="F38"/>
          <cell r="G38"/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/>
          <cell r="AA38"/>
          <cell r="AB38"/>
          <cell r="AC38"/>
          <cell r="AD38"/>
          <cell r="AE38"/>
          <cell r="AF38"/>
          <cell r="AG38"/>
          <cell r="AH38"/>
          <cell r="AI38"/>
          <cell r="AJ38"/>
          <cell r="AK38"/>
          <cell r="AL38"/>
          <cell r="AM38"/>
          <cell r="AN38"/>
          <cell r="AO38"/>
          <cell r="AP38"/>
          <cell r="AQ38"/>
          <cell r="AR38"/>
          <cell r="AS38"/>
          <cell r="AT38"/>
          <cell r="AU38"/>
          <cell r="AV38"/>
          <cell r="AW38"/>
          <cell r="AX38"/>
          <cell r="AY38"/>
          <cell r="AZ38"/>
          <cell r="BA38"/>
          <cell r="BB38"/>
          <cell r="BC38"/>
          <cell r="BD38"/>
          <cell r="BE38"/>
          <cell r="BF38"/>
          <cell r="BG38"/>
          <cell r="BH38"/>
          <cell r="BI38"/>
          <cell r="BJ38"/>
          <cell r="BK38"/>
          <cell r="BL38"/>
          <cell r="BM38"/>
          <cell r="BN38"/>
          <cell r="BO38"/>
          <cell r="BP38"/>
          <cell r="BQ38"/>
          <cell r="BR38"/>
          <cell r="BS38"/>
          <cell r="BT38"/>
          <cell r="BU38"/>
          <cell r="BV38"/>
          <cell r="BW38"/>
          <cell r="BX38"/>
          <cell r="BY38"/>
          <cell r="BZ38"/>
          <cell r="CA38"/>
          <cell r="CB38"/>
        </row>
        <row r="39">
          <cell r="B39" t="str">
            <v>Lease standard adopted (US GAAP ASC 842/ IFRS 16)</v>
          </cell>
          <cell r="C39" t="str">
            <v>LEASE_ADOPT</v>
          </cell>
          <cell r="E39" t="str">
            <v>Y</v>
          </cell>
        </row>
        <row r="40">
          <cell r="B40" t="str">
            <v>Stock-based compensation related to cost of goods sold (Americas software)</v>
          </cell>
          <cell r="C40" t="str">
            <v>SBC_COST_OF_GOODS_SOLD</v>
          </cell>
          <cell r="D40" t="str">
            <v>USD</v>
          </cell>
          <cell r="F40"/>
          <cell r="G40"/>
          <cell r="H40"/>
          <cell r="I40"/>
          <cell r="J40"/>
          <cell r="K40"/>
          <cell r="L40"/>
          <cell r="M40"/>
          <cell r="N40"/>
          <cell r="O40"/>
          <cell r="P40"/>
          <cell r="Q40"/>
          <cell r="R40"/>
          <cell r="S40"/>
          <cell r="T40"/>
          <cell r="U40"/>
          <cell r="V40"/>
          <cell r="W40"/>
          <cell r="X40"/>
          <cell r="Y40"/>
          <cell r="Z40"/>
          <cell r="AA40"/>
          <cell r="AB40"/>
          <cell r="AC40"/>
          <cell r="AD40"/>
          <cell r="AE40"/>
          <cell r="AF40"/>
          <cell r="AG40"/>
          <cell r="AH40"/>
          <cell r="AI40"/>
          <cell r="AJ40"/>
          <cell r="AK40"/>
          <cell r="AL40"/>
          <cell r="AM40"/>
          <cell r="AN40"/>
          <cell r="AO40"/>
          <cell r="AP40"/>
          <cell r="AQ40"/>
          <cell r="AR40"/>
          <cell r="AS40"/>
          <cell r="AT40"/>
          <cell r="AU40"/>
          <cell r="AV40"/>
          <cell r="AW40"/>
          <cell r="AX40"/>
          <cell r="AY40"/>
          <cell r="AZ40"/>
          <cell r="BA40"/>
          <cell r="BB40"/>
          <cell r="BC40"/>
          <cell r="BD40"/>
          <cell r="BE40"/>
          <cell r="BF40"/>
          <cell r="BG40"/>
          <cell r="BH40"/>
          <cell r="BI40"/>
          <cell r="BJ40"/>
          <cell r="BK40"/>
          <cell r="BL40"/>
          <cell r="BM40"/>
          <cell r="BN40"/>
          <cell r="BO40"/>
          <cell r="BP40"/>
          <cell r="BQ40"/>
          <cell r="BR40"/>
          <cell r="BS40"/>
          <cell r="BT40"/>
          <cell r="BU40"/>
          <cell r="BV40"/>
          <cell r="BW40"/>
          <cell r="BX40"/>
          <cell r="BY40"/>
          <cell r="BZ40"/>
          <cell r="CA40"/>
          <cell r="CB40"/>
        </row>
        <row r="41">
          <cell r="B41" t="str">
            <v>Stock-based compensation related to sales &amp; marketing (Americas software)</v>
          </cell>
          <cell r="C41" t="str">
            <v>SBC_SALES_MARKETING</v>
          </cell>
          <cell r="D41" t="str">
            <v>USD</v>
          </cell>
          <cell r="F41"/>
          <cell r="G41"/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  <cell r="T41"/>
          <cell r="U41"/>
          <cell r="V41"/>
          <cell r="W41"/>
          <cell r="X41"/>
          <cell r="Y41"/>
          <cell r="Z41"/>
          <cell r="AA41"/>
          <cell r="AB41"/>
          <cell r="AC41"/>
          <cell r="AD41"/>
          <cell r="AE41"/>
          <cell r="AF41"/>
          <cell r="AG41"/>
          <cell r="AH41"/>
          <cell r="AI41"/>
          <cell r="AJ41"/>
          <cell r="AK41"/>
          <cell r="AL41"/>
          <cell r="AM41"/>
          <cell r="AN41"/>
          <cell r="AO41"/>
          <cell r="AP41"/>
          <cell r="AQ41"/>
          <cell r="AR41"/>
          <cell r="AS41"/>
          <cell r="AT41"/>
          <cell r="AU41"/>
          <cell r="AV41"/>
          <cell r="AW41"/>
          <cell r="AX41"/>
          <cell r="AY41"/>
          <cell r="AZ41"/>
          <cell r="BA41"/>
          <cell r="BB41"/>
          <cell r="BC41"/>
          <cell r="BD41"/>
          <cell r="BE41"/>
          <cell r="BF41"/>
          <cell r="BG41"/>
          <cell r="BH41"/>
          <cell r="BI41"/>
          <cell r="BJ41"/>
          <cell r="BK41"/>
          <cell r="BL41"/>
          <cell r="BM41"/>
          <cell r="BN41"/>
          <cell r="BO41"/>
          <cell r="BP41"/>
          <cell r="BQ41"/>
          <cell r="BR41"/>
          <cell r="BS41"/>
          <cell r="BT41"/>
          <cell r="BU41"/>
          <cell r="BV41"/>
          <cell r="BW41"/>
          <cell r="BX41"/>
          <cell r="BY41"/>
          <cell r="BZ41"/>
          <cell r="CA41"/>
          <cell r="CB41"/>
        </row>
        <row r="42">
          <cell r="B42" t="str">
            <v>Stock-based compensation related to research &amp; development (Americas software)</v>
          </cell>
          <cell r="C42" t="str">
            <v>SBC_RESEARCH_DEVELOPMENT</v>
          </cell>
          <cell r="D42" t="str">
            <v>USD</v>
          </cell>
          <cell r="F42"/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  <cell r="T42"/>
          <cell r="U42"/>
          <cell r="V42"/>
          <cell r="W42"/>
          <cell r="X42"/>
          <cell r="Y42"/>
          <cell r="Z42"/>
          <cell r="AA42"/>
          <cell r="AB42"/>
          <cell r="AC42"/>
          <cell r="AD42"/>
          <cell r="AE42"/>
          <cell r="AF42"/>
          <cell r="AG42"/>
          <cell r="AH42"/>
          <cell r="AI42"/>
          <cell r="AJ42"/>
          <cell r="AK42"/>
          <cell r="AL42"/>
          <cell r="AM42"/>
          <cell r="AN42"/>
          <cell r="AO42"/>
          <cell r="AP42"/>
          <cell r="AQ42"/>
          <cell r="AR42"/>
          <cell r="AS42"/>
          <cell r="AT42"/>
          <cell r="AU42"/>
          <cell r="AV42"/>
          <cell r="AW42"/>
          <cell r="AX42"/>
          <cell r="AY42"/>
          <cell r="AZ42"/>
          <cell r="BA42"/>
          <cell r="BB42"/>
          <cell r="BC42"/>
          <cell r="BD42"/>
          <cell r="BE42"/>
          <cell r="BF42"/>
          <cell r="BG42"/>
          <cell r="BH42"/>
          <cell r="BI42"/>
          <cell r="BJ42"/>
          <cell r="BK42"/>
          <cell r="BL42"/>
          <cell r="BM42"/>
          <cell r="BN42"/>
          <cell r="BO42"/>
          <cell r="BP42"/>
          <cell r="BQ42"/>
          <cell r="BR42"/>
          <cell r="BS42"/>
          <cell r="BT42"/>
          <cell r="BU42"/>
          <cell r="BV42"/>
          <cell r="BW42"/>
          <cell r="BX42"/>
          <cell r="BY42"/>
          <cell r="BZ42"/>
          <cell r="CA42"/>
          <cell r="CB42"/>
        </row>
        <row r="43">
          <cell r="B43" t="str">
            <v>Stock-based compensation related to general &amp; administrative (Americas software)</v>
          </cell>
          <cell r="C43" t="str">
            <v>SBC_GEN_ADMINISTRATIVE</v>
          </cell>
          <cell r="D43" t="str">
            <v>USD</v>
          </cell>
          <cell r="F43"/>
          <cell r="G43"/>
          <cell r="H43"/>
          <cell r="I43"/>
          <cell r="J43"/>
          <cell r="K43"/>
          <cell r="L43"/>
          <cell r="M43"/>
          <cell r="N43"/>
          <cell r="O43"/>
          <cell r="P43"/>
          <cell r="Q43"/>
          <cell r="R43"/>
          <cell r="S43"/>
          <cell r="T43"/>
          <cell r="U43"/>
          <cell r="V43"/>
          <cell r="W43"/>
          <cell r="X43"/>
          <cell r="Y43"/>
          <cell r="Z43"/>
          <cell r="AA43"/>
          <cell r="AB43"/>
          <cell r="AC43"/>
          <cell r="AD43"/>
          <cell r="AE43"/>
          <cell r="AF43"/>
          <cell r="AG43"/>
          <cell r="AH43"/>
          <cell r="AI43"/>
          <cell r="AJ43"/>
          <cell r="AK43"/>
          <cell r="AL43"/>
          <cell r="AM43"/>
          <cell r="AN43"/>
          <cell r="AO43"/>
          <cell r="AP43"/>
          <cell r="AQ43"/>
          <cell r="AR43"/>
          <cell r="AS43"/>
          <cell r="AT43"/>
          <cell r="AU43"/>
          <cell r="AV43"/>
          <cell r="AW43"/>
          <cell r="AX43"/>
          <cell r="AY43"/>
          <cell r="AZ43"/>
          <cell r="BA43"/>
          <cell r="BB43"/>
          <cell r="BC43"/>
          <cell r="BD43"/>
          <cell r="BE43"/>
          <cell r="BF43"/>
          <cell r="BG43"/>
          <cell r="BH43"/>
          <cell r="BI43"/>
          <cell r="BJ43"/>
          <cell r="BK43"/>
          <cell r="BL43"/>
          <cell r="BM43"/>
          <cell r="BN43"/>
          <cell r="BO43"/>
          <cell r="BP43"/>
          <cell r="BQ43"/>
          <cell r="BR43"/>
          <cell r="BS43"/>
          <cell r="BT43"/>
          <cell r="BU43"/>
          <cell r="BV43"/>
          <cell r="BW43"/>
          <cell r="BX43"/>
          <cell r="BY43"/>
          <cell r="BZ43"/>
          <cell r="CA43"/>
          <cell r="CB43"/>
        </row>
        <row r="44">
          <cell r="B44" t="str">
            <v>Total stock-based compensation (Americas software)</v>
          </cell>
          <cell r="C44" t="str">
            <v>SBC_TOTAL</v>
          </cell>
          <cell r="D44" t="str">
            <v>USD</v>
          </cell>
          <cell r="F44"/>
          <cell r="G44"/>
          <cell r="H44"/>
          <cell r="I44"/>
          <cell r="J44"/>
          <cell r="K44"/>
          <cell r="L44"/>
          <cell r="M44"/>
          <cell r="N44"/>
          <cell r="O44"/>
          <cell r="P44"/>
          <cell r="Q44"/>
          <cell r="R44"/>
          <cell r="S44"/>
          <cell r="T44"/>
          <cell r="U44"/>
          <cell r="V44"/>
          <cell r="W44"/>
          <cell r="X44"/>
          <cell r="Y44"/>
          <cell r="Z44"/>
          <cell r="AA44"/>
          <cell r="AB44"/>
          <cell r="AC44"/>
          <cell r="AD44"/>
          <cell r="AE44"/>
          <cell r="AF44"/>
          <cell r="AG44"/>
          <cell r="AH44"/>
          <cell r="AI44"/>
          <cell r="AJ44"/>
          <cell r="AK44"/>
          <cell r="AL44"/>
          <cell r="AM44"/>
          <cell r="AN44"/>
          <cell r="AO44"/>
          <cell r="AP44"/>
          <cell r="AQ44"/>
          <cell r="AR44"/>
          <cell r="AS44"/>
          <cell r="AT44"/>
          <cell r="AU44"/>
          <cell r="AV44"/>
          <cell r="AW44"/>
          <cell r="AX44"/>
          <cell r="AY44"/>
          <cell r="AZ44"/>
          <cell r="BA44"/>
          <cell r="BB44"/>
          <cell r="BC44"/>
          <cell r="BD44"/>
          <cell r="BE44"/>
          <cell r="BF44"/>
          <cell r="BG44"/>
          <cell r="BH44"/>
          <cell r="BI44"/>
          <cell r="BJ44"/>
          <cell r="BK44"/>
          <cell r="BL44"/>
          <cell r="BM44"/>
          <cell r="BN44"/>
          <cell r="BO44"/>
          <cell r="BP44"/>
          <cell r="BQ44"/>
          <cell r="BR44"/>
          <cell r="BS44"/>
          <cell r="BT44"/>
          <cell r="BU44"/>
          <cell r="BV44"/>
          <cell r="BW44"/>
          <cell r="BX44"/>
          <cell r="BY44"/>
          <cell r="BZ44"/>
          <cell r="CA44"/>
          <cell r="CB44"/>
        </row>
        <row r="45">
          <cell r="B45" t="str">
            <v>Non-GAAP cost of goods sold</v>
          </cell>
          <cell r="C45" t="str">
            <v>COGS_N_GAAP</v>
          </cell>
          <cell r="D45" t="str">
            <v>USD</v>
          </cell>
          <cell r="F45"/>
          <cell r="G45"/>
          <cell r="H45"/>
          <cell r="I45"/>
          <cell r="J45"/>
          <cell r="K45"/>
          <cell r="L45"/>
          <cell r="M45"/>
          <cell r="N45"/>
          <cell r="O45"/>
          <cell r="P45"/>
          <cell r="Q45"/>
          <cell r="R45"/>
          <cell r="S45"/>
          <cell r="T45"/>
          <cell r="U45"/>
          <cell r="V45"/>
          <cell r="W45"/>
          <cell r="X45"/>
          <cell r="Y45"/>
          <cell r="Z45"/>
          <cell r="AA45"/>
          <cell r="AB45"/>
          <cell r="AC45"/>
          <cell r="AD45"/>
          <cell r="AE45"/>
          <cell r="AF45"/>
          <cell r="AG45"/>
          <cell r="AH45"/>
          <cell r="AI45"/>
          <cell r="AJ45"/>
          <cell r="AK45"/>
          <cell r="AL45"/>
          <cell r="AM45"/>
          <cell r="AN45"/>
          <cell r="AO45"/>
          <cell r="AP45"/>
          <cell r="AQ45"/>
          <cell r="AR45"/>
          <cell r="AS45"/>
          <cell r="AT45"/>
          <cell r="AU45"/>
          <cell r="AV45"/>
          <cell r="AW45"/>
          <cell r="AX45"/>
          <cell r="AY45"/>
          <cell r="AZ45"/>
          <cell r="BA45"/>
          <cell r="BB45"/>
          <cell r="BC45"/>
          <cell r="BD45"/>
          <cell r="BE45"/>
          <cell r="BF45"/>
          <cell r="BG45"/>
          <cell r="BH45"/>
          <cell r="BI45"/>
          <cell r="BJ45"/>
          <cell r="BK45"/>
          <cell r="BL45"/>
          <cell r="BM45"/>
          <cell r="BN45"/>
          <cell r="BO45"/>
          <cell r="BP45"/>
          <cell r="BQ45"/>
          <cell r="BR45"/>
          <cell r="BS45"/>
          <cell r="BT45"/>
          <cell r="BU45"/>
          <cell r="BV45"/>
          <cell r="BW45"/>
          <cell r="BX45"/>
          <cell r="BY45"/>
          <cell r="BZ45"/>
          <cell r="CA45"/>
          <cell r="CB45"/>
        </row>
        <row r="46">
          <cell r="B46" t="str">
            <v>Non-GAAP gross profit</v>
          </cell>
          <cell r="C46" t="str">
            <v>GROSS_PROFIT_N_GAAP</v>
          </cell>
          <cell r="D46" t="str">
            <v>USD</v>
          </cell>
          <cell r="F46"/>
          <cell r="G46"/>
          <cell r="H46"/>
          <cell r="I46"/>
          <cell r="J46"/>
          <cell r="K46"/>
          <cell r="L46"/>
          <cell r="M46"/>
          <cell r="N46"/>
          <cell r="O46"/>
          <cell r="P46"/>
          <cell r="Q46"/>
          <cell r="R46"/>
          <cell r="S46"/>
          <cell r="T46"/>
          <cell r="U46"/>
          <cell r="V46"/>
          <cell r="W46"/>
          <cell r="X46"/>
          <cell r="Y46"/>
          <cell r="Z46"/>
          <cell r="AA46"/>
          <cell r="AB46"/>
          <cell r="AC46"/>
          <cell r="AD46"/>
          <cell r="AE46"/>
          <cell r="AF46"/>
          <cell r="AG46"/>
          <cell r="AH46"/>
          <cell r="AI46"/>
          <cell r="AJ46"/>
          <cell r="AK46"/>
          <cell r="AL46"/>
          <cell r="AM46"/>
          <cell r="AN46"/>
          <cell r="AO46"/>
          <cell r="AP46"/>
          <cell r="AQ46"/>
          <cell r="AR46"/>
          <cell r="AS46"/>
          <cell r="AT46"/>
          <cell r="AU46"/>
          <cell r="AV46"/>
          <cell r="AW46"/>
          <cell r="AX46"/>
          <cell r="AY46"/>
          <cell r="AZ46"/>
          <cell r="BA46"/>
          <cell r="BB46"/>
          <cell r="BC46"/>
          <cell r="BD46"/>
          <cell r="BE46"/>
          <cell r="BF46"/>
          <cell r="BG46"/>
          <cell r="BH46"/>
          <cell r="BI46"/>
          <cell r="BJ46"/>
          <cell r="BK46"/>
          <cell r="BL46"/>
          <cell r="BM46"/>
          <cell r="BN46"/>
          <cell r="BO46"/>
          <cell r="BP46"/>
          <cell r="BQ46"/>
          <cell r="BR46"/>
          <cell r="BS46"/>
          <cell r="BT46"/>
          <cell r="BU46"/>
          <cell r="BV46"/>
          <cell r="BW46"/>
          <cell r="BX46"/>
          <cell r="BY46"/>
          <cell r="BZ46"/>
          <cell r="CA46"/>
          <cell r="CB46"/>
        </row>
        <row r="47">
          <cell r="B47" t="str">
            <v>Non-GAAP general and administrative expenses</v>
          </cell>
          <cell r="C47" t="str">
            <v>GEN_ADMIN_N_GAAP</v>
          </cell>
          <cell r="D47" t="str">
            <v>USD</v>
          </cell>
          <cell r="F47"/>
          <cell r="G47"/>
          <cell r="H47"/>
          <cell r="I47"/>
          <cell r="J47"/>
          <cell r="K47"/>
          <cell r="L47"/>
          <cell r="M47"/>
          <cell r="N47"/>
          <cell r="O47"/>
          <cell r="P47"/>
          <cell r="Q47"/>
          <cell r="R47"/>
          <cell r="S47"/>
          <cell r="T47"/>
          <cell r="U47"/>
          <cell r="V47"/>
          <cell r="W47"/>
          <cell r="X47"/>
          <cell r="Y47"/>
          <cell r="Z47"/>
          <cell r="AA47"/>
          <cell r="AB47"/>
          <cell r="AC47"/>
          <cell r="AD47"/>
          <cell r="AE47"/>
          <cell r="AF47"/>
          <cell r="AG47"/>
          <cell r="AH47"/>
          <cell r="AI47"/>
          <cell r="AJ47"/>
          <cell r="AK47"/>
          <cell r="AL47"/>
          <cell r="AM47"/>
          <cell r="AN47"/>
          <cell r="AO47"/>
          <cell r="AP47"/>
          <cell r="AQ47"/>
          <cell r="AR47"/>
          <cell r="AS47"/>
          <cell r="AT47"/>
          <cell r="AU47"/>
          <cell r="AV47"/>
          <cell r="AW47"/>
          <cell r="AX47"/>
          <cell r="AY47"/>
          <cell r="AZ47"/>
          <cell r="BA47"/>
          <cell r="BB47"/>
          <cell r="BC47"/>
          <cell r="BD47"/>
          <cell r="BE47"/>
          <cell r="BF47"/>
          <cell r="BG47"/>
          <cell r="BH47"/>
          <cell r="BI47"/>
          <cell r="BJ47"/>
          <cell r="BK47"/>
          <cell r="BL47"/>
          <cell r="BM47"/>
          <cell r="BN47"/>
          <cell r="BO47"/>
          <cell r="BP47"/>
          <cell r="BQ47"/>
          <cell r="BR47"/>
          <cell r="BS47"/>
          <cell r="BT47"/>
          <cell r="BU47"/>
          <cell r="BV47"/>
          <cell r="BW47"/>
          <cell r="BX47"/>
          <cell r="BY47"/>
          <cell r="BZ47"/>
          <cell r="CA47"/>
          <cell r="CB47"/>
        </row>
        <row r="48">
          <cell r="B48" t="str">
            <v>Non-GAAP sales &amp; marketing</v>
          </cell>
          <cell r="C48" t="str">
            <v>SALES_MARKETING_N_GAAP</v>
          </cell>
          <cell r="D48" t="str">
            <v>USD</v>
          </cell>
          <cell r="F48"/>
          <cell r="G48"/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  <cell r="T48"/>
          <cell r="U48"/>
          <cell r="V48"/>
          <cell r="W48"/>
          <cell r="X48"/>
          <cell r="Y48"/>
          <cell r="Z48"/>
          <cell r="AA48"/>
          <cell r="AB48"/>
          <cell r="AC48"/>
          <cell r="AD48"/>
          <cell r="AE48"/>
          <cell r="AF48"/>
          <cell r="AG48"/>
          <cell r="AH48"/>
          <cell r="AI48"/>
          <cell r="AJ48"/>
          <cell r="AK48"/>
          <cell r="AL48"/>
          <cell r="AM48"/>
          <cell r="AN48"/>
          <cell r="AO48"/>
          <cell r="AP48"/>
          <cell r="AQ48"/>
          <cell r="AR48"/>
          <cell r="AS48"/>
          <cell r="AT48"/>
          <cell r="AU48"/>
          <cell r="AV48"/>
          <cell r="AW48"/>
          <cell r="AX48"/>
          <cell r="AY48"/>
          <cell r="AZ48"/>
          <cell r="BA48"/>
          <cell r="BB48"/>
          <cell r="BC48"/>
          <cell r="BD48"/>
          <cell r="BE48"/>
          <cell r="BF48"/>
          <cell r="BG48"/>
          <cell r="BH48"/>
          <cell r="BI48"/>
          <cell r="BJ48"/>
          <cell r="BK48"/>
          <cell r="BL48"/>
          <cell r="BM48"/>
          <cell r="BN48"/>
          <cell r="BO48"/>
          <cell r="BP48"/>
          <cell r="BQ48"/>
          <cell r="BR48"/>
          <cell r="BS48"/>
          <cell r="BT48"/>
          <cell r="BU48"/>
          <cell r="BV48"/>
          <cell r="BW48"/>
          <cell r="BX48"/>
          <cell r="BY48"/>
          <cell r="BZ48"/>
          <cell r="CA48"/>
          <cell r="CB48"/>
        </row>
        <row r="49">
          <cell r="B49" t="str">
            <v>Non-GAAP research &amp; development</v>
          </cell>
          <cell r="C49" t="str">
            <v>RD_N_GAAP</v>
          </cell>
          <cell r="D49" t="str">
            <v>USD</v>
          </cell>
          <cell r="F49"/>
          <cell r="G49"/>
          <cell r="H49"/>
          <cell r="I49"/>
          <cell r="J49"/>
          <cell r="K49"/>
          <cell r="L49"/>
          <cell r="M49"/>
          <cell r="N49"/>
          <cell r="O49"/>
          <cell r="P49"/>
          <cell r="Q49"/>
          <cell r="R49"/>
          <cell r="S49"/>
          <cell r="T49"/>
          <cell r="U49"/>
          <cell r="V49"/>
          <cell r="W49"/>
          <cell r="X49"/>
          <cell r="Y49"/>
          <cell r="Z49"/>
          <cell r="AA49"/>
          <cell r="AB49"/>
          <cell r="AC49"/>
          <cell r="AD49"/>
          <cell r="AE49"/>
          <cell r="AF49"/>
          <cell r="AG49"/>
          <cell r="AH49"/>
          <cell r="AI49"/>
          <cell r="AJ49"/>
          <cell r="AK49"/>
          <cell r="AL49"/>
          <cell r="AM49"/>
          <cell r="AN49"/>
          <cell r="AO49"/>
          <cell r="AP49"/>
          <cell r="AQ49"/>
          <cell r="AR49"/>
          <cell r="AS49"/>
          <cell r="AT49"/>
          <cell r="AU49"/>
          <cell r="AV49"/>
          <cell r="AW49"/>
          <cell r="AX49"/>
          <cell r="AY49"/>
          <cell r="AZ49"/>
          <cell r="BA49"/>
          <cell r="BB49"/>
          <cell r="BC49"/>
          <cell r="BD49"/>
          <cell r="BE49"/>
          <cell r="BF49"/>
          <cell r="BG49"/>
          <cell r="BH49"/>
          <cell r="BI49"/>
          <cell r="BJ49"/>
          <cell r="BK49"/>
          <cell r="BL49"/>
          <cell r="BM49"/>
          <cell r="BN49"/>
          <cell r="BO49"/>
          <cell r="BP49"/>
          <cell r="BQ49"/>
          <cell r="BR49"/>
          <cell r="BS49"/>
          <cell r="BT49"/>
          <cell r="BU49"/>
          <cell r="BV49"/>
          <cell r="BW49"/>
          <cell r="BX49"/>
          <cell r="BY49"/>
          <cell r="BZ49"/>
          <cell r="CA49"/>
          <cell r="CB49"/>
        </row>
        <row r="50">
          <cell r="B50" t="str">
            <v>Non-GAAP operating expenses</v>
          </cell>
          <cell r="C50" t="str">
            <v>OPS_EXP_N_GAAP</v>
          </cell>
          <cell r="D50" t="str">
            <v>USD</v>
          </cell>
          <cell r="F50"/>
          <cell r="G50"/>
          <cell r="H50"/>
          <cell r="I50"/>
          <cell r="J50"/>
          <cell r="K50"/>
          <cell r="L50"/>
          <cell r="M50"/>
          <cell r="N50"/>
          <cell r="O50"/>
          <cell r="P50"/>
          <cell r="Q50"/>
          <cell r="R50"/>
          <cell r="S50"/>
          <cell r="T50"/>
          <cell r="U50"/>
          <cell r="V50"/>
          <cell r="W50"/>
          <cell r="X50"/>
          <cell r="Y50"/>
          <cell r="Z50"/>
          <cell r="AA50"/>
          <cell r="AB50"/>
          <cell r="AC50"/>
          <cell r="AD50"/>
          <cell r="AE50"/>
          <cell r="AF50"/>
          <cell r="AG50"/>
          <cell r="AH50"/>
          <cell r="AI50"/>
          <cell r="AJ50"/>
          <cell r="AK50"/>
          <cell r="AL50"/>
          <cell r="AM50"/>
          <cell r="AN50"/>
          <cell r="AO50"/>
          <cell r="AP50"/>
          <cell r="AQ50"/>
          <cell r="AR50"/>
          <cell r="AS50"/>
          <cell r="AT50"/>
          <cell r="AU50"/>
          <cell r="AV50"/>
          <cell r="AW50"/>
          <cell r="AX50"/>
          <cell r="AY50"/>
          <cell r="AZ50"/>
          <cell r="BA50"/>
          <cell r="BB50"/>
          <cell r="BC50"/>
          <cell r="BD50"/>
          <cell r="BE50"/>
          <cell r="BF50"/>
          <cell r="BG50"/>
          <cell r="BH50"/>
          <cell r="BI50"/>
          <cell r="BJ50"/>
          <cell r="BK50"/>
          <cell r="BL50"/>
          <cell r="BM50"/>
          <cell r="BN50"/>
          <cell r="BO50"/>
          <cell r="BP50"/>
          <cell r="BQ50"/>
          <cell r="BR50"/>
          <cell r="BS50"/>
          <cell r="BT50"/>
          <cell r="BU50"/>
          <cell r="BV50"/>
          <cell r="BW50"/>
          <cell r="BX50"/>
          <cell r="BY50"/>
          <cell r="BZ50"/>
          <cell r="CA50"/>
          <cell r="CB50"/>
        </row>
        <row r="51">
          <cell r="B51" t="str">
            <v>Non-GAAP operating income</v>
          </cell>
          <cell r="C51" t="str">
            <v>OP_INC_N_GAAP</v>
          </cell>
          <cell r="D51" t="str">
            <v>USD</v>
          </cell>
          <cell r="F51"/>
          <cell r="G51"/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  <cell r="T51"/>
          <cell r="U51"/>
          <cell r="V51"/>
          <cell r="W51"/>
          <cell r="X51"/>
          <cell r="Y51"/>
          <cell r="Z51"/>
          <cell r="AA51"/>
          <cell r="AB51"/>
          <cell r="AC51"/>
          <cell r="AD51"/>
          <cell r="AE51"/>
          <cell r="AF51"/>
          <cell r="AG51"/>
          <cell r="AH51"/>
          <cell r="AI51"/>
          <cell r="AJ51"/>
          <cell r="AK51"/>
          <cell r="AL51"/>
          <cell r="AM51"/>
          <cell r="AN51"/>
          <cell r="AO51"/>
          <cell r="AP51"/>
          <cell r="AQ51"/>
          <cell r="AR51"/>
          <cell r="AS51"/>
          <cell r="AT51"/>
          <cell r="AU51"/>
          <cell r="AV51"/>
          <cell r="AW51"/>
          <cell r="AX51"/>
          <cell r="AY51"/>
          <cell r="AZ51"/>
          <cell r="BA51"/>
          <cell r="BB51"/>
          <cell r="BC51"/>
          <cell r="BD51"/>
          <cell r="BE51"/>
          <cell r="BF51"/>
          <cell r="BG51"/>
          <cell r="BH51"/>
          <cell r="BI51"/>
          <cell r="BJ51"/>
          <cell r="BK51"/>
          <cell r="BL51"/>
          <cell r="BM51"/>
          <cell r="BN51"/>
          <cell r="BO51"/>
          <cell r="BP51"/>
          <cell r="BQ51"/>
          <cell r="BR51"/>
          <cell r="BS51"/>
          <cell r="BT51"/>
          <cell r="BU51"/>
          <cell r="BV51"/>
          <cell r="BW51"/>
          <cell r="BX51"/>
          <cell r="BY51"/>
          <cell r="BZ51"/>
          <cell r="CA51"/>
          <cell r="CB51"/>
        </row>
        <row r="52">
          <cell r="B52" t="str">
            <v>Non-GAAP net income</v>
          </cell>
          <cell r="C52" t="str">
            <v>NET_INC_N_GAAP</v>
          </cell>
          <cell r="D52" t="str">
            <v>USD</v>
          </cell>
          <cell r="F52"/>
          <cell r="G52"/>
          <cell r="H52"/>
          <cell r="I52"/>
          <cell r="J52"/>
          <cell r="K52"/>
          <cell r="L52"/>
          <cell r="M52"/>
          <cell r="N52"/>
          <cell r="O52"/>
          <cell r="P52"/>
          <cell r="Q52"/>
          <cell r="R52"/>
          <cell r="S52"/>
          <cell r="T52"/>
          <cell r="U52"/>
          <cell r="V52"/>
          <cell r="W52"/>
          <cell r="X52"/>
          <cell r="Y52"/>
          <cell r="Z52"/>
          <cell r="AA52"/>
          <cell r="AB52"/>
          <cell r="AC52"/>
          <cell r="AD52"/>
          <cell r="AE52"/>
          <cell r="AF52"/>
          <cell r="AG52"/>
          <cell r="AH52"/>
          <cell r="AI52"/>
          <cell r="AJ52"/>
          <cell r="AK52"/>
          <cell r="AL52"/>
          <cell r="AM52"/>
          <cell r="AN52"/>
          <cell r="AO52"/>
          <cell r="AP52"/>
          <cell r="AQ52"/>
          <cell r="AR52"/>
          <cell r="AS52"/>
          <cell r="AT52"/>
          <cell r="AU52"/>
          <cell r="AV52"/>
          <cell r="AW52"/>
          <cell r="AX52"/>
          <cell r="AY52"/>
          <cell r="AZ52"/>
          <cell r="BA52"/>
          <cell r="BB52"/>
          <cell r="BC52"/>
          <cell r="BD52"/>
          <cell r="BE52"/>
          <cell r="BF52"/>
          <cell r="BG52"/>
          <cell r="BH52"/>
          <cell r="BI52"/>
          <cell r="BJ52"/>
          <cell r="BK52"/>
          <cell r="BL52"/>
          <cell r="BM52"/>
          <cell r="BN52"/>
          <cell r="BO52"/>
          <cell r="BP52"/>
          <cell r="BQ52"/>
          <cell r="BR52"/>
          <cell r="BS52"/>
          <cell r="BT52"/>
          <cell r="BU52"/>
          <cell r="BV52"/>
          <cell r="BW52"/>
          <cell r="BX52"/>
          <cell r="BY52"/>
          <cell r="BZ52"/>
          <cell r="CA52"/>
          <cell r="CB52"/>
        </row>
        <row r="53">
          <cell r="A53" t="str">
            <v>Balance Sheet</v>
          </cell>
          <cell r="B53"/>
          <cell r="C53"/>
          <cell r="D53"/>
          <cell r="F53"/>
          <cell r="G53"/>
          <cell r="H53">
            <v>41851</v>
          </cell>
          <cell r="I53">
            <v>42216</v>
          </cell>
          <cell r="J53">
            <v>42582</v>
          </cell>
          <cell r="K53">
            <v>42674</v>
          </cell>
          <cell r="L53">
            <v>42766</v>
          </cell>
          <cell r="M53">
            <v>42855</v>
          </cell>
          <cell r="N53">
            <v>42947</v>
          </cell>
          <cell r="O53">
            <v>42947</v>
          </cell>
          <cell r="P53">
            <v>43039</v>
          </cell>
          <cell r="Q53">
            <v>43131</v>
          </cell>
          <cell r="R53">
            <v>43220</v>
          </cell>
          <cell r="S53">
            <v>43312</v>
          </cell>
          <cell r="T53">
            <v>43312</v>
          </cell>
          <cell r="U53">
            <v>43404</v>
          </cell>
          <cell r="V53">
            <v>43496</v>
          </cell>
          <cell r="W53">
            <v>43585</v>
          </cell>
          <cell r="X53">
            <v>43677</v>
          </cell>
          <cell r="Y53">
            <v>43677</v>
          </cell>
          <cell r="Z53">
            <v>43769</v>
          </cell>
          <cell r="AA53">
            <v>43861</v>
          </cell>
          <cell r="AB53">
            <v>43951</v>
          </cell>
          <cell r="AC53">
            <v>44043</v>
          </cell>
          <cell r="AD53">
            <v>44043</v>
          </cell>
          <cell r="AE53">
            <v>44135</v>
          </cell>
          <cell r="AF53">
            <v>44227</v>
          </cell>
          <cell r="AG53">
            <v>44316</v>
          </cell>
          <cell r="AH53">
            <v>44408</v>
          </cell>
          <cell r="AI53">
            <v>44408</v>
          </cell>
          <cell r="AJ53">
            <v>44500</v>
          </cell>
          <cell r="AK53">
            <v>44592</v>
          </cell>
          <cell r="AL53">
            <v>44681</v>
          </cell>
          <cell r="AM53">
            <v>44773</v>
          </cell>
          <cell r="AN53">
            <v>44773</v>
          </cell>
          <cell r="AO53">
            <v>44865</v>
          </cell>
          <cell r="AP53">
            <v>44957</v>
          </cell>
          <cell r="AQ53">
            <v>45046</v>
          </cell>
          <cell r="AR53">
            <v>45138</v>
          </cell>
          <cell r="AS53">
            <v>45138</v>
          </cell>
          <cell r="AT53">
            <v>45230</v>
          </cell>
          <cell r="AU53">
            <v>45322</v>
          </cell>
          <cell r="AV53">
            <v>45412</v>
          </cell>
          <cell r="AW53">
            <v>45504</v>
          </cell>
          <cell r="AX53">
            <v>45504</v>
          </cell>
          <cell r="AY53">
            <v>45596</v>
          </cell>
          <cell r="AZ53">
            <v>45688</v>
          </cell>
          <cell r="BA53">
            <v>45777</v>
          </cell>
          <cell r="BB53">
            <v>45869</v>
          </cell>
          <cell r="BC53">
            <v>45869</v>
          </cell>
          <cell r="BD53">
            <v>45961</v>
          </cell>
          <cell r="BE53">
            <v>46053</v>
          </cell>
          <cell r="BF53">
            <v>46142</v>
          </cell>
          <cell r="BG53">
            <v>46234</v>
          </cell>
          <cell r="BH53">
            <v>46234</v>
          </cell>
          <cell r="BI53">
            <v>46326</v>
          </cell>
          <cell r="BJ53">
            <v>46418</v>
          </cell>
          <cell r="BK53">
            <v>46507</v>
          </cell>
          <cell r="BL53">
            <v>46599</v>
          </cell>
          <cell r="BM53">
            <v>46599</v>
          </cell>
          <cell r="BN53">
            <v>46691</v>
          </cell>
          <cell r="BO53">
            <v>46783</v>
          </cell>
          <cell r="BP53">
            <v>46873</v>
          </cell>
          <cell r="BQ53">
            <v>46965</v>
          </cell>
          <cell r="BR53">
            <v>46965</v>
          </cell>
          <cell r="BS53">
            <v>47057</v>
          </cell>
          <cell r="BT53">
            <v>47149</v>
          </cell>
          <cell r="BU53">
            <v>47238</v>
          </cell>
          <cell r="BV53">
            <v>47330</v>
          </cell>
          <cell r="BW53">
            <v>47330</v>
          </cell>
          <cell r="BX53">
            <v>47422</v>
          </cell>
          <cell r="BY53">
            <v>47514</v>
          </cell>
          <cell r="BZ53">
            <v>47603</v>
          </cell>
          <cell r="CA53">
            <v>47695</v>
          </cell>
          <cell r="CB53">
            <v>47695</v>
          </cell>
        </row>
        <row r="54">
          <cell r="B54" t="str">
            <v>Cash &amp; cash equivalents</v>
          </cell>
          <cell r="C54" t="str">
            <v>CASH_EQ</v>
          </cell>
          <cell r="D54" t="str">
            <v>USD</v>
          </cell>
          <cell r="F54"/>
          <cell r="G54"/>
          <cell r="H54">
            <v>57.484999999999999</v>
          </cell>
          <cell r="I54">
            <v>67.879000000000005</v>
          </cell>
          <cell r="J54">
            <v>99.209000000000003</v>
          </cell>
          <cell r="K54">
            <v>225.46299999999999</v>
          </cell>
          <cell r="L54">
            <v>226.006</v>
          </cell>
          <cell r="M54">
            <v>200.774</v>
          </cell>
          <cell r="N54">
            <v>138.35900000000001</v>
          </cell>
          <cell r="O54">
            <v>138.35900000000001</v>
          </cell>
          <cell r="P54">
            <v>132.459</v>
          </cell>
          <cell r="Q54">
            <v>610.44600000000003</v>
          </cell>
          <cell r="R54">
            <v>376.78899999999999</v>
          </cell>
          <cell r="S54">
            <v>305.97500000000002</v>
          </cell>
          <cell r="T54">
            <v>305.97500000000002</v>
          </cell>
          <cell r="U54">
            <v>399.786</v>
          </cell>
          <cell r="V54">
            <v>466.01</v>
          </cell>
          <cell r="W54">
            <v>445.11900000000003</v>
          </cell>
          <cell r="X54">
            <v>396.678</v>
          </cell>
          <cell r="Y54">
            <v>396.678</v>
          </cell>
          <cell r="Z54">
            <v>233.82</v>
          </cell>
          <cell r="AA54">
            <v>211.69300000000001</v>
          </cell>
          <cell r="AB54">
            <v>262.33100000000002</v>
          </cell>
          <cell r="AC54">
            <v>318.73700000000002</v>
          </cell>
          <cell r="AD54">
            <v>318.73700000000002</v>
          </cell>
          <cell r="AE54">
            <v>504.48200000000003</v>
          </cell>
          <cell r="AF54">
            <v>298.70100000000002</v>
          </cell>
          <cell r="AG54">
            <v>274.67599999999999</v>
          </cell>
          <cell r="AH54">
            <v>285.72300000000001</v>
          </cell>
          <cell r="AI54">
            <v>285.72300000000001</v>
          </cell>
          <cell r="AJ54">
            <v>350.63100000000003</v>
          </cell>
          <cell r="AK54">
            <v>400.74900000000002</v>
          </cell>
          <cell r="AL54">
            <v>386.721</v>
          </cell>
          <cell r="AM54">
            <v>402.85</v>
          </cell>
          <cell r="AN54">
            <v>402.85</v>
          </cell>
          <cell r="AO54">
            <v>480.61700000000002</v>
          </cell>
          <cell r="AP54">
            <v>406.601</v>
          </cell>
          <cell r="AQ54">
            <v>439.91800000000001</v>
          </cell>
          <cell r="AR54">
            <v>512.92899999999997</v>
          </cell>
          <cell r="AS54">
            <v>512.92899999999997</v>
          </cell>
          <cell r="AT54">
            <v>612.46199999999999</v>
          </cell>
          <cell r="AU54">
            <v>679.24599999999998</v>
          </cell>
          <cell r="AV54">
            <v>598.02700000000004</v>
          </cell>
          <cell r="AW54">
            <v>655.27</v>
          </cell>
          <cell r="AX54">
            <v>655.27</v>
          </cell>
          <cell r="AY54">
            <v>716.60400000000004</v>
          </cell>
          <cell r="AZ54">
            <v>1072.1610000000001</v>
          </cell>
          <cell r="BA54">
            <v>1139.9631450366401</v>
          </cell>
          <cell r="BB54">
            <v>1371.5995934354464</v>
          </cell>
          <cell r="BC54">
            <v>1371.5995934354464</v>
          </cell>
          <cell r="BD54">
            <v>1553.1930998974351</v>
          </cell>
          <cell r="BE54">
            <v>1751.2646379338162</v>
          </cell>
          <cell r="BF54">
            <v>1847.6237132158446</v>
          </cell>
          <cell r="BG54">
            <v>2119.0322371219909</v>
          </cell>
          <cell r="BH54">
            <v>2119.0322371219909</v>
          </cell>
          <cell r="BI54">
            <v>2345.6244959682772</v>
          </cell>
          <cell r="BJ54">
            <v>2589.9720420690842</v>
          </cell>
          <cell r="BK54">
            <v>2725.6194233616807</v>
          </cell>
          <cell r="BL54">
            <v>3082.7592686191888</v>
          </cell>
          <cell r="BM54">
            <v>3082.7592686191888</v>
          </cell>
          <cell r="BN54">
            <v>3387.2543775862437</v>
          </cell>
          <cell r="BO54">
            <v>3709.220248823251</v>
          </cell>
          <cell r="BP54">
            <v>3896.8844157159619</v>
          </cell>
          <cell r="BQ54">
            <v>4335.0476016015118</v>
          </cell>
          <cell r="BR54">
            <v>4335.0476016015118</v>
          </cell>
          <cell r="BS54">
            <v>4705.8800212723181</v>
          </cell>
          <cell r="BT54">
            <v>5097.8333239137119</v>
          </cell>
          <cell r="BU54">
            <v>5323.424945433233</v>
          </cell>
          <cell r="BV54">
            <v>5857.2094625295613</v>
          </cell>
          <cell r="BW54">
            <v>5857.2094625295613</v>
          </cell>
          <cell r="BX54">
            <v>6305.9635108456514</v>
          </cell>
          <cell r="BY54">
            <v>6782.0900269381764</v>
          </cell>
          <cell r="BZ54">
            <v>7056.800483924334</v>
          </cell>
          <cell r="CA54">
            <v>7696.5419294706398</v>
          </cell>
          <cell r="CB54">
            <v>7696.5419294706398</v>
          </cell>
        </row>
        <row r="55">
          <cell r="B55" t="str">
            <v>Accounts receivable</v>
          </cell>
          <cell r="C55" t="str">
            <v>DEBTORS</v>
          </cell>
          <cell r="D55" t="str">
            <v>USD</v>
          </cell>
          <cell r="F55"/>
          <cell r="G55"/>
          <cell r="H55">
            <v>30.234999999999999</v>
          </cell>
          <cell r="I55">
            <v>39.253</v>
          </cell>
          <cell r="J55">
            <v>110.65900000000001</v>
          </cell>
          <cell r="K55">
            <v>147.70699999999999</v>
          </cell>
          <cell r="L55">
            <v>151.22399999999999</v>
          </cell>
          <cell r="M55">
            <v>170.33500000000001</v>
          </cell>
          <cell r="N55">
            <v>178.876</v>
          </cell>
          <cell r="O55">
            <v>178.876</v>
          </cell>
          <cell r="P55">
            <v>171.55</v>
          </cell>
          <cell r="Q55">
            <v>179.24100000000001</v>
          </cell>
          <cell r="R55">
            <v>194.32300000000001</v>
          </cell>
          <cell r="S55">
            <v>258.28899999999999</v>
          </cell>
          <cell r="T55">
            <v>258.28899999999999</v>
          </cell>
          <cell r="U55">
            <v>237.68199999999999</v>
          </cell>
          <cell r="V55">
            <v>247.6</v>
          </cell>
          <cell r="W55">
            <v>244.44499999999999</v>
          </cell>
          <cell r="X55">
            <v>245.47499999999999</v>
          </cell>
          <cell r="Y55">
            <v>245.47499999999999</v>
          </cell>
          <cell r="Z55">
            <v>214.88300000000001</v>
          </cell>
          <cell r="AA55">
            <v>247.32300000000001</v>
          </cell>
          <cell r="AB55">
            <v>236.69</v>
          </cell>
          <cell r="AC55">
            <v>242.51599999999999</v>
          </cell>
          <cell r="AD55">
            <v>242.51599999999999</v>
          </cell>
          <cell r="AE55">
            <v>183.27</v>
          </cell>
          <cell r="AF55">
            <v>164.86799999999999</v>
          </cell>
          <cell r="AG55">
            <v>143.11600000000001</v>
          </cell>
          <cell r="AH55">
            <v>180.78100000000001</v>
          </cell>
          <cell r="AI55">
            <v>180.78100000000001</v>
          </cell>
          <cell r="AJ55">
            <v>116.944</v>
          </cell>
          <cell r="AK55">
            <v>159.93799999999999</v>
          </cell>
          <cell r="AL55">
            <v>180.386</v>
          </cell>
          <cell r="AM55">
            <v>124.559</v>
          </cell>
          <cell r="AN55">
            <v>124.559</v>
          </cell>
          <cell r="AO55">
            <v>83.638000000000005</v>
          </cell>
          <cell r="AP55">
            <v>155.25800000000001</v>
          </cell>
          <cell r="AQ55">
            <v>135.07300000000001</v>
          </cell>
          <cell r="AR55">
            <v>157.251</v>
          </cell>
          <cell r="AS55">
            <v>157.251</v>
          </cell>
          <cell r="AT55">
            <v>133.71600000000001</v>
          </cell>
          <cell r="AU55">
            <v>189.04599999999999</v>
          </cell>
          <cell r="AV55">
            <v>225.30099999999999</v>
          </cell>
          <cell r="AW55">
            <v>229.79599999999999</v>
          </cell>
          <cell r="AX55">
            <v>229.79599999999999</v>
          </cell>
          <cell r="AY55">
            <v>198.58199999999999</v>
          </cell>
          <cell r="AZ55">
            <v>327.29399999999998</v>
          </cell>
          <cell r="BA55">
            <v>285.51718986054931</v>
          </cell>
          <cell r="BB55">
            <v>279.80318572708057</v>
          </cell>
          <cell r="BC55">
            <v>279.80318572708057</v>
          </cell>
          <cell r="BD55">
            <v>261.65376181054881</v>
          </cell>
          <cell r="BE55">
            <v>410.67792776228174</v>
          </cell>
          <cell r="BF55">
            <v>356.39522702811894</v>
          </cell>
          <cell r="BG55">
            <v>349.92977164754762</v>
          </cell>
          <cell r="BH55">
            <v>349.92977164754762</v>
          </cell>
          <cell r="BI55">
            <v>319.12020761543238</v>
          </cell>
          <cell r="BJ55">
            <v>490.97962155687225</v>
          </cell>
          <cell r="BK55">
            <v>422.56211704963272</v>
          </cell>
          <cell r="BL55">
            <v>414.96218488177328</v>
          </cell>
          <cell r="BM55">
            <v>414.96218488177328</v>
          </cell>
          <cell r="BN55">
            <v>386.90412498172952</v>
          </cell>
          <cell r="BO55">
            <v>584.23799395768117</v>
          </cell>
          <cell r="BP55">
            <v>493.26636115745765</v>
          </cell>
          <cell r="BQ55">
            <v>489.66170261737921</v>
          </cell>
          <cell r="BR55">
            <v>489.66170261737921</v>
          </cell>
          <cell r="BS55">
            <v>451.60179234201297</v>
          </cell>
          <cell r="BT55">
            <v>675.99773432977042</v>
          </cell>
          <cell r="BU55">
            <v>571.12936149200129</v>
          </cell>
          <cell r="BV55">
            <v>560.38704585098731</v>
          </cell>
          <cell r="BW55">
            <v>560.38704585098731</v>
          </cell>
          <cell r="BX55">
            <v>516.34940226166316</v>
          </cell>
          <cell r="BY55">
            <v>769.92216942471589</v>
          </cell>
          <cell r="BZ55">
            <v>642.95269449818511</v>
          </cell>
          <cell r="CA55">
            <v>630.55409151422862</v>
          </cell>
          <cell r="CB55">
            <v>630.55409151422862</v>
          </cell>
        </row>
        <row r="56">
          <cell r="B56" t="str">
            <v>Inventory</v>
          </cell>
          <cell r="C56" t="str">
            <v>STOCKS</v>
          </cell>
          <cell r="D56" t="str">
            <v>USD</v>
          </cell>
          <cell r="F56"/>
          <cell r="G56"/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  <cell r="T56"/>
          <cell r="U56"/>
          <cell r="V56"/>
          <cell r="W56"/>
          <cell r="X56"/>
          <cell r="Y56"/>
          <cell r="Z56"/>
          <cell r="AA56"/>
          <cell r="AB56"/>
          <cell r="AC56"/>
          <cell r="AD56"/>
          <cell r="AE56"/>
          <cell r="AF56"/>
          <cell r="AG56"/>
          <cell r="AH56"/>
          <cell r="AI56"/>
          <cell r="AJ56"/>
          <cell r="AK56"/>
          <cell r="AL56"/>
          <cell r="AM56"/>
          <cell r="AN56"/>
          <cell r="AO56"/>
          <cell r="AP56"/>
          <cell r="AQ56"/>
          <cell r="AR56"/>
          <cell r="AS56"/>
          <cell r="AT56"/>
          <cell r="AU56"/>
          <cell r="AV56"/>
          <cell r="AW56"/>
          <cell r="AX56"/>
          <cell r="AY56"/>
          <cell r="AZ56"/>
          <cell r="BA56"/>
          <cell r="BB56"/>
          <cell r="BC56"/>
          <cell r="BD56"/>
          <cell r="BE56"/>
          <cell r="BF56"/>
          <cell r="BG56"/>
          <cell r="BH56"/>
          <cell r="BI56"/>
          <cell r="BJ56"/>
          <cell r="BK56"/>
          <cell r="BL56"/>
          <cell r="BM56"/>
          <cell r="BN56"/>
          <cell r="BO56"/>
          <cell r="BP56"/>
          <cell r="BQ56"/>
          <cell r="BR56"/>
          <cell r="BS56"/>
          <cell r="BT56"/>
          <cell r="BU56"/>
          <cell r="BV56"/>
          <cell r="BW56"/>
          <cell r="BX56"/>
          <cell r="BY56"/>
          <cell r="BZ56"/>
          <cell r="CA56"/>
          <cell r="CB56"/>
        </row>
        <row r="57">
          <cell r="B57" t="str">
            <v>Other current assets</v>
          </cell>
          <cell r="C57" t="str">
            <v>OTH_CUR_ASS</v>
          </cell>
          <cell r="D57" t="str">
            <v>USD</v>
          </cell>
          <cell r="F57"/>
          <cell r="G57"/>
          <cell r="H57">
            <v>9.9960000000000004</v>
          </cell>
          <cell r="I57">
            <v>102.151</v>
          </cell>
          <cell r="J57">
            <v>119.99300000000001</v>
          </cell>
          <cell r="K57">
            <v>157.351</v>
          </cell>
          <cell r="L57">
            <v>166.56899999999999</v>
          </cell>
          <cell r="M57">
            <v>216.14400000000001</v>
          </cell>
          <cell r="N57">
            <v>262.899</v>
          </cell>
          <cell r="O57">
            <v>262.899</v>
          </cell>
          <cell r="P57">
            <v>288.892</v>
          </cell>
          <cell r="Q57">
            <v>372.86400000000003</v>
          </cell>
          <cell r="R57">
            <v>613.56399999999996</v>
          </cell>
          <cell r="S57">
            <v>698.83699999999999</v>
          </cell>
          <cell r="T57">
            <v>698.83699999999999</v>
          </cell>
          <cell r="U57">
            <v>639.55199999999991</v>
          </cell>
          <cell r="V57">
            <v>586.30500000000006</v>
          </cell>
          <cell r="W57">
            <v>609.68600000000004</v>
          </cell>
          <cell r="X57">
            <v>633.05899999999997</v>
          </cell>
          <cell r="Y57">
            <v>633.05899999999997</v>
          </cell>
          <cell r="Z57">
            <v>769.20399999999995</v>
          </cell>
          <cell r="AA57">
            <v>732.61799999999994</v>
          </cell>
          <cell r="AB57">
            <v>596.17199999999991</v>
          </cell>
          <cell r="AC57">
            <v>532.76700000000005</v>
          </cell>
          <cell r="AD57">
            <v>532.76700000000005</v>
          </cell>
          <cell r="AE57">
            <v>946.36900000000003</v>
          </cell>
          <cell r="AF57">
            <v>1152.1569999999999</v>
          </cell>
          <cell r="AG57">
            <v>1148.7910000000002</v>
          </cell>
          <cell r="AH57">
            <v>1095.7570000000001</v>
          </cell>
          <cell r="AI57">
            <v>1095.7570000000001</v>
          </cell>
          <cell r="AJ57">
            <v>1084.4660000000001</v>
          </cell>
          <cell r="AK57">
            <v>1061.037</v>
          </cell>
          <cell r="AL57">
            <v>1109.2719999999999</v>
          </cell>
          <cell r="AM57">
            <v>1130.5719999999999</v>
          </cell>
          <cell r="AN57">
            <v>1130.5719999999999</v>
          </cell>
          <cell r="AO57">
            <v>1107.8399999999999</v>
          </cell>
          <cell r="AP57">
            <v>1129.8889999999999</v>
          </cell>
          <cell r="AQ57">
            <v>1153.9170000000001</v>
          </cell>
          <cell r="AR57">
            <v>1191.5540000000001</v>
          </cell>
          <cell r="AS57">
            <v>1191.5540000000001</v>
          </cell>
          <cell r="AT57">
            <v>1171.769</v>
          </cell>
          <cell r="AU57">
            <v>1212.1450000000002</v>
          </cell>
          <cell r="AV57">
            <v>1315.912</v>
          </cell>
          <cell r="AW57">
            <v>596.22799999999995</v>
          </cell>
          <cell r="AX57">
            <v>596.22799999999995</v>
          </cell>
          <cell r="AY57">
            <v>608.27300000000002</v>
          </cell>
          <cell r="AZ57">
            <v>935.93900000000008</v>
          </cell>
          <cell r="BA57">
            <v>991.38178696846558</v>
          </cell>
          <cell r="BB57">
            <v>969.37812482253776</v>
          </cell>
          <cell r="BC57">
            <v>969.37812482253776</v>
          </cell>
          <cell r="BD57">
            <v>956.23750708955902</v>
          </cell>
          <cell r="BE57">
            <v>968.00118067459675</v>
          </cell>
          <cell r="BF57">
            <v>1025.3919403184047</v>
          </cell>
          <cell r="BG57">
            <v>1004.4591266620906</v>
          </cell>
          <cell r="BH57">
            <v>1004.4591266620906</v>
          </cell>
          <cell r="BI57">
            <v>995.51728391951826</v>
          </cell>
          <cell r="BJ57">
            <v>1008.0614452801356</v>
          </cell>
          <cell r="BK57">
            <v>1068.0047466068502</v>
          </cell>
          <cell r="BL57">
            <v>1044.2597375869227</v>
          </cell>
          <cell r="BM57">
            <v>1044.2597375869227</v>
          </cell>
          <cell r="BN57">
            <v>1039.0216626985059</v>
          </cell>
          <cell r="BO57">
            <v>1052.2288429687526</v>
          </cell>
          <cell r="BP57">
            <v>1114.5179154793661</v>
          </cell>
          <cell r="BQ57">
            <v>1087.437627808072</v>
          </cell>
          <cell r="BR57">
            <v>1087.437627808072</v>
          </cell>
          <cell r="BS57">
            <v>1086.9952473559895</v>
          </cell>
          <cell r="BT57">
            <v>1100.7421403086259</v>
          </cell>
          <cell r="BU57">
            <v>1165.001386751479</v>
          </cell>
          <cell r="BV57">
            <v>1134.1746562450303</v>
          </cell>
          <cell r="BW57">
            <v>1134.1746562450303</v>
          </cell>
          <cell r="BX57">
            <v>1137.4294012812288</v>
          </cell>
          <cell r="BY57">
            <v>1151.3217784154313</v>
          </cell>
          <cell r="BZ57">
            <v>1217.3306748456914</v>
          </cell>
          <cell r="CA57">
            <v>1182.3154014475062</v>
          </cell>
          <cell r="CB57">
            <v>1182.3154014475062</v>
          </cell>
        </row>
        <row r="58">
          <cell r="B58" t="str">
            <v>Total current assets</v>
          </cell>
          <cell r="C58" t="str">
            <v>CUR_ASS</v>
          </cell>
          <cell r="D58" t="str">
            <v>USD</v>
          </cell>
          <cell r="F58"/>
          <cell r="G58"/>
          <cell r="H58">
            <v>97.715999999999994</v>
          </cell>
          <cell r="I58">
            <v>209.28299999999999</v>
          </cell>
          <cell r="J58">
            <v>329.86099999999993</v>
          </cell>
          <cell r="K58">
            <v>530.52099999999996</v>
          </cell>
          <cell r="L58">
            <v>543.79899999999998</v>
          </cell>
          <cell r="M58">
            <v>587.25300000000004</v>
          </cell>
          <cell r="N58">
            <v>580.1339999999999</v>
          </cell>
          <cell r="O58">
            <v>580.1339999999999</v>
          </cell>
          <cell r="P58">
            <v>592.90100000000007</v>
          </cell>
          <cell r="Q58">
            <v>1162.5510000000002</v>
          </cell>
          <cell r="R58">
            <v>1184.6760000000002</v>
          </cell>
          <cell r="S58">
            <v>1263.1010000000001</v>
          </cell>
          <cell r="T58">
            <v>1263.1010000000001</v>
          </cell>
          <cell r="U58">
            <v>1277.02</v>
          </cell>
          <cell r="V58">
            <v>1299.9149999999997</v>
          </cell>
          <cell r="W58">
            <v>1299.2499999999998</v>
          </cell>
          <cell r="X58">
            <v>1275.212</v>
          </cell>
          <cell r="Y58">
            <v>1275.212</v>
          </cell>
          <cell r="Z58">
            <v>1217.9069999999999</v>
          </cell>
          <cell r="AA58">
            <v>1191.6340000000002</v>
          </cell>
          <cell r="AB58">
            <v>1095.193</v>
          </cell>
          <cell r="AC58">
            <v>1094.02</v>
          </cell>
          <cell r="AD58">
            <v>1094.02</v>
          </cell>
          <cell r="AE58">
            <v>1634.1210000000001</v>
          </cell>
          <cell r="AF58">
            <v>1615.7259999999999</v>
          </cell>
          <cell r="AG58">
            <v>1566.5830000000001</v>
          </cell>
          <cell r="AH58">
            <v>1562.261</v>
          </cell>
          <cell r="AI58">
            <v>1562.261</v>
          </cell>
          <cell r="AJ58">
            <v>1552.0410000000002</v>
          </cell>
          <cell r="AK58">
            <v>1621.7240000000002</v>
          </cell>
          <cell r="AL58">
            <v>1676.3789999999999</v>
          </cell>
          <cell r="AM58">
            <v>1657.981</v>
          </cell>
          <cell r="AN58">
            <v>1657.981</v>
          </cell>
          <cell r="AO58">
            <v>1672.095</v>
          </cell>
          <cell r="AP58">
            <v>1691.748</v>
          </cell>
          <cell r="AQ58">
            <v>1728.9080000000004</v>
          </cell>
          <cell r="AR58">
            <v>1861.7339999999999</v>
          </cell>
          <cell r="AS58">
            <v>1861.7339999999999</v>
          </cell>
          <cell r="AT58">
            <v>1917.9469999999999</v>
          </cell>
          <cell r="AU58">
            <v>2080.4369999999999</v>
          </cell>
          <cell r="AV58">
            <v>2139.2399999999998</v>
          </cell>
          <cell r="AW58">
            <v>1481.2939999999999</v>
          </cell>
          <cell r="AX58">
            <v>1481.2939999999999</v>
          </cell>
          <cell r="AY58">
            <v>1523.4590000000001</v>
          </cell>
          <cell r="AZ58">
            <v>2335.3940000000002</v>
          </cell>
          <cell r="BA58">
            <v>2416.8621218656554</v>
          </cell>
          <cell r="BB58">
            <v>2620.7809039850649</v>
          </cell>
          <cell r="BC58">
            <v>2620.7809039850649</v>
          </cell>
          <cell r="BD58">
            <v>2771.0843687975434</v>
          </cell>
          <cell r="BE58">
            <v>3129.9437463706945</v>
          </cell>
          <cell r="BF58">
            <v>3229.4108805623678</v>
          </cell>
          <cell r="BG58">
            <v>3473.421135431629</v>
          </cell>
          <cell r="BH58">
            <v>3473.421135431629</v>
          </cell>
          <cell r="BI58">
            <v>3660.2619875032278</v>
          </cell>
          <cell r="BJ58">
            <v>4089.0131089060919</v>
          </cell>
          <cell r="BK58">
            <v>4216.186287018164</v>
          </cell>
          <cell r="BL58">
            <v>4541.9811910878843</v>
          </cell>
          <cell r="BM58">
            <v>4541.9811910878843</v>
          </cell>
          <cell r="BN58">
            <v>4813.180165266479</v>
          </cell>
          <cell r="BO58">
            <v>5345.6870857496851</v>
          </cell>
          <cell r="BP58">
            <v>5504.6686923527859</v>
          </cell>
          <cell r="BQ58">
            <v>5912.1469320269625</v>
          </cell>
          <cell r="BR58">
            <v>5912.1469320269625</v>
          </cell>
          <cell r="BS58">
            <v>6244.477060970321</v>
          </cell>
          <cell r="BT58">
            <v>6874.5731985521079</v>
          </cell>
          <cell r="BU58">
            <v>7059.5556936767125</v>
          </cell>
          <cell r="BV58">
            <v>7551.7711646255775</v>
          </cell>
          <cell r="BW58">
            <v>7551.7711646255775</v>
          </cell>
          <cell r="BX58">
            <v>7959.7423143885426</v>
          </cell>
          <cell r="BY58">
            <v>8703.333974778323</v>
          </cell>
          <cell r="BZ58">
            <v>8917.0838532682101</v>
          </cell>
          <cell r="CA58">
            <v>9509.4114224323748</v>
          </cell>
          <cell r="CB58">
            <v>9509.4114224323748</v>
          </cell>
        </row>
        <row r="59">
          <cell r="B59" t="str">
            <v>Gross fixed assets, PP&amp;E</v>
          </cell>
          <cell r="C59" t="str">
            <v>GR_FIX_ASS</v>
          </cell>
          <cell r="D59" t="str">
            <v>USD</v>
          </cell>
          <cell r="F59"/>
          <cell r="G59"/>
          <cell r="H59">
            <v>16.393999999999998</v>
          </cell>
          <cell r="I59">
            <v>26.634</v>
          </cell>
          <cell r="J59">
            <v>42.218000000000004</v>
          </cell>
          <cell r="K59">
            <v>46.328000000000003</v>
          </cell>
          <cell r="L59">
            <v>51.944000000000003</v>
          </cell>
          <cell r="M59">
            <v>53.545000000000002</v>
          </cell>
          <cell r="N59">
            <v>146.97300000000001</v>
          </cell>
          <cell r="O59">
            <v>146.97300000000001</v>
          </cell>
          <cell r="P59">
            <v>166.22399999999999</v>
          </cell>
          <cell r="Q59">
            <v>177.64600000000002</v>
          </cell>
          <cell r="R59">
            <v>193.995</v>
          </cell>
          <cell r="S59">
            <v>212.904</v>
          </cell>
          <cell r="T59">
            <v>212.904</v>
          </cell>
          <cell r="U59">
            <v>243.75200000000001</v>
          </cell>
          <cell r="V59">
            <v>278.54200000000003</v>
          </cell>
          <cell r="W59">
            <v>302.54700000000003</v>
          </cell>
          <cell r="X59">
            <v>320.13099999999997</v>
          </cell>
          <cell r="Y59">
            <v>320.13099999999997</v>
          </cell>
          <cell r="Z59">
            <v>462.47199999999998</v>
          </cell>
          <cell r="AA59">
            <v>495.48400000000004</v>
          </cell>
          <cell r="AB59">
            <v>515.53899999999999</v>
          </cell>
          <cell r="AC59">
            <v>521.72299999999996</v>
          </cell>
          <cell r="AD59">
            <v>521.72299999999996</v>
          </cell>
          <cell r="AE59">
            <v>524.87300000000005</v>
          </cell>
          <cell r="AF59">
            <v>536.37599999999998</v>
          </cell>
          <cell r="AG59">
            <v>546.86400000000003</v>
          </cell>
          <cell r="AH59">
            <v>554.67200000000003</v>
          </cell>
          <cell r="AI59">
            <v>554.67200000000003</v>
          </cell>
          <cell r="AJ59">
            <v>553.24400000000003</v>
          </cell>
          <cell r="AK59">
            <v>555.49800000000005</v>
          </cell>
          <cell r="AL59">
            <v>559.94399999999996</v>
          </cell>
          <cell r="AM59">
            <v>600.14100000000008</v>
          </cell>
          <cell r="AN59">
            <v>600.14100000000008</v>
          </cell>
          <cell r="AO59">
            <v>605.26900000000001</v>
          </cell>
          <cell r="AP59">
            <v>614.07600000000002</v>
          </cell>
          <cell r="AQ59">
            <v>667.35</v>
          </cell>
          <cell r="AR59">
            <v>625.71600000000001</v>
          </cell>
          <cell r="AS59">
            <v>625.71600000000001</v>
          </cell>
          <cell r="AT59">
            <v>633.86300000000006</v>
          </cell>
          <cell r="AU59">
            <v>651.18299999999999</v>
          </cell>
          <cell r="AV59">
            <v>665.76099999999997</v>
          </cell>
          <cell r="AW59">
            <v>700.05199999999991</v>
          </cell>
          <cell r="AX59">
            <v>700.05199999999991</v>
          </cell>
          <cell r="AY59">
            <v>714.221</v>
          </cell>
          <cell r="AZ59">
            <v>731.30199999999991</v>
          </cell>
          <cell r="BA59">
            <v>752.78423841120969</v>
          </cell>
          <cell r="BB59">
            <v>776.44459434926625</v>
          </cell>
          <cell r="BC59">
            <v>776.44459434926625</v>
          </cell>
          <cell r="BD59">
            <v>804.02240745808194</v>
          </cell>
          <cell r="BE59">
            <v>834.25395287761444</v>
          </cell>
          <cell r="BF59">
            <v>862.6671319587374</v>
          </cell>
          <cell r="BG59">
            <v>891.55174371684075</v>
          </cell>
          <cell r="BH59">
            <v>891.55174371684075</v>
          </cell>
          <cell r="BI59">
            <v>923.36414700456544</v>
          </cell>
          <cell r="BJ59">
            <v>958.11664219450745</v>
          </cell>
          <cell r="BK59">
            <v>990.36072770100748</v>
          </cell>
          <cell r="BL59">
            <v>1023.1427462893117</v>
          </cell>
          <cell r="BM59">
            <v>1023.1427462893117</v>
          </cell>
          <cell r="BN59">
            <v>1059.7301433865027</v>
          </cell>
          <cell r="BO59">
            <v>1099.5517716923118</v>
          </cell>
          <cell r="BP59">
            <v>1136.0493380533242</v>
          </cell>
          <cell r="BQ59">
            <v>1173.1401340655166</v>
          </cell>
          <cell r="BR59">
            <v>1173.1401340655166</v>
          </cell>
          <cell r="BS59">
            <v>1215.0910291810956</v>
          </cell>
          <cell r="BT59">
            <v>1260.5772578025076</v>
          </cell>
          <cell r="BU59">
            <v>1301.7737851060058</v>
          </cell>
          <cell r="BV59">
            <v>1343.6189421893691</v>
          </cell>
          <cell r="BW59">
            <v>1343.6189421893691</v>
          </cell>
          <cell r="BX59">
            <v>1391.5844728506518</v>
          </cell>
          <cell r="BY59">
            <v>1443.3906462158154</v>
          </cell>
          <cell r="BZ59">
            <v>1489.7679120677362</v>
          </cell>
          <cell r="CA59">
            <v>1536.8525747206743</v>
          </cell>
          <cell r="CB59">
            <v>1536.8525747206743</v>
          </cell>
        </row>
        <row r="60">
          <cell r="B60" t="str">
            <v>Accumulated depreciation</v>
          </cell>
          <cell r="C60" t="str">
            <v>ACC_DDA</v>
          </cell>
          <cell r="D60" t="str">
            <v>USD</v>
          </cell>
          <cell r="F60"/>
          <cell r="G60"/>
          <cell r="H60"/>
          <cell r="I60"/>
          <cell r="J60"/>
          <cell r="K60"/>
          <cell r="L60"/>
          <cell r="M60"/>
          <cell r="N60">
            <v>-88.900999999999996</v>
          </cell>
          <cell r="O60">
            <v>-88.900999999999996</v>
          </cell>
          <cell r="P60">
            <v>-98.649000000000001</v>
          </cell>
          <cell r="Q60">
            <v>-108.572</v>
          </cell>
          <cell r="R60">
            <v>-117.673</v>
          </cell>
          <cell r="S60">
            <v>-127.79300000000001</v>
          </cell>
          <cell r="T60">
            <v>-127.79300000000001</v>
          </cell>
          <cell r="U60">
            <v>-139.00200000000001</v>
          </cell>
          <cell r="V60">
            <v>-152.61799999999999</v>
          </cell>
          <cell r="W60">
            <v>-167.98500000000001</v>
          </cell>
          <cell r="X60">
            <v>-183.16900000000001</v>
          </cell>
          <cell r="Y60">
            <v>-183.16900000000001</v>
          </cell>
          <cell r="Z60">
            <v>-199</v>
          </cell>
          <cell r="AA60">
            <v>-216.374</v>
          </cell>
          <cell r="AB60">
            <v>-233.33199999999999</v>
          </cell>
          <cell r="AC60">
            <v>-251.22499999999999</v>
          </cell>
          <cell r="AD60">
            <v>-251.22499999999999</v>
          </cell>
          <cell r="AE60">
            <v>-265.17500000000001</v>
          </cell>
          <cell r="AF60">
            <v>-283.339</v>
          </cell>
          <cell r="AG60">
            <v>-301.26499999999999</v>
          </cell>
          <cell r="AH60">
            <v>-317.14800000000002</v>
          </cell>
          <cell r="AI60">
            <v>-317.14800000000002</v>
          </cell>
          <cell r="AJ60">
            <v>-331.983</v>
          </cell>
          <cell r="AK60">
            <v>-346.37</v>
          </cell>
          <cell r="AL60">
            <v>-359.02300000000002</v>
          </cell>
          <cell r="AM60">
            <v>-367.96100000000001</v>
          </cell>
          <cell r="AN60">
            <v>-367.96100000000001</v>
          </cell>
          <cell r="AO60">
            <v>-382.38600000000002</v>
          </cell>
          <cell r="AP60">
            <v>-394.78100000000001</v>
          </cell>
          <cell r="AQ60">
            <v>-454.08100000000002</v>
          </cell>
          <cell r="AR60">
            <v>-420.29700000000003</v>
          </cell>
          <cell r="AS60">
            <v>-420.29700000000003</v>
          </cell>
          <cell r="AT60">
            <v>-427.358</v>
          </cell>
          <cell r="AU60">
            <v>-438.65199999999999</v>
          </cell>
          <cell r="AV60">
            <v>-454.08100000000002</v>
          </cell>
          <cell r="AW60">
            <v>-454.73899999999998</v>
          </cell>
          <cell r="AX60">
            <v>-454.73899999999998</v>
          </cell>
          <cell r="AY60">
            <v>-463.173</v>
          </cell>
          <cell r="AZ60">
            <v>-480.49799999999999</v>
          </cell>
          <cell r="BA60">
            <v>-497.89</v>
          </cell>
          <cell r="BB60">
            <v>-515.79469108738374</v>
          </cell>
          <cell r="BC60">
            <v>-515.79469108738374</v>
          </cell>
          <cell r="BD60">
            <v>-534.48830522316086</v>
          </cell>
          <cell r="BE60">
            <v>-553.44061508058905</v>
          </cell>
          <cell r="BF60">
            <v>-573.75032496566621</v>
          </cell>
          <cell r="BG60">
            <v>-595.03524715570859</v>
          </cell>
          <cell r="BH60">
            <v>-595.03524715570859</v>
          </cell>
          <cell r="BI60">
            <v>-617.31852037643694</v>
          </cell>
          <cell r="BJ60">
            <v>-639.69483787610238</v>
          </cell>
          <cell r="BK60">
            <v>-663.49868605660868</v>
          </cell>
          <cell r="BL60">
            <v>-688.27607372870602</v>
          </cell>
          <cell r="BM60">
            <v>-688.27607372870602</v>
          </cell>
          <cell r="BN60">
            <v>-714.07793684053468</v>
          </cell>
          <cell r="BO60">
            <v>-739.85467075669783</v>
          </cell>
          <cell r="BP60">
            <v>-767.18118907216069</v>
          </cell>
          <cell r="BQ60">
            <v>-795.51968702890144</v>
          </cell>
          <cell r="BR60">
            <v>-795.51968702890144</v>
          </cell>
          <cell r="BS60">
            <v>-824.94455319299232</v>
          </cell>
          <cell r="BT60">
            <v>-854.24053156311436</v>
          </cell>
          <cell r="BU60">
            <v>-885.24207245446541</v>
          </cell>
          <cell r="BV60">
            <v>-917.31760457258042</v>
          </cell>
          <cell r="BW60">
            <v>-917.31760457258042</v>
          </cell>
          <cell r="BX60">
            <v>-950.565019826705</v>
          </cell>
          <cell r="BY60">
            <v>-983.5753716095976</v>
          </cell>
          <cell r="BZ60">
            <v>-1018.4717908155998</v>
          </cell>
          <cell r="CA60">
            <v>-1054.5202560097916</v>
          </cell>
          <cell r="CB60">
            <v>-1054.5202560097916</v>
          </cell>
        </row>
        <row r="61">
          <cell r="B61" t="str">
            <v>Net PP&amp;E</v>
          </cell>
          <cell r="C61" t="str">
            <v>NET_FIX_ASS</v>
          </cell>
          <cell r="D61" t="str">
            <v>USD</v>
          </cell>
          <cell r="F61"/>
          <cell r="G61"/>
          <cell r="H61">
            <v>16.393999999999998</v>
          </cell>
          <cell r="I61">
            <v>26.634</v>
          </cell>
          <cell r="J61">
            <v>42.218000000000004</v>
          </cell>
          <cell r="K61">
            <v>46.328000000000003</v>
          </cell>
          <cell r="L61">
            <v>51.944000000000003</v>
          </cell>
          <cell r="M61">
            <v>53.545000000000002</v>
          </cell>
          <cell r="N61">
            <v>58.072000000000003</v>
          </cell>
          <cell r="O61">
            <v>58.072000000000003</v>
          </cell>
          <cell r="P61">
            <v>67.575000000000003</v>
          </cell>
          <cell r="Q61">
            <v>69.073999999999998</v>
          </cell>
          <cell r="R61">
            <v>76.322000000000003</v>
          </cell>
          <cell r="S61">
            <v>85.111000000000004</v>
          </cell>
          <cell r="T61">
            <v>85.111000000000004</v>
          </cell>
          <cell r="U61">
            <v>104.75</v>
          </cell>
          <cell r="V61">
            <v>125.92400000000001</v>
          </cell>
          <cell r="W61">
            <v>134.56200000000001</v>
          </cell>
          <cell r="X61">
            <v>136.96199999999999</v>
          </cell>
          <cell r="Y61">
            <v>136.96199999999999</v>
          </cell>
          <cell r="Z61">
            <v>263.47199999999998</v>
          </cell>
          <cell r="AA61">
            <v>279.11</v>
          </cell>
          <cell r="AB61">
            <v>282.20699999999999</v>
          </cell>
          <cell r="AC61">
            <v>270.49799999999999</v>
          </cell>
          <cell r="AD61">
            <v>270.49799999999999</v>
          </cell>
          <cell r="AE61">
            <v>259.69799999999998</v>
          </cell>
          <cell r="AF61">
            <v>253.03700000000001</v>
          </cell>
          <cell r="AG61">
            <v>245.59899999999999</v>
          </cell>
          <cell r="AH61">
            <v>237.524</v>
          </cell>
          <cell r="AI61">
            <v>237.524</v>
          </cell>
          <cell r="AJ61">
            <v>221.26100000000002</v>
          </cell>
          <cell r="AK61">
            <v>209.12799999999999</v>
          </cell>
          <cell r="AL61">
            <v>200.92099999999999</v>
          </cell>
          <cell r="AM61">
            <v>232.18</v>
          </cell>
          <cell r="AN61">
            <v>232.18</v>
          </cell>
          <cell r="AO61">
            <v>222.88300000000001</v>
          </cell>
          <cell r="AP61">
            <v>219.29500000000002</v>
          </cell>
          <cell r="AQ61">
            <v>213.26900000000001</v>
          </cell>
          <cell r="AR61">
            <v>205.41899999999998</v>
          </cell>
          <cell r="AS61">
            <v>205.41899999999998</v>
          </cell>
          <cell r="AT61">
            <v>206.505</v>
          </cell>
          <cell r="AU61">
            <v>212.53100000000001</v>
          </cell>
          <cell r="AV61">
            <v>211.68</v>
          </cell>
          <cell r="AW61">
            <v>245.31299999999999</v>
          </cell>
          <cell r="AX61">
            <v>245.31299999999999</v>
          </cell>
          <cell r="AY61">
            <v>251.048</v>
          </cell>
          <cell r="AZ61">
            <v>250.80399999999997</v>
          </cell>
          <cell r="BA61">
            <v>254.8942384112097</v>
          </cell>
          <cell r="BB61">
            <v>260.64990326188257</v>
          </cell>
          <cell r="BC61">
            <v>260.64990326188257</v>
          </cell>
          <cell r="BD61">
            <v>269.53410223492102</v>
          </cell>
          <cell r="BE61">
            <v>280.81333779702533</v>
          </cell>
          <cell r="BF61">
            <v>288.91680699307113</v>
          </cell>
          <cell r="BG61">
            <v>296.5164965611321</v>
          </cell>
          <cell r="BH61">
            <v>296.5164965611321</v>
          </cell>
          <cell r="BI61">
            <v>306.0456266281285</v>
          </cell>
          <cell r="BJ61">
            <v>318.42180431840512</v>
          </cell>
          <cell r="BK61">
            <v>326.8620416443988</v>
          </cell>
          <cell r="BL61">
            <v>334.86667256060571</v>
          </cell>
          <cell r="BM61">
            <v>334.86667256060571</v>
          </cell>
          <cell r="BN61">
            <v>345.65220654596817</v>
          </cell>
          <cell r="BO61">
            <v>359.69710093561412</v>
          </cell>
          <cell r="BP61">
            <v>368.86814898116353</v>
          </cell>
          <cell r="BQ61">
            <v>377.62044703661513</v>
          </cell>
          <cell r="BR61">
            <v>377.62044703661513</v>
          </cell>
          <cell r="BS61">
            <v>390.14647598810336</v>
          </cell>
          <cell r="BT61">
            <v>406.3367262393931</v>
          </cell>
          <cell r="BU61">
            <v>416.53171265154037</v>
          </cell>
          <cell r="BV61">
            <v>426.30133761678866</v>
          </cell>
          <cell r="BW61">
            <v>426.30133761678866</v>
          </cell>
          <cell r="BX61">
            <v>441.01945302394671</v>
          </cell>
          <cell r="BY61">
            <v>459.81527460621788</v>
          </cell>
          <cell r="BZ61">
            <v>471.2961212521364</v>
          </cell>
          <cell r="CA61">
            <v>482.33231871088259</v>
          </cell>
          <cell r="CB61">
            <v>482.33231871088259</v>
          </cell>
        </row>
        <row r="62">
          <cell r="B62" t="str">
            <v>Gross intangibles</v>
          </cell>
          <cell r="C62" t="str">
            <v>GR_INTANG</v>
          </cell>
          <cell r="D62" t="str">
            <v>USD</v>
          </cell>
          <cell r="F62"/>
          <cell r="G62"/>
          <cell r="H62">
            <v>0</v>
          </cell>
          <cell r="I62">
            <v>0</v>
          </cell>
          <cell r="J62">
            <v>0</v>
          </cell>
          <cell r="K62">
            <v>44.608999999999995</v>
          </cell>
          <cell r="L62">
            <v>44.000999999999998</v>
          </cell>
          <cell r="M62">
            <v>43.245000000000005</v>
          </cell>
          <cell r="N62">
            <v>44.902000000000001</v>
          </cell>
          <cell r="O62">
            <v>44.902000000000001</v>
          </cell>
          <cell r="P62">
            <v>44.902000000000001</v>
          </cell>
          <cell r="Q62">
            <v>44.902000000000001</v>
          </cell>
          <cell r="R62">
            <v>142.47399999999999</v>
          </cell>
          <cell r="S62">
            <v>141.90899999999999</v>
          </cell>
          <cell r="T62">
            <v>141.90899999999999</v>
          </cell>
          <cell r="U62">
            <v>277.32600000000002</v>
          </cell>
          <cell r="V62">
            <v>277.15199999999999</v>
          </cell>
          <cell r="W62">
            <v>277.51299999999998</v>
          </cell>
          <cell r="X62">
            <v>277.51299999999998</v>
          </cell>
          <cell r="Y62">
            <v>277.51299999999998</v>
          </cell>
          <cell r="Z62">
            <v>277.59299999999996</v>
          </cell>
          <cell r="AA62">
            <v>277.59299999999996</v>
          </cell>
          <cell r="AB62">
            <v>277.59299999999996</v>
          </cell>
          <cell r="AC62">
            <v>277.59199999999998</v>
          </cell>
          <cell r="AD62">
            <v>277.59199999999998</v>
          </cell>
          <cell r="AE62">
            <v>277.59199999999998</v>
          </cell>
          <cell r="AF62">
            <v>277.59199999999998</v>
          </cell>
          <cell r="AG62">
            <v>277.59199999999998</v>
          </cell>
          <cell r="AH62">
            <v>277.59199999999998</v>
          </cell>
          <cell r="AI62">
            <v>277.59199999999998</v>
          </cell>
          <cell r="AJ62">
            <v>277.59199999999998</v>
          </cell>
          <cell r="AK62">
            <v>277.59199999999998</v>
          </cell>
          <cell r="AL62">
            <v>277.59300000000002</v>
          </cell>
          <cell r="AM62">
            <v>277.59199999999998</v>
          </cell>
          <cell r="AN62">
            <v>277.59199999999998</v>
          </cell>
          <cell r="AO62">
            <v>277.59199999999998</v>
          </cell>
          <cell r="AP62">
            <v>277.59199999999998</v>
          </cell>
          <cell r="AQ62">
            <v>277.59199999999998</v>
          </cell>
          <cell r="AR62">
            <v>276.23500000000001</v>
          </cell>
          <cell r="AS62">
            <v>276.23500000000001</v>
          </cell>
          <cell r="AT62">
            <v>276.23500000000001</v>
          </cell>
          <cell r="AU62">
            <v>280.50200000000001</v>
          </cell>
          <cell r="AV62">
            <v>280.50200000000001</v>
          </cell>
          <cell r="AW62">
            <v>280.50299999999999</v>
          </cell>
          <cell r="AX62">
            <v>280.50299999999999</v>
          </cell>
          <cell r="AY62">
            <v>280.50300000000004</v>
          </cell>
          <cell r="AZ62">
            <v>280.50300000000004</v>
          </cell>
          <cell r="BA62">
            <v>280.50300000000004</v>
          </cell>
          <cell r="BB62">
            <v>280.50300000000004</v>
          </cell>
          <cell r="BC62">
            <v>280.50300000000004</v>
          </cell>
          <cell r="BD62">
            <v>280.50300000000004</v>
          </cell>
          <cell r="BE62">
            <v>280.50300000000004</v>
          </cell>
          <cell r="BF62">
            <v>280.50300000000004</v>
          </cell>
          <cell r="BG62">
            <v>280.50300000000004</v>
          </cell>
          <cell r="BH62">
            <v>280.50300000000004</v>
          </cell>
          <cell r="BI62">
            <v>280.50300000000004</v>
          </cell>
          <cell r="BJ62">
            <v>280.50299999999999</v>
          </cell>
          <cell r="BK62">
            <v>280.50300000000004</v>
          </cell>
          <cell r="BL62">
            <v>280.50299999999999</v>
          </cell>
          <cell r="BM62">
            <v>280.50299999999999</v>
          </cell>
          <cell r="BN62">
            <v>280.50300000000004</v>
          </cell>
          <cell r="BO62">
            <v>280.50299999999999</v>
          </cell>
          <cell r="BP62">
            <v>280.50300000000004</v>
          </cell>
          <cell r="BQ62">
            <v>280.50299999999999</v>
          </cell>
          <cell r="BR62">
            <v>280.50299999999999</v>
          </cell>
          <cell r="BS62">
            <v>280.50300000000004</v>
          </cell>
          <cell r="BT62">
            <v>280.50300000000004</v>
          </cell>
          <cell r="BU62">
            <v>280.50300000000004</v>
          </cell>
          <cell r="BV62">
            <v>280.50300000000004</v>
          </cell>
          <cell r="BW62">
            <v>280.50300000000004</v>
          </cell>
          <cell r="BX62">
            <v>280.50300000000004</v>
          </cell>
          <cell r="BY62">
            <v>280.50300000000004</v>
          </cell>
          <cell r="BZ62">
            <v>280.50300000000004</v>
          </cell>
          <cell r="CA62">
            <v>280.50300000000004</v>
          </cell>
          <cell r="CB62">
            <v>280.50300000000004</v>
          </cell>
        </row>
        <row r="63">
          <cell r="B63" t="str">
            <v>Accumulated amortization</v>
          </cell>
          <cell r="C63" t="str">
            <v>ACC_AMORT</v>
          </cell>
          <cell r="D63" t="str">
            <v>USD</v>
          </cell>
          <cell r="F63"/>
          <cell r="G63"/>
          <cell r="H63"/>
          <cell r="I63"/>
          <cell r="J63"/>
          <cell r="K63"/>
          <cell r="L63"/>
          <cell r="M63"/>
          <cell r="N63">
            <v>-2.2290000000000001</v>
          </cell>
          <cell r="O63">
            <v>-2.2290000000000001</v>
          </cell>
          <cell r="P63">
            <v>-3.335</v>
          </cell>
          <cell r="Q63">
            <v>-4.6909999999999998</v>
          </cell>
          <cell r="R63">
            <v>-6.3599999999999994</v>
          </cell>
          <cell r="S63">
            <v>-8.7839999999999989</v>
          </cell>
          <cell r="T63">
            <v>-8.7839999999999989</v>
          </cell>
          <cell r="U63">
            <v>-12.501999999999999</v>
          </cell>
          <cell r="V63">
            <v>-16.86</v>
          </cell>
          <cell r="W63">
            <v>-21.215</v>
          </cell>
          <cell r="X63">
            <v>-25.56</v>
          </cell>
          <cell r="Y63">
            <v>-25.56</v>
          </cell>
          <cell r="Z63">
            <v>-29.904999999999998</v>
          </cell>
          <cell r="AA63">
            <v>-34.25</v>
          </cell>
          <cell r="AB63">
            <v>-38.594999999999999</v>
          </cell>
          <cell r="AC63">
            <v>-42.94</v>
          </cell>
          <cell r="AD63">
            <v>-42.94</v>
          </cell>
          <cell r="AE63">
            <v>-47.284999999999997</v>
          </cell>
          <cell r="AF63">
            <v>-51.629999999999995</v>
          </cell>
          <cell r="AG63">
            <v>-55.974999999999994</v>
          </cell>
          <cell r="AH63">
            <v>-60.319999999999993</v>
          </cell>
          <cell r="AI63">
            <v>-60.319999999999993</v>
          </cell>
          <cell r="AJ63">
            <v>-64.446999999999989</v>
          </cell>
          <cell r="AK63">
            <v>-68.465999999999994</v>
          </cell>
          <cell r="AL63">
            <v>-72.484999999999999</v>
          </cell>
          <cell r="AM63">
            <v>-76.503</v>
          </cell>
          <cell r="AN63">
            <v>-76.503</v>
          </cell>
          <cell r="AO63">
            <v>-79.662000000000006</v>
          </cell>
          <cell r="AP63">
            <v>-82.391000000000005</v>
          </cell>
          <cell r="AQ63">
            <v>-84.998000000000005</v>
          </cell>
          <cell r="AR63">
            <v>-86.403999999999996</v>
          </cell>
          <cell r="AS63">
            <v>-86.403999999999996</v>
          </cell>
          <cell r="AT63">
            <v>-87.551999999999992</v>
          </cell>
          <cell r="AU63">
            <v>-88.382999999999996</v>
          </cell>
          <cell r="AV63">
            <v>-89.24799999999999</v>
          </cell>
          <cell r="AW63">
            <v>-90.114999999999995</v>
          </cell>
          <cell r="AX63">
            <v>-90.114999999999995</v>
          </cell>
          <cell r="AY63">
            <v>-90.97</v>
          </cell>
          <cell r="AZ63">
            <v>-91.825000000000003</v>
          </cell>
          <cell r="BA63">
            <v>-92.240000000000009</v>
          </cell>
          <cell r="BB63">
            <v>-92.655000000000015</v>
          </cell>
          <cell r="BC63">
            <v>-92.655000000000015</v>
          </cell>
          <cell r="BD63">
            <v>-92.849250000000012</v>
          </cell>
          <cell r="BE63">
            <v>-93.043500000000009</v>
          </cell>
          <cell r="BF63">
            <v>-93.237750000000005</v>
          </cell>
          <cell r="BG63">
            <v>-93.432000000000002</v>
          </cell>
          <cell r="BH63">
            <v>-93.432000000000002</v>
          </cell>
          <cell r="BI63">
            <v>-93.626249999999999</v>
          </cell>
          <cell r="BJ63">
            <v>-93.820499999999996</v>
          </cell>
          <cell r="BK63">
            <v>-94.014749999999992</v>
          </cell>
          <cell r="BL63">
            <v>-94.208999999999989</v>
          </cell>
          <cell r="BM63">
            <v>-94.208999999999989</v>
          </cell>
          <cell r="BN63">
            <v>-94.297249999999991</v>
          </cell>
          <cell r="BO63">
            <v>-94.385499999999993</v>
          </cell>
          <cell r="BP63">
            <v>-94.473749999999995</v>
          </cell>
          <cell r="BQ63">
            <v>-94.561999999999998</v>
          </cell>
          <cell r="BR63">
            <v>-94.561999999999998</v>
          </cell>
          <cell r="BS63">
            <v>-94.65025</v>
          </cell>
          <cell r="BT63">
            <v>-94.738500000000002</v>
          </cell>
          <cell r="BU63">
            <v>-94.826750000000004</v>
          </cell>
          <cell r="BV63">
            <v>-94.915000000000006</v>
          </cell>
          <cell r="BW63">
            <v>-94.915000000000006</v>
          </cell>
          <cell r="BX63">
            <v>-95.003250000000008</v>
          </cell>
          <cell r="BY63">
            <v>-95.091500000000011</v>
          </cell>
          <cell r="BZ63">
            <v>-95.179750000000013</v>
          </cell>
          <cell r="CA63">
            <v>-95.268000000000015</v>
          </cell>
          <cell r="CB63">
            <v>-95.268000000000015</v>
          </cell>
        </row>
        <row r="64">
          <cell r="B64" t="str">
            <v>Net intangible assets</v>
          </cell>
          <cell r="C64" t="str">
            <v>NET_INTANG</v>
          </cell>
          <cell r="D64" t="str">
            <v>USD</v>
          </cell>
          <cell r="F64"/>
          <cell r="G64"/>
          <cell r="H64">
            <v>0</v>
          </cell>
          <cell r="I64">
            <v>0</v>
          </cell>
          <cell r="J64">
            <v>0</v>
          </cell>
          <cell r="K64">
            <v>44.608999999999995</v>
          </cell>
          <cell r="L64">
            <v>44.000999999999998</v>
          </cell>
          <cell r="M64">
            <v>43.245000000000005</v>
          </cell>
          <cell r="N64">
            <v>42.673000000000002</v>
          </cell>
          <cell r="O64">
            <v>42.673000000000002</v>
          </cell>
          <cell r="P64">
            <v>41.567</v>
          </cell>
          <cell r="Q64">
            <v>40.210999999999999</v>
          </cell>
          <cell r="R64">
            <v>136.114</v>
          </cell>
          <cell r="S64">
            <v>133.125</v>
          </cell>
          <cell r="T64">
            <v>133.125</v>
          </cell>
          <cell r="U64">
            <v>264.82400000000001</v>
          </cell>
          <cell r="V64">
            <v>260.29199999999997</v>
          </cell>
          <cell r="W64">
            <v>256.298</v>
          </cell>
          <cell r="X64">
            <v>251.953</v>
          </cell>
          <cell r="Y64">
            <v>251.953</v>
          </cell>
          <cell r="Z64">
            <v>247.68799999999999</v>
          </cell>
          <cell r="AA64">
            <v>243.34299999999999</v>
          </cell>
          <cell r="AB64">
            <v>238.99799999999999</v>
          </cell>
          <cell r="AC64">
            <v>234.65199999999999</v>
          </cell>
          <cell r="AD64">
            <v>234.65199999999999</v>
          </cell>
          <cell r="AE64">
            <v>230.30699999999999</v>
          </cell>
          <cell r="AF64">
            <v>225.96199999999999</v>
          </cell>
          <cell r="AG64">
            <v>221.61699999999999</v>
          </cell>
          <cell r="AH64">
            <v>217.27199999999999</v>
          </cell>
          <cell r="AI64">
            <v>217.27199999999999</v>
          </cell>
          <cell r="AJ64">
            <v>213.14499999999998</v>
          </cell>
          <cell r="AK64">
            <v>209.12599999999998</v>
          </cell>
          <cell r="AL64">
            <v>205.108</v>
          </cell>
          <cell r="AM64">
            <v>201.089</v>
          </cell>
          <cell r="AN64">
            <v>201.089</v>
          </cell>
          <cell r="AO64">
            <v>197.92999999999998</v>
          </cell>
          <cell r="AP64">
            <v>195.20099999999999</v>
          </cell>
          <cell r="AQ64">
            <v>192.59399999999999</v>
          </cell>
          <cell r="AR64">
            <v>189.83099999999999</v>
          </cell>
          <cell r="AS64">
            <v>189.83099999999999</v>
          </cell>
          <cell r="AT64">
            <v>188.68299999999999</v>
          </cell>
          <cell r="AU64">
            <v>192.11900000000003</v>
          </cell>
          <cell r="AV64">
            <v>191.25400000000002</v>
          </cell>
          <cell r="AW64">
            <v>190.38800000000001</v>
          </cell>
          <cell r="AX64">
            <v>190.38800000000001</v>
          </cell>
          <cell r="AY64">
            <v>189.53300000000002</v>
          </cell>
          <cell r="AZ64">
            <v>188.67800000000003</v>
          </cell>
          <cell r="BA64">
            <v>188.26300000000001</v>
          </cell>
          <cell r="BB64">
            <v>187.84800000000001</v>
          </cell>
          <cell r="BC64">
            <v>187.84800000000001</v>
          </cell>
          <cell r="BD64">
            <v>187.65375</v>
          </cell>
          <cell r="BE64">
            <v>187.45950000000002</v>
          </cell>
          <cell r="BF64">
            <v>187.26525000000001</v>
          </cell>
          <cell r="BG64">
            <v>187.07100000000003</v>
          </cell>
          <cell r="BH64">
            <v>187.07100000000003</v>
          </cell>
          <cell r="BI64">
            <v>186.87675000000002</v>
          </cell>
          <cell r="BJ64">
            <v>186.6825</v>
          </cell>
          <cell r="BK64">
            <v>186.48825000000002</v>
          </cell>
          <cell r="BL64">
            <v>186.29400000000001</v>
          </cell>
          <cell r="BM64">
            <v>186.29400000000001</v>
          </cell>
          <cell r="BN64">
            <v>186.20575000000002</v>
          </cell>
          <cell r="BO64">
            <v>186.11750000000001</v>
          </cell>
          <cell r="BP64">
            <v>186.02925000000002</v>
          </cell>
          <cell r="BQ64">
            <v>185.941</v>
          </cell>
          <cell r="BR64">
            <v>185.941</v>
          </cell>
          <cell r="BS64">
            <v>185.85275000000001</v>
          </cell>
          <cell r="BT64">
            <v>185.76450000000003</v>
          </cell>
          <cell r="BU64">
            <v>185.67625000000001</v>
          </cell>
          <cell r="BV64">
            <v>185.58800000000002</v>
          </cell>
          <cell r="BW64">
            <v>185.58800000000002</v>
          </cell>
          <cell r="BX64">
            <v>185.49975000000001</v>
          </cell>
          <cell r="BY64">
            <v>185.41150000000002</v>
          </cell>
          <cell r="BZ64">
            <v>185.32325</v>
          </cell>
          <cell r="CA64">
            <v>185.23500000000001</v>
          </cell>
          <cell r="CB64">
            <v>185.23500000000001</v>
          </cell>
        </row>
        <row r="65">
          <cell r="B65" t="str">
            <v>Equity method investments</v>
          </cell>
          <cell r="C65" t="str">
            <v>FIX_ASS_INV</v>
          </cell>
          <cell r="D65" t="str">
            <v>USD</v>
          </cell>
          <cell r="F65"/>
          <cell r="G65"/>
          <cell r="H65"/>
          <cell r="I65"/>
          <cell r="J65"/>
          <cell r="K65"/>
          <cell r="L65"/>
          <cell r="M65"/>
          <cell r="N65"/>
          <cell r="O65"/>
          <cell r="P65"/>
          <cell r="Q65"/>
          <cell r="R65"/>
          <cell r="S65"/>
          <cell r="T65"/>
          <cell r="U65"/>
          <cell r="V65"/>
          <cell r="W65"/>
          <cell r="X65"/>
          <cell r="Y65"/>
          <cell r="Z65"/>
          <cell r="AA65"/>
          <cell r="AB65"/>
          <cell r="AC65"/>
          <cell r="AD65"/>
          <cell r="AE65"/>
          <cell r="AF65"/>
          <cell r="AG65"/>
          <cell r="AH65"/>
          <cell r="AI65"/>
          <cell r="AJ65"/>
          <cell r="AK65"/>
          <cell r="AL65"/>
          <cell r="AM65"/>
          <cell r="AN65"/>
          <cell r="AO65"/>
          <cell r="AP65"/>
          <cell r="AQ65"/>
          <cell r="AR65"/>
          <cell r="AS65"/>
          <cell r="AT65"/>
          <cell r="AU65"/>
          <cell r="AV65"/>
          <cell r="AW65"/>
          <cell r="AX65"/>
          <cell r="AY65"/>
          <cell r="AZ65"/>
          <cell r="BA65"/>
          <cell r="BB65"/>
          <cell r="BC65"/>
          <cell r="BD65"/>
          <cell r="BE65"/>
          <cell r="BF65"/>
          <cell r="BG65"/>
          <cell r="BH65"/>
          <cell r="BI65"/>
          <cell r="BJ65"/>
          <cell r="BK65"/>
          <cell r="BL65"/>
          <cell r="BM65"/>
          <cell r="BN65"/>
          <cell r="BO65"/>
          <cell r="BP65"/>
          <cell r="BQ65"/>
          <cell r="BR65"/>
          <cell r="BS65"/>
          <cell r="BT65"/>
          <cell r="BU65"/>
          <cell r="BV65"/>
          <cell r="BW65"/>
          <cell r="BX65"/>
          <cell r="BY65"/>
          <cell r="BZ65"/>
          <cell r="CA65"/>
          <cell r="CB65"/>
        </row>
        <row r="66">
          <cell r="B66" t="str">
            <v>Investments in securities</v>
          </cell>
          <cell r="C66" t="str">
            <v>INV_SECUR</v>
          </cell>
          <cell r="D66" t="str">
            <v>USD</v>
          </cell>
          <cell r="F66"/>
          <cell r="G66"/>
          <cell r="H66"/>
          <cell r="I66"/>
          <cell r="J66"/>
          <cell r="K66"/>
          <cell r="L66"/>
          <cell r="M66"/>
          <cell r="N66"/>
          <cell r="O66"/>
          <cell r="P66"/>
          <cell r="Q66"/>
          <cell r="R66"/>
          <cell r="S66"/>
          <cell r="T66"/>
          <cell r="U66"/>
          <cell r="V66"/>
          <cell r="W66"/>
          <cell r="X66"/>
          <cell r="Y66"/>
          <cell r="Z66"/>
          <cell r="AA66"/>
          <cell r="AB66"/>
          <cell r="AC66"/>
          <cell r="AD66"/>
          <cell r="AE66"/>
          <cell r="AF66"/>
          <cell r="AG66"/>
          <cell r="AH66"/>
          <cell r="AI66"/>
          <cell r="AJ66"/>
          <cell r="AK66"/>
          <cell r="AL66"/>
          <cell r="AM66"/>
          <cell r="AN66"/>
          <cell r="AO66"/>
          <cell r="AP66"/>
          <cell r="AQ66"/>
          <cell r="AR66"/>
          <cell r="AS66"/>
          <cell r="AT66"/>
          <cell r="AU66"/>
          <cell r="AV66"/>
          <cell r="AW66"/>
          <cell r="AX66"/>
          <cell r="AY66"/>
          <cell r="AZ66"/>
          <cell r="BA66"/>
          <cell r="BB66"/>
          <cell r="BC66"/>
          <cell r="BD66"/>
          <cell r="BE66"/>
          <cell r="BF66"/>
          <cell r="BG66"/>
          <cell r="BH66"/>
          <cell r="BI66"/>
          <cell r="BJ66"/>
          <cell r="BK66"/>
          <cell r="BL66"/>
          <cell r="BM66"/>
          <cell r="BN66"/>
          <cell r="BO66"/>
          <cell r="BP66"/>
          <cell r="BQ66"/>
          <cell r="BR66"/>
          <cell r="BS66"/>
          <cell r="BT66"/>
          <cell r="BU66"/>
          <cell r="BV66"/>
          <cell r="BW66"/>
          <cell r="BX66"/>
          <cell r="BY66"/>
          <cell r="BZ66"/>
          <cell r="CA66"/>
          <cell r="CB66"/>
        </row>
        <row r="67">
          <cell r="B67" t="str">
            <v>Other long-term assets</v>
          </cell>
          <cell r="C67" t="str">
            <v>OTH_LT_ASS</v>
          </cell>
          <cell r="D67" t="str">
            <v>USD</v>
          </cell>
          <cell r="F67"/>
          <cell r="G67"/>
          <cell r="H67">
            <v>4.8540000000000001</v>
          </cell>
          <cell r="I67">
            <v>13.914</v>
          </cell>
          <cell r="J67">
            <v>27.006999999999998</v>
          </cell>
          <cell r="K67">
            <v>26.805</v>
          </cell>
          <cell r="L67">
            <v>30.972999999999999</v>
          </cell>
          <cell r="M67">
            <v>34.264000000000003</v>
          </cell>
          <cell r="N67">
            <v>57.332999999999998</v>
          </cell>
          <cell r="O67">
            <v>57.332999999999998</v>
          </cell>
          <cell r="P67">
            <v>62.867000000000004</v>
          </cell>
          <cell r="Q67">
            <v>73.36</v>
          </cell>
          <cell r="R67">
            <v>78.285999999999987</v>
          </cell>
          <cell r="S67">
            <v>118.54300000000001</v>
          </cell>
          <cell r="T67">
            <v>118.54300000000001</v>
          </cell>
          <cell r="U67">
            <v>126.49199999999999</v>
          </cell>
          <cell r="V67">
            <v>135.00700000000001</v>
          </cell>
          <cell r="W67">
            <v>111.709</v>
          </cell>
          <cell r="X67">
            <v>121.91500000000001</v>
          </cell>
          <cell r="Y67">
            <v>121.91500000000001</v>
          </cell>
          <cell r="Z67">
            <v>137.31899999999999</v>
          </cell>
          <cell r="AA67">
            <v>149.22900000000001</v>
          </cell>
          <cell r="AB67">
            <v>156.94300000000001</v>
          </cell>
          <cell r="AC67">
            <v>169.37700000000001</v>
          </cell>
          <cell r="AD67">
            <v>169.37700000000001</v>
          </cell>
          <cell r="AE67">
            <v>191.74600000000001</v>
          </cell>
          <cell r="AF67">
            <v>216.727</v>
          </cell>
          <cell r="AG67">
            <v>231.75200000000001</v>
          </cell>
          <cell r="AH67">
            <v>260.43900000000002</v>
          </cell>
          <cell r="AI67">
            <v>260.43900000000002</v>
          </cell>
          <cell r="AJ67">
            <v>267.76499999999999</v>
          </cell>
          <cell r="AK67">
            <v>275.61200000000002</v>
          </cell>
          <cell r="AL67">
            <v>273.48500000000001</v>
          </cell>
          <cell r="AM67">
            <v>274.49900000000002</v>
          </cell>
          <cell r="AN67">
            <v>274.49900000000002</v>
          </cell>
          <cell r="AO67">
            <v>264.51400000000001</v>
          </cell>
          <cell r="AP67">
            <v>265.25099999999998</v>
          </cell>
          <cell r="AQ67">
            <v>261.226</v>
          </cell>
          <cell r="AR67">
            <v>269.93099999999998</v>
          </cell>
          <cell r="AS67">
            <v>269.93099999999998</v>
          </cell>
          <cell r="AT67">
            <v>257.505</v>
          </cell>
          <cell r="AU67">
            <v>244.447</v>
          </cell>
          <cell r="AV67">
            <v>232.75</v>
          </cell>
          <cell r="AW67">
            <v>226.923</v>
          </cell>
          <cell r="AX67">
            <v>226.923</v>
          </cell>
          <cell r="AY67">
            <v>217.31100000000001</v>
          </cell>
          <cell r="AZ67">
            <v>214.114</v>
          </cell>
          <cell r="BA67">
            <v>259.48165671198581</v>
          </cell>
          <cell r="BB67">
            <v>251.5327204451863</v>
          </cell>
          <cell r="BC67">
            <v>251.5327204451863</v>
          </cell>
          <cell r="BD67">
            <v>258.97352247196187</v>
          </cell>
          <cell r="BE67">
            <v>248.49261213481537</v>
          </cell>
          <cell r="BF67">
            <v>297.52183072374294</v>
          </cell>
          <cell r="BG67">
            <v>292.6136682915577</v>
          </cell>
          <cell r="BH67">
            <v>292.6136682915577</v>
          </cell>
          <cell r="BI67">
            <v>303.30589912397591</v>
          </cell>
          <cell r="BJ67">
            <v>290.05469204875828</v>
          </cell>
          <cell r="BK67">
            <v>342.84791898000174</v>
          </cell>
          <cell r="BL67">
            <v>337.33156131771585</v>
          </cell>
          <cell r="BM67">
            <v>337.33156131771585</v>
          </cell>
          <cell r="BN67">
            <v>354.08396525809303</v>
          </cell>
          <cell r="BO67">
            <v>337.40667648345408</v>
          </cell>
          <cell r="BP67">
            <v>393.97388893768169</v>
          </cell>
          <cell r="BQ67">
            <v>387.59308801934037</v>
          </cell>
          <cell r="BR67">
            <v>387.59308801934037</v>
          </cell>
          <cell r="BS67">
            <v>412.01286480021093</v>
          </cell>
          <cell r="BT67">
            <v>391.16347326219011</v>
          </cell>
          <cell r="BU67">
            <v>451.35560279608484</v>
          </cell>
          <cell r="BV67">
            <v>443.95832795847218</v>
          </cell>
          <cell r="BW67">
            <v>443.95832795847218</v>
          </cell>
          <cell r="BX67">
            <v>474.34224042045395</v>
          </cell>
          <cell r="BY67">
            <v>448.20990787923665</v>
          </cell>
          <cell r="BZ67">
            <v>512.15360157179782</v>
          </cell>
          <cell r="CA67">
            <v>503.55502966605678</v>
          </cell>
          <cell r="CB67">
            <v>503.55502966605678</v>
          </cell>
        </row>
        <row r="68">
          <cell r="B68" t="str">
            <v>Total assets</v>
          </cell>
          <cell r="C68" t="str">
            <v>TOT_ASSET</v>
          </cell>
          <cell r="D68" t="str">
            <v>USD</v>
          </cell>
          <cell r="F68"/>
          <cell r="G68"/>
          <cell r="H68">
            <v>118.96399999999998</v>
          </cell>
          <cell r="I68">
            <v>249.83099999999999</v>
          </cell>
          <cell r="J68">
            <v>399.08599999999996</v>
          </cell>
          <cell r="K68">
            <v>648.26299999999992</v>
          </cell>
          <cell r="L68">
            <v>670.71699999999987</v>
          </cell>
          <cell r="M68">
            <v>718.30700000000002</v>
          </cell>
          <cell r="N68">
            <v>738.21199999999988</v>
          </cell>
          <cell r="O68">
            <v>738.21199999999988</v>
          </cell>
          <cell r="P68">
            <v>764.91000000000008</v>
          </cell>
          <cell r="Q68">
            <v>1345.1960000000004</v>
          </cell>
          <cell r="R68">
            <v>1475.3980000000001</v>
          </cell>
          <cell r="S68">
            <v>1599.8800000000003</v>
          </cell>
          <cell r="T68">
            <v>1599.8800000000003</v>
          </cell>
          <cell r="U68">
            <v>1773.0859999999998</v>
          </cell>
          <cell r="V68">
            <v>1821.1379999999995</v>
          </cell>
          <cell r="W68">
            <v>1801.8189999999997</v>
          </cell>
          <cell r="X68">
            <v>1786.0419999999999</v>
          </cell>
          <cell r="Y68">
            <v>1786.0419999999999</v>
          </cell>
          <cell r="Z68">
            <v>1866.386</v>
          </cell>
          <cell r="AA68">
            <v>1863.3160000000005</v>
          </cell>
          <cell r="AB68">
            <v>1773.3409999999999</v>
          </cell>
          <cell r="AC68">
            <v>1768.547</v>
          </cell>
          <cell r="AD68">
            <v>1768.547</v>
          </cell>
          <cell r="AE68">
            <v>2315.8719999999994</v>
          </cell>
          <cell r="AF68">
            <v>2311.4519999999998</v>
          </cell>
          <cell r="AG68">
            <v>2265.5510000000008</v>
          </cell>
          <cell r="AH68">
            <v>2277.4960000000005</v>
          </cell>
          <cell r="AI68">
            <v>2277.4960000000005</v>
          </cell>
          <cell r="AJ68">
            <v>2254.212</v>
          </cell>
          <cell r="AK68">
            <v>2315.59</v>
          </cell>
          <cell r="AL68">
            <v>2355.8929999999996</v>
          </cell>
          <cell r="AM68">
            <v>2365.7490000000003</v>
          </cell>
          <cell r="AN68">
            <v>2365.7490000000003</v>
          </cell>
          <cell r="AO68">
            <v>2357.4219999999996</v>
          </cell>
          <cell r="AP68">
            <v>2371.4949999999999</v>
          </cell>
          <cell r="AQ68">
            <v>2395.9970000000003</v>
          </cell>
          <cell r="AR68">
            <v>2526.915</v>
          </cell>
          <cell r="AS68">
            <v>2526.915</v>
          </cell>
          <cell r="AT68">
            <v>2570.6399999999994</v>
          </cell>
          <cell r="AU68">
            <v>2729.5339999999997</v>
          </cell>
          <cell r="AV68">
            <v>2774.9239999999995</v>
          </cell>
          <cell r="AW68">
            <v>2143.9179999999997</v>
          </cell>
          <cell r="AX68">
            <v>2143.9179999999997</v>
          </cell>
          <cell r="AY68">
            <v>2181.3510000000001</v>
          </cell>
          <cell r="AZ68">
            <v>2988.9900000000007</v>
          </cell>
          <cell r="BA68">
            <v>3119.5010169888506</v>
          </cell>
          <cell r="BB68">
            <v>3320.811527692134</v>
          </cell>
          <cell r="BC68">
            <v>3320.811527692134</v>
          </cell>
          <cell r="BD68">
            <v>3487.2457435044257</v>
          </cell>
          <cell r="BE68">
            <v>3846.709196302535</v>
          </cell>
          <cell r="BF68">
            <v>4003.114768279182</v>
          </cell>
          <cell r="BG68">
            <v>4249.622300284318</v>
          </cell>
          <cell r="BH68">
            <v>4249.622300284318</v>
          </cell>
          <cell r="BI68">
            <v>4456.4902632553321</v>
          </cell>
          <cell r="BJ68">
            <v>4884.1721052732555</v>
          </cell>
          <cell r="BK68">
            <v>5072.3844976425644</v>
          </cell>
          <cell r="BL68">
            <v>5400.4734249662069</v>
          </cell>
          <cell r="BM68">
            <v>5400.4734249662069</v>
          </cell>
          <cell r="BN68">
            <v>5699.1220870705401</v>
          </cell>
          <cell r="BO68">
            <v>6228.9083631687536</v>
          </cell>
          <cell r="BP68">
            <v>6453.5399802716311</v>
          </cell>
          <cell r="BQ68">
            <v>6863.301467082918</v>
          </cell>
          <cell r="BR68">
            <v>6863.301467082918</v>
          </cell>
          <cell r="BS68">
            <v>7232.4891517586357</v>
          </cell>
          <cell r="BT68">
            <v>7857.8378980536909</v>
          </cell>
          <cell r="BU68">
            <v>8113.119259124338</v>
          </cell>
          <cell r="BV68">
            <v>8607.6188302008377</v>
          </cell>
          <cell r="BW68">
            <v>8607.6188302008377</v>
          </cell>
          <cell r="BX68">
            <v>9060.6037578329433</v>
          </cell>
          <cell r="BY68">
            <v>9796.7706572637762</v>
          </cell>
          <cell r="BZ68">
            <v>10085.856826092147</v>
          </cell>
          <cell r="CA68">
            <v>10680.533770809314</v>
          </cell>
          <cell r="CB68">
            <v>10680.533770809314</v>
          </cell>
        </row>
        <row r="69">
          <cell r="B69" t="str">
            <v>Accounts payable</v>
          </cell>
          <cell r="C69" t="str">
            <v>ACC_PAY_GQ</v>
          </cell>
          <cell r="D69" t="str">
            <v>USD</v>
          </cell>
          <cell r="F69"/>
          <cell r="G69"/>
          <cell r="H69">
            <v>17.129000000000001</v>
          </cell>
          <cell r="I69">
            <v>32.222999999999999</v>
          </cell>
          <cell r="J69">
            <v>52.110999999999997</v>
          </cell>
          <cell r="K69">
            <v>57.308</v>
          </cell>
          <cell r="L69">
            <v>65.230999999999995</v>
          </cell>
          <cell r="M69">
            <v>83.869</v>
          </cell>
          <cell r="N69">
            <v>73.724999999999994</v>
          </cell>
          <cell r="O69">
            <v>73.724999999999994</v>
          </cell>
          <cell r="P69">
            <v>68.629000000000005</v>
          </cell>
          <cell r="Q69">
            <v>56.27</v>
          </cell>
          <cell r="R69">
            <v>71.405000000000001</v>
          </cell>
          <cell r="S69">
            <v>65.503</v>
          </cell>
          <cell r="T69">
            <v>65.503</v>
          </cell>
          <cell r="U69">
            <v>69.474000000000004</v>
          </cell>
          <cell r="V69">
            <v>69.045000000000002</v>
          </cell>
          <cell r="W69">
            <v>82.596999999999994</v>
          </cell>
          <cell r="X69">
            <v>74.046999999999997</v>
          </cell>
          <cell r="Y69">
            <v>74.046999999999997</v>
          </cell>
          <cell r="Z69">
            <v>83.381</v>
          </cell>
          <cell r="AA69">
            <v>76.542000000000002</v>
          </cell>
          <cell r="AB69">
            <v>68.231999999999999</v>
          </cell>
          <cell r="AC69">
            <v>54.029000000000003</v>
          </cell>
          <cell r="AD69">
            <v>54.029000000000003</v>
          </cell>
          <cell r="AE69">
            <v>48.271999999999998</v>
          </cell>
          <cell r="AF69">
            <v>52.459000000000003</v>
          </cell>
          <cell r="AG69">
            <v>56.637999999999998</v>
          </cell>
          <cell r="AH69">
            <v>47.055999999999997</v>
          </cell>
          <cell r="AI69">
            <v>47.055999999999997</v>
          </cell>
          <cell r="AJ69">
            <v>43.183999999999997</v>
          </cell>
          <cell r="AK69">
            <v>46.9</v>
          </cell>
          <cell r="AL69">
            <v>53.438000000000002</v>
          </cell>
          <cell r="AM69">
            <v>44.930999999999997</v>
          </cell>
          <cell r="AN69">
            <v>44.930999999999997</v>
          </cell>
          <cell r="AO69">
            <v>30.838000000000001</v>
          </cell>
          <cell r="AP69">
            <v>44.07</v>
          </cell>
          <cell r="AQ69">
            <v>34.234999999999999</v>
          </cell>
          <cell r="AR69">
            <v>29.928000000000001</v>
          </cell>
          <cell r="AS69">
            <v>29.928000000000001</v>
          </cell>
          <cell r="AT69">
            <v>35.795000000000002</v>
          </cell>
          <cell r="AU69">
            <v>39.543999999999997</v>
          </cell>
          <cell r="AV69">
            <v>40.286000000000001</v>
          </cell>
          <cell r="AW69">
            <v>45.066000000000003</v>
          </cell>
          <cell r="AX69">
            <v>45.066000000000003</v>
          </cell>
          <cell r="AY69">
            <v>44.698</v>
          </cell>
          <cell r="AZ69">
            <v>45.902999999999999</v>
          </cell>
          <cell r="BA69">
            <v>45.220785285027397</v>
          </cell>
          <cell r="BB69">
            <v>50.958817493372983</v>
          </cell>
          <cell r="BC69">
            <v>50.958817493372983</v>
          </cell>
          <cell r="BD69">
            <v>51.29961391493903</v>
          </cell>
          <cell r="BE69">
            <v>52.988930758017652</v>
          </cell>
          <cell r="BF69">
            <v>51.390258072966013</v>
          </cell>
          <cell r="BG69">
            <v>58.012520951812824</v>
          </cell>
          <cell r="BH69">
            <v>58.012520951812824</v>
          </cell>
          <cell r="BI69">
            <v>59.176701210036924</v>
          </cell>
          <cell r="BJ69">
            <v>60.913113627938927</v>
          </cell>
          <cell r="BK69">
            <v>58.319129681856239</v>
          </cell>
          <cell r="BL69">
            <v>65.840162787135228</v>
          </cell>
          <cell r="BM69">
            <v>65.840162787135228</v>
          </cell>
          <cell r="BN69">
            <v>68.059034914501339</v>
          </cell>
          <cell r="BO69">
            <v>69.798135546345577</v>
          </cell>
          <cell r="BP69">
            <v>65.278831840109234</v>
          </cell>
          <cell r="BQ69">
            <v>74.494010817821618</v>
          </cell>
          <cell r="BR69">
            <v>74.494010817821618</v>
          </cell>
          <cell r="BS69">
            <v>78.036090618345142</v>
          </cell>
          <cell r="BT69">
            <v>79.726874210872538</v>
          </cell>
          <cell r="BU69">
            <v>74.511203543686548</v>
          </cell>
          <cell r="BV69">
            <v>84.042779330398503</v>
          </cell>
          <cell r="BW69">
            <v>84.042779330398503</v>
          </cell>
          <cell r="BX69">
            <v>89.224377380467956</v>
          </cell>
          <cell r="BY69">
            <v>90.804280601245111</v>
          </cell>
          <cell r="BZ69">
            <v>83.881485209523632</v>
          </cell>
          <cell r="CA69">
            <v>94.565923251376773</v>
          </cell>
          <cell r="CB69">
            <v>94.565923251376773</v>
          </cell>
        </row>
        <row r="70">
          <cell r="B70" t="str">
            <v>Short-term debt</v>
          </cell>
          <cell r="C70" t="str">
            <v>SHORT_T_DEBT</v>
          </cell>
          <cell r="D70" t="str">
            <v>USD</v>
          </cell>
          <cell r="F70"/>
          <cell r="G70"/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145.16</v>
          </cell>
          <cell r="AL70">
            <v>145.30799999999999</v>
          </cell>
          <cell r="AM70">
            <v>145.45599999999999</v>
          </cell>
          <cell r="AN70">
            <v>145.45599999999999</v>
          </cell>
          <cell r="AO70">
            <v>145.60499999999999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</row>
        <row r="71">
          <cell r="B71" t="str">
            <v>Current lease liabilities (op lease: US GAAP)</v>
          </cell>
          <cell r="C71" t="str">
            <v>ST_LEASE_LIAB</v>
          </cell>
          <cell r="D71" t="str">
            <v>USD</v>
          </cell>
          <cell r="F71"/>
          <cell r="G71"/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29.968</v>
          </cell>
          <cell r="AA71">
            <v>31.667999999999999</v>
          </cell>
          <cell r="AB71">
            <v>34.371000000000002</v>
          </cell>
          <cell r="AC71">
            <v>36.569000000000003</v>
          </cell>
          <cell r="AD71">
            <v>36.569000000000003</v>
          </cell>
          <cell r="AE71">
            <v>41.08</v>
          </cell>
          <cell r="AF71">
            <v>41.308999999999997</v>
          </cell>
          <cell r="AG71">
            <v>42.411000000000001</v>
          </cell>
          <cell r="AH71">
            <v>42.67</v>
          </cell>
          <cell r="AI71">
            <v>42.67</v>
          </cell>
          <cell r="AJ71">
            <v>43.220999999999997</v>
          </cell>
          <cell r="AK71">
            <v>43.585000000000001</v>
          </cell>
          <cell r="AL71">
            <v>44.170999999999999</v>
          </cell>
          <cell r="AM71">
            <v>39.801000000000002</v>
          </cell>
          <cell r="AN71">
            <v>39.801000000000002</v>
          </cell>
          <cell r="AO71">
            <v>36.295999999999999</v>
          </cell>
          <cell r="AP71">
            <v>34.100999999999999</v>
          </cell>
          <cell r="AQ71">
            <v>31.481000000000002</v>
          </cell>
          <cell r="AR71">
            <v>29.567</v>
          </cell>
          <cell r="AS71">
            <v>29.567</v>
          </cell>
          <cell r="AT71">
            <v>28.917000000000002</v>
          </cell>
          <cell r="AU71">
            <v>29.151</v>
          </cell>
          <cell r="AV71">
            <v>23.884</v>
          </cell>
          <cell r="AW71">
            <v>24.163</v>
          </cell>
          <cell r="AX71">
            <v>24.163</v>
          </cell>
          <cell r="AY71">
            <v>23.620999999999999</v>
          </cell>
          <cell r="AZ71">
            <v>21.818999999999999</v>
          </cell>
          <cell r="BA71">
            <v>21.152523568927403</v>
          </cell>
          <cell r="BB71">
            <v>21.583811230978831</v>
          </cell>
          <cell r="BC71">
            <v>21.583811230978831</v>
          </cell>
          <cell r="BD71">
            <v>26.244679790160831</v>
          </cell>
          <cell r="BE71">
            <v>23.761205590388041</v>
          </cell>
          <cell r="BF71">
            <v>22.67394935784295</v>
          </cell>
          <cell r="BG71">
            <v>23.336690435554459</v>
          </cell>
          <cell r="BH71">
            <v>23.336690435554459</v>
          </cell>
          <cell r="BI71">
            <v>27.548223302919624</v>
          </cell>
          <cell r="BJ71">
            <v>24.364031291198863</v>
          </cell>
          <cell r="BK71">
            <v>22.63429337950695</v>
          </cell>
          <cell r="BL71">
            <v>23.963085831386426</v>
          </cell>
          <cell r="BM71">
            <v>23.963085831386426</v>
          </cell>
          <cell r="BN71">
            <v>31.683170120471061</v>
          </cell>
          <cell r="BO71">
            <v>27.91786295649986</v>
          </cell>
          <cell r="BP71">
            <v>22.114839084939881</v>
          </cell>
          <cell r="BQ71">
            <v>27.112727241015989</v>
          </cell>
          <cell r="BR71">
            <v>27.112727241015989</v>
          </cell>
          <cell r="BS71">
            <v>36.327737202026128</v>
          </cell>
          <cell r="BT71">
            <v>31.889160516204921</v>
          </cell>
          <cell r="BU71">
            <v>22.983788025062037</v>
          </cell>
          <cell r="BV71">
            <v>30.588082552495102</v>
          </cell>
          <cell r="BW71">
            <v>30.588082552495102</v>
          </cell>
          <cell r="BX71">
            <v>41.536162406501404</v>
          </cell>
          <cell r="BY71">
            <v>36.319902270252662</v>
          </cell>
          <cell r="BZ71">
            <v>23.647095999312366</v>
          </cell>
          <cell r="CA71">
            <v>34.418070060419467</v>
          </cell>
          <cell r="CB71">
            <v>34.418070060419467</v>
          </cell>
        </row>
        <row r="72">
          <cell r="B72" t="str">
            <v>Other current liabilities</v>
          </cell>
          <cell r="C72" t="str">
            <v>OTH_CUR_LIABS</v>
          </cell>
          <cell r="D72" t="str">
            <v>USD</v>
          </cell>
          <cell r="F72"/>
          <cell r="G72"/>
          <cell r="H72">
            <v>32.777999999999999</v>
          </cell>
          <cell r="I72">
            <v>73.092999999999989</v>
          </cell>
          <cell r="J72">
            <v>160.65299999999999</v>
          </cell>
          <cell r="K72">
            <v>200.77600000000001</v>
          </cell>
          <cell r="L72">
            <v>229.304</v>
          </cell>
          <cell r="M72">
            <v>272.87</v>
          </cell>
          <cell r="N72">
            <v>237.351</v>
          </cell>
          <cell r="O72">
            <v>237.351</v>
          </cell>
          <cell r="P72">
            <v>250.32400000000001</v>
          </cell>
          <cell r="Q72">
            <v>318.28199999999998</v>
          </cell>
          <cell r="R72">
            <v>316.63600000000002</v>
          </cell>
          <cell r="S72">
            <v>392.72800000000001</v>
          </cell>
          <cell r="T72">
            <v>392.72800000000001</v>
          </cell>
          <cell r="U72">
            <v>401.45600000000002</v>
          </cell>
          <cell r="V72">
            <v>440.30799999999999</v>
          </cell>
          <cell r="W72">
            <v>456.483</v>
          </cell>
          <cell r="X72">
            <v>525.26800000000003</v>
          </cell>
          <cell r="Y72">
            <v>525.26800000000003</v>
          </cell>
          <cell r="Z72">
            <v>541.88099999999997</v>
          </cell>
          <cell r="AA72">
            <v>616.44299999999998</v>
          </cell>
          <cell r="AB72">
            <v>610.78099999999995</v>
          </cell>
          <cell r="AC72">
            <v>669.60500000000002</v>
          </cell>
          <cell r="AD72">
            <v>669.60500000000002</v>
          </cell>
          <cell r="AE72">
            <v>690.226</v>
          </cell>
          <cell r="AF72">
            <v>755.80799999999999</v>
          </cell>
          <cell r="AG72">
            <v>762.04499999999996</v>
          </cell>
          <cell r="AH72">
            <v>838.16200000000003</v>
          </cell>
          <cell r="AI72">
            <v>838.16200000000003</v>
          </cell>
          <cell r="AJ72">
            <v>818.38199999999995</v>
          </cell>
          <cell r="AK72">
            <v>891.38099999999997</v>
          </cell>
          <cell r="AL72">
            <v>892.99799999999993</v>
          </cell>
          <cell r="AM72">
            <v>930.37200000000007</v>
          </cell>
          <cell r="AN72">
            <v>930.37200000000007</v>
          </cell>
          <cell r="AO72">
            <v>935.06</v>
          </cell>
          <cell r="AP72">
            <v>1034.096</v>
          </cell>
          <cell r="AQ72">
            <v>1067.134</v>
          </cell>
          <cell r="AR72">
            <v>1076.6130000000001</v>
          </cell>
          <cell r="AS72">
            <v>1076.6130000000001</v>
          </cell>
          <cell r="AT72">
            <v>1034.8589999999999</v>
          </cell>
          <cell r="AU72">
            <v>1094.127</v>
          </cell>
          <cell r="AV72">
            <v>1119.384</v>
          </cell>
          <cell r="AW72">
            <v>1175.1120000000001</v>
          </cell>
          <cell r="AX72">
            <v>1175.1120000000001</v>
          </cell>
          <cell r="AY72">
            <v>1152.28</v>
          </cell>
          <cell r="AZ72">
            <v>1249.8320000000001</v>
          </cell>
          <cell r="BA72">
            <v>1281.8410999643315</v>
          </cell>
          <cell r="BB72">
            <v>1350.3244011437382</v>
          </cell>
          <cell r="BC72">
            <v>1350.3244011437382</v>
          </cell>
          <cell r="BD72">
            <v>1320.449044680578</v>
          </cell>
          <cell r="BE72">
            <v>1453.3278637935596</v>
          </cell>
          <cell r="BF72">
            <v>1487.1504197351626</v>
          </cell>
          <cell r="BG72">
            <v>1567.0258947855955</v>
          </cell>
          <cell r="BH72">
            <v>1567.0258947855955</v>
          </cell>
          <cell r="BI72">
            <v>1541.5987977489008</v>
          </cell>
          <cell r="BJ72">
            <v>1694.9548258901975</v>
          </cell>
          <cell r="BK72">
            <v>1730.8468713175553</v>
          </cell>
          <cell r="BL72">
            <v>1826.3443242997914</v>
          </cell>
          <cell r="BM72">
            <v>1826.3443242997914</v>
          </cell>
          <cell r="BN72">
            <v>1801.6376659295856</v>
          </cell>
          <cell r="BO72">
            <v>1979.0458707373082</v>
          </cell>
          <cell r="BP72">
            <v>2017.2624140834066</v>
          </cell>
          <cell r="BQ72">
            <v>2127.790889890709</v>
          </cell>
          <cell r="BR72">
            <v>2127.790889890709</v>
          </cell>
          <cell r="BS72">
            <v>2104.6818035802371</v>
          </cell>
          <cell r="BT72">
            <v>2309.7254054450495</v>
          </cell>
          <cell r="BU72">
            <v>2350.4381031861799</v>
          </cell>
          <cell r="BV72">
            <v>2478.2628492087006</v>
          </cell>
          <cell r="BW72">
            <v>2478.2628492087006</v>
          </cell>
          <cell r="BX72">
            <v>2457.8428454121135</v>
          </cell>
          <cell r="BY72">
            <v>2694.6567388406975</v>
          </cell>
          <cell r="BZ72">
            <v>2738.0643095930623</v>
          </cell>
          <cell r="CA72">
            <v>2885.8390056944331</v>
          </cell>
          <cell r="CB72">
            <v>2885.8390056944331</v>
          </cell>
        </row>
        <row r="73">
          <cell r="B73" t="str">
            <v>Total current liabilities</v>
          </cell>
          <cell r="C73" t="str">
            <v>SHORT_TERM_LIABS</v>
          </cell>
          <cell r="D73" t="str">
            <v>USD</v>
          </cell>
          <cell r="F73"/>
          <cell r="G73"/>
          <cell r="H73">
            <v>49.906999999999996</v>
          </cell>
          <cell r="I73">
            <v>105.316</v>
          </cell>
          <cell r="J73">
            <v>212.76400000000001</v>
          </cell>
          <cell r="K73">
            <v>258.084</v>
          </cell>
          <cell r="L73">
            <v>294.53499999999997</v>
          </cell>
          <cell r="M73">
            <v>356.73900000000003</v>
          </cell>
          <cell r="N73">
            <v>311.07599999999996</v>
          </cell>
          <cell r="O73">
            <v>311.07599999999996</v>
          </cell>
          <cell r="P73">
            <v>318.95300000000003</v>
          </cell>
          <cell r="Q73">
            <v>374.55200000000002</v>
          </cell>
          <cell r="R73">
            <v>388.04100000000005</v>
          </cell>
          <cell r="S73">
            <v>458.23099999999999</v>
          </cell>
          <cell r="T73">
            <v>458.23099999999999</v>
          </cell>
          <cell r="U73">
            <v>470.92999999999995</v>
          </cell>
          <cell r="V73">
            <v>509.35299999999995</v>
          </cell>
          <cell r="W73">
            <v>539.08000000000004</v>
          </cell>
          <cell r="X73">
            <v>599.31499999999994</v>
          </cell>
          <cell r="Y73">
            <v>599.31499999999994</v>
          </cell>
          <cell r="Z73">
            <v>655.2299999999999</v>
          </cell>
          <cell r="AA73">
            <v>724.65300000000002</v>
          </cell>
          <cell r="AB73">
            <v>713.3839999999999</v>
          </cell>
          <cell r="AC73">
            <v>760.20299999999997</v>
          </cell>
          <cell r="AD73">
            <v>760.20299999999997</v>
          </cell>
          <cell r="AE73">
            <v>779.57799999999997</v>
          </cell>
          <cell r="AF73">
            <v>849.57600000000002</v>
          </cell>
          <cell r="AG73">
            <v>861.09400000000005</v>
          </cell>
          <cell r="AH73">
            <v>927.88800000000003</v>
          </cell>
          <cell r="AI73">
            <v>927.88800000000003</v>
          </cell>
          <cell r="AJ73">
            <v>904.78700000000003</v>
          </cell>
          <cell r="AK73">
            <v>1127.0260000000001</v>
          </cell>
          <cell r="AL73">
            <v>1135.915</v>
          </cell>
          <cell r="AM73">
            <v>1160.5600000000002</v>
          </cell>
          <cell r="AN73">
            <v>1160.5600000000002</v>
          </cell>
          <cell r="AO73">
            <v>1147.799</v>
          </cell>
          <cell r="AP73">
            <v>1112.2669999999998</v>
          </cell>
          <cell r="AQ73">
            <v>1132.8499999999999</v>
          </cell>
          <cell r="AR73">
            <v>1136.1079999999999</v>
          </cell>
          <cell r="AS73">
            <v>1136.1079999999999</v>
          </cell>
          <cell r="AT73">
            <v>1099.5709999999999</v>
          </cell>
          <cell r="AU73">
            <v>1162.8220000000001</v>
          </cell>
          <cell r="AV73">
            <v>1183.5540000000001</v>
          </cell>
          <cell r="AW73">
            <v>1244.3409999999999</v>
          </cell>
          <cell r="AX73">
            <v>1244.3409999999999</v>
          </cell>
          <cell r="AY73">
            <v>1220.5990000000002</v>
          </cell>
          <cell r="AZ73">
            <v>1317.5540000000001</v>
          </cell>
          <cell r="BA73">
            <v>1348.2144088182863</v>
          </cell>
          <cell r="BB73">
            <v>1422.86702986809</v>
          </cell>
          <cell r="BC73">
            <v>1422.86702986809</v>
          </cell>
          <cell r="BD73">
            <v>1397.9933383856778</v>
          </cell>
          <cell r="BE73">
            <v>1530.0780001419653</v>
          </cell>
          <cell r="BF73">
            <v>1561.2146271659715</v>
          </cell>
          <cell r="BG73">
            <v>1648.3751061729627</v>
          </cell>
          <cell r="BH73">
            <v>1648.3751061729627</v>
          </cell>
          <cell r="BI73">
            <v>1628.3237222618575</v>
          </cell>
          <cell r="BJ73">
            <v>1780.2319708093353</v>
          </cell>
          <cell r="BK73">
            <v>1811.8002943789184</v>
          </cell>
          <cell r="BL73">
            <v>1916.147572918313</v>
          </cell>
          <cell r="BM73">
            <v>1916.147572918313</v>
          </cell>
          <cell r="BN73">
            <v>1901.379870964558</v>
          </cell>
          <cell r="BO73">
            <v>2076.7618692401538</v>
          </cell>
          <cell r="BP73">
            <v>2104.6560850084556</v>
          </cell>
          <cell r="BQ73">
            <v>2229.3976279495464</v>
          </cell>
          <cell r="BR73">
            <v>2229.3976279495464</v>
          </cell>
          <cell r="BS73">
            <v>2219.0456314006087</v>
          </cell>
          <cell r="BT73">
            <v>2421.341440172127</v>
          </cell>
          <cell r="BU73">
            <v>2447.9330947549283</v>
          </cell>
          <cell r="BV73">
            <v>2592.8937110915945</v>
          </cell>
          <cell r="BW73">
            <v>2592.8937110915945</v>
          </cell>
          <cell r="BX73">
            <v>2588.6033851990828</v>
          </cell>
          <cell r="BY73">
            <v>2821.7809217121949</v>
          </cell>
          <cell r="BZ73">
            <v>2845.5928908018982</v>
          </cell>
          <cell r="CA73">
            <v>3014.8229990062291</v>
          </cell>
          <cell r="CB73">
            <v>3014.8229990062291</v>
          </cell>
        </row>
        <row r="74">
          <cell r="B74" t="str">
            <v>Deferred revenue</v>
          </cell>
          <cell r="C74" t="str">
            <v>TOT_DEF_REV</v>
          </cell>
          <cell r="D74" t="str">
            <v>USD</v>
          </cell>
          <cell r="F74"/>
          <cell r="G74"/>
          <cell r="H74">
            <v>36.477000000000004</v>
          </cell>
          <cell r="I74">
            <v>103.598</v>
          </cell>
          <cell r="J74">
            <v>296.46499999999997</v>
          </cell>
          <cell r="K74">
            <v>375.43100000000004</v>
          </cell>
          <cell r="L74">
            <v>420.61599999999999</v>
          </cell>
          <cell r="M74">
            <v>463</v>
          </cell>
          <cell r="N74">
            <v>369.05599999999998</v>
          </cell>
          <cell r="O74">
            <v>369.05599999999998</v>
          </cell>
          <cell r="P74">
            <v>408.84400000000005</v>
          </cell>
          <cell r="Q74">
            <v>478</v>
          </cell>
          <cell r="R74">
            <v>539.88900000000001</v>
          </cell>
          <cell r="S74">
            <v>631.20700000000011</v>
          </cell>
          <cell r="T74">
            <v>631.20700000000011</v>
          </cell>
          <cell r="U74">
            <v>701.8</v>
          </cell>
          <cell r="V74">
            <v>779.85899999999992</v>
          </cell>
          <cell r="W74">
            <v>838.26199999999994</v>
          </cell>
          <cell r="X74">
            <v>910.04399999999987</v>
          </cell>
          <cell r="Y74">
            <v>910.04399999999987</v>
          </cell>
          <cell r="Z74">
            <v>975.274</v>
          </cell>
          <cell r="AA74">
            <v>1056.5840000000001</v>
          </cell>
          <cell r="AB74">
            <v>1122.06</v>
          </cell>
          <cell r="AC74">
            <v>1183.441</v>
          </cell>
          <cell r="AD74">
            <v>1183.441</v>
          </cell>
          <cell r="AE74">
            <v>1206.4829999999999</v>
          </cell>
          <cell r="AF74">
            <v>1246.2909999999999</v>
          </cell>
          <cell r="AG74">
            <v>1274.0360000000001</v>
          </cell>
          <cell r="AH74">
            <v>1312.923</v>
          </cell>
          <cell r="AI74">
            <v>1312.923</v>
          </cell>
          <cell r="AJ74">
            <v>1333.3339999999998</v>
          </cell>
          <cell r="AK74">
            <v>1386.8710000000001</v>
          </cell>
          <cell r="AL74">
            <v>1431.98</v>
          </cell>
          <cell r="AM74">
            <v>1445.538</v>
          </cell>
          <cell r="AN74">
            <v>1445.538</v>
          </cell>
          <cell r="AO74">
            <v>1481.576</v>
          </cell>
          <cell r="AP74">
            <v>1526.3110000000001</v>
          </cell>
          <cell r="AQ74">
            <v>1543.34</v>
          </cell>
          <cell r="AR74">
            <v>1595.0319999999999</v>
          </cell>
          <cell r="AS74">
            <v>1595.0319999999999</v>
          </cell>
          <cell r="AT74">
            <v>1645.232</v>
          </cell>
          <cell r="AU74">
            <v>1708.4940000000001</v>
          </cell>
          <cell r="AV74">
            <v>1747.4499999999998</v>
          </cell>
          <cell r="AW74">
            <v>1872.7060000000001</v>
          </cell>
          <cell r="AX74">
            <v>1872.7060000000001</v>
          </cell>
          <cell r="AY74">
            <v>1894.3850000000002</v>
          </cell>
          <cell r="AZ74">
            <v>2019.537</v>
          </cell>
          <cell r="BA74">
            <v>2065.5852058303976</v>
          </cell>
          <cell r="BB74">
            <v>2157.4637360032166</v>
          </cell>
          <cell r="BC74">
            <v>2157.4637360032166</v>
          </cell>
          <cell r="BD74">
            <v>2220.3268759990378</v>
          </cell>
          <cell r="BE74">
            <v>2367.0121322616405</v>
          </cell>
          <cell r="BF74">
            <v>2420.9832463682069</v>
          </cell>
          <cell r="BG74">
            <v>2528.6701050954448</v>
          </cell>
          <cell r="BH74">
            <v>2528.6701050954448</v>
          </cell>
          <cell r="BI74">
            <v>2602.3492776197268</v>
          </cell>
          <cell r="BJ74">
            <v>2774.2727339354506</v>
          </cell>
          <cell r="BK74">
            <v>2837.5299467926156</v>
          </cell>
          <cell r="BL74">
            <v>2963.7450649570847</v>
          </cell>
          <cell r="BM74">
            <v>2963.7450649570847</v>
          </cell>
          <cell r="BN74">
            <v>3050.1012422690001</v>
          </cell>
          <cell r="BO74">
            <v>3251.6053033085714</v>
          </cell>
          <cell r="BP74">
            <v>3325.7463516211137</v>
          </cell>
          <cell r="BQ74">
            <v>3473.6776427884133</v>
          </cell>
          <cell r="BR74">
            <v>3473.6776427884133</v>
          </cell>
          <cell r="BS74">
            <v>3574.8919901328991</v>
          </cell>
          <cell r="BT74">
            <v>3811.0662009449097</v>
          </cell>
          <cell r="BU74">
            <v>3897.9637229286041</v>
          </cell>
          <cell r="BV74">
            <v>4071.3476029635467</v>
          </cell>
          <cell r="BW74">
            <v>4071.3476029635467</v>
          </cell>
          <cell r="BX74">
            <v>4189.9765699611016</v>
          </cell>
          <cell r="BY74">
            <v>4466.7861665762402</v>
          </cell>
          <cell r="BZ74">
            <v>4568.6350006401262</v>
          </cell>
          <cell r="CA74">
            <v>4771.8507612730364</v>
          </cell>
          <cell r="CB74">
            <v>4771.8507612730364</v>
          </cell>
        </row>
        <row r="75">
          <cell r="B75" t="str">
            <v>Long-term  debt</v>
          </cell>
          <cell r="C75" t="str">
            <v>LT_DEBT</v>
          </cell>
          <cell r="D75" t="str">
            <v>USD</v>
          </cell>
          <cell r="F75"/>
          <cell r="G75"/>
          <cell r="H75">
            <v>0</v>
          </cell>
          <cell r="I75">
            <v>0</v>
          </cell>
          <cell r="J75">
            <v>73.260000000000005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415.65100000000001</v>
          </cell>
          <cell r="R75">
            <v>422.56700000000001</v>
          </cell>
          <cell r="S75">
            <v>429.59800000000001</v>
          </cell>
          <cell r="T75">
            <v>429.59800000000001</v>
          </cell>
          <cell r="U75">
            <v>436.745</v>
          </cell>
          <cell r="V75">
            <v>444.012</v>
          </cell>
          <cell r="W75">
            <v>451.399</v>
          </cell>
          <cell r="X75">
            <v>458.91</v>
          </cell>
          <cell r="Y75">
            <v>458.91</v>
          </cell>
          <cell r="Z75">
            <v>466.54500000000002</v>
          </cell>
          <cell r="AA75">
            <v>474.30799999999999</v>
          </cell>
          <cell r="AB75">
            <v>482.19900000000001</v>
          </cell>
          <cell r="AC75">
            <v>490.22199999999998</v>
          </cell>
          <cell r="AD75">
            <v>490.22199999999998</v>
          </cell>
          <cell r="AE75">
            <v>994.63699999999994</v>
          </cell>
          <cell r="AF75">
            <v>1011.725</v>
          </cell>
          <cell r="AG75">
            <v>1038.0129999999999</v>
          </cell>
          <cell r="AH75">
            <v>1055.694</v>
          </cell>
          <cell r="AI75">
            <v>1055.694</v>
          </cell>
          <cell r="AJ75">
            <v>1261.6559999999999</v>
          </cell>
          <cell r="AK75">
            <v>1126.461</v>
          </cell>
          <cell r="AL75">
            <v>1146.05</v>
          </cell>
          <cell r="AM75">
            <v>1156.2049999999999</v>
          </cell>
          <cell r="AN75">
            <v>1156.2049999999999</v>
          </cell>
          <cell r="AO75">
            <v>1176.259</v>
          </cell>
          <cell r="AP75">
            <v>1186.7639999999999</v>
          </cell>
          <cell r="AQ75">
            <v>1207.296</v>
          </cell>
          <cell r="AR75">
            <v>1218.165</v>
          </cell>
          <cell r="AS75">
            <v>1218.165</v>
          </cell>
          <cell r="AT75">
            <v>1239.1890000000001</v>
          </cell>
          <cell r="AU75">
            <v>1250.434</v>
          </cell>
          <cell r="AV75">
            <v>1271.9659999999999</v>
          </cell>
          <cell r="AW75">
            <v>570.07299999999998</v>
          </cell>
          <cell r="AX75">
            <v>570.07299999999998</v>
          </cell>
          <cell r="AY75">
            <v>570.45799999999997</v>
          </cell>
          <cell r="AZ75">
            <v>1341.3879999999999</v>
          </cell>
          <cell r="BA75">
            <v>1341.3879999999999</v>
          </cell>
          <cell r="BB75">
            <v>1341.3879999999999</v>
          </cell>
          <cell r="BC75">
            <v>1341.3879999999999</v>
          </cell>
          <cell r="BD75">
            <v>1341.3879999999999</v>
          </cell>
          <cell r="BE75">
            <v>1341.3879999999999</v>
          </cell>
          <cell r="BF75">
            <v>1341.3879999999999</v>
          </cell>
          <cell r="BG75">
            <v>1341.3879999999999</v>
          </cell>
          <cell r="BH75">
            <v>1341.3879999999999</v>
          </cell>
          <cell r="BI75">
            <v>1341.3879999999999</v>
          </cell>
          <cell r="BJ75">
            <v>1341.3879999999999</v>
          </cell>
          <cell r="BK75">
            <v>1341.3879999999999</v>
          </cell>
          <cell r="BL75">
            <v>1341.3879999999999</v>
          </cell>
          <cell r="BM75">
            <v>1341.3879999999999</v>
          </cell>
          <cell r="BN75">
            <v>1341.3879999999999</v>
          </cell>
          <cell r="BO75">
            <v>1341.3879999999999</v>
          </cell>
          <cell r="BP75">
            <v>1341.3879999999999</v>
          </cell>
          <cell r="BQ75">
            <v>1341.3879999999999</v>
          </cell>
          <cell r="BR75">
            <v>1341.3879999999999</v>
          </cell>
          <cell r="BS75">
            <v>1341.3879999999999</v>
          </cell>
          <cell r="BT75">
            <v>1341.3879999999999</v>
          </cell>
          <cell r="BU75">
            <v>1341.3879999999999</v>
          </cell>
          <cell r="BV75">
            <v>1341.3879999999999</v>
          </cell>
          <cell r="BW75">
            <v>1341.3879999999999</v>
          </cell>
          <cell r="BX75">
            <v>1341.3879999999999</v>
          </cell>
          <cell r="BY75">
            <v>1341.3879999999999</v>
          </cell>
          <cell r="BZ75">
            <v>1341.3879999999999</v>
          </cell>
          <cell r="CA75">
            <v>1341.3879999999999</v>
          </cell>
          <cell r="CB75">
            <v>1341.3879999999999</v>
          </cell>
        </row>
        <row r="76">
          <cell r="B76" t="str">
            <v>Non-current lease liabilities (op lease: US GAAP)</v>
          </cell>
          <cell r="C76" t="str">
            <v>LT_LEASE_LIAB</v>
          </cell>
          <cell r="D76" t="str">
            <v>USD</v>
          </cell>
          <cell r="F76"/>
          <cell r="G76"/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118.41</v>
          </cell>
          <cell r="AA76">
            <v>129.41999999999999</v>
          </cell>
          <cell r="AB76">
            <v>123.47</v>
          </cell>
          <cell r="AC76">
            <v>116.794</v>
          </cell>
          <cell r="AD76">
            <v>116.794</v>
          </cell>
          <cell r="AE76">
            <v>113.491</v>
          </cell>
          <cell r="AF76">
            <v>107.78400000000001</v>
          </cell>
          <cell r="AG76">
            <v>96.341999999999999</v>
          </cell>
          <cell r="AH76">
            <v>86.599000000000004</v>
          </cell>
          <cell r="AI76">
            <v>86.599000000000004</v>
          </cell>
          <cell r="AJ76">
            <v>77.674999999999997</v>
          </cell>
          <cell r="AK76">
            <v>66.016000000000005</v>
          </cell>
          <cell r="AL76">
            <v>54.372999999999998</v>
          </cell>
          <cell r="AM76">
            <v>89.781999999999996</v>
          </cell>
          <cell r="AN76">
            <v>89.781999999999996</v>
          </cell>
          <cell r="AO76">
            <v>81.819999999999993</v>
          </cell>
          <cell r="AP76">
            <v>80.584999999999994</v>
          </cell>
          <cell r="AQ76">
            <v>73.036000000000001</v>
          </cell>
          <cell r="AR76">
            <v>68.94</v>
          </cell>
          <cell r="AS76">
            <v>68.94</v>
          </cell>
          <cell r="AT76">
            <v>72.418999999999997</v>
          </cell>
          <cell r="AU76">
            <v>73.72</v>
          </cell>
          <cell r="AV76">
            <v>79.028000000000006</v>
          </cell>
          <cell r="AW76">
            <v>90.358999999999995</v>
          </cell>
          <cell r="AX76">
            <v>90.358999999999995</v>
          </cell>
          <cell r="AY76">
            <v>100.40900000000001</v>
          </cell>
          <cell r="AZ76">
            <v>93.828000000000003</v>
          </cell>
          <cell r="BA76">
            <v>88.9699655205212</v>
          </cell>
          <cell r="BB76">
            <v>104.64466810599581</v>
          </cell>
          <cell r="BC76">
            <v>104.64466810599581</v>
          </cell>
          <cell r="BD76">
            <v>111.56183282038268</v>
          </cell>
          <cell r="BE76">
            <v>102.18004482950315</v>
          </cell>
          <cell r="BF76">
            <v>95.369258708436163</v>
          </cell>
          <cell r="BG76">
            <v>113.14314229249376</v>
          </cell>
          <cell r="BH76">
            <v>113.14314229249376</v>
          </cell>
          <cell r="BI76">
            <v>117.1029826689326</v>
          </cell>
          <cell r="BJ76">
            <v>104.77236940238356</v>
          </cell>
          <cell r="BK76">
            <v>95.202461067779268</v>
          </cell>
          <cell r="BL76">
            <v>116.18009149476805</v>
          </cell>
          <cell r="BM76">
            <v>116.18009149476805</v>
          </cell>
          <cell r="BN76">
            <v>134.67996395691881</v>
          </cell>
          <cell r="BO76">
            <v>120.05487169359132</v>
          </cell>
          <cell r="BP76">
            <v>93.017576104691045</v>
          </cell>
          <cell r="BQ76">
            <v>131.4504798629969</v>
          </cell>
          <cell r="BR76">
            <v>131.4504798629969</v>
          </cell>
          <cell r="BS76">
            <v>154.42325747082012</v>
          </cell>
          <cell r="BT76">
            <v>137.13259786949337</v>
          </cell>
          <cell r="BU76">
            <v>96.672476050309299</v>
          </cell>
          <cell r="BV76">
            <v>148.30002507205441</v>
          </cell>
          <cell r="BW76">
            <v>148.30002507205441</v>
          </cell>
          <cell r="BX76">
            <v>176.56341946041235</v>
          </cell>
          <cell r="BY76">
            <v>156.1860667406053</v>
          </cell>
          <cell r="BZ76">
            <v>99.462426261509137</v>
          </cell>
          <cell r="CA76">
            <v>166.8689315236459</v>
          </cell>
          <cell r="CB76">
            <v>166.8689315236459</v>
          </cell>
        </row>
        <row r="77">
          <cell r="B77" t="str">
            <v>Other long-term liabilities</v>
          </cell>
          <cell r="C77" t="str">
            <v>OTH_LT_CRED_GQ</v>
          </cell>
          <cell r="D77" t="str">
            <v>USD</v>
          </cell>
          <cell r="F77"/>
          <cell r="G77"/>
          <cell r="H77">
            <v>27.757000000000001</v>
          </cell>
          <cell r="I77">
            <v>68.87</v>
          </cell>
          <cell r="J77">
            <v>178.99799999999999</v>
          </cell>
          <cell r="K77">
            <v>218.51600000000002</v>
          </cell>
          <cell r="L77">
            <v>244.29899999999998</v>
          </cell>
          <cell r="M77">
            <v>266.33</v>
          </cell>
          <cell r="N77">
            <v>210.07299999999998</v>
          </cell>
          <cell r="O77">
            <v>210.07299999999998</v>
          </cell>
          <cell r="P77">
            <v>229.37700000000001</v>
          </cell>
          <cell r="Q77">
            <v>254.51400000000001</v>
          </cell>
          <cell r="R77">
            <v>310.209</v>
          </cell>
          <cell r="S77">
            <v>385.27200000000005</v>
          </cell>
          <cell r="T77">
            <v>385.27200000000005</v>
          </cell>
          <cell r="U77">
            <v>434.09200000000004</v>
          </cell>
          <cell r="V77">
            <v>482.24200000000002</v>
          </cell>
          <cell r="W77">
            <v>505.89400000000001</v>
          </cell>
          <cell r="X77">
            <v>540.92399999999998</v>
          </cell>
          <cell r="Y77">
            <v>540.92399999999998</v>
          </cell>
          <cell r="Z77">
            <v>562.67200000000003</v>
          </cell>
          <cell r="AA77">
            <v>601.03700000000003</v>
          </cell>
          <cell r="AB77">
            <v>638.327</v>
          </cell>
          <cell r="AC77">
            <v>676.30500000000006</v>
          </cell>
          <cell r="AD77">
            <v>676.30500000000006</v>
          </cell>
          <cell r="AE77">
            <v>985.52099999999996</v>
          </cell>
          <cell r="AF77">
            <v>1100.759</v>
          </cell>
          <cell r="AG77">
            <v>1016.876</v>
          </cell>
          <cell r="AH77">
            <v>1219.356</v>
          </cell>
          <cell r="AI77">
            <v>1219.356</v>
          </cell>
          <cell r="AJ77">
            <v>708.83299999999997</v>
          </cell>
          <cell r="AK77">
            <v>721.70399999999995</v>
          </cell>
          <cell r="AL77">
            <v>741.42099999999994</v>
          </cell>
          <cell r="AM77">
            <v>759.7059999999999</v>
          </cell>
          <cell r="AN77">
            <v>759.7059999999999</v>
          </cell>
          <cell r="AO77">
            <v>742.59299999999996</v>
          </cell>
          <cell r="AP77">
            <v>774.56100000000004</v>
          </cell>
          <cell r="AQ77">
            <v>771.88199999999995</v>
          </cell>
          <cell r="AR77">
            <v>811.12099999999998</v>
          </cell>
          <cell r="AS77">
            <v>811.12099999999998</v>
          </cell>
          <cell r="AT77">
            <v>801.67199999999991</v>
          </cell>
          <cell r="AU77">
            <v>854.24</v>
          </cell>
          <cell r="AV77">
            <v>859.83600000000001</v>
          </cell>
          <cell r="AW77">
            <v>967.29300000000001</v>
          </cell>
          <cell r="AX77">
            <v>967.29300000000001</v>
          </cell>
          <cell r="AY77">
            <v>975.18100000000004</v>
          </cell>
          <cell r="AZ77">
            <v>1043.894</v>
          </cell>
          <cell r="BA77">
            <v>1053.6563314346333</v>
          </cell>
          <cell r="BB77">
            <v>1113.0019965634876</v>
          </cell>
          <cell r="BC77">
            <v>1113.0019965634876</v>
          </cell>
          <cell r="BD77">
            <v>1164.9040611441553</v>
          </cell>
          <cell r="BE77">
            <v>1222.6412490197204</v>
          </cell>
          <cell r="BF77">
            <v>1233.4658886418204</v>
          </cell>
          <cell r="BG77">
            <v>1302.6231323188561</v>
          </cell>
          <cell r="BH77">
            <v>1302.6231323188561</v>
          </cell>
          <cell r="BI77">
            <v>1358.5185496062929</v>
          </cell>
          <cell r="BJ77">
            <v>1425.7894636991098</v>
          </cell>
          <cell r="BK77">
            <v>1438.6541935644543</v>
          </cell>
          <cell r="BL77">
            <v>1524.3880213979928</v>
          </cell>
          <cell r="BM77">
            <v>1524.3880213979928</v>
          </cell>
          <cell r="BN77">
            <v>1590.9261847673502</v>
          </cell>
          <cell r="BO77">
            <v>1669.5686669406107</v>
          </cell>
          <cell r="BP77">
            <v>1684.2470495032994</v>
          </cell>
          <cell r="BQ77">
            <v>1783.7385664033948</v>
          </cell>
          <cell r="BR77">
            <v>1783.7385664033948</v>
          </cell>
          <cell r="BS77">
            <v>1862.8758066022206</v>
          </cell>
          <cell r="BT77">
            <v>1954.8243311467804</v>
          </cell>
          <cell r="BU77">
            <v>1971.6671953372938</v>
          </cell>
          <cell r="BV77">
            <v>2087.0611545136312</v>
          </cell>
          <cell r="BW77">
            <v>2087.0611545136312</v>
          </cell>
          <cell r="BX77">
            <v>2181.0970848355296</v>
          </cell>
          <cell r="BY77">
            <v>2288.6208445445582</v>
          </cell>
          <cell r="BZ77">
            <v>2308.0509035247169</v>
          </cell>
          <cell r="CA77">
            <v>2441.8398085574545</v>
          </cell>
          <cell r="CB77">
            <v>2441.8398085574545</v>
          </cell>
        </row>
        <row r="78">
          <cell r="B78" t="str">
            <v>Total long-term liabilities</v>
          </cell>
          <cell r="C78" t="str">
            <v>TOT_LT_LIAB</v>
          </cell>
          <cell r="D78" t="str">
            <v>USD</v>
          </cell>
          <cell r="F78"/>
          <cell r="G78"/>
          <cell r="H78">
            <v>27.757000000000001</v>
          </cell>
          <cell r="I78">
            <v>68.87</v>
          </cell>
          <cell r="J78">
            <v>252.25799999999998</v>
          </cell>
          <cell r="K78">
            <v>218.51600000000002</v>
          </cell>
          <cell r="L78">
            <v>244.29899999999998</v>
          </cell>
          <cell r="M78">
            <v>266.33</v>
          </cell>
          <cell r="N78">
            <v>210.07299999999998</v>
          </cell>
          <cell r="O78">
            <v>210.07299999999998</v>
          </cell>
          <cell r="P78">
            <v>229.37700000000001</v>
          </cell>
          <cell r="Q78">
            <v>670.16499999999996</v>
          </cell>
          <cell r="R78">
            <v>732.77600000000007</v>
          </cell>
          <cell r="S78">
            <v>814.87000000000012</v>
          </cell>
          <cell r="T78">
            <v>814.87000000000012</v>
          </cell>
          <cell r="U78">
            <v>870.83699999999999</v>
          </cell>
          <cell r="V78">
            <v>926.25400000000002</v>
          </cell>
          <cell r="W78">
            <v>957.29300000000001</v>
          </cell>
          <cell r="X78">
            <v>999.83400000000006</v>
          </cell>
          <cell r="Y78">
            <v>999.83400000000006</v>
          </cell>
          <cell r="Z78">
            <v>1147.627</v>
          </cell>
          <cell r="AA78">
            <v>1204.7649999999999</v>
          </cell>
          <cell r="AB78">
            <v>1243.9960000000001</v>
          </cell>
          <cell r="AC78">
            <v>1283.3209999999999</v>
          </cell>
          <cell r="AD78">
            <v>1283.3209999999999</v>
          </cell>
          <cell r="AE78">
            <v>2093.6489999999999</v>
          </cell>
          <cell r="AF78">
            <v>2220.268</v>
          </cell>
          <cell r="AG78">
            <v>2151.2309999999998</v>
          </cell>
          <cell r="AH78">
            <v>2361.6489999999999</v>
          </cell>
          <cell r="AI78">
            <v>2361.6489999999999</v>
          </cell>
          <cell r="AJ78">
            <v>2048.1639999999998</v>
          </cell>
          <cell r="AK78">
            <v>1914.181</v>
          </cell>
          <cell r="AL78">
            <v>1941.8440000000001</v>
          </cell>
          <cell r="AM78">
            <v>2005.6929999999998</v>
          </cell>
          <cell r="AN78">
            <v>2005.6929999999998</v>
          </cell>
          <cell r="AO78">
            <v>2000.672</v>
          </cell>
          <cell r="AP78">
            <v>2041.9099999999999</v>
          </cell>
          <cell r="AQ78">
            <v>2052.2139999999999</v>
          </cell>
          <cell r="AR78">
            <v>2098.2260000000001</v>
          </cell>
          <cell r="AS78">
            <v>2098.2260000000001</v>
          </cell>
          <cell r="AT78">
            <v>2113.2800000000002</v>
          </cell>
          <cell r="AU78">
            <v>2178.3940000000002</v>
          </cell>
          <cell r="AV78">
            <v>2210.83</v>
          </cell>
          <cell r="AW78">
            <v>1627.7249999999999</v>
          </cell>
          <cell r="AX78">
            <v>1627.7249999999999</v>
          </cell>
          <cell r="AY78">
            <v>1646.048</v>
          </cell>
          <cell r="AZ78">
            <v>2479.1099999999997</v>
          </cell>
          <cell r="BA78">
            <v>2484.0142969551544</v>
          </cell>
          <cell r="BB78">
            <v>2559.0346646694834</v>
          </cell>
          <cell r="BC78">
            <v>2559.0346646694834</v>
          </cell>
          <cell r="BD78">
            <v>2617.8538939645377</v>
          </cell>
          <cell r="BE78">
            <v>2666.2092938492233</v>
          </cell>
          <cell r="BF78">
            <v>2670.2231473502561</v>
          </cell>
          <cell r="BG78">
            <v>2757.15427461135</v>
          </cell>
          <cell r="BH78">
            <v>2757.15427461135</v>
          </cell>
          <cell r="BI78">
            <v>2817.0095322752254</v>
          </cell>
          <cell r="BJ78">
            <v>2871.9498331014929</v>
          </cell>
          <cell r="BK78">
            <v>2875.2446546322335</v>
          </cell>
          <cell r="BL78">
            <v>2981.9561128927608</v>
          </cell>
          <cell r="BM78">
            <v>2981.9561128927608</v>
          </cell>
          <cell r="BN78">
            <v>3066.9941487242686</v>
          </cell>
          <cell r="BO78">
            <v>3131.0115386342022</v>
          </cell>
          <cell r="BP78">
            <v>3118.6526256079906</v>
          </cell>
          <cell r="BQ78">
            <v>3256.5770462663913</v>
          </cell>
          <cell r="BR78">
            <v>3256.5770462663913</v>
          </cell>
          <cell r="BS78">
            <v>3358.6870640730403</v>
          </cell>
          <cell r="BT78">
            <v>3433.3449290162735</v>
          </cell>
          <cell r="BU78">
            <v>3409.7276713876031</v>
          </cell>
          <cell r="BV78">
            <v>3576.7491795856859</v>
          </cell>
          <cell r="BW78">
            <v>3576.7491795856859</v>
          </cell>
          <cell r="BX78">
            <v>3699.0485042959417</v>
          </cell>
          <cell r="BY78">
            <v>3786.1949112851635</v>
          </cell>
          <cell r="BZ78">
            <v>3748.9013297862257</v>
          </cell>
          <cell r="CA78">
            <v>3950.0967400811005</v>
          </cell>
          <cell r="CB78">
            <v>3950.0967400811005</v>
          </cell>
        </row>
        <row r="79">
          <cell r="B79" t="str">
            <v>Total liabilities</v>
          </cell>
          <cell r="C79" t="str">
            <v>TOT_LIAB</v>
          </cell>
          <cell r="D79" t="str">
            <v>USD</v>
          </cell>
          <cell r="F79"/>
          <cell r="G79"/>
          <cell r="H79">
            <v>77.664000000000001</v>
          </cell>
          <cell r="I79">
            <v>174.18599999999998</v>
          </cell>
          <cell r="J79">
            <v>465.02199999999993</v>
          </cell>
          <cell r="K79">
            <v>476.6</v>
          </cell>
          <cell r="L79">
            <v>538.83399999999995</v>
          </cell>
          <cell r="M79">
            <v>623.06899999999996</v>
          </cell>
          <cell r="N79">
            <v>521.149</v>
          </cell>
          <cell r="O79">
            <v>521.149</v>
          </cell>
          <cell r="P79">
            <v>548.33000000000004</v>
          </cell>
          <cell r="Q79">
            <v>1044.7170000000001</v>
          </cell>
          <cell r="R79">
            <v>1120.817</v>
          </cell>
          <cell r="S79">
            <v>1273.1009999999999</v>
          </cell>
          <cell r="T79">
            <v>1273.1009999999999</v>
          </cell>
          <cell r="U79">
            <v>1341.7670000000001</v>
          </cell>
          <cell r="V79">
            <v>1435.607</v>
          </cell>
          <cell r="W79">
            <v>1496.3730000000003</v>
          </cell>
          <cell r="X79">
            <v>1599.1490000000001</v>
          </cell>
          <cell r="Y79">
            <v>1599.1490000000001</v>
          </cell>
          <cell r="Z79">
            <v>1802.857</v>
          </cell>
          <cell r="AA79">
            <v>1929.4180000000001</v>
          </cell>
          <cell r="AB79">
            <v>1957.3799999999999</v>
          </cell>
          <cell r="AC79">
            <v>2043.5240000000001</v>
          </cell>
          <cell r="AD79">
            <v>2043.5240000000001</v>
          </cell>
          <cell r="AE79">
            <v>2873.2270000000003</v>
          </cell>
          <cell r="AF79">
            <v>3069.8440000000001</v>
          </cell>
          <cell r="AG79">
            <v>3012.3250000000003</v>
          </cell>
          <cell r="AH79">
            <v>3289.5370000000003</v>
          </cell>
          <cell r="AI79">
            <v>3289.5370000000003</v>
          </cell>
          <cell r="AJ79">
            <v>2952.951</v>
          </cell>
          <cell r="AK79">
            <v>3041.2069999999999</v>
          </cell>
          <cell r="AL79">
            <v>3077.759</v>
          </cell>
          <cell r="AM79">
            <v>3166.2529999999997</v>
          </cell>
          <cell r="AN79">
            <v>3166.2529999999997</v>
          </cell>
          <cell r="AO79">
            <v>3148.471</v>
          </cell>
          <cell r="AP79">
            <v>3154.1769999999997</v>
          </cell>
          <cell r="AQ79">
            <v>3185.0639999999999</v>
          </cell>
          <cell r="AR79">
            <v>3234.3339999999998</v>
          </cell>
          <cell r="AS79">
            <v>3234.3339999999998</v>
          </cell>
          <cell r="AT79">
            <v>3212.8510000000001</v>
          </cell>
          <cell r="AU79">
            <v>3341.2160000000003</v>
          </cell>
          <cell r="AV79">
            <v>3394.384</v>
          </cell>
          <cell r="AW79">
            <v>2872.0659999999998</v>
          </cell>
          <cell r="AX79">
            <v>2872.0659999999998</v>
          </cell>
          <cell r="AY79">
            <v>2866.6470000000004</v>
          </cell>
          <cell r="AZ79">
            <v>3796.6639999999998</v>
          </cell>
          <cell r="BA79">
            <v>3832.2287057734407</v>
          </cell>
          <cell r="BB79">
            <v>3981.9016945375729</v>
          </cell>
          <cell r="BC79">
            <v>3981.9016945375729</v>
          </cell>
          <cell r="BD79">
            <v>4015.847232350216</v>
          </cell>
          <cell r="BE79">
            <v>4196.2872939911886</v>
          </cell>
          <cell r="BF79">
            <v>4231.4377745162274</v>
          </cell>
          <cell r="BG79">
            <v>4405.5293807843127</v>
          </cell>
          <cell r="BH79">
            <v>4405.5293807843127</v>
          </cell>
          <cell r="BI79">
            <v>4445.3332545370831</v>
          </cell>
          <cell r="BJ79">
            <v>4652.1818039108284</v>
          </cell>
          <cell r="BK79">
            <v>4687.0449490111514</v>
          </cell>
          <cell r="BL79">
            <v>4898.1036858110738</v>
          </cell>
          <cell r="BM79">
            <v>4898.1036858110738</v>
          </cell>
          <cell r="BN79">
            <v>4968.3740196888275</v>
          </cell>
          <cell r="BO79">
            <v>5207.7734078743551</v>
          </cell>
          <cell r="BP79">
            <v>5223.3087106164458</v>
          </cell>
          <cell r="BQ79">
            <v>5485.9746742159386</v>
          </cell>
          <cell r="BR79">
            <v>5485.9746742159386</v>
          </cell>
          <cell r="BS79">
            <v>5577.7326954736491</v>
          </cell>
          <cell r="BT79">
            <v>5854.6863691884009</v>
          </cell>
          <cell r="BU79">
            <v>5857.6607661425323</v>
          </cell>
          <cell r="BV79">
            <v>6169.6428906772799</v>
          </cell>
          <cell r="BW79">
            <v>6169.6428906772799</v>
          </cell>
          <cell r="BX79">
            <v>6287.651889495025</v>
          </cell>
          <cell r="BY79">
            <v>6607.9758329973583</v>
          </cell>
          <cell r="BZ79">
            <v>6594.4942205881243</v>
          </cell>
          <cell r="CA79">
            <v>6964.9197390873296</v>
          </cell>
          <cell r="CB79">
            <v>6964.9197390873296</v>
          </cell>
        </row>
        <row r="80">
          <cell r="B80" t="str">
            <v>Preferred shares</v>
          </cell>
          <cell r="C80" t="str">
            <v>PREF_SH</v>
          </cell>
          <cell r="D80" t="str">
            <v>USD</v>
          </cell>
          <cell r="F80"/>
          <cell r="G80"/>
          <cell r="H80">
            <v>172.07499999999999</v>
          </cell>
          <cell r="I80">
            <v>310.37900000000002</v>
          </cell>
          <cell r="J80">
            <v>310.37900000000002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</row>
        <row r="81">
          <cell r="B81" t="str">
            <v>Total common equity</v>
          </cell>
          <cell r="C81" t="str">
            <v>ORD_SH_FUND</v>
          </cell>
          <cell r="D81" t="str">
            <v>USD</v>
          </cell>
          <cell r="F81"/>
          <cell r="G81"/>
          <cell r="H81">
            <v>-234.73400000000004</v>
          </cell>
          <cell r="I81">
            <v>-234.73400000000004</v>
          </cell>
          <cell r="J81">
            <v>-376.315</v>
          </cell>
          <cell r="K81">
            <v>171.66300000000001</v>
          </cell>
          <cell r="L81">
            <v>131.88300000000004</v>
          </cell>
          <cell r="M81">
            <v>95.237999999999943</v>
          </cell>
          <cell r="N81">
            <v>217.06299999999999</v>
          </cell>
          <cell r="O81">
            <v>217.06299999999999</v>
          </cell>
          <cell r="P81">
            <v>216.58000000000004</v>
          </cell>
          <cell r="Q81">
            <v>300.47899999999981</v>
          </cell>
          <cell r="R81">
            <v>354.5809999999999</v>
          </cell>
          <cell r="S81">
            <v>326.77899999999977</v>
          </cell>
          <cell r="T81">
            <v>326.77899999999977</v>
          </cell>
          <cell r="U81">
            <v>431.31899999999996</v>
          </cell>
          <cell r="V81">
            <v>385.53100000000018</v>
          </cell>
          <cell r="W81">
            <v>305.44600000000014</v>
          </cell>
          <cell r="X81">
            <v>186.89300000000026</v>
          </cell>
          <cell r="Y81">
            <v>186.89300000000026</v>
          </cell>
          <cell r="Z81">
            <v>63.528999999999996</v>
          </cell>
          <cell r="AA81">
            <v>-66.101999999999634</v>
          </cell>
          <cell r="AB81">
            <v>-184.03899999999976</v>
          </cell>
          <cell r="AC81">
            <v>-274.97699999999986</v>
          </cell>
          <cell r="AD81">
            <v>-274.97699999999986</v>
          </cell>
          <cell r="AE81">
            <v>-557.35500000000002</v>
          </cell>
          <cell r="AF81">
            <v>-758.39199999999983</v>
          </cell>
          <cell r="AG81">
            <v>-746.77399999999943</v>
          </cell>
          <cell r="AH81">
            <v>-1012.0409999999997</v>
          </cell>
          <cell r="AI81">
            <v>-1012.0409999999997</v>
          </cell>
          <cell r="AJ81">
            <v>-698.73900000000003</v>
          </cell>
          <cell r="AK81">
            <v>-725.61699999999973</v>
          </cell>
          <cell r="AL81">
            <v>-721.86599999999999</v>
          </cell>
          <cell r="AM81">
            <v>-800.50400000000036</v>
          </cell>
          <cell r="AN81">
            <v>-800.50400000000036</v>
          </cell>
          <cell r="AO81">
            <v>-791.04899999999998</v>
          </cell>
          <cell r="AP81">
            <v>-782.68200000000024</v>
          </cell>
          <cell r="AQ81">
            <v>-789.06700000000046</v>
          </cell>
          <cell r="AR81">
            <v>-707.41899999999941</v>
          </cell>
          <cell r="AS81">
            <v>-707.41899999999941</v>
          </cell>
          <cell r="AT81">
            <v>-642.21100000000024</v>
          </cell>
          <cell r="AU81">
            <v>-611.68199999999979</v>
          </cell>
          <cell r="AV81">
            <v>-619.46000000000049</v>
          </cell>
          <cell r="AW81">
            <v>-728.14800000000014</v>
          </cell>
          <cell r="AX81">
            <v>-728.14800000000014</v>
          </cell>
          <cell r="AY81">
            <v>-685.29600000000028</v>
          </cell>
          <cell r="AZ81">
            <v>-807.67399999999907</v>
          </cell>
          <cell r="BA81">
            <v>-712.72768878458919</v>
          </cell>
          <cell r="BB81">
            <v>-661.09016684543894</v>
          </cell>
          <cell r="BC81">
            <v>-661.09016684543894</v>
          </cell>
          <cell r="BD81">
            <v>-528.60148884578848</v>
          </cell>
          <cell r="BE81">
            <v>-349.57809768865263</v>
          </cell>
          <cell r="BF81">
            <v>-228.32300623704486</v>
          </cell>
          <cell r="BG81">
            <v>-155.90708049999375</v>
          </cell>
          <cell r="BH81">
            <v>-155.90708049999375</v>
          </cell>
          <cell r="BI81">
            <v>11.157008718249017</v>
          </cell>
          <cell r="BJ81">
            <v>231.99030136242618</v>
          </cell>
          <cell r="BK81">
            <v>385.33954863141116</v>
          </cell>
          <cell r="BL81">
            <v>502.36973915513136</v>
          </cell>
          <cell r="BM81">
            <v>502.36973915513136</v>
          </cell>
          <cell r="BN81">
            <v>730.74806738171173</v>
          </cell>
          <cell r="BO81">
            <v>1021.1349552943957</v>
          </cell>
          <cell r="BP81">
            <v>1230.2312696551826</v>
          </cell>
          <cell r="BQ81">
            <v>1377.3267928669793</v>
          </cell>
          <cell r="BR81">
            <v>1377.3267928669793</v>
          </cell>
          <cell r="BS81">
            <v>1654.7564562849843</v>
          </cell>
          <cell r="BT81">
            <v>2003.1515288652895</v>
          </cell>
          <cell r="BU81">
            <v>2255.4584929818066</v>
          </cell>
          <cell r="BV81">
            <v>2437.9759395235592</v>
          </cell>
          <cell r="BW81">
            <v>2437.9759395235592</v>
          </cell>
          <cell r="BX81">
            <v>2772.9518683379183</v>
          </cell>
          <cell r="BY81">
            <v>3188.7948242664188</v>
          </cell>
          <cell r="BZ81">
            <v>3491.3626055040195</v>
          </cell>
          <cell r="CA81">
            <v>3715.6140317219838</v>
          </cell>
          <cell r="CB81">
            <v>3715.6140317219838</v>
          </cell>
        </row>
        <row r="82">
          <cell r="B82" t="str">
            <v>Minority interest</v>
          </cell>
          <cell r="C82" t="str">
            <v>MINORITIES</v>
          </cell>
          <cell r="D82" t="str">
            <v>USD</v>
          </cell>
          <cell r="F82"/>
          <cell r="G82"/>
          <cell r="H82"/>
          <cell r="I82"/>
          <cell r="J82"/>
          <cell r="K82"/>
          <cell r="L82"/>
          <cell r="M82"/>
          <cell r="N82"/>
          <cell r="O82"/>
          <cell r="P82"/>
          <cell r="Q82"/>
          <cell r="R82"/>
          <cell r="S82"/>
          <cell r="T82"/>
          <cell r="U82"/>
          <cell r="V82"/>
          <cell r="W82"/>
          <cell r="X82"/>
          <cell r="Y82"/>
          <cell r="Z82"/>
          <cell r="AA82"/>
          <cell r="AB82"/>
          <cell r="AC82"/>
          <cell r="AD82"/>
          <cell r="AE82"/>
          <cell r="AF82"/>
          <cell r="AG82"/>
          <cell r="AH82"/>
          <cell r="AI82"/>
          <cell r="AJ82"/>
          <cell r="AK82"/>
          <cell r="AL82"/>
          <cell r="AM82"/>
          <cell r="AN82"/>
          <cell r="AO82"/>
          <cell r="AP82"/>
          <cell r="AQ82"/>
          <cell r="AR82"/>
          <cell r="AS82"/>
          <cell r="AT82"/>
          <cell r="AU82"/>
          <cell r="AV82"/>
          <cell r="AW82"/>
          <cell r="AX82"/>
          <cell r="AY82"/>
          <cell r="AZ82"/>
          <cell r="BA82"/>
          <cell r="BB82"/>
          <cell r="BC82"/>
          <cell r="BD82"/>
          <cell r="BE82"/>
          <cell r="BF82"/>
          <cell r="BG82"/>
          <cell r="BH82"/>
          <cell r="BI82"/>
          <cell r="BJ82"/>
          <cell r="BK82"/>
          <cell r="BL82"/>
          <cell r="BM82"/>
          <cell r="BN82"/>
          <cell r="BO82"/>
          <cell r="BP82"/>
          <cell r="BQ82"/>
          <cell r="BR82"/>
          <cell r="BS82"/>
          <cell r="BT82"/>
          <cell r="BU82"/>
          <cell r="BV82"/>
          <cell r="BW82"/>
          <cell r="BX82"/>
          <cell r="BY82"/>
          <cell r="BZ82"/>
          <cell r="CA82"/>
          <cell r="CB82"/>
        </row>
        <row r="83">
          <cell r="B83" t="str">
            <v>Total shareholders' equity</v>
          </cell>
          <cell r="C83" t="str">
            <v>EQ</v>
          </cell>
          <cell r="D83" t="str">
            <v>USD</v>
          </cell>
          <cell r="F83"/>
          <cell r="G83"/>
          <cell r="H83">
            <v>41.300000000000011</v>
          </cell>
          <cell r="I83">
            <v>75.644999999999982</v>
          </cell>
          <cell r="J83">
            <v>-65.935999999999979</v>
          </cell>
          <cell r="K83">
            <v>171.66300000000001</v>
          </cell>
          <cell r="L83">
            <v>131.88300000000004</v>
          </cell>
          <cell r="M83">
            <v>95.237999999999943</v>
          </cell>
          <cell r="N83">
            <v>217.06299999999999</v>
          </cell>
          <cell r="O83">
            <v>217.06299999999999</v>
          </cell>
          <cell r="P83">
            <v>216.58000000000004</v>
          </cell>
          <cell r="Q83">
            <v>300.47899999999981</v>
          </cell>
          <cell r="R83">
            <v>354.5809999999999</v>
          </cell>
          <cell r="S83">
            <v>326.77899999999977</v>
          </cell>
          <cell r="T83">
            <v>326.77899999999977</v>
          </cell>
          <cell r="U83">
            <v>431.31899999999996</v>
          </cell>
          <cell r="V83">
            <v>385.53100000000018</v>
          </cell>
          <cell r="W83">
            <v>305.44600000000014</v>
          </cell>
          <cell r="X83">
            <v>186.89300000000026</v>
          </cell>
          <cell r="Y83">
            <v>186.89300000000026</v>
          </cell>
          <cell r="Z83">
            <v>63.528999999999996</v>
          </cell>
          <cell r="AA83">
            <v>-66.101999999999634</v>
          </cell>
          <cell r="AB83">
            <v>-184.03899999999976</v>
          </cell>
          <cell r="AC83">
            <v>-274.97699999999986</v>
          </cell>
          <cell r="AD83">
            <v>-274.97699999999986</v>
          </cell>
          <cell r="AE83">
            <v>-557.35500000000002</v>
          </cell>
          <cell r="AF83">
            <v>-758.39199999999983</v>
          </cell>
          <cell r="AG83">
            <v>-746.77399999999943</v>
          </cell>
          <cell r="AH83">
            <v>-1012.0409999999997</v>
          </cell>
          <cell r="AI83">
            <v>-1012.0409999999997</v>
          </cell>
          <cell r="AJ83">
            <v>-698.73900000000003</v>
          </cell>
          <cell r="AK83">
            <v>-725.61699999999973</v>
          </cell>
          <cell r="AL83">
            <v>-721.86599999999999</v>
          </cell>
          <cell r="AM83">
            <v>-800.50400000000036</v>
          </cell>
          <cell r="AN83">
            <v>-800.50400000000036</v>
          </cell>
          <cell r="AO83">
            <v>-791.04899999999998</v>
          </cell>
          <cell r="AP83">
            <v>-782.68200000000024</v>
          </cell>
          <cell r="AQ83">
            <v>-789.06700000000046</v>
          </cell>
          <cell r="AR83">
            <v>-707.41899999999941</v>
          </cell>
          <cell r="AS83">
            <v>-707.41899999999941</v>
          </cell>
          <cell r="AT83">
            <v>-642.21100000000024</v>
          </cell>
          <cell r="AU83">
            <v>-611.68199999999979</v>
          </cell>
          <cell r="AV83">
            <v>-619.46000000000049</v>
          </cell>
          <cell r="AW83">
            <v>-728.14800000000014</v>
          </cell>
          <cell r="AX83">
            <v>-728.14800000000014</v>
          </cell>
          <cell r="AY83">
            <v>-685.29600000000028</v>
          </cell>
          <cell r="AZ83">
            <v>-807.67399999999907</v>
          </cell>
          <cell r="BA83">
            <v>-712.72768878458919</v>
          </cell>
          <cell r="BB83">
            <v>-661.09016684543894</v>
          </cell>
          <cell r="BC83">
            <v>-661.09016684543894</v>
          </cell>
          <cell r="BD83">
            <v>-528.60148884578848</v>
          </cell>
          <cell r="BE83">
            <v>-349.57809768865263</v>
          </cell>
          <cell r="BF83">
            <v>-228.32300623704486</v>
          </cell>
          <cell r="BG83">
            <v>-155.90708049999375</v>
          </cell>
          <cell r="BH83">
            <v>-155.90708049999375</v>
          </cell>
          <cell r="BI83">
            <v>11.157008718249017</v>
          </cell>
          <cell r="BJ83">
            <v>231.99030136242618</v>
          </cell>
          <cell r="BK83">
            <v>385.33954863141116</v>
          </cell>
          <cell r="BL83">
            <v>502.36973915513136</v>
          </cell>
          <cell r="BM83">
            <v>502.36973915513136</v>
          </cell>
          <cell r="BN83">
            <v>730.74806738171173</v>
          </cell>
          <cell r="BO83">
            <v>1021.1349552943957</v>
          </cell>
          <cell r="BP83">
            <v>1230.2312696551826</v>
          </cell>
          <cell r="BQ83">
            <v>1377.3267928669793</v>
          </cell>
          <cell r="BR83">
            <v>1377.3267928669793</v>
          </cell>
          <cell r="BS83">
            <v>1654.7564562849843</v>
          </cell>
          <cell r="BT83">
            <v>2003.1515288652895</v>
          </cell>
          <cell r="BU83">
            <v>2255.4584929818066</v>
          </cell>
          <cell r="BV83">
            <v>2437.9759395235592</v>
          </cell>
          <cell r="BW83">
            <v>2437.9759395235592</v>
          </cell>
          <cell r="BX83">
            <v>2772.9518683379183</v>
          </cell>
          <cell r="BY83">
            <v>3188.7948242664188</v>
          </cell>
          <cell r="BZ83">
            <v>3491.3626055040195</v>
          </cell>
          <cell r="CA83">
            <v>3715.6140317219838</v>
          </cell>
          <cell r="CB83">
            <v>3715.6140317219838</v>
          </cell>
        </row>
        <row r="84">
          <cell r="B84" t="str">
            <v>Total liabilities and equity</v>
          </cell>
          <cell r="C84" t="str">
            <v>TOT_LIAB_EQ</v>
          </cell>
          <cell r="D84" t="str">
            <v>USD</v>
          </cell>
          <cell r="F84"/>
          <cell r="G84"/>
          <cell r="H84">
            <v>118.96400000000001</v>
          </cell>
          <cell r="I84">
            <v>249.83099999999996</v>
          </cell>
          <cell r="J84">
            <v>399.08599999999996</v>
          </cell>
          <cell r="K84">
            <v>648.26300000000003</v>
          </cell>
          <cell r="L84">
            <v>670.71699999999998</v>
          </cell>
          <cell r="M84">
            <v>718.3069999999999</v>
          </cell>
          <cell r="N84">
            <v>738.21199999999999</v>
          </cell>
          <cell r="O84">
            <v>738.21199999999999</v>
          </cell>
          <cell r="P84">
            <v>764.91000000000008</v>
          </cell>
          <cell r="Q84">
            <v>1345.1959999999999</v>
          </cell>
          <cell r="R84">
            <v>1475.3979999999999</v>
          </cell>
          <cell r="S84">
            <v>1599.8799999999997</v>
          </cell>
          <cell r="T84">
            <v>1599.8799999999997</v>
          </cell>
          <cell r="U84">
            <v>1773.086</v>
          </cell>
          <cell r="V84">
            <v>1821.1380000000001</v>
          </cell>
          <cell r="W84">
            <v>1801.8190000000004</v>
          </cell>
          <cell r="X84">
            <v>1786.0420000000004</v>
          </cell>
          <cell r="Y84">
            <v>1786.0420000000004</v>
          </cell>
          <cell r="Z84">
            <v>1866.386</v>
          </cell>
          <cell r="AA84">
            <v>1863.3160000000005</v>
          </cell>
          <cell r="AB84">
            <v>1773.3410000000001</v>
          </cell>
          <cell r="AC84">
            <v>1768.5470000000003</v>
          </cell>
          <cell r="AD84">
            <v>1768.5470000000003</v>
          </cell>
          <cell r="AE84">
            <v>2315.8720000000003</v>
          </cell>
          <cell r="AF84">
            <v>2311.4520000000002</v>
          </cell>
          <cell r="AG84">
            <v>2265.5510000000008</v>
          </cell>
          <cell r="AH84">
            <v>2277.4960000000005</v>
          </cell>
          <cell r="AI84">
            <v>2277.4960000000005</v>
          </cell>
          <cell r="AJ84">
            <v>2254.212</v>
          </cell>
          <cell r="AK84">
            <v>2315.59</v>
          </cell>
          <cell r="AL84">
            <v>2355.893</v>
          </cell>
          <cell r="AM84">
            <v>2365.7489999999993</v>
          </cell>
          <cell r="AN84">
            <v>2365.7489999999993</v>
          </cell>
          <cell r="AO84">
            <v>2357.422</v>
          </cell>
          <cell r="AP84">
            <v>2371.4949999999994</v>
          </cell>
          <cell r="AQ84">
            <v>2395.9969999999994</v>
          </cell>
          <cell r="AR84">
            <v>2526.9150000000004</v>
          </cell>
          <cell r="AS84">
            <v>2526.9150000000004</v>
          </cell>
          <cell r="AT84">
            <v>2570.64</v>
          </cell>
          <cell r="AU84">
            <v>2729.5340000000006</v>
          </cell>
          <cell r="AV84">
            <v>2774.9239999999995</v>
          </cell>
          <cell r="AW84">
            <v>2143.9179999999997</v>
          </cell>
          <cell r="AX84">
            <v>2143.9179999999997</v>
          </cell>
          <cell r="AY84">
            <v>2181.3510000000001</v>
          </cell>
          <cell r="AZ84">
            <v>2988.9900000000007</v>
          </cell>
          <cell r="BA84">
            <v>3119.5010169888515</v>
          </cell>
          <cell r="BB84">
            <v>3320.811527692134</v>
          </cell>
          <cell r="BC84">
            <v>3320.811527692134</v>
          </cell>
          <cell r="BD84">
            <v>3487.2457435044275</v>
          </cell>
          <cell r="BE84">
            <v>3846.7091963025359</v>
          </cell>
          <cell r="BF84">
            <v>4003.1147682791825</v>
          </cell>
          <cell r="BG84">
            <v>4249.622300284319</v>
          </cell>
          <cell r="BH84">
            <v>4249.622300284319</v>
          </cell>
          <cell r="BI84">
            <v>4456.4902632553321</v>
          </cell>
          <cell r="BJ84">
            <v>4884.1721052732546</v>
          </cell>
          <cell r="BK84">
            <v>5072.3844976425626</v>
          </cell>
          <cell r="BL84">
            <v>5400.4734249662051</v>
          </cell>
          <cell r="BM84">
            <v>5400.4734249662051</v>
          </cell>
          <cell r="BN84">
            <v>5699.1220870705392</v>
          </cell>
          <cell r="BO84">
            <v>6228.9083631687508</v>
          </cell>
          <cell r="BP84">
            <v>6453.5399802716283</v>
          </cell>
          <cell r="BQ84">
            <v>6863.301467082918</v>
          </cell>
          <cell r="BR84">
            <v>6863.301467082918</v>
          </cell>
          <cell r="BS84">
            <v>7232.4891517586329</v>
          </cell>
          <cell r="BT84">
            <v>7857.8378980536909</v>
          </cell>
          <cell r="BU84">
            <v>8113.1192591243389</v>
          </cell>
          <cell r="BV84">
            <v>8607.6188302008395</v>
          </cell>
          <cell r="BW84">
            <v>8607.6188302008395</v>
          </cell>
          <cell r="BX84">
            <v>9060.6037578329433</v>
          </cell>
          <cell r="BY84">
            <v>9796.7706572637762</v>
          </cell>
          <cell r="BZ84">
            <v>10085.856826092144</v>
          </cell>
          <cell r="CA84">
            <v>10680.533770809314</v>
          </cell>
          <cell r="CB84">
            <v>10680.533770809314</v>
          </cell>
        </row>
        <row r="85">
          <cell r="A85" t="str">
            <v>Additional Balance Sheet Items</v>
          </cell>
          <cell r="B85"/>
          <cell r="C85"/>
          <cell r="D85"/>
        </row>
        <row r="86">
          <cell r="B86" t="str">
            <v>Total US$ debt (in US$)</v>
          </cell>
          <cell r="C86" t="str">
            <v>TOT_USD_DEBT</v>
          </cell>
          <cell r="F86"/>
          <cell r="G86"/>
          <cell r="H86"/>
          <cell r="I86"/>
          <cell r="J86"/>
          <cell r="K86"/>
          <cell r="L86"/>
          <cell r="M86"/>
          <cell r="N86"/>
          <cell r="O86"/>
          <cell r="P86"/>
          <cell r="Q86"/>
          <cell r="R86"/>
          <cell r="S86"/>
          <cell r="T86"/>
          <cell r="U86"/>
          <cell r="V86"/>
          <cell r="W86"/>
          <cell r="X86"/>
          <cell r="Y86"/>
          <cell r="Z86"/>
          <cell r="AA86"/>
          <cell r="AB86"/>
          <cell r="AC86"/>
          <cell r="AD86"/>
          <cell r="AE86"/>
          <cell r="AF86"/>
          <cell r="AG86"/>
          <cell r="AH86"/>
          <cell r="AI86"/>
          <cell r="AJ86"/>
          <cell r="AK86"/>
          <cell r="AL86"/>
          <cell r="AM86"/>
          <cell r="AN86"/>
          <cell r="AO86"/>
          <cell r="AP86"/>
          <cell r="AQ86"/>
          <cell r="AR86"/>
          <cell r="AS86"/>
          <cell r="AT86"/>
          <cell r="AU86"/>
          <cell r="AV86"/>
          <cell r="AW86"/>
          <cell r="AX86"/>
          <cell r="AY86"/>
          <cell r="AZ86"/>
          <cell r="BA86"/>
          <cell r="BB86"/>
          <cell r="BC86"/>
          <cell r="BD86"/>
          <cell r="BE86"/>
          <cell r="BF86"/>
          <cell r="BG86"/>
          <cell r="BH86"/>
          <cell r="BI86"/>
          <cell r="BJ86"/>
          <cell r="BK86"/>
          <cell r="BL86"/>
          <cell r="BM86"/>
          <cell r="BN86"/>
          <cell r="BO86"/>
          <cell r="BP86"/>
          <cell r="BQ86"/>
          <cell r="BR86"/>
          <cell r="BS86"/>
          <cell r="BT86"/>
          <cell r="BU86"/>
          <cell r="BV86"/>
          <cell r="BW86"/>
          <cell r="BX86"/>
          <cell r="BY86"/>
          <cell r="BZ86"/>
          <cell r="CA86"/>
          <cell r="CB86"/>
        </row>
        <row r="87">
          <cell r="B87" t="str">
            <v>% US$ debt hedged (principal)</v>
          </cell>
          <cell r="C87" t="str">
            <v>TOT_PCT_USD_DEBT_HEDGED</v>
          </cell>
          <cell r="F87"/>
          <cell r="G87"/>
          <cell r="H87"/>
          <cell r="I87"/>
          <cell r="J87"/>
          <cell r="K87"/>
          <cell r="L87"/>
          <cell r="M87"/>
          <cell r="N87"/>
          <cell r="O87"/>
          <cell r="P87"/>
          <cell r="Q87"/>
          <cell r="R87"/>
          <cell r="S87"/>
          <cell r="T87"/>
          <cell r="U87"/>
          <cell r="V87"/>
          <cell r="W87"/>
          <cell r="X87"/>
          <cell r="Y87"/>
          <cell r="Z87"/>
          <cell r="AA87"/>
          <cell r="AB87"/>
          <cell r="AC87"/>
          <cell r="AD87"/>
          <cell r="AE87"/>
          <cell r="AF87"/>
          <cell r="AG87"/>
          <cell r="AH87"/>
          <cell r="AI87"/>
          <cell r="AJ87"/>
          <cell r="AK87"/>
          <cell r="AL87"/>
          <cell r="AM87"/>
          <cell r="AN87"/>
          <cell r="AO87"/>
          <cell r="AP87"/>
          <cell r="AQ87"/>
          <cell r="AR87"/>
          <cell r="AS87"/>
          <cell r="AT87"/>
          <cell r="AU87"/>
          <cell r="AV87"/>
          <cell r="AW87"/>
          <cell r="AX87"/>
          <cell r="AY87"/>
          <cell r="AZ87"/>
          <cell r="BA87"/>
          <cell r="BB87"/>
          <cell r="BC87"/>
          <cell r="BD87"/>
          <cell r="BE87"/>
          <cell r="BF87"/>
          <cell r="BG87"/>
          <cell r="BH87"/>
          <cell r="BI87"/>
          <cell r="BJ87"/>
          <cell r="BK87"/>
          <cell r="BL87"/>
          <cell r="BM87"/>
          <cell r="BN87"/>
          <cell r="BO87"/>
          <cell r="BP87"/>
          <cell r="BQ87"/>
          <cell r="BR87"/>
          <cell r="BS87"/>
          <cell r="BT87"/>
          <cell r="BU87"/>
          <cell r="BV87"/>
          <cell r="BW87"/>
          <cell r="BX87"/>
          <cell r="BY87"/>
          <cell r="BZ87"/>
          <cell r="CA87"/>
          <cell r="CB87"/>
        </row>
        <row r="88">
          <cell r="B88" t="str">
            <v>% Floating debt (local currency debt)</v>
          </cell>
          <cell r="C88" t="str">
            <v>FLOATING_PCT_LOCAL_DEBT</v>
          </cell>
          <cell r="F88"/>
          <cell r="G88"/>
          <cell r="H88"/>
          <cell r="I88"/>
          <cell r="J88"/>
          <cell r="K88"/>
          <cell r="L88"/>
          <cell r="M88"/>
          <cell r="N88"/>
          <cell r="O88"/>
          <cell r="P88"/>
          <cell r="Q88"/>
          <cell r="R88"/>
          <cell r="S88"/>
          <cell r="T88"/>
          <cell r="U88"/>
          <cell r="V88"/>
          <cell r="W88"/>
          <cell r="X88"/>
          <cell r="Y88"/>
          <cell r="Z88"/>
          <cell r="AA88"/>
          <cell r="AB88"/>
          <cell r="AC88"/>
          <cell r="AD88"/>
          <cell r="AE88"/>
          <cell r="AF88"/>
          <cell r="AG88"/>
          <cell r="AH88"/>
          <cell r="AI88"/>
          <cell r="AJ88"/>
          <cell r="AK88"/>
          <cell r="AL88"/>
          <cell r="AM88"/>
          <cell r="AN88"/>
          <cell r="AO88"/>
          <cell r="AP88"/>
          <cell r="AQ88"/>
          <cell r="AR88"/>
          <cell r="AS88"/>
          <cell r="AT88"/>
          <cell r="AU88"/>
          <cell r="AV88"/>
          <cell r="AW88"/>
          <cell r="AX88"/>
          <cell r="AY88"/>
          <cell r="AZ88"/>
          <cell r="BA88"/>
          <cell r="BB88"/>
          <cell r="BC88"/>
          <cell r="BD88"/>
          <cell r="BE88"/>
          <cell r="BF88"/>
          <cell r="BG88"/>
          <cell r="BH88"/>
          <cell r="BI88"/>
          <cell r="BJ88"/>
          <cell r="BK88"/>
          <cell r="BL88"/>
          <cell r="BM88"/>
          <cell r="BN88"/>
          <cell r="BO88"/>
          <cell r="BP88"/>
          <cell r="BQ88"/>
          <cell r="BR88"/>
          <cell r="BS88"/>
          <cell r="BT88"/>
          <cell r="BU88"/>
          <cell r="BV88"/>
          <cell r="BW88"/>
          <cell r="BX88"/>
          <cell r="BY88"/>
          <cell r="BZ88"/>
          <cell r="CA88"/>
          <cell r="CB88"/>
        </row>
        <row r="89">
          <cell r="B89" t="str">
            <v>% floating debt hedged (rates)</v>
          </cell>
          <cell r="C89" t="str">
            <v>FLOATING_PCT_LOCAL_DEBT_HEDGED</v>
          </cell>
          <cell r="F89"/>
          <cell r="G89"/>
          <cell r="H89"/>
          <cell r="I89"/>
          <cell r="J89"/>
          <cell r="K89"/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/>
          <cell r="AC89"/>
          <cell r="AD89"/>
          <cell r="AE89"/>
          <cell r="AF89"/>
          <cell r="AG89"/>
          <cell r="AH89"/>
          <cell r="AI89"/>
          <cell r="AJ89"/>
          <cell r="AK89"/>
          <cell r="AL89"/>
          <cell r="AM89"/>
          <cell r="AN89"/>
          <cell r="AO89"/>
          <cell r="AP89"/>
          <cell r="AQ89"/>
          <cell r="AR89"/>
          <cell r="AS89"/>
          <cell r="AT89"/>
          <cell r="AU89"/>
          <cell r="AV89"/>
          <cell r="AW89"/>
          <cell r="AX89"/>
          <cell r="AY89"/>
          <cell r="AZ89"/>
          <cell r="BA89"/>
          <cell r="BB89"/>
          <cell r="BC89"/>
          <cell r="BD89"/>
          <cell r="BE89"/>
          <cell r="BF89"/>
          <cell r="BG89"/>
          <cell r="BH89"/>
          <cell r="BI89"/>
          <cell r="BJ89"/>
          <cell r="BK89"/>
          <cell r="BL89"/>
          <cell r="BM89"/>
          <cell r="BN89"/>
          <cell r="BO89"/>
          <cell r="BP89"/>
          <cell r="BQ89"/>
          <cell r="BR89"/>
          <cell r="BS89"/>
          <cell r="BT89"/>
          <cell r="BU89"/>
          <cell r="BV89"/>
          <cell r="BW89"/>
          <cell r="BX89"/>
          <cell r="BY89"/>
          <cell r="BZ89"/>
          <cell r="CA89"/>
          <cell r="CB89"/>
        </row>
        <row r="90">
          <cell r="B90" t="str">
            <v>Net debt</v>
          </cell>
          <cell r="C90" t="str">
            <v>NET_DEBT</v>
          </cell>
          <cell r="D90" t="str">
            <v>USD</v>
          </cell>
          <cell r="F90"/>
          <cell r="G90"/>
          <cell r="H90">
            <v>-57.484999999999999</v>
          </cell>
          <cell r="I90">
            <v>-67.879000000000005</v>
          </cell>
          <cell r="J90">
            <v>-111.94</v>
          </cell>
          <cell r="K90">
            <v>-347.11199999999997</v>
          </cell>
          <cell r="L90">
            <v>-355.15300000000002</v>
          </cell>
          <cell r="M90">
            <v>-350.34500000000003</v>
          </cell>
          <cell r="N90">
            <v>-349.053</v>
          </cell>
          <cell r="O90">
            <v>-349.053</v>
          </cell>
          <cell r="P90">
            <v>-365.94499999999999</v>
          </cell>
          <cell r="Q90">
            <v>-502.60400000000004</v>
          </cell>
          <cell r="R90">
            <v>-500.89699999999993</v>
          </cell>
          <cell r="S90">
            <v>-504.70499999999998</v>
          </cell>
          <cell r="T90">
            <v>-504.70499999999998</v>
          </cell>
          <cell r="U90">
            <v>-528.23</v>
          </cell>
          <cell r="V90">
            <v>-521.91300000000001</v>
          </cell>
          <cell r="W90">
            <v>-489.35300000000001</v>
          </cell>
          <cell r="X90">
            <v>-449.92399999999992</v>
          </cell>
          <cell r="Y90">
            <v>-449.92399999999992</v>
          </cell>
          <cell r="Z90">
            <v>-274.48099999999994</v>
          </cell>
          <cell r="AA90">
            <v>-183.60400000000007</v>
          </cell>
          <cell r="AB90">
            <v>-92.096999999999923</v>
          </cell>
          <cell r="AC90">
            <v>-76.193000000000097</v>
          </cell>
          <cell r="AD90">
            <v>-76.193000000000097</v>
          </cell>
          <cell r="AE90">
            <v>-168.87700000000012</v>
          </cell>
          <cell r="AF90">
            <v>-128.02099999999984</v>
          </cell>
          <cell r="AG90">
            <v>-78.054999999999893</v>
          </cell>
          <cell r="AH90">
            <v>-28.76600000000002</v>
          </cell>
          <cell r="AI90">
            <v>-28.76600000000002</v>
          </cell>
          <cell r="AJ90">
            <v>106.80499999999989</v>
          </cell>
          <cell r="AK90">
            <v>89.44700000000023</v>
          </cell>
          <cell r="AL90">
            <v>89.280000000000086</v>
          </cell>
          <cell r="AM90">
            <v>106.96499999999992</v>
          </cell>
          <cell r="AN90">
            <v>106.96499999999992</v>
          </cell>
          <cell r="AO90">
            <v>51.921999999999969</v>
          </cell>
          <cell r="AP90">
            <v>-9.9140000000002146</v>
          </cell>
          <cell r="AQ90">
            <v>-46.674999999999955</v>
          </cell>
          <cell r="AR90">
            <v>-120.72299999999996</v>
          </cell>
          <cell r="AS90">
            <v>-120.72299999999996</v>
          </cell>
          <cell r="AT90">
            <v>-230.59099999999989</v>
          </cell>
          <cell r="AU90">
            <v>-290.65499999999997</v>
          </cell>
          <cell r="AV90">
            <v>-276.50300000000016</v>
          </cell>
          <cell r="AW90">
            <v>-309.74699999999996</v>
          </cell>
          <cell r="AX90">
            <v>-309.74699999999996</v>
          </cell>
          <cell r="AY90">
            <v>-380.9620000000001</v>
          </cell>
          <cell r="AZ90">
            <v>-285.81200000000024</v>
          </cell>
          <cell r="BA90">
            <v>-359.13865594719175</v>
          </cell>
          <cell r="BB90">
            <v>-574.66911409847182</v>
          </cell>
          <cell r="BC90">
            <v>-574.66911409847182</v>
          </cell>
          <cell r="BD90">
            <v>-744.68458728689177</v>
          </cell>
          <cell r="BE90">
            <v>-954.62138751392501</v>
          </cell>
          <cell r="BF90">
            <v>-1058.8785051495656</v>
          </cell>
          <cell r="BG90">
            <v>-1311.8504043939429</v>
          </cell>
          <cell r="BH90">
            <v>-1311.8504043939429</v>
          </cell>
          <cell r="BI90">
            <v>-1530.2712899964249</v>
          </cell>
          <cell r="BJ90">
            <v>-1790.1336413755021</v>
          </cell>
          <cell r="BK90">
            <v>-1937.0806689143947</v>
          </cell>
          <cell r="BL90">
            <v>-2271.9140912930343</v>
          </cell>
          <cell r="BM90">
            <v>-2271.9140912930343</v>
          </cell>
          <cell r="BN90">
            <v>-2550.1892435088539</v>
          </cell>
          <cell r="BO90">
            <v>-2890.54551417316</v>
          </cell>
          <cell r="BP90">
            <v>-3111.0500005263311</v>
          </cell>
          <cell r="BQ90">
            <v>-3505.7823944974989</v>
          </cell>
          <cell r="BR90">
            <v>-3505.7823944974989</v>
          </cell>
          <cell r="BS90">
            <v>-3844.4270265994719</v>
          </cell>
          <cell r="BT90">
            <v>-4258.1095655280142</v>
          </cell>
          <cell r="BU90">
            <v>-4533.0666813578619</v>
          </cell>
          <cell r="BV90">
            <v>-5007.6193549050122</v>
          </cell>
          <cell r="BW90">
            <v>-5007.6193549050122</v>
          </cell>
          <cell r="BX90">
            <v>-5417.1619289787377</v>
          </cell>
          <cell r="BY90">
            <v>-5918.8820579273188</v>
          </cell>
          <cell r="BZ90">
            <v>-6262.9889616635128</v>
          </cell>
          <cell r="CA90">
            <v>-6824.5529278865743</v>
          </cell>
          <cell r="CB90">
            <v>-6824.5529278865743</v>
          </cell>
        </row>
        <row r="91">
          <cell r="B91" t="str">
            <v>Capitalized operating leases (off-balance sheet)</v>
          </cell>
          <cell r="C91" t="str">
            <v>CAP_LEASES</v>
          </cell>
          <cell r="D91" t="str">
            <v>USD</v>
          </cell>
          <cell r="F91"/>
          <cell r="G91"/>
          <cell r="H91"/>
          <cell r="I91"/>
          <cell r="J91"/>
          <cell r="K91"/>
          <cell r="L91"/>
          <cell r="M91"/>
          <cell r="N91"/>
          <cell r="O91"/>
          <cell r="P91"/>
          <cell r="Q91"/>
          <cell r="R91"/>
          <cell r="S91"/>
          <cell r="T91"/>
          <cell r="U91"/>
          <cell r="V91"/>
          <cell r="W91"/>
          <cell r="X91"/>
          <cell r="Y91"/>
          <cell r="Z91"/>
          <cell r="AA91"/>
          <cell r="AB91"/>
          <cell r="AC91"/>
          <cell r="AD91"/>
          <cell r="AE91"/>
          <cell r="AF91"/>
          <cell r="AG91"/>
          <cell r="AH91"/>
          <cell r="AI91"/>
          <cell r="AJ91"/>
          <cell r="AK91"/>
          <cell r="AL91"/>
          <cell r="AM91"/>
          <cell r="AN91"/>
          <cell r="AO91"/>
          <cell r="AP91"/>
          <cell r="AQ91"/>
          <cell r="AR91"/>
          <cell r="AS91"/>
          <cell r="AT91"/>
          <cell r="AU91"/>
          <cell r="AV91"/>
          <cell r="AW91"/>
          <cell r="AX91"/>
          <cell r="AY91"/>
          <cell r="AZ91"/>
          <cell r="BA91"/>
          <cell r="BB91"/>
          <cell r="BC91"/>
          <cell r="BD91"/>
          <cell r="BE91"/>
          <cell r="BF91"/>
          <cell r="BG91"/>
          <cell r="BH91"/>
          <cell r="BI91"/>
          <cell r="BJ91"/>
          <cell r="BK91"/>
          <cell r="BL91"/>
          <cell r="BM91"/>
          <cell r="BN91"/>
          <cell r="BO91"/>
          <cell r="BP91"/>
          <cell r="BQ91"/>
          <cell r="BR91"/>
          <cell r="BS91"/>
          <cell r="BT91"/>
          <cell r="BU91"/>
          <cell r="BV91"/>
          <cell r="BW91"/>
          <cell r="BX91"/>
          <cell r="BY91"/>
          <cell r="BZ91"/>
          <cell r="CA91"/>
          <cell r="CB91"/>
        </row>
        <row r="92">
          <cell r="B92" t="str">
            <v>Deferred income taxes</v>
          </cell>
          <cell r="C92" t="str">
            <v>DEF_INC_TAX</v>
          </cell>
          <cell r="D92" t="str">
            <v>USD</v>
          </cell>
          <cell r="F92"/>
          <cell r="G92"/>
          <cell r="H92"/>
          <cell r="I92"/>
          <cell r="J92"/>
          <cell r="K92"/>
          <cell r="L92"/>
          <cell r="M92"/>
          <cell r="N92"/>
          <cell r="O92"/>
          <cell r="P92"/>
          <cell r="Q92"/>
          <cell r="R92"/>
          <cell r="S92"/>
          <cell r="T92"/>
          <cell r="U92"/>
          <cell r="V92"/>
          <cell r="W92"/>
          <cell r="X92"/>
          <cell r="Y92"/>
          <cell r="Z92"/>
          <cell r="AA92"/>
          <cell r="AB92"/>
          <cell r="AC92"/>
          <cell r="AD92"/>
          <cell r="AE92"/>
          <cell r="AF92"/>
          <cell r="AG92"/>
          <cell r="AH92"/>
          <cell r="AI92"/>
          <cell r="AJ92"/>
          <cell r="AK92"/>
          <cell r="AL92"/>
          <cell r="AM92"/>
          <cell r="AN92"/>
          <cell r="AO92"/>
          <cell r="AP92"/>
          <cell r="AQ92"/>
          <cell r="AR92"/>
          <cell r="AS92"/>
          <cell r="AT92"/>
          <cell r="AU92"/>
          <cell r="AV92"/>
          <cell r="AW92"/>
          <cell r="AX92"/>
          <cell r="AY92"/>
          <cell r="AZ92"/>
          <cell r="BA92"/>
          <cell r="BB92"/>
          <cell r="BC92"/>
          <cell r="BD92"/>
          <cell r="BE92"/>
          <cell r="BF92"/>
          <cell r="BG92"/>
          <cell r="BH92"/>
          <cell r="BI92"/>
          <cell r="BJ92"/>
          <cell r="BK92"/>
          <cell r="BL92"/>
          <cell r="BM92"/>
          <cell r="BN92"/>
          <cell r="BO92"/>
          <cell r="BP92"/>
          <cell r="BQ92"/>
          <cell r="BR92"/>
          <cell r="BS92"/>
          <cell r="BT92"/>
          <cell r="BU92"/>
          <cell r="BV92"/>
          <cell r="BW92"/>
          <cell r="BX92"/>
          <cell r="BY92"/>
          <cell r="BZ92"/>
          <cell r="CA92"/>
          <cell r="CB92"/>
        </row>
        <row r="93">
          <cell r="B93" t="str">
            <v>Net operating loss carryforwards (NOLs)</v>
          </cell>
          <cell r="C93" t="str">
            <v>NET_OP_LOSS_CFWD</v>
          </cell>
          <cell r="D93" t="str">
            <v>USD</v>
          </cell>
          <cell r="F93"/>
          <cell r="G93"/>
          <cell r="H93"/>
          <cell r="I93"/>
          <cell r="J93"/>
          <cell r="K93"/>
          <cell r="L93"/>
          <cell r="M93"/>
          <cell r="N93"/>
          <cell r="O93"/>
          <cell r="P93"/>
          <cell r="Q93"/>
          <cell r="R93"/>
          <cell r="S93"/>
          <cell r="T93"/>
          <cell r="U93"/>
          <cell r="V93"/>
          <cell r="W93"/>
          <cell r="X93"/>
          <cell r="Y93"/>
          <cell r="Z93"/>
          <cell r="AA93"/>
          <cell r="AB93"/>
          <cell r="AC93"/>
          <cell r="AD93"/>
          <cell r="AE93"/>
          <cell r="AF93"/>
          <cell r="AG93"/>
          <cell r="AH93"/>
          <cell r="AI93"/>
          <cell r="AJ93"/>
          <cell r="AK93"/>
          <cell r="AL93"/>
          <cell r="AM93"/>
          <cell r="AN93"/>
          <cell r="AO93"/>
          <cell r="AP93"/>
          <cell r="AQ93"/>
          <cell r="AR93"/>
          <cell r="AS93"/>
          <cell r="AT93"/>
          <cell r="AU93"/>
          <cell r="AV93"/>
          <cell r="AW93"/>
          <cell r="AX93"/>
          <cell r="AY93"/>
          <cell r="AZ93"/>
          <cell r="BA93"/>
          <cell r="BB93"/>
          <cell r="BC93"/>
          <cell r="BD93"/>
          <cell r="BE93"/>
          <cell r="BF93"/>
          <cell r="BG93"/>
          <cell r="BH93"/>
          <cell r="BI93"/>
          <cell r="BJ93"/>
          <cell r="BK93"/>
          <cell r="BL93"/>
          <cell r="BM93"/>
          <cell r="BN93"/>
          <cell r="BO93"/>
          <cell r="BP93"/>
          <cell r="BQ93"/>
          <cell r="BR93"/>
          <cell r="BS93"/>
          <cell r="BT93"/>
          <cell r="BU93"/>
          <cell r="BV93"/>
          <cell r="BW93"/>
          <cell r="BX93"/>
          <cell r="BY93"/>
          <cell r="BZ93"/>
          <cell r="CA93"/>
          <cell r="CB93"/>
        </row>
        <row r="94">
          <cell r="B94" t="str">
            <v>Associates (mkt value) used in EV calculation</v>
          </cell>
          <cell r="C94" t="str">
            <v>MV_ASSOCIATES</v>
          </cell>
          <cell r="D94" t="str">
            <v>USD</v>
          </cell>
          <cell r="F94"/>
          <cell r="G94"/>
          <cell r="H94"/>
          <cell r="I94"/>
          <cell r="J94"/>
          <cell r="K94"/>
          <cell r="L94"/>
          <cell r="M94"/>
          <cell r="N94"/>
          <cell r="O94"/>
          <cell r="P94"/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B94"/>
          <cell r="AC94"/>
          <cell r="AD94"/>
          <cell r="AE94"/>
          <cell r="AF94"/>
          <cell r="AG94"/>
          <cell r="AH94"/>
          <cell r="AI94"/>
          <cell r="AJ94"/>
          <cell r="AK94"/>
          <cell r="AL94"/>
          <cell r="AM94"/>
          <cell r="AN94"/>
          <cell r="AO94"/>
          <cell r="AP94"/>
          <cell r="AQ94"/>
          <cell r="AR94"/>
          <cell r="AS94"/>
          <cell r="AT94"/>
          <cell r="AU94"/>
          <cell r="AV94"/>
          <cell r="AW94"/>
          <cell r="AX94"/>
          <cell r="AY94"/>
          <cell r="AZ94"/>
          <cell r="BA94"/>
          <cell r="BB94"/>
          <cell r="BC94"/>
          <cell r="BD94"/>
          <cell r="BE94"/>
          <cell r="BF94"/>
          <cell r="BG94"/>
          <cell r="BH94"/>
          <cell r="BI94"/>
          <cell r="BJ94"/>
          <cell r="BK94"/>
          <cell r="BL94"/>
          <cell r="BM94"/>
          <cell r="BN94"/>
          <cell r="BO94"/>
          <cell r="BP94"/>
          <cell r="BQ94"/>
          <cell r="BR94"/>
          <cell r="BS94"/>
          <cell r="BT94"/>
          <cell r="BU94"/>
          <cell r="BV94"/>
          <cell r="BW94"/>
          <cell r="BX94"/>
          <cell r="BY94"/>
          <cell r="BZ94"/>
          <cell r="CA94"/>
          <cell r="CB94"/>
        </row>
        <row r="95">
          <cell r="B95" t="str">
            <v>Net debt adjustment</v>
          </cell>
          <cell r="C95" t="str">
            <v>NET_DEBT_ADJ</v>
          </cell>
          <cell r="D95" t="str">
            <v>USD</v>
          </cell>
          <cell r="F95"/>
          <cell r="G95"/>
          <cell r="H95"/>
          <cell r="I95"/>
          <cell r="J95">
            <v>-85.991</v>
          </cell>
          <cell r="K95">
            <v>-121.649</v>
          </cell>
          <cell r="L95">
            <v>-129.14699999999999</v>
          </cell>
          <cell r="M95">
            <v>-149.571</v>
          </cell>
          <cell r="N95">
            <v>-210.69399999999999</v>
          </cell>
          <cell r="O95">
            <v>-210.69399999999999</v>
          </cell>
          <cell r="P95">
            <v>-233.48599999999999</v>
          </cell>
          <cell r="Q95">
            <v>-307.80900000000003</v>
          </cell>
          <cell r="R95">
            <v>-546.67499999999995</v>
          </cell>
          <cell r="S95">
            <v>-628.32799999999997</v>
          </cell>
          <cell r="T95">
            <v>-628.32799999999997</v>
          </cell>
          <cell r="U95">
            <v>-565.18899999999996</v>
          </cell>
          <cell r="V95">
            <v>-499.91500000000002</v>
          </cell>
          <cell r="W95">
            <v>-495.63299999999998</v>
          </cell>
          <cell r="X95">
            <v>-512.15599999999995</v>
          </cell>
          <cell r="Y95">
            <v>-512.15599999999995</v>
          </cell>
          <cell r="Z95">
            <v>-655.58399999999995</v>
          </cell>
          <cell r="AA95">
            <v>-607.30700000000002</v>
          </cell>
          <cell r="AB95">
            <v>-469.80599999999998</v>
          </cell>
          <cell r="AC95">
            <v>-401.041</v>
          </cell>
          <cell r="AD95">
            <v>-401.041</v>
          </cell>
          <cell r="AE95">
            <v>-813.60299999999995</v>
          </cell>
          <cell r="AF95">
            <v>-990.13800000000003</v>
          </cell>
          <cell r="AG95">
            <v>-980.14499999999998</v>
          </cell>
          <cell r="AH95">
            <v>-928.00599999999997</v>
          </cell>
          <cell r="AI95">
            <v>-928.00599999999997</v>
          </cell>
          <cell r="AJ95">
            <v>-925.11599999999999</v>
          </cell>
          <cell r="AK95">
            <v>-891.02599999999995</v>
          </cell>
          <cell r="AL95">
            <v>-913.90099999999995</v>
          </cell>
          <cell r="AM95">
            <v>-921.42899999999997</v>
          </cell>
          <cell r="AN95">
            <v>-921.42899999999997</v>
          </cell>
          <cell r="AO95">
            <v>-907.44100000000003</v>
          </cell>
          <cell r="AP95">
            <v>-904.76300000000003</v>
          </cell>
          <cell r="AQ95">
            <v>-918.57</v>
          </cell>
          <cell r="AR95">
            <v>-924.46600000000001</v>
          </cell>
          <cell r="AS95">
            <v>-924.46600000000001</v>
          </cell>
          <cell r="AT95">
            <v>-958.654</v>
          </cell>
          <cell r="AU95">
            <v>-964.71400000000006</v>
          </cell>
          <cell r="AV95">
            <v>-1053.354</v>
          </cell>
          <cell r="AW95">
            <v>-339.072</v>
          </cell>
          <cell r="AX95">
            <v>-339.072</v>
          </cell>
          <cell r="AY95">
            <v>-358.846</v>
          </cell>
          <cell r="AZ95">
            <v>-670.68600000000004</v>
          </cell>
          <cell r="BA95">
            <v>-670.68600000000004</v>
          </cell>
          <cell r="BB95">
            <v>-670.68600000000004</v>
          </cell>
          <cell r="BC95">
            <v>-670.68600000000004</v>
          </cell>
          <cell r="BD95">
            <v>-670.68600000000004</v>
          </cell>
          <cell r="BE95">
            <v>-670.68600000000004</v>
          </cell>
          <cell r="BF95">
            <v>-670.68600000000004</v>
          </cell>
          <cell r="BG95">
            <v>-670.68600000000004</v>
          </cell>
          <cell r="BH95">
            <v>-670.68600000000004</v>
          </cell>
          <cell r="BI95">
            <v>-670.68600000000004</v>
          </cell>
          <cell r="BJ95">
            <v>-670.68600000000004</v>
          </cell>
          <cell r="BK95">
            <v>-670.68600000000004</v>
          </cell>
          <cell r="BL95">
            <v>-670.68600000000004</v>
          </cell>
          <cell r="BM95">
            <v>-670.68600000000004</v>
          </cell>
          <cell r="BN95">
            <v>-670.68600000000004</v>
          </cell>
          <cell r="BO95">
            <v>-670.68600000000004</v>
          </cell>
          <cell r="BP95">
            <v>-670.68600000000004</v>
          </cell>
          <cell r="BQ95">
            <v>-670.68600000000004</v>
          </cell>
          <cell r="BR95">
            <v>-670.68600000000004</v>
          </cell>
          <cell r="BS95">
            <v>-670.68600000000004</v>
          </cell>
          <cell r="BT95">
            <v>-670.68600000000004</v>
          </cell>
          <cell r="BU95">
            <v>-670.68600000000004</v>
          </cell>
          <cell r="BV95">
            <v>-670.68600000000004</v>
          </cell>
          <cell r="BW95">
            <v>-670.68600000000004</v>
          </cell>
          <cell r="BX95">
            <v>-670.68600000000004</v>
          </cell>
          <cell r="BY95">
            <v>-670.68600000000004</v>
          </cell>
          <cell r="BZ95">
            <v>-670.68600000000004</v>
          </cell>
          <cell r="CA95">
            <v>-670.68600000000004</v>
          </cell>
          <cell r="CB95">
            <v>-670.68600000000004</v>
          </cell>
        </row>
        <row r="96">
          <cell r="B96" t="str">
            <v>Company borrowing margin</v>
          </cell>
          <cell r="C96" t="str">
            <v>CO_BOR_MARGIN</v>
          </cell>
          <cell r="F96"/>
          <cell r="G96"/>
          <cell r="H96"/>
          <cell r="I96"/>
          <cell r="J96"/>
          <cell r="K96"/>
          <cell r="L96"/>
          <cell r="M96"/>
          <cell r="N96"/>
          <cell r="O96"/>
          <cell r="P96"/>
          <cell r="Q96"/>
          <cell r="R96"/>
          <cell r="S96"/>
          <cell r="T96"/>
          <cell r="U96"/>
          <cell r="V96"/>
          <cell r="W96"/>
          <cell r="X96"/>
          <cell r="Y96"/>
          <cell r="Z96"/>
          <cell r="AA96"/>
          <cell r="AB96"/>
          <cell r="AC96"/>
          <cell r="AD96"/>
          <cell r="AE96"/>
          <cell r="AF96"/>
          <cell r="AG96"/>
          <cell r="AH96"/>
          <cell r="AI96"/>
          <cell r="AJ96"/>
          <cell r="AK96"/>
          <cell r="AL96"/>
          <cell r="AM96"/>
          <cell r="AN96"/>
          <cell r="AO96"/>
          <cell r="AP96"/>
          <cell r="AQ96"/>
          <cell r="AR96"/>
          <cell r="AS96"/>
          <cell r="AT96"/>
          <cell r="AU96"/>
          <cell r="AV96"/>
          <cell r="AW96"/>
          <cell r="AX96"/>
          <cell r="AY96"/>
          <cell r="AZ96"/>
          <cell r="BA96"/>
          <cell r="BB96"/>
          <cell r="BC96"/>
          <cell r="BD96"/>
          <cell r="BE96"/>
          <cell r="BF96"/>
          <cell r="BG96"/>
          <cell r="BH96"/>
          <cell r="BI96"/>
          <cell r="BJ96"/>
          <cell r="BK96"/>
          <cell r="BL96"/>
          <cell r="BM96"/>
          <cell r="BN96"/>
          <cell r="BO96"/>
          <cell r="BP96"/>
          <cell r="BQ96"/>
          <cell r="BR96"/>
          <cell r="BS96"/>
          <cell r="BT96"/>
          <cell r="BU96"/>
          <cell r="BV96"/>
          <cell r="BW96"/>
          <cell r="BX96"/>
          <cell r="BY96"/>
          <cell r="BZ96"/>
          <cell r="CA96"/>
          <cell r="CB96"/>
        </row>
        <row r="97">
          <cell r="B97" t="str">
            <v>Unfunded pensions &amp; other provisions</v>
          </cell>
          <cell r="C97" t="str">
            <v>UNF_PENS</v>
          </cell>
          <cell r="D97" t="str">
            <v>USD</v>
          </cell>
          <cell r="F97"/>
          <cell r="G97"/>
          <cell r="H97"/>
          <cell r="I97"/>
          <cell r="J97"/>
          <cell r="K97"/>
          <cell r="L97"/>
          <cell r="M97"/>
          <cell r="N97"/>
          <cell r="O97"/>
          <cell r="P97"/>
          <cell r="Q97"/>
          <cell r="R97"/>
          <cell r="S97"/>
          <cell r="T97"/>
          <cell r="U97"/>
          <cell r="V97"/>
          <cell r="W97"/>
          <cell r="X97"/>
          <cell r="Y97"/>
          <cell r="Z97"/>
          <cell r="AA97"/>
          <cell r="AB97"/>
          <cell r="AC97"/>
          <cell r="AD97"/>
          <cell r="AE97"/>
          <cell r="AF97"/>
          <cell r="AG97"/>
          <cell r="AH97"/>
          <cell r="AI97"/>
          <cell r="AJ97"/>
          <cell r="AK97"/>
          <cell r="AL97"/>
          <cell r="AM97"/>
          <cell r="AN97"/>
          <cell r="AO97"/>
          <cell r="AP97"/>
          <cell r="AQ97"/>
          <cell r="AR97"/>
          <cell r="AS97"/>
          <cell r="AT97"/>
          <cell r="AU97"/>
          <cell r="AV97"/>
          <cell r="AW97"/>
          <cell r="AX97"/>
          <cell r="AY97"/>
          <cell r="AZ97"/>
          <cell r="BA97"/>
          <cell r="BB97"/>
          <cell r="BC97"/>
          <cell r="BD97"/>
          <cell r="BE97"/>
          <cell r="BF97"/>
          <cell r="BG97"/>
          <cell r="BH97"/>
          <cell r="BI97"/>
          <cell r="BJ97"/>
          <cell r="BK97"/>
          <cell r="BL97"/>
          <cell r="BM97"/>
          <cell r="BN97"/>
          <cell r="BO97"/>
          <cell r="BP97"/>
          <cell r="BQ97"/>
          <cell r="BR97"/>
          <cell r="BS97"/>
          <cell r="BT97"/>
          <cell r="BU97"/>
          <cell r="BV97"/>
          <cell r="BW97"/>
          <cell r="BX97"/>
          <cell r="BY97"/>
          <cell r="BZ97"/>
          <cell r="CA97"/>
          <cell r="CB97"/>
        </row>
        <row r="98">
          <cell r="B98" t="str">
            <v>Unfunded pension liabilities (off balance sheet)</v>
          </cell>
          <cell r="C98" t="str">
            <v>UNF_PENS_OFF</v>
          </cell>
          <cell r="D98" t="str">
            <v>USD</v>
          </cell>
          <cell r="F98"/>
          <cell r="G98"/>
          <cell r="H98"/>
          <cell r="I98"/>
          <cell r="J98"/>
          <cell r="K98"/>
          <cell r="L98"/>
          <cell r="M98"/>
          <cell r="N98"/>
          <cell r="O98"/>
          <cell r="P98"/>
          <cell r="Q98"/>
          <cell r="R98"/>
          <cell r="S98"/>
          <cell r="T98"/>
          <cell r="U98"/>
          <cell r="V98"/>
          <cell r="W98"/>
          <cell r="X98"/>
          <cell r="Y98"/>
          <cell r="Z98"/>
          <cell r="AA98"/>
          <cell r="AB98"/>
          <cell r="AC98"/>
          <cell r="AD98"/>
          <cell r="AE98"/>
          <cell r="AF98"/>
          <cell r="AG98"/>
          <cell r="AH98"/>
          <cell r="AI98"/>
          <cell r="AJ98"/>
          <cell r="AK98"/>
          <cell r="AL98"/>
          <cell r="AM98"/>
          <cell r="AN98"/>
          <cell r="AO98"/>
          <cell r="AP98"/>
          <cell r="AQ98"/>
          <cell r="AR98"/>
          <cell r="AS98"/>
          <cell r="AT98"/>
          <cell r="AU98"/>
          <cell r="AV98"/>
          <cell r="AW98"/>
          <cell r="AX98"/>
          <cell r="AY98"/>
          <cell r="AZ98"/>
          <cell r="BA98"/>
          <cell r="BB98"/>
          <cell r="BC98"/>
          <cell r="BD98"/>
          <cell r="BE98"/>
          <cell r="BF98"/>
          <cell r="BG98"/>
          <cell r="BH98"/>
          <cell r="BI98"/>
          <cell r="BJ98"/>
          <cell r="BK98"/>
          <cell r="BL98"/>
          <cell r="BM98"/>
          <cell r="BN98"/>
          <cell r="BO98"/>
          <cell r="BP98"/>
          <cell r="BQ98"/>
          <cell r="BR98"/>
          <cell r="BS98"/>
          <cell r="BT98"/>
          <cell r="BU98"/>
          <cell r="BV98"/>
          <cell r="BW98"/>
          <cell r="BX98"/>
          <cell r="BY98"/>
          <cell r="BZ98"/>
          <cell r="CA98"/>
          <cell r="CB98"/>
        </row>
        <row r="99">
          <cell r="B99" t="str">
            <v>Unfunded pension liabilities &amp; other, used in EV</v>
          </cell>
          <cell r="C99" t="str">
            <v>UNF_PENS_LIAB_OTH</v>
          </cell>
          <cell r="D99" t="str">
            <v>USD</v>
          </cell>
          <cell r="F99"/>
          <cell r="G99"/>
          <cell r="H99"/>
          <cell r="I99"/>
          <cell r="J99"/>
          <cell r="K99"/>
          <cell r="L99"/>
          <cell r="M99"/>
          <cell r="N99"/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B99"/>
          <cell r="AC99"/>
          <cell r="AD99"/>
          <cell r="AE99"/>
          <cell r="AF99"/>
          <cell r="AG99"/>
          <cell r="AH99"/>
          <cell r="AI99"/>
          <cell r="AJ99"/>
          <cell r="AK99"/>
          <cell r="AL99"/>
          <cell r="AM99"/>
          <cell r="AN99"/>
          <cell r="AO99"/>
          <cell r="AP99"/>
          <cell r="AQ99"/>
          <cell r="AR99"/>
          <cell r="AS99"/>
          <cell r="AT99"/>
          <cell r="AU99"/>
          <cell r="AV99"/>
          <cell r="AW99"/>
          <cell r="AX99"/>
          <cell r="AY99"/>
          <cell r="AZ99"/>
          <cell r="BA99"/>
          <cell r="BB99"/>
          <cell r="BC99"/>
          <cell r="BD99"/>
          <cell r="BE99"/>
          <cell r="BF99"/>
          <cell r="BG99"/>
          <cell r="BH99"/>
          <cell r="BI99"/>
          <cell r="BJ99"/>
          <cell r="BK99"/>
          <cell r="BL99"/>
          <cell r="BM99"/>
          <cell r="BN99"/>
          <cell r="BO99"/>
          <cell r="BP99"/>
          <cell r="BQ99"/>
          <cell r="BR99"/>
          <cell r="BS99"/>
          <cell r="BT99"/>
          <cell r="BU99"/>
          <cell r="BV99"/>
          <cell r="BW99"/>
          <cell r="BX99"/>
          <cell r="BY99"/>
          <cell r="BZ99"/>
          <cell r="CA99"/>
          <cell r="CB99"/>
        </row>
        <row r="100">
          <cell r="B100" t="str">
            <v>Adjustment for unfunded pensions &amp; goodwill</v>
          </cell>
          <cell r="C100" t="str">
            <v>ADJ_UNF_PENS_GOOD</v>
          </cell>
          <cell r="D100" t="str">
            <v>USD</v>
          </cell>
          <cell r="F100"/>
          <cell r="G100"/>
          <cell r="H100"/>
          <cell r="I100"/>
          <cell r="J100"/>
          <cell r="K100"/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X100"/>
          <cell r="Y100"/>
          <cell r="Z100"/>
          <cell r="AA100"/>
          <cell r="AB100"/>
          <cell r="AC100"/>
          <cell r="AD100"/>
          <cell r="AE100"/>
          <cell r="AF100"/>
          <cell r="AG100"/>
          <cell r="AH100"/>
          <cell r="AI100"/>
          <cell r="AJ100"/>
          <cell r="AK100"/>
          <cell r="AL100"/>
          <cell r="AM100"/>
          <cell r="AN100"/>
          <cell r="AO100"/>
          <cell r="AP100"/>
          <cell r="AQ100"/>
          <cell r="AR100"/>
          <cell r="AS100"/>
          <cell r="AT100"/>
          <cell r="AU100"/>
          <cell r="AV100"/>
          <cell r="AW100"/>
          <cell r="AX100"/>
          <cell r="AY100"/>
          <cell r="AZ100"/>
          <cell r="BA100"/>
          <cell r="BB100"/>
          <cell r="BC100"/>
          <cell r="BD100"/>
          <cell r="BE100"/>
          <cell r="BF100"/>
          <cell r="BG100"/>
          <cell r="BH100"/>
          <cell r="BI100"/>
          <cell r="BJ100"/>
          <cell r="BK100"/>
          <cell r="BL100"/>
          <cell r="BM100"/>
          <cell r="BN100"/>
          <cell r="BO100"/>
          <cell r="BP100"/>
          <cell r="BQ100"/>
          <cell r="BR100"/>
          <cell r="BS100"/>
          <cell r="BT100"/>
          <cell r="BU100"/>
          <cell r="BV100"/>
          <cell r="BW100"/>
          <cell r="BX100"/>
          <cell r="BY100"/>
          <cell r="BZ100"/>
          <cell r="CA100"/>
          <cell r="CB100"/>
        </row>
        <row r="101">
          <cell r="B101" t="str">
            <v>Other GCI adjustments</v>
          </cell>
          <cell r="C101" t="str">
            <v>OTH_GCI_ADJ</v>
          </cell>
          <cell r="D101" t="str">
            <v>USD</v>
          </cell>
          <cell r="F101"/>
          <cell r="G101"/>
          <cell r="H101"/>
          <cell r="I101"/>
          <cell r="J101"/>
          <cell r="K101"/>
          <cell r="L101"/>
          <cell r="M101"/>
          <cell r="N101"/>
          <cell r="O101"/>
          <cell r="P101"/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B101"/>
          <cell r="AC101"/>
          <cell r="AD101"/>
          <cell r="AE101"/>
          <cell r="AF101"/>
          <cell r="AG101"/>
          <cell r="AH101"/>
          <cell r="AI101"/>
          <cell r="AJ101"/>
          <cell r="AK101"/>
          <cell r="AL101"/>
          <cell r="AM101"/>
          <cell r="AN101"/>
          <cell r="AO101"/>
          <cell r="AP101"/>
          <cell r="AQ101"/>
          <cell r="AR101"/>
          <cell r="AS101"/>
          <cell r="AT101"/>
          <cell r="AU101"/>
          <cell r="AV101"/>
          <cell r="AW101"/>
          <cell r="AX101"/>
          <cell r="AY101"/>
          <cell r="AZ101"/>
          <cell r="BA101"/>
          <cell r="BB101"/>
          <cell r="BC101"/>
          <cell r="BD101"/>
          <cell r="BE101"/>
          <cell r="BF101"/>
          <cell r="BG101"/>
          <cell r="BH101"/>
          <cell r="BI101"/>
          <cell r="BJ101"/>
          <cell r="BK101"/>
          <cell r="BL101"/>
          <cell r="BM101"/>
          <cell r="BN101"/>
          <cell r="BO101"/>
          <cell r="BP101"/>
          <cell r="BQ101"/>
          <cell r="BR101"/>
          <cell r="BS101"/>
          <cell r="BT101"/>
          <cell r="BU101"/>
          <cell r="BV101"/>
          <cell r="BW101"/>
          <cell r="BX101"/>
          <cell r="BY101"/>
          <cell r="BZ101"/>
          <cell r="CA101"/>
          <cell r="CB101"/>
        </row>
        <row r="102">
          <cell r="B102" t="str">
            <v>GCI inflator</v>
          </cell>
          <cell r="C102" t="str">
            <v>GCI_INFL</v>
          </cell>
          <cell r="F102"/>
          <cell r="G102"/>
          <cell r="H102"/>
          <cell r="I102"/>
          <cell r="J102"/>
          <cell r="K102"/>
          <cell r="L102"/>
          <cell r="M102"/>
          <cell r="N102"/>
          <cell r="O102"/>
          <cell r="P102"/>
          <cell r="Q102"/>
          <cell r="R102"/>
          <cell r="S102"/>
          <cell r="T102"/>
          <cell r="U102"/>
          <cell r="V102"/>
          <cell r="W102"/>
          <cell r="X102"/>
          <cell r="Y102"/>
          <cell r="Z102"/>
          <cell r="AA102"/>
          <cell r="AB102"/>
          <cell r="AC102"/>
          <cell r="AD102"/>
          <cell r="AE102"/>
          <cell r="AF102"/>
          <cell r="AG102"/>
          <cell r="AH102"/>
          <cell r="AI102"/>
          <cell r="AJ102"/>
          <cell r="AK102"/>
          <cell r="AL102"/>
          <cell r="AM102"/>
          <cell r="AN102"/>
          <cell r="AO102"/>
          <cell r="AP102"/>
          <cell r="AQ102"/>
          <cell r="AR102"/>
          <cell r="AS102"/>
          <cell r="AT102"/>
          <cell r="AU102"/>
          <cell r="AV102"/>
          <cell r="AW102"/>
          <cell r="AX102"/>
          <cell r="AY102"/>
          <cell r="AZ102"/>
          <cell r="BA102"/>
          <cell r="BB102"/>
          <cell r="BC102"/>
          <cell r="BD102"/>
          <cell r="BE102"/>
          <cell r="BF102"/>
          <cell r="BG102"/>
          <cell r="BH102"/>
          <cell r="BI102"/>
          <cell r="BJ102"/>
          <cell r="BK102"/>
          <cell r="BL102"/>
          <cell r="BM102"/>
          <cell r="BN102"/>
          <cell r="BO102"/>
          <cell r="BP102"/>
          <cell r="BQ102"/>
          <cell r="BR102"/>
          <cell r="BS102"/>
          <cell r="BT102"/>
          <cell r="BU102"/>
          <cell r="BV102"/>
          <cell r="BW102"/>
          <cell r="BX102"/>
          <cell r="BY102"/>
          <cell r="BZ102"/>
          <cell r="CA102"/>
          <cell r="CB102"/>
        </row>
        <row r="103">
          <cell r="B103" t="str">
            <v>Minority interest</v>
          </cell>
          <cell r="C103" t="str">
            <v>BAL_MINO_INT</v>
          </cell>
          <cell r="D103" t="str">
            <v>USD</v>
          </cell>
          <cell r="F103"/>
          <cell r="G103"/>
          <cell r="H103"/>
          <cell r="I103"/>
          <cell r="J103"/>
          <cell r="K103"/>
          <cell r="L103"/>
          <cell r="M103"/>
          <cell r="N103"/>
          <cell r="O103"/>
          <cell r="P103"/>
          <cell r="Q103"/>
          <cell r="R103"/>
          <cell r="S103"/>
          <cell r="T103"/>
          <cell r="U103"/>
          <cell r="V103"/>
          <cell r="W103"/>
          <cell r="X103"/>
          <cell r="Y103"/>
          <cell r="Z103"/>
          <cell r="AA103"/>
          <cell r="AB103"/>
          <cell r="AC103"/>
          <cell r="AD103"/>
          <cell r="AE103"/>
          <cell r="AF103"/>
          <cell r="AG103"/>
          <cell r="AH103"/>
          <cell r="AI103"/>
          <cell r="AJ103"/>
          <cell r="AK103"/>
          <cell r="AL103"/>
          <cell r="AM103"/>
          <cell r="AN103"/>
          <cell r="AO103"/>
          <cell r="AP103"/>
          <cell r="AQ103"/>
          <cell r="AR103"/>
          <cell r="AS103"/>
          <cell r="AT103"/>
          <cell r="AU103"/>
          <cell r="AV103"/>
          <cell r="AW103"/>
          <cell r="AX103"/>
          <cell r="AY103"/>
          <cell r="AZ103"/>
          <cell r="BA103"/>
          <cell r="BB103"/>
          <cell r="BC103"/>
          <cell r="BD103"/>
          <cell r="BE103"/>
          <cell r="BF103"/>
          <cell r="BG103"/>
          <cell r="BH103"/>
          <cell r="BI103"/>
          <cell r="BJ103"/>
          <cell r="BK103"/>
          <cell r="BL103"/>
          <cell r="BM103"/>
          <cell r="BN103"/>
          <cell r="BO103"/>
          <cell r="BP103"/>
          <cell r="BQ103"/>
          <cell r="BR103"/>
          <cell r="BS103"/>
          <cell r="BT103"/>
          <cell r="BU103"/>
          <cell r="BV103"/>
          <cell r="BW103"/>
          <cell r="BX103"/>
          <cell r="BY103"/>
          <cell r="BZ103"/>
          <cell r="CA103"/>
          <cell r="CB103"/>
        </row>
        <row r="104">
          <cell r="B104" t="str">
            <v>Right-of-use assets (op lease assets under US GAAP)</v>
          </cell>
          <cell r="C104" t="str">
            <v>ROU_ASSET</v>
          </cell>
          <cell r="D104" t="str">
            <v>USD</v>
          </cell>
          <cell r="F104"/>
          <cell r="G104"/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123.002</v>
          </cell>
          <cell r="AA104">
            <v>135.68</v>
          </cell>
          <cell r="AB104">
            <v>132.51900000000001</v>
          </cell>
          <cell r="AC104">
            <v>127.32599999999999</v>
          </cell>
          <cell r="AD104">
            <v>127.32599999999999</v>
          </cell>
          <cell r="AE104">
            <v>126.542</v>
          </cell>
          <cell r="AF104">
            <v>121.066</v>
          </cell>
          <cell r="AG104">
            <v>112.20699999999999</v>
          </cell>
          <cell r="AH104">
            <v>105.90300000000001</v>
          </cell>
          <cell r="AI104">
            <v>105.90300000000001</v>
          </cell>
          <cell r="AJ104">
            <v>100.66500000000001</v>
          </cell>
          <cell r="AK104">
            <v>91.519000000000005</v>
          </cell>
          <cell r="AL104">
            <v>83.427000000000007</v>
          </cell>
          <cell r="AM104">
            <v>118.74</v>
          </cell>
          <cell r="AN104">
            <v>118.74</v>
          </cell>
          <cell r="AO104">
            <v>111.52200000000001</v>
          </cell>
          <cell r="AP104">
            <v>106.711</v>
          </cell>
          <cell r="AQ104">
            <v>97.804000000000002</v>
          </cell>
          <cell r="AR104">
            <v>93.554000000000002</v>
          </cell>
          <cell r="AS104">
            <v>93.554000000000002</v>
          </cell>
          <cell r="AT104">
            <v>96.301000000000002</v>
          </cell>
          <cell r="AU104">
            <v>97.307000000000002</v>
          </cell>
          <cell r="AV104">
            <v>96.894999999999996</v>
          </cell>
          <cell r="AW104">
            <v>109.133</v>
          </cell>
          <cell r="AX104">
            <v>109.133</v>
          </cell>
          <cell r="AY104">
            <v>118.593</v>
          </cell>
          <cell r="AZ104">
            <v>112.051</v>
          </cell>
          <cell r="BA104">
            <v>112.051</v>
          </cell>
          <cell r="BB104">
            <v>112.051</v>
          </cell>
          <cell r="BC104">
            <v>112.051</v>
          </cell>
          <cell r="BD104">
            <v>112.051</v>
          </cell>
          <cell r="BE104">
            <v>112.051</v>
          </cell>
          <cell r="BF104">
            <v>112.051</v>
          </cell>
          <cell r="BG104">
            <v>112.051</v>
          </cell>
          <cell r="BH104">
            <v>112.051</v>
          </cell>
          <cell r="BI104">
            <v>112.051</v>
          </cell>
          <cell r="BJ104">
            <v>112.051</v>
          </cell>
          <cell r="BK104">
            <v>112.051</v>
          </cell>
          <cell r="BL104">
            <v>112.051</v>
          </cell>
          <cell r="BM104">
            <v>112.051</v>
          </cell>
          <cell r="BN104">
            <v>112.051</v>
          </cell>
          <cell r="BO104">
            <v>112.051</v>
          </cell>
          <cell r="BP104">
            <v>112.051</v>
          </cell>
          <cell r="BQ104">
            <v>112.051</v>
          </cell>
          <cell r="BR104">
            <v>112.051</v>
          </cell>
          <cell r="BS104">
            <v>112.051</v>
          </cell>
          <cell r="BT104">
            <v>112.051</v>
          </cell>
          <cell r="BU104">
            <v>112.051</v>
          </cell>
          <cell r="BV104">
            <v>112.051</v>
          </cell>
          <cell r="BW104">
            <v>112.051</v>
          </cell>
          <cell r="BX104">
            <v>112.051</v>
          </cell>
          <cell r="BY104">
            <v>112.051</v>
          </cell>
          <cell r="BZ104">
            <v>112.051</v>
          </cell>
          <cell r="CA104">
            <v>112.051</v>
          </cell>
          <cell r="CB104">
            <v>112.051</v>
          </cell>
        </row>
        <row r="105">
          <cell r="A105" t="str">
            <v>Cash Flow Statement</v>
          </cell>
          <cell r="B105"/>
          <cell r="C105"/>
          <cell r="D105"/>
          <cell r="CB105"/>
        </row>
        <row r="106">
          <cell r="B106" t="str">
            <v>Minority interest add-back</v>
          </cell>
          <cell r="C106" t="str">
            <v>CF_INC_MINORITY</v>
          </cell>
          <cell r="D106" t="str">
            <v>USD</v>
          </cell>
          <cell r="F106"/>
          <cell r="G106"/>
          <cell r="H106"/>
          <cell r="I106"/>
          <cell r="J106"/>
          <cell r="K106"/>
          <cell r="L106"/>
          <cell r="M106"/>
          <cell r="N106"/>
          <cell r="O106"/>
          <cell r="P106"/>
          <cell r="Q106"/>
          <cell r="R106"/>
          <cell r="S106"/>
          <cell r="T106"/>
          <cell r="U106"/>
          <cell r="V106"/>
          <cell r="W106"/>
          <cell r="X106"/>
          <cell r="Y106"/>
          <cell r="Z106"/>
          <cell r="AA106"/>
          <cell r="AB106"/>
          <cell r="AC106"/>
          <cell r="AD106"/>
          <cell r="AE106"/>
          <cell r="AF106"/>
          <cell r="AG106"/>
          <cell r="AH106"/>
          <cell r="AI106"/>
          <cell r="AJ106"/>
          <cell r="AK106"/>
          <cell r="AL106"/>
          <cell r="AM106"/>
          <cell r="AN106"/>
          <cell r="AO106"/>
          <cell r="AP106"/>
          <cell r="AQ106"/>
          <cell r="AR106"/>
          <cell r="AS106"/>
          <cell r="AT106"/>
          <cell r="AU106"/>
          <cell r="AV106"/>
          <cell r="AW106"/>
          <cell r="AX106"/>
          <cell r="AY106"/>
          <cell r="AZ106"/>
          <cell r="BA106"/>
          <cell r="BB106"/>
          <cell r="BC106"/>
          <cell r="BD106"/>
          <cell r="BE106"/>
          <cell r="BF106"/>
          <cell r="BG106"/>
          <cell r="BH106"/>
          <cell r="BI106"/>
          <cell r="BJ106"/>
          <cell r="BK106"/>
          <cell r="BL106"/>
          <cell r="BM106"/>
          <cell r="BN106"/>
          <cell r="BO106"/>
          <cell r="BP106"/>
          <cell r="BQ106"/>
          <cell r="BR106"/>
          <cell r="BS106"/>
          <cell r="BT106"/>
          <cell r="BU106"/>
          <cell r="BV106"/>
          <cell r="BW106"/>
          <cell r="BX106"/>
          <cell r="BY106"/>
          <cell r="BZ106"/>
          <cell r="CA106"/>
          <cell r="CB106"/>
        </row>
        <row r="107">
          <cell r="B107" t="str">
            <v>Depreciation &amp; amortization add-back</v>
          </cell>
          <cell r="C107" t="str">
            <v>DEPR_AMORT</v>
          </cell>
          <cell r="D107" t="str">
            <v>USD</v>
          </cell>
          <cell r="F107"/>
          <cell r="G107"/>
          <cell r="H107">
            <v>11.582000000000001</v>
          </cell>
          <cell r="I107">
            <v>16.567</v>
          </cell>
          <cell r="J107">
            <v>26.408000000000001</v>
          </cell>
          <cell r="K107">
            <v>8.5719999999999992</v>
          </cell>
          <cell r="L107">
            <v>9.6000000000000014</v>
          </cell>
          <cell r="M107">
            <v>9.7620000000000005</v>
          </cell>
          <cell r="N107">
            <v>10.465</v>
          </cell>
          <cell r="O107">
            <v>38.399000000000001</v>
          </cell>
          <cell r="P107">
            <v>11.333</v>
          </cell>
          <cell r="Q107">
            <v>11.682</v>
          </cell>
          <cell r="R107">
            <v>12.997999999999998</v>
          </cell>
          <cell r="S107">
            <v>14.289000000000001</v>
          </cell>
          <cell r="T107">
            <v>50.302</v>
          </cell>
          <cell r="U107">
            <v>16.183</v>
          </cell>
          <cell r="V107">
            <v>18.822000000000003</v>
          </cell>
          <cell r="W107">
            <v>20.734999999999999</v>
          </cell>
          <cell r="X107">
            <v>21.871999999999993</v>
          </cell>
          <cell r="Y107">
            <v>77.611999999999995</v>
          </cell>
          <cell r="Z107">
            <v>22.462</v>
          </cell>
          <cell r="AA107">
            <v>23.077999999999999</v>
          </cell>
          <cell r="AB107">
            <v>24.175000000000004</v>
          </cell>
          <cell r="AC107">
            <v>24.057999999999993</v>
          </cell>
          <cell r="AD107">
            <v>93.772999999999996</v>
          </cell>
          <cell r="AE107">
            <v>23.498999999999999</v>
          </cell>
          <cell r="AF107">
            <v>23.588000000000005</v>
          </cell>
          <cell r="AG107">
            <v>23.521999999999991</v>
          </cell>
          <cell r="AH107">
            <v>23.76400000000001</v>
          </cell>
          <cell r="AI107">
            <v>94.373000000000005</v>
          </cell>
          <cell r="AJ107">
            <v>23.291</v>
          </cell>
          <cell r="AK107">
            <v>22.291</v>
          </cell>
          <cell r="AL107">
            <v>21.541000000000004</v>
          </cell>
          <cell r="AM107">
            <v>20.828999999999994</v>
          </cell>
          <cell r="AN107">
            <v>87.951999999999998</v>
          </cell>
          <cell r="AO107">
            <v>19.838999999999999</v>
          </cell>
          <cell r="AP107">
            <v>19.64</v>
          </cell>
          <cell r="AQ107">
            <v>19.599000000000004</v>
          </cell>
          <cell r="AR107">
            <v>17.310000000000002</v>
          </cell>
          <cell r="AS107">
            <v>76.388000000000005</v>
          </cell>
          <cell r="AT107">
            <v>18.187000000000001</v>
          </cell>
          <cell r="AU107">
            <v>18.202000000000002</v>
          </cell>
          <cell r="AV107">
            <v>18.596999999999994</v>
          </cell>
          <cell r="AW107">
            <v>18.213000000000001</v>
          </cell>
          <cell r="AX107">
            <v>73.198999999999998</v>
          </cell>
          <cell r="AY107">
            <v>18.18</v>
          </cell>
          <cell r="AZ107">
            <v>18.247</v>
          </cell>
          <cell r="BA107">
            <v>17.806999999999999</v>
          </cell>
          <cell r="BB107">
            <v>18.31969108738376</v>
          </cell>
          <cell r="BC107">
            <v>72.553691087383754</v>
          </cell>
          <cell r="BD107">
            <v>18.887864135777072</v>
          </cell>
          <cell r="BE107">
            <v>19.146559857428208</v>
          </cell>
          <cell r="BF107">
            <v>20.503959885077162</v>
          </cell>
          <cell r="BG107">
            <v>21.479172190042345</v>
          </cell>
          <cell r="BH107">
            <v>80.017556068324794</v>
          </cell>
          <cell r="BI107">
            <v>22.47752322072829</v>
          </cell>
          <cell r="BJ107">
            <v>22.570567499665472</v>
          </cell>
          <cell r="BK107">
            <v>23.998098180506258</v>
          </cell>
          <cell r="BL107">
            <v>24.971637672097405</v>
          </cell>
          <cell r="BM107">
            <v>94.017826572997421</v>
          </cell>
          <cell r="BN107">
            <v>25.890113111828679</v>
          </cell>
          <cell r="BO107">
            <v>25.864983916163158</v>
          </cell>
          <cell r="BP107">
            <v>27.414768315462812</v>
          </cell>
          <cell r="BQ107">
            <v>28.426747956740719</v>
          </cell>
          <cell r="BR107">
            <v>107.59661330019537</v>
          </cell>
          <cell r="BS107">
            <v>29.513116164090892</v>
          </cell>
          <cell r="BT107">
            <v>29.384228370122067</v>
          </cell>
          <cell r="BU107">
            <v>31.089790891351061</v>
          </cell>
          <cell r="BV107">
            <v>32.163782118114973</v>
          </cell>
          <cell r="BW107">
            <v>122.15091754367899</v>
          </cell>
          <cell r="BX107">
            <v>33.335665254124564</v>
          </cell>
          <cell r="BY107">
            <v>33.098601782892544</v>
          </cell>
          <cell r="BZ107">
            <v>34.984669206002231</v>
          </cell>
          <cell r="CA107">
            <v>36.136715194191936</v>
          </cell>
          <cell r="CB107">
            <v>137.55565143721128</v>
          </cell>
        </row>
        <row r="108">
          <cell r="B108" t="str">
            <v>(Increase)/decrease in working capital</v>
          </cell>
          <cell r="C108" t="str">
            <v>WORK_CAP</v>
          </cell>
          <cell r="D108" t="str">
            <v>USD</v>
          </cell>
          <cell r="F108"/>
          <cell r="G108"/>
          <cell r="H108">
            <v>16.149999999999999</v>
          </cell>
          <cell r="I108">
            <v>60.066999999999993</v>
          </cell>
          <cell r="J108">
            <v>67.279999999999987</v>
          </cell>
          <cell r="K108">
            <v>20.340000000000003</v>
          </cell>
          <cell r="L108">
            <v>33.353999999999999</v>
          </cell>
          <cell r="M108">
            <v>20.865000000000009</v>
          </cell>
          <cell r="N108">
            <v>21.869999999999983</v>
          </cell>
          <cell r="O108">
            <v>96.428999999999988</v>
          </cell>
          <cell r="P108">
            <v>24.323999999999998</v>
          </cell>
          <cell r="Q108">
            <v>58.841000000000008</v>
          </cell>
          <cell r="R108">
            <v>33.84899999999999</v>
          </cell>
          <cell r="S108">
            <v>33.217000000000006</v>
          </cell>
          <cell r="T108">
            <v>150.23099999999999</v>
          </cell>
          <cell r="U108">
            <v>56.390999999999998</v>
          </cell>
          <cell r="V108">
            <v>62.957000000000001</v>
          </cell>
          <cell r="W108">
            <v>51.122000000000021</v>
          </cell>
          <cell r="X108">
            <v>82.84099999999998</v>
          </cell>
          <cell r="Y108">
            <v>253.31100000000001</v>
          </cell>
          <cell r="Z108">
            <v>84.84</v>
          </cell>
          <cell r="AA108">
            <v>38.086000000000006</v>
          </cell>
          <cell r="AB108">
            <v>23.643000000000001</v>
          </cell>
          <cell r="AC108">
            <v>55.645000000000032</v>
          </cell>
          <cell r="AD108">
            <v>202.21400000000003</v>
          </cell>
          <cell r="AE108">
            <v>57.037999999999997</v>
          </cell>
          <cell r="AF108">
            <v>29.134</v>
          </cell>
          <cell r="AG108">
            <v>0.65199999999998681</v>
          </cell>
          <cell r="AH108">
            <v>2.9530000000000101</v>
          </cell>
          <cell r="AI108">
            <v>89.776999999999987</v>
          </cell>
          <cell r="AJ108">
            <v>23.139999999999983</v>
          </cell>
          <cell r="AK108">
            <v>5.2030000000000243</v>
          </cell>
          <cell r="AL108">
            <v>-23.378000000000014</v>
          </cell>
          <cell r="AM108">
            <v>61.091000000000001</v>
          </cell>
          <cell r="AN108">
            <v>66.055999999999997</v>
          </cell>
          <cell r="AO108">
            <v>41.22</v>
          </cell>
          <cell r="AP108">
            <v>17.436000000000014</v>
          </cell>
          <cell r="AQ108">
            <v>32.259999999999991</v>
          </cell>
          <cell r="AR108">
            <v>-26.450999999999979</v>
          </cell>
          <cell r="AS108">
            <v>64.465000000000032</v>
          </cell>
          <cell r="AT108">
            <v>39.240999999999985</v>
          </cell>
          <cell r="AU108">
            <v>29.791</v>
          </cell>
          <cell r="AV108">
            <v>-8.1419999999999888</v>
          </cell>
          <cell r="AW108">
            <v>143.60699999999997</v>
          </cell>
          <cell r="AX108">
            <v>204.49699999999999</v>
          </cell>
          <cell r="AY108">
            <v>18.408000000000026</v>
          </cell>
          <cell r="AZ108">
            <v>35.691999999999993</v>
          </cell>
          <cell r="BA108">
            <v>-23.468927767559762</v>
          </cell>
          <cell r="BB108">
            <v>185.33959131032856</v>
          </cell>
          <cell r="BC108">
            <v>215.97066354276882</v>
          </cell>
          <cell r="BD108">
            <v>57.79477743537732</v>
          </cell>
          <cell r="BE108">
            <v>30.133132441348707</v>
          </cell>
          <cell r="BF108">
            <v>-16.986796973533316</v>
          </cell>
          <cell r="BG108">
            <v>206.39803773715522</v>
          </cell>
          <cell r="BH108">
            <v>277.33915064034795</v>
          </cell>
          <cell r="BI108">
            <v>68.863049695039706</v>
          </cell>
          <cell r="BJ108">
            <v>35.696181146905985</v>
          </cell>
          <cell r="BK108">
            <v>-9.4558786503951495</v>
          </cell>
          <cell r="BL108">
            <v>247.9200356499947</v>
          </cell>
          <cell r="BM108">
            <v>343.02338784154529</v>
          </cell>
          <cell r="BN108">
            <v>86.814064725836602</v>
          </cell>
          <cell r="BO108">
            <v>45.535627713969149</v>
          </cell>
          <cell r="BP108">
            <v>-12.349349422526942</v>
          </cell>
          <cell r="BQ108">
            <v>299.73171072920587</v>
          </cell>
          <cell r="BR108">
            <v>419.73205374648467</v>
          </cell>
          <cell r="BS108">
            <v>105.84053520428925</v>
          </cell>
          <cell r="BT108">
            <v>59.660230312378587</v>
          </cell>
          <cell r="BU108">
            <v>-16.608606184848227</v>
          </cell>
          <cell r="BV108">
            <v>360.94844551982408</v>
          </cell>
          <cell r="BW108">
            <v>509.84060485164366</v>
          </cell>
          <cell r="BX108">
            <v>128.40798490888824</v>
          </cell>
          <cell r="BY108">
            <v>78.991131746296247</v>
          </cell>
          <cell r="BZ108">
            <v>-16.464727605524942</v>
          </cell>
          <cell r="CA108">
            <v>426.43796678708787</v>
          </cell>
          <cell r="CB108">
            <v>617.37235583674737</v>
          </cell>
        </row>
        <row r="109">
          <cell r="B109" t="str">
            <v>Other operating cash flow items</v>
          </cell>
          <cell r="C109" t="str">
            <v>OTH_OP_CF</v>
          </cell>
          <cell r="D109" t="str">
            <v>USD</v>
          </cell>
          <cell r="F109"/>
          <cell r="G109"/>
          <cell r="H109">
            <v>10.564</v>
          </cell>
          <cell r="I109">
            <v>23.798999999999999</v>
          </cell>
          <cell r="J109">
            <v>18.181000000000001</v>
          </cell>
          <cell r="K109">
            <v>115.55</v>
          </cell>
          <cell r="L109">
            <v>53.167000000000016</v>
          </cell>
          <cell r="M109">
            <v>50.198999999999998</v>
          </cell>
          <cell r="N109">
            <v>39.716000000000001</v>
          </cell>
          <cell r="O109">
            <v>258.63200000000001</v>
          </cell>
          <cell r="P109">
            <v>35.927999999999997</v>
          </cell>
          <cell r="Q109">
            <v>38.521999999999991</v>
          </cell>
          <cell r="R109">
            <v>52.119</v>
          </cell>
          <cell r="S109">
            <v>62.598999999999997</v>
          </cell>
          <cell r="T109">
            <v>189.16800000000001</v>
          </cell>
          <cell r="U109">
            <v>71.514999999999986</v>
          </cell>
          <cell r="V109">
            <v>79.474000000000018</v>
          </cell>
          <cell r="W109">
            <v>101.46599999999999</v>
          </cell>
          <cell r="X109">
            <v>79.96899999999998</v>
          </cell>
          <cell r="Y109">
            <v>332.42399999999998</v>
          </cell>
          <cell r="Z109">
            <v>95.835000000000008</v>
          </cell>
          <cell r="AA109">
            <v>103.90899999999999</v>
          </cell>
          <cell r="AB109">
            <v>107.992</v>
          </cell>
          <cell r="AC109">
            <v>109.27499999999998</v>
          </cell>
          <cell r="AD109">
            <v>417.01100000000002</v>
          </cell>
          <cell r="AE109">
            <v>180.43799999999999</v>
          </cell>
          <cell r="AF109">
            <v>219.11099999999999</v>
          </cell>
          <cell r="AG109">
            <v>43.916000000000011</v>
          </cell>
          <cell r="AH109">
            <v>306.83500000000004</v>
          </cell>
          <cell r="AI109">
            <v>750.3</v>
          </cell>
          <cell r="AJ109">
            <v>380.36</v>
          </cell>
          <cell r="AK109">
            <v>114.04300000000001</v>
          </cell>
          <cell r="AL109">
            <v>110.657</v>
          </cell>
          <cell r="AM109">
            <v>107.42099999999996</v>
          </cell>
          <cell r="AN109">
            <v>712.48099999999988</v>
          </cell>
          <cell r="AO109">
            <v>103.968</v>
          </cell>
          <cell r="AP109">
            <v>107.79800000000002</v>
          </cell>
          <cell r="AQ109">
            <v>93.606999999999985</v>
          </cell>
          <cell r="AR109">
            <v>80.737000000000023</v>
          </cell>
          <cell r="AS109">
            <v>386.11000000000007</v>
          </cell>
          <cell r="AT109">
            <v>103.898</v>
          </cell>
          <cell r="AU109">
            <v>105.62</v>
          </cell>
          <cell r="AV109">
            <v>101.514</v>
          </cell>
          <cell r="AW109">
            <v>208.97800000000004</v>
          </cell>
          <cell r="AX109">
            <v>520.01</v>
          </cell>
          <cell r="AY109">
            <v>95.236999999999995</v>
          </cell>
          <cell r="AZ109">
            <v>111.304</v>
          </cell>
          <cell r="BA109">
            <v>89.382639614083502</v>
          </cell>
          <cell r="BB109">
            <v>90.706870592823179</v>
          </cell>
          <cell r="BC109">
            <v>386.63051020690665</v>
          </cell>
          <cell r="BD109">
            <v>96.645545284206179</v>
          </cell>
          <cell r="BE109">
            <v>100.29235922514587</v>
          </cell>
          <cell r="BF109">
            <v>94.473820444733846</v>
          </cell>
          <cell r="BG109">
            <v>96.041334095693387</v>
          </cell>
          <cell r="BH109">
            <v>387.45305904977931</v>
          </cell>
          <cell r="BI109">
            <v>103.53242743267963</v>
          </cell>
          <cell r="BJ109">
            <v>106.60236774675123</v>
          </cell>
          <cell r="BK109">
            <v>99.150562932487333</v>
          </cell>
          <cell r="BL109">
            <v>100.80470715903567</v>
          </cell>
          <cell r="BM109">
            <v>410.09006527095386</v>
          </cell>
          <cell r="BN109">
            <v>109.9256395488659</v>
          </cell>
          <cell r="BO109">
            <v>112.196393585012</v>
          </cell>
          <cell r="BP109">
            <v>103.10562496985951</v>
          </cell>
          <cell r="BQ109">
            <v>104.78149873444335</v>
          </cell>
          <cell r="BR109">
            <v>430.00915683818073</v>
          </cell>
          <cell r="BS109">
            <v>115.55237038187468</v>
          </cell>
          <cell r="BT109">
            <v>116.78469928685996</v>
          </cell>
          <cell r="BU109">
            <v>106.08105780650823</v>
          </cell>
          <cell r="BV109">
            <v>107.75127948966032</v>
          </cell>
          <cell r="BW109">
            <v>446.16940696490315</v>
          </cell>
          <cell r="BX109">
            <v>120.1281048751821</v>
          </cell>
          <cell r="BY109">
            <v>120.05944835929542</v>
          </cell>
          <cell r="BZ109">
            <v>107.82714310571579</v>
          </cell>
          <cell r="CA109">
            <v>109.47184066808106</v>
          </cell>
          <cell r="CB109">
            <v>457.48653700827435</v>
          </cell>
        </row>
        <row r="110">
          <cell r="B110" t="str">
            <v>Cash flow from operating activities</v>
          </cell>
          <cell r="C110" t="str">
            <v>CF_OPS</v>
          </cell>
          <cell r="D110" t="str">
            <v>USD</v>
          </cell>
          <cell r="F110"/>
          <cell r="G110"/>
          <cell r="H110">
            <v>-45.706999999999994</v>
          </cell>
          <cell r="I110">
            <v>-25.693999999999988</v>
          </cell>
          <cell r="J110">
            <v>3.6360000000000241</v>
          </cell>
          <cell r="K110">
            <v>4.1600000000000037</v>
          </cell>
          <cell r="L110">
            <v>19.75200000000001</v>
          </cell>
          <cell r="M110">
            <v>-16.009000000000043</v>
          </cell>
          <cell r="N110">
            <v>5.9189999999999898</v>
          </cell>
          <cell r="O110">
            <v>13.821999999999974</v>
          </cell>
          <cell r="P110">
            <v>10.09800000000001</v>
          </cell>
          <cell r="Q110">
            <v>46.413999999999987</v>
          </cell>
          <cell r="R110">
            <v>13.292000000000002</v>
          </cell>
          <cell r="S110">
            <v>22.736000000000018</v>
          </cell>
          <cell r="T110">
            <v>92.539999999999907</v>
          </cell>
          <cell r="U110">
            <v>49.823999999999998</v>
          </cell>
          <cell r="V110">
            <v>38.489999999999995</v>
          </cell>
          <cell r="W110">
            <v>-36.489999999999952</v>
          </cell>
          <cell r="X110">
            <v>-9.6560000000001196</v>
          </cell>
          <cell r="Y110">
            <v>42.167999999999864</v>
          </cell>
          <cell r="Z110">
            <v>-26.163000000000039</v>
          </cell>
          <cell r="AA110">
            <v>-52.491000000000057</v>
          </cell>
          <cell r="AB110">
            <v>-84.860999999999905</v>
          </cell>
          <cell r="AC110">
            <v>3.6300000000000807</v>
          </cell>
          <cell r="AD110">
            <v>-159.88500000000005</v>
          </cell>
          <cell r="AE110">
            <v>-4.0730000000000572</v>
          </cell>
          <cell r="AF110">
            <v>-15.557000000000016</v>
          </cell>
          <cell r="AG110">
            <v>-55.55</v>
          </cell>
          <cell r="AH110">
            <v>-24.629999999999995</v>
          </cell>
          <cell r="AI110">
            <v>-99.809999999999832</v>
          </cell>
          <cell r="AJ110">
            <v>6.5850000000000044</v>
          </cell>
          <cell r="AK110">
            <v>26.121000000000059</v>
          </cell>
          <cell r="AL110">
            <v>-3.1670000000000087</v>
          </cell>
          <cell r="AM110">
            <v>38.003999999999991</v>
          </cell>
          <cell r="AN110">
            <v>67.542999999999935</v>
          </cell>
          <cell r="AO110">
            <v>65.513000000000019</v>
          </cell>
          <cell r="AP110">
            <v>74.084000000000032</v>
          </cell>
          <cell r="AQ110">
            <v>74.497000000000057</v>
          </cell>
          <cell r="AR110">
            <v>58.309000000000111</v>
          </cell>
          <cell r="AS110">
            <v>272.40300000000019</v>
          </cell>
          <cell r="AT110">
            <v>145.47300000000004</v>
          </cell>
          <cell r="AU110">
            <v>186.40799999999999</v>
          </cell>
          <cell r="AV110">
            <v>96.35299999999998</v>
          </cell>
          <cell r="AW110">
            <v>244.697</v>
          </cell>
          <cell r="AX110">
            <v>672.93099999999993</v>
          </cell>
          <cell r="AY110">
            <v>161.75099999999986</v>
          </cell>
          <cell r="AZ110">
            <v>221.67000000000002</v>
          </cell>
          <cell r="BA110">
            <v>109.28438344784973</v>
          </cell>
          <cell r="BB110">
            <v>275.29680433686292</v>
          </cell>
          <cell r="BC110">
            <v>768.00218778471265</v>
          </cell>
          <cell r="BD110">
            <v>229.17131957080443</v>
          </cell>
          <cell r="BE110">
            <v>248.30308345591362</v>
          </cell>
          <cell r="BF110">
            <v>144.77225436315143</v>
          </cell>
          <cell r="BG110">
            <v>320.29313566424935</v>
          </cell>
          <cell r="BH110">
            <v>942.53979305411804</v>
          </cell>
          <cell r="BI110">
            <v>278.40466213401106</v>
          </cell>
          <cell r="BJ110">
            <v>299.10004129074912</v>
          </cell>
          <cell r="BK110">
            <v>186.66146679909633</v>
          </cell>
          <cell r="BL110">
            <v>389.92186384581231</v>
          </cell>
          <cell r="BM110">
            <v>1154.0880340696694</v>
          </cell>
          <cell r="BN110">
            <v>341.08250606424588</v>
          </cell>
          <cell r="BO110">
            <v>361.78749954281625</v>
          </cell>
          <cell r="BP110">
            <v>224.16173325372301</v>
          </cell>
          <cell r="BQ110">
            <v>475.25398189774285</v>
          </cell>
          <cell r="BR110">
            <v>1402.285720758528</v>
          </cell>
          <cell r="BS110">
            <v>412.78331478638546</v>
          </cell>
          <cell r="BT110">
            <v>437.43953126280582</v>
          </cell>
          <cell r="BU110">
            <v>266.78814882301958</v>
          </cell>
          <cell r="BV110">
            <v>575.62967417969185</v>
          </cell>
          <cell r="BW110">
            <v>1692.6406690519036</v>
          </cell>
          <cell r="BX110">
            <v>496.71957897737161</v>
          </cell>
          <cell r="BY110">
            <v>527.93268945768864</v>
          </cell>
          <cell r="BZ110">
            <v>321.08772283807843</v>
          </cell>
          <cell r="CA110">
            <v>686.82610819924412</v>
          </cell>
          <cell r="CB110">
            <v>2032.5660994723826</v>
          </cell>
        </row>
        <row r="111">
          <cell r="B111" t="str">
            <v>Capital expenditures, Capex</v>
          </cell>
          <cell r="C111" t="str">
            <v>CAPEX</v>
          </cell>
          <cell r="D111" t="str">
            <v>USD</v>
          </cell>
          <cell r="F111"/>
          <cell r="G111"/>
          <cell r="H111">
            <v>-19.032</v>
          </cell>
          <cell r="I111">
            <v>-23.308</v>
          </cell>
          <cell r="J111">
            <v>-42.293999999999997</v>
          </cell>
          <cell r="K111">
            <v>-11.914999999999999</v>
          </cell>
          <cell r="L111">
            <v>-12.701000000000001</v>
          </cell>
          <cell r="M111">
            <v>-13.180999999999997</v>
          </cell>
          <cell r="N111">
            <v>-12.384</v>
          </cell>
          <cell r="O111">
            <v>-50.180999999999997</v>
          </cell>
          <cell r="P111">
            <v>-17.965</v>
          </cell>
          <cell r="Q111">
            <v>-14.027999999999999</v>
          </cell>
          <cell r="R111">
            <v>-14.096</v>
          </cell>
          <cell r="S111">
            <v>-16.283000000000001</v>
          </cell>
          <cell r="T111">
            <v>-62.372</v>
          </cell>
          <cell r="U111">
            <v>-29.832000000000001</v>
          </cell>
          <cell r="V111">
            <v>-42.550999999999995</v>
          </cell>
          <cell r="W111">
            <v>-22.432000000000002</v>
          </cell>
          <cell r="X111">
            <v>-23.637</v>
          </cell>
          <cell r="Y111">
            <v>-118.452</v>
          </cell>
          <cell r="Z111">
            <v>-18.202999999999999</v>
          </cell>
          <cell r="AA111">
            <v>-21.248000000000001</v>
          </cell>
          <cell r="AB111">
            <v>-32.621999999999993</v>
          </cell>
          <cell r="AC111">
            <v>-17.415000000000006</v>
          </cell>
          <cell r="AD111">
            <v>-89.488</v>
          </cell>
          <cell r="AE111">
            <v>-12.252000000000001</v>
          </cell>
          <cell r="AF111">
            <v>-12.915999999999999</v>
          </cell>
          <cell r="AG111">
            <v>-15.942999999999998</v>
          </cell>
          <cell r="AH111">
            <v>-17.536000000000001</v>
          </cell>
          <cell r="AI111">
            <v>-58.646999999999998</v>
          </cell>
          <cell r="AJ111">
            <v>-8.8439999999999994</v>
          </cell>
          <cell r="AK111">
            <v>-8.5460000000000012</v>
          </cell>
          <cell r="AL111">
            <v>-16.889000000000003</v>
          </cell>
          <cell r="AM111">
            <v>-14.778999999999996</v>
          </cell>
          <cell r="AN111">
            <v>-49.058</v>
          </cell>
          <cell r="AO111">
            <v>-19.702000000000002</v>
          </cell>
          <cell r="AP111">
            <v>-11.069999999999997</v>
          </cell>
          <cell r="AQ111">
            <v>-21.831000000000003</v>
          </cell>
          <cell r="AR111">
            <v>-12.800999999999995</v>
          </cell>
          <cell r="AS111">
            <v>-65.403999999999996</v>
          </cell>
          <cell r="AT111">
            <v>-13.02</v>
          </cell>
          <cell r="AU111">
            <v>-23.763999999999999</v>
          </cell>
          <cell r="AV111">
            <v>-18.029000000000003</v>
          </cell>
          <cell r="AW111">
            <v>-20.438999999999993</v>
          </cell>
          <cell r="AX111">
            <v>-75.251999999999995</v>
          </cell>
          <cell r="AY111">
            <v>-9.8309999999999995</v>
          </cell>
          <cell r="AZ111">
            <v>-34.606999999999999</v>
          </cell>
          <cell r="BA111">
            <v>-21.482238411209689</v>
          </cell>
          <cell r="BB111">
            <v>-23.660355938056654</v>
          </cell>
          <cell r="BC111">
            <v>-89.580594349266349</v>
          </cell>
          <cell r="BD111">
            <v>-27.577813108815491</v>
          </cell>
          <cell r="BE111">
            <v>-30.231545419532551</v>
          </cell>
          <cell r="BF111">
            <v>-28.413179081122973</v>
          </cell>
          <cell r="BG111">
            <v>-28.884611758103283</v>
          </cell>
          <cell r="BH111">
            <v>-115.10714936757429</v>
          </cell>
          <cell r="BI111">
            <v>-31.812403287724685</v>
          </cell>
          <cell r="BJ111">
            <v>-34.752495189942096</v>
          </cell>
          <cell r="BK111">
            <v>-32.244085506499957</v>
          </cell>
          <cell r="BL111">
            <v>-32.782018588304297</v>
          </cell>
          <cell r="BM111">
            <v>-131.59100257247104</v>
          </cell>
          <cell r="BN111">
            <v>-36.587397097191122</v>
          </cell>
          <cell r="BO111">
            <v>-39.821628305809128</v>
          </cell>
          <cell r="BP111">
            <v>-36.497566361012225</v>
          </cell>
          <cell r="BQ111">
            <v>-37.090796012192342</v>
          </cell>
          <cell r="BR111">
            <v>-149.99738777620479</v>
          </cell>
          <cell r="BS111">
            <v>-41.950895115579144</v>
          </cell>
          <cell r="BT111">
            <v>-45.486228621411819</v>
          </cell>
          <cell r="BU111">
            <v>-41.19652730349835</v>
          </cell>
          <cell r="BV111">
            <v>-41.845157083363226</v>
          </cell>
          <cell r="BW111">
            <v>-170.47880812385256</v>
          </cell>
          <cell r="BX111">
            <v>-47.965530661282628</v>
          </cell>
          <cell r="BY111">
            <v>-51.806173365163744</v>
          </cell>
          <cell r="BZ111">
            <v>-46.377265851920782</v>
          </cell>
          <cell r="CA111">
            <v>-47.0846626529381</v>
          </cell>
          <cell r="CB111">
            <v>-193.23363253130526</v>
          </cell>
        </row>
        <row r="112">
          <cell r="B112" t="str">
            <v>Acquisitions</v>
          </cell>
          <cell r="C112" t="str">
            <v>ACQ</v>
          </cell>
          <cell r="D112" t="str">
            <v>USD</v>
          </cell>
          <cell r="F112"/>
          <cell r="G112"/>
          <cell r="H112">
            <v>0</v>
          </cell>
          <cell r="I112">
            <v>0</v>
          </cell>
          <cell r="J112">
            <v>0</v>
          </cell>
          <cell r="K112">
            <v>-0.184</v>
          </cell>
          <cell r="L112">
            <v>0</v>
          </cell>
          <cell r="M112">
            <v>0</v>
          </cell>
          <cell r="N112">
            <v>0</v>
          </cell>
          <cell r="O112">
            <v>-0.184</v>
          </cell>
          <cell r="P112">
            <v>0</v>
          </cell>
          <cell r="Q112">
            <v>0</v>
          </cell>
          <cell r="R112">
            <v>-22.792000000000002</v>
          </cell>
          <cell r="S112">
            <v>0.56500000000000128</v>
          </cell>
          <cell r="T112">
            <v>-22.227</v>
          </cell>
          <cell r="U112">
            <v>-18.661999999999999</v>
          </cell>
          <cell r="V112">
            <v>0</v>
          </cell>
          <cell r="W112">
            <v>-0.35500000000000043</v>
          </cell>
          <cell r="X112">
            <v>0</v>
          </cell>
          <cell r="Y112">
            <v>-19.016999999999999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-4.5</v>
          </cell>
          <cell r="AV112">
            <v>0</v>
          </cell>
          <cell r="AW112">
            <v>0</v>
          </cell>
          <cell r="AX112">
            <v>-4.5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  <cell r="CB112">
            <v>0</v>
          </cell>
        </row>
        <row r="113">
          <cell r="B113" t="str">
            <v>Divestitures</v>
          </cell>
          <cell r="C113" t="str">
            <v>DIVEST</v>
          </cell>
          <cell r="D113" t="str">
            <v>USD</v>
          </cell>
          <cell r="F113"/>
          <cell r="G113"/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5.9089999999999998</v>
          </cell>
          <cell r="AS113">
            <v>5.9089999999999998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  <cell r="BZ113">
            <v>0</v>
          </cell>
          <cell r="CA113">
            <v>0</v>
          </cell>
          <cell r="CB113">
            <v>0</v>
          </cell>
        </row>
        <row r="114">
          <cell r="B114" t="str">
            <v>Other investing cash flow items</v>
          </cell>
          <cell r="C114" t="str">
            <v>OTH_INV_CF</v>
          </cell>
          <cell r="D114" t="str">
            <v>USD</v>
          </cell>
          <cell r="F114"/>
          <cell r="G114"/>
          <cell r="H114">
            <v>0</v>
          </cell>
          <cell r="I114">
            <v>-83.359000000000009</v>
          </cell>
          <cell r="J114">
            <v>-4.2099999999999937</v>
          </cell>
          <cell r="K114">
            <v>-35.859999999999985</v>
          </cell>
          <cell r="L114">
            <v>-7.8500000000000014</v>
          </cell>
          <cell r="M114">
            <v>-20.527999999999992</v>
          </cell>
          <cell r="N114">
            <v>-61.491000000000014</v>
          </cell>
          <cell r="O114">
            <v>-125.729</v>
          </cell>
          <cell r="P114">
            <v>-23.187999999999995</v>
          </cell>
          <cell r="Q114">
            <v>-74.986999999999995</v>
          </cell>
          <cell r="R114">
            <v>-239.73399999999998</v>
          </cell>
          <cell r="S114">
            <v>-81.047000000000082</v>
          </cell>
          <cell r="T114">
            <v>-418.95600000000002</v>
          </cell>
          <cell r="U114">
            <v>63.642999999999986</v>
          </cell>
          <cell r="V114">
            <v>66.887000000000015</v>
          </cell>
          <cell r="W114">
            <v>5.4519999999999698</v>
          </cell>
          <cell r="X114">
            <v>-15.362999999999943</v>
          </cell>
          <cell r="Y114">
            <v>120.61900000000003</v>
          </cell>
          <cell r="Z114">
            <v>-142.16299999999998</v>
          </cell>
          <cell r="AA114">
            <v>49.053999999999959</v>
          </cell>
          <cell r="AB114">
            <v>138.03000000000003</v>
          </cell>
          <cell r="AC114">
            <v>69.126000000000005</v>
          </cell>
          <cell r="AD114">
            <v>114.04700000000001</v>
          </cell>
          <cell r="AE114">
            <v>-416.42000000000007</v>
          </cell>
          <cell r="AF114">
            <v>-179.30500000000001</v>
          </cell>
          <cell r="AG114">
            <v>7.085000000000008</v>
          </cell>
          <cell r="AH114">
            <v>50.134000000000015</v>
          </cell>
          <cell r="AI114">
            <v>-538.50600000000009</v>
          </cell>
          <cell r="AJ114">
            <v>-2.7000000000011681E-2</v>
          </cell>
          <cell r="AK114">
            <v>30.574999999999989</v>
          </cell>
          <cell r="AL114">
            <v>-27.814999999999941</v>
          </cell>
          <cell r="AM114">
            <v>-7.8640000000001464</v>
          </cell>
          <cell r="AN114">
            <v>-5.1310000000001104</v>
          </cell>
          <cell r="AO114">
            <v>11.464999999999975</v>
          </cell>
          <cell r="AP114">
            <v>8.6630000000000109</v>
          </cell>
          <cell r="AQ114">
            <v>-8.3980000000000814</v>
          </cell>
          <cell r="AR114">
            <v>-2.0199999999999818</v>
          </cell>
          <cell r="AS114">
            <v>9.7099999999999227</v>
          </cell>
          <cell r="AT114">
            <v>-29.198000000000008</v>
          </cell>
          <cell r="AU114">
            <v>3.1629999999999825</v>
          </cell>
          <cell r="AV114">
            <v>-88.479999999999961</v>
          </cell>
          <cell r="AW114">
            <v>723.85599999999999</v>
          </cell>
          <cell r="AX114">
            <v>609.34100000000001</v>
          </cell>
          <cell r="AY114">
            <v>-18.363</v>
          </cell>
          <cell r="AZ114">
            <v>-312.654</v>
          </cell>
          <cell r="BA114">
            <v>0</v>
          </cell>
          <cell r="BB114">
            <v>0</v>
          </cell>
          <cell r="BC114">
            <v>-331.01699999999994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</row>
        <row r="115">
          <cell r="B115" t="str">
            <v>Cash flow from investing</v>
          </cell>
          <cell r="C115" t="str">
            <v>CF_INV</v>
          </cell>
          <cell r="D115" t="str">
            <v>USD</v>
          </cell>
          <cell r="F115"/>
          <cell r="G115"/>
          <cell r="H115">
            <v>-19.032</v>
          </cell>
          <cell r="I115">
            <v>-106.667</v>
          </cell>
          <cell r="J115">
            <v>-46.503999999999991</v>
          </cell>
          <cell r="K115">
            <v>-47.958999999999982</v>
          </cell>
          <cell r="L115">
            <v>-20.551000000000002</v>
          </cell>
          <cell r="M115">
            <v>-33.708999999999989</v>
          </cell>
          <cell r="N115">
            <v>-73.875000000000014</v>
          </cell>
          <cell r="O115">
            <v>-176.09399999999999</v>
          </cell>
          <cell r="P115">
            <v>-41.152999999999992</v>
          </cell>
          <cell r="Q115">
            <v>-89.014999999999986</v>
          </cell>
          <cell r="R115">
            <v>-276.62199999999996</v>
          </cell>
          <cell r="S115">
            <v>-96.765000000000086</v>
          </cell>
          <cell r="T115">
            <v>-503.55500000000001</v>
          </cell>
          <cell r="U115">
            <v>15.148999999999987</v>
          </cell>
          <cell r="V115">
            <v>24.33600000000002</v>
          </cell>
          <cell r="W115">
            <v>-17.335000000000033</v>
          </cell>
          <cell r="X115">
            <v>-38.999999999999943</v>
          </cell>
          <cell r="Y115">
            <v>-16.849999999999966</v>
          </cell>
          <cell r="Z115">
            <v>-160.36599999999999</v>
          </cell>
          <cell r="AA115">
            <v>27.805999999999958</v>
          </cell>
          <cell r="AB115">
            <v>105.40800000000004</v>
          </cell>
          <cell r="AC115">
            <v>51.710999999999999</v>
          </cell>
          <cell r="AD115">
            <v>24.559000000000012</v>
          </cell>
          <cell r="AE115">
            <v>-428.67200000000008</v>
          </cell>
          <cell r="AF115">
            <v>-192.221</v>
          </cell>
          <cell r="AG115">
            <v>-8.8579999999999899</v>
          </cell>
          <cell r="AH115">
            <v>32.598000000000013</v>
          </cell>
          <cell r="AI115">
            <v>-597.15300000000013</v>
          </cell>
          <cell r="AJ115">
            <v>-8.8710000000000111</v>
          </cell>
          <cell r="AK115">
            <v>22.028999999999989</v>
          </cell>
          <cell r="AL115">
            <v>-44.703999999999944</v>
          </cell>
          <cell r="AM115">
            <v>-22.643000000000143</v>
          </cell>
          <cell r="AN115">
            <v>-54.189000000000107</v>
          </cell>
          <cell r="AO115">
            <v>-8.2370000000000267</v>
          </cell>
          <cell r="AP115">
            <v>-2.4069999999999858</v>
          </cell>
          <cell r="AQ115">
            <v>-30.229000000000084</v>
          </cell>
          <cell r="AR115">
            <v>-8.9119999999999777</v>
          </cell>
          <cell r="AS115">
            <v>-49.785000000000075</v>
          </cell>
          <cell r="AT115">
            <v>-42.218000000000004</v>
          </cell>
          <cell r="AU115">
            <v>-25.101000000000017</v>
          </cell>
          <cell r="AV115">
            <v>-106.50899999999996</v>
          </cell>
          <cell r="AW115">
            <v>703.41700000000003</v>
          </cell>
          <cell r="AX115">
            <v>529.58900000000006</v>
          </cell>
          <cell r="AY115">
            <v>-28.193999999999999</v>
          </cell>
          <cell r="AZ115">
            <v>-347.26099999999997</v>
          </cell>
          <cell r="BA115">
            <v>-21.482238411209689</v>
          </cell>
          <cell r="BB115">
            <v>-23.660355938056654</v>
          </cell>
          <cell r="BC115">
            <v>-420.59759434926627</v>
          </cell>
          <cell r="BD115">
            <v>-27.577813108815491</v>
          </cell>
          <cell r="BE115">
            <v>-30.231545419532551</v>
          </cell>
          <cell r="BF115">
            <v>-28.413179081122973</v>
          </cell>
          <cell r="BG115">
            <v>-28.884611758103283</v>
          </cell>
          <cell r="BH115">
            <v>-115.10714936757429</v>
          </cell>
          <cell r="BI115">
            <v>-31.812403287724685</v>
          </cell>
          <cell r="BJ115">
            <v>-34.752495189942096</v>
          </cell>
          <cell r="BK115">
            <v>-32.244085506499957</v>
          </cell>
          <cell r="BL115">
            <v>-32.782018588304297</v>
          </cell>
          <cell r="BM115">
            <v>-131.59100257247104</v>
          </cell>
          <cell r="BN115">
            <v>-36.587397097191122</v>
          </cell>
          <cell r="BO115">
            <v>-39.821628305809128</v>
          </cell>
          <cell r="BP115">
            <v>-36.497566361012225</v>
          </cell>
          <cell r="BQ115">
            <v>-37.090796012192342</v>
          </cell>
          <cell r="BR115">
            <v>-149.99738777620479</v>
          </cell>
          <cell r="BS115">
            <v>-41.950895115579144</v>
          </cell>
          <cell r="BT115">
            <v>-45.486228621411819</v>
          </cell>
          <cell r="BU115">
            <v>-41.19652730349835</v>
          </cell>
          <cell r="BV115">
            <v>-41.845157083363226</v>
          </cell>
          <cell r="BW115">
            <v>-170.47880812385256</v>
          </cell>
          <cell r="BX115">
            <v>-47.965530661282628</v>
          </cell>
          <cell r="BY115">
            <v>-51.806173365163744</v>
          </cell>
          <cell r="BZ115">
            <v>-46.377265851920782</v>
          </cell>
          <cell r="CA115">
            <v>-47.0846626529381</v>
          </cell>
          <cell r="CB115">
            <v>-193.23363253130526</v>
          </cell>
        </row>
        <row r="116">
          <cell r="B116" t="str">
            <v>Dividends paid</v>
          </cell>
          <cell r="C116" t="str">
            <v>DIV_PAID</v>
          </cell>
          <cell r="D116" t="str">
            <v>USD</v>
          </cell>
          <cell r="F116"/>
          <cell r="G116"/>
          <cell r="H116"/>
          <cell r="I116"/>
          <cell r="J116"/>
          <cell r="K116"/>
          <cell r="L116"/>
          <cell r="M116"/>
          <cell r="N116"/>
          <cell r="O116"/>
          <cell r="P116"/>
          <cell r="Q116"/>
          <cell r="R116"/>
          <cell r="S116"/>
          <cell r="T116"/>
          <cell r="U116"/>
          <cell r="V116"/>
          <cell r="W116"/>
          <cell r="X116"/>
          <cell r="Y116"/>
          <cell r="Z116"/>
          <cell r="AA116"/>
          <cell r="AB116"/>
          <cell r="AC116"/>
          <cell r="AD116"/>
          <cell r="AE116"/>
          <cell r="AF116"/>
          <cell r="AG116"/>
          <cell r="AH116"/>
          <cell r="AI116"/>
          <cell r="AJ116"/>
          <cell r="AK116"/>
          <cell r="AL116"/>
          <cell r="AM116"/>
          <cell r="AN116"/>
          <cell r="AO116"/>
          <cell r="AP116"/>
          <cell r="AQ116"/>
          <cell r="AR116"/>
          <cell r="AS116"/>
          <cell r="AT116"/>
          <cell r="AU116"/>
          <cell r="AV116"/>
          <cell r="AW116"/>
          <cell r="AX116"/>
          <cell r="AY116"/>
          <cell r="AZ116"/>
          <cell r="BA116"/>
          <cell r="BB116"/>
          <cell r="BC116"/>
          <cell r="BD116"/>
          <cell r="BE116"/>
          <cell r="BF116"/>
          <cell r="BG116"/>
          <cell r="BH116"/>
          <cell r="BI116"/>
          <cell r="BJ116"/>
          <cell r="BK116"/>
          <cell r="BL116"/>
          <cell r="BM116"/>
          <cell r="BN116"/>
          <cell r="BO116"/>
          <cell r="BP116"/>
          <cell r="BQ116"/>
          <cell r="BR116"/>
          <cell r="BS116"/>
          <cell r="BT116"/>
          <cell r="BU116"/>
          <cell r="BV116"/>
          <cell r="BW116"/>
          <cell r="BX116"/>
          <cell r="BY116"/>
          <cell r="BZ116"/>
          <cell r="CA116"/>
          <cell r="CB116"/>
        </row>
        <row r="117">
          <cell r="B117" t="str">
            <v>Common stock issuance/(repurchase)</v>
          </cell>
          <cell r="C117" t="str">
            <v>SH_REPUR</v>
          </cell>
          <cell r="D117" t="str">
            <v>USD</v>
          </cell>
          <cell r="F117"/>
          <cell r="G117"/>
          <cell r="H117">
            <v>3.53</v>
          </cell>
          <cell r="I117">
            <v>4.75</v>
          </cell>
          <cell r="J117">
            <v>3.149</v>
          </cell>
          <cell r="K117">
            <v>255.92700000000002</v>
          </cell>
          <cell r="L117">
            <v>0.70800000000000018</v>
          </cell>
          <cell r="M117">
            <v>24.481999999999999</v>
          </cell>
          <cell r="N117">
            <v>5.5919999999999987</v>
          </cell>
          <cell r="O117">
            <v>286.709</v>
          </cell>
          <cell r="P117">
            <v>25.231000000000002</v>
          </cell>
          <cell r="Q117">
            <v>11.588000000000001</v>
          </cell>
          <cell r="R117">
            <v>31.367000000000004</v>
          </cell>
          <cell r="S117">
            <v>3.8239999999999981</v>
          </cell>
          <cell r="T117">
            <v>72.010000000000005</v>
          </cell>
          <cell r="U117">
            <v>29.89</v>
          </cell>
          <cell r="V117">
            <v>3.4739999999999966</v>
          </cell>
          <cell r="W117">
            <v>33.913000000000004</v>
          </cell>
          <cell r="X117">
            <v>1.9329999999999927</v>
          </cell>
          <cell r="Y117">
            <v>69.209999999999994</v>
          </cell>
          <cell r="Z117">
            <v>23.972999999999999</v>
          </cell>
          <cell r="AA117">
            <v>2.5130000000000017</v>
          </cell>
          <cell r="AB117">
            <v>30.029</v>
          </cell>
          <cell r="AC117">
            <v>1.2819999999999965</v>
          </cell>
          <cell r="AD117">
            <v>57.796999999999997</v>
          </cell>
          <cell r="AE117">
            <v>-105.47899999999998</v>
          </cell>
          <cell r="AF117">
            <v>2.3039999999999985</v>
          </cell>
          <cell r="AG117">
            <v>40.439000000000007</v>
          </cell>
          <cell r="AH117">
            <v>3.4230000000000018</v>
          </cell>
          <cell r="AI117">
            <v>-59.312999999999988</v>
          </cell>
          <cell r="AJ117">
            <v>-28.431000000000001</v>
          </cell>
          <cell r="AK117">
            <v>1.9139999999999979</v>
          </cell>
          <cell r="AL117">
            <v>34.591000000000008</v>
          </cell>
          <cell r="AM117">
            <v>1.1819999999999879</v>
          </cell>
          <cell r="AN117">
            <v>9.2559999999999931</v>
          </cell>
          <cell r="AO117">
            <v>22.186</v>
          </cell>
          <cell r="AP117">
            <v>0.71000000000000085</v>
          </cell>
          <cell r="AQ117">
            <v>0.37199999999999989</v>
          </cell>
          <cell r="AR117">
            <v>23.232999999999997</v>
          </cell>
          <cell r="AS117">
            <v>46.500999999999998</v>
          </cell>
          <cell r="AT117">
            <v>-3.7300000000000022</v>
          </cell>
          <cell r="AU117">
            <v>-40.308999999999997</v>
          </cell>
          <cell r="AV117">
            <v>-11.431999999999995</v>
          </cell>
          <cell r="AW117">
            <v>-24.097000000000008</v>
          </cell>
          <cell r="AX117">
            <v>-79.568000000000012</v>
          </cell>
          <cell r="AY117">
            <v>8.0129999999999981</v>
          </cell>
          <cell r="AZ117">
            <v>-198.81299999999999</v>
          </cell>
          <cell r="BA117">
            <v>-20</v>
          </cell>
          <cell r="BB117">
            <v>-20</v>
          </cell>
          <cell r="BC117">
            <v>-230.8</v>
          </cell>
          <cell r="BD117">
            <v>-20</v>
          </cell>
          <cell r="BE117">
            <v>-20</v>
          </cell>
          <cell r="BF117">
            <v>-20</v>
          </cell>
          <cell r="BG117">
            <v>-20</v>
          </cell>
          <cell r="BH117">
            <v>-80</v>
          </cell>
          <cell r="BI117">
            <v>-20</v>
          </cell>
          <cell r="BJ117">
            <v>-20</v>
          </cell>
          <cell r="BK117">
            <v>-18.77</v>
          </cell>
          <cell r="BL117">
            <v>0</v>
          </cell>
          <cell r="BM117">
            <v>-58.769999999999996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  <cell r="CB117">
            <v>0</v>
          </cell>
        </row>
        <row r="118">
          <cell r="B118" t="str">
            <v>Increase/(decrease) in total debt</v>
          </cell>
          <cell r="C118" t="str">
            <v>CHG_LT_DEBT</v>
          </cell>
          <cell r="D118" t="str">
            <v>USD</v>
          </cell>
          <cell r="F118"/>
          <cell r="G118"/>
          <cell r="H118">
            <v>0</v>
          </cell>
          <cell r="I118">
            <v>0</v>
          </cell>
          <cell r="J118">
            <v>73.254999999999995</v>
          </cell>
          <cell r="K118">
            <v>-82.123999999999995</v>
          </cell>
          <cell r="L118">
            <v>0</v>
          </cell>
          <cell r="M118">
            <v>0</v>
          </cell>
          <cell r="N118">
            <v>0</v>
          </cell>
          <cell r="O118">
            <v>-82.123999999999995</v>
          </cell>
          <cell r="P118">
            <v>0</v>
          </cell>
          <cell r="Q118">
            <v>564.21900000000005</v>
          </cell>
          <cell r="R118">
            <v>-1.710000000000039</v>
          </cell>
          <cell r="S118">
            <v>-0.61800000000002275</v>
          </cell>
          <cell r="T118">
            <v>561.89099999999996</v>
          </cell>
          <cell r="U118">
            <v>-1.0660000000000001</v>
          </cell>
          <cell r="V118">
            <v>0</v>
          </cell>
          <cell r="W118">
            <v>0</v>
          </cell>
          <cell r="X118">
            <v>0</v>
          </cell>
          <cell r="Y118">
            <v>-1.0660000000000001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723.75699999999995</v>
          </cell>
          <cell r="AF118">
            <v>-0.13999999999998636</v>
          </cell>
          <cell r="AG118">
            <v>0</v>
          </cell>
          <cell r="AH118">
            <v>0</v>
          </cell>
          <cell r="AI118">
            <v>723.61699999999996</v>
          </cell>
          <cell r="AJ118">
            <v>89.128</v>
          </cell>
          <cell r="AK118">
            <v>0</v>
          </cell>
          <cell r="AL118">
            <v>-0.4410000000000025</v>
          </cell>
          <cell r="AM118">
            <v>0</v>
          </cell>
          <cell r="AN118">
            <v>88.686999999999998</v>
          </cell>
          <cell r="AO118">
            <v>0</v>
          </cell>
          <cell r="AP118">
            <v>-145.70400000000001</v>
          </cell>
          <cell r="AQ118">
            <v>0</v>
          </cell>
          <cell r="AR118">
            <v>0</v>
          </cell>
          <cell r="AS118">
            <v>-145.70400000000001</v>
          </cell>
          <cell r="AT118">
            <v>0</v>
          </cell>
          <cell r="AU118">
            <v>0</v>
          </cell>
          <cell r="AV118">
            <v>0</v>
          </cell>
          <cell r="AW118">
            <v>-817.63300000000004</v>
          </cell>
          <cell r="AX118">
            <v>-817.63300000000004</v>
          </cell>
          <cell r="AY118">
            <v>0</v>
          </cell>
          <cell r="AZ118">
            <v>848.01</v>
          </cell>
          <cell r="BA118">
            <v>0</v>
          </cell>
          <cell r="BB118">
            <v>0</v>
          </cell>
          <cell r="BC118">
            <v>848.01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</row>
        <row r="119">
          <cell r="B119" t="str">
            <v>Lease principal payments  (applicable to IFRS cos.)</v>
          </cell>
          <cell r="C119" t="str">
            <v>LEASE_PRINCIPAL_CASH</v>
          </cell>
          <cell r="D119" t="str">
            <v>USD</v>
          </cell>
          <cell r="F119"/>
          <cell r="G119"/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-0.45900000000000002</v>
          </cell>
          <cell r="AI119">
            <v>-0.45900000000000002</v>
          </cell>
          <cell r="AJ119">
            <v>-0.219</v>
          </cell>
          <cell r="AK119">
            <v>-0.10400000000000001</v>
          </cell>
          <cell r="AL119">
            <v>-0.30299999999999999</v>
          </cell>
          <cell r="AM119">
            <v>-0.46299999999999997</v>
          </cell>
          <cell r="AN119">
            <v>-1.089</v>
          </cell>
          <cell r="AO119">
            <v>-1.8560000000000001</v>
          </cell>
          <cell r="AP119">
            <v>-0.48799999999999977</v>
          </cell>
          <cell r="AQ119">
            <v>-1.367</v>
          </cell>
          <cell r="AR119">
            <v>0.41900000000000004</v>
          </cell>
          <cell r="AS119">
            <v>-3.2919999999999998</v>
          </cell>
          <cell r="AT119">
            <v>-0.63700000000000001</v>
          </cell>
          <cell r="AU119">
            <v>-1.121</v>
          </cell>
          <cell r="AV119">
            <v>-1.17</v>
          </cell>
          <cell r="AW119">
            <v>-0.94799999999999995</v>
          </cell>
          <cell r="AX119">
            <v>-3.8759999999999999</v>
          </cell>
          <cell r="AY119">
            <v>-0.96399999999999997</v>
          </cell>
          <cell r="AZ119">
            <v>-0.98100000000000009</v>
          </cell>
          <cell r="BA119">
            <v>0</v>
          </cell>
          <cell r="BB119">
            <v>0</v>
          </cell>
          <cell r="BC119">
            <v>-1.9450000000000001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0</v>
          </cell>
          <cell r="BY119">
            <v>0</v>
          </cell>
          <cell r="BZ119">
            <v>0</v>
          </cell>
          <cell r="CA119">
            <v>0</v>
          </cell>
          <cell r="CB119">
            <v>0</v>
          </cell>
        </row>
        <row r="120">
          <cell r="B120" t="str">
            <v>Other financing cash flow items</v>
          </cell>
          <cell r="C120" t="str">
            <v>OTH_FIN_CF</v>
          </cell>
          <cell r="D120" t="str">
            <v>USD</v>
          </cell>
          <cell r="F120"/>
          <cell r="G120"/>
          <cell r="H120">
            <v>100.64699999999999</v>
          </cell>
          <cell r="I120">
            <v>138.005</v>
          </cell>
          <cell r="J120">
            <v>-2.206</v>
          </cell>
          <cell r="K120">
            <v>-3.75</v>
          </cell>
          <cell r="L120">
            <v>0.6339999999999999</v>
          </cell>
          <cell r="M120">
            <v>4.0000000000000036E-3</v>
          </cell>
          <cell r="N120">
            <v>-5.1000000000000087E-2</v>
          </cell>
          <cell r="O120">
            <v>-3.1630000000000003</v>
          </cell>
          <cell r="P120">
            <v>-1.214</v>
          </cell>
          <cell r="Q120">
            <v>-55.219000000000015</v>
          </cell>
          <cell r="R120">
            <v>1.6000000000000014E-2</v>
          </cell>
          <cell r="S120">
            <v>8.999999999999897E-3</v>
          </cell>
          <cell r="T120">
            <v>-56.408000000000015</v>
          </cell>
          <cell r="U120">
            <v>1.4000000000000012E-2</v>
          </cell>
          <cell r="V120">
            <v>-7.6000000000000068E-2</v>
          </cell>
          <cell r="W120">
            <v>-0.97900000000000009</v>
          </cell>
          <cell r="X120">
            <v>-1.718</v>
          </cell>
          <cell r="Y120">
            <v>-2.7590000000000003</v>
          </cell>
          <cell r="Z120">
            <v>-0.30200000000000005</v>
          </cell>
          <cell r="AA120">
            <v>4.4999999999999929E-2</v>
          </cell>
          <cell r="AB120">
            <v>6.2000000000000277E-2</v>
          </cell>
          <cell r="AC120">
            <v>-0.21700000000000008</v>
          </cell>
          <cell r="AD120">
            <v>-0.41199999999999992</v>
          </cell>
          <cell r="AE120">
            <v>0.21200000000000019</v>
          </cell>
          <cell r="AF120">
            <v>-0.16800000000000015</v>
          </cell>
          <cell r="AG120">
            <v>-5.500000000000016E-2</v>
          </cell>
          <cell r="AH120">
            <v>0.11500000000000021</v>
          </cell>
          <cell r="AI120">
            <v>0.10400000000000009</v>
          </cell>
          <cell r="AJ120">
            <v>6.7160000000000029</v>
          </cell>
          <cell r="AK120">
            <v>0.15799999999999992</v>
          </cell>
          <cell r="AL120">
            <v>-4.0000000000000036E-3</v>
          </cell>
          <cell r="AM120">
            <v>4.8999999999999932E-2</v>
          </cell>
          <cell r="AN120">
            <v>6.9190000000000023</v>
          </cell>
          <cell r="AO120">
            <v>0.16100000000000003</v>
          </cell>
          <cell r="AP120">
            <v>-0.21099999999999985</v>
          </cell>
          <cell r="AQ120">
            <v>-9.9559999999999995</v>
          </cell>
          <cell r="AR120">
            <v>-3.8000000000000256E-2</v>
          </cell>
          <cell r="AS120">
            <v>-10.044</v>
          </cell>
          <cell r="AT120">
            <v>0.64500000000000002</v>
          </cell>
          <cell r="AU120">
            <v>-53.092999999999996</v>
          </cell>
          <cell r="AV120">
            <v>-58.461000000000006</v>
          </cell>
          <cell r="AW120">
            <v>-48.192999999999991</v>
          </cell>
          <cell r="AX120">
            <v>-159.102</v>
          </cell>
          <cell r="AY120">
            <v>-79.272000000000006</v>
          </cell>
          <cell r="AZ120">
            <v>-167.06800000000001</v>
          </cell>
          <cell r="BA120">
            <v>0</v>
          </cell>
          <cell r="BB120">
            <v>0</v>
          </cell>
          <cell r="BC120">
            <v>-246.33999999999997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</row>
        <row r="121">
          <cell r="B121" t="str">
            <v>Cash flow from financing</v>
          </cell>
          <cell r="C121" t="str">
            <v>CF_FIN</v>
          </cell>
          <cell r="D121" t="str">
            <v>USD</v>
          </cell>
          <cell r="F121"/>
          <cell r="G121"/>
          <cell r="H121">
            <v>104.17699999999999</v>
          </cell>
          <cell r="I121">
            <v>142.755</v>
          </cell>
          <cell r="J121">
            <v>74.197999999999993</v>
          </cell>
          <cell r="K121">
            <v>170.05300000000003</v>
          </cell>
          <cell r="L121">
            <v>1.3420000000000001</v>
          </cell>
          <cell r="M121">
            <v>24.486000000000001</v>
          </cell>
          <cell r="N121">
            <v>5.5409999999999986</v>
          </cell>
          <cell r="O121">
            <v>201.422</v>
          </cell>
          <cell r="P121">
            <v>24.016999999999999</v>
          </cell>
          <cell r="Q121">
            <v>520.58799999999997</v>
          </cell>
          <cell r="R121">
            <v>29.672999999999966</v>
          </cell>
          <cell r="S121">
            <v>3.2149999999999754</v>
          </cell>
          <cell r="T121">
            <v>577.49299999999982</v>
          </cell>
          <cell r="U121">
            <v>28.838000000000001</v>
          </cell>
          <cell r="V121">
            <v>3.3979999999999966</v>
          </cell>
          <cell r="W121">
            <v>32.934000000000005</v>
          </cell>
          <cell r="X121">
            <v>0.21499999999999275</v>
          </cell>
          <cell r="Y121">
            <v>65.384999999999991</v>
          </cell>
          <cell r="Z121">
            <v>23.670999999999999</v>
          </cell>
          <cell r="AA121">
            <v>2.5580000000000016</v>
          </cell>
          <cell r="AB121">
            <v>30.091000000000001</v>
          </cell>
          <cell r="AC121">
            <v>1.0649999999999964</v>
          </cell>
          <cell r="AD121">
            <v>57.384999999999998</v>
          </cell>
          <cell r="AE121">
            <v>618.49</v>
          </cell>
          <cell r="AF121">
            <v>1.996000000000012</v>
          </cell>
          <cell r="AG121">
            <v>40.384000000000007</v>
          </cell>
          <cell r="AH121">
            <v>3.079000000000002</v>
          </cell>
          <cell r="AI121">
            <v>663.94900000000007</v>
          </cell>
          <cell r="AJ121">
            <v>67.194000000000017</v>
          </cell>
          <cell r="AK121">
            <v>1.9679999999999978</v>
          </cell>
          <cell r="AL121">
            <v>33.843000000000011</v>
          </cell>
          <cell r="AM121">
            <v>0.76799999999998791</v>
          </cell>
          <cell r="AN121">
            <v>103.773</v>
          </cell>
          <cell r="AO121">
            <v>20.491</v>
          </cell>
          <cell r="AP121">
            <v>-145.69300000000001</v>
          </cell>
          <cell r="AQ121">
            <v>-10.951000000000001</v>
          </cell>
          <cell r="AR121">
            <v>23.613999999999997</v>
          </cell>
          <cell r="AS121">
            <v>-112.539</v>
          </cell>
          <cell r="AT121">
            <v>-3.7220000000000026</v>
          </cell>
          <cell r="AU121">
            <v>-94.522999999999996</v>
          </cell>
          <cell r="AV121">
            <v>-71.063000000000002</v>
          </cell>
          <cell r="AW121">
            <v>-890.87099999999998</v>
          </cell>
          <cell r="AX121">
            <v>-1060.1790000000001</v>
          </cell>
          <cell r="AY121">
            <v>-72.222999999999999</v>
          </cell>
          <cell r="AZ121">
            <v>481.14800000000014</v>
          </cell>
          <cell r="BA121">
            <v>-20</v>
          </cell>
          <cell r="BB121">
            <v>-20</v>
          </cell>
          <cell r="BC121">
            <v>368.92499999999995</v>
          </cell>
          <cell r="BD121">
            <v>-20</v>
          </cell>
          <cell r="BE121">
            <v>-20</v>
          </cell>
          <cell r="BF121">
            <v>-20</v>
          </cell>
          <cell r="BG121">
            <v>-20</v>
          </cell>
          <cell r="BH121">
            <v>-80</v>
          </cell>
          <cell r="BI121">
            <v>-20</v>
          </cell>
          <cell r="BJ121">
            <v>-20</v>
          </cell>
          <cell r="BK121">
            <v>-18.77</v>
          </cell>
          <cell r="BL121">
            <v>0</v>
          </cell>
          <cell r="BM121">
            <v>-58.769999999999996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BV121">
            <v>0</v>
          </cell>
          <cell r="BW121">
            <v>0</v>
          </cell>
          <cell r="BX121">
            <v>0</v>
          </cell>
          <cell r="BY121">
            <v>0</v>
          </cell>
          <cell r="BZ121">
            <v>0</v>
          </cell>
          <cell r="CA121">
            <v>0</v>
          </cell>
          <cell r="CB121">
            <v>0</v>
          </cell>
        </row>
        <row r="122">
          <cell r="B122" t="str">
            <v>Total cash flow</v>
          </cell>
          <cell r="C122" t="str">
            <v>TOT_CF</v>
          </cell>
          <cell r="D122" t="str">
            <v>USD</v>
          </cell>
          <cell r="F122"/>
          <cell r="G122"/>
          <cell r="H122">
            <v>39.438000000000002</v>
          </cell>
          <cell r="I122">
            <v>10.394000000000005</v>
          </cell>
          <cell r="J122">
            <v>31.330000000000027</v>
          </cell>
          <cell r="K122">
            <v>126.25400000000005</v>
          </cell>
          <cell r="L122">
            <v>0.5430000000000077</v>
          </cell>
          <cell r="M122">
            <v>-25.232000000000031</v>
          </cell>
          <cell r="N122">
            <v>-62.41500000000002</v>
          </cell>
          <cell r="O122">
            <v>39.150000000000006</v>
          </cell>
          <cell r="P122">
            <v>-7.0379999999999807</v>
          </cell>
          <cell r="Q122">
            <v>477.98699999999997</v>
          </cell>
          <cell r="R122">
            <v>-233.65699999999998</v>
          </cell>
          <cell r="S122">
            <v>-70.814000000000092</v>
          </cell>
          <cell r="T122">
            <v>166.47799999999992</v>
          </cell>
          <cell r="U122">
            <v>93.810999999999979</v>
          </cell>
          <cell r="V122">
            <v>66.224000000000018</v>
          </cell>
          <cell r="W122">
            <v>-20.890999999999984</v>
          </cell>
          <cell r="X122">
            <v>-48.441000000000074</v>
          </cell>
          <cell r="Y122">
            <v>90.702999999999918</v>
          </cell>
          <cell r="Z122">
            <v>-162.85800000000003</v>
          </cell>
          <cell r="AA122">
            <v>-22.127000000000095</v>
          </cell>
          <cell r="AB122">
            <v>50.638000000000133</v>
          </cell>
          <cell r="AC122">
            <v>56.406000000000077</v>
          </cell>
          <cell r="AD122">
            <v>-77.940999999999917</v>
          </cell>
          <cell r="AE122">
            <v>185.74499999999989</v>
          </cell>
          <cell r="AF122">
            <v>-205.78200000000001</v>
          </cell>
          <cell r="AG122">
            <v>-24.02399999999998</v>
          </cell>
          <cell r="AH122">
            <v>11.04700000000002</v>
          </cell>
          <cell r="AI122">
            <v>-33.014000000000067</v>
          </cell>
          <cell r="AJ122">
            <v>64.908000000000015</v>
          </cell>
          <cell r="AK122">
            <v>50.118000000000045</v>
          </cell>
          <cell r="AL122">
            <v>-14.027999999999944</v>
          </cell>
          <cell r="AM122">
            <v>16.128999999999834</v>
          </cell>
          <cell r="AN122">
            <v>117.12699999999995</v>
          </cell>
          <cell r="AO122">
            <v>77.766999999999996</v>
          </cell>
          <cell r="AP122">
            <v>-74.015999999999948</v>
          </cell>
          <cell r="AQ122">
            <v>33.316999999999972</v>
          </cell>
          <cell r="AR122">
            <v>73.011000000000138</v>
          </cell>
          <cell r="AS122">
            <v>110.07900000000015</v>
          </cell>
          <cell r="AT122">
            <v>99.53300000000003</v>
          </cell>
          <cell r="AU122">
            <v>66.783999999999963</v>
          </cell>
          <cell r="AV122">
            <v>-81.21899999999998</v>
          </cell>
          <cell r="AW122">
            <v>57.243000000000016</v>
          </cell>
          <cell r="AX122">
            <v>142.34100000000001</v>
          </cell>
          <cell r="AY122">
            <v>61.333999999999882</v>
          </cell>
          <cell r="AZ122">
            <v>355.55700000000019</v>
          </cell>
          <cell r="BA122">
            <v>67.802145036640042</v>
          </cell>
          <cell r="BB122">
            <v>231.63644839880627</v>
          </cell>
          <cell r="BC122">
            <v>716.32959343544633</v>
          </cell>
          <cell r="BD122">
            <v>181.59350646198894</v>
          </cell>
          <cell r="BE122">
            <v>198.07153803638107</v>
          </cell>
          <cell r="BF122">
            <v>96.359075282028456</v>
          </cell>
          <cell r="BG122">
            <v>271.40852390614606</v>
          </cell>
          <cell r="BH122">
            <v>747.43264368654445</v>
          </cell>
          <cell r="BI122">
            <v>226.59225884628637</v>
          </cell>
          <cell r="BJ122">
            <v>244.34754610080699</v>
          </cell>
          <cell r="BK122">
            <v>135.64738129259635</v>
          </cell>
          <cell r="BL122">
            <v>357.139845257508</v>
          </cell>
          <cell r="BM122">
            <v>963.72703149719769</v>
          </cell>
          <cell r="BN122">
            <v>304.49510896705476</v>
          </cell>
          <cell r="BO122">
            <v>321.96587123700715</v>
          </cell>
          <cell r="BP122">
            <v>187.6641668927108</v>
          </cell>
          <cell r="BQ122">
            <v>438.16318588555049</v>
          </cell>
          <cell r="BR122">
            <v>1252.2883329823233</v>
          </cell>
          <cell r="BS122">
            <v>370.8324196708063</v>
          </cell>
          <cell r="BT122">
            <v>391.95330264139398</v>
          </cell>
          <cell r="BU122">
            <v>225.59162151952123</v>
          </cell>
          <cell r="BV122">
            <v>533.78451709632861</v>
          </cell>
          <cell r="BW122">
            <v>1522.1618609280501</v>
          </cell>
          <cell r="BX122">
            <v>448.75404831608898</v>
          </cell>
          <cell r="BY122">
            <v>476.12651609252487</v>
          </cell>
          <cell r="BZ122">
            <v>274.71045698615762</v>
          </cell>
          <cell r="CA122">
            <v>639.74144554630607</v>
          </cell>
          <cell r="CB122">
            <v>1839.3324669410774</v>
          </cell>
        </row>
        <row r="123">
          <cell r="A123" t="str">
            <v>Additional Cash Flow Items</v>
          </cell>
          <cell r="B123"/>
          <cell r="C123"/>
          <cell r="D123"/>
          <cell r="J123">
            <v>31.33</v>
          </cell>
          <cell r="K123">
            <v>126.25399999999999</v>
          </cell>
          <cell r="L123">
            <v>0.54300000000000637</v>
          </cell>
          <cell r="M123">
            <v>-25.231999999999999</v>
          </cell>
          <cell r="N123">
            <v>-62.414999999999992</v>
          </cell>
          <cell r="O123">
            <v>39.150000000000006</v>
          </cell>
          <cell r="P123">
            <v>-5.9000000000000057</v>
          </cell>
          <cell r="Q123">
            <v>477.98700000000002</v>
          </cell>
          <cell r="R123">
            <v>-233.65700000000004</v>
          </cell>
          <cell r="S123">
            <v>-70.813999999999965</v>
          </cell>
          <cell r="T123">
            <v>167.61600000000001</v>
          </cell>
          <cell r="U123">
            <v>93.810999999999979</v>
          </cell>
          <cell r="V123">
            <v>66.22399999999999</v>
          </cell>
          <cell r="W123">
            <v>-20.890999999999963</v>
          </cell>
          <cell r="X123">
            <v>-48.441000000000031</v>
          </cell>
          <cell r="Y123">
            <v>90.702999999999975</v>
          </cell>
          <cell r="Z123">
            <v>-162.858</v>
          </cell>
          <cell r="AA123">
            <v>-22.126999999999981</v>
          </cell>
          <cell r="AB123">
            <v>50.638000000000005</v>
          </cell>
          <cell r="AC123">
            <v>56.406000000000006</v>
          </cell>
          <cell r="AD123">
            <v>-77.940999999999974</v>
          </cell>
          <cell r="AE123">
            <v>185.745</v>
          </cell>
          <cell r="AF123">
            <v>-205.78100000000001</v>
          </cell>
          <cell r="AG123">
            <v>-24.025000000000034</v>
          </cell>
          <cell r="AH123">
            <v>11.047000000000025</v>
          </cell>
          <cell r="AI123">
            <v>-33.01400000000001</v>
          </cell>
          <cell r="AJ123">
            <v>64.908000000000015</v>
          </cell>
          <cell r="AK123">
            <v>50.117999999999995</v>
          </cell>
          <cell r="AL123">
            <v>-14.02800000000002</v>
          </cell>
          <cell r="AM123">
            <v>16.129000000000019</v>
          </cell>
          <cell r="AN123">
            <v>117.12700000000001</v>
          </cell>
          <cell r="AO123">
            <v>77.766999999999996</v>
          </cell>
          <cell r="AP123">
            <v>-74.01600000000002</v>
          </cell>
          <cell r="AQ123">
            <v>33.317000000000007</v>
          </cell>
          <cell r="AR123">
            <v>73.010999999999967</v>
          </cell>
          <cell r="AS123">
            <v>110.07899999999995</v>
          </cell>
          <cell r="AT123">
            <v>99.533000000000015</v>
          </cell>
          <cell r="AU123">
            <v>66.783999999999992</v>
          </cell>
          <cell r="AV123">
            <v>-81.218999999999937</v>
          </cell>
          <cell r="AW123">
            <v>57.242999999999938</v>
          </cell>
          <cell r="AX123">
            <v>142.34100000000001</v>
          </cell>
          <cell r="AY123">
            <v>61.33400000000006</v>
          </cell>
          <cell r="AZ123">
            <v>355.55700000000002</v>
          </cell>
          <cell r="BA123">
            <v>67.802145036640013</v>
          </cell>
          <cell r="BB123">
            <v>231.63644839880635</v>
          </cell>
          <cell r="BC123">
            <v>716.32959343544644</v>
          </cell>
          <cell r="BD123">
            <v>181.59350646198868</v>
          </cell>
          <cell r="BE123">
            <v>198.07153803638107</v>
          </cell>
          <cell r="BF123">
            <v>96.359075282028471</v>
          </cell>
          <cell r="BG123">
            <v>271.40852390614623</v>
          </cell>
          <cell r="BH123">
            <v>747.43264368654445</v>
          </cell>
          <cell r="BI123">
            <v>226.59225884628631</v>
          </cell>
          <cell r="BJ123">
            <v>244.34754610080699</v>
          </cell>
          <cell r="BK123">
            <v>135.64738129259649</v>
          </cell>
          <cell r="BL123">
            <v>357.13984525750811</v>
          </cell>
          <cell r="BM123">
            <v>963.72703149719791</v>
          </cell>
          <cell r="BN123">
            <v>304.49510896705488</v>
          </cell>
          <cell r="BO123">
            <v>321.96587123700738</v>
          </cell>
          <cell r="BP123">
            <v>187.66416689271091</v>
          </cell>
          <cell r="BQ123">
            <v>438.16318588554986</v>
          </cell>
          <cell r="BR123">
            <v>1252.288332982323</v>
          </cell>
          <cell r="BS123">
            <v>370.8324196708063</v>
          </cell>
          <cell r="BT123">
            <v>391.95330264139375</v>
          </cell>
          <cell r="BU123">
            <v>225.59162151952114</v>
          </cell>
          <cell r="BV123">
            <v>533.78451709632827</v>
          </cell>
          <cell r="BW123">
            <v>1522.1618609280495</v>
          </cell>
          <cell r="BX123">
            <v>448.75404831609012</v>
          </cell>
          <cell r="BY123">
            <v>476.12651609252498</v>
          </cell>
          <cell r="BZ123">
            <v>274.71045698615762</v>
          </cell>
          <cell r="CA123">
            <v>639.74144554630584</v>
          </cell>
          <cell r="CB123">
            <v>1839.3324669410786</v>
          </cell>
        </row>
        <row r="124">
          <cell r="B124" t="str">
            <v>Associate and JV add-back</v>
          </cell>
          <cell r="C124" t="str">
            <v>ASSOC_JV_ADDBK</v>
          </cell>
          <cell r="D124" t="str">
            <v>USD</v>
          </cell>
          <cell r="F124"/>
          <cell r="G124"/>
          <cell r="H124"/>
          <cell r="I124"/>
          <cell r="J124">
            <v>-2.8421709430404007E-14</v>
          </cell>
          <cell r="K124">
            <v>0</v>
          </cell>
          <cell r="L124">
            <v>-1.3322676295501878E-15</v>
          </cell>
          <cell r="M124">
            <v>3.1974423109204508E-14</v>
          </cell>
          <cell r="N124">
            <v>0</v>
          </cell>
          <cell r="O124">
            <v>0</v>
          </cell>
          <cell r="P124">
            <v>1.137999999999975</v>
          </cell>
          <cell r="Q124">
            <v>0</v>
          </cell>
          <cell r="R124">
            <v>0</v>
          </cell>
          <cell r="S124">
            <v>1.2789769243681803E-13</v>
          </cell>
          <cell r="T124">
            <v>1.1380000000000905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1.1368683772161603E-13</v>
          </cell>
          <cell r="AB124">
            <v>-1.2789769243681803E-13</v>
          </cell>
          <cell r="AC124">
            <v>-7.1054273576010019E-14</v>
          </cell>
          <cell r="AD124">
            <v>0</v>
          </cell>
          <cell r="AE124">
            <v>0</v>
          </cell>
          <cell r="AF124">
            <v>1.0000000000047748E-3</v>
          </cell>
          <cell r="AG124">
            <v>-1.0000000000545128E-3</v>
          </cell>
          <cell r="AH124">
            <v>0</v>
          </cell>
          <cell r="AI124">
            <v>5.6843418860808015E-14</v>
          </cell>
          <cell r="AJ124">
            <v>0</v>
          </cell>
          <cell r="AK124">
            <v>0</v>
          </cell>
          <cell r="AL124">
            <v>-7.638334409421077E-14</v>
          </cell>
          <cell r="AM124">
            <v>1.8474111129762605E-13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-1.7053025658242404E-13</v>
          </cell>
          <cell r="AS124">
            <v>-1.9895196601282805E-13</v>
          </cell>
          <cell r="AT124">
            <v>0</v>
          </cell>
          <cell r="AU124">
            <v>0</v>
          </cell>
          <cell r="AV124">
            <v>0</v>
          </cell>
          <cell r="AW124">
            <v>-7.815970093361102E-14</v>
          </cell>
          <cell r="AX124">
            <v>0</v>
          </cell>
          <cell r="AY124">
            <v>1.7763568394002505E-13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-2.5579538487363607E-13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-6.2527760746888816E-13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1.1368683772161603E-12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</row>
        <row r="125">
          <cell r="B125" t="str">
            <v>Profit/(loss) on sale of assets</v>
          </cell>
          <cell r="C125" t="str">
            <v>PL_SALE_ASSETS</v>
          </cell>
          <cell r="D125" t="str">
            <v>USD</v>
          </cell>
          <cell r="F125"/>
          <cell r="G125"/>
          <cell r="H125"/>
          <cell r="I125"/>
          <cell r="J125"/>
          <cell r="K125"/>
          <cell r="L125"/>
          <cell r="M125"/>
          <cell r="N125"/>
          <cell r="O125"/>
          <cell r="P125"/>
          <cell r="Q125"/>
          <cell r="R125"/>
          <cell r="S125"/>
          <cell r="T125"/>
          <cell r="U125"/>
          <cell r="V125"/>
          <cell r="W125"/>
          <cell r="X125"/>
          <cell r="Y125"/>
          <cell r="Z125"/>
          <cell r="AA125"/>
          <cell r="AB125"/>
          <cell r="AC125"/>
          <cell r="AD125"/>
          <cell r="AE125"/>
          <cell r="AF125"/>
          <cell r="AG125"/>
          <cell r="AH125"/>
          <cell r="AI125"/>
          <cell r="AJ125"/>
          <cell r="AK125"/>
          <cell r="AL125"/>
          <cell r="AM125"/>
          <cell r="AN125"/>
          <cell r="AO125"/>
          <cell r="AP125"/>
          <cell r="AQ125"/>
          <cell r="AR125"/>
          <cell r="AS125"/>
          <cell r="AT125"/>
          <cell r="AU125"/>
          <cell r="AV125"/>
          <cell r="AW125"/>
          <cell r="AX125"/>
          <cell r="AY125"/>
          <cell r="AZ125"/>
          <cell r="BA125"/>
          <cell r="BB125"/>
          <cell r="BC125"/>
          <cell r="BD125"/>
          <cell r="BE125"/>
          <cell r="BF125"/>
          <cell r="BG125"/>
          <cell r="BH125"/>
          <cell r="BI125"/>
          <cell r="BJ125"/>
          <cell r="BK125"/>
          <cell r="BL125"/>
          <cell r="BM125"/>
          <cell r="BN125"/>
          <cell r="BO125"/>
          <cell r="BP125"/>
          <cell r="BQ125"/>
          <cell r="BR125"/>
          <cell r="BS125"/>
          <cell r="BT125"/>
          <cell r="BU125"/>
          <cell r="BV125"/>
          <cell r="BW125"/>
          <cell r="BX125"/>
          <cell r="BY125"/>
          <cell r="BZ125"/>
          <cell r="CA125"/>
          <cell r="CB125"/>
        </row>
        <row r="126">
          <cell r="B126" t="str">
            <v>Other non-cash adjustments</v>
          </cell>
          <cell r="C126" t="str">
            <v>OTH_NONCASH_ADJ</v>
          </cell>
          <cell r="D126" t="str">
            <v>USD</v>
          </cell>
          <cell r="F126"/>
          <cell r="G126"/>
          <cell r="H126"/>
          <cell r="I126"/>
          <cell r="J126"/>
          <cell r="K126"/>
          <cell r="L126"/>
          <cell r="M126"/>
          <cell r="N126"/>
          <cell r="O126"/>
          <cell r="P126"/>
          <cell r="Q126"/>
          <cell r="R126"/>
          <cell r="S126"/>
          <cell r="T126"/>
          <cell r="U126"/>
          <cell r="V126"/>
          <cell r="W126"/>
          <cell r="X126"/>
          <cell r="Y126"/>
          <cell r="Z126"/>
          <cell r="AA126"/>
          <cell r="AB126"/>
          <cell r="AC126"/>
          <cell r="AD126"/>
          <cell r="AE126"/>
          <cell r="AF126"/>
          <cell r="AG126"/>
          <cell r="AH126"/>
          <cell r="AI126"/>
          <cell r="AJ126"/>
          <cell r="AK126"/>
          <cell r="AL126"/>
          <cell r="AM126"/>
          <cell r="AN126"/>
          <cell r="AO126"/>
          <cell r="AP126"/>
          <cell r="AQ126"/>
          <cell r="AR126"/>
          <cell r="AS126"/>
          <cell r="AT126"/>
          <cell r="AU126"/>
          <cell r="AV126"/>
          <cell r="AW126"/>
          <cell r="AX126"/>
          <cell r="AY126"/>
          <cell r="AZ126"/>
          <cell r="BA126"/>
          <cell r="BB126"/>
          <cell r="BC126"/>
          <cell r="BD126"/>
          <cell r="BE126"/>
          <cell r="BF126"/>
          <cell r="BG126"/>
          <cell r="BH126"/>
          <cell r="BI126"/>
          <cell r="BJ126"/>
          <cell r="BK126"/>
          <cell r="BL126"/>
          <cell r="BM126"/>
          <cell r="BN126"/>
          <cell r="BO126"/>
          <cell r="BP126"/>
          <cell r="BQ126"/>
          <cell r="BR126"/>
          <cell r="BS126"/>
          <cell r="BT126"/>
          <cell r="BU126"/>
          <cell r="BV126"/>
          <cell r="BW126"/>
          <cell r="BX126"/>
          <cell r="BY126"/>
          <cell r="BZ126"/>
          <cell r="CA126"/>
          <cell r="CB126"/>
        </row>
        <row r="127">
          <cell r="B127" t="str">
            <v>Other DACF adjustments</v>
          </cell>
          <cell r="C127" t="str">
            <v>OTH_DACF_ADJ</v>
          </cell>
          <cell r="D127" t="str">
            <v>USD</v>
          </cell>
          <cell r="F127"/>
          <cell r="G127"/>
          <cell r="H127"/>
          <cell r="I127"/>
          <cell r="J127"/>
          <cell r="K127"/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  <cell r="V127"/>
          <cell r="W127"/>
          <cell r="X127"/>
          <cell r="Y127"/>
          <cell r="Z127"/>
          <cell r="AA127"/>
          <cell r="AB127"/>
          <cell r="AC127"/>
          <cell r="AD127"/>
          <cell r="AE127"/>
          <cell r="AF127"/>
          <cell r="AG127"/>
          <cell r="AH127"/>
          <cell r="AI127"/>
          <cell r="AJ127"/>
          <cell r="AK127"/>
          <cell r="AL127"/>
          <cell r="AM127"/>
          <cell r="AN127"/>
          <cell r="AO127"/>
          <cell r="AP127"/>
          <cell r="AQ127"/>
          <cell r="AR127"/>
          <cell r="AS127"/>
          <cell r="AT127"/>
          <cell r="AU127"/>
          <cell r="AV127"/>
          <cell r="AW127"/>
          <cell r="AX127"/>
          <cell r="AY127"/>
          <cell r="AZ127"/>
          <cell r="BA127"/>
          <cell r="BB127"/>
          <cell r="BC127"/>
          <cell r="BD127"/>
          <cell r="BE127"/>
          <cell r="BF127"/>
          <cell r="BG127"/>
          <cell r="BH127"/>
          <cell r="BI127"/>
          <cell r="BJ127"/>
          <cell r="BK127"/>
          <cell r="BL127"/>
          <cell r="BM127"/>
          <cell r="BN127"/>
          <cell r="BO127"/>
          <cell r="BP127"/>
          <cell r="BQ127"/>
          <cell r="BR127"/>
          <cell r="BS127"/>
          <cell r="BT127"/>
          <cell r="BU127"/>
          <cell r="BV127"/>
          <cell r="BW127"/>
          <cell r="BX127"/>
          <cell r="BY127"/>
          <cell r="BZ127"/>
          <cell r="CA127"/>
          <cell r="CB127"/>
        </row>
        <row r="128">
          <cell r="B128" t="str">
            <v>Change in LT deferred income taxes (Cash flow)</v>
          </cell>
          <cell r="C128" t="str">
            <v>CHG_DEF_TAX_CF</v>
          </cell>
          <cell r="D128" t="str">
            <v>USD</v>
          </cell>
          <cell r="F128"/>
          <cell r="G128"/>
          <cell r="H128"/>
          <cell r="I128"/>
          <cell r="J128"/>
          <cell r="K128"/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  <cell r="V128"/>
          <cell r="W128"/>
          <cell r="X128"/>
          <cell r="Y128"/>
          <cell r="Z128"/>
          <cell r="AA128"/>
          <cell r="AB128"/>
          <cell r="AC128"/>
          <cell r="AD128"/>
          <cell r="AE128"/>
          <cell r="AF128"/>
          <cell r="AG128"/>
          <cell r="AH128"/>
          <cell r="AI128"/>
          <cell r="AJ128"/>
          <cell r="AK128"/>
          <cell r="AL128"/>
          <cell r="AM128"/>
          <cell r="AN128"/>
          <cell r="AO128"/>
          <cell r="AP128"/>
          <cell r="AQ128"/>
          <cell r="AR128"/>
          <cell r="AS128"/>
          <cell r="AT128"/>
          <cell r="AU128"/>
          <cell r="AV128"/>
          <cell r="AW128"/>
          <cell r="AX128"/>
          <cell r="AY128"/>
          <cell r="AZ128"/>
          <cell r="BA128"/>
          <cell r="BB128"/>
          <cell r="BC128"/>
          <cell r="BD128"/>
          <cell r="BE128"/>
          <cell r="BF128"/>
          <cell r="BG128"/>
          <cell r="BH128"/>
          <cell r="BI128"/>
          <cell r="BJ128"/>
          <cell r="BK128"/>
          <cell r="BL128"/>
          <cell r="BM128"/>
          <cell r="BN128"/>
          <cell r="BO128"/>
          <cell r="BP128"/>
          <cell r="BQ128"/>
          <cell r="BR128"/>
          <cell r="BS128"/>
          <cell r="BT128"/>
          <cell r="BU128"/>
          <cell r="BV128"/>
          <cell r="BW128"/>
          <cell r="BX128"/>
          <cell r="BY128"/>
          <cell r="BZ128"/>
          <cell r="CA128"/>
          <cell r="CB128"/>
        </row>
        <row r="129">
          <cell r="B129" t="str">
            <v>Other items/adjustments for computing cash tax rate (except def taxes)</v>
          </cell>
          <cell r="C129" t="str">
            <v>OTH_ADJ_CASH_TAX</v>
          </cell>
          <cell r="D129" t="str">
            <v>USD</v>
          </cell>
          <cell r="F129"/>
          <cell r="G129"/>
          <cell r="H129"/>
          <cell r="I129"/>
          <cell r="J129"/>
          <cell r="K129"/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  <cell r="V129"/>
          <cell r="W129"/>
          <cell r="X129"/>
          <cell r="Y129"/>
          <cell r="Z129"/>
          <cell r="AA129"/>
          <cell r="AB129"/>
          <cell r="AC129"/>
          <cell r="AD129"/>
          <cell r="AE129"/>
          <cell r="AF129"/>
          <cell r="AG129"/>
          <cell r="AH129"/>
          <cell r="AI129"/>
          <cell r="AJ129"/>
          <cell r="AK129"/>
          <cell r="AL129"/>
          <cell r="AM129"/>
          <cell r="AN129"/>
          <cell r="AO129"/>
          <cell r="AP129"/>
          <cell r="AQ129"/>
          <cell r="AR129"/>
          <cell r="AS129"/>
          <cell r="AT129"/>
          <cell r="AU129"/>
          <cell r="AV129"/>
          <cell r="AW129"/>
          <cell r="AX129"/>
          <cell r="AY129"/>
          <cell r="AZ129"/>
          <cell r="BA129"/>
          <cell r="BB129"/>
          <cell r="BC129"/>
          <cell r="BD129"/>
          <cell r="BE129"/>
          <cell r="BF129"/>
          <cell r="BG129"/>
          <cell r="BH129"/>
          <cell r="BI129"/>
          <cell r="BJ129"/>
          <cell r="BK129"/>
          <cell r="BL129"/>
          <cell r="BM129"/>
          <cell r="BN129"/>
          <cell r="BO129"/>
          <cell r="BP129"/>
          <cell r="BQ129"/>
          <cell r="BR129"/>
          <cell r="BS129"/>
          <cell r="BT129"/>
          <cell r="BU129"/>
          <cell r="BV129"/>
          <cell r="BW129"/>
          <cell r="BX129"/>
          <cell r="BY129"/>
          <cell r="BZ129"/>
          <cell r="CA129"/>
          <cell r="CB129"/>
        </row>
        <row r="130">
          <cell r="B130" t="str">
            <v>Cash interest expense</v>
          </cell>
          <cell r="C130" t="str">
            <v>CASH_INT_EXP</v>
          </cell>
          <cell r="D130" t="str">
            <v>USD</v>
          </cell>
          <cell r="F130"/>
          <cell r="G130"/>
          <cell r="H130"/>
          <cell r="I130"/>
          <cell r="J130"/>
          <cell r="K130"/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/>
          <cell r="AB130"/>
          <cell r="AC130"/>
          <cell r="AD130"/>
          <cell r="AE130"/>
          <cell r="AF130"/>
          <cell r="AG130"/>
          <cell r="AH130"/>
          <cell r="AI130"/>
          <cell r="AJ130"/>
          <cell r="AK130"/>
          <cell r="AL130"/>
          <cell r="AM130"/>
          <cell r="AN130"/>
          <cell r="AO130"/>
          <cell r="AP130"/>
          <cell r="AQ130"/>
          <cell r="AR130"/>
          <cell r="AS130"/>
          <cell r="AT130"/>
          <cell r="AU130"/>
          <cell r="AV130"/>
          <cell r="AW130"/>
          <cell r="AX130"/>
          <cell r="AY130"/>
          <cell r="AZ130"/>
          <cell r="BA130"/>
          <cell r="BB130"/>
          <cell r="BC130"/>
          <cell r="BD130"/>
          <cell r="BE130"/>
          <cell r="BF130"/>
          <cell r="BG130"/>
          <cell r="BH130"/>
          <cell r="BI130"/>
          <cell r="BJ130"/>
          <cell r="BK130"/>
          <cell r="BL130"/>
          <cell r="BM130"/>
          <cell r="BN130"/>
          <cell r="BO130"/>
          <cell r="BP130"/>
          <cell r="BQ130"/>
          <cell r="BR130"/>
          <cell r="BS130"/>
          <cell r="BT130"/>
          <cell r="BU130"/>
          <cell r="BV130"/>
          <cell r="BW130"/>
          <cell r="BX130"/>
          <cell r="BY130"/>
          <cell r="BZ130"/>
          <cell r="CA130"/>
          <cell r="CB130"/>
        </row>
        <row r="131">
          <cell r="B131" t="str">
            <v>Cash tax expense</v>
          </cell>
          <cell r="C131" t="str">
            <v>CASH_TAX_EXP</v>
          </cell>
          <cell r="D131" t="str">
            <v>USD</v>
          </cell>
          <cell r="F131"/>
          <cell r="G131"/>
          <cell r="H131"/>
          <cell r="I131"/>
          <cell r="J131"/>
          <cell r="K131"/>
          <cell r="L131"/>
          <cell r="M131"/>
          <cell r="N131"/>
          <cell r="O131"/>
          <cell r="P131"/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/>
          <cell r="AB131"/>
          <cell r="AC131"/>
          <cell r="AD131"/>
          <cell r="AE131"/>
          <cell r="AF131"/>
          <cell r="AG131"/>
          <cell r="AH131"/>
          <cell r="AI131"/>
          <cell r="AJ131"/>
          <cell r="AK131"/>
          <cell r="AL131"/>
          <cell r="AM131"/>
          <cell r="AN131"/>
          <cell r="AO131"/>
          <cell r="AP131"/>
          <cell r="AQ131"/>
          <cell r="AR131"/>
          <cell r="AS131"/>
          <cell r="AT131"/>
          <cell r="AU131"/>
          <cell r="AV131"/>
          <cell r="AW131"/>
          <cell r="AX131"/>
          <cell r="AY131"/>
          <cell r="AZ131"/>
          <cell r="BA131"/>
          <cell r="BB131"/>
          <cell r="BC131"/>
          <cell r="BD131"/>
          <cell r="BE131"/>
          <cell r="BF131"/>
          <cell r="BG131"/>
          <cell r="BH131"/>
          <cell r="BI131"/>
          <cell r="BJ131"/>
          <cell r="BK131"/>
          <cell r="BL131"/>
          <cell r="BM131"/>
          <cell r="BN131"/>
          <cell r="BO131"/>
          <cell r="BP131"/>
          <cell r="BQ131"/>
          <cell r="BR131"/>
          <cell r="BS131"/>
          <cell r="BT131"/>
          <cell r="BU131"/>
          <cell r="BV131"/>
          <cell r="BW131"/>
          <cell r="BX131"/>
          <cell r="BY131"/>
          <cell r="BZ131"/>
          <cell r="CA131"/>
          <cell r="CB131"/>
        </row>
        <row r="132">
          <cell r="B132" t="str">
            <v>Dividends received from associates/JVs</v>
          </cell>
          <cell r="C132" t="str">
            <v>DIVDS_ASSOC_JV</v>
          </cell>
          <cell r="D132" t="str">
            <v>USD</v>
          </cell>
          <cell r="F132"/>
          <cell r="G132"/>
          <cell r="H132"/>
          <cell r="I132"/>
          <cell r="J132"/>
          <cell r="K132"/>
          <cell r="L132"/>
          <cell r="M132"/>
          <cell r="N132"/>
          <cell r="O132"/>
          <cell r="P132"/>
          <cell r="Q132"/>
          <cell r="R132"/>
          <cell r="S132"/>
          <cell r="T132"/>
          <cell r="U132"/>
          <cell r="V132"/>
          <cell r="W132"/>
          <cell r="X132"/>
          <cell r="Y132"/>
          <cell r="Z132"/>
          <cell r="AA132"/>
          <cell r="AB132"/>
          <cell r="AC132"/>
          <cell r="AD132"/>
          <cell r="AE132"/>
          <cell r="AF132"/>
          <cell r="AG132"/>
          <cell r="AH132"/>
          <cell r="AI132"/>
          <cell r="AJ132"/>
          <cell r="AK132"/>
          <cell r="AL132"/>
          <cell r="AM132"/>
          <cell r="AN132"/>
          <cell r="AO132"/>
          <cell r="AP132"/>
          <cell r="AQ132"/>
          <cell r="AR132"/>
          <cell r="AS132"/>
          <cell r="AT132"/>
          <cell r="AU132"/>
          <cell r="AV132"/>
          <cell r="AW132"/>
          <cell r="AX132"/>
          <cell r="AY132"/>
          <cell r="AZ132"/>
          <cell r="BA132"/>
          <cell r="BB132"/>
          <cell r="BC132"/>
          <cell r="BD132"/>
          <cell r="BE132"/>
          <cell r="BF132"/>
          <cell r="BG132"/>
          <cell r="BH132"/>
          <cell r="BI132"/>
          <cell r="BJ132"/>
          <cell r="BK132"/>
          <cell r="BL132"/>
          <cell r="BM132"/>
          <cell r="BN132"/>
          <cell r="BO132"/>
          <cell r="BP132"/>
          <cell r="BQ132"/>
          <cell r="BR132"/>
          <cell r="BS132"/>
          <cell r="BT132"/>
          <cell r="BU132"/>
          <cell r="BV132"/>
          <cell r="BW132"/>
          <cell r="BX132"/>
          <cell r="BY132"/>
          <cell r="BZ132"/>
          <cell r="CA132"/>
          <cell r="CB132"/>
        </row>
        <row r="133">
          <cell r="B133" t="str">
            <v>Capex maintenance</v>
          </cell>
          <cell r="C133" t="str">
            <v>CAPEX_MAINTENANCE</v>
          </cell>
          <cell r="D133" t="str">
            <v>USD</v>
          </cell>
          <cell r="F133"/>
          <cell r="G133"/>
          <cell r="H133"/>
          <cell r="I133"/>
          <cell r="J133"/>
          <cell r="K133"/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  <cell r="AA133"/>
          <cell r="AB133"/>
          <cell r="AC133"/>
          <cell r="AD133"/>
          <cell r="AE133"/>
          <cell r="AF133"/>
          <cell r="AG133"/>
          <cell r="AH133"/>
          <cell r="AI133"/>
          <cell r="AJ133"/>
          <cell r="AK133"/>
          <cell r="AL133"/>
          <cell r="AM133"/>
          <cell r="AN133"/>
          <cell r="AO133"/>
          <cell r="AP133"/>
          <cell r="AQ133"/>
          <cell r="AR133"/>
          <cell r="AS133"/>
          <cell r="AT133"/>
          <cell r="AU133"/>
          <cell r="AV133"/>
          <cell r="AW133"/>
          <cell r="AX133"/>
          <cell r="AY133"/>
          <cell r="AZ133"/>
          <cell r="BA133"/>
          <cell r="BB133"/>
          <cell r="BC133"/>
          <cell r="BD133"/>
          <cell r="BE133"/>
          <cell r="BF133"/>
          <cell r="BG133"/>
          <cell r="BH133"/>
          <cell r="BI133"/>
          <cell r="BJ133"/>
          <cell r="BK133"/>
          <cell r="BL133"/>
          <cell r="BM133"/>
          <cell r="BN133"/>
          <cell r="BO133"/>
          <cell r="BP133"/>
          <cell r="BQ133"/>
          <cell r="BR133"/>
          <cell r="BS133"/>
          <cell r="BT133"/>
          <cell r="BU133"/>
          <cell r="BV133"/>
          <cell r="BW133"/>
          <cell r="BX133"/>
          <cell r="BY133"/>
          <cell r="BZ133"/>
          <cell r="CA133"/>
          <cell r="CB133"/>
        </row>
        <row r="134">
          <cell r="B134" t="str">
            <v>Capex expansion</v>
          </cell>
          <cell r="C134" t="str">
            <v>CAPEX_EXPANSION</v>
          </cell>
          <cell r="D134" t="str">
            <v>USD</v>
          </cell>
          <cell r="F134"/>
          <cell r="G134"/>
          <cell r="H134"/>
          <cell r="I134"/>
          <cell r="J134"/>
          <cell r="K134"/>
          <cell r="L134"/>
          <cell r="M134"/>
          <cell r="N134"/>
          <cell r="O134"/>
          <cell r="P134"/>
          <cell r="Q134"/>
          <cell r="R134"/>
          <cell r="S134"/>
          <cell r="T134"/>
          <cell r="U134"/>
          <cell r="V134"/>
          <cell r="W134"/>
          <cell r="X134"/>
          <cell r="Y134"/>
          <cell r="Z134"/>
          <cell r="AA134"/>
          <cell r="AB134"/>
          <cell r="AC134"/>
          <cell r="AD134"/>
          <cell r="AE134"/>
          <cell r="AF134"/>
          <cell r="AG134"/>
          <cell r="AH134"/>
          <cell r="AI134"/>
          <cell r="AJ134"/>
          <cell r="AK134"/>
          <cell r="AL134"/>
          <cell r="AM134"/>
          <cell r="AN134"/>
          <cell r="AO134"/>
          <cell r="AP134"/>
          <cell r="AQ134"/>
          <cell r="AR134"/>
          <cell r="AS134"/>
          <cell r="AT134"/>
          <cell r="AU134"/>
          <cell r="AV134"/>
          <cell r="AW134"/>
          <cell r="AX134"/>
          <cell r="AY134"/>
          <cell r="AZ134"/>
          <cell r="BA134"/>
          <cell r="BB134"/>
          <cell r="BC134"/>
          <cell r="BD134"/>
          <cell r="BE134"/>
          <cell r="BF134"/>
          <cell r="BG134"/>
          <cell r="BH134"/>
          <cell r="BI134"/>
          <cell r="BJ134"/>
          <cell r="BK134"/>
          <cell r="BL134"/>
          <cell r="BM134"/>
          <cell r="BN134"/>
          <cell r="BO134"/>
          <cell r="BP134"/>
          <cell r="BQ134"/>
          <cell r="BR134"/>
          <cell r="BS134"/>
          <cell r="BT134"/>
          <cell r="BU134"/>
          <cell r="BV134"/>
          <cell r="BW134"/>
          <cell r="BX134"/>
          <cell r="BY134"/>
          <cell r="BZ134"/>
          <cell r="CA134"/>
          <cell r="CB134"/>
        </row>
        <row r="135">
          <cell r="B135" t="str">
            <v>Non-PP&amp;E capex</v>
          </cell>
          <cell r="C135" t="str">
            <v>NONPPE_CAPEX</v>
          </cell>
          <cell r="D135" t="str">
            <v>USD</v>
          </cell>
          <cell r="F135"/>
          <cell r="G135"/>
          <cell r="H135"/>
          <cell r="I135"/>
          <cell r="J135"/>
          <cell r="K135"/>
          <cell r="L135"/>
          <cell r="M135"/>
          <cell r="N135"/>
          <cell r="O135"/>
          <cell r="P135"/>
          <cell r="Q135"/>
          <cell r="R135"/>
          <cell r="S135"/>
          <cell r="T135"/>
          <cell r="U135"/>
          <cell r="V135"/>
          <cell r="W135"/>
          <cell r="X135"/>
          <cell r="Y135"/>
          <cell r="Z135"/>
          <cell r="AA135"/>
          <cell r="AB135"/>
          <cell r="AC135"/>
          <cell r="AD135"/>
          <cell r="AE135"/>
          <cell r="AF135"/>
          <cell r="AG135"/>
          <cell r="AH135"/>
          <cell r="AI135"/>
          <cell r="AJ135"/>
          <cell r="AK135"/>
          <cell r="AL135"/>
          <cell r="AM135"/>
          <cell r="AN135"/>
          <cell r="AO135"/>
          <cell r="AP135"/>
          <cell r="AQ135"/>
          <cell r="AR135"/>
          <cell r="AS135"/>
          <cell r="AT135"/>
          <cell r="AU135"/>
          <cell r="AV135"/>
          <cell r="AW135"/>
          <cell r="AX135"/>
          <cell r="AY135"/>
          <cell r="AZ135"/>
          <cell r="BA135"/>
          <cell r="BB135"/>
          <cell r="BC135"/>
          <cell r="BD135"/>
          <cell r="BE135"/>
          <cell r="BF135"/>
          <cell r="BG135"/>
          <cell r="BH135"/>
          <cell r="BI135"/>
          <cell r="BJ135"/>
          <cell r="BK135"/>
          <cell r="BL135"/>
          <cell r="BM135"/>
          <cell r="BN135"/>
          <cell r="BO135"/>
          <cell r="BP135"/>
          <cell r="BQ135"/>
          <cell r="BR135"/>
          <cell r="BS135"/>
          <cell r="BT135"/>
          <cell r="BU135"/>
          <cell r="BV135"/>
          <cell r="BW135"/>
          <cell r="BX135"/>
          <cell r="BY135"/>
          <cell r="BZ135"/>
          <cell r="CA135"/>
          <cell r="CB135"/>
        </row>
        <row r="136">
          <cell r="B136" t="str">
            <v>Dividends paid to minorities</v>
          </cell>
          <cell r="C136" t="str">
            <v>DIVDS_PD_MINORITIES</v>
          </cell>
          <cell r="D136" t="str">
            <v>USD</v>
          </cell>
          <cell r="F136"/>
          <cell r="G136"/>
          <cell r="H136"/>
          <cell r="I136"/>
          <cell r="J136"/>
          <cell r="K136"/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/>
          <cell r="AB136"/>
          <cell r="AC136"/>
          <cell r="AD136"/>
          <cell r="AE136"/>
          <cell r="AF136"/>
          <cell r="AG136"/>
          <cell r="AH136"/>
          <cell r="AI136"/>
          <cell r="AJ136"/>
          <cell r="AK136"/>
          <cell r="AL136"/>
          <cell r="AM136"/>
          <cell r="AN136"/>
          <cell r="AO136"/>
          <cell r="AP136"/>
          <cell r="AQ136"/>
          <cell r="AR136"/>
          <cell r="AS136"/>
          <cell r="AT136"/>
          <cell r="AU136"/>
          <cell r="AV136"/>
          <cell r="AW136"/>
          <cell r="AX136"/>
          <cell r="AY136"/>
          <cell r="AZ136"/>
          <cell r="BA136"/>
          <cell r="BB136"/>
          <cell r="BC136"/>
          <cell r="BD136"/>
          <cell r="BE136"/>
          <cell r="BF136"/>
          <cell r="BG136"/>
          <cell r="BH136"/>
          <cell r="BI136"/>
          <cell r="BJ136"/>
          <cell r="BK136"/>
          <cell r="BL136"/>
          <cell r="BM136"/>
          <cell r="BN136"/>
          <cell r="BO136"/>
          <cell r="BP136"/>
          <cell r="BQ136"/>
          <cell r="BR136"/>
          <cell r="BS136"/>
          <cell r="BT136"/>
          <cell r="BU136"/>
          <cell r="BV136"/>
          <cell r="BW136"/>
          <cell r="BX136"/>
          <cell r="BY136"/>
          <cell r="BZ136"/>
          <cell r="CA136"/>
          <cell r="CB136"/>
        </row>
        <row r="137">
          <cell r="B137" t="str">
            <v>Free cash flow (unlevered)</v>
          </cell>
          <cell r="C137" t="str">
            <v>FCF_UNLEVERED</v>
          </cell>
          <cell r="D137" t="str">
            <v>USD</v>
          </cell>
          <cell r="F137"/>
          <cell r="G137"/>
          <cell r="H137"/>
          <cell r="I137"/>
          <cell r="J137"/>
          <cell r="K137"/>
          <cell r="L137"/>
          <cell r="M137"/>
          <cell r="N137"/>
          <cell r="O137"/>
          <cell r="P137"/>
          <cell r="Q137"/>
          <cell r="R137"/>
          <cell r="S137"/>
          <cell r="T137"/>
          <cell r="U137"/>
          <cell r="V137"/>
          <cell r="W137"/>
          <cell r="X137"/>
          <cell r="Y137"/>
          <cell r="Z137"/>
          <cell r="AA137"/>
          <cell r="AB137"/>
          <cell r="AC137"/>
          <cell r="AD137"/>
          <cell r="AE137"/>
          <cell r="AF137"/>
          <cell r="AG137"/>
          <cell r="AH137"/>
          <cell r="AI137"/>
          <cell r="AJ137"/>
          <cell r="AK137"/>
          <cell r="AL137"/>
          <cell r="AM137"/>
          <cell r="AN137"/>
          <cell r="AO137"/>
          <cell r="AP137"/>
          <cell r="AQ137"/>
          <cell r="AR137"/>
          <cell r="AS137"/>
          <cell r="AT137"/>
          <cell r="AU137"/>
          <cell r="AV137"/>
          <cell r="AW137"/>
          <cell r="AX137"/>
          <cell r="AY137"/>
          <cell r="AZ137"/>
          <cell r="BA137"/>
          <cell r="BB137"/>
          <cell r="BC137"/>
          <cell r="BD137"/>
          <cell r="BE137"/>
          <cell r="BF137"/>
          <cell r="BG137"/>
          <cell r="BH137"/>
          <cell r="BI137"/>
          <cell r="BJ137"/>
          <cell r="BK137"/>
          <cell r="BL137"/>
          <cell r="BM137"/>
          <cell r="BN137"/>
          <cell r="BO137"/>
          <cell r="BP137"/>
          <cell r="BQ137"/>
          <cell r="BR137"/>
          <cell r="BS137"/>
          <cell r="BT137"/>
          <cell r="BU137"/>
          <cell r="BV137"/>
          <cell r="BW137"/>
          <cell r="BX137"/>
          <cell r="BY137"/>
          <cell r="BZ137"/>
          <cell r="CA137"/>
          <cell r="CB137"/>
        </row>
        <row r="138">
          <cell r="A138" t="str">
            <v>Other Items</v>
          </cell>
          <cell r="B138"/>
          <cell r="C138"/>
          <cell r="D138"/>
        </row>
        <row r="139">
          <cell r="B139" t="str">
            <v>License revenue</v>
          </cell>
          <cell r="C139" t="str">
            <v>LICENSE_REV</v>
          </cell>
          <cell r="D139" t="str">
            <v>USD</v>
          </cell>
          <cell r="F139"/>
          <cell r="G139"/>
          <cell r="H139"/>
          <cell r="I139"/>
          <cell r="J139"/>
          <cell r="K139"/>
          <cell r="L139"/>
          <cell r="M139"/>
          <cell r="N139"/>
          <cell r="O139"/>
          <cell r="P139"/>
          <cell r="Q139"/>
          <cell r="R139"/>
          <cell r="S139"/>
          <cell r="T139"/>
          <cell r="U139"/>
          <cell r="V139"/>
          <cell r="W139"/>
          <cell r="X139"/>
          <cell r="Y139"/>
          <cell r="Z139"/>
          <cell r="AA139"/>
          <cell r="AB139"/>
          <cell r="AC139"/>
          <cell r="AD139"/>
          <cell r="AE139"/>
          <cell r="AF139"/>
          <cell r="AG139"/>
          <cell r="AH139"/>
          <cell r="AI139"/>
          <cell r="AJ139"/>
          <cell r="AK139"/>
          <cell r="AL139"/>
          <cell r="AM139"/>
          <cell r="AN139"/>
          <cell r="AO139"/>
          <cell r="AP139"/>
          <cell r="AQ139"/>
          <cell r="AR139"/>
          <cell r="AS139"/>
          <cell r="AT139"/>
          <cell r="AU139"/>
          <cell r="AV139"/>
          <cell r="AW139"/>
          <cell r="AX139"/>
          <cell r="AY139"/>
          <cell r="AZ139"/>
          <cell r="BA139"/>
          <cell r="BB139"/>
          <cell r="BC139"/>
          <cell r="BD139"/>
          <cell r="BE139"/>
          <cell r="BF139"/>
          <cell r="BG139"/>
          <cell r="BH139"/>
          <cell r="BI139"/>
          <cell r="BJ139"/>
          <cell r="BK139"/>
          <cell r="BL139"/>
          <cell r="BM139"/>
          <cell r="BN139"/>
          <cell r="BO139"/>
          <cell r="BP139"/>
          <cell r="BQ139"/>
          <cell r="BR139"/>
          <cell r="BS139"/>
          <cell r="BT139"/>
          <cell r="BU139"/>
          <cell r="BV139"/>
          <cell r="BW139"/>
          <cell r="BX139"/>
          <cell r="BY139"/>
          <cell r="BZ139"/>
          <cell r="CA139"/>
          <cell r="CB139"/>
        </row>
        <row r="140">
          <cell r="B140" t="str">
            <v>Maintenance revenue</v>
          </cell>
          <cell r="C140" t="str">
            <v>MAINTEN_REV</v>
          </cell>
          <cell r="D140" t="str">
            <v>USD</v>
          </cell>
          <cell r="F140"/>
          <cell r="G140"/>
          <cell r="H140"/>
          <cell r="I140"/>
          <cell r="J140"/>
          <cell r="K140"/>
          <cell r="L140"/>
          <cell r="M140"/>
          <cell r="N140"/>
          <cell r="O140"/>
          <cell r="P140"/>
          <cell r="Q140"/>
          <cell r="R140"/>
          <cell r="S140"/>
          <cell r="T140"/>
          <cell r="U140"/>
          <cell r="V140"/>
          <cell r="W140"/>
          <cell r="X140"/>
          <cell r="Y140"/>
          <cell r="Z140"/>
          <cell r="AA140"/>
          <cell r="AB140"/>
          <cell r="AC140"/>
          <cell r="AD140"/>
          <cell r="AE140"/>
          <cell r="AF140"/>
          <cell r="AG140"/>
          <cell r="AH140"/>
          <cell r="AI140"/>
          <cell r="AJ140"/>
          <cell r="AK140"/>
          <cell r="AL140"/>
          <cell r="AM140"/>
          <cell r="AN140"/>
          <cell r="AO140"/>
          <cell r="AP140"/>
          <cell r="AQ140"/>
          <cell r="AR140"/>
          <cell r="AS140"/>
          <cell r="AT140"/>
          <cell r="AU140"/>
          <cell r="AV140"/>
          <cell r="AW140"/>
          <cell r="AX140"/>
          <cell r="AY140"/>
          <cell r="AZ140"/>
          <cell r="BA140"/>
          <cell r="BB140"/>
          <cell r="BC140"/>
          <cell r="BD140"/>
          <cell r="BE140"/>
          <cell r="BF140"/>
          <cell r="BG140"/>
          <cell r="BH140"/>
          <cell r="BI140"/>
          <cell r="BJ140"/>
          <cell r="BK140"/>
          <cell r="BL140"/>
          <cell r="BM140"/>
          <cell r="BN140"/>
          <cell r="BO140"/>
          <cell r="BP140"/>
          <cell r="BQ140"/>
          <cell r="BR140"/>
          <cell r="BS140"/>
          <cell r="BT140"/>
          <cell r="BU140"/>
          <cell r="BV140"/>
          <cell r="BW140"/>
          <cell r="BX140"/>
          <cell r="BY140"/>
          <cell r="BZ140"/>
          <cell r="CA140"/>
          <cell r="CB140"/>
        </row>
        <row r="141">
          <cell r="B141" t="str">
            <v>Number of employees</v>
          </cell>
          <cell r="C141" t="str">
            <v>EMPLOYEES</v>
          </cell>
          <cell r="F141"/>
          <cell r="G141"/>
          <cell r="H141"/>
          <cell r="I141"/>
          <cell r="J141"/>
          <cell r="K141"/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  <cell r="V141"/>
          <cell r="W141"/>
          <cell r="X141"/>
          <cell r="Y141"/>
          <cell r="Z141"/>
          <cell r="AA141"/>
          <cell r="AB141"/>
          <cell r="AC141"/>
          <cell r="AD141"/>
          <cell r="AE141"/>
          <cell r="AF141"/>
          <cell r="AG141"/>
          <cell r="AH141"/>
          <cell r="AI141"/>
          <cell r="AJ141"/>
          <cell r="AK141"/>
          <cell r="AL141"/>
          <cell r="AM141"/>
          <cell r="AN141"/>
          <cell r="AO141"/>
          <cell r="AP141"/>
          <cell r="AQ141"/>
          <cell r="AR141"/>
          <cell r="AS141"/>
          <cell r="AT141"/>
          <cell r="AU141"/>
          <cell r="AV141"/>
          <cell r="AW141"/>
          <cell r="AX141"/>
          <cell r="AY141"/>
          <cell r="AZ141"/>
          <cell r="BA141"/>
          <cell r="BB141"/>
          <cell r="BC141"/>
          <cell r="BD141"/>
          <cell r="BE141"/>
          <cell r="BF141"/>
          <cell r="BG141"/>
          <cell r="BH141"/>
          <cell r="BI141"/>
          <cell r="BJ141"/>
          <cell r="BK141"/>
          <cell r="BL141"/>
          <cell r="BM141"/>
          <cell r="BN141"/>
          <cell r="BO141"/>
          <cell r="BP141"/>
          <cell r="BQ141"/>
          <cell r="BR141"/>
          <cell r="BS141"/>
          <cell r="BT141"/>
          <cell r="BU141"/>
          <cell r="BV141"/>
          <cell r="BW141"/>
          <cell r="BX141"/>
          <cell r="BY141"/>
          <cell r="BZ141"/>
          <cell r="CA141"/>
          <cell r="CB141"/>
        </row>
        <row r="142">
          <cell r="B142" t="str">
            <v>Total billings (revenue plus change in deferred revenue)</v>
          </cell>
          <cell r="C142" t="str">
            <v>TOT_BILLINGS</v>
          </cell>
          <cell r="D142" t="str">
            <v>USD</v>
          </cell>
          <cell r="F142"/>
          <cell r="G142"/>
          <cell r="H142"/>
          <cell r="I142"/>
          <cell r="J142"/>
          <cell r="K142"/>
          <cell r="L142"/>
          <cell r="M142"/>
          <cell r="N142"/>
          <cell r="O142"/>
          <cell r="P142"/>
          <cell r="Q142"/>
          <cell r="R142"/>
          <cell r="S142"/>
          <cell r="T142"/>
          <cell r="U142"/>
          <cell r="V142"/>
          <cell r="W142"/>
          <cell r="X142"/>
          <cell r="Y142"/>
          <cell r="Z142"/>
          <cell r="AA142"/>
          <cell r="AB142"/>
          <cell r="AC142"/>
          <cell r="AD142"/>
          <cell r="AE142"/>
          <cell r="AF142"/>
          <cell r="AG142"/>
          <cell r="AH142"/>
          <cell r="AI142"/>
          <cell r="AJ142"/>
          <cell r="AK142"/>
          <cell r="AL142"/>
          <cell r="AM142"/>
          <cell r="AN142"/>
          <cell r="AO142"/>
          <cell r="AP142"/>
          <cell r="AQ142"/>
          <cell r="AR142"/>
          <cell r="AS142"/>
          <cell r="AT142"/>
          <cell r="AU142"/>
          <cell r="AV142"/>
          <cell r="AW142"/>
          <cell r="AX142"/>
          <cell r="AY142"/>
          <cell r="AZ142"/>
          <cell r="BA142"/>
          <cell r="BB142"/>
          <cell r="BC142"/>
          <cell r="BD142"/>
          <cell r="BE142"/>
          <cell r="BF142"/>
          <cell r="BG142"/>
          <cell r="BH142"/>
          <cell r="BI142"/>
          <cell r="BJ142"/>
          <cell r="BK142"/>
          <cell r="BL142"/>
          <cell r="BM142"/>
          <cell r="BN142"/>
          <cell r="BO142"/>
          <cell r="BP142"/>
          <cell r="BQ142"/>
          <cell r="BR142"/>
          <cell r="BS142"/>
          <cell r="BT142"/>
          <cell r="BU142"/>
          <cell r="BV142"/>
          <cell r="BW142"/>
          <cell r="BX142"/>
          <cell r="BY142"/>
          <cell r="BZ142"/>
          <cell r="CA142"/>
          <cell r="CB142"/>
        </row>
        <row r="143">
          <cell r="B143" t="str">
            <v>Short term billings (revenue plus change in short term deferred revenue)</v>
          </cell>
          <cell r="C143" t="str">
            <v>ST_BILLINGS</v>
          </cell>
          <cell r="D143" t="str">
            <v>USD</v>
          </cell>
          <cell r="F143"/>
          <cell r="G143"/>
          <cell r="H143"/>
          <cell r="I143"/>
          <cell r="J143"/>
          <cell r="K143"/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  <cell r="V143"/>
          <cell r="W143"/>
          <cell r="X143"/>
          <cell r="Y143"/>
          <cell r="Z143"/>
          <cell r="AA143"/>
          <cell r="AB143"/>
          <cell r="AC143"/>
          <cell r="AD143"/>
          <cell r="AE143"/>
          <cell r="AF143"/>
          <cell r="AG143"/>
          <cell r="AH143"/>
          <cell r="AI143"/>
          <cell r="AJ143"/>
          <cell r="AK143"/>
          <cell r="AL143"/>
          <cell r="AM143"/>
          <cell r="AN143"/>
          <cell r="AO143"/>
          <cell r="AP143"/>
          <cell r="AQ143"/>
          <cell r="AR143"/>
          <cell r="AS143"/>
          <cell r="AT143"/>
          <cell r="AU143"/>
          <cell r="AV143"/>
          <cell r="AW143"/>
          <cell r="AX143"/>
          <cell r="AY143"/>
          <cell r="AZ143"/>
          <cell r="BA143"/>
          <cell r="BB143"/>
          <cell r="BC143"/>
          <cell r="BD143"/>
          <cell r="BE143"/>
          <cell r="BF143"/>
          <cell r="BG143"/>
          <cell r="BH143"/>
          <cell r="BI143"/>
          <cell r="BJ143"/>
          <cell r="BK143"/>
          <cell r="BL143"/>
          <cell r="BM143"/>
          <cell r="BN143"/>
          <cell r="BO143"/>
          <cell r="BP143"/>
          <cell r="BQ143"/>
          <cell r="BR143"/>
          <cell r="BS143"/>
          <cell r="BT143"/>
          <cell r="BU143"/>
          <cell r="BV143"/>
          <cell r="BW143"/>
          <cell r="BX143"/>
          <cell r="BY143"/>
          <cell r="BZ143"/>
          <cell r="CA143"/>
          <cell r="CB143"/>
        </row>
        <row r="144">
          <cell r="B144" t="str">
            <v>Remaining performance obligations</v>
          </cell>
          <cell r="C144" t="str">
            <v>REM_PERF_OBLIG</v>
          </cell>
          <cell r="D144" t="str">
            <v>USD</v>
          </cell>
          <cell r="F144"/>
          <cell r="G144"/>
          <cell r="H144"/>
          <cell r="I144"/>
          <cell r="J144"/>
          <cell r="K144"/>
          <cell r="L144"/>
          <cell r="M144"/>
          <cell r="N144"/>
          <cell r="O144"/>
          <cell r="P144"/>
          <cell r="Q144"/>
          <cell r="R144"/>
          <cell r="S144"/>
          <cell r="T144"/>
          <cell r="U144"/>
          <cell r="V144"/>
          <cell r="W144"/>
          <cell r="X144"/>
          <cell r="Y144"/>
          <cell r="Z144"/>
          <cell r="AA144"/>
          <cell r="AB144"/>
          <cell r="AC144"/>
          <cell r="AD144"/>
          <cell r="AE144"/>
          <cell r="AF144"/>
          <cell r="AG144"/>
          <cell r="AH144"/>
          <cell r="AI144"/>
          <cell r="AJ144"/>
          <cell r="AK144"/>
          <cell r="AL144"/>
          <cell r="AM144"/>
          <cell r="AN144"/>
          <cell r="AO144"/>
          <cell r="AP144"/>
          <cell r="AQ144"/>
          <cell r="AR144"/>
          <cell r="AS144"/>
          <cell r="AT144"/>
          <cell r="AU144"/>
          <cell r="AV144"/>
          <cell r="AW144"/>
          <cell r="AX144"/>
          <cell r="AY144"/>
          <cell r="AZ144"/>
          <cell r="BA144"/>
          <cell r="BB144"/>
          <cell r="BC144"/>
          <cell r="BD144"/>
          <cell r="BE144"/>
          <cell r="BF144"/>
          <cell r="BG144"/>
          <cell r="BH144"/>
          <cell r="BI144"/>
          <cell r="BJ144"/>
          <cell r="BK144"/>
          <cell r="BL144"/>
          <cell r="BM144"/>
          <cell r="BN144"/>
          <cell r="BO144"/>
          <cell r="BP144"/>
          <cell r="BQ144"/>
          <cell r="BR144"/>
          <cell r="BS144"/>
          <cell r="BT144"/>
          <cell r="BU144"/>
          <cell r="BV144"/>
          <cell r="BW144"/>
          <cell r="BX144"/>
          <cell r="BY144"/>
          <cell r="BZ144"/>
          <cell r="CA144"/>
          <cell r="CB144"/>
        </row>
        <row r="145">
          <cell r="B145" t="str">
            <v>Current remaining performance obligations</v>
          </cell>
          <cell r="C145" t="str">
            <v>CUR_REM_PERF_OBLIG</v>
          </cell>
          <cell r="D145" t="str">
            <v>USD</v>
          </cell>
          <cell r="F145"/>
          <cell r="G145"/>
          <cell r="H145"/>
          <cell r="I145"/>
          <cell r="J145"/>
          <cell r="K145"/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  <cell r="AA145"/>
          <cell r="AB145"/>
          <cell r="AC145"/>
          <cell r="AD145"/>
          <cell r="AE145"/>
          <cell r="AF145"/>
          <cell r="AG145"/>
          <cell r="AH145"/>
          <cell r="AI145"/>
          <cell r="AJ145"/>
          <cell r="AK145"/>
          <cell r="AL145"/>
          <cell r="AM145"/>
          <cell r="AN145"/>
          <cell r="AO145"/>
          <cell r="AP145"/>
          <cell r="AQ145"/>
          <cell r="AR145"/>
          <cell r="AS145"/>
          <cell r="AT145"/>
          <cell r="AU145"/>
          <cell r="AV145"/>
          <cell r="AW145"/>
          <cell r="AX145"/>
          <cell r="AY145"/>
          <cell r="AZ145"/>
          <cell r="BA145"/>
          <cell r="BB145"/>
          <cell r="BC145"/>
          <cell r="BD145"/>
          <cell r="BE145"/>
          <cell r="BF145"/>
          <cell r="BG145"/>
          <cell r="BH145"/>
          <cell r="BI145"/>
          <cell r="BJ145"/>
          <cell r="BK145"/>
          <cell r="BL145"/>
          <cell r="BM145"/>
          <cell r="BN145"/>
          <cell r="BO145"/>
          <cell r="BP145"/>
          <cell r="BQ145"/>
          <cell r="BR145"/>
          <cell r="BS145"/>
          <cell r="BT145"/>
          <cell r="BU145"/>
          <cell r="BV145"/>
          <cell r="BW145"/>
          <cell r="BX145"/>
          <cell r="BY145"/>
          <cell r="BZ145"/>
          <cell r="CA145"/>
          <cell r="CB145"/>
        </row>
        <row r="146">
          <cell r="B146" t="str">
            <v>Segment revenue name 1</v>
          </cell>
          <cell r="C146" t="str">
            <v>SEGMENT1_REV_NAME</v>
          </cell>
          <cell r="E146"/>
        </row>
        <row r="147">
          <cell r="B147" t="str">
            <v>Segment revenue value 1</v>
          </cell>
          <cell r="C147" t="str">
            <v>SEGMENT1_REV_VALUE</v>
          </cell>
          <cell r="D147" t="str">
            <v>USD</v>
          </cell>
          <cell r="F147"/>
          <cell r="G147"/>
          <cell r="H147"/>
          <cell r="I147"/>
          <cell r="J147"/>
          <cell r="K147"/>
          <cell r="L147"/>
          <cell r="M147"/>
          <cell r="N147"/>
          <cell r="O147"/>
          <cell r="P147"/>
          <cell r="Q147"/>
          <cell r="R147"/>
          <cell r="S147"/>
          <cell r="T147"/>
          <cell r="U147"/>
          <cell r="V147"/>
          <cell r="W147"/>
          <cell r="X147"/>
          <cell r="Y147"/>
          <cell r="Z147"/>
          <cell r="AA147"/>
          <cell r="AB147"/>
          <cell r="AC147"/>
          <cell r="AD147"/>
          <cell r="AE147"/>
          <cell r="AF147"/>
          <cell r="AG147"/>
          <cell r="AH147"/>
          <cell r="AI147"/>
          <cell r="AJ147"/>
          <cell r="AK147"/>
          <cell r="AL147"/>
          <cell r="AM147"/>
          <cell r="AN147"/>
          <cell r="AO147"/>
          <cell r="AP147"/>
          <cell r="AQ147"/>
          <cell r="AR147"/>
          <cell r="AS147"/>
          <cell r="AT147"/>
          <cell r="AU147"/>
          <cell r="AV147"/>
          <cell r="AW147"/>
          <cell r="AX147"/>
          <cell r="AY147"/>
          <cell r="AZ147"/>
          <cell r="BA147"/>
          <cell r="BB147"/>
          <cell r="BC147"/>
          <cell r="BD147"/>
          <cell r="BE147"/>
          <cell r="BF147"/>
          <cell r="BG147"/>
          <cell r="BH147"/>
          <cell r="BI147"/>
          <cell r="BJ147"/>
          <cell r="BK147"/>
          <cell r="BL147"/>
          <cell r="BM147"/>
          <cell r="BN147"/>
          <cell r="BO147"/>
          <cell r="BP147"/>
          <cell r="BQ147"/>
          <cell r="BR147"/>
          <cell r="BS147"/>
          <cell r="BT147"/>
          <cell r="BU147"/>
          <cell r="BV147"/>
          <cell r="BW147"/>
          <cell r="BX147"/>
          <cell r="BY147"/>
          <cell r="BZ147"/>
          <cell r="CA147"/>
          <cell r="CB147"/>
        </row>
        <row r="148">
          <cell r="B148" t="str">
            <v>Segment revenue name 2</v>
          </cell>
          <cell r="C148" t="str">
            <v>SEGMENT2_REV_NAME</v>
          </cell>
          <cell r="E148"/>
        </row>
        <row r="149">
          <cell r="B149" t="str">
            <v>Segment revenue value 2</v>
          </cell>
          <cell r="C149" t="str">
            <v>SEGMENT2_REV_VALUE</v>
          </cell>
          <cell r="D149" t="str">
            <v>USD</v>
          </cell>
          <cell r="F149"/>
          <cell r="G149"/>
          <cell r="H149"/>
          <cell r="I149"/>
          <cell r="J149"/>
          <cell r="K149"/>
          <cell r="L149"/>
          <cell r="M149"/>
          <cell r="N149"/>
          <cell r="O149"/>
          <cell r="P149"/>
          <cell r="Q149"/>
          <cell r="R149"/>
          <cell r="S149"/>
          <cell r="T149"/>
          <cell r="U149"/>
          <cell r="V149"/>
          <cell r="W149"/>
          <cell r="X149"/>
          <cell r="Y149"/>
          <cell r="Z149"/>
          <cell r="AA149"/>
          <cell r="AB149"/>
          <cell r="AC149"/>
          <cell r="AD149"/>
          <cell r="AE149"/>
          <cell r="AF149"/>
          <cell r="AG149"/>
          <cell r="AH149"/>
          <cell r="AI149"/>
          <cell r="AJ149"/>
          <cell r="AK149"/>
          <cell r="AL149"/>
          <cell r="AM149"/>
          <cell r="AN149"/>
          <cell r="AO149"/>
          <cell r="AP149"/>
          <cell r="AQ149"/>
          <cell r="AR149"/>
          <cell r="AS149"/>
          <cell r="AT149"/>
          <cell r="AU149"/>
          <cell r="AV149"/>
          <cell r="AW149"/>
          <cell r="AX149"/>
          <cell r="AY149"/>
          <cell r="AZ149"/>
          <cell r="BA149"/>
          <cell r="BB149"/>
          <cell r="BC149"/>
          <cell r="BD149"/>
          <cell r="BE149"/>
          <cell r="BF149"/>
          <cell r="BG149"/>
          <cell r="BH149"/>
          <cell r="BI149"/>
          <cell r="BJ149"/>
          <cell r="BK149"/>
          <cell r="BL149"/>
          <cell r="BM149"/>
          <cell r="BN149"/>
          <cell r="BO149"/>
          <cell r="BP149"/>
          <cell r="BQ149"/>
          <cell r="BR149"/>
          <cell r="BS149"/>
          <cell r="BT149"/>
          <cell r="BU149"/>
          <cell r="BV149"/>
          <cell r="BW149"/>
          <cell r="BX149"/>
          <cell r="BY149"/>
          <cell r="BZ149"/>
          <cell r="CA149"/>
          <cell r="CB149"/>
        </row>
        <row r="150">
          <cell r="B150" t="str">
            <v>Segment revenue name 3</v>
          </cell>
          <cell r="C150" t="str">
            <v>SEGMENT3_REV_NAME</v>
          </cell>
          <cell r="E150"/>
        </row>
        <row r="151">
          <cell r="B151" t="str">
            <v>Segment revenue value 3</v>
          </cell>
          <cell r="C151" t="str">
            <v>SEGMENT3_REV_VALUE</v>
          </cell>
          <cell r="D151" t="str">
            <v>USD</v>
          </cell>
          <cell r="F151"/>
          <cell r="G151"/>
          <cell r="H151"/>
          <cell r="I151"/>
          <cell r="J151"/>
          <cell r="K151"/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C151"/>
          <cell r="AD151"/>
          <cell r="AE151"/>
          <cell r="AF151"/>
          <cell r="AG151"/>
          <cell r="AH151"/>
          <cell r="AI151"/>
          <cell r="AJ151"/>
          <cell r="AK151"/>
          <cell r="AL151"/>
          <cell r="AM151"/>
          <cell r="AN151"/>
          <cell r="AO151"/>
          <cell r="AP151"/>
          <cell r="AQ151"/>
          <cell r="AR151"/>
          <cell r="AS151"/>
          <cell r="AT151"/>
          <cell r="AU151"/>
          <cell r="AV151"/>
          <cell r="AW151"/>
          <cell r="AX151"/>
          <cell r="AY151"/>
          <cell r="AZ151"/>
          <cell r="BA151"/>
          <cell r="BB151"/>
          <cell r="BC151"/>
          <cell r="BD151"/>
          <cell r="BE151"/>
          <cell r="BF151"/>
          <cell r="BG151"/>
          <cell r="BH151"/>
          <cell r="BI151"/>
          <cell r="BJ151"/>
          <cell r="BK151"/>
          <cell r="BL151"/>
          <cell r="BM151"/>
          <cell r="BN151"/>
          <cell r="BO151"/>
          <cell r="BP151"/>
          <cell r="BQ151"/>
          <cell r="BR151"/>
          <cell r="BS151"/>
          <cell r="BT151"/>
          <cell r="BU151"/>
          <cell r="BV151"/>
          <cell r="BW151"/>
          <cell r="BX151"/>
          <cell r="BY151"/>
          <cell r="BZ151"/>
          <cell r="CA151"/>
          <cell r="CB151"/>
        </row>
        <row r="152">
          <cell r="B152" t="str">
            <v>Segment revenue name 4</v>
          </cell>
          <cell r="C152" t="str">
            <v>SEGMENT4_REV_NAME</v>
          </cell>
          <cell r="E152"/>
        </row>
        <row r="153">
          <cell r="B153" t="str">
            <v>Segment revenue value 4</v>
          </cell>
          <cell r="C153" t="str">
            <v>SEGMENT4_REV_VALUE</v>
          </cell>
          <cell r="D153" t="str">
            <v>USD</v>
          </cell>
          <cell r="F153"/>
          <cell r="G153"/>
          <cell r="H153"/>
          <cell r="I153"/>
          <cell r="J153"/>
          <cell r="K153"/>
          <cell r="L153"/>
          <cell r="M153"/>
          <cell r="N153"/>
          <cell r="O153"/>
          <cell r="P153"/>
          <cell r="Q153"/>
          <cell r="R153"/>
          <cell r="S153"/>
          <cell r="T153"/>
          <cell r="U153"/>
          <cell r="V153"/>
          <cell r="W153"/>
          <cell r="X153"/>
          <cell r="Y153"/>
          <cell r="Z153"/>
          <cell r="AA153"/>
          <cell r="AB153"/>
          <cell r="AC153"/>
          <cell r="AD153"/>
          <cell r="AE153"/>
          <cell r="AF153"/>
          <cell r="AG153"/>
          <cell r="AH153"/>
          <cell r="AI153"/>
          <cell r="AJ153"/>
          <cell r="AK153"/>
          <cell r="AL153"/>
          <cell r="AM153"/>
          <cell r="AN153"/>
          <cell r="AO153"/>
          <cell r="AP153"/>
          <cell r="AQ153"/>
          <cell r="AR153"/>
          <cell r="AS153"/>
          <cell r="AT153"/>
          <cell r="AU153"/>
          <cell r="AV153"/>
          <cell r="AW153"/>
          <cell r="AX153"/>
          <cell r="AY153"/>
          <cell r="AZ153"/>
          <cell r="BA153"/>
          <cell r="BB153"/>
          <cell r="BC153"/>
          <cell r="BD153"/>
          <cell r="BE153"/>
          <cell r="BF153"/>
          <cell r="BG153"/>
          <cell r="BH153"/>
          <cell r="BI153"/>
          <cell r="BJ153"/>
          <cell r="BK153"/>
          <cell r="BL153"/>
          <cell r="BM153"/>
          <cell r="BN153"/>
          <cell r="BO153"/>
          <cell r="BP153"/>
          <cell r="BQ153"/>
          <cell r="BR153"/>
          <cell r="BS153"/>
          <cell r="BT153"/>
          <cell r="BU153"/>
          <cell r="BV153"/>
          <cell r="BW153"/>
          <cell r="BX153"/>
          <cell r="BY153"/>
          <cell r="BZ153"/>
          <cell r="CA153"/>
          <cell r="CB153"/>
        </row>
        <row r="154">
          <cell r="B154" t="str">
            <v>Segment revenue name 5</v>
          </cell>
          <cell r="C154" t="str">
            <v>SEGMENT5_REV_NAME</v>
          </cell>
          <cell r="E154"/>
        </row>
        <row r="155">
          <cell r="B155" t="str">
            <v>Segment revenue value 5</v>
          </cell>
          <cell r="C155" t="str">
            <v>SEGMENT5_REV_VALUE</v>
          </cell>
          <cell r="D155" t="str">
            <v>USD</v>
          </cell>
          <cell r="F155"/>
          <cell r="G155"/>
          <cell r="H155"/>
          <cell r="I155"/>
          <cell r="J155"/>
          <cell r="K155"/>
          <cell r="L155"/>
          <cell r="M155"/>
          <cell r="N155"/>
          <cell r="O155"/>
          <cell r="P155"/>
          <cell r="Q155"/>
          <cell r="R155"/>
          <cell r="S155"/>
          <cell r="T155"/>
          <cell r="U155"/>
          <cell r="V155"/>
          <cell r="W155"/>
          <cell r="X155"/>
          <cell r="Y155"/>
          <cell r="Z155"/>
          <cell r="AA155"/>
          <cell r="AB155"/>
          <cell r="AC155"/>
          <cell r="AD155"/>
          <cell r="AE155"/>
          <cell r="AF155"/>
          <cell r="AG155"/>
          <cell r="AH155"/>
          <cell r="AI155"/>
          <cell r="AJ155"/>
          <cell r="AK155"/>
          <cell r="AL155"/>
          <cell r="AM155"/>
          <cell r="AN155"/>
          <cell r="AO155"/>
          <cell r="AP155"/>
          <cell r="AQ155"/>
          <cell r="AR155"/>
          <cell r="AS155"/>
          <cell r="AT155"/>
          <cell r="AU155"/>
          <cell r="AV155"/>
          <cell r="AW155"/>
          <cell r="AX155"/>
          <cell r="AY155"/>
          <cell r="AZ155"/>
          <cell r="BA155"/>
          <cell r="BB155"/>
          <cell r="BC155"/>
          <cell r="BD155"/>
          <cell r="BE155"/>
          <cell r="BF155"/>
          <cell r="BG155"/>
          <cell r="BH155"/>
          <cell r="BI155"/>
          <cell r="BJ155"/>
          <cell r="BK155"/>
          <cell r="BL155"/>
          <cell r="BM155"/>
          <cell r="BN155"/>
          <cell r="BO155"/>
          <cell r="BP155"/>
          <cell r="BQ155"/>
          <cell r="BR155"/>
          <cell r="BS155"/>
          <cell r="BT155"/>
          <cell r="BU155"/>
          <cell r="BV155"/>
          <cell r="BW155"/>
          <cell r="BX155"/>
          <cell r="BY155"/>
          <cell r="BZ155"/>
          <cell r="CA155"/>
          <cell r="CB155"/>
        </row>
        <row r="156">
          <cell r="B156" t="str">
            <v>Segment revenue name 6</v>
          </cell>
          <cell r="C156" t="str">
            <v>SEGMENT6_REV_NAME</v>
          </cell>
          <cell r="E156"/>
        </row>
        <row r="157">
          <cell r="B157" t="str">
            <v>Segment revenue value 6</v>
          </cell>
          <cell r="C157" t="str">
            <v>SEGMENT6_REV_VALUE</v>
          </cell>
          <cell r="D157" t="str">
            <v>USD</v>
          </cell>
          <cell r="F157"/>
          <cell r="G157"/>
          <cell r="H157"/>
          <cell r="I157"/>
          <cell r="J157"/>
          <cell r="K157"/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  <cell r="V157"/>
          <cell r="W157"/>
          <cell r="X157"/>
          <cell r="Y157"/>
          <cell r="Z157"/>
          <cell r="AA157"/>
          <cell r="AB157"/>
          <cell r="AC157"/>
          <cell r="AD157"/>
          <cell r="AE157"/>
          <cell r="AF157"/>
          <cell r="AG157"/>
          <cell r="AH157"/>
          <cell r="AI157"/>
          <cell r="AJ157"/>
          <cell r="AK157"/>
          <cell r="AL157"/>
          <cell r="AM157"/>
          <cell r="AN157"/>
          <cell r="AO157"/>
          <cell r="AP157"/>
          <cell r="AQ157"/>
          <cell r="AR157"/>
          <cell r="AS157"/>
          <cell r="AT157"/>
          <cell r="AU157"/>
          <cell r="AV157"/>
          <cell r="AW157"/>
          <cell r="AX157"/>
          <cell r="AY157"/>
          <cell r="AZ157"/>
          <cell r="BA157"/>
          <cell r="BB157"/>
          <cell r="BC157"/>
          <cell r="BD157"/>
          <cell r="BE157"/>
          <cell r="BF157"/>
          <cell r="BG157"/>
          <cell r="BH157"/>
          <cell r="BI157"/>
          <cell r="BJ157"/>
          <cell r="BK157"/>
          <cell r="BL157"/>
          <cell r="BM157"/>
          <cell r="BN157"/>
          <cell r="BO157"/>
          <cell r="BP157"/>
          <cell r="BQ157"/>
          <cell r="BR157"/>
          <cell r="BS157"/>
          <cell r="BT157"/>
          <cell r="BU157"/>
          <cell r="BV157"/>
          <cell r="BW157"/>
          <cell r="BX157"/>
          <cell r="BY157"/>
          <cell r="BZ157"/>
          <cell r="CA157"/>
          <cell r="CB157"/>
        </row>
        <row r="158">
          <cell r="B158" t="str">
            <v>Segment revenue name 7</v>
          </cell>
          <cell r="C158" t="str">
            <v>SEGMENT7_REV_NAME</v>
          </cell>
          <cell r="E158"/>
        </row>
        <row r="159">
          <cell r="B159" t="str">
            <v>Segment revenue value 7</v>
          </cell>
          <cell r="C159" t="str">
            <v>SEGMENT7_REV_VALUE</v>
          </cell>
          <cell r="D159" t="str">
            <v>USD</v>
          </cell>
          <cell r="F159"/>
          <cell r="G159"/>
          <cell r="H159"/>
          <cell r="I159"/>
          <cell r="J159"/>
          <cell r="K159"/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  <cell r="V159"/>
          <cell r="W159"/>
          <cell r="X159"/>
          <cell r="Y159"/>
          <cell r="Z159"/>
          <cell r="AA159"/>
          <cell r="AB159"/>
          <cell r="AC159"/>
          <cell r="AD159"/>
          <cell r="AE159"/>
          <cell r="AF159"/>
          <cell r="AG159"/>
          <cell r="AH159"/>
          <cell r="AI159"/>
          <cell r="AJ159"/>
          <cell r="AK159"/>
          <cell r="AL159"/>
          <cell r="AM159"/>
          <cell r="AN159"/>
          <cell r="AO159"/>
          <cell r="AP159"/>
          <cell r="AQ159"/>
          <cell r="AR159"/>
          <cell r="AS159"/>
          <cell r="AT159"/>
          <cell r="AU159"/>
          <cell r="AV159"/>
          <cell r="AW159"/>
          <cell r="AX159"/>
          <cell r="AY159"/>
          <cell r="AZ159"/>
          <cell r="BA159"/>
          <cell r="BB159"/>
          <cell r="BC159"/>
          <cell r="BD159"/>
          <cell r="BE159"/>
          <cell r="BF159"/>
          <cell r="BG159"/>
          <cell r="BH159"/>
          <cell r="BI159"/>
          <cell r="BJ159"/>
          <cell r="BK159"/>
          <cell r="BL159"/>
          <cell r="BM159"/>
          <cell r="BN159"/>
          <cell r="BO159"/>
          <cell r="BP159"/>
          <cell r="BQ159"/>
          <cell r="BR159"/>
          <cell r="BS159"/>
          <cell r="BT159"/>
          <cell r="BU159"/>
          <cell r="BV159"/>
          <cell r="BW159"/>
          <cell r="BX159"/>
          <cell r="BY159"/>
          <cell r="BZ159"/>
          <cell r="CA159"/>
          <cell r="CB159"/>
        </row>
        <row r="160">
          <cell r="B160" t="str">
            <v>Segment revenue name 8</v>
          </cell>
          <cell r="C160" t="str">
            <v>SEGMENT8_REV_NAME</v>
          </cell>
          <cell r="E160"/>
        </row>
        <row r="161">
          <cell r="B161" t="str">
            <v>Segment revenue value 8</v>
          </cell>
          <cell r="C161" t="str">
            <v>SEGMENT8_REV_VALUE</v>
          </cell>
          <cell r="D161" t="str">
            <v>USD</v>
          </cell>
          <cell r="F161"/>
          <cell r="G161"/>
          <cell r="H161"/>
          <cell r="I161"/>
          <cell r="J161"/>
          <cell r="K161"/>
          <cell r="L161"/>
          <cell r="M161"/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C161"/>
          <cell r="AD161"/>
          <cell r="AE161"/>
          <cell r="AF161"/>
          <cell r="AG161"/>
          <cell r="AH161"/>
          <cell r="AI161"/>
          <cell r="AJ161"/>
          <cell r="AK161"/>
          <cell r="AL161"/>
          <cell r="AM161"/>
          <cell r="AN161"/>
          <cell r="AO161"/>
          <cell r="AP161"/>
          <cell r="AQ161"/>
          <cell r="AR161"/>
          <cell r="AS161"/>
          <cell r="AT161"/>
          <cell r="AU161"/>
          <cell r="AV161"/>
          <cell r="AW161"/>
          <cell r="AX161"/>
          <cell r="AY161"/>
          <cell r="AZ161"/>
          <cell r="BA161"/>
          <cell r="BB161"/>
          <cell r="BC161"/>
          <cell r="BD161"/>
          <cell r="BE161"/>
          <cell r="BF161"/>
          <cell r="BG161"/>
          <cell r="BH161"/>
          <cell r="BI161"/>
          <cell r="BJ161"/>
          <cell r="BK161"/>
          <cell r="BL161"/>
          <cell r="BM161"/>
          <cell r="BN161"/>
          <cell r="BO161"/>
          <cell r="BP161"/>
          <cell r="BQ161"/>
          <cell r="BR161"/>
          <cell r="BS161"/>
          <cell r="BT161"/>
          <cell r="BU161"/>
          <cell r="BV161"/>
          <cell r="BW161"/>
          <cell r="BX161"/>
          <cell r="BY161"/>
          <cell r="BZ161"/>
          <cell r="CA161"/>
          <cell r="CB161"/>
        </row>
        <row r="162">
          <cell r="B162" t="str">
            <v>Segment revenue name 9</v>
          </cell>
          <cell r="C162" t="str">
            <v>SEGMENT9_REV_NAME</v>
          </cell>
          <cell r="E162"/>
        </row>
        <row r="163">
          <cell r="B163" t="str">
            <v>Segment revenue value 9</v>
          </cell>
          <cell r="C163" t="str">
            <v>SEGMENT9_REV_VALUE</v>
          </cell>
          <cell r="D163" t="str">
            <v>USD</v>
          </cell>
          <cell r="F163"/>
          <cell r="G163"/>
          <cell r="H163"/>
          <cell r="I163"/>
          <cell r="J163"/>
          <cell r="K163"/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B163"/>
          <cell r="AC163"/>
          <cell r="AD163"/>
          <cell r="AE163"/>
          <cell r="AF163"/>
          <cell r="AG163"/>
          <cell r="AH163"/>
          <cell r="AI163"/>
          <cell r="AJ163"/>
          <cell r="AK163"/>
          <cell r="AL163"/>
          <cell r="AM163"/>
          <cell r="AN163"/>
          <cell r="AO163"/>
          <cell r="AP163"/>
          <cell r="AQ163"/>
          <cell r="AR163"/>
          <cell r="AS163"/>
          <cell r="AT163"/>
          <cell r="AU163"/>
          <cell r="AV163"/>
          <cell r="AW163"/>
          <cell r="AX163"/>
          <cell r="AY163"/>
          <cell r="AZ163"/>
          <cell r="BA163"/>
          <cell r="BB163"/>
          <cell r="BC163"/>
          <cell r="BD163"/>
          <cell r="BE163"/>
          <cell r="BF163"/>
          <cell r="BG163"/>
          <cell r="BH163"/>
          <cell r="BI163"/>
          <cell r="BJ163"/>
          <cell r="BK163"/>
          <cell r="BL163"/>
          <cell r="BM163"/>
          <cell r="BN163"/>
          <cell r="BO163"/>
          <cell r="BP163"/>
          <cell r="BQ163"/>
          <cell r="BR163"/>
          <cell r="BS163"/>
          <cell r="BT163"/>
          <cell r="BU163"/>
          <cell r="BV163"/>
          <cell r="BW163"/>
          <cell r="BX163"/>
          <cell r="BY163"/>
          <cell r="BZ163"/>
          <cell r="CA163"/>
          <cell r="CB163"/>
        </row>
        <row r="164">
          <cell r="B164" t="str">
            <v>Segment revenue name 10</v>
          </cell>
          <cell r="C164" t="str">
            <v>SEGMENT10_REV_NAME</v>
          </cell>
          <cell r="E164"/>
        </row>
        <row r="165">
          <cell r="B165" t="str">
            <v>Segment revenue value 10</v>
          </cell>
          <cell r="C165" t="str">
            <v>SEGMENT10_REV_VALUE</v>
          </cell>
          <cell r="D165" t="str">
            <v>USD</v>
          </cell>
          <cell r="F165"/>
          <cell r="G165"/>
          <cell r="H165"/>
          <cell r="I165"/>
          <cell r="J165"/>
          <cell r="K165"/>
          <cell r="L165"/>
          <cell r="M165"/>
          <cell r="N165"/>
          <cell r="O165"/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/>
          <cell r="AB165"/>
          <cell r="AC165"/>
          <cell r="AD165"/>
          <cell r="AE165"/>
          <cell r="AF165"/>
          <cell r="AG165"/>
          <cell r="AH165"/>
          <cell r="AI165"/>
          <cell r="AJ165"/>
          <cell r="AK165"/>
          <cell r="AL165"/>
          <cell r="AM165"/>
          <cell r="AN165"/>
          <cell r="AO165"/>
          <cell r="AP165"/>
          <cell r="AQ165"/>
          <cell r="AR165"/>
          <cell r="AS165"/>
          <cell r="AT165"/>
          <cell r="AU165"/>
          <cell r="AV165"/>
          <cell r="AW165"/>
          <cell r="AX165"/>
          <cell r="AY165"/>
          <cell r="AZ165"/>
          <cell r="BA165"/>
          <cell r="BB165"/>
          <cell r="BC165"/>
          <cell r="BD165"/>
          <cell r="BE165"/>
          <cell r="BF165"/>
          <cell r="BG165"/>
          <cell r="BH165"/>
          <cell r="BI165"/>
          <cell r="BJ165"/>
          <cell r="BK165"/>
          <cell r="BL165"/>
          <cell r="BM165"/>
          <cell r="BN165"/>
          <cell r="BO165"/>
          <cell r="BP165"/>
          <cell r="BQ165"/>
          <cell r="BR165"/>
          <cell r="BS165"/>
          <cell r="BT165"/>
          <cell r="BU165"/>
          <cell r="BV165"/>
          <cell r="BW165"/>
          <cell r="BX165"/>
          <cell r="BY165"/>
          <cell r="BZ165"/>
          <cell r="CA165"/>
          <cell r="CB165"/>
        </row>
        <row r="166">
          <cell r="A166" t="str">
            <v>Geographical Breakdown</v>
          </cell>
          <cell r="B166"/>
          <cell r="C166"/>
          <cell r="D166"/>
        </row>
        <row r="167">
          <cell r="B167" t="str">
            <v>Sales - % Canada</v>
          </cell>
          <cell r="C167" t="str">
            <v>SALES_CANADA</v>
          </cell>
          <cell r="F167"/>
          <cell r="G167"/>
          <cell r="H167"/>
          <cell r="I167"/>
          <cell r="J167"/>
          <cell r="K167"/>
          <cell r="L167"/>
          <cell r="M167"/>
          <cell r="N167"/>
          <cell r="O167"/>
          <cell r="P167"/>
          <cell r="Q167"/>
          <cell r="R167"/>
          <cell r="S167"/>
          <cell r="T167"/>
          <cell r="U167"/>
          <cell r="V167"/>
          <cell r="W167"/>
          <cell r="X167"/>
          <cell r="Y167"/>
          <cell r="Z167"/>
          <cell r="AA167"/>
          <cell r="AB167"/>
          <cell r="AC167"/>
          <cell r="AD167"/>
          <cell r="AE167"/>
          <cell r="AF167"/>
          <cell r="AG167"/>
          <cell r="AH167"/>
          <cell r="AI167"/>
          <cell r="AJ167"/>
          <cell r="AK167"/>
          <cell r="AL167"/>
          <cell r="AM167"/>
          <cell r="AN167"/>
          <cell r="AO167"/>
          <cell r="AP167"/>
          <cell r="AQ167"/>
          <cell r="AR167"/>
          <cell r="AS167"/>
          <cell r="AT167"/>
          <cell r="AU167"/>
          <cell r="AV167"/>
          <cell r="AW167"/>
          <cell r="AX167"/>
          <cell r="AY167"/>
          <cell r="AZ167"/>
          <cell r="BA167"/>
          <cell r="BB167"/>
          <cell r="BC167"/>
          <cell r="BD167"/>
          <cell r="BE167"/>
          <cell r="BF167"/>
          <cell r="BG167"/>
          <cell r="BH167"/>
          <cell r="BI167"/>
          <cell r="BJ167"/>
          <cell r="BK167"/>
          <cell r="BL167"/>
          <cell r="BM167"/>
          <cell r="BN167"/>
          <cell r="BO167"/>
          <cell r="BP167"/>
          <cell r="BQ167"/>
          <cell r="BR167"/>
          <cell r="BS167"/>
          <cell r="BT167"/>
          <cell r="BU167"/>
          <cell r="BV167"/>
          <cell r="BW167"/>
          <cell r="BX167"/>
          <cell r="BY167"/>
          <cell r="BZ167"/>
          <cell r="CA167"/>
          <cell r="CB167"/>
        </row>
        <row r="168">
          <cell r="B168" t="str">
            <v>Sales - % United States</v>
          </cell>
          <cell r="C168" t="str">
            <v>SALES_US</v>
          </cell>
          <cell r="F168"/>
          <cell r="G168"/>
          <cell r="H168"/>
          <cell r="I168"/>
          <cell r="J168">
            <v>0.63426630380802929</v>
          </cell>
          <cell r="K168">
            <v>0.56304325921054721</v>
          </cell>
          <cell r="L168">
            <v>0.52728221912114615</v>
          </cell>
          <cell r="M168">
            <v>0.55585646910098707</v>
          </cell>
          <cell r="N168">
            <v>0.64385363109903426</v>
          </cell>
          <cell r="O168">
            <v>0.57699168817228452</v>
          </cell>
          <cell r="P168">
            <v>0.67996240274068054</v>
          </cell>
          <cell r="Q168">
            <v>0.57812892336020971</v>
          </cell>
          <cell r="R168">
            <v>0.46741507810637395</v>
          </cell>
          <cell r="S168">
            <v>0.52803310639082368</v>
          </cell>
          <cell r="T168">
            <v>0.56151375602899967</v>
          </cell>
          <cell r="U168">
            <v>0.57777153564029959</v>
          </cell>
          <cell r="V168">
            <v>0.53868678435114503</v>
          </cell>
          <cell r="W168">
            <v>0.55024267794064474</v>
          </cell>
          <cell r="X168">
            <v>0.54161386706505366</v>
          </cell>
          <cell r="Y168">
            <v>0.55199115312710589</v>
          </cell>
          <cell r="Z168">
            <v>0.58699423067147871</v>
          </cell>
          <cell r="AA168">
            <v>0.52592086328860599</v>
          </cell>
          <cell r="AB168">
            <v>0.52401554640198822</v>
          </cell>
          <cell r="AC168">
            <v>0.52517430476341531</v>
          </cell>
          <cell r="AD168">
            <v>0.53997072682808211</v>
          </cell>
          <cell r="AE168">
            <v>0.5663013102949922</v>
          </cell>
          <cell r="AF168">
            <v>0.5261849634218867</v>
          </cell>
          <cell r="AG168">
            <v>0.53523285380891017</v>
          </cell>
          <cell r="AH168">
            <v>0.54863329238329228</v>
          </cell>
          <cell r="AI168">
            <v>0.54370881634924595</v>
          </cell>
          <cell r="AJ168">
            <v>0.57368625451432831</v>
          </cell>
          <cell r="AK168">
            <v>0.54816609817444995</v>
          </cell>
          <cell r="AL168">
            <v>0.56284032522580996</v>
          </cell>
          <cell r="AM168">
            <v>0.5611843129117603</v>
          </cell>
          <cell r="AN168">
            <v>0.56119891497701158</v>
          </cell>
          <cell r="AO168"/>
          <cell r="AP168"/>
          <cell r="AQ168"/>
          <cell r="AR168"/>
          <cell r="AS168">
            <v>0.55789188333212558</v>
          </cell>
          <cell r="AT168"/>
          <cell r="AU168"/>
          <cell r="AV168"/>
          <cell r="AW168"/>
          <cell r="AX168">
            <v>0.55342709659645128</v>
          </cell>
          <cell r="AY168"/>
          <cell r="AZ168"/>
          <cell r="BA168"/>
          <cell r="BB168"/>
          <cell r="BC168">
            <v>0.55342709659645128</v>
          </cell>
          <cell r="BD168"/>
          <cell r="BE168"/>
          <cell r="BF168"/>
          <cell r="BG168"/>
          <cell r="BH168"/>
          <cell r="BI168"/>
          <cell r="BJ168"/>
          <cell r="BK168"/>
          <cell r="BL168"/>
          <cell r="BM168"/>
          <cell r="BN168"/>
          <cell r="BO168"/>
          <cell r="BP168"/>
          <cell r="BQ168"/>
          <cell r="BR168"/>
          <cell r="BS168"/>
          <cell r="BT168"/>
          <cell r="BU168"/>
          <cell r="BV168"/>
          <cell r="BW168"/>
          <cell r="BX168"/>
          <cell r="BY168"/>
          <cell r="BZ168"/>
          <cell r="CA168"/>
          <cell r="CB168"/>
        </row>
        <row r="169">
          <cell r="B169" t="str">
            <v>Sales - % Other North Americas</v>
          </cell>
          <cell r="C169" t="str">
            <v>SALES_OTH_NO_AMER</v>
          </cell>
          <cell r="F169"/>
          <cell r="G169"/>
          <cell r="H169"/>
          <cell r="I169"/>
          <cell r="J169">
            <v>4.3288770584612946E-2</v>
          </cell>
          <cell r="K169">
            <v>5.9025991588928781E-2</v>
          </cell>
          <cell r="L169">
            <v>4.8324916923509396E-2</v>
          </cell>
          <cell r="M169">
            <v>3.2250692857490153E-2</v>
          </cell>
          <cell r="N169">
            <v>1.8834816088220626E-2</v>
          </cell>
          <cell r="O169">
            <v>3.8000810967687787E-2</v>
          </cell>
          <cell r="P169">
            <v>2.1353501335501103E-2</v>
          </cell>
          <cell r="Q169">
            <v>3.4689479117261383E-2</v>
          </cell>
          <cell r="R169">
            <v>3.6622404660467914E-2</v>
          </cell>
          <cell r="S169">
            <v>5.1302395406718715E-2</v>
          </cell>
          <cell r="T169">
            <v>3.6360504977684151E-2</v>
          </cell>
          <cell r="U169">
            <v>3.2759517752319785E-2</v>
          </cell>
          <cell r="V169">
            <v>3.9670801526717557E-2</v>
          </cell>
          <cell r="W169">
            <v>3.6168748087781269E-2</v>
          </cell>
          <cell r="X169">
            <v>3.2563459563286164E-2</v>
          </cell>
          <cell r="Y169">
            <v>3.5380210865571374E-2</v>
          </cell>
          <cell r="Z169">
            <v>4.1195420118944753E-2</v>
          </cell>
          <cell r="AA169">
            <v>5.1648513266833347E-2</v>
          </cell>
          <cell r="AB169">
            <v>4.3547520524832448E-2</v>
          </cell>
          <cell r="AC169">
            <v>4.3474017457925909E-2</v>
          </cell>
          <cell r="AD169">
            <v>4.511112028765403E-2</v>
          </cell>
          <cell r="AE169">
            <v>4.2004258938334919E-2</v>
          </cell>
          <cell r="AF169">
            <v>4.2724506469735718E-2</v>
          </cell>
          <cell r="AG169">
            <v>3.8672541711658369E-2</v>
          </cell>
          <cell r="AH169">
            <v>3.4559275184275179E-2</v>
          </cell>
          <cell r="AI169">
            <v>3.9273819461776119E-2</v>
          </cell>
          <cell r="AJ169">
            <v>3.0881043651936373E-2</v>
          </cell>
          <cell r="AK169">
            <v>3.4414557919633187E-2</v>
          </cell>
          <cell r="AL169">
            <v>2.9532425964554153E-2</v>
          </cell>
          <cell r="AM169">
            <v>1.8856668568760691E-2</v>
          </cell>
          <cell r="AN169">
            <v>2.852740011993957E-2</v>
          </cell>
          <cell r="AO169"/>
          <cell r="AP169"/>
          <cell r="AQ169"/>
          <cell r="AR169"/>
          <cell r="AS169">
            <v>2.3133885699408715E-2</v>
          </cell>
          <cell r="AT169"/>
          <cell r="AU169"/>
          <cell r="AV169"/>
          <cell r="AW169"/>
          <cell r="AX169">
            <v>2.2044698103513751E-2</v>
          </cell>
          <cell r="AY169"/>
          <cell r="AZ169"/>
          <cell r="BA169"/>
          <cell r="BB169"/>
          <cell r="BC169">
            <v>2.2044698103513751E-2</v>
          </cell>
          <cell r="BD169"/>
          <cell r="BE169"/>
          <cell r="BF169"/>
          <cell r="BG169"/>
          <cell r="BH169"/>
          <cell r="BI169"/>
          <cell r="BJ169"/>
          <cell r="BK169"/>
          <cell r="BL169"/>
          <cell r="BM169"/>
          <cell r="BN169"/>
          <cell r="BO169"/>
          <cell r="BP169"/>
          <cell r="BQ169"/>
          <cell r="BR169"/>
          <cell r="BS169"/>
          <cell r="BT169"/>
          <cell r="BU169"/>
          <cell r="BV169"/>
          <cell r="BW169"/>
          <cell r="BX169"/>
          <cell r="BY169"/>
          <cell r="BZ169"/>
          <cell r="CA169"/>
          <cell r="CB169"/>
        </row>
        <row r="170">
          <cell r="B170" t="str">
            <v>Sales - % Argentina</v>
          </cell>
          <cell r="C170" t="str">
            <v>SALES_ARGENTINA</v>
          </cell>
          <cell r="F170"/>
          <cell r="G170"/>
          <cell r="H170"/>
          <cell r="I170"/>
          <cell r="J170"/>
          <cell r="K170"/>
          <cell r="L170"/>
          <cell r="M170"/>
          <cell r="N170"/>
          <cell r="O170"/>
          <cell r="P170"/>
          <cell r="Q170"/>
          <cell r="R170"/>
          <cell r="S170"/>
          <cell r="T170"/>
          <cell r="U170"/>
          <cell r="V170"/>
          <cell r="W170"/>
          <cell r="X170"/>
          <cell r="Y170"/>
          <cell r="Z170"/>
          <cell r="AA170"/>
          <cell r="AB170"/>
          <cell r="AC170"/>
          <cell r="AD170"/>
          <cell r="AE170"/>
          <cell r="AF170"/>
          <cell r="AG170"/>
          <cell r="AH170"/>
          <cell r="AI170"/>
          <cell r="AJ170"/>
          <cell r="AK170"/>
          <cell r="AL170"/>
          <cell r="AM170"/>
          <cell r="AN170"/>
          <cell r="AO170"/>
          <cell r="AP170"/>
          <cell r="AQ170"/>
          <cell r="AR170"/>
          <cell r="AS170"/>
          <cell r="AT170"/>
          <cell r="AU170"/>
          <cell r="AV170"/>
          <cell r="AW170"/>
          <cell r="AX170"/>
          <cell r="AY170"/>
          <cell r="AZ170"/>
          <cell r="BA170"/>
          <cell r="BB170"/>
          <cell r="BC170"/>
          <cell r="BD170"/>
          <cell r="BE170"/>
          <cell r="BF170"/>
          <cell r="BG170"/>
          <cell r="BH170"/>
          <cell r="BI170"/>
          <cell r="BJ170"/>
          <cell r="BK170"/>
          <cell r="BL170"/>
          <cell r="BM170"/>
          <cell r="BN170"/>
          <cell r="BO170"/>
          <cell r="BP170"/>
          <cell r="BQ170"/>
          <cell r="BR170"/>
          <cell r="BS170"/>
          <cell r="BT170"/>
          <cell r="BU170"/>
          <cell r="BV170"/>
          <cell r="BW170"/>
          <cell r="BX170"/>
          <cell r="BY170"/>
          <cell r="BZ170"/>
          <cell r="CA170"/>
          <cell r="CB170"/>
        </row>
        <row r="171">
          <cell r="B171" t="str">
            <v>Sales - % Brazil</v>
          </cell>
          <cell r="C171" t="str">
            <v>SALES_BRAZIL</v>
          </cell>
          <cell r="F171"/>
          <cell r="G171"/>
          <cell r="H171"/>
          <cell r="I171"/>
          <cell r="J171"/>
          <cell r="K171"/>
          <cell r="L171"/>
          <cell r="M171"/>
          <cell r="N171"/>
          <cell r="O171"/>
          <cell r="P171"/>
          <cell r="Q171"/>
          <cell r="R171"/>
          <cell r="S171"/>
          <cell r="T171"/>
          <cell r="U171"/>
          <cell r="V171"/>
          <cell r="W171"/>
          <cell r="X171"/>
          <cell r="Y171"/>
          <cell r="Z171"/>
          <cell r="AA171"/>
          <cell r="AB171"/>
          <cell r="AC171"/>
          <cell r="AD171"/>
          <cell r="AE171"/>
          <cell r="AF171"/>
          <cell r="AG171"/>
          <cell r="AH171"/>
          <cell r="AI171"/>
          <cell r="AJ171"/>
          <cell r="AK171"/>
          <cell r="AL171"/>
          <cell r="AM171"/>
          <cell r="AN171"/>
          <cell r="AO171"/>
          <cell r="AP171"/>
          <cell r="AQ171"/>
          <cell r="AR171"/>
          <cell r="AS171"/>
          <cell r="AT171"/>
          <cell r="AU171"/>
          <cell r="AV171"/>
          <cell r="AW171"/>
          <cell r="AX171"/>
          <cell r="AY171"/>
          <cell r="AZ171"/>
          <cell r="BA171"/>
          <cell r="BB171"/>
          <cell r="BC171"/>
          <cell r="BD171"/>
          <cell r="BE171"/>
          <cell r="BF171"/>
          <cell r="BG171"/>
          <cell r="BH171"/>
          <cell r="BI171"/>
          <cell r="BJ171"/>
          <cell r="BK171"/>
          <cell r="BL171"/>
          <cell r="BM171"/>
          <cell r="BN171"/>
          <cell r="BO171"/>
          <cell r="BP171"/>
          <cell r="BQ171"/>
          <cell r="BR171"/>
          <cell r="BS171"/>
          <cell r="BT171"/>
          <cell r="BU171"/>
          <cell r="BV171"/>
          <cell r="BW171"/>
          <cell r="BX171"/>
          <cell r="BY171"/>
          <cell r="BZ171"/>
          <cell r="CA171"/>
          <cell r="CB171"/>
        </row>
        <row r="172">
          <cell r="B172" t="str">
            <v>Sales - % Chile</v>
          </cell>
          <cell r="C172" t="str">
            <v>SALES_CHILE</v>
          </cell>
          <cell r="F172"/>
          <cell r="G172"/>
          <cell r="H172"/>
          <cell r="I172"/>
          <cell r="J172"/>
          <cell r="K172"/>
          <cell r="L172"/>
          <cell r="M172"/>
          <cell r="N172"/>
          <cell r="O172"/>
          <cell r="P172"/>
          <cell r="Q172"/>
          <cell r="R172"/>
          <cell r="S172"/>
          <cell r="T172"/>
          <cell r="U172"/>
          <cell r="V172"/>
          <cell r="W172"/>
          <cell r="X172"/>
          <cell r="Y172"/>
          <cell r="Z172"/>
          <cell r="AA172"/>
          <cell r="AB172"/>
          <cell r="AC172"/>
          <cell r="AD172"/>
          <cell r="AE172"/>
          <cell r="AF172"/>
          <cell r="AG172"/>
          <cell r="AH172"/>
          <cell r="AI172"/>
          <cell r="AJ172"/>
          <cell r="AK172"/>
          <cell r="AL172"/>
          <cell r="AM172"/>
          <cell r="AN172"/>
          <cell r="AO172"/>
          <cell r="AP172"/>
          <cell r="AQ172"/>
          <cell r="AR172"/>
          <cell r="AS172"/>
          <cell r="AT172"/>
          <cell r="AU172"/>
          <cell r="AV172"/>
          <cell r="AW172"/>
          <cell r="AX172"/>
          <cell r="AY172"/>
          <cell r="AZ172"/>
          <cell r="BA172"/>
          <cell r="BB172"/>
          <cell r="BC172"/>
          <cell r="BD172"/>
          <cell r="BE172"/>
          <cell r="BF172"/>
          <cell r="BG172"/>
          <cell r="BH172"/>
          <cell r="BI172"/>
          <cell r="BJ172"/>
          <cell r="BK172"/>
          <cell r="BL172"/>
          <cell r="BM172"/>
          <cell r="BN172"/>
          <cell r="BO172"/>
          <cell r="BP172"/>
          <cell r="BQ172"/>
          <cell r="BR172"/>
          <cell r="BS172"/>
          <cell r="BT172"/>
          <cell r="BU172"/>
          <cell r="BV172"/>
          <cell r="BW172"/>
          <cell r="BX172"/>
          <cell r="BY172"/>
          <cell r="BZ172"/>
          <cell r="CA172"/>
          <cell r="CB172"/>
        </row>
        <row r="173">
          <cell r="B173" t="str">
            <v>Sales - % Colombia</v>
          </cell>
          <cell r="C173" t="str">
            <v>SALES_COLOMBIA</v>
          </cell>
          <cell r="F173"/>
          <cell r="G173"/>
          <cell r="H173"/>
          <cell r="I173"/>
          <cell r="J173"/>
          <cell r="K173"/>
          <cell r="L173"/>
          <cell r="M173"/>
          <cell r="N173"/>
          <cell r="O173"/>
          <cell r="P173"/>
          <cell r="Q173"/>
          <cell r="R173"/>
          <cell r="S173"/>
          <cell r="T173"/>
          <cell r="U173"/>
          <cell r="V173"/>
          <cell r="W173"/>
          <cell r="X173"/>
          <cell r="Y173"/>
          <cell r="Z173"/>
          <cell r="AA173"/>
          <cell r="AB173"/>
          <cell r="AC173"/>
          <cell r="AD173"/>
          <cell r="AE173"/>
          <cell r="AF173"/>
          <cell r="AG173"/>
          <cell r="AH173"/>
          <cell r="AI173"/>
          <cell r="AJ173"/>
          <cell r="AK173"/>
          <cell r="AL173"/>
          <cell r="AM173"/>
          <cell r="AN173"/>
          <cell r="AO173"/>
          <cell r="AP173"/>
          <cell r="AQ173"/>
          <cell r="AR173"/>
          <cell r="AS173"/>
          <cell r="AT173"/>
          <cell r="AU173"/>
          <cell r="AV173"/>
          <cell r="AW173"/>
          <cell r="AX173"/>
          <cell r="AY173"/>
          <cell r="AZ173"/>
          <cell r="BA173"/>
          <cell r="BB173"/>
          <cell r="BC173"/>
          <cell r="BD173"/>
          <cell r="BE173"/>
          <cell r="BF173"/>
          <cell r="BG173"/>
          <cell r="BH173"/>
          <cell r="BI173"/>
          <cell r="BJ173"/>
          <cell r="BK173"/>
          <cell r="BL173"/>
          <cell r="BM173"/>
          <cell r="BN173"/>
          <cell r="BO173"/>
          <cell r="BP173"/>
          <cell r="BQ173"/>
          <cell r="BR173"/>
          <cell r="BS173"/>
          <cell r="BT173"/>
          <cell r="BU173"/>
          <cell r="BV173"/>
          <cell r="BW173"/>
          <cell r="BX173"/>
          <cell r="BY173"/>
          <cell r="BZ173"/>
          <cell r="CA173"/>
          <cell r="CB173"/>
        </row>
        <row r="174">
          <cell r="B174" t="str">
            <v>Sales - % Mexico</v>
          </cell>
          <cell r="C174" t="str">
            <v>SALES_MEXICO</v>
          </cell>
          <cell r="F174"/>
          <cell r="G174"/>
          <cell r="H174"/>
          <cell r="I174"/>
          <cell r="J174"/>
          <cell r="K174"/>
          <cell r="L174"/>
          <cell r="M174"/>
          <cell r="N174"/>
          <cell r="O174"/>
          <cell r="P174"/>
          <cell r="Q174"/>
          <cell r="R174"/>
          <cell r="S174"/>
          <cell r="T174"/>
          <cell r="U174"/>
          <cell r="V174"/>
          <cell r="W174"/>
          <cell r="X174"/>
          <cell r="Y174"/>
          <cell r="Z174"/>
          <cell r="AA174"/>
          <cell r="AB174"/>
          <cell r="AC174"/>
          <cell r="AD174"/>
          <cell r="AE174"/>
          <cell r="AF174"/>
          <cell r="AG174"/>
          <cell r="AH174"/>
          <cell r="AI174"/>
          <cell r="AJ174"/>
          <cell r="AK174"/>
          <cell r="AL174"/>
          <cell r="AM174"/>
          <cell r="AN174"/>
          <cell r="AO174"/>
          <cell r="AP174"/>
          <cell r="AQ174"/>
          <cell r="AR174"/>
          <cell r="AS174"/>
          <cell r="AT174"/>
          <cell r="AU174"/>
          <cell r="AV174"/>
          <cell r="AW174"/>
          <cell r="AX174"/>
          <cell r="AY174"/>
          <cell r="AZ174"/>
          <cell r="BA174"/>
          <cell r="BB174"/>
          <cell r="BC174"/>
          <cell r="BD174"/>
          <cell r="BE174"/>
          <cell r="BF174"/>
          <cell r="BG174"/>
          <cell r="BH174"/>
          <cell r="BI174"/>
          <cell r="BJ174"/>
          <cell r="BK174"/>
          <cell r="BL174"/>
          <cell r="BM174"/>
          <cell r="BN174"/>
          <cell r="BO174"/>
          <cell r="BP174"/>
          <cell r="BQ174"/>
          <cell r="BR174"/>
          <cell r="BS174"/>
          <cell r="BT174"/>
          <cell r="BU174"/>
          <cell r="BV174"/>
          <cell r="BW174"/>
          <cell r="BX174"/>
          <cell r="BY174"/>
          <cell r="BZ174"/>
          <cell r="CA174"/>
          <cell r="CB174"/>
        </row>
        <row r="175">
          <cell r="B175" t="str">
            <v>Sales - % Venezuela</v>
          </cell>
          <cell r="C175" t="str">
            <v>SALES_VENEZUELA</v>
          </cell>
          <cell r="F175"/>
          <cell r="G175"/>
          <cell r="H175"/>
          <cell r="I175"/>
          <cell r="J175"/>
          <cell r="K175"/>
          <cell r="L175"/>
          <cell r="M175"/>
          <cell r="N175"/>
          <cell r="O175"/>
          <cell r="P175"/>
          <cell r="Q175"/>
          <cell r="R175"/>
          <cell r="S175"/>
          <cell r="T175"/>
          <cell r="U175"/>
          <cell r="V175"/>
          <cell r="W175"/>
          <cell r="X175"/>
          <cell r="Y175"/>
          <cell r="Z175"/>
          <cell r="AA175"/>
          <cell r="AB175"/>
          <cell r="AC175"/>
          <cell r="AD175"/>
          <cell r="AE175"/>
          <cell r="AF175"/>
          <cell r="AG175"/>
          <cell r="AH175"/>
          <cell r="AI175"/>
          <cell r="AJ175"/>
          <cell r="AK175"/>
          <cell r="AL175"/>
          <cell r="AM175"/>
          <cell r="AN175"/>
          <cell r="AO175"/>
          <cell r="AP175"/>
          <cell r="AQ175"/>
          <cell r="AR175"/>
          <cell r="AS175"/>
          <cell r="AT175"/>
          <cell r="AU175"/>
          <cell r="AV175"/>
          <cell r="AW175"/>
          <cell r="AX175"/>
          <cell r="AY175"/>
          <cell r="AZ175"/>
          <cell r="BA175"/>
          <cell r="BB175"/>
          <cell r="BC175"/>
          <cell r="BD175"/>
          <cell r="BE175"/>
          <cell r="BF175"/>
          <cell r="BG175"/>
          <cell r="BH175"/>
          <cell r="BI175"/>
          <cell r="BJ175"/>
          <cell r="BK175"/>
          <cell r="BL175"/>
          <cell r="BM175"/>
          <cell r="BN175"/>
          <cell r="BO175"/>
          <cell r="BP175"/>
          <cell r="BQ175"/>
          <cell r="BR175"/>
          <cell r="BS175"/>
          <cell r="BT175"/>
          <cell r="BU175"/>
          <cell r="BV175"/>
          <cell r="BW175"/>
          <cell r="BX175"/>
          <cell r="BY175"/>
          <cell r="BZ175"/>
          <cell r="CA175"/>
          <cell r="CB175"/>
        </row>
        <row r="176">
          <cell r="B176" t="str">
            <v>Sales - % Other Latin Americas</v>
          </cell>
          <cell r="C176" t="str">
            <v>SALES_OTH_LATAM</v>
          </cell>
          <cell r="F176"/>
          <cell r="G176"/>
          <cell r="H176"/>
          <cell r="I176"/>
          <cell r="J176"/>
          <cell r="K176"/>
          <cell r="L176"/>
          <cell r="M176"/>
          <cell r="N176"/>
          <cell r="O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  <cell r="Z176"/>
          <cell r="AA176"/>
          <cell r="AB176"/>
          <cell r="AC176"/>
          <cell r="AD176"/>
          <cell r="AE176"/>
          <cell r="AF176"/>
          <cell r="AG176"/>
          <cell r="AH176"/>
          <cell r="AI176"/>
          <cell r="AJ176"/>
          <cell r="AK176"/>
          <cell r="AL176"/>
          <cell r="AM176"/>
          <cell r="AN176"/>
          <cell r="AO176"/>
          <cell r="AP176"/>
          <cell r="AQ176"/>
          <cell r="AR176"/>
          <cell r="AS176"/>
          <cell r="AT176"/>
          <cell r="AU176"/>
          <cell r="AV176"/>
          <cell r="AW176"/>
          <cell r="AX176"/>
          <cell r="AY176"/>
          <cell r="AZ176"/>
          <cell r="BA176"/>
          <cell r="BB176"/>
          <cell r="BC176"/>
          <cell r="BD176"/>
          <cell r="BE176"/>
          <cell r="BF176"/>
          <cell r="BG176"/>
          <cell r="BH176"/>
          <cell r="BI176"/>
          <cell r="BJ176"/>
          <cell r="BK176"/>
          <cell r="BL176"/>
          <cell r="BM176"/>
          <cell r="BN176"/>
          <cell r="BO176"/>
          <cell r="BP176"/>
          <cell r="BQ176"/>
          <cell r="BR176"/>
          <cell r="BS176"/>
          <cell r="BT176"/>
          <cell r="BU176"/>
          <cell r="BV176"/>
          <cell r="BW176"/>
          <cell r="BX176"/>
          <cell r="BY176"/>
          <cell r="BZ176"/>
          <cell r="CA176"/>
          <cell r="CB176"/>
        </row>
        <row r="177">
          <cell r="B177" t="str">
            <v>Sales - % Austria</v>
          </cell>
          <cell r="C177" t="str">
            <v>SALES_AUSTRIA</v>
          </cell>
          <cell r="F177"/>
          <cell r="G177"/>
          <cell r="H177"/>
          <cell r="I177"/>
          <cell r="J177"/>
          <cell r="K177"/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C177"/>
          <cell r="AD177"/>
          <cell r="AE177"/>
          <cell r="AF177"/>
          <cell r="AG177"/>
          <cell r="AH177"/>
          <cell r="AI177"/>
          <cell r="AJ177"/>
          <cell r="AK177"/>
          <cell r="AL177"/>
          <cell r="AM177"/>
          <cell r="AN177"/>
          <cell r="AO177"/>
          <cell r="AP177"/>
          <cell r="AQ177"/>
          <cell r="AR177"/>
          <cell r="AS177"/>
          <cell r="AT177"/>
          <cell r="AU177"/>
          <cell r="AV177"/>
          <cell r="AW177"/>
          <cell r="AX177"/>
          <cell r="AY177"/>
          <cell r="AZ177"/>
          <cell r="BA177"/>
          <cell r="BB177"/>
          <cell r="BC177"/>
          <cell r="BD177"/>
          <cell r="BE177"/>
          <cell r="BF177"/>
          <cell r="BG177"/>
          <cell r="BH177"/>
          <cell r="BI177"/>
          <cell r="BJ177"/>
          <cell r="BK177"/>
          <cell r="BL177"/>
          <cell r="BM177"/>
          <cell r="BN177"/>
          <cell r="BO177"/>
          <cell r="BP177"/>
          <cell r="BQ177"/>
          <cell r="BR177"/>
          <cell r="BS177"/>
          <cell r="BT177"/>
          <cell r="BU177"/>
          <cell r="BV177"/>
          <cell r="BW177"/>
          <cell r="BX177"/>
          <cell r="BY177"/>
          <cell r="BZ177"/>
          <cell r="CA177"/>
          <cell r="CB177"/>
        </row>
        <row r="178">
          <cell r="B178" t="str">
            <v>Sales - % Belgium</v>
          </cell>
          <cell r="C178" t="str">
            <v>SALES_BEL</v>
          </cell>
          <cell r="F178"/>
          <cell r="G178"/>
          <cell r="H178"/>
          <cell r="I178"/>
          <cell r="J178"/>
          <cell r="K178"/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  <cell r="Z178"/>
          <cell r="AA178"/>
          <cell r="AB178"/>
          <cell r="AC178"/>
          <cell r="AD178"/>
          <cell r="AE178"/>
          <cell r="AF178"/>
          <cell r="AG178"/>
          <cell r="AH178"/>
          <cell r="AI178"/>
          <cell r="AJ178"/>
          <cell r="AK178"/>
          <cell r="AL178"/>
          <cell r="AM178"/>
          <cell r="AN178"/>
          <cell r="AO178"/>
          <cell r="AP178"/>
          <cell r="AQ178"/>
          <cell r="AR178"/>
          <cell r="AS178"/>
          <cell r="AT178"/>
          <cell r="AU178"/>
          <cell r="AV178"/>
          <cell r="AW178"/>
          <cell r="AX178"/>
          <cell r="AY178"/>
          <cell r="AZ178"/>
          <cell r="BA178"/>
          <cell r="BB178"/>
          <cell r="BC178"/>
          <cell r="BD178"/>
          <cell r="BE178"/>
          <cell r="BF178"/>
          <cell r="BG178"/>
          <cell r="BH178"/>
          <cell r="BI178"/>
          <cell r="BJ178"/>
          <cell r="BK178"/>
          <cell r="BL178"/>
          <cell r="BM178"/>
          <cell r="BN178"/>
          <cell r="BO178"/>
          <cell r="BP178"/>
          <cell r="BQ178"/>
          <cell r="BR178"/>
          <cell r="BS178"/>
          <cell r="BT178"/>
          <cell r="BU178"/>
          <cell r="BV178"/>
          <cell r="BW178"/>
          <cell r="BX178"/>
          <cell r="BY178"/>
          <cell r="BZ178"/>
          <cell r="CA178"/>
          <cell r="CB178"/>
        </row>
        <row r="179">
          <cell r="B179" t="str">
            <v>Sales - % France</v>
          </cell>
          <cell r="C179" t="str">
            <v>SALES_FRA</v>
          </cell>
          <cell r="F179"/>
          <cell r="G179"/>
          <cell r="H179"/>
          <cell r="I179"/>
          <cell r="J179"/>
          <cell r="K179"/>
          <cell r="L179"/>
          <cell r="M179"/>
          <cell r="N179"/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B179"/>
          <cell r="AC179"/>
          <cell r="AD179"/>
          <cell r="AE179"/>
          <cell r="AF179"/>
          <cell r="AG179"/>
          <cell r="AH179"/>
          <cell r="AI179"/>
          <cell r="AJ179"/>
          <cell r="AK179"/>
          <cell r="AL179"/>
          <cell r="AM179"/>
          <cell r="AN179"/>
          <cell r="AO179"/>
          <cell r="AP179"/>
          <cell r="AQ179"/>
          <cell r="AR179"/>
          <cell r="AS179"/>
          <cell r="AT179"/>
          <cell r="AU179"/>
          <cell r="AV179"/>
          <cell r="AW179"/>
          <cell r="AX179"/>
          <cell r="AY179"/>
          <cell r="AZ179"/>
          <cell r="BA179"/>
          <cell r="BB179"/>
          <cell r="BC179"/>
          <cell r="BD179"/>
          <cell r="BE179"/>
          <cell r="BF179"/>
          <cell r="BG179"/>
          <cell r="BH179"/>
          <cell r="BI179"/>
          <cell r="BJ179"/>
          <cell r="BK179"/>
          <cell r="BL179"/>
          <cell r="BM179"/>
          <cell r="BN179"/>
          <cell r="BO179"/>
          <cell r="BP179"/>
          <cell r="BQ179"/>
          <cell r="BR179"/>
          <cell r="BS179"/>
          <cell r="BT179"/>
          <cell r="BU179"/>
          <cell r="BV179"/>
          <cell r="BW179"/>
          <cell r="BX179"/>
          <cell r="BY179"/>
          <cell r="BZ179"/>
          <cell r="CA179"/>
          <cell r="CB179"/>
        </row>
        <row r="180">
          <cell r="B180" t="str">
            <v>Sales - % Germany</v>
          </cell>
          <cell r="C180" t="str">
            <v>SALES_GER</v>
          </cell>
          <cell r="F180"/>
          <cell r="G180"/>
          <cell r="H180"/>
          <cell r="I180"/>
          <cell r="J180"/>
          <cell r="K180"/>
          <cell r="L180"/>
          <cell r="M180"/>
          <cell r="N180"/>
          <cell r="O180"/>
          <cell r="P180"/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B180"/>
          <cell r="AC180"/>
          <cell r="AD180"/>
          <cell r="AE180"/>
          <cell r="AF180"/>
          <cell r="AG180"/>
          <cell r="AH180"/>
          <cell r="AI180"/>
          <cell r="AJ180"/>
          <cell r="AK180"/>
          <cell r="AL180"/>
          <cell r="AM180"/>
          <cell r="AN180"/>
          <cell r="AO180"/>
          <cell r="AP180"/>
          <cell r="AQ180"/>
          <cell r="AR180"/>
          <cell r="AS180"/>
          <cell r="AT180"/>
          <cell r="AU180"/>
          <cell r="AV180"/>
          <cell r="AW180"/>
          <cell r="AX180"/>
          <cell r="AY180"/>
          <cell r="AZ180"/>
          <cell r="BA180"/>
          <cell r="BB180"/>
          <cell r="BC180"/>
          <cell r="BD180"/>
          <cell r="BE180"/>
          <cell r="BF180"/>
          <cell r="BG180"/>
          <cell r="BH180"/>
          <cell r="BI180"/>
          <cell r="BJ180"/>
          <cell r="BK180"/>
          <cell r="BL180"/>
          <cell r="BM180"/>
          <cell r="BN180"/>
          <cell r="BO180"/>
          <cell r="BP180"/>
          <cell r="BQ180"/>
          <cell r="BR180"/>
          <cell r="BS180"/>
          <cell r="BT180"/>
          <cell r="BU180"/>
          <cell r="BV180"/>
          <cell r="BW180"/>
          <cell r="BX180"/>
          <cell r="BY180"/>
          <cell r="BZ180"/>
          <cell r="CA180"/>
          <cell r="CB180"/>
        </row>
        <row r="181">
          <cell r="B181" t="str">
            <v>Sales - % Greece</v>
          </cell>
          <cell r="C181" t="str">
            <v>SALES_GRE</v>
          </cell>
          <cell r="F181"/>
          <cell r="G181"/>
          <cell r="H181"/>
          <cell r="I181"/>
          <cell r="J181"/>
          <cell r="K181"/>
          <cell r="L181"/>
          <cell r="M181"/>
          <cell r="N181"/>
          <cell r="O181"/>
          <cell r="P181"/>
          <cell r="Q181"/>
          <cell r="R181"/>
          <cell r="S181"/>
          <cell r="T181"/>
          <cell r="U181"/>
          <cell r="V181"/>
          <cell r="W181"/>
          <cell r="X181"/>
          <cell r="Y181"/>
          <cell r="Z181"/>
          <cell r="AA181"/>
          <cell r="AB181"/>
          <cell r="AC181"/>
          <cell r="AD181"/>
          <cell r="AE181"/>
          <cell r="AF181"/>
          <cell r="AG181"/>
          <cell r="AH181"/>
          <cell r="AI181"/>
          <cell r="AJ181"/>
          <cell r="AK181"/>
          <cell r="AL181"/>
          <cell r="AM181"/>
          <cell r="AN181"/>
          <cell r="AO181"/>
          <cell r="AP181"/>
          <cell r="AQ181"/>
          <cell r="AR181"/>
          <cell r="AS181"/>
          <cell r="AT181"/>
          <cell r="AU181"/>
          <cell r="AV181"/>
          <cell r="AW181"/>
          <cell r="AX181"/>
          <cell r="AY181"/>
          <cell r="AZ181"/>
          <cell r="BA181"/>
          <cell r="BB181"/>
          <cell r="BC181"/>
          <cell r="BD181"/>
          <cell r="BE181"/>
          <cell r="BF181"/>
          <cell r="BG181"/>
          <cell r="BH181"/>
          <cell r="BI181"/>
          <cell r="BJ181"/>
          <cell r="BK181"/>
          <cell r="BL181"/>
          <cell r="BM181"/>
          <cell r="BN181"/>
          <cell r="BO181"/>
          <cell r="BP181"/>
          <cell r="BQ181"/>
          <cell r="BR181"/>
          <cell r="BS181"/>
          <cell r="BT181"/>
          <cell r="BU181"/>
          <cell r="BV181"/>
          <cell r="BW181"/>
          <cell r="BX181"/>
          <cell r="BY181"/>
          <cell r="BZ181"/>
          <cell r="CA181"/>
          <cell r="CB181"/>
        </row>
        <row r="182">
          <cell r="B182" t="str">
            <v>Sales - % Ireland</v>
          </cell>
          <cell r="C182" t="str">
            <v>SALES_IRE</v>
          </cell>
          <cell r="F182"/>
          <cell r="G182"/>
          <cell r="H182"/>
          <cell r="I182"/>
          <cell r="J182"/>
          <cell r="K182"/>
          <cell r="L182"/>
          <cell r="M182"/>
          <cell r="N182"/>
          <cell r="O182"/>
          <cell r="P182"/>
          <cell r="Q182"/>
          <cell r="R182"/>
          <cell r="S182"/>
          <cell r="T182"/>
          <cell r="U182"/>
          <cell r="V182"/>
          <cell r="W182"/>
          <cell r="X182"/>
          <cell r="Y182"/>
          <cell r="Z182"/>
          <cell r="AA182"/>
          <cell r="AB182"/>
          <cell r="AC182"/>
          <cell r="AD182"/>
          <cell r="AE182"/>
          <cell r="AF182"/>
          <cell r="AG182"/>
          <cell r="AH182"/>
          <cell r="AI182"/>
          <cell r="AJ182"/>
          <cell r="AK182"/>
          <cell r="AL182"/>
          <cell r="AM182"/>
          <cell r="AN182"/>
          <cell r="AO182"/>
          <cell r="AP182"/>
          <cell r="AQ182"/>
          <cell r="AR182"/>
          <cell r="AS182"/>
          <cell r="AT182"/>
          <cell r="AU182"/>
          <cell r="AV182"/>
          <cell r="AW182"/>
          <cell r="AX182"/>
          <cell r="AY182"/>
          <cell r="AZ182"/>
          <cell r="BA182"/>
          <cell r="BB182"/>
          <cell r="BC182"/>
          <cell r="BD182"/>
          <cell r="BE182"/>
          <cell r="BF182"/>
          <cell r="BG182"/>
          <cell r="BH182"/>
          <cell r="BI182"/>
          <cell r="BJ182"/>
          <cell r="BK182"/>
          <cell r="BL182"/>
          <cell r="BM182"/>
          <cell r="BN182"/>
          <cell r="BO182"/>
          <cell r="BP182"/>
          <cell r="BQ182"/>
          <cell r="BR182"/>
          <cell r="BS182"/>
          <cell r="BT182"/>
          <cell r="BU182"/>
          <cell r="BV182"/>
          <cell r="BW182"/>
          <cell r="BX182"/>
          <cell r="BY182"/>
          <cell r="BZ182"/>
          <cell r="CA182"/>
          <cell r="CB182"/>
        </row>
        <row r="183">
          <cell r="B183" t="str">
            <v>Sales - % Italy</v>
          </cell>
          <cell r="C183" t="str">
            <v>SALES_ITA</v>
          </cell>
          <cell r="F183"/>
          <cell r="G183"/>
          <cell r="H183"/>
          <cell r="I183"/>
          <cell r="J183"/>
          <cell r="K183"/>
          <cell r="L183"/>
          <cell r="M183"/>
          <cell r="N183"/>
          <cell r="O183"/>
          <cell r="P183"/>
          <cell r="Q183"/>
          <cell r="R183"/>
          <cell r="S183"/>
          <cell r="T183"/>
          <cell r="U183"/>
          <cell r="V183"/>
          <cell r="W183"/>
          <cell r="X183"/>
          <cell r="Y183"/>
          <cell r="Z183"/>
          <cell r="AA183"/>
          <cell r="AB183"/>
          <cell r="AC183"/>
          <cell r="AD183"/>
          <cell r="AE183"/>
          <cell r="AF183"/>
          <cell r="AG183"/>
          <cell r="AH183"/>
          <cell r="AI183"/>
          <cell r="AJ183"/>
          <cell r="AK183"/>
          <cell r="AL183"/>
          <cell r="AM183"/>
          <cell r="AN183"/>
          <cell r="AO183"/>
          <cell r="AP183"/>
          <cell r="AQ183"/>
          <cell r="AR183"/>
          <cell r="AS183"/>
          <cell r="AT183"/>
          <cell r="AU183"/>
          <cell r="AV183"/>
          <cell r="AW183"/>
          <cell r="AX183"/>
          <cell r="AY183"/>
          <cell r="AZ183"/>
          <cell r="BA183"/>
          <cell r="BB183"/>
          <cell r="BC183"/>
          <cell r="BD183"/>
          <cell r="BE183"/>
          <cell r="BF183"/>
          <cell r="BG183"/>
          <cell r="BH183"/>
          <cell r="BI183"/>
          <cell r="BJ183"/>
          <cell r="BK183"/>
          <cell r="BL183"/>
          <cell r="BM183"/>
          <cell r="BN183"/>
          <cell r="BO183"/>
          <cell r="BP183"/>
          <cell r="BQ183"/>
          <cell r="BR183"/>
          <cell r="BS183"/>
          <cell r="BT183"/>
          <cell r="BU183"/>
          <cell r="BV183"/>
          <cell r="BW183"/>
          <cell r="BX183"/>
          <cell r="BY183"/>
          <cell r="BZ183"/>
          <cell r="CA183"/>
          <cell r="CB183"/>
        </row>
        <row r="184">
          <cell r="B184" t="str">
            <v>Sales - % Netherlands</v>
          </cell>
          <cell r="C184" t="str">
            <v>SALES_NETH</v>
          </cell>
          <cell r="F184"/>
          <cell r="G184"/>
          <cell r="H184"/>
          <cell r="I184"/>
          <cell r="J184"/>
          <cell r="K184"/>
          <cell r="L184"/>
          <cell r="M184"/>
          <cell r="N184"/>
          <cell r="O184"/>
          <cell r="P184"/>
          <cell r="Q184"/>
          <cell r="R184"/>
          <cell r="S184"/>
          <cell r="T184"/>
          <cell r="U184"/>
          <cell r="V184"/>
          <cell r="W184"/>
          <cell r="X184"/>
          <cell r="Y184"/>
          <cell r="Z184"/>
          <cell r="AA184"/>
          <cell r="AB184"/>
          <cell r="AC184"/>
          <cell r="AD184"/>
          <cell r="AE184"/>
          <cell r="AF184"/>
          <cell r="AG184"/>
          <cell r="AH184"/>
          <cell r="AI184"/>
          <cell r="AJ184"/>
          <cell r="AK184"/>
          <cell r="AL184"/>
          <cell r="AM184"/>
          <cell r="AN184"/>
          <cell r="AO184"/>
          <cell r="AP184"/>
          <cell r="AQ184"/>
          <cell r="AR184"/>
          <cell r="AS184"/>
          <cell r="AT184"/>
          <cell r="AU184"/>
          <cell r="AV184"/>
          <cell r="AW184"/>
          <cell r="AX184"/>
          <cell r="AY184"/>
          <cell r="AZ184"/>
          <cell r="BA184"/>
          <cell r="BB184"/>
          <cell r="BC184"/>
          <cell r="BD184"/>
          <cell r="BE184"/>
          <cell r="BF184"/>
          <cell r="BG184"/>
          <cell r="BH184"/>
          <cell r="BI184"/>
          <cell r="BJ184"/>
          <cell r="BK184"/>
          <cell r="BL184"/>
          <cell r="BM184"/>
          <cell r="BN184"/>
          <cell r="BO184"/>
          <cell r="BP184"/>
          <cell r="BQ184"/>
          <cell r="BR184"/>
          <cell r="BS184"/>
          <cell r="BT184"/>
          <cell r="BU184"/>
          <cell r="BV184"/>
          <cell r="BW184"/>
          <cell r="BX184"/>
          <cell r="BY184"/>
          <cell r="BZ184"/>
          <cell r="CA184"/>
          <cell r="CB184"/>
        </row>
        <row r="185">
          <cell r="B185" t="str">
            <v>Sales - % Norway</v>
          </cell>
          <cell r="C185" t="str">
            <v>SALES_NOR</v>
          </cell>
          <cell r="F185"/>
          <cell r="G185"/>
          <cell r="H185"/>
          <cell r="I185"/>
          <cell r="J185"/>
          <cell r="K185"/>
          <cell r="L185"/>
          <cell r="M185"/>
          <cell r="N185"/>
          <cell r="O185"/>
          <cell r="P185"/>
          <cell r="Q185"/>
          <cell r="R185"/>
          <cell r="S185"/>
          <cell r="T185"/>
          <cell r="U185"/>
          <cell r="V185"/>
          <cell r="W185"/>
          <cell r="X185"/>
          <cell r="Y185"/>
          <cell r="Z185"/>
          <cell r="AA185"/>
          <cell r="AB185"/>
          <cell r="AC185"/>
          <cell r="AD185"/>
          <cell r="AE185"/>
          <cell r="AF185"/>
          <cell r="AG185"/>
          <cell r="AH185"/>
          <cell r="AI185"/>
          <cell r="AJ185"/>
          <cell r="AK185"/>
          <cell r="AL185"/>
          <cell r="AM185"/>
          <cell r="AN185"/>
          <cell r="AO185"/>
          <cell r="AP185"/>
          <cell r="AQ185"/>
          <cell r="AR185"/>
          <cell r="AS185"/>
          <cell r="AT185"/>
          <cell r="AU185"/>
          <cell r="AV185"/>
          <cell r="AW185"/>
          <cell r="AX185"/>
          <cell r="AY185"/>
          <cell r="AZ185"/>
          <cell r="BA185"/>
          <cell r="BB185"/>
          <cell r="BC185"/>
          <cell r="BD185"/>
          <cell r="BE185"/>
          <cell r="BF185"/>
          <cell r="BG185"/>
          <cell r="BH185"/>
          <cell r="BI185"/>
          <cell r="BJ185"/>
          <cell r="BK185"/>
          <cell r="BL185"/>
          <cell r="BM185"/>
          <cell r="BN185"/>
          <cell r="BO185"/>
          <cell r="BP185"/>
          <cell r="BQ185"/>
          <cell r="BR185"/>
          <cell r="BS185"/>
          <cell r="BT185"/>
          <cell r="BU185"/>
          <cell r="BV185"/>
          <cell r="BW185"/>
          <cell r="BX185"/>
          <cell r="BY185"/>
          <cell r="BZ185"/>
          <cell r="CA185"/>
          <cell r="CB185"/>
        </row>
        <row r="186">
          <cell r="B186" t="str">
            <v>Sales - % Portugal</v>
          </cell>
          <cell r="C186" t="str">
            <v>SALES_POR</v>
          </cell>
          <cell r="F186"/>
          <cell r="G186"/>
          <cell r="H186"/>
          <cell r="I186"/>
          <cell r="J186"/>
          <cell r="K186"/>
          <cell r="L186"/>
          <cell r="M186"/>
          <cell r="N186"/>
          <cell r="O186"/>
          <cell r="P186"/>
          <cell r="Q186"/>
          <cell r="R186"/>
          <cell r="S186"/>
          <cell r="T186"/>
          <cell r="U186"/>
          <cell r="V186"/>
          <cell r="W186"/>
          <cell r="X186"/>
          <cell r="Y186"/>
          <cell r="Z186"/>
          <cell r="AA186"/>
          <cell r="AB186"/>
          <cell r="AC186"/>
          <cell r="AD186"/>
          <cell r="AE186"/>
          <cell r="AF186"/>
          <cell r="AG186"/>
          <cell r="AH186"/>
          <cell r="AI186"/>
          <cell r="AJ186"/>
          <cell r="AK186"/>
          <cell r="AL186"/>
          <cell r="AM186"/>
          <cell r="AN186"/>
          <cell r="AO186"/>
          <cell r="AP186"/>
          <cell r="AQ186"/>
          <cell r="AR186"/>
          <cell r="AS186"/>
          <cell r="AT186"/>
          <cell r="AU186"/>
          <cell r="AV186"/>
          <cell r="AW186"/>
          <cell r="AX186"/>
          <cell r="AY186"/>
          <cell r="AZ186"/>
          <cell r="BA186"/>
          <cell r="BB186"/>
          <cell r="BC186"/>
          <cell r="BD186"/>
          <cell r="BE186"/>
          <cell r="BF186"/>
          <cell r="BG186"/>
          <cell r="BH186"/>
          <cell r="BI186"/>
          <cell r="BJ186"/>
          <cell r="BK186"/>
          <cell r="BL186"/>
          <cell r="BM186"/>
          <cell r="BN186"/>
          <cell r="BO186"/>
          <cell r="BP186"/>
          <cell r="BQ186"/>
          <cell r="BR186"/>
          <cell r="BS186"/>
          <cell r="BT186"/>
          <cell r="BU186"/>
          <cell r="BV186"/>
          <cell r="BW186"/>
          <cell r="BX186"/>
          <cell r="BY186"/>
          <cell r="BZ186"/>
          <cell r="CA186"/>
          <cell r="CB186"/>
        </row>
        <row r="187">
          <cell r="B187" t="str">
            <v>Sales - % Spain</v>
          </cell>
          <cell r="C187" t="str">
            <v>SALES_SPA</v>
          </cell>
          <cell r="F187"/>
          <cell r="G187"/>
          <cell r="H187"/>
          <cell r="I187"/>
          <cell r="J187"/>
          <cell r="K187"/>
          <cell r="L187"/>
          <cell r="M187"/>
          <cell r="N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  <cell r="Z187"/>
          <cell r="AA187"/>
          <cell r="AB187"/>
          <cell r="AC187"/>
          <cell r="AD187"/>
          <cell r="AE187"/>
          <cell r="AF187"/>
          <cell r="AG187"/>
          <cell r="AH187"/>
          <cell r="AI187"/>
          <cell r="AJ187"/>
          <cell r="AK187"/>
          <cell r="AL187"/>
          <cell r="AM187"/>
          <cell r="AN187"/>
          <cell r="AO187"/>
          <cell r="AP187"/>
          <cell r="AQ187"/>
          <cell r="AR187"/>
          <cell r="AS187"/>
          <cell r="AT187"/>
          <cell r="AU187"/>
          <cell r="AV187"/>
          <cell r="AW187"/>
          <cell r="AX187"/>
          <cell r="AY187"/>
          <cell r="AZ187"/>
          <cell r="BA187"/>
          <cell r="BB187"/>
          <cell r="BC187"/>
          <cell r="BD187"/>
          <cell r="BE187"/>
          <cell r="BF187"/>
          <cell r="BG187"/>
          <cell r="BH187"/>
          <cell r="BI187"/>
          <cell r="BJ187"/>
          <cell r="BK187"/>
          <cell r="BL187"/>
          <cell r="BM187"/>
          <cell r="BN187"/>
          <cell r="BO187"/>
          <cell r="BP187"/>
          <cell r="BQ187"/>
          <cell r="BR187"/>
          <cell r="BS187"/>
          <cell r="BT187"/>
          <cell r="BU187"/>
          <cell r="BV187"/>
          <cell r="BW187"/>
          <cell r="BX187"/>
          <cell r="BY187"/>
          <cell r="BZ187"/>
          <cell r="CA187"/>
          <cell r="CB187"/>
        </row>
        <row r="188">
          <cell r="B188" t="str">
            <v>Sales - % Sweden</v>
          </cell>
          <cell r="C188" t="str">
            <v>SALES_SWE</v>
          </cell>
          <cell r="F188"/>
          <cell r="G188"/>
          <cell r="H188"/>
          <cell r="I188"/>
          <cell r="J188"/>
          <cell r="K188"/>
          <cell r="L188"/>
          <cell r="M188"/>
          <cell r="N188"/>
          <cell r="O188"/>
          <cell r="P188"/>
          <cell r="Q188"/>
          <cell r="R188"/>
          <cell r="S188"/>
          <cell r="T188"/>
          <cell r="U188"/>
          <cell r="V188"/>
          <cell r="W188"/>
          <cell r="X188"/>
          <cell r="Y188"/>
          <cell r="Z188"/>
          <cell r="AA188"/>
          <cell r="AB188"/>
          <cell r="AC188"/>
          <cell r="AD188"/>
          <cell r="AE188"/>
          <cell r="AF188"/>
          <cell r="AG188"/>
          <cell r="AH188"/>
          <cell r="AI188"/>
          <cell r="AJ188"/>
          <cell r="AK188"/>
          <cell r="AL188"/>
          <cell r="AM188"/>
          <cell r="AN188"/>
          <cell r="AO188"/>
          <cell r="AP188"/>
          <cell r="AQ188"/>
          <cell r="AR188"/>
          <cell r="AS188"/>
          <cell r="AT188"/>
          <cell r="AU188"/>
          <cell r="AV188"/>
          <cell r="AW188"/>
          <cell r="AX188"/>
          <cell r="AY188"/>
          <cell r="AZ188"/>
          <cell r="BA188"/>
          <cell r="BB188"/>
          <cell r="BC188"/>
          <cell r="BD188"/>
          <cell r="BE188"/>
          <cell r="BF188"/>
          <cell r="BG188"/>
          <cell r="BH188"/>
          <cell r="BI188"/>
          <cell r="BJ188"/>
          <cell r="BK188"/>
          <cell r="BL188"/>
          <cell r="BM188"/>
          <cell r="BN188"/>
          <cell r="BO188"/>
          <cell r="BP188"/>
          <cell r="BQ188"/>
          <cell r="BR188"/>
          <cell r="BS188"/>
          <cell r="BT188"/>
          <cell r="BU188"/>
          <cell r="BV188"/>
          <cell r="BW188"/>
          <cell r="BX188"/>
          <cell r="BY188"/>
          <cell r="BZ188"/>
          <cell r="CA188"/>
          <cell r="CB188"/>
        </row>
        <row r="189">
          <cell r="B189" t="str">
            <v>Sales - % Switzerland</v>
          </cell>
          <cell r="C189" t="str">
            <v>SALES_SWIT</v>
          </cell>
          <cell r="F189"/>
          <cell r="G189"/>
          <cell r="H189"/>
          <cell r="I189"/>
          <cell r="J189"/>
          <cell r="K189"/>
          <cell r="L189"/>
          <cell r="M189"/>
          <cell r="N189"/>
          <cell r="O189"/>
          <cell r="P189"/>
          <cell r="Q189"/>
          <cell r="R189"/>
          <cell r="S189"/>
          <cell r="T189"/>
          <cell r="U189"/>
          <cell r="V189"/>
          <cell r="W189"/>
          <cell r="X189"/>
          <cell r="Y189"/>
          <cell r="Z189"/>
          <cell r="AA189"/>
          <cell r="AB189"/>
          <cell r="AC189"/>
          <cell r="AD189"/>
          <cell r="AE189"/>
          <cell r="AF189"/>
          <cell r="AG189"/>
          <cell r="AH189"/>
          <cell r="AI189"/>
          <cell r="AJ189"/>
          <cell r="AK189"/>
          <cell r="AL189"/>
          <cell r="AM189"/>
          <cell r="AN189"/>
          <cell r="AO189"/>
          <cell r="AP189"/>
          <cell r="AQ189"/>
          <cell r="AR189"/>
          <cell r="AS189"/>
          <cell r="AT189"/>
          <cell r="AU189"/>
          <cell r="AV189"/>
          <cell r="AW189"/>
          <cell r="AX189"/>
          <cell r="AY189"/>
          <cell r="AZ189"/>
          <cell r="BA189"/>
          <cell r="BB189"/>
          <cell r="BC189"/>
          <cell r="BD189"/>
          <cell r="BE189"/>
          <cell r="BF189"/>
          <cell r="BG189"/>
          <cell r="BH189"/>
          <cell r="BI189"/>
          <cell r="BJ189"/>
          <cell r="BK189"/>
          <cell r="BL189"/>
          <cell r="BM189"/>
          <cell r="BN189"/>
          <cell r="BO189"/>
          <cell r="BP189"/>
          <cell r="BQ189"/>
          <cell r="BR189"/>
          <cell r="BS189"/>
          <cell r="BT189"/>
          <cell r="BU189"/>
          <cell r="BV189"/>
          <cell r="BW189"/>
          <cell r="BX189"/>
          <cell r="BY189"/>
          <cell r="BZ189"/>
          <cell r="CA189"/>
          <cell r="CB189"/>
        </row>
        <row r="190">
          <cell r="B190" t="str">
            <v>Sales - % UK</v>
          </cell>
          <cell r="C190" t="str">
            <v>SALES_UK</v>
          </cell>
          <cell r="F190"/>
          <cell r="G190"/>
          <cell r="H190"/>
          <cell r="I190"/>
          <cell r="J190">
            <v>0.1042474325102799</v>
          </cell>
          <cell r="K190">
            <v>0.10783141794962903</v>
          </cell>
          <cell r="L190">
            <v>0.13895408957201802</v>
          </cell>
          <cell r="M190">
            <v>0.15275343997666169</v>
          </cell>
          <cell r="N190">
            <v>0.12525172503941248</v>
          </cell>
          <cell r="O190">
            <v>0.13128219192980756</v>
          </cell>
          <cell r="P190">
            <v>0.10870978980373941</v>
          </cell>
          <cell r="Q190">
            <v>0.14432106687498256</v>
          </cell>
          <cell r="R190">
            <v>0.20708399415368348</v>
          </cell>
          <cell r="S190">
            <v>0.15882376180254684</v>
          </cell>
          <cell r="T190">
            <v>0.15536155824059225</v>
          </cell>
          <cell r="U190">
            <v>0.13987608647772143</v>
          </cell>
          <cell r="V190">
            <v>0.16610209923664121</v>
          </cell>
          <cell r="W190">
            <v>0.14700581314493921</v>
          </cell>
          <cell r="X190">
            <v>0.16299270365084231</v>
          </cell>
          <cell r="Y190">
            <v>0.15425788116747011</v>
          </cell>
          <cell r="Z190">
            <v>0.14413917551974789</v>
          </cell>
          <cell r="AA190">
            <v>0.17459792886866399</v>
          </cell>
          <cell r="AB190">
            <v>0.18074294709259031</v>
          </cell>
          <cell r="AC190">
            <v>0.17857591635811318</v>
          </cell>
          <cell r="AD190">
            <v>0.16975931457342075</v>
          </cell>
          <cell r="AE190">
            <v>0.15323481074582579</v>
          </cell>
          <cell r="AF190">
            <v>0.19893643434127639</v>
          </cell>
          <cell r="AG190">
            <v>0.19066262612188978</v>
          </cell>
          <cell r="AH190">
            <v>0.18978296478296477</v>
          </cell>
          <cell r="AI190">
            <v>0.18407646783766651</v>
          </cell>
          <cell r="AJ190">
            <v>0.17752439124266547</v>
          </cell>
          <cell r="AK190">
            <v>0.18898763196564353</v>
          </cell>
          <cell r="AL190">
            <v>0.19135208518101962</v>
          </cell>
          <cell r="AM190">
            <v>0.1993173211599315</v>
          </cell>
          <cell r="AN190">
            <v>0.18936586378001968</v>
          </cell>
          <cell r="AO190"/>
          <cell r="AP190"/>
          <cell r="AQ190"/>
          <cell r="AR190"/>
          <cell r="AS190">
            <v>0.20242343234589177</v>
          </cell>
          <cell r="AT190"/>
          <cell r="AU190"/>
          <cell r="AV190"/>
          <cell r="AW190"/>
          <cell r="AX190">
            <v>0.2097084161696488</v>
          </cell>
          <cell r="AY190"/>
          <cell r="AZ190"/>
          <cell r="BA190"/>
          <cell r="BB190"/>
          <cell r="BC190">
            <v>0.2097084161696488</v>
          </cell>
          <cell r="BD190"/>
          <cell r="BE190"/>
          <cell r="BF190"/>
          <cell r="BG190"/>
          <cell r="BH190"/>
          <cell r="BI190"/>
          <cell r="BJ190"/>
          <cell r="BK190"/>
          <cell r="BL190"/>
          <cell r="BM190"/>
          <cell r="BN190"/>
          <cell r="BO190"/>
          <cell r="BP190"/>
          <cell r="BQ190"/>
          <cell r="BR190"/>
          <cell r="BS190"/>
          <cell r="BT190"/>
          <cell r="BU190"/>
          <cell r="BV190"/>
          <cell r="BW190"/>
          <cell r="BX190"/>
          <cell r="BY190"/>
          <cell r="BZ190"/>
          <cell r="CA190"/>
          <cell r="CB190"/>
        </row>
        <row r="191">
          <cell r="B191" t="str">
            <v>Sales - % Other Western Europe</v>
          </cell>
          <cell r="C191" t="str">
            <v>SALES_OTH_WEST_EURO</v>
          </cell>
          <cell r="F191"/>
          <cell r="G191"/>
          <cell r="H191"/>
          <cell r="I191"/>
          <cell r="J191">
            <v>2.6061858127569976E-2</v>
          </cell>
          <cell r="K191">
            <v>2.6957854487407257E-2</v>
          </cell>
          <cell r="L191">
            <v>3.4738522393004505E-2</v>
          </cell>
          <cell r="M191">
            <v>3.8188359994165422E-2</v>
          </cell>
          <cell r="N191">
            <v>3.131293125985312E-2</v>
          </cell>
          <cell r="O191">
            <v>3.2820547982451889E-2</v>
          </cell>
          <cell r="P191">
            <v>2.7177447450934852E-2</v>
          </cell>
          <cell r="Q191">
            <v>3.6080266718745639E-2</v>
          </cell>
          <cell r="R191">
            <v>5.1770998538420869E-2</v>
          </cell>
          <cell r="S191">
            <v>3.9705940450636711E-2</v>
          </cell>
          <cell r="T191">
            <v>3.8840389560148063E-2</v>
          </cell>
          <cell r="U191">
            <v>3.4969021619430357E-2</v>
          </cell>
          <cell r="V191">
            <v>4.1525524809160302E-2</v>
          </cell>
          <cell r="W191">
            <v>3.6751453286234803E-2</v>
          </cell>
          <cell r="X191">
            <v>4.0748175912710578E-2</v>
          </cell>
          <cell r="Y191">
            <v>3.8564470291867527E-2</v>
          </cell>
          <cell r="Z191">
            <v>3.6034793879936973E-2</v>
          </cell>
          <cell r="AA191">
            <v>4.3649482217165997E-2</v>
          </cell>
          <cell r="AB191">
            <v>4.5185736773147578E-2</v>
          </cell>
          <cell r="AC191">
            <v>4.4643979089528295E-2</v>
          </cell>
          <cell r="AD191">
            <v>4.2439828643355187E-2</v>
          </cell>
          <cell r="AE191">
            <v>3.8308702686456447E-2</v>
          </cell>
          <cell r="AF191">
            <v>4.9734108585319098E-2</v>
          </cell>
          <cell r="AG191">
            <v>4.7665656530472444E-2</v>
          </cell>
          <cell r="AH191">
            <v>4.7445741195741194E-2</v>
          </cell>
          <cell r="AI191">
            <v>4.6019116959416628E-2</v>
          </cell>
          <cell r="AJ191">
            <v>4.4381097810666369E-2</v>
          </cell>
          <cell r="AK191">
            <v>4.7246907991410882E-2</v>
          </cell>
          <cell r="AL191">
            <v>4.7838021295254905E-2</v>
          </cell>
          <cell r="AM191">
            <v>4.9829330289982876E-2</v>
          </cell>
          <cell r="AN191">
            <v>4.7341465945004921E-2</v>
          </cell>
          <cell r="AO191"/>
          <cell r="AP191"/>
          <cell r="AQ191"/>
          <cell r="AR191"/>
          <cell r="AS191">
            <v>5.0605858086472943E-2</v>
          </cell>
          <cell r="AT191"/>
          <cell r="AU191"/>
          <cell r="AV191"/>
          <cell r="AW191"/>
          <cell r="AX191">
            <v>5.2427104042412201E-2</v>
          </cell>
          <cell r="AY191"/>
          <cell r="AZ191"/>
          <cell r="BA191"/>
          <cell r="BB191"/>
          <cell r="BC191">
            <v>5.2427104042412201E-2</v>
          </cell>
          <cell r="BD191"/>
          <cell r="BE191"/>
          <cell r="BF191"/>
          <cell r="BG191"/>
          <cell r="BH191"/>
          <cell r="BI191"/>
          <cell r="BJ191"/>
          <cell r="BK191"/>
          <cell r="BL191"/>
          <cell r="BM191"/>
          <cell r="BN191"/>
          <cell r="BO191"/>
          <cell r="BP191"/>
          <cell r="BQ191"/>
          <cell r="BR191"/>
          <cell r="BS191"/>
          <cell r="BT191"/>
          <cell r="BU191"/>
          <cell r="BV191"/>
          <cell r="BW191"/>
          <cell r="BX191"/>
          <cell r="BY191"/>
          <cell r="BZ191"/>
          <cell r="CA191"/>
          <cell r="CB191"/>
        </row>
        <row r="192">
          <cell r="B192" t="str">
            <v>Sales - % Poland</v>
          </cell>
          <cell r="C192" t="str">
            <v>SALES_POLAND</v>
          </cell>
          <cell r="F192"/>
          <cell r="G192"/>
          <cell r="H192"/>
          <cell r="I192"/>
          <cell r="J192"/>
          <cell r="K192"/>
          <cell r="L192"/>
          <cell r="M192"/>
          <cell r="N192"/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/>
          <cell r="AB192"/>
          <cell r="AC192"/>
          <cell r="AD192"/>
          <cell r="AE192"/>
          <cell r="AF192"/>
          <cell r="AG192"/>
          <cell r="AH192"/>
          <cell r="AI192"/>
          <cell r="AJ192"/>
          <cell r="AK192"/>
          <cell r="AL192"/>
          <cell r="AM192"/>
          <cell r="AN192"/>
          <cell r="AO192"/>
          <cell r="AP192"/>
          <cell r="AQ192"/>
          <cell r="AR192"/>
          <cell r="AS192"/>
          <cell r="AT192"/>
          <cell r="AU192"/>
          <cell r="AV192"/>
          <cell r="AW192"/>
          <cell r="AX192"/>
          <cell r="AY192"/>
          <cell r="AZ192"/>
          <cell r="BA192"/>
          <cell r="BB192"/>
          <cell r="BC192"/>
          <cell r="BD192"/>
          <cell r="BE192"/>
          <cell r="BF192"/>
          <cell r="BG192"/>
          <cell r="BH192"/>
          <cell r="BI192"/>
          <cell r="BJ192"/>
          <cell r="BK192"/>
          <cell r="BL192"/>
          <cell r="BM192"/>
          <cell r="BN192"/>
          <cell r="BO192"/>
          <cell r="BP192"/>
          <cell r="BQ192"/>
          <cell r="BR192"/>
          <cell r="BS192"/>
          <cell r="BT192"/>
          <cell r="BU192"/>
          <cell r="BV192"/>
          <cell r="BW192"/>
          <cell r="BX192"/>
          <cell r="BY192"/>
          <cell r="BZ192"/>
          <cell r="CA192"/>
          <cell r="CB192"/>
        </row>
        <row r="193">
          <cell r="B193" t="str">
            <v>Sales - % Russia</v>
          </cell>
          <cell r="C193" t="str">
            <v>SALES_RUSSIA</v>
          </cell>
          <cell r="F193"/>
          <cell r="G193"/>
          <cell r="H193"/>
          <cell r="I193"/>
          <cell r="J193"/>
          <cell r="K193"/>
          <cell r="L193"/>
          <cell r="M193"/>
          <cell r="N193"/>
          <cell r="O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  <cell r="Z193"/>
          <cell r="AA193"/>
          <cell r="AB193"/>
          <cell r="AC193"/>
          <cell r="AD193"/>
          <cell r="AE193"/>
          <cell r="AF193"/>
          <cell r="AG193"/>
          <cell r="AH193"/>
          <cell r="AI193"/>
          <cell r="AJ193"/>
          <cell r="AK193"/>
          <cell r="AL193"/>
          <cell r="AM193"/>
          <cell r="AN193"/>
          <cell r="AO193"/>
          <cell r="AP193"/>
          <cell r="AQ193"/>
          <cell r="AR193"/>
          <cell r="AS193"/>
          <cell r="AT193"/>
          <cell r="AU193"/>
          <cell r="AV193"/>
          <cell r="AW193"/>
          <cell r="AX193"/>
          <cell r="AY193"/>
          <cell r="AZ193"/>
          <cell r="BA193"/>
          <cell r="BB193"/>
          <cell r="BC193"/>
          <cell r="BD193"/>
          <cell r="BE193"/>
          <cell r="BF193"/>
          <cell r="BG193"/>
          <cell r="BH193"/>
          <cell r="BI193"/>
          <cell r="BJ193"/>
          <cell r="BK193"/>
          <cell r="BL193"/>
          <cell r="BM193"/>
          <cell r="BN193"/>
          <cell r="BO193"/>
          <cell r="BP193"/>
          <cell r="BQ193"/>
          <cell r="BR193"/>
          <cell r="BS193"/>
          <cell r="BT193"/>
          <cell r="BU193"/>
          <cell r="BV193"/>
          <cell r="BW193"/>
          <cell r="BX193"/>
          <cell r="BY193"/>
          <cell r="BZ193"/>
          <cell r="CA193"/>
          <cell r="CB193"/>
        </row>
        <row r="194">
          <cell r="B194" t="str">
            <v>Sales - % Turkey</v>
          </cell>
          <cell r="C194" t="str">
            <v>SALES_TURKEY</v>
          </cell>
          <cell r="F194"/>
          <cell r="G194"/>
          <cell r="H194"/>
          <cell r="I194"/>
          <cell r="J194"/>
          <cell r="K194"/>
          <cell r="L194"/>
          <cell r="M194"/>
          <cell r="N194"/>
          <cell r="O194"/>
          <cell r="P194"/>
          <cell r="Q194"/>
          <cell r="R194"/>
          <cell r="S194"/>
          <cell r="T194"/>
          <cell r="U194"/>
          <cell r="V194"/>
          <cell r="W194"/>
          <cell r="X194"/>
          <cell r="Y194"/>
          <cell r="Z194"/>
          <cell r="AA194"/>
          <cell r="AB194"/>
          <cell r="AC194"/>
          <cell r="AD194"/>
          <cell r="AE194"/>
          <cell r="AF194"/>
          <cell r="AG194"/>
          <cell r="AH194"/>
          <cell r="AI194"/>
          <cell r="AJ194"/>
          <cell r="AK194"/>
          <cell r="AL194"/>
          <cell r="AM194"/>
          <cell r="AN194"/>
          <cell r="AO194"/>
          <cell r="AP194"/>
          <cell r="AQ194"/>
          <cell r="AR194"/>
          <cell r="AS194"/>
          <cell r="AT194"/>
          <cell r="AU194"/>
          <cell r="AV194"/>
          <cell r="AW194"/>
          <cell r="AX194"/>
          <cell r="AY194"/>
          <cell r="AZ194"/>
          <cell r="BA194"/>
          <cell r="BB194"/>
          <cell r="BC194"/>
          <cell r="BD194"/>
          <cell r="BE194"/>
          <cell r="BF194"/>
          <cell r="BG194"/>
          <cell r="BH194"/>
          <cell r="BI194"/>
          <cell r="BJ194"/>
          <cell r="BK194"/>
          <cell r="BL194"/>
          <cell r="BM194"/>
          <cell r="BN194"/>
          <cell r="BO194"/>
          <cell r="BP194"/>
          <cell r="BQ194"/>
          <cell r="BR194"/>
          <cell r="BS194"/>
          <cell r="BT194"/>
          <cell r="BU194"/>
          <cell r="BV194"/>
          <cell r="BW194"/>
          <cell r="BX194"/>
          <cell r="BY194"/>
          <cell r="BZ194"/>
          <cell r="CA194"/>
          <cell r="CB194"/>
        </row>
        <row r="195">
          <cell r="B195" t="str">
            <v>Sales - % Other CEE</v>
          </cell>
          <cell r="C195" t="str">
            <v>SALES_OTH_CEE</v>
          </cell>
          <cell r="F195"/>
          <cell r="G195"/>
          <cell r="H195"/>
          <cell r="I195"/>
          <cell r="J195"/>
          <cell r="K195"/>
          <cell r="L195"/>
          <cell r="M195"/>
          <cell r="N195"/>
          <cell r="O195"/>
          <cell r="P195"/>
          <cell r="Q195"/>
          <cell r="R195"/>
          <cell r="S195"/>
          <cell r="T195"/>
          <cell r="U195"/>
          <cell r="V195"/>
          <cell r="W195"/>
          <cell r="X195"/>
          <cell r="Y195"/>
          <cell r="Z195"/>
          <cell r="AA195"/>
          <cell r="AB195"/>
          <cell r="AC195"/>
          <cell r="AD195"/>
          <cell r="AE195"/>
          <cell r="AF195"/>
          <cell r="AG195"/>
          <cell r="AH195"/>
          <cell r="AI195"/>
          <cell r="AJ195"/>
          <cell r="AK195"/>
          <cell r="AL195"/>
          <cell r="AM195"/>
          <cell r="AN195"/>
          <cell r="AO195"/>
          <cell r="AP195"/>
          <cell r="AQ195"/>
          <cell r="AR195"/>
          <cell r="AS195"/>
          <cell r="AT195"/>
          <cell r="AU195"/>
          <cell r="AV195"/>
          <cell r="AW195"/>
          <cell r="AX195"/>
          <cell r="AY195"/>
          <cell r="AZ195"/>
          <cell r="BA195"/>
          <cell r="BB195"/>
          <cell r="BC195"/>
          <cell r="BD195"/>
          <cell r="BE195"/>
          <cell r="BF195"/>
          <cell r="BG195"/>
          <cell r="BH195"/>
          <cell r="BI195"/>
          <cell r="BJ195"/>
          <cell r="BK195"/>
          <cell r="BL195"/>
          <cell r="BM195"/>
          <cell r="BN195"/>
          <cell r="BO195"/>
          <cell r="BP195"/>
          <cell r="BQ195"/>
          <cell r="BR195"/>
          <cell r="BS195"/>
          <cell r="BT195"/>
          <cell r="BU195"/>
          <cell r="BV195"/>
          <cell r="BW195"/>
          <cell r="BX195"/>
          <cell r="BY195"/>
          <cell r="BZ195"/>
          <cell r="CA195"/>
          <cell r="CB195"/>
        </row>
        <row r="196">
          <cell r="B196" t="str">
            <v>Sales - % Saudi Arabia</v>
          </cell>
          <cell r="C196" t="str">
            <v>SALES_SAUDI_ARABIA</v>
          </cell>
          <cell r="F196"/>
          <cell r="G196"/>
          <cell r="H196"/>
          <cell r="I196"/>
          <cell r="J196"/>
          <cell r="K196"/>
          <cell r="L196"/>
          <cell r="M196"/>
          <cell r="N196"/>
          <cell r="O196"/>
          <cell r="P196"/>
          <cell r="Q196"/>
          <cell r="R196"/>
          <cell r="S196"/>
          <cell r="T196"/>
          <cell r="U196"/>
          <cell r="V196"/>
          <cell r="W196"/>
          <cell r="X196"/>
          <cell r="Y196"/>
          <cell r="Z196"/>
          <cell r="AA196"/>
          <cell r="AB196"/>
          <cell r="AC196"/>
          <cell r="AD196"/>
          <cell r="AE196"/>
          <cell r="AF196"/>
          <cell r="AG196"/>
          <cell r="AH196"/>
          <cell r="AI196"/>
          <cell r="AJ196"/>
          <cell r="AK196"/>
          <cell r="AL196"/>
          <cell r="AM196"/>
          <cell r="AN196"/>
          <cell r="AO196"/>
          <cell r="AP196"/>
          <cell r="AQ196"/>
          <cell r="AR196"/>
          <cell r="AS196"/>
          <cell r="AT196"/>
          <cell r="AU196"/>
          <cell r="AV196"/>
          <cell r="AW196"/>
          <cell r="AX196"/>
          <cell r="AY196"/>
          <cell r="AZ196"/>
          <cell r="BA196"/>
          <cell r="BB196"/>
          <cell r="BC196"/>
          <cell r="BD196"/>
          <cell r="BE196"/>
          <cell r="BF196"/>
          <cell r="BG196"/>
          <cell r="BH196"/>
          <cell r="BI196"/>
          <cell r="BJ196"/>
          <cell r="BK196"/>
          <cell r="BL196"/>
          <cell r="BM196"/>
          <cell r="BN196"/>
          <cell r="BO196"/>
          <cell r="BP196"/>
          <cell r="BQ196"/>
          <cell r="BR196"/>
          <cell r="BS196"/>
          <cell r="BT196"/>
          <cell r="BU196"/>
          <cell r="BV196"/>
          <cell r="BW196"/>
          <cell r="BX196"/>
          <cell r="BY196"/>
          <cell r="BZ196"/>
          <cell r="CA196"/>
          <cell r="CB196"/>
        </row>
        <row r="197">
          <cell r="B197" t="str">
            <v>Sales - % United Arab Emirates</v>
          </cell>
          <cell r="C197" t="str">
            <v>SALES_UAE</v>
          </cell>
          <cell r="F197"/>
          <cell r="G197"/>
          <cell r="H197"/>
          <cell r="I197"/>
          <cell r="J197"/>
          <cell r="K197"/>
          <cell r="L197"/>
          <cell r="M197"/>
          <cell r="N197"/>
          <cell r="O197"/>
          <cell r="P197"/>
          <cell r="Q197"/>
          <cell r="R197"/>
          <cell r="S197"/>
          <cell r="T197"/>
          <cell r="U197"/>
          <cell r="V197"/>
          <cell r="W197"/>
          <cell r="X197"/>
          <cell r="Y197"/>
          <cell r="Z197"/>
          <cell r="AA197"/>
          <cell r="AB197"/>
          <cell r="AC197"/>
          <cell r="AD197"/>
          <cell r="AE197"/>
          <cell r="AF197"/>
          <cell r="AG197"/>
          <cell r="AH197"/>
          <cell r="AI197"/>
          <cell r="AJ197"/>
          <cell r="AK197"/>
          <cell r="AL197"/>
          <cell r="AM197"/>
          <cell r="AN197"/>
          <cell r="AO197"/>
          <cell r="AP197"/>
          <cell r="AQ197"/>
          <cell r="AR197"/>
          <cell r="AS197"/>
          <cell r="AT197"/>
          <cell r="AU197"/>
          <cell r="AV197"/>
          <cell r="AW197"/>
          <cell r="AX197"/>
          <cell r="AY197"/>
          <cell r="AZ197"/>
          <cell r="BA197"/>
          <cell r="BB197"/>
          <cell r="BC197"/>
          <cell r="BD197"/>
          <cell r="BE197"/>
          <cell r="BF197"/>
          <cell r="BG197"/>
          <cell r="BH197"/>
          <cell r="BI197"/>
          <cell r="BJ197"/>
          <cell r="BK197"/>
          <cell r="BL197"/>
          <cell r="BM197"/>
          <cell r="BN197"/>
          <cell r="BO197"/>
          <cell r="BP197"/>
          <cell r="BQ197"/>
          <cell r="BR197"/>
          <cell r="BS197"/>
          <cell r="BT197"/>
          <cell r="BU197"/>
          <cell r="BV197"/>
          <cell r="BW197"/>
          <cell r="BX197"/>
          <cell r="BY197"/>
          <cell r="BZ197"/>
          <cell r="CA197"/>
          <cell r="CB197"/>
        </row>
        <row r="198">
          <cell r="B198" t="str">
            <v>Sales - % Other Middle East</v>
          </cell>
          <cell r="C198" t="str">
            <v>SALES_OTH_ME</v>
          </cell>
          <cell r="F198"/>
          <cell r="G198"/>
          <cell r="H198"/>
          <cell r="I198"/>
          <cell r="J198"/>
          <cell r="K198"/>
          <cell r="L198"/>
          <cell r="M198"/>
          <cell r="N198"/>
          <cell r="O198"/>
          <cell r="P198"/>
          <cell r="Q198"/>
          <cell r="R198"/>
          <cell r="S198"/>
          <cell r="T198"/>
          <cell r="U198"/>
          <cell r="V198"/>
          <cell r="W198"/>
          <cell r="X198"/>
          <cell r="Y198"/>
          <cell r="Z198"/>
          <cell r="AA198"/>
          <cell r="AB198"/>
          <cell r="AC198"/>
          <cell r="AD198"/>
          <cell r="AE198"/>
          <cell r="AF198"/>
          <cell r="AG198"/>
          <cell r="AH198"/>
          <cell r="AI198"/>
          <cell r="AJ198"/>
          <cell r="AK198"/>
          <cell r="AL198"/>
          <cell r="AM198"/>
          <cell r="AN198"/>
          <cell r="AO198"/>
          <cell r="AP198"/>
          <cell r="AQ198"/>
          <cell r="AR198"/>
          <cell r="AS198"/>
          <cell r="AT198"/>
          <cell r="AU198"/>
          <cell r="AV198"/>
          <cell r="AW198"/>
          <cell r="AX198"/>
          <cell r="AY198"/>
          <cell r="AZ198"/>
          <cell r="BA198"/>
          <cell r="BB198"/>
          <cell r="BC198"/>
          <cell r="BD198"/>
          <cell r="BE198"/>
          <cell r="BF198"/>
          <cell r="BG198"/>
          <cell r="BH198"/>
          <cell r="BI198"/>
          <cell r="BJ198"/>
          <cell r="BK198"/>
          <cell r="BL198"/>
          <cell r="BM198"/>
          <cell r="BN198"/>
          <cell r="BO198"/>
          <cell r="BP198"/>
          <cell r="BQ198"/>
          <cell r="BR198"/>
          <cell r="BS198"/>
          <cell r="BT198"/>
          <cell r="BU198"/>
          <cell r="BV198"/>
          <cell r="BW198"/>
          <cell r="BX198"/>
          <cell r="BY198"/>
          <cell r="BZ198"/>
          <cell r="CA198"/>
          <cell r="CB198"/>
        </row>
        <row r="199">
          <cell r="B199" t="str">
            <v>Sales - % Nigeria</v>
          </cell>
          <cell r="C199" t="str">
            <v>SALES_NIGERIA</v>
          </cell>
          <cell r="F199"/>
          <cell r="G199"/>
          <cell r="H199"/>
          <cell r="I199"/>
          <cell r="J199"/>
          <cell r="K199"/>
          <cell r="L199"/>
          <cell r="M199"/>
          <cell r="N199"/>
          <cell r="O199"/>
          <cell r="P199"/>
          <cell r="Q199"/>
          <cell r="R199"/>
          <cell r="S199"/>
          <cell r="T199"/>
          <cell r="U199"/>
          <cell r="V199"/>
          <cell r="W199"/>
          <cell r="X199"/>
          <cell r="Y199"/>
          <cell r="Z199"/>
          <cell r="AA199"/>
          <cell r="AB199"/>
          <cell r="AC199"/>
          <cell r="AD199"/>
          <cell r="AE199"/>
          <cell r="AF199"/>
          <cell r="AG199"/>
          <cell r="AH199"/>
          <cell r="AI199"/>
          <cell r="AJ199"/>
          <cell r="AK199"/>
          <cell r="AL199"/>
          <cell r="AM199"/>
          <cell r="AN199"/>
          <cell r="AO199"/>
          <cell r="AP199"/>
          <cell r="AQ199"/>
          <cell r="AR199"/>
          <cell r="AS199"/>
          <cell r="AT199"/>
          <cell r="AU199"/>
          <cell r="AV199"/>
          <cell r="AW199"/>
          <cell r="AX199"/>
          <cell r="AY199"/>
          <cell r="AZ199"/>
          <cell r="BA199"/>
          <cell r="BB199"/>
          <cell r="BC199"/>
          <cell r="BD199"/>
          <cell r="BE199"/>
          <cell r="BF199"/>
          <cell r="BG199"/>
          <cell r="BH199"/>
          <cell r="BI199"/>
          <cell r="BJ199"/>
          <cell r="BK199"/>
          <cell r="BL199"/>
          <cell r="BM199"/>
          <cell r="BN199"/>
          <cell r="BO199"/>
          <cell r="BP199"/>
          <cell r="BQ199"/>
          <cell r="BR199"/>
          <cell r="BS199"/>
          <cell r="BT199"/>
          <cell r="BU199"/>
          <cell r="BV199"/>
          <cell r="BW199"/>
          <cell r="BX199"/>
          <cell r="BY199"/>
          <cell r="BZ199"/>
          <cell r="CA199"/>
          <cell r="CB199"/>
        </row>
        <row r="200">
          <cell r="B200" t="str">
            <v>Sales - % South Africa</v>
          </cell>
          <cell r="C200" t="str">
            <v>SALES_SO_AFRICA</v>
          </cell>
          <cell r="F200"/>
          <cell r="G200"/>
          <cell r="H200"/>
          <cell r="I200"/>
          <cell r="J200"/>
          <cell r="K200"/>
          <cell r="L200"/>
          <cell r="M200"/>
          <cell r="N200"/>
          <cell r="O200"/>
          <cell r="P200"/>
          <cell r="Q200"/>
          <cell r="R200"/>
          <cell r="S200"/>
          <cell r="T200"/>
          <cell r="U200"/>
          <cell r="V200"/>
          <cell r="W200"/>
          <cell r="X200"/>
          <cell r="Y200"/>
          <cell r="Z200"/>
          <cell r="AA200"/>
          <cell r="AB200"/>
          <cell r="AC200"/>
          <cell r="AD200"/>
          <cell r="AE200"/>
          <cell r="AF200"/>
          <cell r="AG200"/>
          <cell r="AH200"/>
          <cell r="AI200"/>
          <cell r="AJ200"/>
          <cell r="AK200"/>
          <cell r="AL200"/>
          <cell r="AM200"/>
          <cell r="AN200"/>
          <cell r="AO200"/>
          <cell r="AP200"/>
          <cell r="AQ200"/>
          <cell r="AR200"/>
          <cell r="AS200"/>
          <cell r="AT200"/>
          <cell r="AU200"/>
          <cell r="AV200"/>
          <cell r="AW200"/>
          <cell r="AX200"/>
          <cell r="AY200"/>
          <cell r="AZ200"/>
          <cell r="BA200"/>
          <cell r="BB200"/>
          <cell r="BC200"/>
          <cell r="BD200"/>
          <cell r="BE200"/>
          <cell r="BF200"/>
          <cell r="BG200"/>
          <cell r="BH200"/>
          <cell r="BI200"/>
          <cell r="BJ200"/>
          <cell r="BK200"/>
          <cell r="BL200"/>
          <cell r="BM200"/>
          <cell r="BN200"/>
          <cell r="BO200"/>
          <cell r="BP200"/>
          <cell r="BQ200"/>
          <cell r="BR200"/>
          <cell r="BS200"/>
          <cell r="BT200"/>
          <cell r="BU200"/>
          <cell r="BV200"/>
          <cell r="BW200"/>
          <cell r="BX200"/>
          <cell r="BY200"/>
          <cell r="BZ200"/>
          <cell r="CA200"/>
          <cell r="CB200"/>
        </row>
        <row r="201">
          <cell r="B201" t="str">
            <v>Sales - % Other Africa</v>
          </cell>
          <cell r="C201" t="str">
            <v>SALES_OTH_AFRICA</v>
          </cell>
          <cell r="F201"/>
          <cell r="G201"/>
          <cell r="H201"/>
          <cell r="I201"/>
          <cell r="J201"/>
          <cell r="K201"/>
          <cell r="L201"/>
          <cell r="M201"/>
          <cell r="N201"/>
          <cell r="O201"/>
          <cell r="P201"/>
          <cell r="Q201"/>
          <cell r="R201"/>
          <cell r="S201"/>
          <cell r="T201"/>
          <cell r="U201"/>
          <cell r="V201"/>
          <cell r="W201"/>
          <cell r="X201"/>
          <cell r="Y201"/>
          <cell r="Z201"/>
          <cell r="AA201"/>
          <cell r="AB201"/>
          <cell r="AC201"/>
          <cell r="AD201"/>
          <cell r="AE201"/>
          <cell r="AF201"/>
          <cell r="AG201"/>
          <cell r="AH201"/>
          <cell r="AI201"/>
          <cell r="AJ201"/>
          <cell r="AK201"/>
          <cell r="AL201"/>
          <cell r="AM201"/>
          <cell r="AN201"/>
          <cell r="AO201"/>
          <cell r="AP201"/>
          <cell r="AQ201"/>
          <cell r="AR201"/>
          <cell r="AS201"/>
          <cell r="AT201"/>
          <cell r="AU201"/>
          <cell r="AV201"/>
          <cell r="AW201"/>
          <cell r="AX201"/>
          <cell r="AY201"/>
          <cell r="AZ201"/>
          <cell r="BA201"/>
          <cell r="BB201"/>
          <cell r="BC201"/>
          <cell r="BD201"/>
          <cell r="BE201"/>
          <cell r="BF201"/>
          <cell r="BG201"/>
          <cell r="BH201"/>
          <cell r="BI201"/>
          <cell r="BJ201"/>
          <cell r="BK201"/>
          <cell r="BL201"/>
          <cell r="BM201"/>
          <cell r="BN201"/>
          <cell r="BO201"/>
          <cell r="BP201"/>
          <cell r="BQ201"/>
          <cell r="BR201"/>
          <cell r="BS201"/>
          <cell r="BT201"/>
          <cell r="BU201"/>
          <cell r="BV201"/>
          <cell r="BW201"/>
          <cell r="BX201"/>
          <cell r="BY201"/>
          <cell r="BZ201"/>
          <cell r="CA201"/>
          <cell r="CB201"/>
        </row>
        <row r="202">
          <cell r="B202" t="str">
            <v>Sales - % Hong Kong</v>
          </cell>
          <cell r="C202" t="str">
            <v>SALES_HONG_KONG</v>
          </cell>
          <cell r="F202"/>
          <cell r="G202"/>
          <cell r="H202"/>
          <cell r="I202"/>
          <cell r="J202">
            <v>0.03</v>
          </cell>
          <cell r="K202">
            <v>0.03</v>
          </cell>
          <cell r="L202">
            <v>0.03</v>
          </cell>
          <cell r="M202">
            <v>0.03</v>
          </cell>
          <cell r="N202">
            <v>0.03</v>
          </cell>
          <cell r="O202">
            <v>0.03</v>
          </cell>
          <cell r="P202">
            <v>0.03</v>
          </cell>
          <cell r="Q202">
            <v>0.03</v>
          </cell>
          <cell r="R202">
            <v>0.03</v>
          </cell>
          <cell r="S202">
            <v>0.03</v>
          </cell>
          <cell r="T202">
            <v>0.03</v>
          </cell>
          <cell r="U202">
            <v>0.03</v>
          </cell>
          <cell r="V202">
            <v>0.03</v>
          </cell>
          <cell r="W202">
            <v>0.03</v>
          </cell>
          <cell r="X202">
            <v>0.03</v>
          </cell>
          <cell r="Y202">
            <v>0.03</v>
          </cell>
          <cell r="Z202">
            <v>0.03</v>
          </cell>
          <cell r="AA202">
            <v>0.03</v>
          </cell>
          <cell r="AB202">
            <v>0.03</v>
          </cell>
          <cell r="AC202">
            <v>0.03</v>
          </cell>
          <cell r="AD202">
            <v>0.03</v>
          </cell>
          <cell r="AE202">
            <v>0.03</v>
          </cell>
          <cell r="AF202">
            <v>0.03</v>
          </cell>
          <cell r="AG202">
            <v>0.03</v>
          </cell>
          <cell r="AH202">
            <v>0.03</v>
          </cell>
          <cell r="AI202">
            <v>0.03</v>
          </cell>
          <cell r="AJ202">
            <v>0.03</v>
          </cell>
          <cell r="AK202">
            <v>0.03</v>
          </cell>
          <cell r="AL202">
            <v>0.03</v>
          </cell>
          <cell r="AM202">
            <v>0.03</v>
          </cell>
          <cell r="AN202">
            <v>0.03</v>
          </cell>
          <cell r="AO202"/>
          <cell r="AP202"/>
          <cell r="AQ202"/>
          <cell r="AR202"/>
          <cell r="AS202">
            <v>0</v>
          </cell>
          <cell r="AT202"/>
          <cell r="AU202"/>
          <cell r="AV202"/>
          <cell r="AW202"/>
          <cell r="AX202">
            <v>0</v>
          </cell>
          <cell r="AY202"/>
          <cell r="AZ202"/>
          <cell r="BA202"/>
          <cell r="BB202"/>
          <cell r="BC202">
            <v>0</v>
          </cell>
          <cell r="BD202"/>
          <cell r="BE202"/>
          <cell r="BF202"/>
          <cell r="BG202"/>
          <cell r="BH202"/>
          <cell r="BI202"/>
          <cell r="BJ202"/>
          <cell r="BK202"/>
          <cell r="BL202"/>
          <cell r="BM202"/>
          <cell r="BN202"/>
          <cell r="BO202"/>
          <cell r="BP202"/>
          <cell r="BQ202"/>
          <cell r="BR202"/>
          <cell r="BS202"/>
          <cell r="BT202"/>
          <cell r="BU202"/>
          <cell r="BV202"/>
          <cell r="BW202"/>
          <cell r="BX202"/>
          <cell r="BY202"/>
          <cell r="BZ202"/>
          <cell r="CA202"/>
          <cell r="CB202"/>
        </row>
        <row r="203">
          <cell r="B203" t="str">
            <v>Sales - % Japan</v>
          </cell>
          <cell r="C203" t="str">
            <v>SALES_JAPAN</v>
          </cell>
          <cell r="F203"/>
          <cell r="G203"/>
          <cell r="H203"/>
          <cell r="I203"/>
          <cell r="J203">
            <v>4.2135634969507979E-2</v>
          </cell>
          <cell r="K203">
            <v>9.3141476763487691E-2</v>
          </cell>
          <cell r="L203">
            <v>0.10070025199032198</v>
          </cell>
          <cell r="M203">
            <v>7.0951038070695777E-2</v>
          </cell>
          <cell r="N203">
            <v>3.0746896513479477E-2</v>
          </cell>
          <cell r="O203">
            <v>7.0904760947768236E-2</v>
          </cell>
          <cell r="P203">
            <v>1.2796858669144123E-2</v>
          </cell>
          <cell r="Q203">
            <v>5.6780263928800589E-2</v>
          </cell>
          <cell r="R203">
            <v>8.7107524541053777E-2</v>
          </cell>
          <cell r="S203">
            <v>7.2134795949273744E-2</v>
          </cell>
          <cell r="T203">
            <v>5.7923791192575763E-2</v>
          </cell>
          <cell r="U203">
            <v>6.4623838510228765E-2</v>
          </cell>
          <cell r="V203">
            <v>6.4014790076335898E-2</v>
          </cell>
          <cell r="W203">
            <v>7.9831307540399965E-2</v>
          </cell>
          <cell r="X203">
            <v>7.2081793808107308E-2</v>
          </cell>
          <cell r="Y203">
            <v>6.9806284547985126E-2</v>
          </cell>
          <cell r="Z203">
            <v>4.1636379809891738E-2</v>
          </cell>
          <cell r="AA203">
            <v>5.4183212358730803E-2</v>
          </cell>
          <cell r="AB203">
            <v>5.6508249207441408E-2</v>
          </cell>
          <cell r="AC203">
            <v>5.8131782331017373E-2</v>
          </cell>
          <cell r="AD203">
            <v>5.2719009667487965E-2</v>
          </cell>
          <cell r="AE203">
            <v>5.0150917334390588E-2</v>
          </cell>
          <cell r="AF203">
            <v>3.2419987181781934E-2</v>
          </cell>
          <cell r="AG203">
            <v>3.7766321827069349E-2</v>
          </cell>
          <cell r="AH203">
            <v>2.95787264537265E-2</v>
          </cell>
          <cell r="AI203">
            <v>3.692177939189481E-2</v>
          </cell>
          <cell r="AJ203">
            <v>2.3527212780403539E-2</v>
          </cell>
          <cell r="AK203">
            <v>3.1184803948862277E-2</v>
          </cell>
          <cell r="AL203">
            <v>1.8437142333361439E-2</v>
          </cell>
          <cell r="AM203">
            <v>2.0812367069564824E-2</v>
          </cell>
          <cell r="AN203">
            <v>2.3566355178024218E-2</v>
          </cell>
          <cell r="AO203"/>
          <cell r="AP203"/>
          <cell r="AQ203"/>
          <cell r="AR203"/>
          <cell r="AS203">
            <v>0.16594494053610107</v>
          </cell>
          <cell r="AT203"/>
          <cell r="AU203"/>
          <cell r="AV203"/>
          <cell r="AW203"/>
          <cell r="AX203">
            <v>0.16239268508797405</v>
          </cell>
          <cell r="AY203"/>
          <cell r="AZ203"/>
          <cell r="BA203"/>
          <cell r="BB203"/>
          <cell r="BC203">
            <v>0.16239268508797405</v>
          </cell>
          <cell r="BD203"/>
          <cell r="BE203"/>
          <cell r="BF203"/>
          <cell r="BG203"/>
          <cell r="BH203"/>
          <cell r="BI203"/>
          <cell r="BJ203"/>
          <cell r="BK203"/>
          <cell r="BL203"/>
          <cell r="BM203"/>
          <cell r="BN203"/>
          <cell r="BO203"/>
          <cell r="BP203"/>
          <cell r="BQ203"/>
          <cell r="BR203"/>
          <cell r="BS203"/>
          <cell r="BT203"/>
          <cell r="BU203"/>
          <cell r="BV203"/>
          <cell r="BW203"/>
          <cell r="BX203"/>
          <cell r="BY203"/>
          <cell r="BZ203"/>
          <cell r="CA203"/>
          <cell r="CB203"/>
        </row>
        <row r="204">
          <cell r="B204" t="str">
            <v>Sales - % Singapore</v>
          </cell>
          <cell r="C204" t="str">
            <v>SALES_SINGAPORE</v>
          </cell>
          <cell r="F204"/>
          <cell r="G204"/>
          <cell r="H204"/>
          <cell r="I204"/>
          <cell r="J204">
            <v>0.02</v>
          </cell>
          <cell r="K204">
            <v>0.02</v>
          </cell>
          <cell r="L204">
            <v>0.02</v>
          </cell>
          <cell r="M204">
            <v>0.02</v>
          </cell>
          <cell r="N204">
            <v>0.02</v>
          </cell>
          <cell r="O204">
            <v>0.02</v>
          </cell>
          <cell r="P204">
            <v>0.02</v>
          </cell>
          <cell r="Q204">
            <v>0.02</v>
          </cell>
          <cell r="R204">
            <v>0.02</v>
          </cell>
          <cell r="S204">
            <v>0.02</v>
          </cell>
          <cell r="T204">
            <v>0.02</v>
          </cell>
          <cell r="U204">
            <v>0.02</v>
          </cell>
          <cell r="V204">
            <v>0.02</v>
          </cell>
          <cell r="W204">
            <v>0.02</v>
          </cell>
          <cell r="X204">
            <v>0.02</v>
          </cell>
          <cell r="Y204">
            <v>0.02</v>
          </cell>
          <cell r="Z204">
            <v>0.02</v>
          </cell>
          <cell r="AA204">
            <v>0.02</v>
          </cell>
          <cell r="AB204">
            <v>0.02</v>
          </cell>
          <cell r="AC204">
            <v>0.02</v>
          </cell>
          <cell r="AD204">
            <v>0.02</v>
          </cell>
          <cell r="AE204">
            <v>0.02</v>
          </cell>
          <cell r="AF204">
            <v>0.02</v>
          </cell>
          <cell r="AG204">
            <v>0.02</v>
          </cell>
          <cell r="AH204">
            <v>0.02</v>
          </cell>
          <cell r="AI204">
            <v>0.02</v>
          </cell>
          <cell r="AJ204">
            <v>0.02</v>
          </cell>
          <cell r="AK204">
            <v>0.02</v>
          </cell>
          <cell r="AL204">
            <v>0.02</v>
          </cell>
          <cell r="AM204">
            <v>0.02</v>
          </cell>
          <cell r="AN204">
            <v>0.02</v>
          </cell>
          <cell r="AO204"/>
          <cell r="AP204"/>
          <cell r="AQ204"/>
          <cell r="AR204"/>
          <cell r="AS204">
            <v>0</v>
          </cell>
          <cell r="AT204"/>
          <cell r="AU204"/>
          <cell r="AV204"/>
          <cell r="AW204"/>
          <cell r="AX204">
            <v>0</v>
          </cell>
          <cell r="AY204"/>
          <cell r="AZ204"/>
          <cell r="BA204"/>
          <cell r="BB204"/>
          <cell r="BC204">
            <v>0</v>
          </cell>
          <cell r="BD204"/>
          <cell r="BE204"/>
          <cell r="BF204"/>
          <cell r="BG204"/>
          <cell r="BH204"/>
          <cell r="BI204"/>
          <cell r="BJ204"/>
          <cell r="BK204"/>
          <cell r="BL204"/>
          <cell r="BM204"/>
          <cell r="BN204"/>
          <cell r="BO204"/>
          <cell r="BP204"/>
          <cell r="BQ204"/>
          <cell r="BR204"/>
          <cell r="BS204"/>
          <cell r="BT204"/>
          <cell r="BU204"/>
          <cell r="BV204"/>
          <cell r="BW204"/>
          <cell r="BX204"/>
          <cell r="BY204"/>
          <cell r="BZ204"/>
          <cell r="CA204"/>
          <cell r="CB204"/>
        </row>
        <row r="205">
          <cell r="B205" t="str">
            <v>Sales - % South Korea</v>
          </cell>
          <cell r="C205" t="str">
            <v>SALES_SK</v>
          </cell>
          <cell r="F205"/>
          <cell r="G205"/>
          <cell r="H205"/>
          <cell r="I205"/>
          <cell r="J205">
            <v>0.03</v>
          </cell>
          <cell r="K205">
            <v>0.03</v>
          </cell>
          <cell r="L205">
            <v>0.03</v>
          </cell>
          <cell r="M205">
            <v>0.03</v>
          </cell>
          <cell r="N205">
            <v>0.03</v>
          </cell>
          <cell r="O205">
            <v>0.03</v>
          </cell>
          <cell r="P205">
            <v>0.03</v>
          </cell>
          <cell r="Q205">
            <v>0.03</v>
          </cell>
          <cell r="R205">
            <v>0.03</v>
          </cell>
          <cell r="S205">
            <v>0.03</v>
          </cell>
          <cell r="T205">
            <v>0.03</v>
          </cell>
          <cell r="U205">
            <v>0.03</v>
          </cell>
          <cell r="V205">
            <v>0.03</v>
          </cell>
          <cell r="W205">
            <v>0.03</v>
          </cell>
          <cell r="X205">
            <v>0.03</v>
          </cell>
          <cell r="Y205">
            <v>0.03</v>
          </cell>
          <cell r="Z205">
            <v>0.03</v>
          </cell>
          <cell r="AA205">
            <v>0.03</v>
          </cell>
          <cell r="AB205">
            <v>0.03</v>
          </cell>
          <cell r="AC205">
            <v>0.03</v>
          </cell>
          <cell r="AD205">
            <v>0.03</v>
          </cell>
          <cell r="AE205">
            <v>0.03</v>
          </cell>
          <cell r="AF205">
            <v>0.03</v>
          </cell>
          <cell r="AG205">
            <v>0.03</v>
          </cell>
          <cell r="AH205">
            <v>0.03</v>
          </cell>
          <cell r="AI205">
            <v>0.03</v>
          </cell>
          <cell r="AJ205">
            <v>0.03</v>
          </cell>
          <cell r="AK205">
            <v>0.03</v>
          </cell>
          <cell r="AL205">
            <v>0.03</v>
          </cell>
          <cell r="AM205">
            <v>0.03</v>
          </cell>
          <cell r="AN205">
            <v>0.03</v>
          </cell>
          <cell r="AO205"/>
          <cell r="AP205"/>
          <cell r="AQ205"/>
          <cell r="AR205"/>
          <cell r="AS205">
            <v>0</v>
          </cell>
          <cell r="AT205"/>
          <cell r="AU205"/>
          <cell r="AV205"/>
          <cell r="AW205"/>
          <cell r="AX205">
            <v>0</v>
          </cell>
          <cell r="AY205"/>
          <cell r="AZ205"/>
          <cell r="BA205"/>
          <cell r="BB205"/>
          <cell r="BC205">
            <v>0</v>
          </cell>
          <cell r="BD205"/>
          <cell r="BE205"/>
          <cell r="BF205"/>
          <cell r="BG205"/>
          <cell r="BH205"/>
          <cell r="BI205"/>
          <cell r="BJ205"/>
          <cell r="BK205"/>
          <cell r="BL205"/>
          <cell r="BM205"/>
          <cell r="BN205"/>
          <cell r="BO205"/>
          <cell r="BP205"/>
          <cell r="BQ205"/>
          <cell r="BR205"/>
          <cell r="BS205"/>
          <cell r="BT205"/>
          <cell r="BU205"/>
          <cell r="BV205"/>
          <cell r="BW205"/>
          <cell r="BX205"/>
          <cell r="BY205"/>
          <cell r="BZ205"/>
          <cell r="CA205"/>
          <cell r="CB205"/>
        </row>
        <row r="206">
          <cell r="B206" t="str">
            <v>Sales - % Taiwan</v>
          </cell>
          <cell r="C206" t="str">
            <v>SALES_TAIWAN</v>
          </cell>
          <cell r="F206"/>
          <cell r="G206"/>
          <cell r="H206"/>
          <cell r="I206"/>
          <cell r="J206"/>
          <cell r="K206"/>
          <cell r="L206"/>
          <cell r="M206"/>
          <cell r="N206"/>
          <cell r="O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  <cell r="Z206"/>
          <cell r="AA206"/>
          <cell r="AB206"/>
          <cell r="AC206"/>
          <cell r="AD206"/>
          <cell r="AE206"/>
          <cell r="AF206"/>
          <cell r="AG206"/>
          <cell r="AH206"/>
          <cell r="AI206"/>
          <cell r="AJ206"/>
          <cell r="AK206"/>
          <cell r="AL206"/>
          <cell r="AM206"/>
          <cell r="AN206"/>
          <cell r="AO206"/>
          <cell r="AP206"/>
          <cell r="AQ206"/>
          <cell r="AR206"/>
          <cell r="AS206"/>
          <cell r="AT206"/>
          <cell r="AU206"/>
          <cell r="AV206"/>
          <cell r="AW206"/>
          <cell r="AX206"/>
          <cell r="AY206"/>
          <cell r="AZ206"/>
          <cell r="BA206"/>
          <cell r="BB206"/>
          <cell r="BC206"/>
          <cell r="BD206"/>
          <cell r="BE206"/>
          <cell r="BF206"/>
          <cell r="BG206"/>
          <cell r="BH206"/>
          <cell r="BI206"/>
          <cell r="BJ206"/>
          <cell r="BK206"/>
          <cell r="BL206"/>
          <cell r="BM206"/>
          <cell r="BN206"/>
          <cell r="BO206"/>
          <cell r="BP206"/>
          <cell r="BQ206"/>
          <cell r="BR206"/>
          <cell r="BS206"/>
          <cell r="BT206"/>
          <cell r="BU206"/>
          <cell r="BV206"/>
          <cell r="BW206"/>
          <cell r="BX206"/>
          <cell r="BY206"/>
          <cell r="BZ206"/>
          <cell r="CA206"/>
          <cell r="CB206"/>
        </row>
        <row r="207">
          <cell r="B207" t="str">
            <v>Sales - % Other Developed Asia</v>
          </cell>
          <cell r="C207" t="str">
            <v>SALES_OTH_DEV_ASIA</v>
          </cell>
          <cell r="F207"/>
          <cell r="G207"/>
          <cell r="H207"/>
          <cell r="I207"/>
          <cell r="J207"/>
          <cell r="K207"/>
          <cell r="L207"/>
          <cell r="M207"/>
          <cell r="N207"/>
          <cell r="O207"/>
          <cell r="P207"/>
          <cell r="Q207"/>
          <cell r="R207"/>
          <cell r="S207"/>
          <cell r="T207"/>
          <cell r="U207"/>
          <cell r="V207"/>
          <cell r="W207"/>
          <cell r="X207"/>
          <cell r="Y207"/>
          <cell r="Z207"/>
          <cell r="AA207"/>
          <cell r="AB207"/>
          <cell r="AC207"/>
          <cell r="AD207"/>
          <cell r="AE207"/>
          <cell r="AF207"/>
          <cell r="AG207"/>
          <cell r="AH207"/>
          <cell r="AI207"/>
          <cell r="AJ207"/>
          <cell r="AK207"/>
          <cell r="AL207"/>
          <cell r="AM207"/>
          <cell r="AN207"/>
          <cell r="AO207"/>
          <cell r="AP207"/>
          <cell r="AQ207"/>
          <cell r="AR207"/>
          <cell r="AS207"/>
          <cell r="AT207"/>
          <cell r="AU207"/>
          <cell r="AV207"/>
          <cell r="AW207"/>
          <cell r="AX207"/>
          <cell r="AY207"/>
          <cell r="AZ207"/>
          <cell r="BA207"/>
          <cell r="BB207"/>
          <cell r="BC207"/>
          <cell r="BD207"/>
          <cell r="BE207"/>
          <cell r="BF207"/>
          <cell r="BG207"/>
          <cell r="BH207"/>
          <cell r="BI207"/>
          <cell r="BJ207"/>
          <cell r="BK207"/>
          <cell r="BL207"/>
          <cell r="BM207"/>
          <cell r="BN207"/>
          <cell r="BO207"/>
          <cell r="BP207"/>
          <cell r="BQ207"/>
          <cell r="BR207"/>
          <cell r="BS207"/>
          <cell r="BT207"/>
          <cell r="BU207"/>
          <cell r="BV207"/>
          <cell r="BW207"/>
          <cell r="BX207"/>
          <cell r="BY207"/>
          <cell r="BZ207"/>
          <cell r="CA207"/>
          <cell r="CB207"/>
        </row>
        <row r="208">
          <cell r="B208" t="str">
            <v>Sales - % China</v>
          </cell>
          <cell r="C208" t="str">
            <v>SALES_CHINA</v>
          </cell>
          <cell r="F208"/>
          <cell r="G208"/>
          <cell r="H208"/>
          <cell r="I208"/>
          <cell r="J208"/>
          <cell r="K208"/>
          <cell r="L208"/>
          <cell r="M208"/>
          <cell r="N208"/>
          <cell r="O208"/>
          <cell r="P208"/>
          <cell r="Q208"/>
          <cell r="R208"/>
          <cell r="S208"/>
          <cell r="T208"/>
          <cell r="U208"/>
          <cell r="V208"/>
          <cell r="W208"/>
          <cell r="X208"/>
          <cell r="Y208"/>
          <cell r="Z208"/>
          <cell r="AA208"/>
          <cell r="AB208"/>
          <cell r="AC208"/>
          <cell r="AD208"/>
          <cell r="AE208"/>
          <cell r="AF208"/>
          <cell r="AG208"/>
          <cell r="AH208"/>
          <cell r="AI208"/>
          <cell r="AJ208"/>
          <cell r="AK208"/>
          <cell r="AL208"/>
          <cell r="AM208"/>
          <cell r="AN208"/>
          <cell r="AO208"/>
          <cell r="AP208"/>
          <cell r="AQ208"/>
          <cell r="AR208"/>
          <cell r="AS208"/>
          <cell r="AT208"/>
          <cell r="AU208"/>
          <cell r="AV208"/>
          <cell r="AW208"/>
          <cell r="AX208"/>
          <cell r="AY208"/>
          <cell r="AZ208"/>
          <cell r="BA208"/>
          <cell r="BB208"/>
          <cell r="BC208"/>
          <cell r="BD208"/>
          <cell r="BE208"/>
          <cell r="BF208"/>
          <cell r="BG208"/>
          <cell r="BH208"/>
          <cell r="BI208"/>
          <cell r="BJ208"/>
          <cell r="BK208"/>
          <cell r="BL208"/>
          <cell r="BM208"/>
          <cell r="BN208"/>
          <cell r="BO208"/>
          <cell r="BP208"/>
          <cell r="BQ208"/>
          <cell r="BR208"/>
          <cell r="BS208"/>
          <cell r="BT208"/>
          <cell r="BU208"/>
          <cell r="BV208"/>
          <cell r="BW208"/>
          <cell r="BX208"/>
          <cell r="BY208"/>
          <cell r="BZ208"/>
          <cell r="CA208"/>
          <cell r="CB208"/>
        </row>
        <row r="209">
          <cell r="B209" t="str">
            <v>Sales - % India</v>
          </cell>
          <cell r="C209" t="str">
            <v>SALES_INDIA</v>
          </cell>
          <cell r="F209"/>
          <cell r="G209"/>
          <cell r="H209"/>
          <cell r="I209"/>
          <cell r="J209">
            <v>0.02</v>
          </cell>
          <cell r="K209">
            <v>0.02</v>
          </cell>
          <cell r="L209">
            <v>0.02</v>
          </cell>
          <cell r="M209">
            <v>0.02</v>
          </cell>
          <cell r="N209">
            <v>0.02</v>
          </cell>
          <cell r="O209">
            <v>0.02</v>
          </cell>
          <cell r="P209">
            <v>0.02</v>
          </cell>
          <cell r="Q209">
            <v>0.02</v>
          </cell>
          <cell r="R209">
            <v>0.02</v>
          </cell>
          <cell r="S209">
            <v>0.02</v>
          </cell>
          <cell r="T209">
            <v>0.02</v>
          </cell>
          <cell r="U209">
            <v>0.02</v>
          </cell>
          <cell r="V209">
            <v>0.02</v>
          </cell>
          <cell r="W209">
            <v>0.02</v>
          </cell>
          <cell r="X209">
            <v>0.02</v>
          </cell>
          <cell r="Y209">
            <v>0.02</v>
          </cell>
          <cell r="Z209">
            <v>0.02</v>
          </cell>
          <cell r="AA209">
            <v>0.02</v>
          </cell>
          <cell r="AB209">
            <v>0.02</v>
          </cell>
          <cell r="AC209">
            <v>0.02</v>
          </cell>
          <cell r="AD209">
            <v>0.02</v>
          </cell>
          <cell r="AE209">
            <v>0.02</v>
          </cell>
          <cell r="AF209">
            <v>0.02</v>
          </cell>
          <cell r="AG209">
            <v>0.02</v>
          </cell>
          <cell r="AH209">
            <v>0.02</v>
          </cell>
          <cell r="AI209">
            <v>0.02</v>
          </cell>
          <cell r="AJ209">
            <v>0.02</v>
          </cell>
          <cell r="AK209">
            <v>0.02</v>
          </cell>
          <cell r="AL209">
            <v>0.02</v>
          </cell>
          <cell r="AM209">
            <v>0.02</v>
          </cell>
          <cell r="AN209">
            <v>0.02</v>
          </cell>
          <cell r="AO209"/>
          <cell r="AP209"/>
          <cell r="AQ209"/>
          <cell r="AR209"/>
          <cell r="AS209">
            <v>0</v>
          </cell>
          <cell r="AT209"/>
          <cell r="AU209"/>
          <cell r="AV209"/>
          <cell r="AW209"/>
          <cell r="AX209">
            <v>0</v>
          </cell>
          <cell r="AY209"/>
          <cell r="AZ209"/>
          <cell r="BA209"/>
          <cell r="BB209"/>
          <cell r="BC209">
            <v>0</v>
          </cell>
          <cell r="BD209"/>
          <cell r="BE209"/>
          <cell r="BF209"/>
          <cell r="BG209"/>
          <cell r="BH209"/>
          <cell r="BI209"/>
          <cell r="BJ209"/>
          <cell r="BK209"/>
          <cell r="BL209"/>
          <cell r="BM209"/>
          <cell r="BN209"/>
          <cell r="BO209"/>
          <cell r="BP209"/>
          <cell r="BQ209"/>
          <cell r="BR209"/>
          <cell r="BS209"/>
          <cell r="BT209"/>
          <cell r="BU209"/>
          <cell r="BV209"/>
          <cell r="BW209"/>
          <cell r="BX209"/>
          <cell r="BY209"/>
          <cell r="BZ209"/>
          <cell r="CA209"/>
          <cell r="CB209"/>
        </row>
        <row r="210">
          <cell r="B210" t="str">
            <v>Sales - % Indonesia</v>
          </cell>
          <cell r="C210" t="str">
            <v>SALES_INDONESIA</v>
          </cell>
          <cell r="F210"/>
          <cell r="G210"/>
          <cell r="H210"/>
          <cell r="I210"/>
          <cell r="J210"/>
          <cell r="K210"/>
          <cell r="L210"/>
          <cell r="M210"/>
          <cell r="N210"/>
          <cell r="O210"/>
          <cell r="P210"/>
          <cell r="Q210"/>
          <cell r="R210"/>
          <cell r="S210"/>
          <cell r="T210"/>
          <cell r="U210"/>
          <cell r="V210"/>
          <cell r="W210"/>
          <cell r="X210"/>
          <cell r="Y210"/>
          <cell r="Z210"/>
          <cell r="AA210"/>
          <cell r="AB210"/>
          <cell r="AC210"/>
          <cell r="AD210"/>
          <cell r="AE210"/>
          <cell r="AF210"/>
          <cell r="AG210"/>
          <cell r="AH210"/>
          <cell r="AI210"/>
          <cell r="AJ210"/>
          <cell r="AK210"/>
          <cell r="AL210"/>
          <cell r="AM210"/>
          <cell r="AN210"/>
          <cell r="AO210"/>
          <cell r="AP210"/>
          <cell r="AQ210"/>
          <cell r="AR210"/>
          <cell r="AS210"/>
          <cell r="AT210"/>
          <cell r="AU210"/>
          <cell r="AV210"/>
          <cell r="AW210"/>
          <cell r="AX210"/>
          <cell r="AY210"/>
          <cell r="AZ210"/>
          <cell r="BA210"/>
          <cell r="BB210"/>
          <cell r="BC210"/>
          <cell r="BD210"/>
          <cell r="BE210"/>
          <cell r="BF210"/>
          <cell r="BG210"/>
          <cell r="BH210"/>
          <cell r="BI210"/>
          <cell r="BJ210"/>
          <cell r="BK210"/>
          <cell r="BL210"/>
          <cell r="BM210"/>
          <cell r="BN210"/>
          <cell r="BO210"/>
          <cell r="BP210"/>
          <cell r="BQ210"/>
          <cell r="BR210"/>
          <cell r="BS210"/>
          <cell r="BT210"/>
          <cell r="BU210"/>
          <cell r="BV210"/>
          <cell r="BW210"/>
          <cell r="BX210"/>
          <cell r="BY210"/>
          <cell r="BZ210"/>
          <cell r="CA210"/>
          <cell r="CB210"/>
        </row>
        <row r="211">
          <cell r="B211" t="str">
            <v>Sales - % Thailand</v>
          </cell>
          <cell r="C211" t="str">
            <v>SALES_THAILAND</v>
          </cell>
          <cell r="F211"/>
          <cell r="G211"/>
          <cell r="H211"/>
          <cell r="I211"/>
          <cell r="J211"/>
          <cell r="K211"/>
          <cell r="L211"/>
          <cell r="M211"/>
          <cell r="N211"/>
          <cell r="O211"/>
          <cell r="P211"/>
          <cell r="Q211"/>
          <cell r="R211"/>
          <cell r="S211"/>
          <cell r="T211"/>
          <cell r="U211"/>
          <cell r="V211"/>
          <cell r="W211"/>
          <cell r="X211"/>
          <cell r="Y211"/>
          <cell r="Z211"/>
          <cell r="AA211"/>
          <cell r="AB211"/>
          <cell r="AC211"/>
          <cell r="AD211"/>
          <cell r="AE211"/>
          <cell r="AF211"/>
          <cell r="AG211"/>
          <cell r="AH211"/>
          <cell r="AI211"/>
          <cell r="AJ211"/>
          <cell r="AK211"/>
          <cell r="AL211"/>
          <cell r="AM211"/>
          <cell r="AN211"/>
          <cell r="AO211"/>
          <cell r="AP211"/>
          <cell r="AQ211"/>
          <cell r="AR211"/>
          <cell r="AS211"/>
          <cell r="AT211"/>
          <cell r="AU211"/>
          <cell r="AV211"/>
          <cell r="AW211"/>
          <cell r="AX211"/>
          <cell r="AY211"/>
          <cell r="AZ211"/>
          <cell r="BA211"/>
          <cell r="BB211"/>
          <cell r="BC211"/>
          <cell r="BD211"/>
          <cell r="BE211"/>
          <cell r="BF211"/>
          <cell r="BG211"/>
          <cell r="BH211"/>
          <cell r="BI211"/>
          <cell r="BJ211"/>
          <cell r="BK211"/>
          <cell r="BL211"/>
          <cell r="BM211"/>
          <cell r="BN211"/>
          <cell r="BO211"/>
          <cell r="BP211"/>
          <cell r="BQ211"/>
          <cell r="BR211"/>
          <cell r="BS211"/>
          <cell r="BT211"/>
          <cell r="BU211"/>
          <cell r="BV211"/>
          <cell r="BW211"/>
          <cell r="BX211"/>
          <cell r="BY211"/>
          <cell r="BZ211"/>
          <cell r="CA211"/>
          <cell r="CB211"/>
        </row>
        <row r="212">
          <cell r="B212" t="str">
            <v>Sales - % Other Emerging Asia</v>
          </cell>
          <cell r="C212" t="str">
            <v>SALES_OTH_EMERG_ASIA</v>
          </cell>
          <cell r="F212"/>
          <cell r="G212"/>
          <cell r="H212"/>
          <cell r="I212"/>
          <cell r="J212"/>
          <cell r="K212"/>
          <cell r="L212"/>
          <cell r="M212"/>
          <cell r="N212"/>
          <cell r="O212"/>
          <cell r="P212"/>
          <cell r="Q212"/>
          <cell r="R212"/>
          <cell r="S212"/>
          <cell r="T212"/>
          <cell r="U212"/>
          <cell r="V212"/>
          <cell r="W212"/>
          <cell r="X212"/>
          <cell r="Y212"/>
          <cell r="Z212"/>
          <cell r="AA212"/>
          <cell r="AB212"/>
          <cell r="AC212"/>
          <cell r="AD212"/>
          <cell r="AE212"/>
          <cell r="AF212"/>
          <cell r="AG212"/>
          <cell r="AH212"/>
          <cell r="AI212"/>
          <cell r="AJ212"/>
          <cell r="AK212"/>
          <cell r="AL212"/>
          <cell r="AM212"/>
          <cell r="AN212"/>
          <cell r="AO212"/>
          <cell r="AP212"/>
          <cell r="AQ212"/>
          <cell r="AR212"/>
          <cell r="AS212"/>
          <cell r="AT212"/>
          <cell r="AU212"/>
          <cell r="AV212"/>
          <cell r="AW212"/>
          <cell r="AX212"/>
          <cell r="AY212"/>
          <cell r="AZ212"/>
          <cell r="BA212"/>
          <cell r="BB212"/>
          <cell r="BC212"/>
          <cell r="BD212"/>
          <cell r="BE212"/>
          <cell r="BF212"/>
          <cell r="BG212"/>
          <cell r="BH212"/>
          <cell r="BI212"/>
          <cell r="BJ212"/>
          <cell r="BK212"/>
          <cell r="BL212"/>
          <cell r="BM212"/>
          <cell r="BN212"/>
          <cell r="BO212"/>
          <cell r="BP212"/>
          <cell r="BQ212"/>
          <cell r="BR212"/>
          <cell r="BS212"/>
          <cell r="BT212"/>
          <cell r="BU212"/>
          <cell r="BV212"/>
          <cell r="BW212"/>
          <cell r="BX212"/>
          <cell r="BY212"/>
          <cell r="BZ212"/>
          <cell r="CA212"/>
          <cell r="CB212"/>
        </row>
        <row r="213">
          <cell r="B213" t="str">
            <v>Sales - % Australia</v>
          </cell>
          <cell r="C213" t="str">
            <v>SALES_AUSTRA</v>
          </cell>
          <cell r="F213"/>
          <cell r="G213"/>
          <cell r="H213"/>
          <cell r="I213"/>
          <cell r="J213">
            <v>0.05</v>
          </cell>
          <cell r="K213">
            <v>0.05</v>
          </cell>
          <cell r="L213">
            <v>0.05</v>
          </cell>
          <cell r="M213">
            <v>0.05</v>
          </cell>
          <cell r="N213">
            <v>0.05</v>
          </cell>
          <cell r="O213">
            <v>0.05</v>
          </cell>
          <cell r="P213">
            <v>0.05</v>
          </cell>
          <cell r="Q213">
            <v>0.05</v>
          </cell>
          <cell r="R213">
            <v>0.05</v>
          </cell>
          <cell r="S213">
            <v>0.05</v>
          </cell>
          <cell r="T213">
            <v>0.05</v>
          </cell>
          <cell r="U213">
            <v>0.05</v>
          </cell>
          <cell r="V213">
            <v>0.05</v>
          </cell>
          <cell r="W213">
            <v>0.05</v>
          </cell>
          <cell r="X213">
            <v>0.05</v>
          </cell>
          <cell r="Y213">
            <v>0.05</v>
          </cell>
          <cell r="Z213">
            <v>0.05</v>
          </cell>
          <cell r="AA213">
            <v>0.05</v>
          </cell>
          <cell r="AB213">
            <v>0.05</v>
          </cell>
          <cell r="AC213">
            <v>0.05</v>
          </cell>
          <cell r="AD213">
            <v>0.05</v>
          </cell>
          <cell r="AE213">
            <v>0.05</v>
          </cell>
          <cell r="AF213">
            <v>0.05</v>
          </cell>
          <cell r="AG213">
            <v>0.05</v>
          </cell>
          <cell r="AH213">
            <v>0.05</v>
          </cell>
          <cell r="AI213">
            <v>0.05</v>
          </cell>
          <cell r="AJ213">
            <v>0.05</v>
          </cell>
          <cell r="AK213">
            <v>0.05</v>
          </cell>
          <cell r="AL213">
            <v>0.05</v>
          </cell>
          <cell r="AM213">
            <v>0.05</v>
          </cell>
          <cell r="AN213">
            <v>0.05</v>
          </cell>
          <cell r="AO213"/>
          <cell r="AP213"/>
          <cell r="AQ213"/>
          <cell r="AR213"/>
          <cell r="AS213">
            <v>0</v>
          </cell>
          <cell r="AT213"/>
          <cell r="AU213"/>
          <cell r="AV213"/>
          <cell r="AW213"/>
          <cell r="AX213">
            <v>0</v>
          </cell>
          <cell r="AY213"/>
          <cell r="AZ213"/>
          <cell r="BA213"/>
          <cell r="BB213"/>
          <cell r="BC213">
            <v>0</v>
          </cell>
          <cell r="BD213"/>
          <cell r="BE213"/>
          <cell r="BF213"/>
          <cell r="BG213"/>
          <cell r="BH213"/>
          <cell r="BI213"/>
          <cell r="BJ213"/>
          <cell r="BK213"/>
          <cell r="BL213"/>
          <cell r="BM213"/>
          <cell r="BN213"/>
          <cell r="BO213"/>
          <cell r="BP213"/>
          <cell r="BQ213"/>
          <cell r="BR213"/>
          <cell r="BS213"/>
          <cell r="BT213"/>
          <cell r="BU213"/>
          <cell r="BV213"/>
          <cell r="BW213"/>
          <cell r="BX213"/>
          <cell r="BY213"/>
          <cell r="BZ213"/>
          <cell r="CA213"/>
          <cell r="CB213"/>
        </row>
        <row r="214">
          <cell r="B214" t="str">
            <v>Sales - % New Zealand</v>
          </cell>
          <cell r="C214" t="str">
            <v>SALES_NZ</v>
          </cell>
          <cell r="F214"/>
          <cell r="G214"/>
          <cell r="H214"/>
          <cell r="I214"/>
          <cell r="J214"/>
          <cell r="K214"/>
          <cell r="L214"/>
          <cell r="M214"/>
          <cell r="N214"/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  <cell r="Y214"/>
          <cell r="Z214"/>
          <cell r="AA214"/>
          <cell r="AB214"/>
          <cell r="AC214"/>
          <cell r="AD214"/>
          <cell r="AE214"/>
          <cell r="AF214"/>
          <cell r="AG214"/>
          <cell r="AH214"/>
          <cell r="AI214"/>
          <cell r="AJ214"/>
          <cell r="AK214"/>
          <cell r="AL214"/>
          <cell r="AM214"/>
          <cell r="AN214"/>
          <cell r="AO214"/>
          <cell r="AP214"/>
          <cell r="AQ214"/>
          <cell r="AR214"/>
          <cell r="AS214"/>
          <cell r="AT214"/>
          <cell r="AU214"/>
          <cell r="AV214"/>
          <cell r="AW214"/>
          <cell r="AX214"/>
          <cell r="AY214"/>
          <cell r="AZ214"/>
          <cell r="BA214"/>
          <cell r="BB214"/>
          <cell r="BC214"/>
          <cell r="BD214"/>
          <cell r="BE214"/>
          <cell r="BF214"/>
          <cell r="BG214"/>
          <cell r="BH214"/>
          <cell r="BI214"/>
          <cell r="BJ214"/>
          <cell r="BK214"/>
          <cell r="BL214"/>
          <cell r="BM214"/>
          <cell r="BN214"/>
          <cell r="BO214"/>
          <cell r="BP214"/>
          <cell r="BQ214"/>
          <cell r="BR214"/>
          <cell r="BS214"/>
          <cell r="BT214"/>
          <cell r="BU214"/>
          <cell r="BV214"/>
          <cell r="BW214"/>
          <cell r="BX214"/>
          <cell r="BY214"/>
          <cell r="BZ214"/>
          <cell r="CA214"/>
          <cell r="CB214"/>
        </row>
        <row r="215">
          <cell r="B215" t="str">
            <v>Sales - % Others</v>
          </cell>
          <cell r="C215" t="str">
            <v>SALES_OTHER</v>
          </cell>
          <cell r="F215"/>
          <cell r="G215"/>
          <cell r="H215"/>
          <cell r="I215"/>
          <cell r="J215"/>
          <cell r="K215"/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C215"/>
          <cell r="AD215"/>
          <cell r="AE215"/>
          <cell r="AF215"/>
          <cell r="AG215"/>
          <cell r="AH215"/>
          <cell r="AI215"/>
          <cell r="AJ215"/>
          <cell r="AK215"/>
          <cell r="AL215"/>
          <cell r="AM215"/>
          <cell r="AN215"/>
          <cell r="AO215"/>
          <cell r="AP215"/>
          <cell r="AQ215"/>
          <cell r="AR215"/>
          <cell r="AS215"/>
          <cell r="AT215"/>
          <cell r="AU215"/>
          <cell r="AV215"/>
          <cell r="AW215"/>
          <cell r="AX215"/>
          <cell r="AY215"/>
          <cell r="AZ215"/>
          <cell r="BA215"/>
          <cell r="BB215"/>
          <cell r="BC215"/>
          <cell r="BD215"/>
          <cell r="BE215"/>
          <cell r="BF215"/>
          <cell r="BG215"/>
          <cell r="BH215"/>
          <cell r="BI215"/>
          <cell r="BJ215"/>
          <cell r="BK215"/>
          <cell r="BL215"/>
          <cell r="BM215"/>
          <cell r="BN215"/>
          <cell r="BO215"/>
          <cell r="BP215"/>
          <cell r="BQ215"/>
          <cell r="BR215"/>
          <cell r="BS215"/>
          <cell r="BT215"/>
          <cell r="BU215"/>
          <cell r="BV215"/>
          <cell r="BW215"/>
          <cell r="BX215"/>
          <cell r="BY215"/>
          <cell r="BZ215"/>
          <cell r="CA215"/>
          <cell r="CB215"/>
        </row>
        <row r="216">
          <cell r="B216" t="str">
            <v>% of CoGS from U.S. (GS estimate)</v>
          </cell>
          <cell r="C216" t="str">
            <v>COGS_PCT_US</v>
          </cell>
          <cell r="F216"/>
          <cell r="G216"/>
          <cell r="H216"/>
          <cell r="I216"/>
          <cell r="J216"/>
          <cell r="K216"/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C216"/>
          <cell r="AD216"/>
          <cell r="AE216"/>
          <cell r="AF216"/>
          <cell r="AG216"/>
          <cell r="AH216"/>
          <cell r="AI216">
            <v>1</v>
          </cell>
          <cell r="AJ216"/>
          <cell r="AK216"/>
          <cell r="AL216"/>
          <cell r="AM216"/>
          <cell r="AN216">
            <v>1</v>
          </cell>
          <cell r="AO216"/>
          <cell r="AP216"/>
          <cell r="AQ216"/>
          <cell r="AR216"/>
          <cell r="AS216">
            <v>1</v>
          </cell>
          <cell r="AT216"/>
          <cell r="AU216"/>
          <cell r="AV216"/>
          <cell r="AW216"/>
          <cell r="AX216">
            <v>1</v>
          </cell>
          <cell r="AY216"/>
          <cell r="AZ216"/>
          <cell r="BA216"/>
          <cell r="BB216"/>
          <cell r="BC216">
            <v>1</v>
          </cell>
          <cell r="BD216"/>
          <cell r="BE216"/>
          <cell r="BF216"/>
          <cell r="BG216"/>
          <cell r="BH216"/>
          <cell r="BI216"/>
          <cell r="BJ216"/>
          <cell r="BK216"/>
          <cell r="BL216"/>
          <cell r="BM216"/>
          <cell r="BN216"/>
          <cell r="BO216"/>
          <cell r="BP216"/>
          <cell r="BQ216"/>
          <cell r="BR216"/>
          <cell r="BS216"/>
          <cell r="BT216"/>
          <cell r="BU216"/>
          <cell r="BV216"/>
          <cell r="BW216"/>
          <cell r="BX216"/>
          <cell r="BY216"/>
          <cell r="BZ216"/>
          <cell r="CA216"/>
          <cell r="CB216"/>
        </row>
        <row r="217">
          <cell r="B217" t="str">
            <v>% of CoGS from non-U.S. (GS estimate)</v>
          </cell>
          <cell r="C217" t="str">
            <v>COGS_PCT_ROW</v>
          </cell>
          <cell r="F217"/>
          <cell r="G217"/>
          <cell r="H217"/>
          <cell r="I217"/>
          <cell r="J217"/>
          <cell r="K217"/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C217"/>
          <cell r="AD217"/>
          <cell r="AE217"/>
          <cell r="AF217"/>
          <cell r="AG217"/>
          <cell r="AH217"/>
          <cell r="AI217">
            <v>0</v>
          </cell>
          <cell r="AJ217"/>
          <cell r="AK217"/>
          <cell r="AL217"/>
          <cell r="AM217"/>
          <cell r="AN217">
            <v>0</v>
          </cell>
          <cell r="AO217"/>
          <cell r="AP217"/>
          <cell r="AQ217"/>
          <cell r="AR217"/>
          <cell r="AS217">
            <v>0</v>
          </cell>
          <cell r="AT217"/>
          <cell r="AU217"/>
          <cell r="AV217"/>
          <cell r="AW217"/>
          <cell r="AX217">
            <v>0</v>
          </cell>
          <cell r="AY217"/>
          <cell r="AZ217"/>
          <cell r="BA217"/>
          <cell r="BB217"/>
          <cell r="BC217">
            <v>0</v>
          </cell>
          <cell r="BD217"/>
          <cell r="BE217"/>
          <cell r="BF217"/>
          <cell r="BG217"/>
          <cell r="BH217"/>
          <cell r="BI217"/>
          <cell r="BJ217"/>
          <cell r="BK217"/>
          <cell r="BL217"/>
          <cell r="BM217"/>
          <cell r="BN217"/>
          <cell r="BO217"/>
          <cell r="BP217"/>
          <cell r="BQ217"/>
          <cell r="BR217"/>
          <cell r="BS217"/>
          <cell r="BT217"/>
          <cell r="BU217"/>
          <cell r="BV217"/>
          <cell r="BW217"/>
          <cell r="BX217"/>
          <cell r="BY217"/>
          <cell r="BZ217"/>
          <cell r="CA217"/>
          <cell r="CB217"/>
        </row>
        <row r="218">
          <cell r="B218" t="str">
            <v>% of SG&amp;A from U.S. (GS estimate)</v>
          </cell>
          <cell r="C218" t="str">
            <v>SGA_PCT_US</v>
          </cell>
          <cell r="F218"/>
          <cell r="G218"/>
          <cell r="H218"/>
          <cell r="I218"/>
          <cell r="J218"/>
          <cell r="K218"/>
          <cell r="L218"/>
          <cell r="M218"/>
          <cell r="N218"/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C218"/>
          <cell r="AD218"/>
          <cell r="AE218"/>
          <cell r="AF218"/>
          <cell r="AG218"/>
          <cell r="AH218"/>
          <cell r="AI218">
            <v>1</v>
          </cell>
          <cell r="AJ218"/>
          <cell r="AK218"/>
          <cell r="AL218"/>
          <cell r="AM218"/>
          <cell r="AN218">
            <v>1</v>
          </cell>
          <cell r="AO218"/>
          <cell r="AP218"/>
          <cell r="AQ218"/>
          <cell r="AR218"/>
          <cell r="AS218">
            <v>1</v>
          </cell>
          <cell r="AT218"/>
          <cell r="AU218"/>
          <cell r="AV218"/>
          <cell r="AW218"/>
          <cell r="AX218">
            <v>1</v>
          </cell>
          <cell r="AY218"/>
          <cell r="AZ218"/>
          <cell r="BA218"/>
          <cell r="BB218"/>
          <cell r="BC218">
            <v>1</v>
          </cell>
          <cell r="BD218"/>
          <cell r="BE218"/>
          <cell r="BF218"/>
          <cell r="BG218"/>
          <cell r="BH218"/>
          <cell r="BI218"/>
          <cell r="BJ218"/>
          <cell r="BK218"/>
          <cell r="BL218"/>
          <cell r="BM218"/>
          <cell r="BN218"/>
          <cell r="BO218"/>
          <cell r="BP218"/>
          <cell r="BQ218"/>
          <cell r="BR218"/>
          <cell r="BS218"/>
          <cell r="BT218"/>
          <cell r="BU218"/>
          <cell r="BV218"/>
          <cell r="BW218"/>
          <cell r="BX218"/>
          <cell r="BY218"/>
          <cell r="BZ218"/>
          <cell r="CA218"/>
          <cell r="CB218"/>
        </row>
        <row r="219">
          <cell r="B219" t="str">
            <v>% of SG&amp;A from non-U.S. (GS estimate)</v>
          </cell>
          <cell r="C219" t="str">
            <v>SGA_PCT_ROW</v>
          </cell>
          <cell r="F219"/>
          <cell r="G219"/>
          <cell r="H219"/>
          <cell r="I219"/>
          <cell r="J219"/>
          <cell r="K219"/>
          <cell r="L219"/>
          <cell r="M219"/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C219"/>
          <cell r="AD219"/>
          <cell r="AE219"/>
          <cell r="AF219"/>
          <cell r="AG219"/>
          <cell r="AH219"/>
          <cell r="AI219">
            <v>0</v>
          </cell>
          <cell r="AJ219"/>
          <cell r="AK219"/>
          <cell r="AL219"/>
          <cell r="AM219"/>
          <cell r="AN219">
            <v>0</v>
          </cell>
          <cell r="AO219"/>
          <cell r="AP219"/>
          <cell r="AQ219"/>
          <cell r="AR219"/>
          <cell r="AS219">
            <v>0</v>
          </cell>
          <cell r="AT219"/>
          <cell r="AU219"/>
          <cell r="AV219"/>
          <cell r="AW219"/>
          <cell r="AX219">
            <v>0</v>
          </cell>
          <cell r="AY219"/>
          <cell r="AZ219"/>
          <cell r="BA219"/>
          <cell r="BB219"/>
          <cell r="BC219">
            <v>0</v>
          </cell>
          <cell r="BD219"/>
          <cell r="BE219"/>
          <cell r="BF219"/>
          <cell r="BG219"/>
          <cell r="BH219"/>
          <cell r="BI219"/>
          <cell r="BJ219"/>
          <cell r="BK219"/>
          <cell r="BL219"/>
          <cell r="BM219"/>
          <cell r="BN219"/>
          <cell r="BO219"/>
          <cell r="BP219"/>
          <cell r="BQ219"/>
          <cell r="BR219"/>
          <cell r="BS219"/>
          <cell r="BT219"/>
          <cell r="BU219"/>
          <cell r="BV219"/>
          <cell r="BW219"/>
          <cell r="BX219"/>
          <cell r="BY219"/>
          <cell r="BZ219"/>
          <cell r="CA219"/>
          <cell r="CB219"/>
        </row>
        <row r="220">
          <cell r="B220" t="str">
            <v>Sales -% Consumer (C)</v>
          </cell>
          <cell r="C220" t="str">
            <v>SALES_CONS</v>
          </cell>
          <cell r="F220"/>
          <cell r="G220"/>
          <cell r="H220"/>
          <cell r="I220"/>
          <cell r="J220"/>
          <cell r="K220"/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C220"/>
          <cell r="AD220"/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/>
          <cell r="AP220"/>
          <cell r="AQ220"/>
          <cell r="AR220"/>
          <cell r="AS220">
            <v>0</v>
          </cell>
          <cell r="AT220"/>
          <cell r="AU220"/>
          <cell r="AV220"/>
          <cell r="AW220"/>
          <cell r="AX220">
            <v>0</v>
          </cell>
          <cell r="AY220"/>
          <cell r="AZ220"/>
          <cell r="BA220"/>
          <cell r="BB220"/>
          <cell r="BC220">
            <v>0</v>
          </cell>
          <cell r="BD220"/>
          <cell r="BE220"/>
          <cell r="BF220"/>
          <cell r="BG220"/>
          <cell r="BH220"/>
          <cell r="BI220"/>
          <cell r="BJ220"/>
          <cell r="BK220"/>
          <cell r="BL220"/>
          <cell r="BM220"/>
          <cell r="BN220"/>
          <cell r="BO220"/>
          <cell r="BP220"/>
          <cell r="BQ220"/>
          <cell r="BR220"/>
          <cell r="BS220"/>
          <cell r="BT220"/>
          <cell r="BU220"/>
          <cell r="BV220"/>
          <cell r="BW220"/>
          <cell r="BX220"/>
          <cell r="BY220"/>
          <cell r="BZ220"/>
          <cell r="CA220"/>
          <cell r="CB220"/>
        </row>
        <row r="221">
          <cell r="B221" t="str">
            <v>Sales -% Industry (I)</v>
          </cell>
          <cell r="C221" t="str">
            <v>SALES_IND</v>
          </cell>
          <cell r="F221"/>
          <cell r="G221"/>
          <cell r="H221"/>
          <cell r="I221"/>
          <cell r="J221"/>
          <cell r="K221"/>
          <cell r="L221"/>
          <cell r="M221"/>
          <cell r="N221"/>
          <cell r="O221"/>
          <cell r="P221"/>
          <cell r="Q221"/>
          <cell r="R221"/>
          <cell r="S221"/>
          <cell r="T221"/>
          <cell r="U221"/>
          <cell r="V221"/>
          <cell r="W221"/>
          <cell r="X221"/>
          <cell r="Y221"/>
          <cell r="Z221"/>
          <cell r="AA221"/>
          <cell r="AB221"/>
          <cell r="AC221"/>
          <cell r="AD221"/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0.7</v>
          </cell>
          <cell r="AJ221">
            <v>0.7</v>
          </cell>
          <cell r="AK221">
            <v>0.7</v>
          </cell>
          <cell r="AL221">
            <v>0.7</v>
          </cell>
          <cell r="AM221">
            <v>0.7</v>
          </cell>
          <cell r="AN221">
            <v>0.7</v>
          </cell>
          <cell r="AO221"/>
          <cell r="AP221"/>
          <cell r="AQ221"/>
          <cell r="AR221"/>
          <cell r="AS221">
            <v>0</v>
          </cell>
          <cell r="AT221"/>
          <cell r="AU221"/>
          <cell r="AV221"/>
          <cell r="AW221"/>
          <cell r="AX221">
            <v>0</v>
          </cell>
          <cell r="AY221"/>
          <cell r="AZ221"/>
          <cell r="BA221"/>
          <cell r="BB221"/>
          <cell r="BC221">
            <v>0</v>
          </cell>
          <cell r="BD221"/>
          <cell r="BE221"/>
          <cell r="BF221"/>
          <cell r="BG221"/>
          <cell r="BH221"/>
          <cell r="BI221"/>
          <cell r="BJ221"/>
          <cell r="BK221"/>
          <cell r="BL221"/>
          <cell r="BM221"/>
          <cell r="BN221"/>
          <cell r="BO221"/>
          <cell r="BP221"/>
          <cell r="BQ221"/>
          <cell r="BR221"/>
          <cell r="BS221"/>
          <cell r="BT221"/>
          <cell r="BU221"/>
          <cell r="BV221"/>
          <cell r="BW221"/>
          <cell r="BX221"/>
          <cell r="BY221"/>
          <cell r="BZ221"/>
          <cell r="CA221"/>
          <cell r="CB221"/>
        </row>
        <row r="222">
          <cell r="B222" t="str">
            <v>Sales -% Government (G)</v>
          </cell>
          <cell r="C222" t="str">
            <v>SALES_GOV</v>
          </cell>
          <cell r="F222"/>
          <cell r="G222"/>
          <cell r="H222"/>
          <cell r="I222"/>
          <cell r="J222"/>
          <cell r="K222"/>
          <cell r="L222"/>
          <cell r="M222"/>
          <cell r="N222"/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B222"/>
          <cell r="AC222"/>
          <cell r="AD222"/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0.2</v>
          </cell>
          <cell r="AJ222">
            <v>0.2</v>
          </cell>
          <cell r="AK222">
            <v>0.2</v>
          </cell>
          <cell r="AL222">
            <v>0.2</v>
          </cell>
          <cell r="AM222">
            <v>0.2</v>
          </cell>
          <cell r="AN222">
            <v>0.2</v>
          </cell>
          <cell r="AO222"/>
          <cell r="AP222"/>
          <cell r="AQ222"/>
          <cell r="AR222"/>
          <cell r="AS222">
            <v>0</v>
          </cell>
          <cell r="AT222"/>
          <cell r="AU222"/>
          <cell r="AV222"/>
          <cell r="AW222"/>
          <cell r="AX222">
            <v>0</v>
          </cell>
          <cell r="AY222"/>
          <cell r="AZ222"/>
          <cell r="BA222"/>
          <cell r="BB222"/>
          <cell r="BC222">
            <v>0</v>
          </cell>
          <cell r="BD222"/>
          <cell r="BE222"/>
          <cell r="BF222"/>
          <cell r="BG222"/>
          <cell r="BH222"/>
          <cell r="BI222"/>
          <cell r="BJ222"/>
          <cell r="BK222"/>
          <cell r="BL222"/>
          <cell r="BM222"/>
          <cell r="BN222"/>
          <cell r="BO222"/>
          <cell r="BP222"/>
          <cell r="BQ222"/>
          <cell r="BR222"/>
          <cell r="BS222"/>
          <cell r="BT222"/>
          <cell r="BU222"/>
          <cell r="BV222"/>
          <cell r="BW222"/>
          <cell r="BX222"/>
          <cell r="BY222"/>
          <cell r="BZ222"/>
          <cell r="CA222"/>
          <cell r="CB222"/>
        </row>
        <row r="223">
          <cell r="B223" t="str">
            <v>Sales - % Industry Sub-Segment: Financial Services</v>
          </cell>
          <cell r="C223" t="str">
            <v>SALES_FINAN</v>
          </cell>
          <cell r="F223"/>
          <cell r="G223"/>
          <cell r="H223"/>
          <cell r="I223"/>
          <cell r="J223"/>
          <cell r="K223"/>
          <cell r="L223"/>
          <cell r="M223"/>
          <cell r="N223"/>
          <cell r="O223"/>
          <cell r="P223"/>
          <cell r="Q223"/>
          <cell r="R223"/>
          <cell r="S223"/>
          <cell r="T223"/>
          <cell r="U223"/>
          <cell r="V223"/>
          <cell r="W223"/>
          <cell r="X223"/>
          <cell r="Y223"/>
          <cell r="Z223"/>
          <cell r="AA223"/>
          <cell r="AB223"/>
          <cell r="AC223"/>
          <cell r="AD223"/>
          <cell r="AE223"/>
          <cell r="AF223"/>
          <cell r="AG223"/>
          <cell r="AH223"/>
          <cell r="AI223">
            <v>0.1</v>
          </cell>
          <cell r="AJ223"/>
          <cell r="AK223"/>
          <cell r="AL223"/>
          <cell r="AM223"/>
          <cell r="AN223">
            <v>0.1</v>
          </cell>
          <cell r="AO223"/>
          <cell r="AP223"/>
          <cell r="AQ223"/>
          <cell r="AR223"/>
          <cell r="AS223">
            <v>0.1</v>
          </cell>
          <cell r="AT223"/>
          <cell r="AU223"/>
          <cell r="AV223"/>
          <cell r="AW223"/>
          <cell r="AX223">
            <v>0.1</v>
          </cell>
          <cell r="AY223"/>
          <cell r="AZ223"/>
          <cell r="BA223"/>
          <cell r="BB223"/>
          <cell r="BC223">
            <v>0.1</v>
          </cell>
          <cell r="BD223"/>
          <cell r="BE223"/>
          <cell r="BF223"/>
          <cell r="BG223"/>
          <cell r="BH223"/>
          <cell r="BI223"/>
          <cell r="BJ223"/>
          <cell r="BK223"/>
          <cell r="BL223"/>
          <cell r="BM223"/>
          <cell r="BN223"/>
          <cell r="BO223"/>
          <cell r="BP223"/>
          <cell r="BQ223"/>
          <cell r="BR223"/>
          <cell r="BS223"/>
          <cell r="BT223"/>
          <cell r="BU223"/>
          <cell r="BV223"/>
          <cell r="BW223"/>
          <cell r="BX223"/>
          <cell r="BY223"/>
          <cell r="BZ223"/>
          <cell r="CA223"/>
          <cell r="CB223"/>
        </row>
        <row r="224">
          <cell r="B224" t="str">
            <v>Sales - % Industry Sub-Segment: Oil &amp; Gas</v>
          </cell>
          <cell r="C224" t="str">
            <v>SALES_OIL_GAS</v>
          </cell>
          <cell r="F224"/>
          <cell r="G224"/>
          <cell r="H224"/>
          <cell r="I224"/>
          <cell r="J224"/>
          <cell r="K224"/>
          <cell r="L224"/>
          <cell r="M224"/>
          <cell r="N224"/>
          <cell r="O224"/>
          <cell r="P224"/>
          <cell r="Q224"/>
          <cell r="R224"/>
          <cell r="S224"/>
          <cell r="T224"/>
          <cell r="U224"/>
          <cell r="V224"/>
          <cell r="W224"/>
          <cell r="X224"/>
          <cell r="Y224"/>
          <cell r="Z224"/>
          <cell r="AA224"/>
          <cell r="AB224"/>
          <cell r="AC224"/>
          <cell r="AD224"/>
          <cell r="AE224"/>
          <cell r="AF224"/>
          <cell r="AG224"/>
          <cell r="AH224"/>
          <cell r="AI224">
            <v>0</v>
          </cell>
          <cell r="AJ224"/>
          <cell r="AK224"/>
          <cell r="AL224"/>
          <cell r="AM224"/>
          <cell r="AN224">
            <v>0</v>
          </cell>
          <cell r="AO224"/>
          <cell r="AP224"/>
          <cell r="AQ224"/>
          <cell r="AR224"/>
          <cell r="AS224">
            <v>0</v>
          </cell>
          <cell r="AT224"/>
          <cell r="AU224"/>
          <cell r="AV224"/>
          <cell r="AW224"/>
          <cell r="AX224">
            <v>0</v>
          </cell>
          <cell r="AY224"/>
          <cell r="AZ224"/>
          <cell r="BA224"/>
          <cell r="BB224"/>
          <cell r="BC224">
            <v>0</v>
          </cell>
          <cell r="BD224"/>
          <cell r="BE224"/>
          <cell r="BF224"/>
          <cell r="BG224"/>
          <cell r="BH224"/>
          <cell r="BI224"/>
          <cell r="BJ224"/>
          <cell r="BK224"/>
          <cell r="BL224"/>
          <cell r="BM224"/>
          <cell r="BN224"/>
          <cell r="BO224"/>
          <cell r="BP224"/>
          <cell r="BQ224"/>
          <cell r="BR224"/>
          <cell r="BS224"/>
          <cell r="BT224"/>
          <cell r="BU224"/>
          <cell r="BV224"/>
          <cell r="BW224"/>
          <cell r="BX224"/>
          <cell r="BY224"/>
          <cell r="BZ224"/>
          <cell r="CA224"/>
          <cell r="CB224"/>
        </row>
        <row r="225">
          <cell r="B225" t="str">
            <v>Sales (%) SMB</v>
          </cell>
          <cell r="C225" t="str">
            <v>SALES_SMB</v>
          </cell>
          <cell r="F225"/>
          <cell r="G225"/>
          <cell r="H225"/>
          <cell r="I225"/>
          <cell r="J225"/>
          <cell r="K225"/>
          <cell r="L225"/>
          <cell r="M225"/>
          <cell r="N225"/>
          <cell r="O225"/>
          <cell r="P225"/>
          <cell r="Q225"/>
          <cell r="R225"/>
          <cell r="S225"/>
          <cell r="T225"/>
          <cell r="U225"/>
          <cell r="V225"/>
          <cell r="W225"/>
          <cell r="X225"/>
          <cell r="Y225"/>
          <cell r="Z225"/>
          <cell r="AA225"/>
          <cell r="AB225"/>
          <cell r="AC225"/>
          <cell r="AD225"/>
          <cell r="AE225"/>
          <cell r="AF225"/>
          <cell r="AG225"/>
          <cell r="AH225"/>
          <cell r="AI225">
            <v>0</v>
          </cell>
          <cell r="AJ225"/>
          <cell r="AK225"/>
          <cell r="AL225"/>
          <cell r="AM225"/>
          <cell r="AN225">
            <v>0</v>
          </cell>
          <cell r="AO225"/>
          <cell r="AP225"/>
          <cell r="AQ225"/>
          <cell r="AR225"/>
          <cell r="AS225">
            <v>0</v>
          </cell>
          <cell r="AT225"/>
          <cell r="AU225"/>
          <cell r="AV225"/>
          <cell r="AW225"/>
          <cell r="AX225">
            <v>0</v>
          </cell>
          <cell r="AY225"/>
          <cell r="AZ225"/>
          <cell r="BA225"/>
          <cell r="BB225"/>
          <cell r="BC225">
            <v>0</v>
          </cell>
          <cell r="BD225"/>
          <cell r="BE225"/>
          <cell r="BF225"/>
          <cell r="BG225"/>
          <cell r="BH225"/>
          <cell r="BI225"/>
          <cell r="BJ225"/>
          <cell r="BK225"/>
          <cell r="BL225"/>
          <cell r="BM225"/>
          <cell r="BN225"/>
          <cell r="BO225"/>
          <cell r="BP225"/>
          <cell r="BQ225"/>
          <cell r="BR225"/>
          <cell r="BS225"/>
          <cell r="BT225"/>
          <cell r="BU225"/>
          <cell r="BV225"/>
          <cell r="BW225"/>
          <cell r="BX225"/>
          <cell r="BY225"/>
          <cell r="BZ225"/>
          <cell r="CA225"/>
          <cell r="CB225"/>
        </row>
        <row r="226">
          <cell r="B226" t="str">
            <v>% of total cash balance held overseas (outside the US)</v>
          </cell>
          <cell r="C226" t="str">
            <v>CASH_PCT_OS_US</v>
          </cell>
          <cell r="F226"/>
          <cell r="G226"/>
          <cell r="H226"/>
          <cell r="I226"/>
          <cell r="J226"/>
          <cell r="K226"/>
          <cell r="L226"/>
          <cell r="M226"/>
          <cell r="N226"/>
          <cell r="O226"/>
          <cell r="P226"/>
          <cell r="Q226"/>
          <cell r="R226"/>
          <cell r="S226"/>
          <cell r="T226"/>
          <cell r="U226"/>
          <cell r="V226"/>
          <cell r="W226"/>
          <cell r="X226"/>
          <cell r="Y226"/>
          <cell r="Z226"/>
          <cell r="AA226"/>
          <cell r="AB226"/>
          <cell r="AC226"/>
          <cell r="AD226"/>
          <cell r="AE226"/>
          <cell r="AF226"/>
          <cell r="AG226"/>
          <cell r="AH226"/>
          <cell r="AI226"/>
          <cell r="AJ226"/>
          <cell r="AK226"/>
          <cell r="AL226"/>
          <cell r="AM226"/>
          <cell r="AN226"/>
          <cell r="AO226"/>
          <cell r="AP226"/>
          <cell r="AQ226"/>
          <cell r="AR226"/>
          <cell r="AS226">
            <v>0</v>
          </cell>
          <cell r="AT226"/>
          <cell r="AU226"/>
          <cell r="AV226"/>
          <cell r="AW226"/>
          <cell r="AX226">
            <v>0</v>
          </cell>
          <cell r="AY226"/>
          <cell r="AZ226"/>
          <cell r="BA226"/>
          <cell r="BB226"/>
          <cell r="BC226">
            <v>0</v>
          </cell>
          <cell r="BD226"/>
          <cell r="BE226"/>
          <cell r="BF226"/>
          <cell r="BG226"/>
          <cell r="BH226"/>
          <cell r="BI226"/>
          <cell r="BJ226"/>
          <cell r="BK226"/>
          <cell r="BL226"/>
          <cell r="BM226"/>
          <cell r="BN226"/>
          <cell r="BO226"/>
          <cell r="BP226"/>
          <cell r="BQ226"/>
          <cell r="BR226"/>
          <cell r="BS226"/>
          <cell r="BT226"/>
          <cell r="BU226"/>
          <cell r="BV226"/>
          <cell r="BW226"/>
          <cell r="BX226"/>
          <cell r="BY226"/>
          <cell r="BZ226"/>
          <cell r="CA226"/>
          <cell r="CB226"/>
        </row>
        <row r="227">
          <cell r="B227" t="str">
            <v>Sales - % from Captive Financing Business</v>
          </cell>
          <cell r="C227" t="str">
            <v>REV_FIN_SEGMENT</v>
          </cell>
          <cell r="F227"/>
          <cell r="G227"/>
          <cell r="H227"/>
          <cell r="I227"/>
          <cell r="J227"/>
          <cell r="K227"/>
          <cell r="L227"/>
          <cell r="M227"/>
          <cell r="N227"/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B227"/>
          <cell r="AC227"/>
          <cell r="AD227"/>
          <cell r="AE227"/>
          <cell r="AF227"/>
          <cell r="AG227"/>
          <cell r="AH227"/>
          <cell r="AI227"/>
          <cell r="AJ227"/>
          <cell r="AK227"/>
          <cell r="AL227"/>
          <cell r="AM227"/>
          <cell r="AN227"/>
          <cell r="AO227"/>
          <cell r="AP227"/>
          <cell r="AQ227"/>
          <cell r="AR227"/>
          <cell r="AS227"/>
          <cell r="AT227"/>
          <cell r="AU227"/>
          <cell r="AV227"/>
          <cell r="AW227"/>
          <cell r="AX227"/>
          <cell r="AY227"/>
          <cell r="AZ227"/>
          <cell r="BA227"/>
          <cell r="BB227"/>
          <cell r="BC227"/>
          <cell r="BD227"/>
          <cell r="BE227"/>
          <cell r="BF227"/>
          <cell r="BG227"/>
          <cell r="BH227"/>
          <cell r="BI227"/>
          <cell r="BJ227"/>
          <cell r="BK227"/>
          <cell r="BL227"/>
          <cell r="BM227"/>
          <cell r="BN227"/>
          <cell r="BO227"/>
          <cell r="BP227"/>
          <cell r="BQ227"/>
          <cell r="BR227"/>
          <cell r="BS227"/>
          <cell r="BT227"/>
          <cell r="BU227"/>
          <cell r="BV227"/>
          <cell r="BW227"/>
          <cell r="BX227"/>
          <cell r="BY227"/>
          <cell r="BZ227"/>
          <cell r="CA227"/>
          <cell r="CB227"/>
        </row>
        <row r="228">
          <cell r="B228" t="str">
            <v>Operating Earnings - % from Captive Financing Business</v>
          </cell>
          <cell r="C228" t="str">
            <v>EBIT_FIN_SEGMENT</v>
          </cell>
          <cell r="F228"/>
          <cell r="G228"/>
          <cell r="H228"/>
          <cell r="I228"/>
          <cell r="J228"/>
          <cell r="K228"/>
          <cell r="L228"/>
          <cell r="M228"/>
          <cell r="N228"/>
          <cell r="O228"/>
          <cell r="P228"/>
          <cell r="Q228"/>
          <cell r="R228"/>
          <cell r="S228"/>
          <cell r="T228"/>
          <cell r="U228"/>
          <cell r="V228"/>
          <cell r="W228"/>
          <cell r="X228"/>
          <cell r="Y228"/>
          <cell r="Z228"/>
          <cell r="AA228"/>
          <cell r="AB228"/>
          <cell r="AC228"/>
          <cell r="AD228"/>
          <cell r="AE228"/>
          <cell r="AF228"/>
          <cell r="AG228"/>
          <cell r="AH228"/>
          <cell r="AI228"/>
          <cell r="AJ228"/>
          <cell r="AK228"/>
          <cell r="AL228"/>
          <cell r="AM228"/>
          <cell r="AN228"/>
          <cell r="AO228"/>
          <cell r="AP228"/>
          <cell r="AQ228"/>
          <cell r="AR228"/>
          <cell r="AS228"/>
          <cell r="AT228"/>
          <cell r="AU228"/>
          <cell r="AV228"/>
          <cell r="AW228"/>
          <cell r="AX228"/>
          <cell r="AY228"/>
          <cell r="AZ228"/>
          <cell r="BA228"/>
          <cell r="BB228"/>
          <cell r="BC228"/>
          <cell r="BD228"/>
          <cell r="BE228"/>
          <cell r="BF228"/>
          <cell r="BG228"/>
          <cell r="BH228"/>
          <cell r="BI228"/>
          <cell r="BJ228"/>
          <cell r="BK228"/>
          <cell r="BL228"/>
          <cell r="BM228"/>
          <cell r="BN228"/>
          <cell r="BO228"/>
          <cell r="BP228"/>
          <cell r="BQ228"/>
          <cell r="BR228"/>
          <cell r="BS228"/>
          <cell r="BT228"/>
          <cell r="BU228"/>
          <cell r="BV228"/>
          <cell r="BW228"/>
          <cell r="BX228"/>
          <cell r="BY228"/>
          <cell r="BZ228"/>
          <cell r="CA228"/>
          <cell r="CB228"/>
        </row>
        <row r="229">
          <cell r="A229" t="str">
            <v>Commodities Exposure - Expense</v>
          </cell>
          <cell r="B229"/>
          <cell r="C229"/>
          <cell r="D229"/>
        </row>
        <row r="230">
          <cell r="B230" t="str">
            <v>Expense - % Oil/Petrol/Fuel</v>
          </cell>
          <cell r="C230" t="str">
            <v>EXP_OIL_PETRO_FUEL</v>
          </cell>
          <cell r="F230"/>
          <cell r="G230"/>
          <cell r="H230"/>
          <cell r="I230"/>
          <cell r="J230"/>
          <cell r="K230"/>
          <cell r="L230"/>
          <cell r="M230"/>
          <cell r="N230"/>
          <cell r="O230"/>
          <cell r="P230"/>
          <cell r="Q230"/>
          <cell r="R230"/>
          <cell r="S230"/>
          <cell r="T230"/>
          <cell r="U230"/>
          <cell r="V230"/>
          <cell r="W230"/>
          <cell r="X230"/>
          <cell r="Y230"/>
          <cell r="Z230"/>
          <cell r="AA230"/>
          <cell r="AB230"/>
          <cell r="AC230"/>
          <cell r="AD230"/>
          <cell r="AE230"/>
          <cell r="AF230"/>
          <cell r="AG230"/>
          <cell r="AH230"/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/>
          <cell r="AZ230"/>
          <cell r="BA230"/>
          <cell r="BB230"/>
          <cell r="BC230">
            <v>0</v>
          </cell>
          <cell r="BD230"/>
          <cell r="BE230"/>
          <cell r="BF230"/>
          <cell r="BG230"/>
          <cell r="BH230"/>
          <cell r="BI230"/>
          <cell r="BJ230"/>
          <cell r="BK230"/>
          <cell r="BL230"/>
          <cell r="BM230"/>
          <cell r="BN230"/>
          <cell r="BO230"/>
          <cell r="BP230"/>
          <cell r="BQ230"/>
          <cell r="BR230"/>
          <cell r="BS230"/>
          <cell r="BT230"/>
          <cell r="BU230"/>
          <cell r="BV230"/>
          <cell r="BW230"/>
          <cell r="BX230"/>
          <cell r="BY230"/>
          <cell r="BZ230"/>
          <cell r="CA230"/>
          <cell r="CB230"/>
        </row>
        <row r="231">
          <cell r="B231" t="str">
            <v>Expense - % Oil derivatives/NGLs/plastics</v>
          </cell>
          <cell r="C231" t="str">
            <v>EXP_OIL_DERIV_NGLS_PLASTICS</v>
          </cell>
          <cell r="F231"/>
          <cell r="G231"/>
          <cell r="H231"/>
          <cell r="I231"/>
          <cell r="J231"/>
          <cell r="K231"/>
          <cell r="L231"/>
          <cell r="M231"/>
          <cell r="N231"/>
          <cell r="O231"/>
          <cell r="P231"/>
          <cell r="Q231"/>
          <cell r="R231"/>
          <cell r="S231"/>
          <cell r="T231"/>
          <cell r="U231"/>
          <cell r="V231"/>
          <cell r="W231"/>
          <cell r="X231"/>
          <cell r="Y231"/>
          <cell r="Z231"/>
          <cell r="AA231"/>
          <cell r="AB231"/>
          <cell r="AC231"/>
          <cell r="AD231"/>
          <cell r="AE231"/>
          <cell r="AF231"/>
          <cell r="AG231"/>
          <cell r="AH231"/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/>
          <cell r="AZ231"/>
          <cell r="BA231"/>
          <cell r="BB231"/>
          <cell r="BC231">
            <v>0</v>
          </cell>
          <cell r="BD231"/>
          <cell r="BE231"/>
          <cell r="BF231"/>
          <cell r="BG231"/>
          <cell r="BH231"/>
          <cell r="BI231"/>
          <cell r="BJ231"/>
          <cell r="BK231"/>
          <cell r="BL231"/>
          <cell r="BM231"/>
          <cell r="BN231"/>
          <cell r="BO231"/>
          <cell r="BP231"/>
          <cell r="BQ231"/>
          <cell r="BR231"/>
          <cell r="BS231"/>
          <cell r="BT231"/>
          <cell r="BU231"/>
          <cell r="BV231"/>
          <cell r="BW231"/>
          <cell r="BX231"/>
          <cell r="BY231"/>
          <cell r="BZ231"/>
          <cell r="CA231"/>
          <cell r="CB231"/>
        </row>
        <row r="232">
          <cell r="A232" t="str">
            <v>FX Exposure - Sales</v>
          </cell>
          <cell r="B232"/>
          <cell r="C232"/>
          <cell r="D232"/>
        </row>
        <row r="233">
          <cell r="B233" t="str">
            <v>Sales - % FX: British Pounds/Pence</v>
          </cell>
          <cell r="C233" t="str">
            <v>SALES_FX_GPB</v>
          </cell>
          <cell r="F233"/>
          <cell r="G233"/>
          <cell r="H233"/>
          <cell r="I233"/>
          <cell r="J233"/>
          <cell r="K233"/>
          <cell r="L233"/>
          <cell r="M233"/>
          <cell r="N233"/>
          <cell r="O233"/>
          <cell r="P233"/>
          <cell r="Q233"/>
          <cell r="R233"/>
          <cell r="S233"/>
          <cell r="T233"/>
          <cell r="U233"/>
          <cell r="V233"/>
          <cell r="W233"/>
          <cell r="X233"/>
          <cell r="Y233"/>
          <cell r="Z233"/>
          <cell r="AA233"/>
          <cell r="AB233"/>
          <cell r="AC233"/>
          <cell r="AD233"/>
          <cell r="AE233"/>
          <cell r="AF233"/>
          <cell r="AG233"/>
          <cell r="AH233"/>
          <cell r="AI233"/>
          <cell r="AJ233"/>
          <cell r="AK233"/>
          <cell r="AL233"/>
          <cell r="AM233"/>
          <cell r="AN233"/>
          <cell r="AO233"/>
          <cell r="AP233"/>
          <cell r="AQ233"/>
          <cell r="AR233"/>
          <cell r="AS233"/>
          <cell r="AT233"/>
          <cell r="AU233"/>
          <cell r="AV233"/>
          <cell r="AW233"/>
          <cell r="AX233"/>
          <cell r="AY233"/>
          <cell r="AZ233"/>
          <cell r="BA233"/>
          <cell r="BB233"/>
          <cell r="BC233"/>
          <cell r="BD233"/>
          <cell r="BE233"/>
          <cell r="BF233"/>
          <cell r="BG233"/>
          <cell r="BH233"/>
          <cell r="BI233"/>
          <cell r="BJ233"/>
          <cell r="BK233"/>
          <cell r="BL233"/>
          <cell r="BM233"/>
          <cell r="BN233"/>
          <cell r="BO233"/>
          <cell r="BP233"/>
          <cell r="BQ233"/>
          <cell r="BR233"/>
          <cell r="BS233"/>
          <cell r="BT233"/>
          <cell r="BU233"/>
          <cell r="BV233"/>
          <cell r="BW233"/>
          <cell r="BX233"/>
          <cell r="BY233"/>
          <cell r="BZ233"/>
          <cell r="CA233"/>
          <cell r="CB233"/>
        </row>
        <row r="234">
          <cell r="B234" t="str">
            <v>Sales - % FX: Euro</v>
          </cell>
          <cell r="C234" t="str">
            <v>SALES_FX_EUR</v>
          </cell>
          <cell r="F234"/>
          <cell r="G234"/>
          <cell r="H234"/>
          <cell r="I234"/>
          <cell r="J234"/>
          <cell r="K234"/>
          <cell r="L234"/>
          <cell r="M234"/>
          <cell r="N234"/>
          <cell r="O234"/>
          <cell r="P234"/>
          <cell r="Q234"/>
          <cell r="R234"/>
          <cell r="S234"/>
          <cell r="T234"/>
          <cell r="U234"/>
          <cell r="V234"/>
          <cell r="W234"/>
          <cell r="X234"/>
          <cell r="Y234"/>
          <cell r="Z234"/>
          <cell r="AA234"/>
          <cell r="AB234"/>
          <cell r="AC234"/>
          <cell r="AD234"/>
          <cell r="AE234"/>
          <cell r="AF234"/>
          <cell r="AG234"/>
          <cell r="AH234"/>
          <cell r="AI234"/>
          <cell r="AJ234"/>
          <cell r="AK234"/>
          <cell r="AL234"/>
          <cell r="AM234"/>
          <cell r="AN234"/>
          <cell r="AO234"/>
          <cell r="AP234"/>
          <cell r="AQ234"/>
          <cell r="AR234"/>
          <cell r="AS234"/>
          <cell r="AT234"/>
          <cell r="AU234"/>
          <cell r="AV234"/>
          <cell r="AW234"/>
          <cell r="AX234"/>
          <cell r="AY234"/>
          <cell r="AZ234"/>
          <cell r="BA234"/>
          <cell r="BB234"/>
          <cell r="BC234"/>
          <cell r="BD234"/>
          <cell r="BE234"/>
          <cell r="BF234"/>
          <cell r="BG234"/>
          <cell r="BH234"/>
          <cell r="BI234"/>
          <cell r="BJ234"/>
          <cell r="BK234"/>
          <cell r="BL234"/>
          <cell r="BM234"/>
          <cell r="BN234"/>
          <cell r="BO234"/>
          <cell r="BP234"/>
          <cell r="BQ234"/>
          <cell r="BR234"/>
          <cell r="BS234"/>
          <cell r="BT234"/>
          <cell r="BU234"/>
          <cell r="BV234"/>
          <cell r="BW234"/>
          <cell r="BX234"/>
          <cell r="BY234"/>
          <cell r="BZ234"/>
          <cell r="CA234"/>
          <cell r="CB234"/>
        </row>
        <row r="235">
          <cell r="B235" t="str">
            <v>Sales - % FX: New Russian Ruble</v>
          </cell>
          <cell r="C235" t="str">
            <v>SALES_FX_RUB</v>
          </cell>
          <cell r="F235"/>
          <cell r="G235"/>
          <cell r="H235"/>
          <cell r="I235"/>
          <cell r="J235"/>
          <cell r="K235"/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B235"/>
          <cell r="AC235"/>
          <cell r="AD235"/>
          <cell r="AE235"/>
          <cell r="AF235"/>
          <cell r="AG235"/>
          <cell r="AH235"/>
          <cell r="AI235"/>
          <cell r="AJ235"/>
          <cell r="AK235"/>
          <cell r="AL235"/>
          <cell r="AM235"/>
          <cell r="AN235"/>
          <cell r="AO235"/>
          <cell r="AP235"/>
          <cell r="AQ235"/>
          <cell r="AR235"/>
          <cell r="AS235"/>
          <cell r="AT235"/>
          <cell r="AU235"/>
          <cell r="AV235"/>
          <cell r="AW235"/>
          <cell r="AX235"/>
          <cell r="AY235"/>
          <cell r="AZ235"/>
          <cell r="BA235"/>
          <cell r="BB235"/>
          <cell r="BC235"/>
          <cell r="BD235"/>
          <cell r="BE235"/>
          <cell r="BF235"/>
          <cell r="BG235"/>
          <cell r="BH235"/>
          <cell r="BI235"/>
          <cell r="BJ235"/>
          <cell r="BK235"/>
          <cell r="BL235"/>
          <cell r="BM235"/>
          <cell r="BN235"/>
          <cell r="BO235"/>
          <cell r="BP235"/>
          <cell r="BQ235"/>
          <cell r="BR235"/>
          <cell r="BS235"/>
          <cell r="BT235"/>
          <cell r="BU235"/>
          <cell r="BV235"/>
          <cell r="BW235"/>
          <cell r="BX235"/>
          <cell r="BY235"/>
          <cell r="BZ235"/>
          <cell r="CA235"/>
          <cell r="CB235"/>
        </row>
        <row r="236">
          <cell r="B236" t="str">
            <v>Sales - % FX: U.S. Dollar</v>
          </cell>
          <cell r="C236" t="str">
            <v>SALES_FX_USD</v>
          </cell>
          <cell r="F236"/>
          <cell r="G236"/>
          <cell r="H236"/>
          <cell r="I236"/>
          <cell r="J236"/>
          <cell r="K236"/>
          <cell r="L236"/>
          <cell r="M236"/>
          <cell r="N236"/>
          <cell r="O236"/>
          <cell r="P236"/>
          <cell r="Q236"/>
          <cell r="R236"/>
          <cell r="S236"/>
          <cell r="T236"/>
          <cell r="U236"/>
          <cell r="V236"/>
          <cell r="W236"/>
          <cell r="X236"/>
          <cell r="Y236"/>
          <cell r="Z236"/>
          <cell r="AA236"/>
          <cell r="AB236"/>
          <cell r="AC236"/>
          <cell r="AD236"/>
          <cell r="AE236"/>
          <cell r="AF236"/>
          <cell r="AG236"/>
          <cell r="AH236"/>
          <cell r="AI236"/>
          <cell r="AJ236"/>
          <cell r="AK236"/>
          <cell r="AL236"/>
          <cell r="AM236"/>
          <cell r="AN236"/>
          <cell r="AO236"/>
          <cell r="AP236"/>
          <cell r="AQ236"/>
          <cell r="AR236"/>
          <cell r="AS236"/>
          <cell r="AT236"/>
          <cell r="AU236"/>
          <cell r="AV236"/>
          <cell r="AW236"/>
          <cell r="AX236"/>
          <cell r="AY236"/>
          <cell r="AZ236"/>
          <cell r="BA236"/>
          <cell r="BB236"/>
          <cell r="BC236"/>
          <cell r="BD236"/>
          <cell r="BE236"/>
          <cell r="BF236"/>
          <cell r="BG236"/>
          <cell r="BH236"/>
          <cell r="BI236"/>
          <cell r="BJ236"/>
          <cell r="BK236"/>
          <cell r="BL236"/>
          <cell r="BM236"/>
          <cell r="BN236"/>
          <cell r="BO236"/>
          <cell r="BP236"/>
          <cell r="BQ236"/>
          <cell r="BR236"/>
          <cell r="BS236"/>
          <cell r="BT236"/>
          <cell r="BU236"/>
          <cell r="BV236"/>
          <cell r="BW236"/>
          <cell r="BX236"/>
          <cell r="BY236"/>
          <cell r="BZ236"/>
          <cell r="CA236"/>
          <cell r="CB236"/>
        </row>
        <row r="237">
          <cell r="B237" t="str">
            <v>Sales - % FX: Brazilian Real</v>
          </cell>
          <cell r="C237" t="str">
            <v>SALES_FX_BRL</v>
          </cell>
          <cell r="F237"/>
          <cell r="G237"/>
          <cell r="H237"/>
          <cell r="I237"/>
          <cell r="J237"/>
          <cell r="K237"/>
          <cell r="L237"/>
          <cell r="M237"/>
          <cell r="N237"/>
          <cell r="O237"/>
          <cell r="P237"/>
          <cell r="Q237"/>
          <cell r="R237"/>
          <cell r="S237"/>
          <cell r="T237"/>
          <cell r="U237"/>
          <cell r="V237"/>
          <cell r="W237"/>
          <cell r="X237"/>
          <cell r="Y237"/>
          <cell r="Z237"/>
          <cell r="AA237"/>
          <cell r="AB237"/>
          <cell r="AC237"/>
          <cell r="AD237"/>
          <cell r="AE237"/>
          <cell r="AF237"/>
          <cell r="AG237"/>
          <cell r="AH237"/>
          <cell r="AI237"/>
          <cell r="AJ237"/>
          <cell r="AK237"/>
          <cell r="AL237"/>
          <cell r="AM237"/>
          <cell r="AN237"/>
          <cell r="AO237"/>
          <cell r="AP237"/>
          <cell r="AQ237"/>
          <cell r="AR237"/>
          <cell r="AS237"/>
          <cell r="AT237"/>
          <cell r="AU237"/>
          <cell r="AV237"/>
          <cell r="AW237"/>
          <cell r="AX237"/>
          <cell r="AY237"/>
          <cell r="AZ237"/>
          <cell r="BA237"/>
          <cell r="BB237"/>
          <cell r="BC237"/>
          <cell r="BD237"/>
          <cell r="BE237"/>
          <cell r="BF237"/>
          <cell r="BG237"/>
          <cell r="BH237"/>
          <cell r="BI237"/>
          <cell r="BJ237"/>
          <cell r="BK237"/>
          <cell r="BL237"/>
          <cell r="BM237"/>
          <cell r="BN237"/>
          <cell r="BO237"/>
          <cell r="BP237"/>
          <cell r="BQ237"/>
          <cell r="BR237"/>
          <cell r="BS237"/>
          <cell r="BT237"/>
          <cell r="BU237"/>
          <cell r="BV237"/>
          <cell r="BW237"/>
          <cell r="BX237"/>
          <cell r="BY237"/>
          <cell r="BZ237"/>
          <cell r="CA237"/>
          <cell r="CB237"/>
        </row>
        <row r="238">
          <cell r="B238" t="str">
            <v>Sales - % FX: Japanese Yen</v>
          </cell>
          <cell r="C238" t="str">
            <v>SALES_FX_YEN</v>
          </cell>
          <cell r="F238"/>
          <cell r="G238"/>
          <cell r="H238"/>
          <cell r="I238"/>
          <cell r="J238"/>
          <cell r="K238"/>
          <cell r="L238"/>
          <cell r="M238"/>
          <cell r="N238"/>
          <cell r="O238"/>
          <cell r="P238"/>
          <cell r="Q238"/>
          <cell r="R238"/>
          <cell r="S238"/>
          <cell r="T238"/>
          <cell r="U238"/>
          <cell r="V238"/>
          <cell r="W238"/>
          <cell r="X238"/>
          <cell r="Y238"/>
          <cell r="Z238"/>
          <cell r="AA238"/>
          <cell r="AB238"/>
          <cell r="AC238"/>
          <cell r="AD238"/>
          <cell r="AE238"/>
          <cell r="AF238"/>
          <cell r="AG238"/>
          <cell r="AH238"/>
          <cell r="AI238"/>
          <cell r="AJ238"/>
          <cell r="AK238"/>
          <cell r="AL238"/>
          <cell r="AM238"/>
          <cell r="AN238"/>
          <cell r="AO238"/>
          <cell r="AP238"/>
          <cell r="AQ238"/>
          <cell r="AR238"/>
          <cell r="AS238"/>
          <cell r="AT238"/>
          <cell r="AU238"/>
          <cell r="AV238"/>
          <cell r="AW238"/>
          <cell r="AX238"/>
          <cell r="AY238"/>
          <cell r="AZ238"/>
          <cell r="BA238"/>
          <cell r="BB238"/>
          <cell r="BC238"/>
          <cell r="BD238"/>
          <cell r="BE238"/>
          <cell r="BF238"/>
          <cell r="BG238"/>
          <cell r="BH238"/>
          <cell r="BI238"/>
          <cell r="BJ238"/>
          <cell r="BK238"/>
          <cell r="BL238"/>
          <cell r="BM238"/>
          <cell r="BN238"/>
          <cell r="BO238"/>
          <cell r="BP238"/>
          <cell r="BQ238"/>
          <cell r="BR238"/>
          <cell r="BS238"/>
          <cell r="BT238"/>
          <cell r="BU238"/>
          <cell r="BV238"/>
          <cell r="BW238"/>
          <cell r="BX238"/>
          <cell r="BY238"/>
          <cell r="BZ238"/>
          <cell r="CA238"/>
          <cell r="CB238"/>
        </row>
        <row r="239">
          <cell r="B239" t="str">
            <v>Sales - % FX: Chinese Renminbi</v>
          </cell>
          <cell r="C239" t="str">
            <v>SALES_FX_CNY</v>
          </cell>
          <cell r="F239"/>
          <cell r="G239"/>
          <cell r="H239"/>
          <cell r="I239"/>
          <cell r="J239"/>
          <cell r="K239"/>
          <cell r="L239"/>
          <cell r="M239"/>
          <cell r="N239"/>
          <cell r="O239"/>
          <cell r="P239"/>
          <cell r="Q239"/>
          <cell r="R239"/>
          <cell r="S239"/>
          <cell r="T239"/>
          <cell r="U239"/>
          <cell r="V239"/>
          <cell r="W239"/>
          <cell r="X239"/>
          <cell r="Y239"/>
          <cell r="Z239"/>
          <cell r="AA239"/>
          <cell r="AB239"/>
          <cell r="AC239"/>
          <cell r="AD239"/>
          <cell r="AE239"/>
          <cell r="AF239"/>
          <cell r="AG239"/>
          <cell r="AH239"/>
          <cell r="AI239"/>
          <cell r="AJ239"/>
          <cell r="AK239"/>
          <cell r="AL239"/>
          <cell r="AM239"/>
          <cell r="AN239"/>
          <cell r="AO239"/>
          <cell r="AP239"/>
          <cell r="AQ239"/>
          <cell r="AR239"/>
          <cell r="AS239"/>
          <cell r="AT239"/>
          <cell r="AU239"/>
          <cell r="AV239"/>
          <cell r="AW239"/>
          <cell r="AX239"/>
          <cell r="AY239"/>
          <cell r="AZ239"/>
          <cell r="BA239"/>
          <cell r="BB239"/>
          <cell r="BC239"/>
          <cell r="BD239"/>
          <cell r="BE239"/>
          <cell r="BF239"/>
          <cell r="BG239"/>
          <cell r="BH239"/>
          <cell r="BI239"/>
          <cell r="BJ239"/>
          <cell r="BK239"/>
          <cell r="BL239"/>
          <cell r="BM239"/>
          <cell r="BN239"/>
          <cell r="BO239"/>
          <cell r="BP239"/>
          <cell r="BQ239"/>
          <cell r="BR239"/>
          <cell r="BS239"/>
          <cell r="BT239"/>
          <cell r="BU239"/>
          <cell r="BV239"/>
          <cell r="BW239"/>
          <cell r="BX239"/>
          <cell r="BY239"/>
          <cell r="BZ239"/>
          <cell r="CA239"/>
          <cell r="CB239"/>
        </row>
        <row r="240">
          <cell r="B240" t="str">
            <v>Sales - % FX: Indian Rupee</v>
          </cell>
          <cell r="C240" t="str">
            <v>SALES_FX_INR</v>
          </cell>
          <cell r="F240"/>
          <cell r="G240"/>
          <cell r="H240"/>
          <cell r="I240"/>
          <cell r="J240"/>
          <cell r="K240"/>
          <cell r="L240"/>
          <cell r="M240"/>
          <cell r="N240"/>
          <cell r="O240"/>
          <cell r="P240"/>
          <cell r="Q240"/>
          <cell r="R240"/>
          <cell r="S240"/>
          <cell r="T240"/>
          <cell r="U240"/>
          <cell r="V240"/>
          <cell r="W240"/>
          <cell r="X240"/>
          <cell r="Y240"/>
          <cell r="Z240"/>
          <cell r="AA240"/>
          <cell r="AB240"/>
          <cell r="AC240"/>
          <cell r="AD240"/>
          <cell r="AE240"/>
          <cell r="AF240"/>
          <cell r="AG240"/>
          <cell r="AH240"/>
          <cell r="AI240"/>
          <cell r="AJ240"/>
          <cell r="AK240"/>
          <cell r="AL240"/>
          <cell r="AM240"/>
          <cell r="AN240"/>
          <cell r="AO240"/>
          <cell r="AP240"/>
          <cell r="AQ240"/>
          <cell r="AR240"/>
          <cell r="AS240"/>
          <cell r="AT240"/>
          <cell r="AU240"/>
          <cell r="AV240"/>
          <cell r="AW240"/>
          <cell r="AX240"/>
          <cell r="AY240"/>
          <cell r="AZ240"/>
          <cell r="BA240"/>
          <cell r="BB240"/>
          <cell r="BC240"/>
          <cell r="BD240"/>
          <cell r="BE240"/>
          <cell r="BF240"/>
          <cell r="BG240"/>
          <cell r="BH240"/>
          <cell r="BI240"/>
          <cell r="BJ240"/>
          <cell r="BK240"/>
          <cell r="BL240"/>
          <cell r="BM240"/>
          <cell r="BN240"/>
          <cell r="BO240"/>
          <cell r="BP240"/>
          <cell r="BQ240"/>
          <cell r="BR240"/>
          <cell r="BS240"/>
          <cell r="BT240"/>
          <cell r="BU240"/>
          <cell r="BV240"/>
          <cell r="BW240"/>
          <cell r="BX240"/>
          <cell r="BY240"/>
          <cell r="BZ240"/>
          <cell r="CA240"/>
          <cell r="CB240"/>
        </row>
        <row r="241">
          <cell r="B241" t="str">
            <v>Sales - % FX: Canadian Dollar</v>
          </cell>
          <cell r="C241" t="str">
            <v>SALES_FX_CAD</v>
          </cell>
          <cell r="F241"/>
          <cell r="G241"/>
          <cell r="H241"/>
          <cell r="I241"/>
          <cell r="J241"/>
          <cell r="K241"/>
          <cell r="L241"/>
          <cell r="M241"/>
          <cell r="N241"/>
          <cell r="O241"/>
          <cell r="P241"/>
          <cell r="Q241"/>
          <cell r="R241"/>
          <cell r="S241"/>
          <cell r="T241"/>
          <cell r="U241"/>
          <cell r="V241"/>
          <cell r="W241"/>
          <cell r="X241"/>
          <cell r="Y241"/>
          <cell r="Z241"/>
          <cell r="AA241"/>
          <cell r="AB241"/>
          <cell r="AC241"/>
          <cell r="AD241"/>
          <cell r="AE241"/>
          <cell r="AF241"/>
          <cell r="AG241"/>
          <cell r="AH241"/>
          <cell r="AI241"/>
          <cell r="AJ241"/>
          <cell r="AK241"/>
          <cell r="AL241"/>
          <cell r="AM241"/>
          <cell r="AN241"/>
          <cell r="AO241"/>
          <cell r="AP241"/>
          <cell r="AQ241"/>
          <cell r="AR241"/>
          <cell r="AS241"/>
          <cell r="AT241"/>
          <cell r="AU241"/>
          <cell r="AV241"/>
          <cell r="AW241"/>
          <cell r="AX241"/>
          <cell r="AY241"/>
          <cell r="AZ241"/>
          <cell r="BA241"/>
          <cell r="BB241"/>
          <cell r="BC241"/>
          <cell r="BD241"/>
          <cell r="BE241"/>
          <cell r="BF241"/>
          <cell r="BG241"/>
          <cell r="BH241"/>
          <cell r="BI241"/>
          <cell r="BJ241"/>
          <cell r="BK241"/>
          <cell r="BL241"/>
          <cell r="BM241"/>
          <cell r="BN241"/>
          <cell r="BO241"/>
          <cell r="BP241"/>
          <cell r="BQ241"/>
          <cell r="BR241"/>
          <cell r="BS241"/>
          <cell r="BT241"/>
          <cell r="BU241"/>
          <cell r="BV241"/>
          <cell r="BW241"/>
          <cell r="BX241"/>
          <cell r="BY241"/>
          <cell r="BZ241"/>
          <cell r="CA241"/>
          <cell r="CB241"/>
        </row>
        <row r="242">
          <cell r="B242" t="str">
            <v>Sales - % FX: Mexican Peso</v>
          </cell>
          <cell r="C242" t="str">
            <v>SALES_FX_MXN</v>
          </cell>
          <cell r="F242"/>
          <cell r="G242"/>
          <cell r="H242"/>
          <cell r="I242"/>
          <cell r="J242"/>
          <cell r="K242"/>
          <cell r="L242"/>
          <cell r="M242"/>
          <cell r="N242"/>
          <cell r="O242"/>
          <cell r="P242"/>
          <cell r="Q242"/>
          <cell r="R242"/>
          <cell r="S242"/>
          <cell r="T242"/>
          <cell r="U242"/>
          <cell r="V242"/>
          <cell r="W242"/>
          <cell r="X242"/>
          <cell r="Y242"/>
          <cell r="Z242"/>
          <cell r="AA242"/>
          <cell r="AB242"/>
          <cell r="AC242"/>
          <cell r="AD242"/>
          <cell r="AE242"/>
          <cell r="AF242"/>
          <cell r="AG242"/>
          <cell r="AH242"/>
          <cell r="AI242"/>
          <cell r="AJ242"/>
          <cell r="AK242"/>
          <cell r="AL242"/>
          <cell r="AM242"/>
          <cell r="AN242"/>
          <cell r="AO242"/>
          <cell r="AP242"/>
          <cell r="AQ242"/>
          <cell r="AR242"/>
          <cell r="AS242"/>
          <cell r="AT242"/>
          <cell r="AU242"/>
          <cell r="AV242"/>
          <cell r="AW242"/>
          <cell r="AX242"/>
          <cell r="AY242"/>
          <cell r="AZ242"/>
          <cell r="BA242"/>
          <cell r="BB242"/>
          <cell r="BC242"/>
          <cell r="BD242"/>
          <cell r="BE242"/>
          <cell r="BF242"/>
          <cell r="BG242"/>
          <cell r="BH242"/>
          <cell r="BI242"/>
          <cell r="BJ242"/>
          <cell r="BK242"/>
          <cell r="BL242"/>
          <cell r="BM242"/>
          <cell r="BN242"/>
          <cell r="BO242"/>
          <cell r="BP242"/>
          <cell r="BQ242"/>
          <cell r="BR242"/>
          <cell r="BS242"/>
          <cell r="BT242"/>
          <cell r="BU242"/>
          <cell r="BV242"/>
          <cell r="BW242"/>
          <cell r="BX242"/>
          <cell r="BY242"/>
          <cell r="BZ242"/>
          <cell r="CA242"/>
          <cell r="CB242"/>
        </row>
        <row r="243">
          <cell r="B243" t="str">
            <v>Sales - % FX: Colombian Peso</v>
          </cell>
          <cell r="C243" t="str">
            <v>SALES_FX_COP</v>
          </cell>
          <cell r="F243"/>
          <cell r="G243"/>
          <cell r="H243"/>
          <cell r="I243"/>
          <cell r="J243"/>
          <cell r="K243"/>
          <cell r="L243"/>
          <cell r="M243"/>
          <cell r="N243"/>
          <cell r="O243"/>
          <cell r="P243"/>
          <cell r="Q243"/>
          <cell r="R243"/>
          <cell r="S243"/>
          <cell r="T243"/>
          <cell r="U243"/>
          <cell r="V243"/>
          <cell r="W243"/>
          <cell r="X243"/>
          <cell r="Y243"/>
          <cell r="Z243"/>
          <cell r="AA243"/>
          <cell r="AB243"/>
          <cell r="AC243"/>
          <cell r="AD243"/>
          <cell r="AE243"/>
          <cell r="AF243"/>
          <cell r="AG243"/>
          <cell r="AH243"/>
          <cell r="AI243"/>
          <cell r="AJ243"/>
          <cell r="AK243"/>
          <cell r="AL243"/>
          <cell r="AM243"/>
          <cell r="AN243"/>
          <cell r="AO243"/>
          <cell r="AP243"/>
          <cell r="AQ243"/>
          <cell r="AR243"/>
          <cell r="AS243"/>
          <cell r="AT243"/>
          <cell r="AU243"/>
          <cell r="AV243"/>
          <cell r="AW243"/>
          <cell r="AX243"/>
          <cell r="AY243"/>
          <cell r="AZ243"/>
          <cell r="BA243"/>
          <cell r="BB243"/>
          <cell r="BC243"/>
          <cell r="BD243"/>
          <cell r="BE243"/>
          <cell r="BF243"/>
          <cell r="BG243"/>
          <cell r="BH243"/>
          <cell r="BI243"/>
          <cell r="BJ243"/>
          <cell r="BK243"/>
          <cell r="BL243"/>
          <cell r="BM243"/>
          <cell r="BN243"/>
          <cell r="BO243"/>
          <cell r="BP243"/>
          <cell r="BQ243"/>
          <cell r="BR243"/>
          <cell r="BS243"/>
          <cell r="BT243"/>
          <cell r="BU243"/>
          <cell r="BV243"/>
          <cell r="BW243"/>
          <cell r="BX243"/>
          <cell r="BY243"/>
          <cell r="BZ243"/>
          <cell r="CA243"/>
          <cell r="CB243"/>
        </row>
        <row r="244">
          <cell r="B244" t="str">
            <v>Sales - % FX: Argentine Peso</v>
          </cell>
          <cell r="C244" t="str">
            <v>SALES_FX_ARS</v>
          </cell>
          <cell r="F244"/>
          <cell r="G244"/>
          <cell r="H244"/>
          <cell r="I244"/>
          <cell r="J244"/>
          <cell r="K244"/>
          <cell r="L244"/>
          <cell r="M244"/>
          <cell r="N244"/>
          <cell r="O244"/>
          <cell r="P244"/>
          <cell r="Q244"/>
          <cell r="R244"/>
          <cell r="S244"/>
          <cell r="T244"/>
          <cell r="U244"/>
          <cell r="V244"/>
          <cell r="W244"/>
          <cell r="X244"/>
          <cell r="Y244"/>
          <cell r="Z244"/>
          <cell r="AA244"/>
          <cell r="AB244"/>
          <cell r="AC244"/>
          <cell r="AD244"/>
          <cell r="AE244"/>
          <cell r="AF244"/>
          <cell r="AG244"/>
          <cell r="AH244"/>
          <cell r="AI244"/>
          <cell r="AJ244"/>
          <cell r="AK244"/>
          <cell r="AL244"/>
          <cell r="AM244"/>
          <cell r="AN244"/>
          <cell r="AO244"/>
          <cell r="AP244"/>
          <cell r="AQ244"/>
          <cell r="AR244"/>
          <cell r="AS244"/>
          <cell r="AT244"/>
          <cell r="AU244"/>
          <cell r="AV244"/>
          <cell r="AW244"/>
          <cell r="AX244"/>
          <cell r="AY244"/>
          <cell r="AZ244"/>
          <cell r="BA244"/>
          <cell r="BB244"/>
          <cell r="BC244"/>
          <cell r="BD244"/>
          <cell r="BE244"/>
          <cell r="BF244"/>
          <cell r="BG244"/>
          <cell r="BH244"/>
          <cell r="BI244"/>
          <cell r="BJ244"/>
          <cell r="BK244"/>
          <cell r="BL244"/>
          <cell r="BM244"/>
          <cell r="BN244"/>
          <cell r="BO244"/>
          <cell r="BP244"/>
          <cell r="BQ244"/>
          <cell r="BR244"/>
          <cell r="BS244"/>
          <cell r="BT244"/>
          <cell r="BU244"/>
          <cell r="BV244"/>
          <cell r="BW244"/>
          <cell r="BX244"/>
          <cell r="BY244"/>
          <cell r="BZ244"/>
          <cell r="CA244"/>
          <cell r="CB244"/>
        </row>
        <row r="245">
          <cell r="B245" t="str">
            <v>Sales - % FX: Chilean Peso</v>
          </cell>
          <cell r="C245" t="str">
            <v>SALES_FX_CLP</v>
          </cell>
          <cell r="F245"/>
          <cell r="G245"/>
          <cell r="H245"/>
          <cell r="I245"/>
          <cell r="J245"/>
          <cell r="K245"/>
          <cell r="L245"/>
          <cell r="M245"/>
          <cell r="N245"/>
          <cell r="O245"/>
          <cell r="P245"/>
          <cell r="Q245"/>
          <cell r="R245"/>
          <cell r="S245"/>
          <cell r="T245"/>
          <cell r="U245"/>
          <cell r="V245"/>
          <cell r="W245"/>
          <cell r="X245"/>
          <cell r="Y245"/>
          <cell r="Z245"/>
          <cell r="AA245"/>
          <cell r="AB245"/>
          <cell r="AC245"/>
          <cell r="AD245"/>
          <cell r="AE245"/>
          <cell r="AF245"/>
          <cell r="AG245"/>
          <cell r="AH245"/>
          <cell r="AI245"/>
          <cell r="AJ245"/>
          <cell r="AK245"/>
          <cell r="AL245"/>
          <cell r="AM245"/>
          <cell r="AN245"/>
          <cell r="AO245"/>
          <cell r="AP245"/>
          <cell r="AQ245"/>
          <cell r="AR245"/>
          <cell r="AS245"/>
          <cell r="AT245"/>
          <cell r="AU245"/>
          <cell r="AV245"/>
          <cell r="AW245"/>
          <cell r="AX245"/>
          <cell r="AY245"/>
          <cell r="AZ245"/>
          <cell r="BA245"/>
          <cell r="BB245"/>
          <cell r="BC245"/>
          <cell r="BD245"/>
          <cell r="BE245"/>
          <cell r="BF245"/>
          <cell r="BG245"/>
          <cell r="BH245"/>
          <cell r="BI245"/>
          <cell r="BJ245"/>
          <cell r="BK245"/>
          <cell r="BL245"/>
          <cell r="BM245"/>
          <cell r="BN245"/>
          <cell r="BO245"/>
          <cell r="BP245"/>
          <cell r="BQ245"/>
          <cell r="BR245"/>
          <cell r="BS245"/>
          <cell r="BT245"/>
          <cell r="BU245"/>
          <cell r="BV245"/>
          <cell r="BW245"/>
          <cell r="BX245"/>
          <cell r="BY245"/>
          <cell r="BZ245"/>
          <cell r="CA245"/>
          <cell r="CB245"/>
        </row>
        <row r="246">
          <cell r="B246" t="str">
            <v>Sales - % FX: Venezuelan bolivar</v>
          </cell>
          <cell r="C246" t="str">
            <v>SALES_FX_VEF</v>
          </cell>
          <cell r="F246"/>
          <cell r="G246"/>
          <cell r="H246"/>
          <cell r="I246"/>
          <cell r="J246"/>
          <cell r="K246"/>
          <cell r="L246"/>
          <cell r="M246"/>
          <cell r="N246"/>
          <cell r="O246"/>
          <cell r="P246"/>
          <cell r="Q246"/>
          <cell r="R246"/>
          <cell r="S246"/>
          <cell r="T246"/>
          <cell r="U246"/>
          <cell r="V246"/>
          <cell r="W246"/>
          <cell r="X246"/>
          <cell r="Y246"/>
          <cell r="Z246"/>
          <cell r="AA246"/>
          <cell r="AB246"/>
          <cell r="AC246"/>
          <cell r="AD246"/>
          <cell r="AE246"/>
          <cell r="AF246"/>
          <cell r="AG246"/>
          <cell r="AH246"/>
          <cell r="AI246"/>
          <cell r="AJ246"/>
          <cell r="AK246"/>
          <cell r="AL246"/>
          <cell r="AM246"/>
          <cell r="AN246"/>
          <cell r="AO246"/>
          <cell r="AP246"/>
          <cell r="AQ246"/>
          <cell r="AR246"/>
          <cell r="AS246"/>
          <cell r="AT246"/>
          <cell r="AU246"/>
          <cell r="AV246"/>
          <cell r="AW246"/>
          <cell r="AX246"/>
          <cell r="AY246"/>
          <cell r="AZ246"/>
          <cell r="BA246"/>
          <cell r="BB246"/>
          <cell r="BC246"/>
          <cell r="BD246"/>
          <cell r="BE246"/>
          <cell r="BF246"/>
          <cell r="BG246"/>
          <cell r="BH246"/>
          <cell r="BI246"/>
          <cell r="BJ246"/>
          <cell r="BK246"/>
          <cell r="BL246"/>
          <cell r="BM246"/>
          <cell r="BN246"/>
          <cell r="BO246"/>
          <cell r="BP246"/>
          <cell r="BQ246"/>
          <cell r="BR246"/>
          <cell r="BS246"/>
          <cell r="BT246"/>
          <cell r="BU246"/>
          <cell r="BV246"/>
          <cell r="BW246"/>
          <cell r="BX246"/>
          <cell r="BY246"/>
          <cell r="BZ246"/>
          <cell r="CA246"/>
          <cell r="CB246"/>
        </row>
        <row r="247">
          <cell r="B247" t="str">
            <v>Sales - % FX: Other Currency</v>
          </cell>
          <cell r="C247" t="str">
            <v>SALES_FX_OTH</v>
          </cell>
          <cell r="F247"/>
          <cell r="G247"/>
          <cell r="H247"/>
          <cell r="I247"/>
          <cell r="J247"/>
          <cell r="K247"/>
          <cell r="L247"/>
          <cell r="M247"/>
          <cell r="N247"/>
          <cell r="O247"/>
          <cell r="P247"/>
          <cell r="Q247"/>
          <cell r="R247"/>
          <cell r="S247"/>
          <cell r="T247"/>
          <cell r="U247"/>
          <cell r="V247"/>
          <cell r="W247"/>
          <cell r="X247"/>
          <cell r="Y247"/>
          <cell r="Z247"/>
          <cell r="AA247"/>
          <cell r="AB247"/>
          <cell r="AC247"/>
          <cell r="AD247"/>
          <cell r="AE247"/>
          <cell r="AF247"/>
          <cell r="AG247"/>
          <cell r="AH247"/>
          <cell r="AI247"/>
          <cell r="AJ247"/>
          <cell r="AK247"/>
          <cell r="AL247"/>
          <cell r="AM247"/>
          <cell r="AN247"/>
          <cell r="AO247"/>
          <cell r="AP247"/>
          <cell r="AQ247"/>
          <cell r="AR247"/>
          <cell r="AS247"/>
          <cell r="AT247"/>
          <cell r="AU247"/>
          <cell r="AV247"/>
          <cell r="AW247"/>
          <cell r="AX247"/>
          <cell r="AY247"/>
          <cell r="AZ247"/>
          <cell r="BA247"/>
          <cell r="BB247"/>
          <cell r="BC247"/>
          <cell r="BD247"/>
          <cell r="BE247"/>
          <cell r="BF247"/>
          <cell r="BG247"/>
          <cell r="BH247"/>
          <cell r="BI247"/>
          <cell r="BJ247"/>
          <cell r="BK247"/>
          <cell r="BL247"/>
          <cell r="BM247"/>
          <cell r="BN247"/>
          <cell r="BO247"/>
          <cell r="BP247"/>
          <cell r="BQ247"/>
          <cell r="BR247"/>
          <cell r="BS247"/>
          <cell r="BT247"/>
          <cell r="BU247"/>
          <cell r="BV247"/>
          <cell r="BW247"/>
          <cell r="BX247"/>
          <cell r="BY247"/>
          <cell r="BZ247"/>
          <cell r="CA247"/>
          <cell r="CB247"/>
        </row>
        <row r="248">
          <cell r="A248" t="str">
            <v>Items to be removed</v>
          </cell>
          <cell r="B248"/>
          <cell r="C248"/>
          <cell r="D248"/>
        </row>
        <row r="249">
          <cell r="B249" t="str">
            <v>Sales - Total % Americas</v>
          </cell>
          <cell r="C249" t="str">
            <v>SALES_TOT_AM</v>
          </cell>
          <cell r="F249"/>
          <cell r="G249"/>
          <cell r="H249"/>
          <cell r="I249"/>
          <cell r="J249"/>
          <cell r="K249"/>
          <cell r="L249"/>
          <cell r="M249"/>
          <cell r="N249"/>
          <cell r="O249"/>
          <cell r="P249"/>
          <cell r="Q249"/>
          <cell r="R249"/>
          <cell r="S249"/>
          <cell r="T249"/>
          <cell r="U249"/>
          <cell r="V249"/>
          <cell r="W249"/>
          <cell r="X249"/>
          <cell r="Y249"/>
          <cell r="Z249"/>
          <cell r="AA249"/>
          <cell r="AB249"/>
          <cell r="AC249"/>
          <cell r="AD249"/>
          <cell r="AE249"/>
          <cell r="AF249"/>
          <cell r="AG249"/>
          <cell r="AH249"/>
          <cell r="AI249"/>
          <cell r="AJ249"/>
          <cell r="AK249"/>
          <cell r="AL249"/>
          <cell r="AM249"/>
          <cell r="AN249"/>
          <cell r="AO249"/>
          <cell r="AP249"/>
          <cell r="AQ249"/>
          <cell r="AR249"/>
          <cell r="AS249"/>
          <cell r="AT249"/>
          <cell r="AU249"/>
          <cell r="AV249"/>
          <cell r="AW249"/>
          <cell r="AX249"/>
          <cell r="AY249"/>
          <cell r="AZ249"/>
          <cell r="BA249"/>
          <cell r="BB249"/>
          <cell r="BC249"/>
          <cell r="BD249"/>
          <cell r="BE249"/>
          <cell r="BF249"/>
          <cell r="BG249"/>
          <cell r="BH249"/>
          <cell r="BI249"/>
          <cell r="BJ249"/>
          <cell r="BK249"/>
          <cell r="BL249"/>
          <cell r="BM249"/>
          <cell r="BN249"/>
          <cell r="BO249"/>
          <cell r="BP249"/>
          <cell r="BQ249"/>
          <cell r="BR249"/>
          <cell r="BS249"/>
          <cell r="BT249"/>
          <cell r="BU249"/>
          <cell r="BV249"/>
          <cell r="BW249"/>
          <cell r="BX249"/>
          <cell r="BY249"/>
          <cell r="BZ249"/>
          <cell r="CA249"/>
          <cell r="CB249"/>
        </row>
        <row r="250">
          <cell r="B250" t="str">
            <v>Sales - % Other Americas</v>
          </cell>
          <cell r="C250" t="str">
            <v>SALES_OTH_AM</v>
          </cell>
          <cell r="F250"/>
          <cell r="G250"/>
          <cell r="H250"/>
          <cell r="I250"/>
          <cell r="J250"/>
          <cell r="K250"/>
          <cell r="L250"/>
          <cell r="M250"/>
          <cell r="N250"/>
          <cell r="O250"/>
          <cell r="P250"/>
          <cell r="Q250"/>
          <cell r="R250"/>
          <cell r="S250"/>
          <cell r="T250"/>
          <cell r="U250"/>
          <cell r="V250"/>
          <cell r="W250"/>
          <cell r="X250"/>
          <cell r="Y250"/>
          <cell r="Z250"/>
          <cell r="AA250"/>
          <cell r="AB250"/>
          <cell r="AC250"/>
          <cell r="AD250"/>
          <cell r="AE250"/>
          <cell r="AF250"/>
          <cell r="AG250"/>
          <cell r="AH250"/>
          <cell r="AI250"/>
          <cell r="AJ250"/>
          <cell r="AK250"/>
          <cell r="AL250"/>
          <cell r="AM250"/>
          <cell r="AN250"/>
          <cell r="AO250"/>
          <cell r="AP250"/>
          <cell r="AQ250"/>
          <cell r="AR250"/>
          <cell r="AS250"/>
          <cell r="AT250"/>
          <cell r="AU250"/>
          <cell r="AV250"/>
          <cell r="AW250"/>
          <cell r="AX250"/>
          <cell r="AY250"/>
          <cell r="AZ250"/>
          <cell r="BA250"/>
          <cell r="BB250"/>
          <cell r="BC250"/>
          <cell r="BD250"/>
          <cell r="BE250"/>
          <cell r="BF250"/>
          <cell r="BG250"/>
          <cell r="BH250"/>
          <cell r="BI250"/>
          <cell r="BJ250"/>
          <cell r="BK250"/>
          <cell r="BL250"/>
          <cell r="BM250"/>
          <cell r="BN250"/>
          <cell r="BO250"/>
          <cell r="BP250"/>
          <cell r="BQ250"/>
          <cell r="BR250"/>
          <cell r="BS250"/>
          <cell r="BT250"/>
          <cell r="BU250"/>
          <cell r="BV250"/>
          <cell r="BW250"/>
          <cell r="BX250"/>
          <cell r="BY250"/>
          <cell r="BZ250"/>
          <cell r="CA250"/>
          <cell r="CB250"/>
        </row>
        <row r="251">
          <cell r="B251" t="str">
            <v>Sales - Total % EMEA</v>
          </cell>
          <cell r="C251" t="str">
            <v>SALES_TOT_EMEA</v>
          </cell>
          <cell r="F251"/>
          <cell r="G251"/>
          <cell r="H251"/>
          <cell r="I251"/>
          <cell r="J251"/>
          <cell r="K251"/>
          <cell r="L251"/>
          <cell r="M251"/>
          <cell r="N251"/>
          <cell r="O251"/>
          <cell r="P251"/>
          <cell r="Q251"/>
          <cell r="R251"/>
          <cell r="S251"/>
          <cell r="T251"/>
          <cell r="U251"/>
          <cell r="V251"/>
          <cell r="W251"/>
          <cell r="X251"/>
          <cell r="Y251"/>
          <cell r="Z251"/>
          <cell r="AA251"/>
          <cell r="AB251"/>
          <cell r="AC251"/>
          <cell r="AD251"/>
          <cell r="AE251"/>
          <cell r="AF251"/>
          <cell r="AG251"/>
          <cell r="AH251"/>
          <cell r="AI251"/>
          <cell r="AJ251"/>
          <cell r="AK251"/>
          <cell r="AL251"/>
          <cell r="AM251"/>
          <cell r="AN251"/>
          <cell r="AO251"/>
          <cell r="AP251"/>
          <cell r="AQ251"/>
          <cell r="AR251"/>
          <cell r="AS251"/>
          <cell r="AT251"/>
          <cell r="AU251"/>
          <cell r="AV251"/>
          <cell r="AW251"/>
          <cell r="AX251"/>
          <cell r="AY251"/>
          <cell r="AZ251"/>
          <cell r="BA251"/>
          <cell r="BB251"/>
          <cell r="BC251"/>
          <cell r="BD251"/>
          <cell r="BE251"/>
          <cell r="BF251"/>
          <cell r="BG251"/>
          <cell r="BH251"/>
          <cell r="BI251"/>
          <cell r="BJ251"/>
          <cell r="BK251"/>
          <cell r="BL251"/>
          <cell r="BM251"/>
          <cell r="BN251"/>
          <cell r="BO251"/>
          <cell r="BP251"/>
          <cell r="BQ251"/>
          <cell r="BR251"/>
          <cell r="BS251"/>
          <cell r="BT251"/>
          <cell r="BU251"/>
          <cell r="BV251"/>
          <cell r="BW251"/>
          <cell r="BX251"/>
          <cell r="BY251"/>
          <cell r="BZ251"/>
          <cell r="CA251"/>
          <cell r="CB251"/>
        </row>
        <row r="252">
          <cell r="B252" t="str">
            <v>Sales - % Western Europe-Ex UK</v>
          </cell>
          <cell r="C252" t="str">
            <v>SALES_EU_EX_UK</v>
          </cell>
          <cell r="F252"/>
          <cell r="G252"/>
          <cell r="H252"/>
          <cell r="I252"/>
          <cell r="J252"/>
          <cell r="K252"/>
          <cell r="L252"/>
          <cell r="M252"/>
          <cell r="N252"/>
          <cell r="O252"/>
          <cell r="P252"/>
          <cell r="Q252"/>
          <cell r="R252"/>
          <cell r="S252"/>
          <cell r="T252"/>
          <cell r="U252"/>
          <cell r="V252"/>
          <cell r="W252"/>
          <cell r="X252"/>
          <cell r="Y252"/>
          <cell r="Z252"/>
          <cell r="AA252"/>
          <cell r="AB252"/>
          <cell r="AC252"/>
          <cell r="AD252"/>
          <cell r="AE252"/>
          <cell r="AF252"/>
          <cell r="AG252"/>
          <cell r="AH252"/>
          <cell r="AI252"/>
          <cell r="AJ252"/>
          <cell r="AK252"/>
          <cell r="AL252"/>
          <cell r="AM252"/>
          <cell r="AN252"/>
          <cell r="AO252"/>
          <cell r="AP252"/>
          <cell r="AQ252"/>
          <cell r="AR252"/>
          <cell r="AS252"/>
          <cell r="AT252"/>
          <cell r="AU252"/>
          <cell r="AV252"/>
          <cell r="AW252"/>
          <cell r="AX252"/>
          <cell r="AY252"/>
          <cell r="AZ252"/>
          <cell r="BA252"/>
          <cell r="BB252"/>
          <cell r="BC252"/>
          <cell r="BD252"/>
          <cell r="BE252"/>
          <cell r="BF252"/>
          <cell r="BG252"/>
          <cell r="BH252"/>
          <cell r="BI252"/>
          <cell r="BJ252"/>
          <cell r="BK252"/>
          <cell r="BL252"/>
          <cell r="BM252"/>
          <cell r="BN252"/>
          <cell r="BO252"/>
          <cell r="BP252"/>
          <cell r="BQ252"/>
          <cell r="BR252"/>
          <cell r="BS252"/>
          <cell r="BT252"/>
          <cell r="BU252"/>
          <cell r="BV252"/>
          <cell r="BW252"/>
          <cell r="BX252"/>
          <cell r="BY252"/>
          <cell r="BZ252"/>
          <cell r="CA252"/>
          <cell r="CB252"/>
        </row>
        <row r="253">
          <cell r="B253" t="str">
            <v>Sales - % Central &amp; Eastern Europe</v>
          </cell>
          <cell r="C253" t="str">
            <v>SALES_CEE</v>
          </cell>
          <cell r="F253"/>
          <cell r="G253"/>
          <cell r="H253"/>
          <cell r="I253"/>
          <cell r="J253"/>
          <cell r="K253"/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B253"/>
          <cell r="AC253"/>
          <cell r="AD253"/>
          <cell r="AE253"/>
          <cell r="AF253"/>
          <cell r="AG253"/>
          <cell r="AH253"/>
          <cell r="AI253"/>
          <cell r="AJ253"/>
          <cell r="AK253"/>
          <cell r="AL253"/>
          <cell r="AM253"/>
          <cell r="AN253"/>
          <cell r="AO253"/>
          <cell r="AP253"/>
          <cell r="AQ253"/>
          <cell r="AR253"/>
          <cell r="AS253"/>
          <cell r="AT253"/>
          <cell r="AU253"/>
          <cell r="AV253"/>
          <cell r="AW253"/>
          <cell r="AX253"/>
          <cell r="AY253"/>
          <cell r="AZ253"/>
          <cell r="BA253"/>
          <cell r="BB253"/>
          <cell r="BC253"/>
          <cell r="BD253"/>
          <cell r="BE253"/>
          <cell r="BF253"/>
          <cell r="BG253"/>
          <cell r="BH253"/>
          <cell r="BI253"/>
          <cell r="BJ253"/>
          <cell r="BK253"/>
          <cell r="BL253"/>
          <cell r="BM253"/>
          <cell r="BN253"/>
          <cell r="BO253"/>
          <cell r="BP253"/>
          <cell r="BQ253"/>
          <cell r="BR253"/>
          <cell r="BS253"/>
          <cell r="BT253"/>
          <cell r="BU253"/>
          <cell r="BV253"/>
          <cell r="BW253"/>
          <cell r="BX253"/>
          <cell r="BY253"/>
          <cell r="BZ253"/>
          <cell r="CA253"/>
          <cell r="CB253"/>
        </row>
        <row r="254">
          <cell r="B254" t="str">
            <v>Sales - % Middle East</v>
          </cell>
          <cell r="C254" t="str">
            <v>SALES_ME</v>
          </cell>
          <cell r="F254"/>
          <cell r="G254"/>
          <cell r="H254"/>
          <cell r="I254"/>
          <cell r="J254"/>
          <cell r="K254"/>
          <cell r="L254"/>
          <cell r="M254"/>
          <cell r="N254"/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  <cell r="Z254"/>
          <cell r="AA254"/>
          <cell r="AB254"/>
          <cell r="AC254"/>
          <cell r="AD254"/>
          <cell r="AE254"/>
          <cell r="AF254"/>
          <cell r="AG254"/>
          <cell r="AH254"/>
          <cell r="AI254"/>
          <cell r="AJ254"/>
          <cell r="AK254"/>
          <cell r="AL254"/>
          <cell r="AM254"/>
          <cell r="AN254"/>
          <cell r="AO254"/>
          <cell r="AP254"/>
          <cell r="AQ254"/>
          <cell r="AR254"/>
          <cell r="AS254"/>
          <cell r="AT254"/>
          <cell r="AU254"/>
          <cell r="AV254"/>
          <cell r="AW254"/>
          <cell r="AX254"/>
          <cell r="AY254"/>
          <cell r="AZ254"/>
          <cell r="BA254"/>
          <cell r="BB254"/>
          <cell r="BC254"/>
          <cell r="BD254"/>
          <cell r="BE254"/>
          <cell r="BF254"/>
          <cell r="BG254"/>
          <cell r="BH254"/>
          <cell r="BI254"/>
          <cell r="BJ254"/>
          <cell r="BK254"/>
          <cell r="BL254"/>
          <cell r="BM254"/>
          <cell r="BN254"/>
          <cell r="BO254"/>
          <cell r="BP254"/>
          <cell r="BQ254"/>
          <cell r="BR254"/>
          <cell r="BS254"/>
          <cell r="BT254"/>
          <cell r="BU254"/>
          <cell r="BV254"/>
          <cell r="BW254"/>
          <cell r="BX254"/>
          <cell r="BY254"/>
          <cell r="BZ254"/>
          <cell r="CA254"/>
          <cell r="CB254"/>
        </row>
        <row r="255">
          <cell r="B255" t="str">
            <v>Sales - % Total Africa</v>
          </cell>
          <cell r="C255" t="str">
            <v>SALES_TOT_AFRICA</v>
          </cell>
          <cell r="F255"/>
          <cell r="G255"/>
          <cell r="H255"/>
          <cell r="I255"/>
          <cell r="J255"/>
          <cell r="K255"/>
          <cell r="L255"/>
          <cell r="M255"/>
          <cell r="N255"/>
          <cell r="O255"/>
          <cell r="P255"/>
          <cell r="Q255"/>
          <cell r="R255"/>
          <cell r="S255"/>
          <cell r="T255"/>
          <cell r="U255"/>
          <cell r="V255"/>
          <cell r="W255"/>
          <cell r="X255"/>
          <cell r="Y255"/>
          <cell r="Z255"/>
          <cell r="AA255"/>
          <cell r="AB255"/>
          <cell r="AC255"/>
          <cell r="AD255"/>
          <cell r="AE255"/>
          <cell r="AF255"/>
          <cell r="AG255"/>
          <cell r="AH255"/>
          <cell r="AI255"/>
          <cell r="AJ255"/>
          <cell r="AK255"/>
          <cell r="AL255"/>
          <cell r="AM255"/>
          <cell r="AN255"/>
          <cell r="AO255"/>
          <cell r="AP255"/>
          <cell r="AQ255"/>
          <cell r="AR255"/>
          <cell r="AS255"/>
          <cell r="AT255"/>
          <cell r="AU255"/>
          <cell r="AV255"/>
          <cell r="AW255"/>
          <cell r="AX255"/>
          <cell r="AY255"/>
          <cell r="AZ255"/>
          <cell r="BA255"/>
          <cell r="BB255"/>
          <cell r="BC255"/>
          <cell r="BD255"/>
          <cell r="BE255"/>
          <cell r="BF255"/>
          <cell r="BG255"/>
          <cell r="BH255"/>
          <cell r="BI255"/>
          <cell r="BJ255"/>
          <cell r="BK255"/>
          <cell r="BL255"/>
          <cell r="BM255"/>
          <cell r="BN255"/>
          <cell r="BO255"/>
          <cell r="BP255"/>
          <cell r="BQ255"/>
          <cell r="BR255"/>
          <cell r="BS255"/>
          <cell r="BT255"/>
          <cell r="BU255"/>
          <cell r="BV255"/>
          <cell r="BW255"/>
          <cell r="BX255"/>
          <cell r="BY255"/>
          <cell r="BZ255"/>
          <cell r="CA255"/>
          <cell r="CB255"/>
        </row>
        <row r="256">
          <cell r="B256" t="str">
            <v>Sales - % Other EMEA</v>
          </cell>
          <cell r="C256" t="str">
            <v>SALES_OTH_EMEA</v>
          </cell>
          <cell r="F256"/>
          <cell r="G256"/>
          <cell r="H256"/>
          <cell r="I256"/>
          <cell r="J256"/>
          <cell r="K256"/>
          <cell r="L256"/>
          <cell r="M256"/>
          <cell r="N256"/>
          <cell r="O256"/>
          <cell r="P256"/>
          <cell r="Q256"/>
          <cell r="R256"/>
          <cell r="S256"/>
          <cell r="T256"/>
          <cell r="U256"/>
          <cell r="V256"/>
          <cell r="W256"/>
          <cell r="X256"/>
          <cell r="Y256"/>
          <cell r="Z256"/>
          <cell r="AA256"/>
          <cell r="AB256"/>
          <cell r="AC256"/>
          <cell r="AD256"/>
          <cell r="AE256"/>
          <cell r="AF256"/>
          <cell r="AG256"/>
          <cell r="AH256"/>
          <cell r="AI256"/>
          <cell r="AJ256"/>
          <cell r="AK256"/>
          <cell r="AL256"/>
          <cell r="AM256"/>
          <cell r="AN256"/>
          <cell r="AO256"/>
          <cell r="AP256"/>
          <cell r="AQ256"/>
          <cell r="AR256"/>
          <cell r="AS256"/>
          <cell r="AT256"/>
          <cell r="AU256"/>
          <cell r="AV256"/>
          <cell r="AW256"/>
          <cell r="AX256"/>
          <cell r="AY256"/>
          <cell r="AZ256"/>
          <cell r="BA256"/>
          <cell r="BB256"/>
          <cell r="BC256"/>
          <cell r="BD256"/>
          <cell r="BE256"/>
          <cell r="BF256"/>
          <cell r="BG256"/>
          <cell r="BH256"/>
          <cell r="BI256"/>
          <cell r="BJ256"/>
          <cell r="BK256"/>
          <cell r="BL256"/>
          <cell r="BM256"/>
          <cell r="BN256"/>
          <cell r="BO256"/>
          <cell r="BP256"/>
          <cell r="BQ256"/>
          <cell r="BR256"/>
          <cell r="BS256"/>
          <cell r="BT256"/>
          <cell r="BU256"/>
          <cell r="BV256"/>
          <cell r="BW256"/>
          <cell r="BX256"/>
          <cell r="BY256"/>
          <cell r="BZ256"/>
          <cell r="CA256"/>
          <cell r="CB256"/>
        </row>
        <row r="257">
          <cell r="B257" t="str">
            <v>Sales - Total % Asia (incl Australia &amp; New Zealand)</v>
          </cell>
          <cell r="C257" t="str">
            <v>SALES_TOT_ASIA</v>
          </cell>
          <cell r="F257"/>
          <cell r="G257"/>
          <cell r="H257"/>
          <cell r="I257"/>
          <cell r="J257"/>
          <cell r="K257"/>
          <cell r="L257"/>
          <cell r="M257"/>
          <cell r="N257"/>
          <cell r="O257"/>
          <cell r="P257"/>
          <cell r="Q257"/>
          <cell r="R257"/>
          <cell r="S257"/>
          <cell r="T257"/>
          <cell r="U257"/>
          <cell r="V257"/>
          <cell r="W257"/>
          <cell r="X257"/>
          <cell r="Y257"/>
          <cell r="Z257"/>
          <cell r="AA257"/>
          <cell r="AB257"/>
          <cell r="AC257"/>
          <cell r="AD257"/>
          <cell r="AE257"/>
          <cell r="AF257"/>
          <cell r="AG257"/>
          <cell r="AH257"/>
          <cell r="AI257"/>
          <cell r="AJ257"/>
          <cell r="AK257"/>
          <cell r="AL257"/>
          <cell r="AM257"/>
          <cell r="AN257"/>
          <cell r="AO257"/>
          <cell r="AP257"/>
          <cell r="AQ257"/>
          <cell r="AR257"/>
          <cell r="AS257"/>
          <cell r="AT257"/>
          <cell r="AU257"/>
          <cell r="AV257"/>
          <cell r="AW257"/>
          <cell r="AX257"/>
          <cell r="AY257"/>
          <cell r="AZ257"/>
          <cell r="BA257"/>
          <cell r="BB257"/>
          <cell r="BC257"/>
          <cell r="BD257"/>
          <cell r="BE257"/>
          <cell r="BF257"/>
          <cell r="BG257"/>
          <cell r="BH257"/>
          <cell r="BI257"/>
          <cell r="BJ257"/>
          <cell r="BK257"/>
          <cell r="BL257"/>
          <cell r="BM257"/>
          <cell r="BN257"/>
          <cell r="BO257"/>
          <cell r="BP257"/>
          <cell r="BQ257"/>
          <cell r="BR257"/>
          <cell r="BS257"/>
          <cell r="BT257"/>
          <cell r="BU257"/>
          <cell r="BV257"/>
          <cell r="BW257"/>
          <cell r="BX257"/>
          <cell r="BY257"/>
          <cell r="BZ257"/>
          <cell r="CA257"/>
          <cell r="CB257"/>
        </row>
        <row r="258">
          <cell r="B258" t="str">
            <v>Sales - % Other Asia</v>
          </cell>
          <cell r="C258" t="str">
            <v>SALES_OTH_AEJ</v>
          </cell>
          <cell r="F258"/>
          <cell r="G258"/>
          <cell r="H258"/>
          <cell r="I258"/>
          <cell r="J258"/>
          <cell r="K258"/>
          <cell r="L258"/>
          <cell r="M258"/>
          <cell r="N258"/>
          <cell r="O258"/>
          <cell r="P258"/>
          <cell r="Q258"/>
          <cell r="R258"/>
          <cell r="S258"/>
          <cell r="T258"/>
          <cell r="U258"/>
          <cell r="V258"/>
          <cell r="W258"/>
          <cell r="X258"/>
          <cell r="Y258"/>
          <cell r="Z258"/>
          <cell r="AA258"/>
          <cell r="AB258"/>
          <cell r="AC258"/>
          <cell r="AD258"/>
          <cell r="AE258"/>
          <cell r="AF258"/>
          <cell r="AG258"/>
          <cell r="AH258"/>
          <cell r="AI258"/>
          <cell r="AJ258"/>
          <cell r="AK258"/>
          <cell r="AL258"/>
          <cell r="AM258"/>
          <cell r="AN258"/>
          <cell r="AO258"/>
          <cell r="AP258"/>
          <cell r="AQ258"/>
          <cell r="AR258"/>
          <cell r="AS258"/>
          <cell r="AT258"/>
          <cell r="AU258"/>
          <cell r="AV258"/>
          <cell r="AW258"/>
          <cell r="AX258"/>
          <cell r="AY258"/>
          <cell r="AZ258"/>
          <cell r="BA258"/>
          <cell r="BB258"/>
          <cell r="BC258"/>
          <cell r="BD258"/>
          <cell r="BE258"/>
          <cell r="BF258"/>
          <cell r="BG258"/>
          <cell r="BH258"/>
          <cell r="BI258"/>
          <cell r="BJ258"/>
          <cell r="BK258"/>
          <cell r="BL258"/>
          <cell r="BM258"/>
          <cell r="BN258"/>
          <cell r="BO258"/>
          <cell r="BP258"/>
          <cell r="BQ258"/>
          <cell r="BR258"/>
          <cell r="BS258"/>
          <cell r="BT258"/>
          <cell r="BU258"/>
          <cell r="BV258"/>
          <cell r="BW258"/>
          <cell r="BX258"/>
          <cell r="BY258"/>
          <cell r="BZ258"/>
          <cell r="CA258"/>
          <cell r="CB258"/>
        </row>
        <row r="259">
          <cell r="A259" t="str">
            <v>Security: Nutanix Inc.</v>
          </cell>
          <cell r="B259"/>
          <cell r="C259"/>
          <cell r="D259"/>
        </row>
        <row r="260">
          <cell r="A260" t="str">
            <v>Reference Data</v>
          </cell>
          <cell r="B260"/>
          <cell r="C260"/>
          <cell r="D260"/>
        </row>
        <row r="261">
          <cell r="B261" t="str">
            <v>Ticker</v>
          </cell>
          <cell r="C261" t="str">
            <v>Ticker</v>
          </cell>
          <cell r="E261" t="str">
            <v>NTNX</v>
          </cell>
        </row>
        <row r="262">
          <cell r="B262" t="str">
            <v>Security Name</v>
          </cell>
          <cell r="C262" t="str">
            <v>Security Name</v>
          </cell>
          <cell r="E262" t="str">
            <v>Nutanix Inc.</v>
          </cell>
        </row>
        <row r="263">
          <cell r="B263" t="str">
            <v>Interim Type</v>
          </cell>
          <cell r="C263" t="str">
            <v>Interim Type</v>
          </cell>
          <cell r="E263" t="str">
            <v>Q</v>
          </cell>
        </row>
        <row r="264">
          <cell r="B264" t="str">
            <v>Publishing Currency</v>
          </cell>
          <cell r="C264" t="str">
            <v>PUB_CURRENCY_ISO</v>
          </cell>
          <cell r="E264" t="str">
            <v>USD</v>
          </cell>
        </row>
        <row r="265">
          <cell r="B265" t="str">
            <v>Pricing Currency</v>
          </cell>
          <cell r="C265" t="str">
            <v>PRICE_CURRENCY_ISO</v>
          </cell>
          <cell r="E265" t="str">
            <v>USD</v>
          </cell>
        </row>
        <row r="266">
          <cell r="B266" t="str">
            <v>Reporting Currency</v>
          </cell>
          <cell r="C266" t="str">
            <v>CURRENCY_ISO</v>
          </cell>
          <cell r="E266" t="str">
            <v>USD</v>
          </cell>
        </row>
        <row r="267">
          <cell r="A267" t="str">
            <v>General Information</v>
          </cell>
          <cell r="B267"/>
          <cell r="C267"/>
          <cell r="D267"/>
        </row>
        <row r="268">
          <cell r="B268" t="str">
            <v>Americas Investment List</v>
          </cell>
          <cell r="C268" t="str">
            <v>AMER_LIST</v>
          </cell>
          <cell r="E268"/>
        </row>
        <row r="269">
          <cell r="B269" t="str">
            <v>Americas Conviction List</v>
          </cell>
          <cell r="C269" t="str">
            <v>NOT IN USE</v>
          </cell>
          <cell r="E269"/>
        </row>
        <row r="270">
          <cell r="B270" t="str">
            <v>Legal rating</v>
          </cell>
          <cell r="C270" t="str">
            <v>LEGAL_RATING</v>
          </cell>
          <cell r="E270"/>
        </row>
        <row r="271">
          <cell r="B271" t="str">
            <v>Target price</v>
          </cell>
          <cell r="C271" t="str">
            <v>TARGET_PRICE</v>
          </cell>
          <cell r="D271" t="str">
            <v>USD</v>
          </cell>
          <cell r="E271">
            <v>80</v>
          </cell>
        </row>
        <row r="272">
          <cell r="B272" t="str">
            <v>Target price period</v>
          </cell>
          <cell r="C272" t="str">
            <v>TP_PERIOD</v>
          </cell>
          <cell r="E272" t="str">
            <v>12 months</v>
          </cell>
        </row>
        <row r="273">
          <cell r="B273" t="str">
            <v>Fundamental value</v>
          </cell>
          <cell r="C273" t="str">
            <v>TARGET_PRICE_FUNDAMENTAL</v>
          </cell>
          <cell r="D273" t="str">
            <v>USD</v>
          </cell>
          <cell r="E273"/>
        </row>
        <row r="274">
          <cell r="B274" t="str">
            <v>M&amp;A value</v>
          </cell>
          <cell r="C274" t="str">
            <v>TARGET_PRICE_MA</v>
          </cell>
          <cell r="D274" t="str">
            <v>USD</v>
          </cell>
          <cell r="E274"/>
        </row>
        <row r="275">
          <cell r="B275" t="str">
            <v>Current shares outstanding (mn)</v>
          </cell>
          <cell r="C275" t="str">
            <v>NUM_SH</v>
          </cell>
          <cell r="E275">
            <v>293.351</v>
          </cell>
        </row>
        <row r="276">
          <cell r="B276" t="str">
            <v>Free float</v>
          </cell>
          <cell r="C276" t="str">
            <v>FREE_FLOAT</v>
          </cell>
          <cell r="E276"/>
        </row>
        <row r="277">
          <cell r="A277" t="str">
            <v>Publishing Items</v>
          </cell>
          <cell r="B277"/>
          <cell r="C277"/>
          <cell r="D277"/>
        </row>
        <row r="278">
          <cell r="B278" t="str">
            <v>Book value per share, BVPS (Pub)</v>
          </cell>
          <cell r="C278" t="str">
            <v>BVPS_PUB</v>
          </cell>
          <cell r="D278" t="str">
            <v>USD</v>
          </cell>
          <cell r="F278"/>
          <cell r="G278"/>
          <cell r="H278">
            <v>1.1308838717257867</v>
          </cell>
          <cell r="I278">
            <v>1.8673406356403326</v>
          </cell>
          <cell r="J278">
            <v>-1.4995548935543672</v>
          </cell>
          <cell r="K278">
            <v>2.3081115621003465</v>
          </cell>
          <cell r="L278">
            <v>0.92877575941959201</v>
          </cell>
          <cell r="M278">
            <v>0.66112509471419767</v>
          </cell>
          <cell r="N278">
            <v>1.422603126274298</v>
          </cell>
          <cell r="O278">
            <v>1.6941937750980658</v>
          </cell>
          <cell r="P278">
            <v>1.3814206424516817</v>
          </cell>
          <cell r="Q278">
            <v>1.8578198238690913</v>
          </cell>
          <cell r="R278">
            <v>2.1252050938801212</v>
          </cell>
          <cell r="S278">
            <v>1.908783190684384</v>
          </cell>
          <cell r="T278">
            <v>1.9911216041879158</v>
          </cell>
          <cell r="U278">
            <v>2.458414554905783</v>
          </cell>
          <cell r="V278">
            <v>2.1484633174510308</v>
          </cell>
          <cell r="W278">
            <v>1.6694413624612634</v>
          </cell>
          <cell r="X278">
            <v>1.0028008649414353</v>
          </cell>
          <cell r="Y278">
            <v>1.0323265755103337</v>
          </cell>
          <cell r="Z278">
            <v>0.33494313838172413</v>
          </cell>
          <cell r="AA278">
            <v>-0.34298256082437661</v>
          </cell>
          <cell r="AB278">
            <v>-0.93722436674373233</v>
          </cell>
          <cell r="AC278">
            <v>-1.3738546090432169</v>
          </cell>
          <cell r="AD278">
            <v>-1.412169437014051</v>
          </cell>
          <cell r="AE278">
            <v>-2.7443068514734485</v>
          </cell>
          <cell r="AF278">
            <v>-3.7497750309023479</v>
          </cell>
          <cell r="AG278">
            <v>-3.5951857111908114</v>
          </cell>
          <cell r="AH278">
            <v>-4.7600370628186539</v>
          </cell>
          <cell r="AI278">
            <v>-4.9031250601035872</v>
          </cell>
          <cell r="AJ278">
            <v>-3.2424233987164675</v>
          </cell>
          <cell r="AK278">
            <v>-3.3162270118094392</v>
          </cell>
          <cell r="AL278">
            <v>-3.2447353161956731</v>
          </cell>
          <cell r="AM278">
            <v>-3.5515133230995857</v>
          </cell>
          <cell r="AN278">
            <v>-3.6299319951682247</v>
          </cell>
          <cell r="AO278">
            <v>-3.4612547255670676</v>
          </cell>
          <cell r="AP278">
            <v>-3.3747348269260629</v>
          </cell>
          <cell r="AQ278">
            <v>-3.3615225680022172</v>
          </cell>
          <cell r="AR278">
            <v>-2.9744483500958636</v>
          </cell>
          <cell r="AS278">
            <v>-3.0329228813784761</v>
          </cell>
          <cell r="AT278">
            <v>-2.6593689179676185</v>
          </cell>
          <cell r="AU278">
            <v>-2.5084046536232885</v>
          </cell>
          <cell r="AV278">
            <v>-2.5205276563885994</v>
          </cell>
          <cell r="AW278">
            <v>-2.9374309158242102</v>
          </cell>
          <cell r="AX278">
            <v>-2.9751512034338483</v>
          </cell>
          <cell r="AY278">
            <v>-2.5709269346778925</v>
          </cell>
          <cell r="AZ278">
            <v>-3.0234335811453223</v>
          </cell>
          <cell r="BA278">
            <v>-2.6415800399475948</v>
          </cell>
          <cell r="BB278">
            <v>-2.426102079305867</v>
          </cell>
          <cell r="BC278">
            <v>-2.457654864358044</v>
          </cell>
          <cell r="BD278">
            <v>-1.927960707316384</v>
          </cell>
          <cell r="BE278">
            <v>-1.2671912230074405</v>
          </cell>
          <cell r="BF278">
            <v>-0.82258852657482684</v>
          </cell>
          <cell r="BG278">
            <v>-0.55826562902075116</v>
          </cell>
          <cell r="BH278">
            <v>-0.56342416913082505</v>
          </cell>
          <cell r="BI278">
            <v>3.9707459019224525E-2</v>
          </cell>
          <cell r="BJ278">
            <v>0.82063637442644199</v>
          </cell>
          <cell r="BK278">
            <v>1.3547601152628876</v>
          </cell>
          <cell r="BL278">
            <v>1.7538773839051223</v>
          </cell>
          <cell r="BM278">
            <v>1.7712195936274855</v>
          </cell>
          <cell r="BN278">
            <v>2.5335037120832822</v>
          </cell>
          <cell r="BO278">
            <v>3.5158958933518174</v>
          </cell>
          <cell r="BP278">
            <v>4.2068711919862105</v>
          </cell>
          <cell r="BQ278">
            <v>4.677882969329465</v>
          </cell>
          <cell r="BR278">
            <v>4.7261254017717791</v>
          </cell>
          <cell r="BS278">
            <v>5.5822127393818866</v>
          </cell>
          <cell r="BT278">
            <v>6.7122143108653916</v>
          </cell>
          <cell r="BU278">
            <v>7.5073397150986381</v>
          </cell>
          <cell r="BV278">
            <v>8.061189102620629</v>
          </cell>
          <cell r="BW278">
            <v>8.1421769217921725</v>
          </cell>
          <cell r="BX278">
            <v>9.1085549513861714</v>
          </cell>
          <cell r="BY278">
            <v>10.406146353716684</v>
          </cell>
          <cell r="BZ278">
            <v>11.319650325620964</v>
          </cell>
          <cell r="CA278">
            <v>11.969103235371222</v>
          </cell>
          <cell r="CB278">
            <v>12.086223246812548</v>
          </cell>
        </row>
        <row r="279">
          <cell r="B279" t="str">
            <v>DPS, dividend per share (Pub)</v>
          </cell>
          <cell r="C279" t="str">
            <v>DPS_PUB</v>
          </cell>
          <cell r="D279" t="str">
            <v>USD</v>
          </cell>
          <cell r="F279"/>
          <cell r="G279"/>
          <cell r="H279"/>
          <cell r="I279"/>
          <cell r="J279"/>
          <cell r="K279"/>
          <cell r="L279"/>
          <cell r="M279"/>
          <cell r="N279"/>
          <cell r="O279"/>
          <cell r="P279"/>
          <cell r="Q279"/>
          <cell r="R279"/>
          <cell r="S279"/>
          <cell r="T279"/>
          <cell r="U279"/>
          <cell r="V279"/>
          <cell r="W279"/>
          <cell r="X279"/>
          <cell r="Y279"/>
          <cell r="Z279"/>
          <cell r="AA279"/>
          <cell r="AB279"/>
          <cell r="AC279"/>
          <cell r="AD279"/>
          <cell r="AE279"/>
          <cell r="AF279"/>
          <cell r="AG279"/>
          <cell r="AH279"/>
          <cell r="AI279"/>
          <cell r="AJ279"/>
          <cell r="AK279"/>
          <cell r="AL279"/>
          <cell r="AM279"/>
          <cell r="AN279"/>
          <cell r="AO279"/>
          <cell r="AP279"/>
          <cell r="AQ279"/>
          <cell r="AR279"/>
          <cell r="AS279"/>
          <cell r="AT279"/>
          <cell r="AU279"/>
          <cell r="AV279"/>
          <cell r="AW279"/>
          <cell r="AX279"/>
          <cell r="AY279"/>
          <cell r="AZ279"/>
          <cell r="BA279"/>
          <cell r="BB279"/>
          <cell r="BC279"/>
          <cell r="BD279"/>
          <cell r="BE279"/>
          <cell r="BF279"/>
          <cell r="BG279"/>
          <cell r="BH279"/>
          <cell r="BI279"/>
          <cell r="BJ279"/>
          <cell r="BK279"/>
          <cell r="BL279"/>
          <cell r="BM279"/>
          <cell r="BN279"/>
          <cell r="BO279"/>
          <cell r="BP279"/>
          <cell r="BQ279"/>
          <cell r="BR279"/>
          <cell r="BS279"/>
          <cell r="BT279"/>
          <cell r="BU279"/>
          <cell r="BV279"/>
          <cell r="BW279"/>
          <cell r="BX279"/>
          <cell r="BY279"/>
          <cell r="BZ279"/>
          <cell r="CA279"/>
          <cell r="CB279"/>
        </row>
        <row r="280">
          <cell r="B280" t="str">
            <v>Special dividend per share</v>
          </cell>
          <cell r="C280" t="str">
            <v>DPS_SPECIAL_PUB</v>
          </cell>
          <cell r="D280" t="str">
            <v>USD</v>
          </cell>
          <cell r="F280"/>
          <cell r="G280"/>
          <cell r="H280"/>
          <cell r="I280"/>
          <cell r="J280"/>
          <cell r="K280"/>
          <cell r="L280"/>
          <cell r="M280"/>
          <cell r="N280"/>
          <cell r="O280"/>
          <cell r="P280"/>
          <cell r="Q280"/>
          <cell r="R280"/>
          <cell r="S280"/>
          <cell r="T280"/>
          <cell r="U280"/>
          <cell r="V280"/>
          <cell r="W280"/>
          <cell r="X280"/>
          <cell r="Y280"/>
          <cell r="Z280"/>
          <cell r="AA280"/>
          <cell r="AB280"/>
          <cell r="AC280"/>
          <cell r="AD280"/>
          <cell r="AE280"/>
          <cell r="AF280"/>
          <cell r="AG280"/>
          <cell r="AH280"/>
          <cell r="AI280"/>
          <cell r="AJ280"/>
          <cell r="AK280"/>
          <cell r="AL280"/>
          <cell r="AM280"/>
          <cell r="AN280"/>
          <cell r="AO280"/>
          <cell r="AP280"/>
          <cell r="AQ280"/>
          <cell r="AR280"/>
          <cell r="AS280"/>
          <cell r="AT280"/>
          <cell r="AU280"/>
          <cell r="AV280"/>
          <cell r="AW280"/>
          <cell r="AX280"/>
          <cell r="AY280"/>
          <cell r="AZ280"/>
          <cell r="BA280"/>
          <cell r="BB280"/>
          <cell r="BC280"/>
          <cell r="BD280"/>
          <cell r="BE280"/>
          <cell r="BF280"/>
          <cell r="BG280"/>
          <cell r="BH280"/>
          <cell r="BI280"/>
          <cell r="BJ280"/>
          <cell r="BK280"/>
          <cell r="BL280"/>
          <cell r="BM280"/>
          <cell r="BN280"/>
          <cell r="BO280"/>
          <cell r="BP280"/>
          <cell r="BQ280"/>
          <cell r="BR280"/>
          <cell r="BS280"/>
          <cell r="BT280"/>
          <cell r="BU280"/>
          <cell r="BV280"/>
          <cell r="BW280"/>
          <cell r="BX280"/>
          <cell r="BY280"/>
          <cell r="BZ280"/>
          <cell r="CA280"/>
          <cell r="CB280"/>
        </row>
        <row r="281">
          <cell r="B281" t="str">
            <v>EBITDA (Pub)</v>
          </cell>
          <cell r="C281" t="str">
            <v>EBITDA_PUB</v>
          </cell>
          <cell r="D281" t="str">
            <v>USD</v>
          </cell>
          <cell r="F281">
            <v>-12.528999999999998</v>
          </cell>
          <cell r="G281">
            <v>-39.61</v>
          </cell>
          <cell r="H281">
            <v>-72.459000000000017</v>
          </cell>
          <cell r="I281">
            <v>-101.62500000000003</v>
          </cell>
          <cell r="J281">
            <v>-58.161999999999864</v>
          </cell>
          <cell r="K281">
            <v>-13.915999999999997</v>
          </cell>
          <cell r="L281">
            <v>-12.299999999999983</v>
          </cell>
          <cell r="M281">
            <v>-34.074000000000012</v>
          </cell>
          <cell r="N281">
            <v>-13.403999999999968</v>
          </cell>
          <cell r="O281">
            <v>-73.694000000000074</v>
          </cell>
          <cell r="P281">
            <v>-10.802999999999997</v>
          </cell>
          <cell r="Q281">
            <v>-8.5169999999999959</v>
          </cell>
          <cell r="R281">
            <v>-21.569999999999993</v>
          </cell>
          <cell r="S281">
            <v>-5.4590000000000032</v>
          </cell>
          <cell r="T281">
            <v>-46.348999999999933</v>
          </cell>
          <cell r="U281">
            <v>-9.6819999999999595</v>
          </cell>
          <cell r="V281">
            <v>-20.201999999999998</v>
          </cell>
          <cell r="W281">
            <v>-84.044999999999959</v>
          </cell>
          <cell r="X281">
            <v>-82.739000000000033</v>
          </cell>
          <cell r="Y281">
            <v>-196.66799999999989</v>
          </cell>
          <cell r="Z281">
            <v>-111.75099999999998</v>
          </cell>
          <cell r="AA281">
            <v>-90.864999999999952</v>
          </cell>
          <cell r="AB281">
            <v>-109.08499999999998</v>
          </cell>
          <cell r="AC281">
            <v>-49.56799999999987</v>
          </cell>
          <cell r="AD281">
            <v>-361.26900000000001</v>
          </cell>
          <cell r="AE281">
            <v>-61.702999999999975</v>
          </cell>
          <cell r="AF281">
            <v>-43.394000000000005</v>
          </cell>
          <cell r="AG281">
            <v>-56.608000000000004</v>
          </cell>
          <cell r="AH281">
            <v>-24.951999999999884</v>
          </cell>
          <cell r="AI281">
            <v>-186.65699999999993</v>
          </cell>
          <cell r="AJ281">
            <v>-18.939999999999998</v>
          </cell>
          <cell r="AK281">
            <v>20.885000000000048</v>
          </cell>
          <cell r="AL281">
            <v>15.788000000000011</v>
          </cell>
          <cell r="AM281">
            <v>-17.000000000000114</v>
          </cell>
          <cell r="AN281">
            <v>0.73299999999994725</v>
          </cell>
          <cell r="AO281">
            <v>30.035000000000025</v>
          </cell>
          <cell r="AP281">
            <v>89.627999999999986</v>
          </cell>
          <cell r="AQ281">
            <v>36.788000000000068</v>
          </cell>
          <cell r="AR281">
            <v>80.93300000000005</v>
          </cell>
          <cell r="AS281">
            <v>237.38400000000001</v>
          </cell>
          <cell r="AT281">
            <v>97.673000000000002</v>
          </cell>
          <cell r="AU281">
            <v>142.07999999999993</v>
          </cell>
          <cell r="AV281">
            <v>91.873000000000047</v>
          </cell>
          <cell r="AW281">
            <v>88.68</v>
          </cell>
          <cell r="AX281">
            <v>420.30600000000004</v>
          </cell>
          <cell r="AY281">
            <v>136.4009999999999</v>
          </cell>
          <cell r="AZ281">
            <v>179.536</v>
          </cell>
          <cell r="BA281">
            <v>127.1478941042306</v>
          </cell>
          <cell r="BB281">
            <v>81.527823897910821</v>
          </cell>
          <cell r="BC281">
            <v>524.61271800214149</v>
          </cell>
          <cell r="BD281">
            <v>165.10728259143161</v>
          </cell>
          <cell r="BE281">
            <v>212.89122383098345</v>
          </cell>
          <cell r="BF281">
            <v>151.86552948469239</v>
          </cell>
          <cell r="BG281">
            <v>100.657707764527</v>
          </cell>
          <cell r="BH281">
            <v>630.52174367163389</v>
          </cell>
          <cell r="BI281">
            <v>199.10212421034066</v>
          </cell>
          <cell r="BJ281">
            <v>253.97673000077862</v>
          </cell>
          <cell r="BK281">
            <v>181.1319730503925</v>
          </cell>
          <cell r="BL281">
            <v>123.02925460009385</v>
          </cell>
          <cell r="BM281">
            <v>757.24008186160563</v>
          </cell>
          <cell r="BN281">
            <v>238.17264990689421</v>
          </cell>
          <cell r="BO281">
            <v>300.98034973595043</v>
          </cell>
          <cell r="BP281">
            <v>214.40136116028611</v>
          </cell>
          <cell r="BQ281">
            <v>148.64548456028024</v>
          </cell>
          <cell r="BR281">
            <v>902.19984536341053</v>
          </cell>
          <cell r="BS281">
            <v>283.40275269185827</v>
          </cell>
          <cell r="BT281">
            <v>355.00613035923141</v>
          </cell>
          <cell r="BU281">
            <v>252.44952334260529</v>
          </cell>
          <cell r="BV281">
            <v>178.25364932200819</v>
          </cell>
          <cell r="BW281">
            <v>1069.1120557157033</v>
          </cell>
          <cell r="BX281">
            <v>335.61766298029158</v>
          </cell>
          <cell r="BY281">
            <v>416.9145851362814</v>
          </cell>
          <cell r="BZ281">
            <v>295.77618341264008</v>
          </cell>
          <cell r="CA281">
            <v>212.28991676672933</v>
          </cell>
          <cell r="CB281">
            <v>1260.5983482959432</v>
          </cell>
        </row>
        <row r="282">
          <cell r="B282" t="str">
            <v>EPS (Pub)</v>
          </cell>
          <cell r="C282" t="str">
            <v>EPS_PUB</v>
          </cell>
          <cell r="D282" t="str">
            <v>USD</v>
          </cell>
          <cell r="F282">
            <v>-0.40441533352994419</v>
          </cell>
          <cell r="G282">
            <v>-1.2068377288557779</v>
          </cell>
          <cell r="H282">
            <v>-2.1230770216527564</v>
          </cell>
          <cell r="I282">
            <v>-2.6522926818045391</v>
          </cell>
          <cell r="J282">
            <v>-1.9526780993778514</v>
          </cell>
          <cell r="K282">
            <v>-0.34914182399853022</v>
          </cell>
          <cell r="L282">
            <v>-0.16225740616324599</v>
          </cell>
          <cell r="M282">
            <v>-0.31695657930191296</v>
          </cell>
          <cell r="N282">
            <v>-0.17072181272865125</v>
          </cell>
          <cell r="O282">
            <v>-0.94219006261298865</v>
          </cell>
          <cell r="P282">
            <v>-0.15764702465064082</v>
          </cell>
          <cell r="Q282">
            <v>-0.14328779854221504</v>
          </cell>
          <cell r="R282">
            <v>-0.20752726845375019</v>
          </cell>
          <cell r="S282">
            <v>-0.11111140511843912</v>
          </cell>
          <cell r="T282">
            <v>-0.61868879409641642</v>
          </cell>
          <cell r="U282">
            <v>-0.13481071098799619</v>
          </cell>
          <cell r="V282">
            <v>-0.22519434924350079</v>
          </cell>
          <cell r="W282">
            <v>-0.56274765936282201</v>
          </cell>
          <cell r="X282">
            <v>-0.56786195277162244</v>
          </cell>
          <cell r="Y282">
            <v>-1.5071593500774385</v>
          </cell>
          <cell r="Z282">
            <v>-0.71348809253918644</v>
          </cell>
          <cell r="AA282">
            <v>-0.60334047642520239</v>
          </cell>
          <cell r="AB282">
            <v>-0.68873430227228727</v>
          </cell>
          <cell r="AC282">
            <v>-0.39467399450412177</v>
          </cell>
          <cell r="AD282">
            <v>-2.392394576838238</v>
          </cell>
          <cell r="AE282">
            <v>-0.44010930845170981</v>
          </cell>
          <cell r="AF282">
            <v>-0.36600829547699004</v>
          </cell>
          <cell r="AG282">
            <v>-0.41224273644175907</v>
          </cell>
          <cell r="AH282">
            <v>-0.26070964950237968</v>
          </cell>
          <cell r="AI282">
            <v>-1.4750764889309373</v>
          </cell>
          <cell r="AJ282">
            <v>-0.21745344525960619</v>
          </cell>
          <cell r="AK282">
            <v>-2.965613688713396E-2</v>
          </cell>
          <cell r="AL282">
            <v>-4.7893452239147802E-2</v>
          </cell>
          <cell r="AM282">
            <v>-0.17232628506020467</v>
          </cell>
          <cell r="AN282">
            <v>-0.46636570948685602</v>
          </cell>
          <cell r="AO282">
            <v>3.3131475777093362E-2</v>
          </cell>
          <cell r="AP282">
            <v>0.3110329245787416</v>
          </cell>
          <cell r="AQ282">
            <v>9.2517093744009279E-2</v>
          </cell>
          <cell r="AR282">
            <v>0.28396515187190979</v>
          </cell>
          <cell r="AS282">
            <v>0.72438778568371698</v>
          </cell>
          <cell r="AT282">
            <v>0.35214708683589402</v>
          </cell>
          <cell r="AU282">
            <v>0.4567093186842629</v>
          </cell>
          <cell r="AV282">
            <v>0.34687466940097494</v>
          </cell>
          <cell r="AW282">
            <v>0.30548316564872574</v>
          </cell>
          <cell r="AX282">
            <v>1.5622959594349992</v>
          </cell>
          <cell r="AY282">
            <v>0.42160932593333728</v>
          </cell>
          <cell r="AZ282">
            <v>0.56290246155629253</v>
          </cell>
          <cell r="BA282">
            <v>0.38921438734695157</v>
          </cell>
          <cell r="BB282">
            <v>0.2407266080436298</v>
          </cell>
          <cell r="BC282">
            <v>1.6111629873026416</v>
          </cell>
          <cell r="BD282">
            <v>0.50776320628006866</v>
          </cell>
          <cell r="BE282">
            <v>0.65894657517812649</v>
          </cell>
          <cell r="BF282">
            <v>0.46512900961764631</v>
          </cell>
          <cell r="BG282">
            <v>0.30265128612672165</v>
          </cell>
          <cell r="BH282">
            <v>1.9322636180990413</v>
          </cell>
          <cell r="BI282">
            <v>0.60903374325066417</v>
          </cell>
          <cell r="BJ282">
            <v>0.7796974293965947</v>
          </cell>
          <cell r="BK282">
            <v>0.55417682123137824</v>
          </cell>
          <cell r="BL282">
            <v>0.37442098694293713</v>
          </cell>
          <cell r="BM282">
            <v>2.3146002648486173</v>
          </cell>
          <cell r="BN282">
            <v>0.72554027132901633</v>
          </cell>
          <cell r="BO282">
            <v>0.91677483235437907</v>
          </cell>
          <cell r="BP282">
            <v>0.65595490816224056</v>
          </cell>
          <cell r="BQ282">
            <v>0.45849336381587319</v>
          </cell>
          <cell r="BR282">
            <v>2.7534675312758821</v>
          </cell>
          <cell r="BS282">
            <v>0.85955034327636515</v>
          </cell>
          <cell r="BT282">
            <v>1.0728415870576515</v>
          </cell>
          <cell r="BU282">
            <v>0.7721605565141898</v>
          </cell>
          <cell r="BV282">
            <v>0.55509913622748475</v>
          </cell>
          <cell r="BW282">
            <v>3.2560057312321624</v>
          </cell>
          <cell r="BX282">
            <v>1.0127726621374329</v>
          </cell>
          <cell r="BY282">
            <v>1.2497856022438318</v>
          </cell>
          <cell r="BZ282">
            <v>0.90388365222627831</v>
          </cell>
          <cell r="CA282">
            <v>0.6658692589246511</v>
          </cell>
          <cell r="CB282">
            <v>3.8282495536256822</v>
          </cell>
        </row>
        <row r="283">
          <cell r="B283" t="str">
            <v>Consensus earnings equivalent estimate</v>
          </cell>
          <cell r="C283" t="str">
            <v>CEEE_EPS</v>
          </cell>
          <cell r="D283" t="str">
            <v>USD</v>
          </cell>
          <cell r="F283"/>
          <cell r="G283"/>
          <cell r="H283"/>
          <cell r="I283"/>
          <cell r="J283"/>
          <cell r="K283"/>
          <cell r="L283"/>
          <cell r="M283"/>
          <cell r="N283"/>
          <cell r="O283"/>
          <cell r="P283"/>
          <cell r="Q283"/>
          <cell r="R283"/>
          <cell r="S283"/>
          <cell r="T283"/>
          <cell r="U283"/>
          <cell r="V283"/>
          <cell r="W283"/>
          <cell r="X283"/>
          <cell r="Y283"/>
          <cell r="Z283"/>
          <cell r="AA283"/>
          <cell r="AB283"/>
          <cell r="AC283"/>
          <cell r="AD283"/>
          <cell r="AE283"/>
          <cell r="AF283"/>
          <cell r="AG283"/>
          <cell r="AH283"/>
          <cell r="AI283"/>
          <cell r="AJ283"/>
          <cell r="AK283"/>
          <cell r="AL283"/>
          <cell r="AM283"/>
          <cell r="AN283"/>
          <cell r="AO283"/>
          <cell r="AP283"/>
          <cell r="AQ283"/>
          <cell r="AR283"/>
          <cell r="AS283"/>
          <cell r="AT283"/>
          <cell r="AU283"/>
          <cell r="AV283"/>
          <cell r="AW283"/>
          <cell r="AX283"/>
          <cell r="AY283"/>
          <cell r="AZ283"/>
          <cell r="BA283"/>
          <cell r="BB283"/>
          <cell r="BC283"/>
          <cell r="BD283"/>
          <cell r="BE283"/>
          <cell r="BF283"/>
          <cell r="BG283"/>
          <cell r="BH283"/>
          <cell r="BI283"/>
          <cell r="BJ283"/>
          <cell r="BK283"/>
          <cell r="BL283"/>
          <cell r="BM283"/>
          <cell r="BN283"/>
          <cell r="BO283"/>
          <cell r="BP283"/>
          <cell r="BQ283"/>
          <cell r="BR283"/>
          <cell r="BS283"/>
          <cell r="BT283"/>
          <cell r="BU283"/>
          <cell r="BV283"/>
          <cell r="BW283"/>
          <cell r="BX283"/>
          <cell r="BY283"/>
          <cell r="BZ283"/>
          <cell r="CA283"/>
          <cell r="CB283"/>
        </row>
        <row r="284">
          <cell r="B284" t="str">
            <v>EPS (excl. ESO) (Pub)</v>
          </cell>
          <cell r="C284" t="str">
            <v>EPS_PUB_EX_ESO</v>
          </cell>
          <cell r="D284" t="str">
            <v>USD</v>
          </cell>
          <cell r="F284"/>
          <cell r="G284"/>
          <cell r="H284"/>
          <cell r="I284"/>
          <cell r="J284"/>
          <cell r="K284"/>
          <cell r="L284"/>
          <cell r="M284"/>
          <cell r="N284"/>
          <cell r="O284"/>
          <cell r="P284"/>
          <cell r="Q284"/>
          <cell r="R284"/>
          <cell r="S284"/>
          <cell r="T284"/>
          <cell r="U284"/>
          <cell r="V284"/>
          <cell r="W284"/>
          <cell r="X284"/>
          <cell r="Y284"/>
          <cell r="Z284"/>
          <cell r="AA284"/>
          <cell r="AB284"/>
          <cell r="AC284"/>
          <cell r="AD284"/>
          <cell r="AE284"/>
          <cell r="AF284"/>
          <cell r="AG284"/>
          <cell r="AH284"/>
          <cell r="AI284"/>
          <cell r="AJ284"/>
          <cell r="AK284"/>
          <cell r="AL284"/>
          <cell r="AM284"/>
          <cell r="AN284"/>
          <cell r="AO284"/>
          <cell r="AP284"/>
          <cell r="AQ284"/>
          <cell r="AR284"/>
          <cell r="AS284"/>
          <cell r="AT284"/>
          <cell r="AU284"/>
          <cell r="AV284"/>
          <cell r="AW284"/>
          <cell r="AX284"/>
          <cell r="AY284"/>
          <cell r="AZ284"/>
          <cell r="BA284"/>
          <cell r="BB284"/>
          <cell r="BC284"/>
          <cell r="BD284"/>
          <cell r="BE284"/>
          <cell r="BF284"/>
          <cell r="BG284"/>
          <cell r="BH284"/>
          <cell r="BI284"/>
          <cell r="BJ284"/>
          <cell r="BK284"/>
          <cell r="BL284"/>
          <cell r="BM284"/>
          <cell r="BN284"/>
          <cell r="BO284"/>
          <cell r="BP284"/>
          <cell r="BQ284"/>
          <cell r="BR284"/>
          <cell r="BS284"/>
          <cell r="BT284"/>
          <cell r="BU284"/>
          <cell r="BV284"/>
          <cell r="BW284"/>
          <cell r="BX284"/>
          <cell r="BY284"/>
          <cell r="BZ284"/>
          <cell r="CA284"/>
          <cell r="CB284"/>
        </row>
        <row r="285">
          <cell r="B285" t="str">
            <v>EV adjustment (Pub)</v>
          </cell>
          <cell r="C285" t="str">
            <v>EV_ADJ_PUB</v>
          </cell>
          <cell r="D285" t="str">
            <v>USD</v>
          </cell>
          <cell r="F285"/>
          <cell r="G285"/>
          <cell r="H285"/>
          <cell r="I285"/>
          <cell r="J285"/>
          <cell r="K285"/>
          <cell r="L285"/>
          <cell r="M285"/>
          <cell r="N285"/>
          <cell r="O285"/>
          <cell r="P285"/>
          <cell r="Q285"/>
          <cell r="R285"/>
          <cell r="S285"/>
          <cell r="T285"/>
          <cell r="U285"/>
          <cell r="V285"/>
          <cell r="W285"/>
          <cell r="X285"/>
          <cell r="Y285"/>
          <cell r="Z285"/>
          <cell r="AA285"/>
          <cell r="AB285"/>
          <cell r="AC285"/>
          <cell r="AD285"/>
          <cell r="AE285"/>
          <cell r="AF285"/>
          <cell r="AG285"/>
          <cell r="AH285"/>
          <cell r="AI285"/>
          <cell r="AJ285"/>
          <cell r="AK285"/>
          <cell r="AL285"/>
          <cell r="AM285"/>
          <cell r="AN285">
            <v>-22.61800000000008</v>
          </cell>
          <cell r="AO285"/>
          <cell r="AP285"/>
          <cell r="AQ285"/>
          <cell r="AR285"/>
          <cell r="AS285"/>
          <cell r="AT285"/>
          <cell r="AU285"/>
          <cell r="AV285"/>
          <cell r="AW285"/>
          <cell r="AX285"/>
          <cell r="AY285"/>
          <cell r="AZ285"/>
          <cell r="BA285"/>
          <cell r="BB285"/>
          <cell r="BC285"/>
          <cell r="BD285"/>
          <cell r="BE285"/>
          <cell r="BF285"/>
          <cell r="BG285"/>
          <cell r="BH285"/>
          <cell r="BI285"/>
          <cell r="BJ285"/>
          <cell r="BK285"/>
          <cell r="BL285"/>
          <cell r="BM285"/>
          <cell r="BN285"/>
          <cell r="BO285"/>
          <cell r="BP285"/>
          <cell r="BQ285"/>
          <cell r="BR285"/>
          <cell r="BS285"/>
          <cell r="BT285"/>
          <cell r="BU285"/>
          <cell r="BV285"/>
          <cell r="BW285"/>
          <cell r="BX285"/>
          <cell r="BY285"/>
          <cell r="BZ285"/>
          <cell r="CA285"/>
          <cell r="CB285"/>
        </row>
        <row r="286">
          <cell r="B286" t="str">
            <v>Net debt (Pub)</v>
          </cell>
          <cell r="C286" t="str">
            <v>NET_DEBT_PUB</v>
          </cell>
          <cell r="D286" t="str">
            <v>USD</v>
          </cell>
          <cell r="F286"/>
          <cell r="G286"/>
          <cell r="H286">
            <v>-57.484999999999999</v>
          </cell>
          <cell r="I286">
            <v>-67.879000000000005</v>
          </cell>
          <cell r="J286">
            <v>-111.94</v>
          </cell>
          <cell r="K286">
            <v>-347.11199999999997</v>
          </cell>
          <cell r="L286">
            <v>-355.15300000000002</v>
          </cell>
          <cell r="M286">
            <v>-350.34500000000003</v>
          </cell>
          <cell r="N286">
            <v>-349.053</v>
          </cell>
          <cell r="O286">
            <v>-349.053</v>
          </cell>
          <cell r="P286">
            <v>-365.94499999999999</v>
          </cell>
          <cell r="Q286">
            <v>-502.60400000000004</v>
          </cell>
          <cell r="R286">
            <v>-500.89699999999993</v>
          </cell>
          <cell r="S286">
            <v>-504.70499999999998</v>
          </cell>
          <cell r="T286">
            <v>-504.70499999999998</v>
          </cell>
          <cell r="U286">
            <v>-528.23</v>
          </cell>
          <cell r="V286">
            <v>-521.91300000000001</v>
          </cell>
          <cell r="W286">
            <v>-489.35300000000001</v>
          </cell>
          <cell r="X286">
            <v>-449.92399999999992</v>
          </cell>
          <cell r="Y286">
            <v>-449.92399999999992</v>
          </cell>
          <cell r="Z286">
            <v>-274.48099999999994</v>
          </cell>
          <cell r="AA286">
            <v>-183.60400000000007</v>
          </cell>
          <cell r="AB286">
            <v>-92.096999999999923</v>
          </cell>
          <cell r="AC286">
            <v>-76.193000000000097</v>
          </cell>
          <cell r="AD286">
            <v>-76.193000000000097</v>
          </cell>
          <cell r="AE286">
            <v>-168.87700000000012</v>
          </cell>
          <cell r="AF286">
            <v>-128.02099999999984</v>
          </cell>
          <cell r="AG286">
            <v>-78.054999999999893</v>
          </cell>
          <cell r="AH286">
            <v>-28.76600000000002</v>
          </cell>
          <cell r="AI286">
            <v>-28.76600000000002</v>
          </cell>
          <cell r="AJ286">
            <v>106.80499999999989</v>
          </cell>
          <cell r="AK286">
            <v>89.44700000000023</v>
          </cell>
          <cell r="AL286">
            <v>89.280000000000086</v>
          </cell>
          <cell r="AM286">
            <v>106.96499999999992</v>
          </cell>
          <cell r="AN286">
            <v>106.96499999999992</v>
          </cell>
          <cell r="AO286">
            <v>51.921999999999969</v>
          </cell>
          <cell r="AP286">
            <v>-9.9140000000002146</v>
          </cell>
          <cell r="AQ286">
            <v>-46.674999999999955</v>
          </cell>
          <cell r="AR286">
            <v>-120.72299999999996</v>
          </cell>
          <cell r="AS286">
            <v>-120.72299999999996</v>
          </cell>
          <cell r="AT286">
            <v>-230.59099999999989</v>
          </cell>
          <cell r="AU286">
            <v>-290.65499999999997</v>
          </cell>
          <cell r="AV286">
            <v>-276.50300000000016</v>
          </cell>
          <cell r="AW286">
            <v>-309.74699999999996</v>
          </cell>
          <cell r="AX286">
            <v>-309.74699999999996</v>
          </cell>
          <cell r="AY286">
            <v>-380.9620000000001</v>
          </cell>
          <cell r="AZ286">
            <v>-285.81200000000024</v>
          </cell>
          <cell r="BA286">
            <v>-359.13865594719175</v>
          </cell>
          <cell r="BB286">
            <v>-574.66911409847182</v>
          </cell>
          <cell r="BC286">
            <v>-574.66911409847182</v>
          </cell>
          <cell r="BD286">
            <v>-744.68458728689177</v>
          </cell>
          <cell r="BE286">
            <v>-954.62138751392501</v>
          </cell>
          <cell r="BF286">
            <v>-1058.8785051495656</v>
          </cell>
          <cell r="BG286">
            <v>-1311.8504043939429</v>
          </cell>
          <cell r="BH286">
            <v>-1311.8504043939429</v>
          </cell>
          <cell r="BI286">
            <v>-1530.2712899964249</v>
          </cell>
          <cell r="BJ286">
            <v>-1790.1336413755021</v>
          </cell>
          <cell r="BK286">
            <v>-1937.0806689143947</v>
          </cell>
          <cell r="BL286">
            <v>-2271.9140912930343</v>
          </cell>
          <cell r="BM286">
            <v>-2271.9140912930343</v>
          </cell>
          <cell r="BN286">
            <v>-2550.1892435088539</v>
          </cell>
          <cell r="BO286">
            <v>-2890.54551417316</v>
          </cell>
          <cell r="BP286">
            <v>-3111.0500005263311</v>
          </cell>
          <cell r="BQ286">
            <v>-3505.7823944974989</v>
          </cell>
          <cell r="BR286">
            <v>-3505.7823944974989</v>
          </cell>
          <cell r="BS286">
            <v>-3844.4270265994719</v>
          </cell>
          <cell r="BT286">
            <v>-4258.1095655280142</v>
          </cell>
          <cell r="BU286">
            <v>-4533.0666813578619</v>
          </cell>
          <cell r="BV286">
            <v>-5007.6193549050122</v>
          </cell>
          <cell r="BW286">
            <v>-5007.6193549050122</v>
          </cell>
          <cell r="BX286">
            <v>-5417.1619289787377</v>
          </cell>
          <cell r="BY286">
            <v>-5918.8820579273188</v>
          </cell>
          <cell r="BZ286">
            <v>-6262.9889616635128</v>
          </cell>
          <cell r="CA286">
            <v>-6824.5529278865743</v>
          </cell>
          <cell r="CB286">
            <v>-6824.5529278865743</v>
          </cell>
        </row>
        <row r="287">
          <cell r="B287" t="str">
            <v>Net Debt (ex leases) (Pub)</v>
          </cell>
          <cell r="C287" t="str">
            <v>NET_DEBT_EX_LEASES_PUB</v>
          </cell>
          <cell r="D287" t="str">
            <v>USD</v>
          </cell>
          <cell r="F287"/>
          <cell r="G287"/>
          <cell r="H287">
            <v>-57.484999999999999</v>
          </cell>
          <cell r="I287">
            <v>-150.53899999999999</v>
          </cell>
          <cell r="J287">
            <v>-111.93999999999998</v>
          </cell>
          <cell r="K287">
            <v>-347.11199999999997</v>
          </cell>
          <cell r="L287">
            <v>-355.15300000000002</v>
          </cell>
          <cell r="M287">
            <v>-350.34500000000003</v>
          </cell>
          <cell r="N287">
            <v>-349.053</v>
          </cell>
          <cell r="O287">
            <v>-349.053</v>
          </cell>
          <cell r="P287">
            <v>-365.94499999999999</v>
          </cell>
          <cell r="Q287">
            <v>-502.6040000000001</v>
          </cell>
          <cell r="R287">
            <v>-500.89699999999993</v>
          </cell>
          <cell r="S287">
            <v>-504.70499999999998</v>
          </cell>
          <cell r="T287">
            <v>-504.70499999999998</v>
          </cell>
          <cell r="U287">
            <v>-528.2299999999999</v>
          </cell>
          <cell r="V287">
            <v>-521.91300000000001</v>
          </cell>
          <cell r="W287">
            <v>-489.35299999999995</v>
          </cell>
          <cell r="X287">
            <v>-449.92399999999992</v>
          </cell>
          <cell r="Y287">
            <v>-449.92399999999992</v>
          </cell>
          <cell r="Z287">
            <v>-422.85899999999998</v>
          </cell>
          <cell r="AA287">
            <v>-344.69200000000001</v>
          </cell>
          <cell r="AB287">
            <v>-249.93799999999993</v>
          </cell>
          <cell r="AC287">
            <v>-229.55600000000004</v>
          </cell>
          <cell r="AD287">
            <v>-229.55600000000004</v>
          </cell>
          <cell r="AE287">
            <v>-323.44800000000009</v>
          </cell>
          <cell r="AF287">
            <v>-277.11399999999992</v>
          </cell>
          <cell r="AG287">
            <v>-216.80799999999999</v>
          </cell>
          <cell r="AH287">
            <v>-158.03500000000008</v>
          </cell>
          <cell r="AI287">
            <v>-158.03500000000008</v>
          </cell>
          <cell r="AJ287">
            <v>-14.091000000000122</v>
          </cell>
          <cell r="AK287">
            <v>-20.153999999999996</v>
          </cell>
          <cell r="AL287">
            <v>-9.2639999999998963</v>
          </cell>
          <cell r="AM287">
            <v>-22.618000000000166</v>
          </cell>
          <cell r="AN287">
            <v>-22.618000000000166</v>
          </cell>
          <cell r="AO287">
            <v>-66.19399999999996</v>
          </cell>
          <cell r="AP287">
            <v>-124.60000000000014</v>
          </cell>
          <cell r="AQ287">
            <v>-151.19200000000001</v>
          </cell>
          <cell r="AR287">
            <v>-219.23000000000002</v>
          </cell>
          <cell r="AS287">
            <v>-219.23000000000002</v>
          </cell>
          <cell r="AT287">
            <v>-331.92699999999991</v>
          </cell>
          <cell r="AU287">
            <v>-393.52600000000007</v>
          </cell>
          <cell r="AV287">
            <v>-379.41500000000019</v>
          </cell>
          <cell r="AW287">
            <v>-424.26900000000001</v>
          </cell>
          <cell r="AX287">
            <v>-424.26900000000001</v>
          </cell>
          <cell r="AY287">
            <v>-504.99200000000008</v>
          </cell>
          <cell r="AZ287">
            <v>-401.45900000000029</v>
          </cell>
          <cell r="BA287">
            <v>-469.2611450366403</v>
          </cell>
          <cell r="BB287">
            <v>-700.89759343544665</v>
          </cell>
          <cell r="BC287">
            <v>-700.89759343544665</v>
          </cell>
          <cell r="BD287">
            <v>-882.49109989743511</v>
          </cell>
          <cell r="BE287">
            <v>-1080.5626379338164</v>
          </cell>
          <cell r="BF287">
            <v>-1176.9217132158446</v>
          </cell>
          <cell r="BG287">
            <v>-1448.3302371219911</v>
          </cell>
          <cell r="BH287">
            <v>-1448.3302371219911</v>
          </cell>
          <cell r="BI287">
            <v>-1674.9224959682774</v>
          </cell>
          <cell r="BJ287">
            <v>-1919.2700420690844</v>
          </cell>
          <cell r="BK287">
            <v>-2054.9174233616809</v>
          </cell>
          <cell r="BL287">
            <v>-2412.057268619189</v>
          </cell>
          <cell r="BM287">
            <v>-2412.057268619189</v>
          </cell>
          <cell r="BN287">
            <v>-2716.5523775862439</v>
          </cell>
          <cell r="BO287">
            <v>-3038.5182488232513</v>
          </cell>
          <cell r="BP287">
            <v>-3226.1824157159617</v>
          </cell>
          <cell r="BQ287">
            <v>-3664.3456016015116</v>
          </cell>
          <cell r="BR287">
            <v>-3664.3456016015116</v>
          </cell>
          <cell r="BS287">
            <v>-4035.1780212723179</v>
          </cell>
          <cell r="BT287">
            <v>-4427.1313239137116</v>
          </cell>
          <cell r="BU287">
            <v>-4652.7229454332328</v>
          </cell>
          <cell r="BV287">
            <v>-5186.5074625295611</v>
          </cell>
          <cell r="BW287">
            <v>-5186.5074625295611</v>
          </cell>
          <cell r="BX287">
            <v>-5635.2615108456512</v>
          </cell>
          <cell r="BY287">
            <v>-6111.3880269381762</v>
          </cell>
          <cell r="BZ287">
            <v>-6386.0984839243338</v>
          </cell>
          <cell r="CA287">
            <v>-7025.8399294706405</v>
          </cell>
          <cell r="CB287">
            <v>-7025.8399294706405</v>
          </cell>
        </row>
        <row r="288">
          <cell r="B288" t="str">
            <v>Consensus equivalent net debt</v>
          </cell>
          <cell r="C288" t="str">
            <v>CEEE_NDEBT</v>
          </cell>
          <cell r="D288" t="str">
            <v>USD</v>
          </cell>
          <cell r="F288"/>
          <cell r="G288"/>
          <cell r="H288"/>
          <cell r="I288"/>
          <cell r="J288"/>
          <cell r="K288"/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B288"/>
          <cell r="AC288"/>
          <cell r="AD288"/>
          <cell r="AE288"/>
          <cell r="AF288"/>
          <cell r="AG288"/>
          <cell r="AH288"/>
          <cell r="AI288"/>
          <cell r="AJ288"/>
          <cell r="AK288"/>
          <cell r="AL288"/>
          <cell r="AM288"/>
          <cell r="AN288"/>
          <cell r="AO288"/>
          <cell r="AP288"/>
          <cell r="AQ288"/>
          <cell r="AR288"/>
          <cell r="AS288"/>
          <cell r="AT288"/>
          <cell r="AU288"/>
          <cell r="AV288"/>
          <cell r="AW288"/>
          <cell r="AX288"/>
          <cell r="AY288"/>
          <cell r="AZ288"/>
          <cell r="BA288"/>
          <cell r="BB288"/>
          <cell r="BC288"/>
          <cell r="BD288"/>
          <cell r="BE288"/>
          <cell r="BF288"/>
          <cell r="BG288"/>
          <cell r="BH288"/>
          <cell r="BI288"/>
          <cell r="BJ288"/>
          <cell r="BK288"/>
          <cell r="BL288"/>
          <cell r="BM288"/>
          <cell r="BN288"/>
          <cell r="BO288"/>
          <cell r="BP288"/>
          <cell r="BQ288"/>
          <cell r="BR288"/>
          <cell r="BS288"/>
          <cell r="BT288"/>
          <cell r="BU288"/>
          <cell r="BV288"/>
          <cell r="BW288"/>
          <cell r="BX288"/>
          <cell r="BY288"/>
          <cell r="BZ288"/>
          <cell r="CA288"/>
          <cell r="CB288"/>
        </row>
        <row r="289">
          <cell r="B289" t="str">
            <v>Net income (Pub)</v>
          </cell>
          <cell r="C289" t="str">
            <v>NI_PUB</v>
          </cell>
          <cell r="D289" t="str">
            <v>USD</v>
          </cell>
          <cell r="F289">
            <v>-13.114999999999998</v>
          </cell>
          <cell r="G289">
            <v>-39.664000000000001</v>
          </cell>
          <cell r="H289">
            <v>-77.534999999999982</v>
          </cell>
          <cell r="I289">
            <v>-107.44300000000003</v>
          </cell>
          <cell r="J289">
            <v>-85.86</v>
          </cell>
          <cell r="K289">
            <v>-25.967000000000002</v>
          </cell>
          <cell r="L289">
            <v>-23.039999999999978</v>
          </cell>
          <cell r="M289">
            <v>-45.659000000000027</v>
          </cell>
          <cell r="N289">
            <v>-26.049000000000028</v>
          </cell>
          <cell r="O289">
            <v>-120.71500000000007</v>
          </cell>
          <cell r="P289">
            <v>-24.716000000000022</v>
          </cell>
          <cell r="Q289">
            <v>-23.175000000000011</v>
          </cell>
          <cell r="R289">
            <v>-34.624999999999986</v>
          </cell>
          <cell r="S289">
            <v>-19.02200000000002</v>
          </cell>
          <cell r="T289">
            <v>-101.53800000000007</v>
          </cell>
          <cell r="U289">
            <v>-23.65199999999998</v>
          </cell>
          <cell r="V289">
            <v>-40.409999999999997</v>
          </cell>
          <cell r="W289">
            <v>-102.962</v>
          </cell>
          <cell r="X289">
            <v>-105.83300000000006</v>
          </cell>
          <cell r="Y289">
            <v>-272.85699999999997</v>
          </cell>
          <cell r="Z289">
            <v>-135.32800000000003</v>
          </cell>
          <cell r="AA289">
            <v>-116.27999999999997</v>
          </cell>
          <cell r="AB289">
            <v>-135.24399999999997</v>
          </cell>
          <cell r="AC289">
            <v>-78.993999999999971</v>
          </cell>
          <cell r="AD289">
            <v>-465.84600000000017</v>
          </cell>
          <cell r="AE289">
            <v>-89.384</v>
          </cell>
          <cell r="AF289">
            <v>-74.124000000000024</v>
          </cell>
          <cell r="AG289">
            <v>-85.628999999999991</v>
          </cell>
          <cell r="AH289">
            <v>-55.42999999999995</v>
          </cell>
          <cell r="AI289">
            <v>-304.56700000000001</v>
          </cell>
          <cell r="AJ289">
            <v>-46.860999999999876</v>
          </cell>
          <cell r="AK289">
            <v>-6.489000000000007</v>
          </cell>
          <cell r="AL289">
            <v>-10.65499999999993</v>
          </cell>
          <cell r="AM289">
            <v>-38.842000000000013</v>
          </cell>
          <cell r="AN289">
            <v>-102.84699999999998</v>
          </cell>
          <cell r="AO289">
            <v>7.5720000000000258</v>
          </cell>
          <cell r="AP289">
            <v>72.136000000000067</v>
          </cell>
          <cell r="AQ289">
            <v>21.71700000000002</v>
          </cell>
          <cell r="AR289">
            <v>67.536000000000044</v>
          </cell>
          <cell r="AS289">
            <v>168.9610000000001</v>
          </cell>
          <cell r="AT289">
            <v>85.040000000000049</v>
          </cell>
          <cell r="AU289">
            <v>136.34599999999986</v>
          </cell>
          <cell r="AV289">
            <v>85.25</v>
          </cell>
          <cell r="AW289">
            <v>75.725000000000023</v>
          </cell>
          <cell r="AX289">
            <v>382.36099999999999</v>
          </cell>
          <cell r="AY289">
            <v>121.77299999999988</v>
          </cell>
          <cell r="AZ289">
            <v>165.12799999999999</v>
          </cell>
          <cell r="BA289">
            <v>115.21684939901911</v>
          </cell>
          <cell r="BB289">
            <v>71.905919877033114</v>
          </cell>
          <cell r="BC289">
            <v>474.02376927605235</v>
          </cell>
          <cell r="BD289">
            <v>152.526727745573</v>
          </cell>
          <cell r="BE289">
            <v>199.05554685732289</v>
          </cell>
          <cell r="BF289">
            <v>141.29665117795142</v>
          </cell>
          <cell r="BG289">
            <v>92.454952019874398</v>
          </cell>
          <cell r="BH289">
            <v>585.33387780072121</v>
          </cell>
          <cell r="BI289">
            <v>187.09100826240191</v>
          </cell>
          <cell r="BJ289">
            <v>240.85524999604473</v>
          </cell>
          <cell r="BK289">
            <v>172.15324836070499</v>
          </cell>
          <cell r="BL289">
            <v>117.06151815803743</v>
          </cell>
          <cell r="BM289">
            <v>717.16102477718914</v>
          </cell>
          <cell r="BN289">
            <v>228.28891444728654</v>
          </cell>
          <cell r="BO289">
            <v>290.29380410021503</v>
          </cell>
          <cell r="BP289">
            <v>209.01792321069885</v>
          </cell>
          <cell r="BQ289">
            <v>147.01442348463863</v>
          </cell>
          <cell r="BR289">
            <v>874.6150652428388</v>
          </cell>
          <cell r="BS289">
            <v>277.33115561597941</v>
          </cell>
          <cell r="BT289">
            <v>348.29457306632304</v>
          </cell>
          <cell r="BU289">
            <v>252.22376401880763</v>
          </cell>
          <cell r="BV289">
            <v>182.43154700196902</v>
          </cell>
          <cell r="BW289">
            <v>1060.2810397030796</v>
          </cell>
          <cell r="BX289">
            <v>334.87002562863142</v>
          </cell>
          <cell r="BY289">
            <v>415.73716370665778</v>
          </cell>
          <cell r="BZ289">
            <v>302.48175908568777</v>
          </cell>
          <cell r="CA289">
            <v>224.16274587651534</v>
          </cell>
          <cell r="CB289">
            <v>1277.2516942974928</v>
          </cell>
        </row>
        <row r="290">
          <cell r="B290" t="str">
            <v>EBIT, operating profit (Pub)</v>
          </cell>
          <cell r="C290" t="str">
            <v>EBIT_PUB</v>
          </cell>
          <cell r="D290" t="str">
            <v>USD</v>
          </cell>
          <cell r="F290">
            <v>-12.528999999999998</v>
          </cell>
          <cell r="G290">
            <v>-39.61</v>
          </cell>
          <cell r="H290">
            <v>-72.458999999999989</v>
          </cell>
          <cell r="I290">
            <v>-101.62500000000003</v>
          </cell>
          <cell r="J290">
            <v>-84.57</v>
          </cell>
          <cell r="K290">
            <v>-22.488</v>
          </cell>
          <cell r="L290">
            <v>-21.899999999999977</v>
          </cell>
          <cell r="M290">
            <v>-43.836000000000027</v>
          </cell>
          <cell r="N290">
            <v>-23.869000000000028</v>
          </cell>
          <cell r="O290">
            <v>-112.09300000000007</v>
          </cell>
          <cell r="P290">
            <v>-22.136000000000024</v>
          </cell>
          <cell r="Q290">
            <v>-20.199000000000012</v>
          </cell>
          <cell r="R290">
            <v>-34.567999999999984</v>
          </cell>
          <cell r="S290">
            <v>-19.748000000000019</v>
          </cell>
          <cell r="T290">
            <v>-96.651000000000067</v>
          </cell>
          <cell r="U290">
            <v>-25.864999999999981</v>
          </cell>
          <cell r="V290">
            <v>-39.024000000000001</v>
          </cell>
          <cell r="W290">
            <v>-104.78</v>
          </cell>
          <cell r="X290">
            <v>-104.61100000000005</v>
          </cell>
          <cell r="Y290">
            <v>-274.27999999999997</v>
          </cell>
          <cell r="Z290">
            <v>-134.21300000000002</v>
          </cell>
          <cell r="AA290">
            <v>-113.94299999999998</v>
          </cell>
          <cell r="AB290">
            <v>-133.26</v>
          </cell>
          <cell r="AC290">
            <v>-73.625999999999976</v>
          </cell>
          <cell r="AD290">
            <v>-455.04200000000014</v>
          </cell>
          <cell r="AE290">
            <v>-85.201999999999998</v>
          </cell>
          <cell r="AF290">
            <v>-66.982000000000028</v>
          </cell>
          <cell r="AG290">
            <v>-80.13</v>
          </cell>
          <cell r="AH290">
            <v>-48.715999999999951</v>
          </cell>
          <cell r="AI290">
            <v>-281.02999999999997</v>
          </cell>
          <cell r="AJ290">
            <v>-42.230999999999938</v>
          </cell>
          <cell r="AK290">
            <v>-1.4060000000000059</v>
          </cell>
          <cell r="AL290">
            <v>-5.7529999999999291</v>
          </cell>
          <cell r="AM290">
            <v>-37.829000000000008</v>
          </cell>
          <cell r="AN290">
            <v>-87.219000000000051</v>
          </cell>
          <cell r="AO290">
            <v>10.196000000000026</v>
          </cell>
          <cell r="AP290">
            <v>69.988000000000056</v>
          </cell>
          <cell r="AQ290">
            <v>17.189000000000021</v>
          </cell>
          <cell r="AR290">
            <v>63.623000000000047</v>
          </cell>
          <cell r="AS290">
            <v>160.99600000000009</v>
          </cell>
          <cell r="AT290">
            <v>79.486000000000047</v>
          </cell>
          <cell r="AU290">
            <v>123.87799999999987</v>
          </cell>
          <cell r="AV290">
            <v>73.27600000000001</v>
          </cell>
          <cell r="AW290">
            <v>70.467000000000041</v>
          </cell>
          <cell r="AX290">
            <v>347.10699999999997</v>
          </cell>
          <cell r="AY290">
            <v>118.22099999999989</v>
          </cell>
          <cell r="AZ290">
            <v>161.28899999999999</v>
          </cell>
          <cell r="BA290">
            <v>109.34089410423064</v>
          </cell>
          <cell r="BB290">
            <v>63.208132810527104</v>
          </cell>
          <cell r="BC290">
            <v>452.05902691475785</v>
          </cell>
          <cell r="BD290">
            <v>146.21941845565453</v>
          </cell>
          <cell r="BE290">
            <v>193.74466397355525</v>
          </cell>
          <cell r="BF290">
            <v>131.36156959961522</v>
          </cell>
          <cell r="BG290">
            <v>79.178535574484613</v>
          </cell>
          <cell r="BH290">
            <v>550.50418760330922</v>
          </cell>
          <cell r="BI290">
            <v>176.62460098961242</v>
          </cell>
          <cell r="BJ290">
            <v>231.40616250111316</v>
          </cell>
          <cell r="BK290">
            <v>157.1338748698862</v>
          </cell>
          <cell r="BL290">
            <v>98.057616927996378</v>
          </cell>
          <cell r="BM290">
            <v>663.22225528860827</v>
          </cell>
          <cell r="BN290">
            <v>212.28253679506554</v>
          </cell>
          <cell r="BO290">
            <v>275.11536581978726</v>
          </cell>
          <cell r="BP290">
            <v>186.98659284482324</v>
          </cell>
          <cell r="BQ290">
            <v>120.21873660353947</v>
          </cell>
          <cell r="BR290">
            <v>794.60323206321527</v>
          </cell>
          <cell r="BS290">
            <v>253.88963652776727</v>
          </cell>
          <cell r="BT290">
            <v>325.62190198910935</v>
          </cell>
          <cell r="BU290">
            <v>221.35973245125422</v>
          </cell>
          <cell r="BV290">
            <v>146.08986720389316</v>
          </cell>
          <cell r="BW290">
            <v>946.96113817202468</v>
          </cell>
          <cell r="BX290">
            <v>302.28199772616722</v>
          </cell>
          <cell r="BY290">
            <v>383.81598335338879</v>
          </cell>
          <cell r="BZ290">
            <v>260.79151420663788</v>
          </cell>
          <cell r="CA290">
            <v>176.15320157253723</v>
          </cell>
          <cell r="CB290">
            <v>1123.0426968587317</v>
          </cell>
        </row>
        <row r="291">
          <cell r="B291" t="str">
            <v>Pre-tax profit (Pub)</v>
          </cell>
          <cell r="C291" t="str">
            <v>PTP_PUB</v>
          </cell>
          <cell r="D291" t="str">
            <v>USD</v>
          </cell>
          <cell r="F291">
            <v>-13.114999999999998</v>
          </cell>
          <cell r="G291">
            <v>-39.664000000000001</v>
          </cell>
          <cell r="H291">
            <v>-77.534999999999982</v>
          </cell>
          <cell r="I291">
            <v>-107.44300000000003</v>
          </cell>
          <cell r="J291">
            <v>-85.86</v>
          </cell>
          <cell r="K291">
            <v>-25.856000000000002</v>
          </cell>
          <cell r="L291">
            <v>-22.492999999999977</v>
          </cell>
          <cell r="M291">
            <v>-43.53300000000003</v>
          </cell>
          <cell r="N291">
            <v>-24.416000000000029</v>
          </cell>
          <cell r="O291">
            <v>-116.29800000000007</v>
          </cell>
          <cell r="P291">
            <v>-22.325000000000024</v>
          </cell>
          <cell r="Q291">
            <v>-20.322000000000013</v>
          </cell>
          <cell r="R291">
            <v>-31.886999999999983</v>
          </cell>
          <cell r="S291">
            <v>-16.738000000000021</v>
          </cell>
          <cell r="T291">
            <v>-91.272000000000062</v>
          </cell>
          <cell r="U291">
            <v>-21.41999999999998</v>
          </cell>
          <cell r="V291">
            <v>-36.155999999999999</v>
          </cell>
          <cell r="W291">
            <v>-100.605</v>
          </cell>
          <cell r="X291">
            <v>-101.80500000000005</v>
          </cell>
          <cell r="Y291">
            <v>-259.98599999999999</v>
          </cell>
          <cell r="Z291">
            <v>-131.61800000000002</v>
          </cell>
          <cell r="AA291">
            <v>-112.04299999999998</v>
          </cell>
          <cell r="AB291">
            <v>-131.00799999999998</v>
          </cell>
          <cell r="AC291">
            <v>-75.359999999999971</v>
          </cell>
          <cell r="AD291">
            <v>-450.02900000000017</v>
          </cell>
          <cell r="AE291">
            <v>-85.534000000000006</v>
          </cell>
          <cell r="AF291">
            <v>-69.592000000000027</v>
          </cell>
          <cell r="AG291">
            <v>-81.706999999999994</v>
          </cell>
          <cell r="AH291">
            <v>-49.989999999999952</v>
          </cell>
          <cell r="AI291">
            <v>-286.82299999999998</v>
          </cell>
          <cell r="AJ291">
            <v>-43.074999999999875</v>
          </cell>
          <cell r="AK291">
            <v>-1.6120000000000072</v>
          </cell>
          <cell r="AL291">
            <v>-6.1039999999999299</v>
          </cell>
          <cell r="AM291">
            <v>-33.57800000000001</v>
          </cell>
          <cell r="AN291">
            <v>-84.368999999999986</v>
          </cell>
          <cell r="AO291">
            <v>12.511000000000026</v>
          </cell>
          <cell r="AP291">
            <v>75.763000000000062</v>
          </cell>
          <cell r="AQ291">
            <v>26.209000000000021</v>
          </cell>
          <cell r="AR291">
            <v>73.234000000000037</v>
          </cell>
          <cell r="AS291">
            <v>187.7170000000001</v>
          </cell>
          <cell r="AT291">
            <v>89.638000000000048</v>
          </cell>
          <cell r="AU291">
            <v>142.51499999999987</v>
          </cell>
          <cell r="AV291">
            <v>90.701000000000008</v>
          </cell>
          <cell r="AW291">
            <v>83.491000000000028</v>
          </cell>
          <cell r="AX291">
            <v>406.34499999999997</v>
          </cell>
          <cell r="AY291">
            <v>128.42899999999989</v>
          </cell>
          <cell r="AZ291">
            <v>173.93499999999997</v>
          </cell>
          <cell r="BA291">
            <v>121.28089410423064</v>
          </cell>
          <cell r="BB291">
            <v>75.690441975824328</v>
          </cell>
          <cell r="BC291">
            <v>499.33533608005507</v>
          </cell>
          <cell r="BD291">
            <v>160.55445025849789</v>
          </cell>
          <cell r="BE291">
            <v>209.53215458665568</v>
          </cell>
          <cell r="BF291">
            <v>148.73331702942255</v>
          </cell>
          <cell r="BG291">
            <v>97.321002126183572</v>
          </cell>
          <cell r="BH291">
            <v>616.14092400075924</v>
          </cell>
          <cell r="BI291">
            <v>196.93790343410728</v>
          </cell>
          <cell r="BJ291">
            <v>253.53184210109973</v>
          </cell>
          <cell r="BK291">
            <v>181.21394564284736</v>
          </cell>
          <cell r="BL291">
            <v>123.22265069267098</v>
          </cell>
          <cell r="BM291">
            <v>754.90634187072544</v>
          </cell>
          <cell r="BN291">
            <v>240.30412047082794</v>
          </cell>
          <cell r="BO291">
            <v>305.57242536864737</v>
          </cell>
          <cell r="BP291">
            <v>220.01886653757774</v>
          </cell>
          <cell r="BQ291">
            <v>154.75202472067224</v>
          </cell>
          <cell r="BR291">
            <v>920.64743709772506</v>
          </cell>
          <cell r="BS291">
            <v>291.92753222734677</v>
          </cell>
          <cell r="BT291">
            <v>366.62586638560322</v>
          </cell>
          <cell r="BU291">
            <v>265.49869896716592</v>
          </cell>
          <cell r="BV291">
            <v>192.0332073704937</v>
          </cell>
          <cell r="BW291">
            <v>1116.0853049506102</v>
          </cell>
          <cell r="BX291">
            <v>352.49476381961205</v>
          </cell>
          <cell r="BY291">
            <v>437.61806705963977</v>
          </cell>
          <cell r="BZ291">
            <v>318.401851669145</v>
          </cell>
          <cell r="CA291">
            <v>235.96078513317406</v>
          </cell>
          <cell r="CB291">
            <v>1344.4754676815714</v>
          </cell>
        </row>
        <row r="292">
          <cell r="B292" t="str">
            <v>Sales, revenue (Pub)</v>
          </cell>
          <cell r="C292" t="str">
            <v>REVS_PUB</v>
          </cell>
          <cell r="D292" t="str">
            <v>USD</v>
          </cell>
          <cell r="F292">
            <v>6.5860000000000003</v>
          </cell>
          <cell r="G292">
            <v>30.533000000000001</v>
          </cell>
          <cell r="H292">
            <v>127.127</v>
          </cell>
          <cell r="I292">
            <v>241.43199999999999</v>
          </cell>
          <cell r="J292">
            <v>503.41</v>
          </cell>
          <cell r="K292">
            <v>188.56100000000001</v>
          </cell>
          <cell r="L292">
            <v>199.214</v>
          </cell>
          <cell r="M292">
            <v>205.67</v>
          </cell>
          <cell r="N292">
            <v>252.458</v>
          </cell>
          <cell r="O292">
            <v>845.90300000000002</v>
          </cell>
          <cell r="P292">
            <v>275.55200000000002</v>
          </cell>
          <cell r="Q292">
            <v>286.74399999999997</v>
          </cell>
          <cell r="R292">
            <v>289.41300000000001</v>
          </cell>
          <cell r="S292">
            <v>303.74799999999999</v>
          </cell>
          <cell r="T292">
            <v>1155.4569999999999</v>
          </cell>
          <cell r="U292">
            <v>313.28300000000002</v>
          </cell>
          <cell r="V292">
            <v>335.36</v>
          </cell>
          <cell r="W292">
            <v>287.62400000000002</v>
          </cell>
          <cell r="X292">
            <v>299.87599999999998</v>
          </cell>
          <cell r="Y292">
            <v>1236.143</v>
          </cell>
          <cell r="Z292">
            <v>314.76799999999997</v>
          </cell>
          <cell r="AA292">
            <v>346.767</v>
          </cell>
          <cell r="AB292">
            <v>318.27300000000002</v>
          </cell>
          <cell r="AC292">
            <v>327.87400000000002</v>
          </cell>
          <cell r="AD292">
            <v>1307.6819999999998</v>
          </cell>
          <cell r="AE292">
            <v>312.75400000000002</v>
          </cell>
          <cell r="AF292">
            <v>346.38200000000001</v>
          </cell>
          <cell r="AG292">
            <v>344.50799999999998</v>
          </cell>
          <cell r="AH292">
            <v>390.72</v>
          </cell>
          <cell r="AI292">
            <v>1394.364</v>
          </cell>
          <cell r="AJ292">
            <v>378.517</v>
          </cell>
          <cell r="AK292">
            <v>413.08100000000002</v>
          </cell>
          <cell r="AL292">
            <v>403.65800000000002</v>
          </cell>
          <cell r="AM292">
            <v>385.53999999999996</v>
          </cell>
          <cell r="AN292">
            <v>1580.7959999999998</v>
          </cell>
          <cell r="AO292">
            <v>433.60900000000004</v>
          </cell>
          <cell r="AP292">
            <v>486.495</v>
          </cell>
          <cell r="AQ292">
            <v>448.58100000000002</v>
          </cell>
          <cell r="AR292">
            <v>494.21000000000004</v>
          </cell>
          <cell r="AS292">
            <v>1862.895</v>
          </cell>
          <cell r="AT292">
            <v>511.05399999999997</v>
          </cell>
          <cell r="AU292">
            <v>565.23299999999995</v>
          </cell>
          <cell r="AV292">
            <v>524.577</v>
          </cell>
          <cell r="AW292">
            <v>547.952</v>
          </cell>
          <cell r="AX292">
            <v>2148.8159999999998</v>
          </cell>
          <cell r="AY292">
            <v>590.9559999999999</v>
          </cell>
          <cell r="AZ292">
            <v>654.721</v>
          </cell>
          <cell r="BA292">
            <v>625.05342387470989</v>
          </cell>
          <cell r="BB292">
            <v>634.31378036939304</v>
          </cell>
          <cell r="BC292">
            <v>2505.0442042441027</v>
          </cell>
          <cell r="BD292">
            <v>689.44532772038724</v>
          </cell>
          <cell r="BE292">
            <v>755.78863548831373</v>
          </cell>
          <cell r="BF292">
            <v>710.32947702807428</v>
          </cell>
          <cell r="BG292">
            <v>722.11529395258208</v>
          </cell>
          <cell r="BH292">
            <v>2877.6787341893569</v>
          </cell>
          <cell r="BI292">
            <v>795.31008219311707</v>
          </cell>
          <cell r="BJ292">
            <v>868.8123797485523</v>
          </cell>
          <cell r="BK292">
            <v>806.10213766249888</v>
          </cell>
          <cell r="BL292">
            <v>819.55046470760738</v>
          </cell>
          <cell r="BM292">
            <v>3289.7750643117756</v>
          </cell>
          <cell r="BN292">
            <v>914.68492742977799</v>
          </cell>
          <cell r="BO292">
            <v>995.54070764522817</v>
          </cell>
          <cell r="BP292">
            <v>912.43915902530557</v>
          </cell>
          <cell r="BQ292">
            <v>927.26990030480863</v>
          </cell>
          <cell r="BR292">
            <v>3749.9346944051204</v>
          </cell>
          <cell r="BS292">
            <v>1048.7723778894785</v>
          </cell>
          <cell r="BT292">
            <v>1137.1557155352955</v>
          </cell>
          <cell r="BU292">
            <v>1029.9131825874588</v>
          </cell>
          <cell r="BV292">
            <v>1046.1289270840809</v>
          </cell>
          <cell r="BW292">
            <v>4261.9702030963144</v>
          </cell>
          <cell r="BX292">
            <v>1199.1382665320657</v>
          </cell>
          <cell r="BY292">
            <v>1295.1543341290935</v>
          </cell>
          <cell r="BZ292">
            <v>1159.4316462980196</v>
          </cell>
          <cell r="CA292">
            <v>1177.1165663234524</v>
          </cell>
          <cell r="CB292">
            <v>4830.8408132826316</v>
          </cell>
        </row>
        <row r="293">
          <cell r="B293" t="str">
            <v>Total shareholders' equity (Pub)</v>
          </cell>
          <cell r="C293" t="str">
            <v>EQ_PUB</v>
          </cell>
          <cell r="D293" t="str">
            <v>USD</v>
          </cell>
          <cell r="F293"/>
          <cell r="G293"/>
          <cell r="H293">
            <v>41.300000000000011</v>
          </cell>
          <cell r="I293">
            <v>75.644999999999982</v>
          </cell>
          <cell r="J293">
            <v>-65.935999999999979</v>
          </cell>
          <cell r="K293">
            <v>171.66300000000001</v>
          </cell>
          <cell r="L293">
            <v>131.88300000000004</v>
          </cell>
          <cell r="M293">
            <v>95.237999999999943</v>
          </cell>
          <cell r="N293">
            <v>217.06299999999999</v>
          </cell>
          <cell r="O293">
            <v>217.06299999999999</v>
          </cell>
          <cell r="P293">
            <v>216.58000000000004</v>
          </cell>
          <cell r="Q293">
            <v>300.47899999999981</v>
          </cell>
          <cell r="R293">
            <v>354.5809999999999</v>
          </cell>
          <cell r="S293">
            <v>326.77899999999977</v>
          </cell>
          <cell r="T293">
            <v>326.77899999999977</v>
          </cell>
          <cell r="U293">
            <v>431.31899999999996</v>
          </cell>
          <cell r="V293">
            <v>385.53100000000018</v>
          </cell>
          <cell r="W293">
            <v>305.44600000000014</v>
          </cell>
          <cell r="X293">
            <v>186.89300000000026</v>
          </cell>
          <cell r="Y293">
            <v>186.89300000000026</v>
          </cell>
          <cell r="Z293">
            <v>63.528999999999996</v>
          </cell>
          <cell r="AA293">
            <v>-66.101999999999634</v>
          </cell>
          <cell r="AB293">
            <v>-184.03899999999976</v>
          </cell>
          <cell r="AC293">
            <v>-274.97699999999986</v>
          </cell>
          <cell r="AD293">
            <v>-274.97699999999986</v>
          </cell>
          <cell r="AE293">
            <v>-557.35500000000002</v>
          </cell>
          <cell r="AF293">
            <v>-758.39199999999983</v>
          </cell>
          <cell r="AG293">
            <v>-746.77399999999943</v>
          </cell>
          <cell r="AH293">
            <v>-1012.0409999999997</v>
          </cell>
          <cell r="AI293">
            <v>-1012.0409999999997</v>
          </cell>
          <cell r="AJ293">
            <v>-698.73900000000003</v>
          </cell>
          <cell r="AK293">
            <v>-725.61699999999973</v>
          </cell>
          <cell r="AL293">
            <v>-721.86599999999999</v>
          </cell>
          <cell r="AM293">
            <v>-800.50400000000036</v>
          </cell>
          <cell r="AN293">
            <v>-800.50400000000036</v>
          </cell>
          <cell r="AO293">
            <v>-791.04899999999998</v>
          </cell>
          <cell r="AP293">
            <v>-782.68200000000024</v>
          </cell>
          <cell r="AQ293">
            <v>-789.06700000000046</v>
          </cell>
          <cell r="AR293">
            <v>-707.41899999999941</v>
          </cell>
          <cell r="AS293">
            <v>-707.41899999999941</v>
          </cell>
          <cell r="AT293">
            <v>-642.21100000000024</v>
          </cell>
          <cell r="AU293">
            <v>-611.68199999999979</v>
          </cell>
          <cell r="AV293">
            <v>-619.46000000000049</v>
          </cell>
          <cell r="AW293">
            <v>-728.14800000000014</v>
          </cell>
          <cell r="AX293">
            <v>-728.14800000000014</v>
          </cell>
          <cell r="AY293">
            <v>-685.29600000000028</v>
          </cell>
          <cell r="AZ293">
            <v>-807.67399999999907</v>
          </cell>
          <cell r="BA293">
            <v>-712.72768878458919</v>
          </cell>
          <cell r="BB293">
            <v>-661.09016684543894</v>
          </cell>
          <cell r="BC293">
            <v>-661.09016684543894</v>
          </cell>
          <cell r="BD293">
            <v>-528.60148884578848</v>
          </cell>
          <cell r="BE293">
            <v>-349.57809768865263</v>
          </cell>
          <cell r="BF293">
            <v>-228.32300623704486</v>
          </cell>
          <cell r="BG293">
            <v>-155.90708049999375</v>
          </cell>
          <cell r="BH293">
            <v>-155.90708049999375</v>
          </cell>
          <cell r="BI293">
            <v>11.157008718249017</v>
          </cell>
          <cell r="BJ293">
            <v>231.99030136242618</v>
          </cell>
          <cell r="BK293">
            <v>385.33954863141116</v>
          </cell>
          <cell r="BL293">
            <v>502.36973915513136</v>
          </cell>
          <cell r="BM293">
            <v>502.36973915513136</v>
          </cell>
          <cell r="BN293">
            <v>730.74806738171173</v>
          </cell>
          <cell r="BO293">
            <v>1021.1349552943957</v>
          </cell>
          <cell r="BP293">
            <v>1230.2312696551826</v>
          </cell>
          <cell r="BQ293">
            <v>1377.3267928669793</v>
          </cell>
          <cell r="BR293">
            <v>1377.3267928669793</v>
          </cell>
          <cell r="BS293">
            <v>1654.7564562849843</v>
          </cell>
          <cell r="BT293">
            <v>2003.1515288652895</v>
          </cell>
          <cell r="BU293">
            <v>2255.4584929818066</v>
          </cell>
          <cell r="BV293">
            <v>2437.9759395235592</v>
          </cell>
          <cell r="BW293">
            <v>2437.9759395235592</v>
          </cell>
          <cell r="BX293">
            <v>2772.9518683379183</v>
          </cell>
          <cell r="BY293">
            <v>3188.7948242664188</v>
          </cell>
          <cell r="BZ293">
            <v>3491.3626055040195</v>
          </cell>
          <cell r="CA293">
            <v>3715.6140317219838</v>
          </cell>
          <cell r="CB293">
            <v>3715.6140317219838</v>
          </cell>
        </row>
        <row r="294">
          <cell r="A294" t="str">
            <v>Income Statement</v>
          </cell>
          <cell r="B294"/>
          <cell r="C294"/>
          <cell r="D294"/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5.6887559579351765E-2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8.8470266862872293E-4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-1.6544677711497036E-2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7.8422889025597797E-3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3.9957661133529498E-3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9.6360995923655546E-4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3.741139711962993E-3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-1.3421193646592222E-3</v>
          </cell>
          <cell r="AY294">
            <v>0</v>
          </cell>
          <cell r="AZ294">
            <v>0</v>
          </cell>
          <cell r="BA294">
            <v>0</v>
          </cell>
          <cell r="BB294">
            <v>0</v>
          </cell>
          <cell r="BC294">
            <v>-3.6667764637254852E-3</v>
          </cell>
          <cell r="BD294">
            <v>0</v>
          </cell>
          <cell r="BE294">
            <v>0</v>
          </cell>
          <cell r="BF294">
            <v>0</v>
          </cell>
          <cell r="BG294">
            <v>0</v>
          </cell>
          <cell r="BH294">
            <v>-2.67577010384068E-3</v>
          </cell>
          <cell r="BI294">
            <v>0</v>
          </cell>
          <cell r="BJ294">
            <v>0</v>
          </cell>
          <cell r="BK294">
            <v>0</v>
          </cell>
          <cell r="BL294">
            <v>0</v>
          </cell>
          <cell r="BM294">
            <v>-3.2658996980670096E-3</v>
          </cell>
          <cell r="BN294">
            <v>0</v>
          </cell>
          <cell r="BO294">
            <v>0</v>
          </cell>
          <cell r="BP294">
            <v>0</v>
          </cell>
          <cell r="BQ294">
            <v>0</v>
          </cell>
          <cell r="BR294">
            <v>-3.9283761168289466E-3</v>
          </cell>
          <cell r="BS294">
            <v>0</v>
          </cell>
          <cell r="BT294">
            <v>0</v>
          </cell>
          <cell r="BU294">
            <v>0</v>
          </cell>
          <cell r="BV294">
            <v>0</v>
          </cell>
          <cell r="BW294">
            <v>-4.3264302070573635E-3</v>
          </cell>
          <cell r="BX294">
            <v>0</v>
          </cell>
          <cell r="BY294">
            <v>0</v>
          </cell>
          <cell r="BZ294">
            <v>0</v>
          </cell>
          <cell r="CA294">
            <v>0</v>
          </cell>
          <cell r="CB294">
            <v>-4.7993703680004884E-3</v>
          </cell>
        </row>
        <row r="295">
          <cell r="B295" t="str">
            <v>Provision for income tax</v>
          </cell>
          <cell r="C295" t="str">
            <v>PROV_INC_TAX</v>
          </cell>
          <cell r="D295" t="str">
            <v>USD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-0.111</v>
          </cell>
          <cell r="L295">
            <v>-0.54700000000000004</v>
          </cell>
          <cell r="M295">
            <v>-2.1259999999999999</v>
          </cell>
          <cell r="N295">
            <v>-1.633</v>
          </cell>
          <cell r="O295">
            <v>-4.4169999999999998</v>
          </cell>
          <cell r="P295">
            <v>-2.391</v>
          </cell>
          <cell r="Q295">
            <v>-2.8529999999999998</v>
          </cell>
          <cell r="R295">
            <v>-2.738</v>
          </cell>
          <cell r="S295">
            <v>-2.2840000000000003</v>
          </cell>
          <cell r="T295">
            <v>-10.266</v>
          </cell>
          <cell r="U295">
            <v>-2.2320000000000002</v>
          </cell>
          <cell r="V295">
            <v>-4.2539999999999996</v>
          </cell>
          <cell r="W295">
            <v>-2.3570000000000002</v>
          </cell>
          <cell r="X295">
            <v>-4.0280000000000005</v>
          </cell>
          <cell r="Y295">
            <v>-12.871</v>
          </cell>
          <cell r="Z295">
            <v>-3.71</v>
          </cell>
          <cell r="AA295">
            <v>-4.2370000000000001</v>
          </cell>
          <cell r="AB295">
            <v>-4.2359999999999998</v>
          </cell>
          <cell r="AC295">
            <v>-3.6339999999999999</v>
          </cell>
          <cell r="AD295">
            <v>-15.817</v>
          </cell>
          <cell r="AE295">
            <v>-3.8500000000000005</v>
          </cell>
          <cell r="AF295">
            <v>-4.532</v>
          </cell>
          <cell r="AG295">
            <v>-3.9219999999999997</v>
          </cell>
          <cell r="AH295">
            <v>-5.44</v>
          </cell>
          <cell r="AI295">
            <v>-17.744000000000003</v>
          </cell>
          <cell r="AJ295">
            <v>-3.7859999999999996</v>
          </cell>
          <cell r="AK295">
            <v>-4.8769999999999998</v>
          </cell>
          <cell r="AL295">
            <v>-4.5510000000000002</v>
          </cell>
          <cell r="AM295">
            <v>-5.2639999999999993</v>
          </cell>
          <cell r="AN295">
            <v>-18.478000000000002</v>
          </cell>
          <cell r="AO295">
            <v>-4.9390000000000001</v>
          </cell>
          <cell r="AP295">
            <v>-3.6269999999999998</v>
          </cell>
          <cell r="AQ295">
            <v>-4.4919999999999991</v>
          </cell>
          <cell r="AR295">
            <v>-5.6979999999999995</v>
          </cell>
          <cell r="AS295">
            <v>-18.755999999999997</v>
          </cell>
          <cell r="AT295">
            <v>-4.5979999999999999</v>
          </cell>
          <cell r="AU295">
            <v>-6.1690000000000005</v>
          </cell>
          <cell r="AV295">
            <v>-5.4510000000000005</v>
          </cell>
          <cell r="AW295">
            <v>-7.766</v>
          </cell>
          <cell r="AX295">
            <v>-23.984000000000002</v>
          </cell>
          <cell r="AY295">
            <v>-6.6560000000000006</v>
          </cell>
          <cell r="AZ295">
            <v>-8.8070000000000004</v>
          </cell>
          <cell r="BA295">
            <v>-6.0640447052115327</v>
          </cell>
          <cell r="BB295">
            <v>-3.7845220987912165</v>
          </cell>
          <cell r="BC295">
            <v>-25.311566804002751</v>
          </cell>
          <cell r="BD295">
            <v>-8.0277225129248944</v>
          </cell>
          <cell r="BE295">
            <v>-10.476607729332784</v>
          </cell>
          <cell r="BF295">
            <v>-7.4366658514711279</v>
          </cell>
          <cell r="BG295">
            <v>-4.8660501063091788</v>
          </cell>
          <cell r="BH295">
            <v>-30.807046200037984</v>
          </cell>
          <cell r="BI295">
            <v>-9.8468951717053645</v>
          </cell>
          <cell r="BJ295">
            <v>-12.676592105054986</v>
          </cell>
          <cell r="BK295">
            <v>-9.0606972821423692</v>
          </cell>
          <cell r="BL295">
            <v>-6.1611325346335493</v>
          </cell>
          <cell r="BM295">
            <v>-37.745317093536272</v>
          </cell>
          <cell r="BN295">
            <v>-12.015206023541397</v>
          </cell>
          <cell r="BO295">
            <v>-15.278621268432369</v>
          </cell>
          <cell r="BP295">
            <v>-11.000943326878888</v>
          </cell>
          <cell r="BQ295">
            <v>-7.7376012360336119</v>
          </cell>
          <cell r="BR295">
            <v>-46.032371854886264</v>
          </cell>
          <cell r="BS295">
            <v>-14.59637661136734</v>
          </cell>
          <cell r="BT295">
            <v>-18.33129331928016</v>
          </cell>
          <cell r="BU295">
            <v>-13.274934948358297</v>
          </cell>
          <cell r="BV295">
            <v>-9.6016603685246853</v>
          </cell>
          <cell r="BW295">
            <v>-55.804265247530473</v>
          </cell>
          <cell r="BX295">
            <v>-17.624738190980604</v>
          </cell>
          <cell r="BY295">
            <v>-21.880903352981989</v>
          </cell>
          <cell r="BZ295">
            <v>-15.920092583457251</v>
          </cell>
          <cell r="CA295">
            <v>-11.798039256658704</v>
          </cell>
          <cell r="CB295">
            <v>-67.223773384078555</v>
          </cell>
        </row>
        <row r="296">
          <cell r="B296" t="str">
            <v>Minority interest</v>
          </cell>
          <cell r="C296" t="str">
            <v>INC_MINORITY</v>
          </cell>
          <cell r="D296" t="str">
            <v>USD</v>
          </cell>
          <cell r="F296"/>
          <cell r="G296"/>
          <cell r="H296"/>
          <cell r="I296"/>
          <cell r="J296"/>
          <cell r="K296"/>
          <cell r="L296"/>
          <cell r="M296"/>
          <cell r="N296"/>
          <cell r="O296"/>
          <cell r="P296"/>
          <cell r="Q296"/>
          <cell r="R296"/>
          <cell r="S296"/>
          <cell r="T296"/>
          <cell r="U296"/>
          <cell r="V296"/>
          <cell r="W296"/>
          <cell r="X296"/>
          <cell r="Y296"/>
          <cell r="Z296"/>
          <cell r="AA296"/>
          <cell r="AB296"/>
          <cell r="AC296"/>
          <cell r="AD296"/>
          <cell r="AE296"/>
          <cell r="AF296"/>
          <cell r="AG296"/>
          <cell r="AH296"/>
          <cell r="AI296"/>
          <cell r="AJ296"/>
          <cell r="AK296"/>
          <cell r="AL296"/>
          <cell r="AM296"/>
          <cell r="AN296"/>
          <cell r="AO296"/>
          <cell r="AP296"/>
          <cell r="AQ296"/>
          <cell r="AR296"/>
          <cell r="AS296"/>
          <cell r="AT296"/>
          <cell r="AU296"/>
          <cell r="AV296"/>
          <cell r="AW296"/>
          <cell r="AX296"/>
          <cell r="AY296"/>
          <cell r="AZ296"/>
          <cell r="BA296"/>
          <cell r="BB296"/>
          <cell r="BC296"/>
          <cell r="BD296"/>
          <cell r="BE296"/>
          <cell r="BF296"/>
          <cell r="BG296"/>
          <cell r="BH296"/>
          <cell r="BI296"/>
          <cell r="BJ296"/>
          <cell r="BK296"/>
          <cell r="BL296"/>
          <cell r="BM296"/>
          <cell r="BN296"/>
          <cell r="BO296"/>
          <cell r="BP296"/>
          <cell r="BQ296"/>
          <cell r="BR296"/>
          <cell r="BS296"/>
          <cell r="BT296"/>
          <cell r="BU296"/>
          <cell r="BV296"/>
          <cell r="BW296"/>
          <cell r="BX296"/>
          <cell r="BY296"/>
          <cell r="BZ296"/>
          <cell r="CA296"/>
          <cell r="CB296"/>
        </row>
        <row r="297">
          <cell r="B297" t="str">
            <v>Net income (pre-preferred dividends)</v>
          </cell>
          <cell r="C297" t="str">
            <v>NI_PRE_PREF</v>
          </cell>
          <cell r="D297" t="str">
            <v>USD</v>
          </cell>
          <cell r="F297">
            <v>-13.114999999999998</v>
          </cell>
          <cell r="G297">
            <v>-39.664000000000001</v>
          </cell>
          <cell r="H297">
            <v>-77.534999999999982</v>
          </cell>
          <cell r="I297">
            <v>-107.44300000000003</v>
          </cell>
          <cell r="J297">
            <v>-85.86</v>
          </cell>
          <cell r="K297">
            <v>-25.967000000000002</v>
          </cell>
          <cell r="L297">
            <v>-23.039999999999978</v>
          </cell>
          <cell r="M297">
            <v>-45.659000000000027</v>
          </cell>
          <cell r="N297">
            <v>-26.049000000000028</v>
          </cell>
          <cell r="O297">
            <v>-120.71500000000007</v>
          </cell>
          <cell r="P297">
            <v>-24.716000000000022</v>
          </cell>
          <cell r="Q297">
            <v>-23.175000000000011</v>
          </cell>
          <cell r="R297">
            <v>-34.624999999999986</v>
          </cell>
          <cell r="S297">
            <v>-19.02200000000002</v>
          </cell>
          <cell r="T297">
            <v>-101.53800000000007</v>
          </cell>
          <cell r="U297">
            <v>-23.65199999999998</v>
          </cell>
          <cell r="V297">
            <v>-40.409999999999997</v>
          </cell>
          <cell r="W297">
            <v>-102.962</v>
          </cell>
          <cell r="X297">
            <v>-105.83300000000006</v>
          </cell>
          <cell r="Y297">
            <v>-272.85699999999997</v>
          </cell>
          <cell r="Z297">
            <v>-135.32800000000003</v>
          </cell>
          <cell r="AA297">
            <v>-116.27999999999997</v>
          </cell>
          <cell r="AB297">
            <v>-135.24399999999997</v>
          </cell>
          <cell r="AC297">
            <v>-78.993999999999971</v>
          </cell>
          <cell r="AD297">
            <v>-465.84600000000017</v>
          </cell>
          <cell r="AE297">
            <v>-89.384</v>
          </cell>
          <cell r="AF297">
            <v>-74.124000000000024</v>
          </cell>
          <cell r="AG297">
            <v>-85.628999999999991</v>
          </cell>
          <cell r="AH297">
            <v>-55.42999999999995</v>
          </cell>
          <cell r="AI297">
            <v>-304.56700000000001</v>
          </cell>
          <cell r="AJ297">
            <v>-46.860999999999876</v>
          </cell>
          <cell r="AK297">
            <v>-6.489000000000007</v>
          </cell>
          <cell r="AL297">
            <v>-10.65499999999993</v>
          </cell>
          <cell r="AM297">
            <v>-38.842000000000013</v>
          </cell>
          <cell r="AN297">
            <v>-102.84699999999998</v>
          </cell>
          <cell r="AO297">
            <v>7.5720000000000258</v>
          </cell>
          <cell r="AP297">
            <v>72.136000000000067</v>
          </cell>
          <cell r="AQ297">
            <v>21.71700000000002</v>
          </cell>
          <cell r="AR297">
            <v>67.536000000000044</v>
          </cell>
          <cell r="AS297">
            <v>168.9610000000001</v>
          </cell>
          <cell r="AT297">
            <v>85.040000000000049</v>
          </cell>
          <cell r="AU297">
            <v>136.34599999999986</v>
          </cell>
          <cell r="AV297">
            <v>85.25</v>
          </cell>
          <cell r="AW297">
            <v>75.725000000000023</v>
          </cell>
          <cell r="AX297">
            <v>382.36099999999999</v>
          </cell>
          <cell r="AY297">
            <v>121.77299999999988</v>
          </cell>
          <cell r="AZ297">
            <v>165.12799999999999</v>
          </cell>
          <cell r="BA297">
            <v>115.21684939901911</v>
          </cell>
          <cell r="BB297">
            <v>71.905919877033114</v>
          </cell>
          <cell r="BC297">
            <v>474.02376927605235</v>
          </cell>
          <cell r="BD297">
            <v>152.526727745573</v>
          </cell>
          <cell r="BE297">
            <v>199.05554685732289</v>
          </cell>
          <cell r="BF297">
            <v>141.29665117795142</v>
          </cell>
          <cell r="BG297">
            <v>92.454952019874398</v>
          </cell>
          <cell r="BH297">
            <v>585.33387780072121</v>
          </cell>
          <cell r="BI297">
            <v>187.09100826240191</v>
          </cell>
          <cell r="BJ297">
            <v>240.85524999604473</v>
          </cell>
          <cell r="BK297">
            <v>172.15324836070499</v>
          </cell>
          <cell r="BL297">
            <v>117.06151815803743</v>
          </cell>
          <cell r="BM297">
            <v>717.16102477718914</v>
          </cell>
          <cell r="BN297">
            <v>228.28891444728654</v>
          </cell>
          <cell r="BO297">
            <v>290.29380410021503</v>
          </cell>
          <cell r="BP297">
            <v>209.01792321069885</v>
          </cell>
          <cell r="BQ297">
            <v>147.01442348463863</v>
          </cell>
          <cell r="BR297">
            <v>874.6150652428388</v>
          </cell>
          <cell r="BS297">
            <v>277.33115561597941</v>
          </cell>
          <cell r="BT297">
            <v>348.29457306632304</v>
          </cell>
          <cell r="BU297">
            <v>252.22376401880763</v>
          </cell>
          <cell r="BV297">
            <v>182.43154700196902</v>
          </cell>
          <cell r="BW297">
            <v>1060.2810397030796</v>
          </cell>
          <cell r="BX297">
            <v>334.87002562863142</v>
          </cell>
          <cell r="BY297">
            <v>415.73716370665778</v>
          </cell>
          <cell r="BZ297">
            <v>302.48175908568777</v>
          </cell>
          <cell r="CA297">
            <v>224.16274587651534</v>
          </cell>
          <cell r="CB297">
            <v>1277.2516942974928</v>
          </cell>
        </row>
        <row r="298">
          <cell r="B298" t="str">
            <v>Preferred dividends</v>
          </cell>
          <cell r="C298" t="str">
            <v>PREF_DIV</v>
          </cell>
          <cell r="D298" t="str">
            <v>USD</v>
          </cell>
          <cell r="F298"/>
          <cell r="G298"/>
          <cell r="H298"/>
          <cell r="I298"/>
          <cell r="J298"/>
          <cell r="K298"/>
          <cell r="L298"/>
          <cell r="M298"/>
          <cell r="N298"/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B298"/>
          <cell r="AC298"/>
          <cell r="AD298"/>
          <cell r="AE298"/>
          <cell r="AF298"/>
          <cell r="AG298"/>
          <cell r="AH298"/>
          <cell r="AI298"/>
          <cell r="AJ298"/>
          <cell r="AK298"/>
          <cell r="AL298"/>
          <cell r="AM298"/>
          <cell r="AN298"/>
          <cell r="AO298"/>
          <cell r="AP298"/>
          <cell r="AQ298"/>
          <cell r="AR298"/>
          <cell r="AS298"/>
          <cell r="AT298"/>
          <cell r="AU298"/>
          <cell r="AV298"/>
          <cell r="AW298"/>
          <cell r="AX298"/>
          <cell r="AY298"/>
          <cell r="AZ298"/>
          <cell r="BA298"/>
          <cell r="BB298"/>
          <cell r="BC298"/>
          <cell r="BD298"/>
          <cell r="BE298"/>
          <cell r="BF298"/>
          <cell r="BG298"/>
          <cell r="BH298"/>
          <cell r="BI298"/>
          <cell r="BJ298"/>
          <cell r="BK298"/>
          <cell r="BL298"/>
          <cell r="BM298"/>
          <cell r="BN298"/>
          <cell r="BO298"/>
          <cell r="BP298"/>
          <cell r="BQ298"/>
          <cell r="BR298"/>
          <cell r="BS298"/>
          <cell r="BT298"/>
          <cell r="BU298"/>
          <cell r="BV298"/>
          <cell r="BW298"/>
          <cell r="BX298"/>
          <cell r="BY298"/>
          <cell r="BZ298"/>
          <cell r="CA298"/>
          <cell r="CB298"/>
        </row>
        <row r="299">
          <cell r="B299" t="str">
            <v>Net income (pre-exceptionals)</v>
          </cell>
          <cell r="C299" t="str">
            <v>NET_EARNING</v>
          </cell>
          <cell r="D299" t="str">
            <v>USD</v>
          </cell>
          <cell r="F299">
            <v>-13.114999999999998</v>
          </cell>
          <cell r="G299">
            <v>-39.664000000000001</v>
          </cell>
          <cell r="H299">
            <v>-77.534999999999982</v>
          </cell>
          <cell r="I299">
            <v>-107.44300000000003</v>
          </cell>
          <cell r="J299">
            <v>-85.86</v>
          </cell>
          <cell r="K299">
            <v>-25.967000000000002</v>
          </cell>
          <cell r="L299">
            <v>-23.039999999999978</v>
          </cell>
          <cell r="M299">
            <v>-45.659000000000027</v>
          </cell>
          <cell r="N299">
            <v>-26.049000000000028</v>
          </cell>
          <cell r="O299">
            <v>-120.71500000000007</v>
          </cell>
          <cell r="P299">
            <v>-24.716000000000022</v>
          </cell>
          <cell r="Q299">
            <v>-23.175000000000011</v>
          </cell>
          <cell r="R299">
            <v>-34.624999999999986</v>
          </cell>
          <cell r="S299">
            <v>-19.02200000000002</v>
          </cell>
          <cell r="T299">
            <v>-101.53800000000007</v>
          </cell>
          <cell r="U299">
            <v>-23.65199999999998</v>
          </cell>
          <cell r="V299">
            <v>-40.409999999999997</v>
          </cell>
          <cell r="W299">
            <v>-102.962</v>
          </cell>
          <cell r="X299">
            <v>-105.83300000000006</v>
          </cell>
          <cell r="Y299">
            <v>-272.85699999999997</v>
          </cell>
          <cell r="Z299">
            <v>-135.32800000000003</v>
          </cell>
          <cell r="AA299">
            <v>-116.27999999999997</v>
          </cell>
          <cell r="AB299">
            <v>-135.24399999999997</v>
          </cell>
          <cell r="AC299">
            <v>-78.993999999999971</v>
          </cell>
          <cell r="AD299">
            <v>-465.84600000000017</v>
          </cell>
          <cell r="AE299">
            <v>-89.384</v>
          </cell>
          <cell r="AF299">
            <v>-74.124000000000024</v>
          </cell>
          <cell r="AG299">
            <v>-85.628999999999991</v>
          </cell>
          <cell r="AH299">
            <v>-55.42999999999995</v>
          </cell>
          <cell r="AI299">
            <v>-304.56700000000001</v>
          </cell>
          <cell r="AJ299">
            <v>-46.860999999999876</v>
          </cell>
          <cell r="AK299">
            <v>-6.489000000000007</v>
          </cell>
          <cell r="AL299">
            <v>-10.65499999999993</v>
          </cell>
          <cell r="AM299">
            <v>-38.842000000000013</v>
          </cell>
          <cell r="AN299">
            <v>-102.84699999999998</v>
          </cell>
          <cell r="AO299">
            <v>7.5720000000000258</v>
          </cell>
          <cell r="AP299">
            <v>72.136000000000067</v>
          </cell>
          <cell r="AQ299">
            <v>21.71700000000002</v>
          </cell>
          <cell r="AR299">
            <v>67.536000000000044</v>
          </cell>
          <cell r="AS299">
            <v>168.9610000000001</v>
          </cell>
          <cell r="AT299">
            <v>85.040000000000049</v>
          </cell>
          <cell r="AU299">
            <v>136.34599999999986</v>
          </cell>
          <cell r="AV299">
            <v>85.25</v>
          </cell>
          <cell r="AW299">
            <v>75.725000000000023</v>
          </cell>
          <cell r="AX299">
            <v>382.36099999999999</v>
          </cell>
          <cell r="AY299">
            <v>121.77299999999988</v>
          </cell>
          <cell r="AZ299">
            <v>165.12799999999999</v>
          </cell>
          <cell r="BA299">
            <v>115.21684939901911</v>
          </cell>
          <cell r="BB299">
            <v>71.905919877033114</v>
          </cell>
          <cell r="BC299">
            <v>474.02376927605235</v>
          </cell>
          <cell r="BD299">
            <v>152.526727745573</v>
          </cell>
          <cell r="BE299">
            <v>199.05554685732289</v>
          </cell>
          <cell r="BF299">
            <v>141.29665117795142</v>
          </cell>
          <cell r="BG299">
            <v>92.454952019874398</v>
          </cell>
          <cell r="BH299">
            <v>585.33387780072121</v>
          </cell>
          <cell r="BI299">
            <v>187.09100826240191</v>
          </cell>
          <cell r="BJ299">
            <v>240.85524999604473</v>
          </cell>
          <cell r="BK299">
            <v>172.15324836070499</v>
          </cell>
          <cell r="BL299">
            <v>117.06151815803743</v>
          </cell>
          <cell r="BM299">
            <v>717.16102477718914</v>
          </cell>
          <cell r="BN299">
            <v>228.28891444728654</v>
          </cell>
          <cell r="BO299">
            <v>290.29380410021503</v>
          </cell>
          <cell r="BP299">
            <v>209.01792321069885</v>
          </cell>
          <cell r="BQ299">
            <v>147.01442348463863</v>
          </cell>
          <cell r="BR299">
            <v>874.6150652428388</v>
          </cell>
          <cell r="BS299">
            <v>277.33115561597941</v>
          </cell>
          <cell r="BT299">
            <v>348.29457306632304</v>
          </cell>
          <cell r="BU299">
            <v>252.22376401880763</v>
          </cell>
          <cell r="BV299">
            <v>182.43154700196902</v>
          </cell>
          <cell r="BW299">
            <v>1060.2810397030796</v>
          </cell>
          <cell r="BX299">
            <v>334.87002562863142</v>
          </cell>
          <cell r="BY299">
            <v>415.73716370665778</v>
          </cell>
          <cell r="BZ299">
            <v>302.48175908568777</v>
          </cell>
          <cell r="CA299">
            <v>224.16274587651534</v>
          </cell>
          <cell r="CB299">
            <v>1277.2516942974928</v>
          </cell>
        </row>
        <row r="300">
          <cell r="B300" t="str">
            <v>Post-tax exceptionals</v>
          </cell>
          <cell r="C300" t="str">
            <v>TAX_EXC</v>
          </cell>
          <cell r="D300" t="str">
            <v>USD</v>
          </cell>
          <cell r="F300">
            <v>-0.84700000000000131</v>
          </cell>
          <cell r="G300">
            <v>-5.0699999999999932</v>
          </cell>
          <cell r="H300">
            <v>-6.4680000000000319</v>
          </cell>
          <cell r="I300">
            <v>-18.683999999999983</v>
          </cell>
          <cell r="J300">
            <v>-22.372999999999976</v>
          </cell>
          <cell r="K300">
            <v>-114.33499999999999</v>
          </cell>
          <cell r="L300">
            <v>-53.329000000000036</v>
          </cell>
          <cell r="M300">
            <v>-51.176000000000009</v>
          </cell>
          <cell r="N300">
            <v>-40.082999999999977</v>
          </cell>
          <cell r="O300">
            <v>-258.92299999999989</v>
          </cell>
          <cell r="P300">
            <v>-36.770999999999965</v>
          </cell>
          <cell r="Q300">
            <v>-39.45600000000001</v>
          </cell>
          <cell r="R300">
            <v>-51.048999999999992</v>
          </cell>
          <cell r="S300">
            <v>-68.346999999999937</v>
          </cell>
          <cell r="T300">
            <v>-195.62300000000005</v>
          </cell>
          <cell r="U300">
            <v>-70.613000000000028</v>
          </cell>
          <cell r="V300">
            <v>-82.353000000000023</v>
          </cell>
          <cell r="W300">
            <v>-106.85099999999998</v>
          </cell>
          <cell r="X300">
            <v>-88.504999999999995</v>
          </cell>
          <cell r="Y300">
            <v>-348.32200000000012</v>
          </cell>
          <cell r="Z300">
            <v>-93.972000000000008</v>
          </cell>
          <cell r="AA300">
            <v>-101.28400000000005</v>
          </cell>
          <cell r="AB300">
            <v>-105.42699999999996</v>
          </cell>
          <cell r="AC300">
            <v>-106.35399999999996</v>
          </cell>
          <cell r="AD300">
            <v>-407.03699999999986</v>
          </cell>
          <cell r="AE300">
            <v>-175.66400000000004</v>
          </cell>
          <cell r="AF300">
            <v>-213.26600000000002</v>
          </cell>
          <cell r="AG300">
            <v>-38.010999999999981</v>
          </cell>
          <cell r="AH300">
            <v>-302.75200000000007</v>
          </cell>
          <cell r="AI300">
            <v>-729.69299999999998</v>
          </cell>
          <cell r="AJ300">
            <v>-373.34500000000014</v>
          </cell>
          <cell r="AK300">
            <v>-108.92699999999996</v>
          </cell>
          <cell r="AL300">
            <v>-101.33200000000006</v>
          </cell>
          <cell r="AM300">
            <v>-112.49499999999998</v>
          </cell>
          <cell r="AN300">
            <v>-696.09900000000005</v>
          </cell>
          <cell r="AO300">
            <v>-107.086</v>
          </cell>
          <cell r="AP300">
            <v>-142.92600000000004</v>
          </cell>
          <cell r="AQ300">
            <v>-92.68599999999995</v>
          </cell>
          <cell r="AR300">
            <v>-80.822999999999965</v>
          </cell>
          <cell r="AS300">
            <v>-423.52099999999996</v>
          </cell>
          <cell r="AT300">
            <v>-100.89300000000007</v>
          </cell>
          <cell r="AU300">
            <v>-103.5509999999999</v>
          </cell>
          <cell r="AV300">
            <v>-100.86600000000001</v>
          </cell>
          <cell r="AW300">
            <v>-201.82600000000002</v>
          </cell>
          <cell r="AX300">
            <v>-507.13600000000008</v>
          </cell>
          <cell r="AY300">
            <v>-91.846999999999994</v>
          </cell>
          <cell r="AZ300">
            <v>-108.70099999999999</v>
          </cell>
          <cell r="BA300">
            <v>-89.653177797693104</v>
          </cell>
          <cell r="BB300">
            <v>-90.975268530705733</v>
          </cell>
          <cell r="BC300">
            <v>-381.17644632839875</v>
          </cell>
          <cell r="BD300">
            <v>-96.68359503012914</v>
          </cell>
          <cell r="BE300">
            <v>-100.32451492533207</v>
          </cell>
          <cell r="BF300">
            <v>-94.515380171077652</v>
          </cell>
          <cell r="BG300">
            <v>-96.080360378516019</v>
          </cell>
          <cell r="BH300">
            <v>-387.60385050505528</v>
          </cell>
          <cell r="BI300">
            <v>-103.55934647683847</v>
          </cell>
          <cell r="BJ300">
            <v>-106.62432509861827</v>
          </cell>
          <cell r="BK300">
            <v>-99.18456402420712</v>
          </cell>
          <cell r="BL300">
            <v>-100.83603479335292</v>
          </cell>
          <cell r="BM300">
            <v>-410.2042703930162</v>
          </cell>
          <cell r="BN300">
            <v>-109.83622576957191</v>
          </cell>
          <cell r="BO300">
            <v>-112.10330977254304</v>
          </cell>
          <cell r="BP300">
            <v>-103.02723381977123</v>
          </cell>
          <cell r="BQ300">
            <v>-104.70039900728571</v>
          </cell>
          <cell r="BR300">
            <v>-429.66716836917152</v>
          </cell>
          <cell r="BS300">
            <v>-115.45386257984887</v>
          </cell>
          <cell r="BT300">
            <v>-116.68419977287786</v>
          </cell>
          <cell r="BU300">
            <v>-105.99785770879916</v>
          </cell>
          <cell r="BV300">
            <v>-107.66537994987657</v>
          </cell>
          <cell r="BW300">
            <v>-445.80130001140185</v>
          </cell>
          <cell r="BX300">
            <v>-120.02220168945473</v>
          </cell>
          <cell r="BY300">
            <v>-119.95365613745332</v>
          </cell>
          <cell r="BZ300">
            <v>-107.74112095380244</v>
          </cell>
          <cell r="CA300">
            <v>-109.38316032663217</v>
          </cell>
          <cell r="CB300">
            <v>-457.10013910734347</v>
          </cell>
        </row>
        <row r="301">
          <cell r="B301" t="str">
            <v>Net income (post-exceptionals)</v>
          </cell>
          <cell r="C301" t="str">
            <v>NET_INC</v>
          </cell>
          <cell r="D301" t="str">
            <v>USD</v>
          </cell>
          <cell r="F301">
            <v>-13.962</v>
          </cell>
          <cell r="G301">
            <v>-44.733999999999995</v>
          </cell>
          <cell r="H301">
            <v>-84.003000000000014</v>
          </cell>
          <cell r="I301">
            <v>-126.12700000000001</v>
          </cell>
          <cell r="J301">
            <v>-108.23299999999998</v>
          </cell>
          <cell r="K301">
            <v>-140.30199999999999</v>
          </cell>
          <cell r="L301">
            <v>-76.369000000000014</v>
          </cell>
          <cell r="M301">
            <v>-96.835000000000036</v>
          </cell>
          <cell r="N301">
            <v>-66.132000000000005</v>
          </cell>
          <cell r="O301">
            <v>-379.63799999999998</v>
          </cell>
          <cell r="P301">
            <v>-61.486999999999988</v>
          </cell>
          <cell r="Q301">
            <v>-62.631000000000022</v>
          </cell>
          <cell r="R301">
            <v>-85.673999999999978</v>
          </cell>
          <cell r="S301">
            <v>-87.368999999999957</v>
          </cell>
          <cell r="T301">
            <v>-297.16100000000012</v>
          </cell>
          <cell r="U301">
            <v>-94.265000000000001</v>
          </cell>
          <cell r="V301">
            <v>-122.76300000000002</v>
          </cell>
          <cell r="W301">
            <v>-209.81299999999999</v>
          </cell>
          <cell r="X301">
            <v>-194.33800000000005</v>
          </cell>
          <cell r="Y301">
            <v>-621.17900000000009</v>
          </cell>
          <cell r="Z301">
            <v>-229.30000000000004</v>
          </cell>
          <cell r="AA301">
            <v>-217.56400000000002</v>
          </cell>
          <cell r="AB301">
            <v>-240.67099999999994</v>
          </cell>
          <cell r="AC301">
            <v>-185.34799999999993</v>
          </cell>
          <cell r="AD301">
            <v>-872.88300000000004</v>
          </cell>
          <cell r="AE301">
            <v>-265.04800000000006</v>
          </cell>
          <cell r="AF301">
            <v>-287.39000000000004</v>
          </cell>
          <cell r="AG301">
            <v>-123.63999999999997</v>
          </cell>
          <cell r="AH301">
            <v>-358.18200000000002</v>
          </cell>
          <cell r="AI301">
            <v>-1034.26</v>
          </cell>
          <cell r="AJ301">
            <v>-420.20600000000002</v>
          </cell>
          <cell r="AK301">
            <v>-115.41599999999997</v>
          </cell>
          <cell r="AL301">
            <v>-111.98699999999999</v>
          </cell>
          <cell r="AM301">
            <v>-151.33699999999999</v>
          </cell>
          <cell r="AN301">
            <v>-798.94600000000003</v>
          </cell>
          <cell r="AO301">
            <v>-99.513999999999967</v>
          </cell>
          <cell r="AP301">
            <v>-70.789999999999978</v>
          </cell>
          <cell r="AQ301">
            <v>-70.968999999999937</v>
          </cell>
          <cell r="AR301">
            <v>-13.286999999999923</v>
          </cell>
          <cell r="AS301">
            <v>-254.55999999999986</v>
          </cell>
          <cell r="AT301">
            <v>-15.853000000000018</v>
          </cell>
          <cell r="AU301">
            <v>32.794999999999959</v>
          </cell>
          <cell r="AV301">
            <v>-15.616000000000021</v>
          </cell>
          <cell r="AW301">
            <v>-126.101</v>
          </cell>
          <cell r="AX301">
            <v>-124.77500000000012</v>
          </cell>
          <cell r="AY301">
            <v>29.925999999999888</v>
          </cell>
          <cell r="AZ301">
            <v>56.426999999999985</v>
          </cell>
          <cell r="BA301">
            <v>25.563671601326003</v>
          </cell>
          <cell r="BB301">
            <v>-19.069348653672623</v>
          </cell>
          <cell r="BC301">
            <v>92.847322947653595</v>
          </cell>
          <cell r="BD301">
            <v>55.843132715443865</v>
          </cell>
          <cell r="BE301">
            <v>98.731031931990827</v>
          </cell>
          <cell r="BF301">
            <v>46.781271006873773</v>
          </cell>
          <cell r="BG301">
            <v>-3.6254083586416268</v>
          </cell>
          <cell r="BH301">
            <v>197.73002729566593</v>
          </cell>
          <cell r="BI301">
            <v>83.531661785563443</v>
          </cell>
          <cell r="BJ301">
            <v>134.23092489742646</v>
          </cell>
          <cell r="BK301">
            <v>72.968684336497873</v>
          </cell>
          <cell r="BL301">
            <v>16.225483364684504</v>
          </cell>
          <cell r="BM301">
            <v>306.95675438417294</v>
          </cell>
          <cell r="BN301">
            <v>118.45268867771463</v>
          </cell>
          <cell r="BO301">
            <v>178.19049432767198</v>
          </cell>
          <cell r="BP301">
            <v>105.99068939092763</v>
          </cell>
          <cell r="BQ301">
            <v>42.314024477352916</v>
          </cell>
          <cell r="BR301">
            <v>444.94789687366728</v>
          </cell>
          <cell r="BS301">
            <v>161.87729303613054</v>
          </cell>
          <cell r="BT301">
            <v>231.61037329344518</v>
          </cell>
          <cell r="BU301">
            <v>146.22590631000847</v>
          </cell>
          <cell r="BV301">
            <v>74.766167052092456</v>
          </cell>
          <cell r="BW301">
            <v>614.47973969167776</v>
          </cell>
          <cell r="BX301">
            <v>214.84782393917669</v>
          </cell>
          <cell r="BY301">
            <v>295.78350756920446</v>
          </cell>
          <cell r="BZ301">
            <v>194.74063813188533</v>
          </cell>
          <cell r="CA301">
            <v>114.77958554988318</v>
          </cell>
          <cell r="CB301">
            <v>820.15155519014934</v>
          </cell>
        </row>
        <row r="302">
          <cell r="B302" t="str">
            <v>EPS (pre-exceptionals, basic)</v>
          </cell>
          <cell r="C302" t="str">
            <v>EPS</v>
          </cell>
          <cell r="D302" t="str">
            <v>USD</v>
          </cell>
          <cell r="F302">
            <v>-0.40441533352994419</v>
          </cell>
          <cell r="G302">
            <v>-1.2068377288557779</v>
          </cell>
          <cell r="H302">
            <v>-2.1230770216527564</v>
          </cell>
          <cell r="I302">
            <v>-2.6522926818045391</v>
          </cell>
          <cell r="J302">
            <v>-1.9526780993778514</v>
          </cell>
          <cell r="K302">
            <v>-0.34914182399853022</v>
          </cell>
          <cell r="L302">
            <v>-0.16225740616324599</v>
          </cell>
          <cell r="M302">
            <v>-0.31695657930191296</v>
          </cell>
          <cell r="N302">
            <v>-0.17072181272865125</v>
          </cell>
          <cell r="O302">
            <v>-0.99907762219234042</v>
          </cell>
          <cell r="P302">
            <v>-0.15764702465064082</v>
          </cell>
          <cell r="Q302">
            <v>-0.14328779854221504</v>
          </cell>
          <cell r="R302">
            <v>-0.20752726845375019</v>
          </cell>
          <cell r="S302">
            <v>-0.11111140511843912</v>
          </cell>
          <cell r="T302">
            <v>-0.61957349676504514</v>
          </cell>
          <cell r="U302">
            <v>-0.13481071098799619</v>
          </cell>
          <cell r="V302">
            <v>-0.22519434924350079</v>
          </cell>
          <cell r="W302">
            <v>-0.56274765936282201</v>
          </cell>
          <cell r="X302">
            <v>-0.56786195277162244</v>
          </cell>
          <cell r="Y302">
            <v>-1.4906146723659415</v>
          </cell>
          <cell r="Z302">
            <v>-0.71348809253918644</v>
          </cell>
          <cell r="AA302">
            <v>-0.60334047642520239</v>
          </cell>
          <cell r="AB302">
            <v>-0.68873430227228727</v>
          </cell>
          <cell r="AC302">
            <v>-0.39467399450412177</v>
          </cell>
          <cell r="AD302">
            <v>-2.4002368657407978</v>
          </cell>
          <cell r="AE302">
            <v>-0.44010930845170981</v>
          </cell>
          <cell r="AF302">
            <v>-0.36649690976514226</v>
          </cell>
          <cell r="AG302">
            <v>-0.41224273644175907</v>
          </cell>
          <cell r="AH302">
            <v>-0.26070964950237968</v>
          </cell>
          <cell r="AI302">
            <v>-1.4795586041609909</v>
          </cell>
          <cell r="AJ302">
            <v>-0.21745344525960619</v>
          </cell>
          <cell r="AK302">
            <v>-2.965613688713396E-2</v>
          </cell>
          <cell r="AL302">
            <v>-4.7893452239147802E-2</v>
          </cell>
          <cell r="AM302">
            <v>-0.17232628506020467</v>
          </cell>
          <cell r="AN302">
            <v>-0.46732931944609257</v>
          </cell>
          <cell r="AO302">
            <v>3.3131475777093362E-2</v>
          </cell>
          <cell r="AP302">
            <v>0.3110329245787416</v>
          </cell>
          <cell r="AQ302">
            <v>9.2517093744009279E-2</v>
          </cell>
          <cell r="AR302">
            <v>0.28396515187190979</v>
          </cell>
          <cell r="AS302">
            <v>0.72064664597175399</v>
          </cell>
          <cell r="AT302">
            <v>0.35214708683589402</v>
          </cell>
          <cell r="AU302">
            <v>0.55913193604343536</v>
          </cell>
          <cell r="AV302">
            <v>0.34687466940097494</v>
          </cell>
          <cell r="AW302">
            <v>0.30548316564872574</v>
          </cell>
          <cell r="AX302">
            <v>1.5636368579290301</v>
          </cell>
          <cell r="AY302">
            <v>0.45683833791023232</v>
          </cell>
          <cell r="AZ302">
            <v>0.6181374420711393</v>
          </cell>
          <cell r="BA302">
            <v>0.42702778975391159</v>
          </cell>
          <cell r="BB302">
            <v>0.26388397600967084</v>
          </cell>
          <cell r="BC302">
            <v>1.7658875457449543</v>
          </cell>
          <cell r="BD302">
            <v>0.55630856914744264</v>
          </cell>
          <cell r="BE302">
            <v>0.72155962726589806</v>
          </cell>
          <cell r="BF302">
            <v>0.50905515838276683</v>
          </cell>
          <cell r="BG302">
            <v>0.33105887032154785</v>
          </cell>
          <cell r="BH302">
            <v>2.1179822251176552</v>
          </cell>
          <cell r="BI302">
            <v>0.66585128066572086</v>
          </cell>
          <cell r="BJ302">
            <v>0.85199500995320998</v>
          </cell>
          <cell r="BK302">
            <v>0.60524894322517941</v>
          </cell>
          <cell r="BL302">
            <v>0.40868613935279374</v>
          </cell>
          <cell r="BM302">
            <v>2.5317813731969037</v>
          </cell>
          <cell r="BN302">
            <v>0.79147771714536319</v>
          </cell>
          <cell r="BO302">
            <v>0.99951802492861408</v>
          </cell>
          <cell r="BP302">
            <v>0.71475299112689128</v>
          </cell>
          <cell r="BQ302">
            <v>0.49931234288491738</v>
          </cell>
          <cell r="BR302">
            <v>3.0050610760857861</v>
          </cell>
          <cell r="BS302">
            <v>0.93555852526034877</v>
          </cell>
          <cell r="BT302">
            <v>1.167074873789911</v>
          </cell>
          <cell r="BU302">
            <v>0.83953195618631826</v>
          </cell>
          <cell r="BV302">
            <v>0.60321153085452117</v>
          </cell>
          <cell r="BW302">
            <v>3.5453768860910992</v>
          </cell>
          <cell r="BX302">
            <v>1.0999765502019823</v>
          </cell>
          <cell r="BY302">
            <v>1.3566949297861455</v>
          </cell>
          <cell r="BZ302">
            <v>0.98070241610851383</v>
          </cell>
          <cell r="CA302">
            <v>0.72209519719055981</v>
          </cell>
          <cell r="CB302">
            <v>4.1594690932872016</v>
          </cell>
        </row>
        <row r="303">
          <cell r="B303" t="str">
            <v>EPS (pre-exceptionals, diluted)</v>
          </cell>
          <cell r="C303" t="str">
            <v>EPS_FUL_DIL</v>
          </cell>
          <cell r="D303" t="str">
            <v>USD</v>
          </cell>
          <cell r="F303">
            <v>-0.40441533352994419</v>
          </cell>
          <cell r="G303">
            <v>-1.2068377288557779</v>
          </cell>
          <cell r="H303">
            <v>-2.1230770216527564</v>
          </cell>
          <cell r="I303">
            <v>-2.6522926818045391</v>
          </cell>
          <cell r="J303">
            <v>-1.9526780993778514</v>
          </cell>
          <cell r="K303">
            <v>-0.34914182399853022</v>
          </cell>
          <cell r="L303">
            <v>-0.16225740616324599</v>
          </cell>
          <cell r="M303">
            <v>-0.31695657930191296</v>
          </cell>
          <cell r="N303">
            <v>-0.17072181272865125</v>
          </cell>
          <cell r="O303">
            <v>-0.94219006261298865</v>
          </cell>
          <cell r="P303">
            <v>-0.15764702465064082</v>
          </cell>
          <cell r="Q303">
            <v>-0.14328779854221504</v>
          </cell>
          <cell r="R303">
            <v>-0.20752726845375019</v>
          </cell>
          <cell r="S303">
            <v>-0.11111140511843912</v>
          </cell>
          <cell r="T303">
            <v>-0.61868879409641642</v>
          </cell>
          <cell r="U303">
            <v>-0.13481071098799619</v>
          </cell>
          <cell r="V303">
            <v>-0.22519434924350079</v>
          </cell>
          <cell r="W303">
            <v>-0.56274765936282201</v>
          </cell>
          <cell r="X303">
            <v>-0.56786195277162244</v>
          </cell>
          <cell r="Y303">
            <v>-1.5071593500774385</v>
          </cell>
          <cell r="Z303">
            <v>-0.71348809253918644</v>
          </cell>
          <cell r="AA303">
            <v>-0.60334047642520239</v>
          </cell>
          <cell r="AB303">
            <v>-0.68873430227228727</v>
          </cell>
          <cell r="AC303">
            <v>-0.39467399450412177</v>
          </cell>
          <cell r="AD303">
            <v>-2.392394576838238</v>
          </cell>
          <cell r="AE303">
            <v>-0.44010930845170981</v>
          </cell>
          <cell r="AF303">
            <v>-0.36600829547699004</v>
          </cell>
          <cell r="AG303">
            <v>-0.41224273644175907</v>
          </cell>
          <cell r="AH303">
            <v>-0.26070964950237968</v>
          </cell>
          <cell r="AI303">
            <v>-1.4750764889309373</v>
          </cell>
          <cell r="AJ303">
            <v>-0.21745344525960619</v>
          </cell>
          <cell r="AK303">
            <v>-2.965613688713396E-2</v>
          </cell>
          <cell r="AL303">
            <v>-4.7893452239147802E-2</v>
          </cell>
          <cell r="AM303">
            <v>-0.17232628506020467</v>
          </cell>
          <cell r="AN303">
            <v>-0.46636570948685602</v>
          </cell>
          <cell r="AO303">
            <v>3.3131475777093362E-2</v>
          </cell>
          <cell r="AP303">
            <v>0.3110329245787416</v>
          </cell>
          <cell r="AQ303">
            <v>9.2517093744009279E-2</v>
          </cell>
          <cell r="AR303">
            <v>0.28396515187190979</v>
          </cell>
          <cell r="AS303">
            <v>0.72438778568371698</v>
          </cell>
          <cell r="AT303">
            <v>0.35214708683589402</v>
          </cell>
          <cell r="AU303">
            <v>0.4567093186842629</v>
          </cell>
          <cell r="AV303">
            <v>0.34687466940097494</v>
          </cell>
          <cell r="AW303">
            <v>0.30548316564872574</v>
          </cell>
          <cell r="AX303">
            <v>1.5622959594349992</v>
          </cell>
          <cell r="AY303">
            <v>0.42160932593333728</v>
          </cell>
          <cell r="AZ303">
            <v>0.56290246155629253</v>
          </cell>
          <cell r="BA303">
            <v>0.38921438734695157</v>
          </cell>
          <cell r="BB303">
            <v>0.2407266080436298</v>
          </cell>
          <cell r="BC303">
            <v>1.6111629873026416</v>
          </cell>
          <cell r="BD303">
            <v>0.50776320628006866</v>
          </cell>
          <cell r="BE303">
            <v>0.65894657517812649</v>
          </cell>
          <cell r="BF303">
            <v>0.46512900961764631</v>
          </cell>
          <cell r="BG303">
            <v>0.30265128612672165</v>
          </cell>
          <cell r="BH303">
            <v>1.9322636180990413</v>
          </cell>
          <cell r="BI303">
            <v>0.60903374325066417</v>
          </cell>
          <cell r="BJ303">
            <v>0.7796974293965947</v>
          </cell>
          <cell r="BK303">
            <v>0.55417682123137824</v>
          </cell>
          <cell r="BL303">
            <v>0.37442098694293713</v>
          </cell>
          <cell r="BM303">
            <v>2.3146002648486173</v>
          </cell>
          <cell r="BN303">
            <v>0.72554027132901633</v>
          </cell>
          <cell r="BO303">
            <v>0.91677483235437907</v>
          </cell>
          <cell r="BP303">
            <v>0.65595490816224056</v>
          </cell>
          <cell r="BQ303">
            <v>0.45849336381587319</v>
          </cell>
          <cell r="BR303">
            <v>2.7534675312758821</v>
          </cell>
          <cell r="BS303">
            <v>0.85955034327636515</v>
          </cell>
          <cell r="BT303">
            <v>1.0728415870576515</v>
          </cell>
          <cell r="BU303">
            <v>0.7721605565141898</v>
          </cell>
          <cell r="BV303">
            <v>0.55509913622748475</v>
          </cell>
          <cell r="BW303">
            <v>3.2560057312321624</v>
          </cell>
          <cell r="BX303">
            <v>1.0127726621374329</v>
          </cell>
          <cell r="BY303">
            <v>1.2497856022438318</v>
          </cell>
          <cell r="BZ303">
            <v>0.90388365222627831</v>
          </cell>
          <cell r="CA303">
            <v>0.6658692589246511</v>
          </cell>
          <cell r="CB303">
            <v>3.8282495536256822</v>
          </cell>
        </row>
        <row r="304">
          <cell r="B304" t="str">
            <v>EPS (post-exceptionals, basic)</v>
          </cell>
          <cell r="C304" t="str">
            <v>EPS_POST_BASIC</v>
          </cell>
          <cell r="D304" t="str">
            <v>USD</v>
          </cell>
          <cell r="F304">
            <v>-0.43053350261113849</v>
          </cell>
          <cell r="G304">
            <v>-1.3611002158792447</v>
          </cell>
          <cell r="H304">
            <v>-2.3001849364789653</v>
          </cell>
          <cell r="I304">
            <v>-3.1135180428502651</v>
          </cell>
          <cell r="J304">
            <v>-2.4614978887719889</v>
          </cell>
          <cell r="K304">
            <v>-1.8864441864921548</v>
          </cell>
          <cell r="L304">
            <v>-0.53782273660073565</v>
          </cell>
          <cell r="M304">
            <v>-0.6722111819510006</v>
          </cell>
          <cell r="N304">
            <v>-0.43342066564440684</v>
          </cell>
          <cell r="O304">
            <v>-2.9631044277038439</v>
          </cell>
          <cell r="P304">
            <v>-0.3921849249350195</v>
          </cell>
          <cell r="Q304">
            <v>-0.38723875341952402</v>
          </cell>
          <cell r="R304">
            <v>-0.51349288657058756</v>
          </cell>
          <cell r="S304">
            <v>-0.51034025621874102</v>
          </cell>
          <cell r="T304">
            <v>-1.8106539496787917</v>
          </cell>
          <cell r="U304">
            <v>-0.53728782645372364</v>
          </cell>
          <cell r="V304">
            <v>-0.6841260553372901</v>
          </cell>
          <cell r="W304">
            <v>-1.1467509824390723</v>
          </cell>
          <cell r="X304">
            <v>-1.0427480670275957</v>
          </cell>
          <cell r="Y304">
            <v>-3.4311589511053535</v>
          </cell>
          <cell r="Z304">
            <v>-1.2089354724760246</v>
          </cell>
          <cell r="AA304">
            <v>-1.1288714087802956</v>
          </cell>
          <cell r="AB304">
            <v>-1.2256245989631602</v>
          </cell>
          <cell r="AC304">
            <v>-0.92604546590057413</v>
          </cell>
          <cell r="AD304">
            <v>-4.4827701760115808</v>
          </cell>
          <cell r="AE304">
            <v>-1.3050444373322831</v>
          </cell>
          <cell r="AF304">
            <v>-1.4209641532756492</v>
          </cell>
          <cell r="AG304">
            <v>-0.59523866836771522</v>
          </cell>
          <cell r="AH304">
            <v>-1.6846744304178505</v>
          </cell>
          <cell r="AI304">
            <v>-5.0107714259231964</v>
          </cell>
          <cell r="AJ304">
            <v>-1.9499208813033937</v>
          </cell>
          <cell r="AK304">
            <v>-0.52747614346824601</v>
          </cell>
          <cell r="AL304">
            <v>-0.50337344306949605</v>
          </cell>
          <cell r="AM304">
            <v>-0.67142121935420895</v>
          </cell>
          <cell r="AN304">
            <v>-3.6228671534579107</v>
          </cell>
          <cell r="AO304">
            <v>-0.43542600112013424</v>
          </cell>
          <cell r="AP304">
            <v>-0.30522929925320352</v>
          </cell>
          <cell r="AQ304">
            <v>-0.30233667752998034</v>
          </cell>
          <cell r="AR304">
            <v>-5.586716673954692E-2</v>
          </cell>
          <cell r="AS304">
            <v>-1.0913770321177478</v>
          </cell>
          <cell r="AT304">
            <v>-6.5646610625698862E-2</v>
          </cell>
          <cell r="AU304">
            <v>0.13448676046634636</v>
          </cell>
          <cell r="AV304">
            <v>-6.3540115394318267E-2</v>
          </cell>
          <cell r="AW304">
            <v>-0.5087056146777148</v>
          </cell>
          <cell r="AX304">
            <v>-0.50982010718763049</v>
          </cell>
          <cell r="AY304">
            <v>0.1122690916730439</v>
          </cell>
          <cell r="AZ304">
            <v>0.21122790467848074</v>
          </cell>
          <cell r="BA304">
            <v>9.4746543052079135E-2</v>
          </cell>
          <cell r="BB304">
            <v>-6.9981658690288953E-2</v>
          </cell>
          <cell r="BC304">
            <v>0.34516724998917209</v>
          </cell>
          <cell r="BD304">
            <v>0.20367586531758525</v>
          </cell>
          <cell r="BE304">
            <v>0.35789169267153215</v>
          </cell>
          <cell r="BF304">
            <v>0.16854077660877606</v>
          </cell>
          <cell r="BG304">
            <v>-1.2981712384731866E-2</v>
          </cell>
          <cell r="BH304">
            <v>0.71456585540565232</v>
          </cell>
          <cell r="BI304">
            <v>0.2972866761081574</v>
          </cell>
          <cell r="BJ304">
            <v>0.4748249340460276</v>
          </cell>
          <cell r="BK304">
            <v>0.25654014375994655</v>
          </cell>
          <cell r="BL304">
            <v>5.664654157734067E-2</v>
          </cell>
          <cell r="BM304">
            <v>1.0822463524094876</v>
          </cell>
          <cell r="BN304">
            <v>0.41067549798181774</v>
          </cell>
          <cell r="BO304">
            <v>0.61353225055386629</v>
          </cell>
          <cell r="BP304">
            <v>0.36244337858720554</v>
          </cell>
          <cell r="BQ304">
            <v>0.14371320988708608</v>
          </cell>
          <cell r="BR304">
            <v>1.5267833086309985</v>
          </cell>
          <cell r="BS304">
            <v>0.54608246668011051</v>
          </cell>
          <cell r="BT304">
            <v>0.77608630189138583</v>
          </cell>
          <cell r="BU304">
            <v>0.48671591928350072</v>
          </cell>
          <cell r="BV304">
            <v>0.24721499556834203</v>
          </cell>
          <cell r="BW304">
            <v>2.0521952962358561</v>
          </cell>
          <cell r="BX304">
            <v>0.70572923853478631</v>
          </cell>
          <cell r="BY304">
            <v>0.96524443823032524</v>
          </cell>
          <cell r="BZ304">
            <v>0.63138555828205067</v>
          </cell>
          <cell r="CA304">
            <v>0.36973934779845513</v>
          </cell>
          <cell r="CB304">
            <v>2.6678052961423258</v>
          </cell>
        </row>
        <row r="305">
          <cell r="B305" t="str">
            <v>EPS (post-exceptionals, diluted)</v>
          </cell>
          <cell r="C305" t="str">
            <v>FULLY_DIL_EPS</v>
          </cell>
          <cell r="D305" t="str">
            <v>USD</v>
          </cell>
          <cell r="F305">
            <v>-0.43053350261113849</v>
          </cell>
          <cell r="G305">
            <v>-1.3611002158792447</v>
          </cell>
          <cell r="H305">
            <v>-2.3001849364789653</v>
          </cell>
          <cell r="I305">
            <v>-3.1135180428502651</v>
          </cell>
          <cell r="J305">
            <v>-2.4614978887719889</v>
          </cell>
          <cell r="K305">
            <v>-1.8864441864921548</v>
          </cell>
          <cell r="L305">
            <v>-0.53782273660073565</v>
          </cell>
          <cell r="M305">
            <v>-0.6722111819510006</v>
          </cell>
          <cell r="N305">
            <v>-0.43342066564440684</v>
          </cell>
          <cell r="O305">
            <v>-2.9631044277038439</v>
          </cell>
          <cell r="P305">
            <v>-0.3921849249350195</v>
          </cell>
          <cell r="Q305">
            <v>-0.38723875341952402</v>
          </cell>
          <cell r="R305">
            <v>-0.51349288657058756</v>
          </cell>
          <cell r="S305">
            <v>-0.51034025621874102</v>
          </cell>
          <cell r="T305">
            <v>-1.8106539496787917</v>
          </cell>
          <cell r="U305">
            <v>-0.53728782645372364</v>
          </cell>
          <cell r="V305">
            <v>-0.6841260553372901</v>
          </cell>
          <cell r="W305">
            <v>-1.1467509824390723</v>
          </cell>
          <cell r="X305">
            <v>-1.0427480670275957</v>
          </cell>
          <cell r="Y305">
            <v>-3.4311589511053535</v>
          </cell>
          <cell r="Z305">
            <v>-1.2089354724760246</v>
          </cell>
          <cell r="AA305">
            <v>-1.1288714087802956</v>
          </cell>
          <cell r="AB305">
            <v>-1.2256245989631602</v>
          </cell>
          <cell r="AC305">
            <v>-0.92604546590057413</v>
          </cell>
          <cell r="AD305">
            <v>-4.4827701760115808</v>
          </cell>
          <cell r="AE305">
            <v>-1.3050444373322831</v>
          </cell>
          <cell r="AF305">
            <v>-1.4190697215089869</v>
          </cell>
          <cell r="AG305">
            <v>-0.59523866836771522</v>
          </cell>
          <cell r="AH305">
            <v>-1.6846744304178505</v>
          </cell>
          <cell r="AI305">
            <v>-5.0091198634182668</v>
          </cell>
          <cell r="AJ305">
            <v>-1.9499208813033937</v>
          </cell>
          <cell r="AK305">
            <v>-0.52747614346824601</v>
          </cell>
          <cell r="AL305">
            <v>-0.50337344306949605</v>
          </cell>
          <cell r="AM305">
            <v>-0.67142121935420895</v>
          </cell>
          <cell r="AN305">
            <v>-3.6228671534579107</v>
          </cell>
          <cell r="AO305">
            <v>-0.43542600112013424</v>
          </cell>
          <cell r="AP305">
            <v>-0.30522929925320352</v>
          </cell>
          <cell r="AQ305">
            <v>-0.30233667752998034</v>
          </cell>
          <cell r="AR305">
            <v>-5.586716673954692E-2</v>
          </cell>
          <cell r="AS305">
            <v>-1.0913770321177478</v>
          </cell>
          <cell r="AT305">
            <v>-6.5646610625698862E-2</v>
          </cell>
          <cell r="AU305">
            <v>0.10985127621089287</v>
          </cell>
          <cell r="AV305">
            <v>-6.3540115394318267E-2</v>
          </cell>
          <cell r="AW305">
            <v>-0.5087056146777148</v>
          </cell>
          <cell r="AX305">
            <v>-0.50982050559158021</v>
          </cell>
          <cell r="AY305">
            <v>0.10361147945670236</v>
          </cell>
          <cell r="AZ305">
            <v>0.19235318781936991</v>
          </cell>
          <cell r="BA305">
            <v>8.6356716335739964E-2</v>
          </cell>
          <cell r="BB305">
            <v>-6.3840357328718123E-2</v>
          </cell>
          <cell r="BC305">
            <v>0.31557947069164421</v>
          </cell>
          <cell r="BD305">
            <v>0.18590242205691168</v>
          </cell>
          <cell r="BE305">
            <v>0.32683578218505804</v>
          </cell>
          <cell r="BF305">
            <v>0.15399746611600754</v>
          </cell>
          <cell r="BG305">
            <v>-1.1867774289056906E-2</v>
          </cell>
          <cell r="BH305">
            <v>0.65273265812784786</v>
          </cell>
          <cell r="BI305">
            <v>0.2719190041771441</v>
          </cell>
          <cell r="BJ305">
            <v>0.43453280378887099</v>
          </cell>
          <cell r="BK305">
            <v>0.23489277094736694</v>
          </cell>
          <cell r="BL305">
            <v>5.1897169886603423E-2</v>
          </cell>
          <cell r="BM305">
            <v>0.99068711272397225</v>
          </cell>
          <cell r="BN305">
            <v>0.37646241426552152</v>
          </cell>
          <cell r="BO305">
            <v>0.56274215383529236</v>
          </cell>
          <cell r="BP305">
            <v>0.33262751757127668</v>
          </cell>
          <cell r="BQ305">
            <v>0.13196459884247949</v>
          </cell>
          <cell r="BR305">
            <v>1.4007871986643254</v>
          </cell>
          <cell r="BS305">
            <v>0.50171673820349383</v>
          </cell>
          <cell r="BT305">
            <v>0.71342265908874347</v>
          </cell>
          <cell r="BU305">
            <v>0.44765756958852038</v>
          </cell>
          <cell r="BV305">
            <v>0.22749702796308802</v>
          </cell>
          <cell r="BW305">
            <v>1.8869992758923979</v>
          </cell>
          <cell r="BX305">
            <v>0.6497804698907943</v>
          </cell>
          <cell r="BY305">
            <v>0.88918191928111046</v>
          </cell>
          <cell r="BZ305">
            <v>0.58192890627054428</v>
          </cell>
          <cell r="CA305">
            <v>0.34094959566511263</v>
          </cell>
          <cell r="CB305">
            <v>2.4582036877148199</v>
          </cell>
        </row>
        <row r="306">
          <cell r="B306" t="str">
            <v>Common dividends paid</v>
          </cell>
          <cell r="C306" t="str">
            <v>COMMON_DIV_PAID</v>
          </cell>
          <cell r="D306" t="str">
            <v>USD</v>
          </cell>
          <cell r="F306"/>
          <cell r="G306"/>
          <cell r="H306"/>
          <cell r="I306"/>
          <cell r="J306"/>
          <cell r="K306"/>
          <cell r="L306"/>
          <cell r="M306"/>
          <cell r="N306"/>
          <cell r="O306"/>
          <cell r="P306"/>
          <cell r="Q306"/>
          <cell r="R306"/>
          <cell r="S306"/>
          <cell r="T306"/>
          <cell r="U306"/>
          <cell r="V306"/>
          <cell r="W306"/>
          <cell r="X306"/>
          <cell r="Y306"/>
          <cell r="Z306"/>
          <cell r="AA306"/>
          <cell r="AB306"/>
          <cell r="AC306"/>
          <cell r="AD306"/>
          <cell r="AE306"/>
          <cell r="AF306"/>
          <cell r="AG306"/>
          <cell r="AH306"/>
          <cell r="AI306"/>
          <cell r="AJ306"/>
          <cell r="AK306"/>
          <cell r="AL306"/>
          <cell r="AM306"/>
          <cell r="AN306"/>
          <cell r="AO306"/>
          <cell r="AP306"/>
          <cell r="AQ306"/>
          <cell r="AR306"/>
          <cell r="AS306"/>
          <cell r="AT306"/>
          <cell r="AU306"/>
          <cell r="AV306"/>
          <cell r="AW306"/>
          <cell r="AX306"/>
          <cell r="AY306"/>
          <cell r="AZ306"/>
          <cell r="BA306"/>
          <cell r="BB306"/>
          <cell r="BC306"/>
          <cell r="BD306"/>
          <cell r="BE306"/>
          <cell r="BF306"/>
          <cell r="BG306"/>
          <cell r="BH306"/>
          <cell r="BI306"/>
          <cell r="BJ306"/>
          <cell r="BK306"/>
          <cell r="BL306"/>
          <cell r="BM306"/>
          <cell r="BN306"/>
          <cell r="BO306"/>
          <cell r="BP306"/>
          <cell r="BQ306"/>
          <cell r="BR306"/>
          <cell r="BS306"/>
          <cell r="BT306"/>
          <cell r="BU306"/>
          <cell r="BV306"/>
          <cell r="BW306"/>
          <cell r="BX306"/>
          <cell r="BY306"/>
          <cell r="BZ306"/>
          <cell r="CA306"/>
          <cell r="CB306"/>
        </row>
        <row r="307">
          <cell r="B307" t="str">
            <v>DPS, dividend per share</v>
          </cell>
          <cell r="C307" t="str">
            <v>DPS</v>
          </cell>
          <cell r="D307" t="str">
            <v>USD</v>
          </cell>
          <cell r="F307"/>
          <cell r="G307"/>
          <cell r="H307"/>
          <cell r="I307"/>
          <cell r="J307"/>
          <cell r="K307"/>
          <cell r="L307"/>
          <cell r="M307"/>
          <cell r="N307"/>
          <cell r="O307"/>
          <cell r="P307"/>
          <cell r="Q307"/>
          <cell r="R307"/>
          <cell r="S307"/>
          <cell r="T307"/>
          <cell r="U307"/>
          <cell r="V307"/>
          <cell r="W307"/>
          <cell r="X307"/>
          <cell r="Y307"/>
          <cell r="Z307"/>
          <cell r="AA307"/>
          <cell r="AB307"/>
          <cell r="AC307"/>
          <cell r="AD307"/>
          <cell r="AE307"/>
          <cell r="AF307"/>
          <cell r="AG307"/>
          <cell r="AH307"/>
          <cell r="AI307"/>
          <cell r="AJ307"/>
          <cell r="AK307"/>
          <cell r="AL307"/>
          <cell r="AM307"/>
          <cell r="AN307"/>
          <cell r="AO307"/>
          <cell r="AP307"/>
          <cell r="AQ307"/>
          <cell r="AR307"/>
          <cell r="AS307"/>
          <cell r="AT307"/>
          <cell r="AU307"/>
          <cell r="AV307"/>
          <cell r="AW307"/>
          <cell r="AX307"/>
          <cell r="AY307"/>
          <cell r="AZ307"/>
          <cell r="BA307"/>
          <cell r="BB307"/>
          <cell r="BC307"/>
          <cell r="BD307"/>
          <cell r="BE307"/>
          <cell r="BF307"/>
          <cell r="BG307"/>
          <cell r="BH307"/>
          <cell r="BI307"/>
          <cell r="BJ307"/>
          <cell r="BK307"/>
          <cell r="BL307"/>
          <cell r="BM307"/>
          <cell r="BN307"/>
          <cell r="BO307"/>
          <cell r="BP307"/>
          <cell r="BQ307"/>
          <cell r="BR307"/>
          <cell r="BS307"/>
          <cell r="BT307"/>
          <cell r="BU307"/>
          <cell r="BV307"/>
          <cell r="BW307"/>
          <cell r="BX307"/>
          <cell r="BY307"/>
          <cell r="BZ307"/>
          <cell r="CA307"/>
          <cell r="CB307"/>
        </row>
        <row r="308">
          <cell r="B308" t="str">
            <v>Weighted average shares outstanding, basic</v>
          </cell>
          <cell r="C308" t="str">
            <v>SH</v>
          </cell>
          <cell r="F308">
            <v>32.429532000000002</v>
          </cell>
          <cell r="G308">
            <v>32.866059</v>
          </cell>
          <cell r="H308">
            <v>36.520107000000003</v>
          </cell>
          <cell r="I308">
            <v>40.509481000000001</v>
          </cell>
          <cell r="J308">
            <v>43.970381000000003</v>
          </cell>
          <cell r="K308">
            <v>74.373788000000005</v>
          </cell>
          <cell r="L308">
            <v>141.9966</v>
          </cell>
          <cell r="M308">
            <v>144.05443199999999</v>
          </cell>
          <cell r="N308">
            <v>152.581557</v>
          </cell>
          <cell r="O308">
            <v>128.12170791232876</v>
          </cell>
          <cell r="P308">
            <v>156.780631</v>
          </cell>
          <cell r="Q308">
            <v>161.73742799999999</v>
          </cell>
          <cell r="R308">
            <v>166.84554399999999</v>
          </cell>
          <cell r="S308">
            <v>171.19754699999999</v>
          </cell>
          <cell r="T308">
            <v>164.11805251506848</v>
          </cell>
          <cell r="U308">
            <v>175.446</v>
          </cell>
          <cell r="V308">
            <v>179.44499999999999</v>
          </cell>
          <cell r="W308">
            <v>182.96299999999999</v>
          </cell>
          <cell r="X308">
            <v>186.37100000000001</v>
          </cell>
          <cell r="Y308">
            <v>181.04057808219181</v>
          </cell>
          <cell r="Z308">
            <v>189.67099999999999</v>
          </cell>
          <cell r="AA308">
            <v>192.727</v>
          </cell>
          <cell r="AB308">
            <v>196.36600000000001</v>
          </cell>
          <cell r="AC308">
            <v>200.15</v>
          </cell>
          <cell r="AD308">
            <v>194.71955191256831</v>
          </cell>
          <cell r="AE308">
            <v>203.095</v>
          </cell>
          <cell r="AF308">
            <v>202.25</v>
          </cell>
          <cell r="AG308">
            <v>207.715</v>
          </cell>
          <cell r="AH308">
            <v>212.61199999999999</v>
          </cell>
          <cell r="AI308">
            <v>206.40733972602743</v>
          </cell>
          <cell r="AJ308">
            <v>215.499</v>
          </cell>
          <cell r="AK308">
            <v>218.80799999999999</v>
          </cell>
          <cell r="AL308">
            <v>222.47300000000001</v>
          </cell>
          <cell r="AM308">
            <v>225.398</v>
          </cell>
          <cell r="AN308">
            <v>220.52864931506849</v>
          </cell>
          <cell r="AO308">
            <v>228.54400000000001</v>
          </cell>
          <cell r="AP308">
            <v>231.92400000000001</v>
          </cell>
          <cell r="AQ308">
            <v>234.73500000000001</v>
          </cell>
          <cell r="AR308">
            <v>237.83199999999999</v>
          </cell>
          <cell r="AS308">
            <v>233.24661643835617</v>
          </cell>
          <cell r="AT308">
            <v>241.49</v>
          </cell>
          <cell r="AU308">
            <v>243.85300000000001</v>
          </cell>
          <cell r="AV308">
            <v>245.76599999999999</v>
          </cell>
          <cell r="AW308">
            <v>247.886</v>
          </cell>
          <cell r="AX308">
            <v>244.74319125683061</v>
          </cell>
          <cell r="AY308">
            <v>266.55599999999998</v>
          </cell>
          <cell r="AZ308">
            <v>267.13799999999998</v>
          </cell>
          <cell r="BA308">
            <v>269.8111274336888</v>
          </cell>
          <cell r="BB308">
            <v>272.49066413338375</v>
          </cell>
          <cell r="BC308">
            <v>268.99227244347838</v>
          </cell>
          <cell r="BD308">
            <v>274.1764844272023</v>
          </cell>
          <cell r="BE308">
            <v>275.86846510741657</v>
          </cell>
          <cell r="BF308">
            <v>277.56648538213648</v>
          </cell>
          <cell r="BG308">
            <v>279.2704268279403</v>
          </cell>
          <cell r="BH308">
            <v>276.71351184757697</v>
          </cell>
          <cell r="BI308">
            <v>280.98017334343422</v>
          </cell>
          <cell r="BJ308">
            <v>282.6956111037224</v>
          </cell>
          <cell r="BK308">
            <v>284.43378594492873</v>
          </cell>
          <cell r="BL308">
            <v>286.43378594492873</v>
          </cell>
          <cell r="BM308">
            <v>283.62928061690548</v>
          </cell>
          <cell r="BN308">
            <v>288.43378594492873</v>
          </cell>
          <cell r="BO308">
            <v>290.43378594492873</v>
          </cell>
          <cell r="BP308">
            <v>292.43378594492873</v>
          </cell>
          <cell r="BQ308">
            <v>294.43378594492873</v>
          </cell>
          <cell r="BR308">
            <v>291.42832146405442</v>
          </cell>
          <cell r="BS308">
            <v>296.43378594492873</v>
          </cell>
          <cell r="BT308">
            <v>298.43378594492873</v>
          </cell>
          <cell r="BU308">
            <v>300.43378594492873</v>
          </cell>
          <cell r="BV308">
            <v>302.43378594492873</v>
          </cell>
          <cell r="BW308">
            <v>299.42556676684654</v>
          </cell>
          <cell r="BX308">
            <v>304.43378594492873</v>
          </cell>
          <cell r="BY308">
            <v>306.43378594492873</v>
          </cell>
          <cell r="BZ308">
            <v>308.43378594492873</v>
          </cell>
          <cell r="CA308">
            <v>310.43378594492873</v>
          </cell>
          <cell r="CB308">
            <v>307.42556676684654</v>
          </cell>
        </row>
        <row r="309">
          <cell r="B309" t="str">
            <v>Diluted average shares outstanding (mn)</v>
          </cell>
          <cell r="C309" t="str">
            <v>DILUTE_SHARES</v>
          </cell>
          <cell r="F309">
            <v>32.429532000000002</v>
          </cell>
          <cell r="G309">
            <v>32.866059</v>
          </cell>
          <cell r="H309">
            <v>36.520107000000003</v>
          </cell>
          <cell r="I309">
            <v>40.509481000000001</v>
          </cell>
          <cell r="J309">
            <v>43.970381000000003</v>
          </cell>
          <cell r="K309">
            <v>74.373788000000005</v>
          </cell>
          <cell r="L309">
            <v>141.9966</v>
          </cell>
          <cell r="M309">
            <v>144.05443199999999</v>
          </cell>
          <cell r="N309">
            <v>152.581557</v>
          </cell>
          <cell r="O309">
            <v>128.12170791232876</v>
          </cell>
          <cell r="P309">
            <v>156.780631</v>
          </cell>
          <cell r="Q309">
            <v>161.73742799999999</v>
          </cell>
          <cell r="R309">
            <v>166.84554399999999</v>
          </cell>
          <cell r="S309">
            <v>171.19754699999999</v>
          </cell>
          <cell r="T309">
            <v>164.11805251506848</v>
          </cell>
          <cell r="U309">
            <v>175.446</v>
          </cell>
          <cell r="V309">
            <v>179.44499999999999</v>
          </cell>
          <cell r="W309">
            <v>182.96299999999999</v>
          </cell>
          <cell r="X309">
            <v>186.37100000000001</v>
          </cell>
          <cell r="Y309">
            <v>181.04057808219181</v>
          </cell>
          <cell r="Z309">
            <v>189.67099999999999</v>
          </cell>
          <cell r="AA309">
            <v>192.727</v>
          </cell>
          <cell r="AB309">
            <v>196.36600000000001</v>
          </cell>
          <cell r="AC309">
            <v>200.15</v>
          </cell>
          <cell r="AD309">
            <v>194.71955191256831</v>
          </cell>
          <cell r="AE309">
            <v>203.095</v>
          </cell>
          <cell r="AF309">
            <v>202.52</v>
          </cell>
          <cell r="AG309">
            <v>207.715</v>
          </cell>
          <cell r="AH309">
            <v>212.61199999999999</v>
          </cell>
          <cell r="AI309">
            <v>206.47539452054798</v>
          </cell>
          <cell r="AJ309">
            <v>215.499</v>
          </cell>
          <cell r="AK309">
            <v>218.80799999999999</v>
          </cell>
          <cell r="AL309">
            <v>222.47300000000001</v>
          </cell>
          <cell r="AM309">
            <v>225.398</v>
          </cell>
          <cell r="AN309">
            <v>220.52864931506849</v>
          </cell>
          <cell r="AO309">
            <v>228.54400000000001</v>
          </cell>
          <cell r="AP309">
            <v>231.92400000000001</v>
          </cell>
          <cell r="AQ309">
            <v>234.73500000000001</v>
          </cell>
          <cell r="AR309">
            <v>237.83199999999999</v>
          </cell>
          <cell r="AS309">
            <v>233.24661643835617</v>
          </cell>
          <cell r="AT309">
            <v>241.49</v>
          </cell>
          <cell r="AU309">
            <v>298.54000000000002</v>
          </cell>
          <cell r="AV309">
            <v>245.76599999999999</v>
          </cell>
          <cell r="AW309">
            <v>247.886</v>
          </cell>
          <cell r="AX309">
            <v>244.74299999999999</v>
          </cell>
          <cell r="AY309">
            <v>288.82900000000001</v>
          </cell>
          <cell r="AZ309">
            <v>293.351</v>
          </cell>
          <cell r="BA309">
            <v>296.02412743368882</v>
          </cell>
          <cell r="BB309">
            <v>298.70366413338377</v>
          </cell>
          <cell r="BC309">
            <v>294.21217655306742</v>
          </cell>
          <cell r="BD309">
            <v>300.38948442720232</v>
          </cell>
          <cell r="BE309">
            <v>302.08146510741659</v>
          </cell>
          <cell r="BF309">
            <v>303.7794853821365</v>
          </cell>
          <cell r="BG309">
            <v>305.48342682794032</v>
          </cell>
          <cell r="BH309">
            <v>302.92651184757699</v>
          </cell>
          <cell r="BI309">
            <v>307.19317334343424</v>
          </cell>
          <cell r="BJ309">
            <v>308.90861110372242</v>
          </cell>
          <cell r="BK309">
            <v>310.64678594492875</v>
          </cell>
          <cell r="BL309">
            <v>312.64678594492875</v>
          </cell>
          <cell r="BM309">
            <v>309.84228061690555</v>
          </cell>
          <cell r="BN309">
            <v>314.64678594492875</v>
          </cell>
          <cell r="BO309">
            <v>316.64678594492875</v>
          </cell>
          <cell r="BP309">
            <v>318.64678594492875</v>
          </cell>
          <cell r="BQ309">
            <v>320.64678594492875</v>
          </cell>
          <cell r="BR309">
            <v>317.64132146405444</v>
          </cell>
          <cell r="BS309">
            <v>322.64678594492875</v>
          </cell>
          <cell r="BT309">
            <v>324.64678594492875</v>
          </cell>
          <cell r="BU309">
            <v>326.64678594492875</v>
          </cell>
          <cell r="BV309">
            <v>328.64678594492875</v>
          </cell>
          <cell r="BW309">
            <v>325.63856676684657</v>
          </cell>
          <cell r="BX309">
            <v>330.64678594492875</v>
          </cell>
          <cell r="BY309">
            <v>332.64678594492875</v>
          </cell>
          <cell r="BZ309">
            <v>334.64678594492875</v>
          </cell>
          <cell r="CA309">
            <v>336.64678594492875</v>
          </cell>
          <cell r="CB309">
            <v>333.63856676684657</v>
          </cell>
        </row>
        <row r="310">
          <cell r="B310" t="str">
            <v>Period-end shares outstanding</v>
          </cell>
          <cell r="C310" t="str">
            <v>NON_OP_ADD</v>
          </cell>
          <cell r="F310">
            <v>32.429532000000002</v>
          </cell>
          <cell r="G310">
            <v>32.866059</v>
          </cell>
          <cell r="H310">
            <v>36.520107000000003</v>
          </cell>
          <cell r="I310">
            <v>40.509481000000001</v>
          </cell>
          <cell r="J310">
            <v>43.970381000000003</v>
          </cell>
          <cell r="K310">
            <v>74.373788000000005</v>
          </cell>
          <cell r="L310">
            <v>141.9966</v>
          </cell>
          <cell r="M310">
            <v>144.05443199999999</v>
          </cell>
          <cell r="N310">
            <v>152.581557</v>
          </cell>
          <cell r="O310">
            <v>128.12170791232876</v>
          </cell>
          <cell r="P310">
            <v>156.780631</v>
          </cell>
          <cell r="Q310">
            <v>161.73742799999999</v>
          </cell>
          <cell r="R310">
            <v>166.84554399999999</v>
          </cell>
          <cell r="S310">
            <v>171.19754699999999</v>
          </cell>
          <cell r="T310">
            <v>164.11805251506848</v>
          </cell>
          <cell r="U310">
            <v>175.446</v>
          </cell>
          <cell r="V310">
            <v>179.44499999999999</v>
          </cell>
          <cell r="W310">
            <v>182.96299999999999</v>
          </cell>
          <cell r="X310">
            <v>186.37100000000001</v>
          </cell>
          <cell r="Y310">
            <v>181.04057808219181</v>
          </cell>
          <cell r="Z310">
            <v>189.67099999999999</v>
          </cell>
          <cell r="AA310">
            <v>192.727</v>
          </cell>
          <cell r="AB310">
            <v>196.36600000000001</v>
          </cell>
          <cell r="AC310">
            <v>200.15</v>
          </cell>
          <cell r="AD310">
            <v>194.71955191256831</v>
          </cell>
          <cell r="AE310">
            <v>203.095</v>
          </cell>
          <cell r="AF310">
            <v>202.25</v>
          </cell>
          <cell r="AG310">
            <v>207.715</v>
          </cell>
          <cell r="AH310">
            <v>212.61199999999999</v>
          </cell>
          <cell r="AI310">
            <v>206.40733972602743</v>
          </cell>
          <cell r="AJ310">
            <v>215.499</v>
          </cell>
          <cell r="AK310">
            <v>218.80799999999999</v>
          </cell>
          <cell r="AL310">
            <v>222.47300000000001</v>
          </cell>
          <cell r="AM310">
            <v>225.398</v>
          </cell>
          <cell r="AN310">
            <v>220.52864931506849</v>
          </cell>
          <cell r="AO310">
            <v>228.54400000000001</v>
          </cell>
          <cell r="AP310">
            <v>231.92400000000001</v>
          </cell>
          <cell r="AQ310">
            <v>234.73500000000001</v>
          </cell>
          <cell r="AR310">
            <v>237.83199999999999</v>
          </cell>
          <cell r="AS310">
            <v>233.24661643835617</v>
          </cell>
          <cell r="AT310">
            <v>241.49</v>
          </cell>
          <cell r="AU310">
            <v>243.85300000000001</v>
          </cell>
          <cell r="AV310">
            <v>245.76599999999999</v>
          </cell>
          <cell r="AW310">
            <v>247.886</v>
          </cell>
          <cell r="AX310">
            <v>244.74319125683061</v>
          </cell>
          <cell r="AY310">
            <v>266.55599999999998</v>
          </cell>
          <cell r="AZ310">
            <v>267.13799999999998</v>
          </cell>
          <cell r="BA310">
            <v>269.8111274336888</v>
          </cell>
          <cell r="BB310">
            <v>272.49066413338375</v>
          </cell>
          <cell r="BC310">
            <v>268.99227244347838</v>
          </cell>
          <cell r="BD310">
            <v>274.1764844272023</v>
          </cell>
          <cell r="BE310">
            <v>275.86846510741657</v>
          </cell>
          <cell r="BF310">
            <v>277.56648538213648</v>
          </cell>
          <cell r="BG310">
            <v>279.2704268279403</v>
          </cell>
          <cell r="BH310">
            <v>276.71351184757697</v>
          </cell>
          <cell r="BI310">
            <v>280.98017334343422</v>
          </cell>
          <cell r="BJ310">
            <v>282.6956111037224</v>
          </cell>
          <cell r="BK310">
            <v>284.43378594492873</v>
          </cell>
          <cell r="BL310">
            <v>286.43378594492873</v>
          </cell>
          <cell r="BM310">
            <v>283.62928061690548</v>
          </cell>
          <cell r="BN310">
            <v>288.43378594492873</v>
          </cell>
          <cell r="BO310">
            <v>290.43378594492873</v>
          </cell>
          <cell r="BP310">
            <v>292.43378594492873</v>
          </cell>
          <cell r="BQ310">
            <v>294.43378594492873</v>
          </cell>
          <cell r="BR310">
            <v>291.42832146405442</v>
          </cell>
          <cell r="BS310">
            <v>296.43378594492873</v>
          </cell>
          <cell r="BT310">
            <v>298.43378594492873</v>
          </cell>
          <cell r="BU310">
            <v>300.43378594492873</v>
          </cell>
          <cell r="BV310">
            <v>302.43378594492873</v>
          </cell>
          <cell r="BW310">
            <v>299.42556676684654</v>
          </cell>
          <cell r="BX310">
            <v>304.43378594492873</v>
          </cell>
          <cell r="BY310">
            <v>306.43378594492873</v>
          </cell>
          <cell r="BZ310">
            <v>308.43378594492873</v>
          </cell>
          <cell r="CA310">
            <v>310.43378594492873</v>
          </cell>
          <cell r="CB310">
            <v>307.42556676684654</v>
          </cell>
        </row>
        <row r="311">
          <cell r="A311" t="str">
            <v>Additional Income Statement Items</v>
          </cell>
          <cell r="B311"/>
          <cell r="C311"/>
          <cell r="D311"/>
        </row>
        <row r="312">
          <cell r="B312" t="str">
            <v>Marginal tax rate</v>
          </cell>
          <cell r="C312" t="str">
            <v>MARGIN_TAX_RATE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0.39477260011190074</v>
          </cell>
          <cell r="AP312">
            <v>4.787297229518362E-2</v>
          </cell>
          <cell r="AQ312">
            <v>0.17139150673432774</v>
          </cell>
          <cell r="AR312">
            <v>7.7805390938635019E-2</v>
          </cell>
          <cell r="AS312">
            <v>9.9916363462019889E-2</v>
          </cell>
          <cell r="AT312">
            <v>5.1295209620919671E-2</v>
          </cell>
          <cell r="AU312">
            <v>4.3286671578430386E-2</v>
          </cell>
          <cell r="AV312">
            <v>6.0098565616696617E-2</v>
          </cell>
          <cell r="AW312">
            <v>9.3016013702075642E-2</v>
          </cell>
          <cell r="AX312">
            <v>5.9023735987892068E-2</v>
          </cell>
          <cell r="AY312">
            <v>5.1826300913345169E-2</v>
          </cell>
          <cell r="AZ312">
            <v>5.0633857475493732E-2</v>
          </cell>
          <cell r="BA312">
            <v>0.05</v>
          </cell>
          <cell r="BB312">
            <v>0.05</v>
          </cell>
          <cell r="BC312">
            <v>5.0690517924701244E-2</v>
          </cell>
          <cell r="BD312">
            <v>0.05</v>
          </cell>
          <cell r="BE312">
            <v>0.05</v>
          </cell>
          <cell r="BF312">
            <v>0.05</v>
          </cell>
          <cell r="BG312">
            <v>0.05</v>
          </cell>
          <cell r="BH312">
            <v>5.0000000000000037E-2</v>
          </cell>
          <cell r="BI312">
            <v>0.05</v>
          </cell>
          <cell r="BJ312">
            <v>0.05</v>
          </cell>
          <cell r="BK312">
            <v>0.05</v>
          </cell>
          <cell r="BL312">
            <v>0.05</v>
          </cell>
          <cell r="BM312">
            <v>0.05</v>
          </cell>
          <cell r="BN312">
            <v>0.05</v>
          </cell>
          <cell r="BO312">
            <v>0.05</v>
          </cell>
          <cell r="BP312">
            <v>0.05</v>
          </cell>
          <cell r="BQ312">
            <v>0.05</v>
          </cell>
          <cell r="BR312">
            <v>5.000000000000001E-2</v>
          </cell>
          <cell r="BS312">
            <v>0.05</v>
          </cell>
          <cell r="BT312">
            <v>0.05</v>
          </cell>
          <cell r="BU312">
            <v>0.05</v>
          </cell>
          <cell r="BV312">
            <v>0.05</v>
          </cell>
          <cell r="BW312">
            <v>4.9999999999999968E-2</v>
          </cell>
          <cell r="BX312">
            <v>0.05</v>
          </cell>
          <cell r="BY312">
            <v>0.05</v>
          </cell>
          <cell r="BZ312">
            <v>0.05</v>
          </cell>
          <cell r="CA312">
            <v>0.05</v>
          </cell>
          <cell r="CB312">
            <v>4.9999999999999989E-2</v>
          </cell>
        </row>
        <row r="313">
          <cell r="A313" t="str">
            <v>ESO</v>
          </cell>
          <cell r="B313"/>
          <cell r="C313"/>
          <cell r="D313"/>
        </row>
        <row r="314">
          <cell r="B314" t="str">
            <v>Fair value of grant</v>
          </cell>
          <cell r="C314" t="str">
            <v>FV_GRANT</v>
          </cell>
          <cell r="D314" t="str">
            <v>USD</v>
          </cell>
          <cell r="F314"/>
          <cell r="G314"/>
          <cell r="H314"/>
          <cell r="I314"/>
          <cell r="J314"/>
          <cell r="K314"/>
          <cell r="L314"/>
          <cell r="M314"/>
          <cell r="N314"/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B314"/>
          <cell r="AC314"/>
          <cell r="AD314"/>
          <cell r="AE314"/>
          <cell r="AF314"/>
          <cell r="AG314"/>
          <cell r="AH314"/>
          <cell r="AI314"/>
          <cell r="AJ314"/>
          <cell r="AK314"/>
          <cell r="AL314"/>
          <cell r="AM314"/>
          <cell r="AN314"/>
          <cell r="AO314"/>
          <cell r="AP314"/>
          <cell r="AQ314"/>
          <cell r="AR314"/>
          <cell r="AS314"/>
          <cell r="AT314"/>
          <cell r="AU314"/>
          <cell r="AV314"/>
          <cell r="AW314"/>
          <cell r="AX314"/>
          <cell r="AY314"/>
          <cell r="AZ314"/>
          <cell r="BA314"/>
          <cell r="BB314"/>
          <cell r="BC314"/>
          <cell r="BD314"/>
          <cell r="BE314"/>
          <cell r="BF314"/>
          <cell r="BG314"/>
          <cell r="BH314"/>
          <cell r="BI314"/>
          <cell r="BJ314"/>
          <cell r="BK314"/>
          <cell r="BL314"/>
          <cell r="BM314"/>
          <cell r="BN314"/>
          <cell r="BO314"/>
          <cell r="BP314"/>
          <cell r="BQ314"/>
          <cell r="BR314"/>
          <cell r="BS314"/>
          <cell r="BT314"/>
          <cell r="BU314"/>
          <cell r="BV314"/>
          <cell r="BW314"/>
          <cell r="BX314"/>
          <cell r="BY314"/>
          <cell r="BZ314"/>
          <cell r="CA314"/>
          <cell r="CB314"/>
        </row>
        <row r="315">
          <cell r="B315" t="str">
            <v>ESO expense (post-tax)</v>
          </cell>
          <cell r="C315" t="str">
            <v>ESO_POST_TAX</v>
          </cell>
          <cell r="D315" t="str">
            <v>USD</v>
          </cell>
          <cell r="F315"/>
          <cell r="G315"/>
          <cell r="H315"/>
          <cell r="I315"/>
          <cell r="J315"/>
          <cell r="K315"/>
          <cell r="L315"/>
          <cell r="M315"/>
          <cell r="N315"/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B315"/>
          <cell r="AC315"/>
          <cell r="AD315"/>
          <cell r="AE315"/>
          <cell r="AF315"/>
          <cell r="AG315"/>
          <cell r="AH315"/>
          <cell r="AI315"/>
          <cell r="AJ315"/>
          <cell r="AK315"/>
          <cell r="AL315"/>
          <cell r="AM315"/>
          <cell r="AN315"/>
          <cell r="AO315"/>
          <cell r="AP315"/>
          <cell r="AQ315"/>
          <cell r="AR315"/>
          <cell r="AS315"/>
          <cell r="AT315"/>
          <cell r="AU315"/>
          <cell r="AV315"/>
          <cell r="AW315"/>
          <cell r="AX315"/>
          <cell r="AY315"/>
          <cell r="AZ315"/>
          <cell r="BA315"/>
          <cell r="BB315"/>
          <cell r="BC315"/>
          <cell r="BD315"/>
          <cell r="BE315"/>
          <cell r="BF315"/>
          <cell r="BG315"/>
          <cell r="BH315"/>
          <cell r="BI315"/>
          <cell r="BJ315"/>
          <cell r="BK315"/>
          <cell r="BL315"/>
          <cell r="BM315"/>
          <cell r="BN315"/>
          <cell r="BO315"/>
          <cell r="BP315"/>
          <cell r="BQ315"/>
          <cell r="BR315"/>
          <cell r="BS315"/>
          <cell r="BT315"/>
          <cell r="BU315"/>
          <cell r="BV315"/>
          <cell r="BW315"/>
          <cell r="BX315"/>
          <cell r="BY315"/>
          <cell r="BZ315"/>
          <cell r="CA315"/>
          <cell r="CB315"/>
        </row>
        <row r="316">
          <cell r="B316" t="str">
            <v>EPS (excl. ESO expense, basic)</v>
          </cell>
          <cell r="C316" t="str">
            <v>EPS_EX_ESO_B</v>
          </cell>
          <cell r="D316" t="str">
            <v>USD</v>
          </cell>
          <cell r="F316"/>
          <cell r="G316"/>
          <cell r="H316"/>
          <cell r="I316"/>
          <cell r="J316"/>
          <cell r="K316"/>
          <cell r="L316"/>
          <cell r="M316"/>
          <cell r="N316"/>
          <cell r="O316"/>
          <cell r="P316"/>
          <cell r="Q316"/>
          <cell r="R316"/>
          <cell r="S316"/>
          <cell r="T316"/>
          <cell r="U316"/>
          <cell r="V316"/>
          <cell r="W316"/>
          <cell r="X316"/>
          <cell r="Y316"/>
          <cell r="Z316"/>
          <cell r="AA316"/>
          <cell r="AB316"/>
          <cell r="AC316"/>
          <cell r="AD316"/>
          <cell r="AE316"/>
          <cell r="AF316"/>
          <cell r="AG316"/>
          <cell r="AH316"/>
          <cell r="AI316"/>
          <cell r="AJ316"/>
          <cell r="AK316"/>
          <cell r="AL316"/>
          <cell r="AM316"/>
          <cell r="AN316"/>
          <cell r="AO316"/>
          <cell r="AP316"/>
          <cell r="AQ316"/>
          <cell r="AR316"/>
          <cell r="AS316"/>
          <cell r="AT316"/>
          <cell r="AU316"/>
          <cell r="AV316"/>
          <cell r="AW316"/>
          <cell r="AX316"/>
          <cell r="AY316"/>
          <cell r="AZ316"/>
          <cell r="BA316"/>
          <cell r="BB316"/>
          <cell r="BC316"/>
          <cell r="BD316"/>
          <cell r="BE316"/>
          <cell r="BF316"/>
          <cell r="BG316"/>
          <cell r="BH316"/>
          <cell r="BI316"/>
          <cell r="BJ316"/>
          <cell r="BK316"/>
          <cell r="BL316"/>
          <cell r="BM316"/>
          <cell r="BN316"/>
          <cell r="BO316"/>
          <cell r="BP316"/>
          <cell r="BQ316"/>
          <cell r="BR316"/>
          <cell r="BS316"/>
          <cell r="BT316"/>
          <cell r="BU316"/>
          <cell r="BV316"/>
          <cell r="BW316"/>
          <cell r="BX316"/>
          <cell r="BY316"/>
          <cell r="BZ316"/>
          <cell r="CA316"/>
          <cell r="CB316"/>
        </row>
        <row r="317">
          <cell r="B317" t="str">
            <v>EPS (excl. ESO expense, diluted)</v>
          </cell>
          <cell r="C317" t="str">
            <v>EPS_EX_ESO_D</v>
          </cell>
          <cell r="D317" t="str">
            <v>USD</v>
          </cell>
          <cell r="F317"/>
          <cell r="G317"/>
          <cell r="H317"/>
          <cell r="I317"/>
          <cell r="J317"/>
          <cell r="K317"/>
          <cell r="L317"/>
          <cell r="M317"/>
          <cell r="N317"/>
          <cell r="O317"/>
          <cell r="P317"/>
          <cell r="Q317"/>
          <cell r="R317"/>
          <cell r="S317"/>
          <cell r="T317"/>
          <cell r="U317"/>
          <cell r="V317"/>
          <cell r="W317"/>
          <cell r="X317"/>
          <cell r="Y317"/>
          <cell r="Z317"/>
          <cell r="AA317"/>
          <cell r="AB317"/>
          <cell r="AC317"/>
          <cell r="AD317"/>
          <cell r="AE317"/>
          <cell r="AF317"/>
          <cell r="AG317"/>
          <cell r="AH317"/>
          <cell r="AI317"/>
          <cell r="AJ317"/>
          <cell r="AK317"/>
          <cell r="AL317"/>
          <cell r="AM317"/>
          <cell r="AN317"/>
          <cell r="AO317"/>
          <cell r="AP317"/>
          <cell r="AQ317"/>
          <cell r="AR317"/>
          <cell r="AS317"/>
          <cell r="AT317"/>
          <cell r="AU317"/>
          <cell r="AV317"/>
          <cell r="AW317"/>
          <cell r="AX317"/>
          <cell r="AY317"/>
          <cell r="AZ317"/>
          <cell r="BA317"/>
          <cell r="BB317"/>
          <cell r="BC317"/>
          <cell r="BD317"/>
          <cell r="BE317"/>
          <cell r="BF317"/>
          <cell r="BG317"/>
          <cell r="BH317"/>
          <cell r="BI317"/>
          <cell r="BJ317"/>
          <cell r="BK317"/>
          <cell r="BL317"/>
          <cell r="BM317"/>
          <cell r="BN317"/>
          <cell r="BO317"/>
          <cell r="BP317"/>
          <cell r="BQ317"/>
          <cell r="BR317"/>
          <cell r="BS317"/>
          <cell r="BT317"/>
          <cell r="BU317"/>
          <cell r="BV317"/>
          <cell r="BW317"/>
          <cell r="BX317"/>
          <cell r="BY317"/>
          <cell r="BZ317"/>
          <cell r="CA317"/>
          <cell r="CB317"/>
        </row>
        <row r="318">
          <cell r="B318" t="str">
            <v>Year that ESO expense takes effect</v>
          </cell>
          <cell r="C318" t="str">
            <v>ESO_YEAR</v>
          </cell>
          <cell r="E318"/>
        </row>
        <row r="319">
          <cell r="A319" t="str">
            <v>Balance Sheet</v>
          </cell>
          <cell r="B319"/>
          <cell r="C319"/>
          <cell r="D319"/>
        </row>
        <row r="320">
          <cell r="B320" t="str">
            <v>BVPS, book value per share</v>
          </cell>
          <cell r="C320" t="str">
            <v>BVPS</v>
          </cell>
          <cell r="D320" t="str">
            <v>USD</v>
          </cell>
          <cell r="F320"/>
          <cell r="G320"/>
          <cell r="H320">
            <v>1.1308838717257867</v>
          </cell>
          <cell r="I320">
            <v>1.8673406356403326</v>
          </cell>
          <cell r="J320">
            <v>-1.4995548935543672</v>
          </cell>
          <cell r="K320">
            <v>2.3081115621003465</v>
          </cell>
          <cell r="L320">
            <v>0.92877575941959201</v>
          </cell>
          <cell r="M320">
            <v>0.66112509471419767</v>
          </cell>
          <cell r="N320">
            <v>1.422603126274298</v>
          </cell>
          <cell r="O320">
            <v>1.6941937750980658</v>
          </cell>
          <cell r="P320">
            <v>1.3814206424516817</v>
          </cell>
          <cell r="Q320">
            <v>1.8578198238690913</v>
          </cell>
          <cell r="R320">
            <v>2.1252050938801212</v>
          </cell>
          <cell r="S320">
            <v>1.908783190684384</v>
          </cell>
          <cell r="T320">
            <v>1.9911216041879158</v>
          </cell>
          <cell r="U320">
            <v>2.458414554905783</v>
          </cell>
          <cell r="V320">
            <v>2.1484633174510308</v>
          </cell>
          <cell r="W320">
            <v>1.6694413624612634</v>
          </cell>
          <cell r="X320">
            <v>1.0028008649414353</v>
          </cell>
          <cell r="Y320">
            <v>1.0323265755103337</v>
          </cell>
          <cell r="Z320">
            <v>0.33494313838172413</v>
          </cell>
          <cell r="AA320">
            <v>-0.34298256082437661</v>
          </cell>
          <cell r="AB320">
            <v>-0.93722436674373233</v>
          </cell>
          <cell r="AC320">
            <v>-1.3738546090432169</v>
          </cell>
          <cell r="AD320">
            <v>-1.412169437014051</v>
          </cell>
          <cell r="AE320">
            <v>-2.7443068514734485</v>
          </cell>
          <cell r="AF320">
            <v>-3.7497750309023479</v>
          </cell>
          <cell r="AG320">
            <v>-3.5951857111908114</v>
          </cell>
          <cell r="AH320">
            <v>-4.7600370628186539</v>
          </cell>
          <cell r="AI320">
            <v>-4.9031250601035872</v>
          </cell>
          <cell r="AJ320">
            <v>-3.2424233987164675</v>
          </cell>
          <cell r="AK320">
            <v>-3.3162270118094392</v>
          </cell>
          <cell r="AL320">
            <v>-3.2447353161956731</v>
          </cell>
          <cell r="AM320">
            <v>-3.5515133230995857</v>
          </cell>
          <cell r="AN320">
            <v>-3.6299319951682247</v>
          </cell>
          <cell r="AO320">
            <v>-3.4612547255670676</v>
          </cell>
          <cell r="AP320">
            <v>-3.3747348269260629</v>
          </cell>
          <cell r="AQ320">
            <v>-3.3615225680022172</v>
          </cell>
          <cell r="AR320">
            <v>-2.9744483500958636</v>
          </cell>
          <cell r="AS320">
            <v>-3.0329228813784761</v>
          </cell>
          <cell r="AT320">
            <v>-2.6593689179676185</v>
          </cell>
          <cell r="AU320">
            <v>-2.5084046536232885</v>
          </cell>
          <cell r="AV320">
            <v>-2.5205276563885994</v>
          </cell>
          <cell r="AW320">
            <v>-2.9374309158242102</v>
          </cell>
          <cell r="AX320">
            <v>-2.9751512034338483</v>
          </cell>
          <cell r="AY320">
            <v>-2.5709269346778925</v>
          </cell>
          <cell r="AZ320">
            <v>-3.0234335811453223</v>
          </cell>
          <cell r="BA320">
            <v>-2.6415800399475948</v>
          </cell>
          <cell r="BB320">
            <v>-2.426102079305867</v>
          </cell>
          <cell r="BC320">
            <v>-2.457654864358044</v>
          </cell>
          <cell r="BD320">
            <v>-1.927960707316384</v>
          </cell>
          <cell r="BE320">
            <v>-1.2671912230074405</v>
          </cell>
          <cell r="BF320">
            <v>-0.82258852657482684</v>
          </cell>
          <cell r="BG320">
            <v>-0.55826562902075116</v>
          </cell>
          <cell r="BH320">
            <v>-0.56342416913082505</v>
          </cell>
          <cell r="BI320">
            <v>3.9707459019224525E-2</v>
          </cell>
          <cell r="BJ320">
            <v>0.82063637442644199</v>
          </cell>
          <cell r="BK320">
            <v>1.3547601152628876</v>
          </cell>
          <cell r="BL320">
            <v>1.7538773839051223</v>
          </cell>
          <cell r="BM320">
            <v>1.7712195936274855</v>
          </cell>
          <cell r="BN320">
            <v>2.5335037120832822</v>
          </cell>
          <cell r="BO320">
            <v>3.5158958933518174</v>
          </cell>
          <cell r="BP320">
            <v>4.2068711919862105</v>
          </cell>
          <cell r="BQ320">
            <v>4.677882969329465</v>
          </cell>
          <cell r="BR320">
            <v>4.7261254017717791</v>
          </cell>
          <cell r="BS320">
            <v>5.5822127393818866</v>
          </cell>
          <cell r="BT320">
            <v>6.7122143108653916</v>
          </cell>
          <cell r="BU320">
            <v>7.5073397150986381</v>
          </cell>
          <cell r="BV320">
            <v>8.061189102620629</v>
          </cell>
          <cell r="BW320">
            <v>8.1421769217921725</v>
          </cell>
          <cell r="BX320">
            <v>9.1085549513861714</v>
          </cell>
          <cell r="BY320">
            <v>10.406146353716684</v>
          </cell>
          <cell r="BZ320">
            <v>11.319650325620964</v>
          </cell>
          <cell r="CA320">
            <v>11.969103235371222</v>
          </cell>
          <cell r="CB320">
            <v>12.086223246812548</v>
          </cell>
        </row>
        <row r="321">
          <cell r="A321" t="str">
            <v>Additional Balance Sheet Items</v>
          </cell>
          <cell r="B321"/>
          <cell r="C321"/>
          <cell r="D321"/>
        </row>
        <row r="322">
          <cell r="B322" t="str">
            <v>Total repurchase authorization</v>
          </cell>
          <cell r="C322" t="str">
            <v>REPUR_TOT_AUTH</v>
          </cell>
          <cell r="D322" t="str">
            <v>USD</v>
          </cell>
          <cell r="E322"/>
        </row>
        <row r="323">
          <cell r="B323" t="str">
            <v>Remaining repurchase authorization</v>
          </cell>
          <cell r="C323" t="str">
            <v>REPUR_REMAINING</v>
          </cell>
          <cell r="D323" t="str">
            <v>USD</v>
          </cell>
          <cell r="E323"/>
        </row>
        <row r="324">
          <cell r="B324" t="str">
            <v>Suspended repurchase authorization</v>
          </cell>
          <cell r="C324" t="str">
            <v>REPUR_SUSPENDED</v>
          </cell>
          <cell r="D324" t="str">
            <v>USD</v>
          </cell>
          <cell r="E324"/>
        </row>
        <row r="325">
          <cell r="B325" t="str">
            <v>Shares repurchased during period</v>
          </cell>
          <cell r="C325" t="str">
            <v>REPUR_ACTUAL</v>
          </cell>
          <cell r="D325" t="str">
            <v>USD</v>
          </cell>
          <cell r="F325"/>
          <cell r="G325"/>
          <cell r="H325"/>
          <cell r="I325"/>
          <cell r="J325"/>
          <cell r="K325"/>
          <cell r="L325"/>
          <cell r="M325"/>
          <cell r="N325"/>
          <cell r="O325"/>
          <cell r="P325"/>
          <cell r="Q325"/>
          <cell r="R325"/>
          <cell r="S325"/>
          <cell r="T325"/>
          <cell r="U325"/>
          <cell r="V325"/>
          <cell r="W325"/>
          <cell r="X325"/>
          <cell r="Y325"/>
          <cell r="Z325"/>
          <cell r="AA325"/>
          <cell r="AB325"/>
          <cell r="AC325"/>
          <cell r="AD325"/>
          <cell r="AE325"/>
          <cell r="AF325"/>
          <cell r="AG325"/>
          <cell r="AH325"/>
          <cell r="AI325"/>
          <cell r="AJ325"/>
          <cell r="AK325"/>
          <cell r="AL325"/>
          <cell r="AM325"/>
          <cell r="AN325"/>
          <cell r="AO325"/>
          <cell r="AP325"/>
          <cell r="AQ325"/>
          <cell r="AR325"/>
          <cell r="AS325"/>
          <cell r="AT325"/>
          <cell r="AU325"/>
          <cell r="AV325"/>
          <cell r="AW325"/>
          <cell r="AX325"/>
          <cell r="AY325"/>
          <cell r="AZ325"/>
          <cell r="BA325"/>
          <cell r="BB325"/>
          <cell r="BC325"/>
          <cell r="BD325"/>
          <cell r="BE325"/>
          <cell r="BF325"/>
          <cell r="BG325"/>
          <cell r="BH325"/>
          <cell r="BI325"/>
          <cell r="BJ325"/>
          <cell r="BK325"/>
          <cell r="BL325"/>
          <cell r="BM325"/>
          <cell r="BN325"/>
          <cell r="BO325"/>
          <cell r="BP325"/>
          <cell r="BQ325"/>
          <cell r="BR325"/>
          <cell r="BS325"/>
          <cell r="BT325"/>
          <cell r="BU325"/>
          <cell r="BV325"/>
          <cell r="BW325"/>
          <cell r="BX325"/>
          <cell r="BY325"/>
          <cell r="BZ325"/>
          <cell r="CA325"/>
          <cell r="CB325"/>
        </row>
        <row r="326">
          <cell r="A326" t="str">
            <v>Cash Flow Statement</v>
          </cell>
          <cell r="B326"/>
          <cell r="C326"/>
          <cell r="D326"/>
        </row>
        <row r="327">
          <cell r="B327" t="str">
            <v>Net income (pre-preferred dividends)</v>
          </cell>
          <cell r="C327" t="str">
            <v>CF_NI_PRE_PREF</v>
          </cell>
          <cell r="D327" t="str">
            <v>USD</v>
          </cell>
          <cell r="F327"/>
          <cell r="G327"/>
          <cell r="H327">
            <v>-84.003000000000014</v>
          </cell>
          <cell r="I327">
            <v>-126.12700000000001</v>
          </cell>
          <cell r="J327">
            <v>-108.23299999999998</v>
          </cell>
          <cell r="K327">
            <v>-140.30199999999999</v>
          </cell>
          <cell r="L327">
            <v>-76.369000000000014</v>
          </cell>
          <cell r="M327">
            <v>-96.835000000000036</v>
          </cell>
          <cell r="N327">
            <v>-66.132000000000005</v>
          </cell>
          <cell r="O327">
            <v>-379.63799999999998</v>
          </cell>
          <cell r="P327">
            <v>-61.486999999999988</v>
          </cell>
          <cell r="Q327">
            <v>-62.631000000000022</v>
          </cell>
          <cell r="R327">
            <v>-85.673999999999978</v>
          </cell>
          <cell r="S327">
            <v>-87.368999999999957</v>
          </cell>
          <cell r="T327">
            <v>-297.16100000000012</v>
          </cell>
          <cell r="U327">
            <v>-94.265000000000001</v>
          </cell>
          <cell r="V327">
            <v>-122.76300000000002</v>
          </cell>
          <cell r="W327">
            <v>-209.81299999999999</v>
          </cell>
          <cell r="X327">
            <v>-194.33800000000005</v>
          </cell>
          <cell r="Y327">
            <v>-621.17900000000009</v>
          </cell>
          <cell r="Z327">
            <v>-229.30000000000004</v>
          </cell>
          <cell r="AA327">
            <v>-217.56400000000002</v>
          </cell>
          <cell r="AB327">
            <v>-240.67099999999994</v>
          </cell>
          <cell r="AC327">
            <v>-185.34799999999993</v>
          </cell>
          <cell r="AD327">
            <v>-872.88300000000004</v>
          </cell>
          <cell r="AE327">
            <v>-265.04800000000006</v>
          </cell>
          <cell r="AF327">
            <v>-287.39000000000004</v>
          </cell>
          <cell r="AG327">
            <v>-123.63999999999997</v>
          </cell>
          <cell r="AH327">
            <v>-358.18200000000002</v>
          </cell>
          <cell r="AI327">
            <v>-1034.26</v>
          </cell>
          <cell r="AJ327">
            <v>-420.20600000000002</v>
          </cell>
          <cell r="AK327">
            <v>-115.41599999999997</v>
          </cell>
          <cell r="AL327">
            <v>-111.98699999999999</v>
          </cell>
          <cell r="AM327">
            <v>-151.33699999999999</v>
          </cell>
          <cell r="AN327">
            <v>-798.94600000000003</v>
          </cell>
          <cell r="AO327">
            <v>-99.513999999999967</v>
          </cell>
          <cell r="AP327">
            <v>-70.789999999999978</v>
          </cell>
          <cell r="AQ327">
            <v>-70.968999999999937</v>
          </cell>
          <cell r="AR327">
            <v>-13.286999999999923</v>
          </cell>
          <cell r="AS327">
            <v>-254.55999999999986</v>
          </cell>
          <cell r="AT327">
            <v>-15.853000000000018</v>
          </cell>
          <cell r="AU327">
            <v>32.794999999999959</v>
          </cell>
          <cell r="AV327">
            <v>-15.616000000000021</v>
          </cell>
          <cell r="AW327">
            <v>-126.101</v>
          </cell>
          <cell r="AX327">
            <v>-124.77500000000012</v>
          </cell>
          <cell r="AY327">
            <v>29.925999999999888</v>
          </cell>
          <cell r="AZ327">
            <v>56.426999999999985</v>
          </cell>
          <cell r="BA327">
            <v>25.563671601326003</v>
          </cell>
          <cell r="BB327">
            <v>-19.069348653672623</v>
          </cell>
          <cell r="BC327">
            <v>92.847322947653595</v>
          </cell>
          <cell r="BD327">
            <v>55.843132715443865</v>
          </cell>
          <cell r="BE327">
            <v>98.731031931990827</v>
          </cell>
          <cell r="BF327">
            <v>46.781271006873773</v>
          </cell>
          <cell r="BG327">
            <v>-3.6254083586416268</v>
          </cell>
          <cell r="BH327">
            <v>197.73002729566593</v>
          </cell>
          <cell r="BI327">
            <v>83.531661785563443</v>
          </cell>
          <cell r="BJ327">
            <v>134.23092489742646</v>
          </cell>
          <cell r="BK327">
            <v>72.968684336497873</v>
          </cell>
          <cell r="BL327">
            <v>16.225483364684504</v>
          </cell>
          <cell r="BM327">
            <v>306.95675438417294</v>
          </cell>
          <cell r="BN327">
            <v>118.45268867771463</v>
          </cell>
          <cell r="BO327">
            <v>178.19049432767198</v>
          </cell>
          <cell r="BP327">
            <v>105.99068939092763</v>
          </cell>
          <cell r="BQ327">
            <v>42.314024477352916</v>
          </cell>
          <cell r="BR327">
            <v>444.94789687366728</v>
          </cell>
          <cell r="BS327">
            <v>161.87729303613054</v>
          </cell>
          <cell r="BT327">
            <v>231.61037329344518</v>
          </cell>
          <cell r="BU327">
            <v>146.22590631000847</v>
          </cell>
          <cell r="BV327">
            <v>74.766167052092456</v>
          </cell>
          <cell r="BW327">
            <v>614.47973969167776</v>
          </cell>
          <cell r="BX327">
            <v>214.84782393917669</v>
          </cell>
          <cell r="BY327">
            <v>295.78350756920446</v>
          </cell>
          <cell r="BZ327">
            <v>194.74063813188533</v>
          </cell>
          <cell r="CA327">
            <v>114.77958554988318</v>
          </cell>
          <cell r="CB327">
            <v>820.15155519014934</v>
          </cell>
        </row>
        <row r="328">
          <cell r="A328" t="str">
            <v>Other Items</v>
          </cell>
          <cell r="B328"/>
          <cell r="C328"/>
          <cell r="D328"/>
        </row>
        <row r="329">
          <cell r="B329" t="str">
            <v>Beta</v>
          </cell>
          <cell r="C329" t="str">
            <v>BETA_ANALYST</v>
          </cell>
          <cell r="E329"/>
        </row>
        <row r="330">
          <cell r="B330" t="str">
            <v>Market equity risk premium</v>
          </cell>
          <cell r="C330" t="str">
            <v>MKT_EQ_RISK_PREM</v>
          </cell>
          <cell r="E330"/>
        </row>
        <row r="331">
          <cell r="B331" t="str">
            <v>Risk-free rate</v>
          </cell>
          <cell r="C331" t="str">
            <v>RISK_FR_RATE</v>
          </cell>
          <cell r="E331"/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__FDSCACHE__"/>
      <sheetName val="Remaining to-do"/>
      <sheetName val="Cover"/>
      <sheetName val="Revenue and CapEx Build"/>
      <sheetName val="KPI Summary"/>
      <sheetName val="MSFT_Live_Sheet"/>
      <sheetName val="MSFT_Validation_Sheet"/>
      <sheetName val="MSFT_Annotation_Sheet"/>
      <sheetName val="IS (GAAP)"/>
      <sheetName val="Summary Changes"/>
      <sheetName val="MNDY_Live_Sheet"/>
      <sheetName val="MNDY_Validation_Sheet"/>
      <sheetName val="MNDY_Annotation_Sheet"/>
      <sheetName val="IS (Non-GAAP)"/>
      <sheetName val="BS"/>
      <sheetName val="D&amp;A"/>
      <sheetName val="CF"/>
      <sheetName val="Debt Model"/>
      <sheetName val="Share Count"/>
      <sheetName val="Def. Revenue &amp; Billings"/>
      <sheetName val="Valuation Exhibits_Memo"/>
      <sheetName val="Valuation Exhibits_Final"/>
      <sheetName val="IRC_Valuation Range"/>
      <sheetName val="Comps Table"/>
      <sheetName val="Final GS vs Prior GS vs Mgmt"/>
      <sheetName val="GSe vs. Mgmt (pre-equity change"/>
      <sheetName val="GSe vs. Mgmt (original)"/>
      <sheetName val=" oai and cash interest adjust."/>
      <sheetName val="SOFR Sensitivty"/>
      <sheetName val="CF (Inputs)"/>
      <sheetName val="Dates"/>
      <sheetName val="Consensus"/>
      <sheetName val="SumVal"/>
      <sheetName val="SOFR Sensitivity"/>
      <sheetName val="Valuation (old)"/>
    </sheetNames>
    <sheetDataSet>
      <sheetData sheetId="0"/>
      <sheetData sheetId="1"/>
      <sheetData sheetId="2"/>
      <sheetData sheetId="3"/>
      <sheetData sheetId="4">
        <row r="10">
          <cell r="Q10">
            <v>1915.4259999999999</v>
          </cell>
          <cell r="V10">
            <v>4607.7227440405359</v>
          </cell>
          <cell r="AA10">
            <v>10833.683765586404</v>
          </cell>
          <cell r="AF10">
            <v>15470.300322276333</v>
          </cell>
        </row>
      </sheetData>
      <sheetData sheetId="5"/>
      <sheetData sheetId="6"/>
      <sheetData sheetId="7"/>
      <sheetData sheetId="8">
        <row r="47">
          <cell r="Q47">
            <v>324.35799999999995</v>
          </cell>
          <cell r="V47">
            <v>510.20473194835085</v>
          </cell>
          <cell r="AA47">
            <v>2126.950242572846</v>
          </cell>
          <cell r="AF47">
            <v>3872.3901881474603</v>
          </cell>
        </row>
        <row r="76">
          <cell r="Q76">
            <v>-863.44800000000009</v>
          </cell>
          <cell r="V76">
            <v>-518.61733062871065</v>
          </cell>
          <cell r="AA76">
            <v>-581.83710663491559</v>
          </cell>
          <cell r="AF76">
            <v>1005.0619646867356</v>
          </cell>
        </row>
      </sheetData>
      <sheetData sheetId="9"/>
      <sheetData sheetId="10"/>
      <sheetData sheetId="11"/>
      <sheetData sheetId="12"/>
      <sheetData sheetId="13">
        <row r="55">
          <cell r="Q55">
            <v>355.84599999999978</v>
          </cell>
          <cell r="V55">
            <v>813.72095159516266</v>
          </cell>
          <cell r="AA55">
            <v>2554.8113560251531</v>
          </cell>
          <cell r="AF55">
            <v>4289.4755468216426</v>
          </cell>
        </row>
        <row r="84">
          <cell r="Q84">
            <v>-64.907000000000195</v>
          </cell>
          <cell r="V84">
            <v>-208.0361109818989</v>
          </cell>
          <cell r="AA84">
            <v>-153.97599318260848</v>
          </cell>
          <cell r="AF84">
            <v>1422.1473233609183</v>
          </cell>
        </row>
        <row r="103">
          <cell r="Q103">
            <v>1187.7710000000002</v>
          </cell>
          <cell r="V103">
            <v>2846.3958332786087</v>
          </cell>
          <cell r="AA103">
            <v>7736.7589660233343</v>
          </cell>
          <cell r="AF103">
            <v>11960.794111860596</v>
          </cell>
        </row>
        <row r="105">
          <cell r="Q105">
            <v>1219.2590000000002</v>
          </cell>
          <cell r="V105">
            <v>3149.9120529254205</v>
          </cell>
          <cell r="AA105">
            <v>8164.6200794756423</v>
          </cell>
          <cell r="AF105">
            <v>12377.879470534779</v>
          </cell>
        </row>
      </sheetData>
      <sheetData sheetId="14">
        <row r="31">
          <cell r="R31">
            <v>3473.732</v>
          </cell>
        </row>
        <row r="68">
          <cell r="M68">
            <v>790.71655580820925</v>
          </cell>
          <cell r="Q68">
            <v>5890.5069999999996</v>
          </cell>
          <cell r="R68">
            <v>8011.3834352653685</v>
          </cell>
          <cell r="V68">
            <v>20209.981118518601</v>
          </cell>
          <cell r="W68">
            <v>23139.913424831444</v>
          </cell>
          <cell r="AA68">
            <v>30224.182754422163</v>
          </cell>
          <cell r="AB68">
            <v>29365.423072220361</v>
          </cell>
          <cell r="AC68">
            <v>30854.287053177592</v>
          </cell>
          <cell r="AD68">
            <v>32369.911962546546</v>
          </cell>
          <cell r="AE68">
            <v>33561.265003121742</v>
          </cell>
          <cell r="AF68">
            <v>11811.265003121747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2">
          <cell r="C2">
            <v>45759</v>
          </cell>
        </row>
        <row r="5">
          <cell r="C5" t="str">
            <v>Ticker</v>
          </cell>
          <cell r="P5" t="str">
            <v>CY25</v>
          </cell>
          <cell r="Q5" t="str">
            <v>CY26</v>
          </cell>
          <cell r="R5" t="str">
            <v>CY27</v>
          </cell>
          <cell r="AF5" t="str">
            <v>CY25</v>
          </cell>
          <cell r="AG5" t="str">
            <v>CY26</v>
          </cell>
          <cell r="AH5" t="str">
            <v>CY27</v>
          </cell>
          <cell r="CF5" t="str">
            <v>CY25</v>
          </cell>
          <cell r="CG5" t="str">
            <v>CY26</v>
          </cell>
          <cell r="CH5" t="str">
            <v>CY27</v>
          </cell>
          <cell r="CJ5" t="str">
            <v>CY25</v>
          </cell>
          <cell r="CK5" t="str">
            <v>CY26</v>
          </cell>
          <cell r="CL5" t="str">
            <v>CY27</v>
          </cell>
          <cell r="CV5" t="str">
            <v>CY25</v>
          </cell>
          <cell r="CW5" t="str">
            <v>CY26</v>
          </cell>
          <cell r="CX5" t="str">
            <v>CY27</v>
          </cell>
          <cell r="CZ5" t="str">
            <v>CY25</v>
          </cell>
          <cell r="DA5" t="str">
            <v>CY26</v>
          </cell>
          <cell r="DB5" t="str">
            <v>CY27</v>
          </cell>
        </row>
        <row r="7">
          <cell r="C7" t="str">
            <v>MSFT</v>
          </cell>
          <cell r="P7">
            <v>0.11797335390867891</v>
          </cell>
          <cell r="Q7">
            <v>0.13198400643197616</v>
          </cell>
          <cell r="R7">
            <v>0.17146947303608084</v>
          </cell>
          <cell r="AF7">
            <v>0.44795465582662419</v>
          </cell>
          <cell r="AG7">
            <v>0.4552724989832268</v>
          </cell>
          <cell r="AH7">
            <v>0.44540800816471593</v>
          </cell>
          <cell r="CF7">
            <v>10.018524867088692</v>
          </cell>
          <cell r="CG7">
            <v>8.8504120289359687</v>
          </cell>
          <cell r="CH7">
            <v>7.5549659915580047</v>
          </cell>
          <cell r="CJ7">
            <v>0.84921929699852849</v>
          </cell>
          <cell r="CK7">
            <v>0.67056700794254354</v>
          </cell>
          <cell r="CL7">
            <v>0.44060122526697676</v>
          </cell>
          <cell r="CV7">
            <v>22.365042391626016</v>
          </cell>
          <cell r="CW7">
            <v>19.43981252700712</v>
          </cell>
          <cell r="CX7">
            <v>16.961899770702171</v>
          </cell>
          <cell r="CZ7">
            <v>1.895770667750821</v>
          </cell>
          <cell r="DA7">
            <v>1.4728915307648502</v>
          </cell>
          <cell r="DB7">
            <v>0.98920813544070474</v>
          </cell>
        </row>
        <row r="8">
          <cell r="C8" t="str">
            <v>NVDA</v>
          </cell>
          <cell r="P8">
            <v>0.55145068469006953</v>
          </cell>
          <cell r="Q8">
            <v>0.22156759524341796</v>
          </cell>
          <cell r="R8">
            <v>0.16732216510101794</v>
          </cell>
          <cell r="AF8">
            <v>0.64721507978428894</v>
          </cell>
          <cell r="AG8">
            <v>0.66838209535442117</v>
          </cell>
          <cell r="AH8">
            <v>0.63649209939301354</v>
          </cell>
          <cell r="CF8">
            <v>13.427700708378154</v>
          </cell>
          <cell r="CG8">
            <v>10.992188038274262</v>
          </cell>
          <cell r="CH8">
            <v>9.4165846986405999</v>
          </cell>
          <cell r="CJ8">
            <v>0.24349776110850041</v>
          </cell>
          <cell r="CK8">
            <v>0.49610991292287382</v>
          </cell>
          <cell r="CL8">
            <v>0.56278166690919251</v>
          </cell>
          <cell r="CV8">
            <v>20.746890991559543</v>
          </cell>
          <cell r="CW8">
            <v>16.445964239131008</v>
          </cell>
          <cell r="CX8">
            <v>14.794503667242161</v>
          </cell>
          <cell r="CZ8">
            <v>0.37622386856260531</v>
          </cell>
          <cell r="DA8">
            <v>0.7422549412545274</v>
          </cell>
          <cell r="DB8">
            <v>0.88419269845750736</v>
          </cell>
        </row>
        <row r="9">
          <cell r="C9" t="str">
            <v>DLR</v>
          </cell>
          <cell r="P9">
            <v>6.0006826321951756E-2</v>
          </cell>
          <cell r="Q9">
            <v>9.1104722174670361E-2</v>
          </cell>
          <cell r="R9">
            <v>0.14027831686004966</v>
          </cell>
          <cell r="AF9">
            <v>0.15917396588219629</v>
          </cell>
          <cell r="AG9">
            <v>0.1598072132323525</v>
          </cell>
          <cell r="AH9">
            <v>0.19055621584370419</v>
          </cell>
          <cell r="CF9">
            <v>11.280401662346238</v>
          </cell>
          <cell r="CG9">
            <v>10.338514198585244</v>
          </cell>
          <cell r="CH9">
            <v>9.0666585917849449</v>
          </cell>
          <cell r="CJ9">
            <v>1.8798530690198541</v>
          </cell>
          <cell r="CK9">
            <v>1.1347945476156271</v>
          </cell>
          <cell r="CL9">
            <v>0.64633357419239668</v>
          </cell>
          <cell r="CV9">
            <v>70.868383531354596</v>
          </cell>
          <cell r="CW9">
            <v>64.693664256278026</v>
          </cell>
          <cell r="CX9">
            <v>47.579967683769993</v>
          </cell>
          <cell r="CZ9">
            <v>11.810053601423252</v>
          </cell>
          <cell r="DA9">
            <v>7.1010220669181363</v>
          </cell>
          <cell r="DB9">
            <v>3.3918262457653179</v>
          </cell>
        </row>
        <row r="10">
          <cell r="C10" t="str">
            <v>EQIX</v>
          </cell>
          <cell r="P10">
            <v>4.2750457247370699E-2</v>
          </cell>
          <cell r="Q10">
            <v>8.5600594870785196E-2</v>
          </cell>
          <cell r="R10">
            <v>8.0847107513126515E-2</v>
          </cell>
          <cell r="AF10">
            <v>0.20776465112128606</v>
          </cell>
          <cell r="AG10">
            <v>0.20701270384581053</v>
          </cell>
          <cell r="AH10">
            <v>0.23479727037365455</v>
          </cell>
          <cell r="CF10">
            <v>9.8139086685227692</v>
          </cell>
          <cell r="CG10">
            <v>9.0400730387319665</v>
          </cell>
          <cell r="CH10">
            <v>8.3638777176652415</v>
          </cell>
          <cell r="CJ10">
            <v>2.2956265968655476</v>
          </cell>
          <cell r="CK10">
            <v>1.0560759597965448</v>
          </cell>
          <cell r="CL10">
            <v>1.0345302355198378</v>
          </cell>
          <cell r="CV10">
            <v>47.235699699434129</v>
          </cell>
          <cell r="CW10">
            <v>43.669170397703191</v>
          </cell>
          <cell r="CX10">
            <v>35.621699112408891</v>
          </cell>
          <cell r="CZ10">
            <v>11.049168299209077</v>
          </cell>
          <cell r="DA10">
            <v>5.1015031453487172</v>
          </cell>
          <cell r="DB10">
            <v>4.4060573356474464</v>
          </cell>
        </row>
        <row r="11">
          <cell r="C11" t="str">
            <v>IBM</v>
          </cell>
          <cell r="P11">
            <v>3.4620289069845267E-2</v>
          </cell>
          <cell r="Q11">
            <v>3.9376854037703746E-2</v>
          </cell>
          <cell r="R11">
            <v>5.3155140867747308E-2</v>
          </cell>
          <cell r="AF11">
            <v>0.18781518708350262</v>
          </cell>
          <cell r="AG11">
            <v>0.19311497317288187</v>
          </cell>
          <cell r="AH11">
            <v>0.19602949861057778</v>
          </cell>
          <cell r="CF11">
            <v>4.0717378393789545</v>
          </cell>
          <cell r="CG11">
            <v>3.9174798087539968</v>
          </cell>
          <cell r="CH11">
            <v>3.7197556720144656</v>
          </cell>
          <cell r="CJ11">
            <v>1.1761131835624945</v>
          </cell>
          <cell r="CK11">
            <v>0.9948686619309326</v>
          </cell>
          <cell r="CL11">
            <v>0.69979227056690663</v>
          </cell>
          <cell r="CV11">
            <v>21.679491965517467</v>
          </cell>
          <cell r="CW11">
            <v>20.285738305993291</v>
          </cell>
          <cell r="CX11">
            <v>18.975489395113655</v>
          </cell>
          <cell r="CZ11">
            <v>6.2620771079582331</v>
          </cell>
          <cell r="DA11">
            <v>5.1516909620482849</v>
          </cell>
          <cell r="DB11">
            <v>3.5698314566272407</v>
          </cell>
        </row>
        <row r="12">
          <cell r="C12" t="str">
            <v>ORCL</v>
          </cell>
          <cell r="P12">
            <v>0.10242797589791208</v>
          </cell>
          <cell r="Q12">
            <v>0.15799463656311508</v>
          </cell>
          <cell r="R12">
            <v>0.21485094779843306</v>
          </cell>
          <cell r="AF12">
            <v>0.42748116750162268</v>
          </cell>
          <cell r="AG12">
            <v>0.42615815016531255</v>
          </cell>
          <cell r="AH12">
            <v>0.46408399338926787</v>
          </cell>
          <cell r="CF12">
            <v>7.5852106606382774</v>
          </cell>
          <cell r="CG12">
            <v>6.5502986120478939</v>
          </cell>
          <cell r="CH12">
            <v>5.3918537281618129</v>
          </cell>
          <cell r="CJ12">
            <v>0.74054091122510368</v>
          </cell>
          <cell r="CK12">
            <v>0.41458993511031034</v>
          </cell>
          <cell r="CL12">
            <v>0.25095787490871552</v>
          </cell>
          <cell r="CV12">
            <v>17.743964500165927</v>
          </cell>
          <cell r="CW12">
            <v>15.370581577536282</v>
          </cell>
          <cell r="CX12">
            <v>11.618271271940193</v>
          </cell>
          <cell r="CZ12">
            <v>1.7323357554044589</v>
          </cell>
          <cell r="DA12">
            <v>0.97285464316354198</v>
          </cell>
          <cell r="DB12">
            <v>0.54075960059716</v>
          </cell>
        </row>
        <row r="13">
          <cell r="C13" t="str">
            <v>AMZN</v>
          </cell>
          <cell r="P13">
            <v>9.101885857868619E-2</v>
          </cell>
          <cell r="Q13">
            <v>0.10508618005696047</v>
          </cell>
          <cell r="R13">
            <v>9.8267226270507324E-2</v>
          </cell>
          <cell r="AF13">
            <v>0.11542328992925975</v>
          </cell>
          <cell r="AG13">
            <v>0.12730502001942515</v>
          </cell>
          <cell r="AH13">
            <v>0.14324669085696329</v>
          </cell>
          <cell r="CF13">
            <v>2.9095124415736033</v>
          </cell>
          <cell r="CG13">
            <v>2.6328375959091588</v>
          </cell>
          <cell r="CH13">
            <v>2.3972650124958577</v>
          </cell>
          <cell r="CJ13">
            <v>0.31966039642853983</v>
          </cell>
          <cell r="CK13">
            <v>0.25054080322284689</v>
          </cell>
          <cell r="CL13">
            <v>0.24395366629121415</v>
          </cell>
          <cell r="CV13">
            <v>25.207325517725028</v>
          </cell>
          <cell r="CW13">
            <v>20.68133366231293</v>
          </cell>
          <cell r="CX13">
            <v>16.735220884715645</v>
          </cell>
          <cell r="CZ13">
            <v>2.7694618358604428</v>
          </cell>
          <cell r="DA13">
            <v>1.9680355353199543</v>
          </cell>
          <cell r="DB13">
            <v>1.7030317756855566</v>
          </cell>
        </row>
        <row r="14">
          <cell r="C14" t="str">
            <v>GOOG</v>
          </cell>
          <cell r="P14">
            <v>0.10246455896553885</v>
          </cell>
          <cell r="Q14">
            <v>0.1152505410715241</v>
          </cell>
          <cell r="R14">
            <v>0.10024207887616665</v>
          </cell>
          <cell r="AF14">
            <v>0.32689930124832839</v>
          </cell>
          <cell r="AG14">
            <v>0.32551613131094381</v>
          </cell>
          <cell r="AH14">
            <v>0.33840307699754762</v>
          </cell>
          <cell r="CF14">
            <v>4.8937225026357769</v>
          </cell>
          <cell r="CG14">
            <v>4.3880028051220901</v>
          </cell>
          <cell r="CH14">
            <v>3.9882157657560051</v>
          </cell>
          <cell r="CJ14">
            <v>0.47760148016463388</v>
          </cell>
          <cell r="CK14">
            <v>0.38073598304401102</v>
          </cell>
          <cell r="CL14">
            <v>0.39785844532242981</v>
          </cell>
          <cell r="CV14">
            <v>14.970122248497164</v>
          </cell>
          <cell r="CW14">
            <v>13.480139332727951</v>
          </cell>
          <cell r="CX14">
            <v>11.785400419940352</v>
          </cell>
          <cell r="CZ14">
            <v>1.4610048976575358</v>
          </cell>
          <cell r="DA14">
            <v>1.1696378348768204</v>
          </cell>
          <cell r="DB14">
            <v>1.1756939353282332</v>
          </cell>
        </row>
        <row r="15">
          <cell r="C15" t="str">
            <v>DOCN</v>
          </cell>
          <cell r="P15">
            <v>0.13205490542713116</v>
          </cell>
          <cell r="Q15">
            <v>0.13796190159944066</v>
          </cell>
          <cell r="R15">
            <v>0.16371406798842769</v>
          </cell>
          <cell r="AF15">
            <v>0.26384868540764739</v>
          </cell>
          <cell r="AG15">
            <v>0.28577926934802461</v>
          </cell>
          <cell r="AH15">
            <v>0.27262370505156464</v>
          </cell>
          <cell r="CF15">
            <v>4.2994838604781105</v>
          </cell>
          <cell r="CG15">
            <v>3.7782318146460381</v>
          </cell>
          <cell r="CH15">
            <v>3.2467011601715976</v>
          </cell>
          <cell r="CJ15">
            <v>0.32558304794293286</v>
          </cell>
          <cell r="CK15">
            <v>0.27386052024824775</v>
          </cell>
          <cell r="CL15">
            <v>0.1983153433339091</v>
          </cell>
          <cell r="CV15">
            <v>16.295263528925258</v>
          </cell>
          <cell r="CW15">
            <v>13.220804375578668</v>
          </cell>
          <cell r="CX15">
            <v>11.909093376738863</v>
          </cell>
          <cell r="CZ15">
            <v>1.2339763885497688</v>
          </cell>
          <cell r="DA15">
            <v>0.95829386390773474</v>
          </cell>
          <cell r="DB15">
            <v>0.72743250003296411</v>
          </cell>
        </row>
        <row r="18">
          <cell r="P18">
            <v>0.13719643445635382</v>
          </cell>
          <cell r="Q18">
            <v>0.12065855911662153</v>
          </cell>
          <cell r="R18">
            <v>0.13223850270128412</v>
          </cell>
          <cell r="AF18">
            <v>0.30928622042052845</v>
          </cell>
          <cell r="AG18">
            <v>0.31648311727026651</v>
          </cell>
          <cell r="AH18">
            <v>0.32462672874233434</v>
          </cell>
          <cell r="CF18">
            <v>7.5889114678933964</v>
          </cell>
          <cell r="CG18">
            <v>6.7208931045562919</v>
          </cell>
          <cell r="CH18">
            <v>5.9050975931387244</v>
          </cell>
          <cell r="CJ18">
            <v>0.92307730481290384</v>
          </cell>
          <cell r="CK18">
            <v>0.63023814798154865</v>
          </cell>
          <cell r="CL18">
            <v>0.49723603359017532</v>
          </cell>
          <cell r="CV18">
            <v>28.568020486089456</v>
          </cell>
          <cell r="CW18">
            <v>25.25413429714094</v>
          </cell>
          <cell r="CX18">
            <v>20.664616175841321</v>
          </cell>
          <cell r="CZ18">
            <v>4.2877858247084664</v>
          </cell>
          <cell r="DA18">
            <v>2.7375760581780635</v>
          </cell>
          <cell r="DB18">
            <v>1.9320037426202366</v>
          </cell>
        </row>
        <row r="19">
          <cell r="P19">
            <v>0.10242797589791208</v>
          </cell>
          <cell r="Q19">
            <v>0.1152505410715241</v>
          </cell>
          <cell r="R19">
            <v>0.14027831686004966</v>
          </cell>
          <cell r="AF19">
            <v>0.26384868540764739</v>
          </cell>
          <cell r="AG19">
            <v>0.28577926934802461</v>
          </cell>
          <cell r="AH19">
            <v>0.27262370505156464</v>
          </cell>
          <cell r="CF19">
            <v>7.5852106606382774</v>
          </cell>
          <cell r="CG19">
            <v>6.5502986120478939</v>
          </cell>
          <cell r="CH19">
            <v>5.3918537281618129</v>
          </cell>
          <cell r="CJ19">
            <v>0.74054091122510368</v>
          </cell>
          <cell r="CK19">
            <v>0.49610991292287382</v>
          </cell>
          <cell r="CL19">
            <v>0.44060122526697676</v>
          </cell>
          <cell r="CV19">
            <v>21.679491965517467</v>
          </cell>
          <cell r="CW19">
            <v>19.43981252700712</v>
          </cell>
          <cell r="CX19">
            <v>16.735220884715645</v>
          </cell>
          <cell r="CZ19">
            <v>1.895770667750821</v>
          </cell>
          <cell r="DA19">
            <v>1.4728915307648502</v>
          </cell>
          <cell r="DB19">
            <v>1.1756939353282332</v>
          </cell>
        </row>
        <row r="22">
          <cell r="C22" t="str">
            <v>CRWV</v>
          </cell>
          <cell r="P22">
            <v>1.4055864042988535</v>
          </cell>
          <cell r="Q22">
            <v>1.3512013129692546</v>
          </cell>
          <cell r="R22">
            <v>0.42798153029150732</v>
          </cell>
          <cell r="AF22">
            <v>0.17659937387673777</v>
          </cell>
          <cell r="AG22">
            <v>0.23582111231090255</v>
          </cell>
          <cell r="AH22">
            <v>0.27727164033428925</v>
          </cell>
        </row>
        <row r="25">
          <cell r="P25">
            <v>0.10714285714285714</v>
          </cell>
        </row>
        <row r="26">
          <cell r="P26">
            <v>0.10714285714285714</v>
          </cell>
        </row>
        <row r="27">
          <cell r="P27">
            <v>8.9285714285714288E-2</v>
          </cell>
        </row>
        <row r="28">
          <cell r="P28">
            <v>0.125</v>
          </cell>
        </row>
        <row r="29">
          <cell r="P29">
            <v>0.125</v>
          </cell>
        </row>
        <row r="30">
          <cell r="P30">
            <v>0.125</v>
          </cell>
        </row>
        <row r="31">
          <cell r="P31">
            <v>0.125</v>
          </cell>
        </row>
        <row r="32">
          <cell r="P32">
            <v>8.9285714285714288E-2</v>
          </cell>
        </row>
        <row r="33">
          <cell r="P33">
            <v>7.1428571428571425E-2</v>
          </cell>
        </row>
        <row r="34">
          <cell r="P34">
            <v>3.5714285714285712E-2</v>
          </cell>
        </row>
        <row r="35">
          <cell r="P35">
            <v>5.3139285714285722E-2</v>
          </cell>
        </row>
        <row r="38">
          <cell r="P38">
            <v>1.0152086058452588E-2</v>
          </cell>
        </row>
        <row r="39">
          <cell r="P39">
            <v>9.4882958161691486E-3</v>
          </cell>
        </row>
        <row r="40">
          <cell r="P40">
            <v>1.4017688057632611E-2</v>
          </cell>
        </row>
        <row r="41">
          <cell r="P41">
            <v>8.8635520587259133E-3</v>
          </cell>
        </row>
        <row r="42">
          <cell r="P42">
            <v>6.1302981199117552E-3</v>
          </cell>
        </row>
        <row r="43">
          <cell r="P43">
            <v>4.8124792565549288E-2</v>
          </cell>
        </row>
        <row r="44">
          <cell r="P44">
            <v>0.19142539192909158</v>
          </cell>
        </row>
        <row r="45">
          <cell r="P45">
            <v>0.15481931239140195</v>
          </cell>
        </row>
        <row r="46">
          <cell r="P46">
            <v>0.13340231545655101</v>
          </cell>
        </row>
        <row r="47">
          <cell r="P47">
            <v>0.19739950410964252</v>
          </cell>
        </row>
        <row r="48">
          <cell r="P48">
            <v>0.15979773920852774</v>
          </cell>
        </row>
        <row r="49">
          <cell r="P49">
            <v>1.0933015755256632E-3</v>
          </cell>
        </row>
        <row r="50">
          <cell r="P50">
            <v>6.5285722652818179E-2</v>
          </cell>
        </row>
        <row r="51">
          <cell r="P51">
            <v>3.8043393334765037E-2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">
  <a:themeElements>
    <a:clrScheme name="GIR Exhibits">
      <a:dk1>
        <a:srgbClr val="000000"/>
      </a:dk1>
      <a:lt1>
        <a:sysClr val="window" lastClr="FFFFFF"/>
      </a:lt1>
      <a:dk2>
        <a:srgbClr val="BE3232"/>
      </a:dk2>
      <a:lt2>
        <a:srgbClr val="F67F26"/>
      </a:lt2>
      <a:accent1>
        <a:srgbClr val="00355F"/>
      </a:accent1>
      <a:accent2>
        <a:srgbClr val="ACD4F1"/>
      </a:accent2>
      <a:accent3>
        <a:srgbClr val="A5A5A5"/>
      </a:accent3>
      <a:accent4>
        <a:srgbClr val="7399C6"/>
      </a:accent4>
      <a:accent5>
        <a:srgbClr val="078549"/>
      </a:accent5>
      <a:accent6>
        <a:srgbClr val="8BC346"/>
      </a:accent6>
      <a:hlink>
        <a:srgbClr val="7399C6"/>
      </a:hlink>
      <a:folHlink>
        <a:srgbClr val="A5A5A5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E7E4B3B-5528-46A2-A937-2F9E5AAB8686}">
  <we:reference id="49825c50-e8d8-4c4a-9a2c-e6f24181e018" version="1.0.0.0" store="EXCatalog" storeType="EXCatalog"/>
  <we:alternateReferences/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hyperlink" Target="mailto:matt.martino@gs.com" TargetMode="External"/><Relationship Id="rId1" Type="http://schemas.openxmlformats.org/officeDocument/2006/relationships/hyperlink" Target="mailto:heather.bellini@gs.com" TargetMode="Externa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6.bin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7.bin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8.bin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2.bin"/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4.bin"/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5.bin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79F69-0FC4-4621-B1D5-380DD8B1A882}">
  <sheetPr codeName="Sheet1"/>
  <dimension ref="A1:B21"/>
  <sheetViews>
    <sheetView workbookViewId="0"/>
  </sheetViews>
  <sheetFormatPr defaultRowHeight="12.75"/>
  <sheetData>
    <row r="1" spans="1:2">
      <c r="B1" t="s">
        <v>59</v>
      </c>
    </row>
    <row r="2" spans="1:2"/>
    <row r="3" spans="1:2"/>
    <row r="4" spans="1:2"/>
    <row r="5" spans="1:2"/>
    <row r="6" spans="1:2"/>
    <row r="7" spans="1:2"/>
    <row r="8" spans="1:2"/>
    <row r="9" spans="1:2"/>
    <row r="10" spans="1:2"/>
    <row r="11" spans="1:2"/>
    <row r="12" spans="1:2"/>
    <row r="13" spans="1:2"/>
    <row r="14" spans="1:2"/>
    <row r="15" spans="1:2"/>
    <row r="16" spans="1:2"/>
    <row r="17" spans="1:1"/>
    <row r="18" spans="1:1"/>
    <row r="19" spans="1:1"/>
    <row r="20" spans="1:1"/>
    <row r="21" spans="1:1"/>
  </sheetData>
  <pageMargins left="0.7" right="0.7" top="0.75" bottom="0.75" header="0.3" footer="0.3"/>
  <customProperties>
    <customPr name="Qube.Worksheet.Visibility" r:id="rId1"/>
  </customPropertie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912DF-7CF8-4B8F-8C03-929727720012}">
  <sheetPr codeName="Sheet3">
    <tabColor rgb="FF002060"/>
  </sheetPr>
  <dimension ref="B2:E20"/>
  <sheetViews>
    <sheetView showGridLines="0" tabSelected="1" zoomScale="115" zoomScaleNormal="115" workbookViewId="0"/>
  </sheetViews>
  <sheetFormatPr defaultColWidth="9.140625" defaultRowHeight="12.75" customHeight="1"/>
  <cols>
    <col min="1" max="1" width="3.7109375" style="1" customWidth="1"/>
    <col min="3" max="4" width="10.140625" bestFit="1" customWidth="1"/>
    <col min="6" max="16384" width="9.140625" style="1"/>
  </cols>
  <sheetData>
    <row r="2" spans="2:4" ht="12.75" customHeight="1">
      <c r="C2" s="95" t="s">
        <v>224</v>
      </c>
    </row>
    <row r="3" spans="2:4" ht="12.75" customHeight="1">
      <c r="C3" s="95" t="s">
        <v>0</v>
      </c>
      <c r="D3" s="414" t="s">
        <v>343</v>
      </c>
    </row>
    <row r="4" spans="2:4" ht="12.75" customHeight="1">
      <c r="C4" s="524" t="s">
        <v>1</v>
      </c>
      <c r="D4" s="525">
        <f ca="1">TODAY()</f>
        <v>45975</v>
      </c>
    </row>
    <row r="6" spans="2:4" ht="12.75" customHeight="1">
      <c r="B6" s="414" t="s">
        <v>2</v>
      </c>
      <c r="D6" s="526"/>
    </row>
    <row r="7" spans="2:4" ht="12.75" customHeight="1">
      <c r="B7" s="522" t="s">
        <v>3</v>
      </c>
    </row>
    <row r="8" spans="2:4" ht="12.75" customHeight="1">
      <c r="B8" s="527" t="s">
        <v>4</v>
      </c>
    </row>
    <row r="9" spans="2:4" ht="12.75" customHeight="1">
      <c r="B9" s="522"/>
      <c r="D9" s="528"/>
    </row>
    <row r="10" spans="2:4" ht="12.75" customHeight="1">
      <c r="B10" s="522" t="s">
        <v>5</v>
      </c>
    </row>
    <row r="11" spans="2:4" ht="12.75" customHeight="1">
      <c r="B11" s="522" t="s">
        <v>6</v>
      </c>
    </row>
    <row r="12" spans="2:4" ht="12.75" customHeight="1">
      <c r="B12" s="527" t="s">
        <v>7</v>
      </c>
    </row>
    <row r="13" spans="2:4" ht="12.75" customHeight="1">
      <c r="B13" s="522"/>
    </row>
    <row r="14" spans="2:4" ht="12.75" customHeight="1">
      <c r="B14" s="373" t="s">
        <v>225</v>
      </c>
    </row>
    <row r="15" spans="2:4" ht="12.75" customHeight="1">
      <c r="B15" s="373" t="s">
        <v>226</v>
      </c>
    </row>
    <row r="16" spans="2:4" ht="12.75" customHeight="1">
      <c r="B16" s="527" t="s">
        <v>227</v>
      </c>
    </row>
    <row r="17" spans="2:2" ht="12.75" customHeight="1">
      <c r="B17" s="373"/>
    </row>
    <row r="18" spans="2:2" ht="12.75" customHeight="1">
      <c r="B18" s="373" t="s">
        <v>228</v>
      </c>
    </row>
    <row r="19" spans="2:2" ht="12.75" customHeight="1">
      <c r="B19" s="373" t="s">
        <v>229</v>
      </c>
    </row>
    <row r="20" spans="2:2" ht="12.75" customHeight="1">
      <c r="B20" s="527" t="s">
        <v>230</v>
      </c>
    </row>
  </sheetData>
  <hyperlinks>
    <hyperlink ref="B8" r:id="rId1" display="heather.bellini@gs.com" xr:uid="{A6D02CF4-E424-43C1-B2F0-0F50CD399C99}"/>
    <hyperlink ref="B12" r:id="rId2" xr:uid="{561C752E-E614-42AB-A630-A8D6165D9B22}"/>
  </hyperlinks>
  <pageMargins left="0.7" right="0.7" top="0.75" bottom="0.75" header="0.3" footer="0.3"/>
  <customProperties>
    <customPr name="Qube.Worksheet.Visibility" r:id="rId3"/>
  </customPropertie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839C4-F330-4263-98B9-7F75CFCA2002}">
  <sheetPr codeName="Sheet4">
    <tabColor theme="4"/>
    <pageSetUpPr autoPageBreaks="0"/>
  </sheetPr>
  <dimension ref="A1:AK134"/>
  <sheetViews>
    <sheetView showGridLines="0" zoomScaleNormal="100" workbookViewId="0">
      <pane xSplit="2" ySplit="8" topLeftCell="R9" activePane="bottomRight" state="frozen"/>
      <selection pane="topRight" activeCell="C1" sqref="C1"/>
      <selection pane="bottomLeft" activeCell="A9" sqref="A9"/>
      <selection pane="bottomRight"/>
    </sheetView>
  </sheetViews>
  <sheetFormatPr defaultColWidth="9.140625" defaultRowHeight="12.75" outlineLevelRow="2" outlineLevelCol="1"/>
  <cols>
    <col min="1" max="1" width="3.7109375" style="416" customWidth="1"/>
    <col min="2" max="2" width="52.5703125" style="384" customWidth="1"/>
    <col min="3" max="3" width="11.140625" style="296" hidden="1" customWidth="1" outlineLevel="1"/>
    <col min="4" max="6" width="11.140625" style="297" hidden="1" customWidth="1" outlineLevel="1"/>
    <col min="7" max="7" width="11.42578125" style="250" customWidth="1" collapsed="1"/>
    <col min="8" max="8" width="11.140625" style="296" hidden="1" customWidth="1" outlineLevel="1"/>
    <col min="9" max="11" width="11.140625" style="297" hidden="1" customWidth="1" outlineLevel="1"/>
    <col min="12" max="12" width="11.42578125" style="250" customWidth="1" collapsed="1"/>
    <col min="13" max="13" width="11.140625" style="296" hidden="1" customWidth="1" outlineLevel="1"/>
    <col min="14" max="16" width="11.140625" style="297" hidden="1" customWidth="1" outlineLevel="1"/>
    <col min="17" max="17" width="11.42578125" style="250" customWidth="1" collapsed="1"/>
    <col min="18" max="18" width="11.140625" style="249" customWidth="1" outlineLevel="1"/>
    <col min="19" max="21" width="11.140625" style="250" customWidth="1" outlineLevel="1"/>
    <col min="22" max="22" width="11.140625" style="250" customWidth="1"/>
    <col min="23" max="23" width="11.140625" style="249" customWidth="1" outlineLevel="1"/>
    <col min="24" max="26" width="11.140625" style="250" customWidth="1" outlineLevel="1"/>
    <col min="27" max="27" width="11.140625" style="250" customWidth="1"/>
    <col min="28" max="28" width="11.140625" style="249" customWidth="1" outlineLevel="1"/>
    <col min="29" max="29" width="11.140625" style="250" customWidth="1" outlineLevel="1"/>
    <col min="30" max="31" width="11.85546875" style="250" customWidth="1" outlineLevel="1"/>
    <col min="32" max="32" width="11.85546875" style="250" bestFit="1" customWidth="1"/>
    <col min="33" max="33" width="11.140625" style="249" hidden="1" customWidth="1" outlineLevel="1"/>
    <col min="34" max="34" width="11.140625" style="250" hidden="1" customWidth="1" outlineLevel="1"/>
    <col min="35" max="36" width="11.85546875" style="250" hidden="1" customWidth="1" outlineLevel="1"/>
    <col min="37" max="37" width="11.85546875" style="250" bestFit="1" customWidth="1" collapsed="1"/>
    <col min="38" max="16384" width="9.140625" style="248"/>
  </cols>
  <sheetData>
    <row r="1" spans="1:37" s="384" customFormat="1" ht="12.75" customHeight="1">
      <c r="A1" s="416"/>
      <c r="C1" s="753"/>
      <c r="D1" s="754"/>
      <c r="E1" s="754"/>
      <c r="F1" s="754"/>
      <c r="G1" s="755"/>
      <c r="H1" s="753"/>
      <c r="I1" s="754"/>
      <c r="J1" s="754"/>
      <c r="K1" s="754"/>
      <c r="L1" s="755"/>
      <c r="M1" s="753"/>
      <c r="N1" s="754"/>
      <c r="O1" s="754"/>
      <c r="P1" s="754"/>
      <c r="Q1" s="755"/>
      <c r="R1" s="756"/>
      <c r="S1" s="755"/>
      <c r="T1" s="755"/>
      <c r="U1" s="755"/>
      <c r="V1" s="755"/>
      <c r="W1" s="756"/>
      <c r="X1" s="755"/>
      <c r="Y1" s="755"/>
      <c r="Z1" s="755"/>
      <c r="AA1" s="755"/>
      <c r="AB1" s="756"/>
      <c r="AC1" s="755"/>
      <c r="AD1" s="755"/>
      <c r="AE1" s="755"/>
      <c r="AF1" s="755"/>
      <c r="AG1" s="756"/>
      <c r="AH1" s="755"/>
      <c r="AI1" s="755"/>
      <c r="AJ1" s="755"/>
      <c r="AK1" s="755"/>
    </row>
    <row r="2" spans="1:37" s="384" customFormat="1" ht="12.75" customHeight="1">
      <c r="A2" s="416"/>
      <c r="B2" s="475" t="s">
        <v>231</v>
      </c>
      <c r="C2" s="753"/>
      <c r="D2" s="754"/>
      <c r="E2" s="754"/>
      <c r="F2" s="754"/>
      <c r="G2" s="755"/>
      <c r="H2" s="753"/>
      <c r="I2" s="754"/>
      <c r="J2" s="754"/>
      <c r="K2" s="754"/>
      <c r="L2" s="755"/>
      <c r="M2" s="753"/>
      <c r="N2" s="754"/>
      <c r="O2" s="754"/>
      <c r="P2" s="754"/>
      <c r="Q2" s="756"/>
      <c r="R2" s="756"/>
      <c r="S2" s="755"/>
      <c r="T2" s="755"/>
      <c r="U2" s="755"/>
      <c r="V2" s="755"/>
      <c r="W2" s="756"/>
      <c r="X2" s="755"/>
      <c r="Y2" s="755"/>
      <c r="Z2" s="755"/>
      <c r="AA2" s="755"/>
      <c r="AB2" s="756"/>
      <c r="AC2" s="755"/>
      <c r="AD2" s="755"/>
      <c r="AE2" s="755"/>
      <c r="AF2" s="755"/>
      <c r="AG2" s="756"/>
      <c r="AH2" s="755"/>
      <c r="AI2" s="755"/>
      <c r="AJ2" s="755"/>
      <c r="AK2" s="755"/>
    </row>
    <row r="3" spans="1:37" s="384" customFormat="1" ht="12.75" customHeight="1">
      <c r="A3" s="416"/>
      <c r="B3" s="475" t="s">
        <v>169</v>
      </c>
      <c r="C3" s="753"/>
      <c r="D3" s="754"/>
      <c r="E3" s="754"/>
      <c r="F3" s="754"/>
      <c r="G3" s="755"/>
      <c r="H3" s="753"/>
      <c r="I3" s="754"/>
      <c r="J3" s="754"/>
      <c r="K3" s="754"/>
      <c r="L3" s="755"/>
      <c r="M3" s="753"/>
      <c r="N3" s="754"/>
      <c r="O3" s="754"/>
      <c r="P3" s="754"/>
      <c r="Q3" s="755"/>
      <c r="R3" s="755"/>
      <c r="S3" s="755"/>
      <c r="T3" s="755"/>
      <c r="U3" s="755"/>
      <c r="V3" s="755"/>
      <c r="W3" s="1417"/>
      <c r="X3" s="755"/>
      <c r="Y3" s="755"/>
      <c r="Z3" s="755"/>
      <c r="AA3" s="755"/>
      <c r="AB3" s="756"/>
      <c r="AC3" s="755"/>
      <c r="AD3" s="755"/>
      <c r="AE3" s="755"/>
      <c r="AF3" s="755"/>
      <c r="AG3" s="756"/>
      <c r="AH3" s="755"/>
      <c r="AI3" s="755"/>
      <c r="AJ3" s="755"/>
      <c r="AK3" s="755"/>
    </row>
    <row r="4" spans="1:37" s="384" customFormat="1" ht="12.75" customHeight="1">
      <c r="A4" s="416"/>
      <c r="B4" s="475" t="s">
        <v>24</v>
      </c>
      <c r="C4" s="753"/>
      <c r="D4" s="754"/>
      <c r="E4" s="754"/>
      <c r="F4" s="754"/>
      <c r="G4" s="755"/>
      <c r="H4" s="753"/>
      <c r="I4" s="754"/>
      <c r="J4" s="754"/>
      <c r="K4" s="754"/>
      <c r="L4" s="755"/>
      <c r="M4" s="748"/>
      <c r="N4" s="748"/>
      <c r="O4" s="748"/>
      <c r="P4" s="748"/>
      <c r="Q4" s="749"/>
      <c r="R4" s="749"/>
      <c r="S4" s="750"/>
      <c r="T4" s="748"/>
      <c r="U4" s="1071"/>
      <c r="V4" s="1215"/>
      <c r="W4" s="756"/>
      <c r="X4" s="750"/>
      <c r="Y4" s="748"/>
      <c r="Z4" s="750"/>
      <c r="AA4" s="750"/>
      <c r="AB4" s="756"/>
      <c r="AC4" s="755"/>
      <c r="AD4" s="755"/>
      <c r="AE4" s="755"/>
      <c r="AF4" s="755"/>
      <c r="AG4" s="756"/>
      <c r="AH4" s="755"/>
      <c r="AI4" s="755"/>
      <c r="AJ4" s="755"/>
      <c r="AK4" s="755"/>
    </row>
    <row r="5" spans="1:37" s="384" customFormat="1" ht="12.75" customHeight="1">
      <c r="A5" s="416"/>
      <c r="C5" s="757"/>
      <c r="D5" s="758"/>
      <c r="E5" s="758"/>
      <c r="F5" s="759"/>
      <c r="G5" s="755"/>
      <c r="H5" s="757"/>
      <c r="I5" s="758"/>
      <c r="J5" s="758"/>
      <c r="K5" s="759"/>
      <c r="L5" s="755"/>
      <c r="M5" s="753"/>
      <c r="N5" s="759"/>
      <c r="O5" s="759"/>
      <c r="P5" s="759"/>
      <c r="Q5" s="760"/>
      <c r="R5" s="761"/>
      <c r="S5" s="762"/>
      <c r="T5" s="762"/>
      <c r="U5" s="760"/>
      <c r="V5" s="755"/>
      <c r="W5" s="756"/>
      <c r="X5" s="760"/>
      <c r="Y5" s="760"/>
      <c r="Z5" s="760"/>
      <c r="AA5" s="760"/>
      <c r="AB5" s="761"/>
      <c r="AC5" s="762"/>
      <c r="AD5" s="762"/>
      <c r="AE5" s="760"/>
      <c r="AF5" s="1173"/>
      <c r="AG5" s="761"/>
      <c r="AH5" s="762"/>
      <c r="AI5" s="762"/>
      <c r="AJ5" s="760"/>
      <c r="AK5" s="1173"/>
    </row>
    <row r="6" spans="1:37" ht="12.75" customHeight="1">
      <c r="C6" s="427" t="str">
        <f>Dates!C3</f>
        <v>2022 (A)</v>
      </c>
      <c r="D6" s="427"/>
      <c r="E6" s="427"/>
      <c r="F6" s="427"/>
      <c r="G6" s="89"/>
      <c r="H6" s="427" t="str">
        <f>Dates!H3</f>
        <v>2023 (A)</v>
      </c>
      <c r="I6" s="427"/>
      <c r="J6" s="427"/>
      <c r="K6" s="427"/>
      <c r="L6" s="89"/>
      <c r="M6" s="427" t="str">
        <f>Dates!M3</f>
        <v>2024 (A)</v>
      </c>
      <c r="N6" s="427"/>
      <c r="O6" s="427"/>
      <c r="P6" s="427"/>
      <c r="Q6" s="89"/>
      <c r="R6" s="46" t="str">
        <f>Dates!R3</f>
        <v>2025 (E)</v>
      </c>
      <c r="S6" s="46"/>
      <c r="T6" s="46"/>
      <c r="U6" s="46"/>
      <c r="V6" s="89"/>
      <c r="W6" s="46" t="str">
        <f>Dates!W3</f>
        <v>2026 (E)</v>
      </c>
      <c r="X6" s="46"/>
      <c r="Y6" s="46"/>
      <c r="Z6" s="46"/>
      <c r="AA6" s="89"/>
      <c r="AB6" s="46" t="str">
        <f>Dates!AB3</f>
        <v>2027 (E)</v>
      </c>
      <c r="AC6" s="46"/>
      <c r="AD6" s="46"/>
      <c r="AE6" s="46"/>
      <c r="AF6" s="89"/>
      <c r="AG6" s="46" t="str">
        <f>Dates!AG3</f>
        <v>2028 (E)</v>
      </c>
      <c r="AH6" s="46"/>
      <c r="AI6" s="46"/>
      <c r="AJ6" s="46"/>
      <c r="AK6" s="89"/>
    </row>
    <row r="7" spans="1:37" ht="12.75" customHeight="1">
      <c r="C7" s="428" t="str">
        <f>Dates!C4</f>
        <v>1Q22 (A)</v>
      </c>
      <c r="D7" s="428" t="str">
        <f>Dates!D4</f>
        <v>2Q22 (A)</v>
      </c>
      <c r="E7" s="428" t="str">
        <f>Dates!E4</f>
        <v>3Q22 (A)</v>
      </c>
      <c r="F7" s="428" t="str">
        <f>Dates!F4</f>
        <v>4Q22 (A)</v>
      </c>
      <c r="G7" s="92" t="str">
        <f>Dates!G4</f>
        <v>FY22 (A)</v>
      </c>
      <c r="H7" s="428" t="str">
        <f>Dates!H4</f>
        <v>1Q23 (A)</v>
      </c>
      <c r="I7" s="428" t="str">
        <f>Dates!I4</f>
        <v>2Q23 (A)</v>
      </c>
      <c r="J7" s="428" t="str">
        <f>Dates!J4</f>
        <v>3Q23 (A)</v>
      </c>
      <c r="K7" s="428" t="str">
        <f>Dates!K4</f>
        <v>4Q23 (A)</v>
      </c>
      <c r="L7" s="92" t="str">
        <f>Dates!L4</f>
        <v>FY23 (A)</v>
      </c>
      <c r="M7" s="428" t="str">
        <f>Dates!M4</f>
        <v>1Q24 (A)</v>
      </c>
      <c r="N7" s="428" t="str">
        <f>Dates!N4</f>
        <v>2Q24 (A)</v>
      </c>
      <c r="O7" s="428" t="str">
        <f>Dates!O4</f>
        <v>3Q24 (A)</v>
      </c>
      <c r="P7" s="428" t="str">
        <f>Dates!P4</f>
        <v>4Q24 (A)</v>
      </c>
      <c r="Q7" s="92" t="str">
        <f>Dates!Q4</f>
        <v>FY24 (A)</v>
      </c>
      <c r="R7" s="91" t="str">
        <f>Dates!R4</f>
        <v>1Q25 (A)</v>
      </c>
      <c r="S7" s="91" t="str">
        <f>Dates!S4</f>
        <v>2Q25 (A)</v>
      </c>
      <c r="T7" s="91" t="str">
        <f>Dates!T4</f>
        <v>3Q25 (A)</v>
      </c>
      <c r="U7" s="91" t="str">
        <f>Dates!U4</f>
        <v>4Q25 (E)</v>
      </c>
      <c r="V7" s="92" t="str">
        <f>Dates!V4</f>
        <v>FY25 (E)</v>
      </c>
      <c r="W7" s="91" t="str">
        <f>Dates!W4</f>
        <v>1Q26 (E)</v>
      </c>
      <c r="X7" s="91" t="str">
        <f>Dates!X4</f>
        <v>2Q26 (E)</v>
      </c>
      <c r="Y7" s="91" t="str">
        <f>Dates!Y4</f>
        <v>3Q26 (E)</v>
      </c>
      <c r="Z7" s="91" t="str">
        <f>Dates!Z4</f>
        <v>4Q26 (E)</v>
      </c>
      <c r="AA7" s="92" t="str">
        <f>Dates!AA4</f>
        <v>FY26 (E)</v>
      </c>
      <c r="AB7" s="91" t="str">
        <f>Dates!AB4</f>
        <v>1Q27 (E)</v>
      </c>
      <c r="AC7" s="91" t="str">
        <f>Dates!AC4</f>
        <v>2Q27 (E)</v>
      </c>
      <c r="AD7" s="91" t="str">
        <f>Dates!AD4</f>
        <v>3Q27 (E)</v>
      </c>
      <c r="AE7" s="91" t="str">
        <f>Dates!AE4</f>
        <v>4Q27 (E)</v>
      </c>
      <c r="AF7" s="92" t="str">
        <f>Dates!AF4</f>
        <v>FY27 (E)</v>
      </c>
      <c r="AG7" s="91" t="str">
        <f>Dates!AG4</f>
        <v>1Q28 (E)</v>
      </c>
      <c r="AH7" s="91" t="str">
        <f>Dates!AH4</f>
        <v>2Q28 (E)</v>
      </c>
      <c r="AI7" s="91" t="str">
        <f>Dates!AI4</f>
        <v>3Q28 (E)</v>
      </c>
      <c r="AJ7" s="91" t="str">
        <f>Dates!AJ4</f>
        <v>4Q28 (E)</v>
      </c>
      <c r="AK7" s="92" t="str">
        <f>Dates!AK4</f>
        <v>FY28 (E)</v>
      </c>
    </row>
    <row r="8" spans="1:37" ht="12.75" customHeight="1">
      <c r="C8" s="423">
        <f>Dates!C5</f>
        <v>44651</v>
      </c>
      <c r="D8" s="423">
        <f>Dates!D5</f>
        <v>44742</v>
      </c>
      <c r="E8" s="423">
        <f>Dates!E5</f>
        <v>44834</v>
      </c>
      <c r="F8" s="423">
        <f>Dates!F5</f>
        <v>44926</v>
      </c>
      <c r="G8" s="94">
        <f>Dates!G5</f>
        <v>44926</v>
      </c>
      <c r="H8" s="423">
        <f>Dates!H5</f>
        <v>45016</v>
      </c>
      <c r="I8" s="423">
        <f>Dates!I5</f>
        <v>45107</v>
      </c>
      <c r="J8" s="423">
        <f>Dates!J5</f>
        <v>45199</v>
      </c>
      <c r="K8" s="423">
        <f>Dates!K5</f>
        <v>45291</v>
      </c>
      <c r="L8" s="94">
        <f>Dates!L5</f>
        <v>45291</v>
      </c>
      <c r="M8" s="423">
        <f>Dates!M5</f>
        <v>45382</v>
      </c>
      <c r="N8" s="423">
        <f>Dates!N5</f>
        <v>45473</v>
      </c>
      <c r="O8" s="423">
        <f>Dates!O5</f>
        <v>45565</v>
      </c>
      <c r="P8" s="423">
        <f>Dates!P5</f>
        <v>45657</v>
      </c>
      <c r="Q8" s="94">
        <f>Dates!Q5</f>
        <v>45657</v>
      </c>
      <c r="R8" s="93">
        <f>Dates!R5</f>
        <v>45747</v>
      </c>
      <c r="S8" s="93">
        <f>Dates!S5</f>
        <v>45838</v>
      </c>
      <c r="T8" s="93">
        <f>Dates!T5</f>
        <v>45930</v>
      </c>
      <c r="U8" s="93">
        <f>Dates!U5</f>
        <v>46022</v>
      </c>
      <c r="V8" s="94">
        <f>Dates!V5</f>
        <v>46022</v>
      </c>
      <c r="W8" s="93">
        <f>Dates!W5</f>
        <v>46112</v>
      </c>
      <c r="X8" s="93">
        <f>Dates!X5</f>
        <v>46203</v>
      </c>
      <c r="Y8" s="93">
        <f>Dates!Y5</f>
        <v>46295</v>
      </c>
      <c r="Z8" s="93">
        <f>Dates!Z5</f>
        <v>46387</v>
      </c>
      <c r="AA8" s="94">
        <f>Dates!AA5</f>
        <v>46387</v>
      </c>
      <c r="AB8" s="93">
        <f>Dates!AB5</f>
        <v>46477</v>
      </c>
      <c r="AC8" s="93">
        <f>Dates!AC5</f>
        <v>46568</v>
      </c>
      <c r="AD8" s="93">
        <f>Dates!AD5</f>
        <v>46660</v>
      </c>
      <c r="AE8" s="93">
        <f>Dates!AE5</f>
        <v>46752</v>
      </c>
      <c r="AF8" s="94">
        <f>Dates!AF5</f>
        <v>46752</v>
      </c>
      <c r="AG8" s="93">
        <f>Dates!AG5</f>
        <v>46843</v>
      </c>
      <c r="AH8" s="93">
        <f>Dates!AH5</f>
        <v>46934</v>
      </c>
      <c r="AI8" s="93">
        <f>Dates!AI5</f>
        <v>47026</v>
      </c>
      <c r="AJ8" s="93">
        <f>Dates!AJ5</f>
        <v>47118</v>
      </c>
      <c r="AK8" s="94">
        <f>Dates!AK5</f>
        <v>47118</v>
      </c>
    </row>
    <row r="9" spans="1:37" s="384" customFormat="1" ht="12.75" customHeight="1">
      <c r="A9" s="416"/>
      <c r="C9" s="1391"/>
      <c r="D9" s="1391"/>
      <c r="E9" s="1391"/>
      <c r="F9" s="1391"/>
      <c r="G9" s="1189"/>
      <c r="H9" s="1391"/>
      <c r="I9" s="1391"/>
      <c r="J9" s="1391"/>
      <c r="K9" s="1391"/>
      <c r="L9" s="1189"/>
      <c r="M9" s="1391"/>
      <c r="N9" s="1391"/>
      <c r="O9" s="1391"/>
      <c r="P9" s="1391"/>
      <c r="Q9" s="1189"/>
      <c r="R9" s="1390"/>
      <c r="S9" s="1390"/>
      <c r="T9" s="1392"/>
      <c r="U9" s="1390"/>
      <c r="V9" s="1189"/>
      <c r="W9" s="1390"/>
      <c r="X9" s="1390"/>
      <c r="Y9" s="1390"/>
      <c r="Z9" s="1390"/>
      <c r="AA9" s="1189"/>
      <c r="AB9" s="1390"/>
      <c r="AC9" s="1390"/>
      <c r="AD9" s="1390"/>
      <c r="AE9" s="1390"/>
      <c r="AF9" s="1189"/>
      <c r="AG9" s="1390"/>
      <c r="AH9" s="1390"/>
      <c r="AI9" s="1390"/>
      <c r="AJ9" s="1390"/>
      <c r="AK9" s="1189"/>
    </row>
    <row r="10" spans="1:37" s="289" customFormat="1" ht="12.75" customHeight="1">
      <c r="A10" s="283" t="s">
        <v>28</v>
      </c>
      <c r="B10" s="468" t="s">
        <v>29</v>
      </c>
      <c r="C10" s="782"/>
      <c r="D10" s="782"/>
      <c r="E10" s="782"/>
      <c r="F10" s="782"/>
      <c r="G10" s="783">
        <v>15.83</v>
      </c>
      <c r="H10" s="782">
        <f>M10/(1+M11)</f>
        <v>7.9236842923050173</v>
      </c>
      <c r="I10" s="782">
        <f>N10/(1+N11)</f>
        <v>29.843600214370358</v>
      </c>
      <c r="J10" s="782">
        <f>O10/(1+O11)</f>
        <v>75.178825237918673</v>
      </c>
      <c r="K10" s="487">
        <f>L10-J10-I10-H10</f>
        <v>115.99689025540596</v>
      </c>
      <c r="L10" s="783">
        <v>228.94300000000001</v>
      </c>
      <c r="M10" s="782">
        <v>188.684</v>
      </c>
      <c r="N10" s="782">
        <v>395.37099999999998</v>
      </c>
      <c r="O10" s="782">
        <v>583.94100000000003</v>
      </c>
      <c r="P10" s="782">
        <v>747.43</v>
      </c>
      <c r="Q10" s="784">
        <f>SUM(M10:P10)</f>
        <v>1915.4259999999999</v>
      </c>
      <c r="R10" s="782">
        <v>981.63199999999995</v>
      </c>
      <c r="S10" s="782">
        <v>1212.788</v>
      </c>
      <c r="T10" s="782">
        <v>1364.6759999999999</v>
      </c>
      <c r="U10" s="487">
        <f>U16*U23</f>
        <v>1542.8798383352844</v>
      </c>
      <c r="V10" s="784">
        <f>SUM(R10:U10)</f>
        <v>5101.9758383352846</v>
      </c>
      <c r="W10" s="487">
        <f>W16*W23</f>
        <v>2227.1271940102652</v>
      </c>
      <c r="X10" s="487">
        <f>X16*X23</f>
        <v>2964.1923267606126</v>
      </c>
      <c r="Y10" s="487">
        <f>Y16*Y23</f>
        <v>3289.6841382241842</v>
      </c>
      <c r="Z10" s="487">
        <f>Z16*Z23</f>
        <v>3520.6358086433452</v>
      </c>
      <c r="AA10" s="784">
        <f>SUM(W10:Z10)</f>
        <v>12001.639467638406</v>
      </c>
      <c r="AB10" s="487">
        <f>AB16*AB23</f>
        <v>3811.6134309688914</v>
      </c>
      <c r="AC10" s="487">
        <f>AC16*AC23</f>
        <v>4153.967972772637</v>
      </c>
      <c r="AD10" s="487">
        <f>AD16*AD23</f>
        <v>4473.832737778841</v>
      </c>
      <c r="AE10" s="487">
        <f>AE16*AE23</f>
        <v>4771.4757275279553</v>
      </c>
      <c r="AF10" s="784">
        <f>SUM(AB10:AE10)</f>
        <v>17210.889869048326</v>
      </c>
      <c r="AG10" s="487">
        <f>AG16*AG23</f>
        <v>5118.4482278277555</v>
      </c>
      <c r="AH10" s="487">
        <f>AH16*AH23</f>
        <v>5329.7806915375268</v>
      </c>
      <c r="AI10" s="487">
        <f>AI16*AI23</f>
        <v>5519.2671656952671</v>
      </c>
      <c r="AJ10" s="487">
        <f>AJ16*AJ23</f>
        <v>5687.5931059802742</v>
      </c>
      <c r="AK10" s="784">
        <f>SUM(AG10:AJ10)</f>
        <v>21655.089191040825</v>
      </c>
    </row>
    <row r="11" spans="1:37" s="444" customFormat="1" ht="12.75" customHeight="1">
      <c r="A11" s="416" t="s">
        <v>30</v>
      </c>
      <c r="B11" s="433" t="s">
        <v>31</v>
      </c>
      <c r="C11" s="644"/>
      <c r="D11" s="419"/>
      <c r="E11" s="419"/>
      <c r="F11" s="419"/>
      <c r="G11" s="449"/>
      <c r="H11" s="102" t="str">
        <f t="shared" ref="H11:AF11" si="0">IFERROR(H10/C10-1,"")</f>
        <v/>
      </c>
      <c r="I11" s="102" t="str">
        <f t="shared" si="0"/>
        <v/>
      </c>
      <c r="J11" s="102" t="str">
        <f t="shared" si="0"/>
        <v/>
      </c>
      <c r="K11" s="102" t="str">
        <f t="shared" si="0"/>
        <v/>
      </c>
      <c r="L11" s="254">
        <f t="shared" si="0"/>
        <v>13.462602653190146</v>
      </c>
      <c r="M11" s="107">
        <v>22.812660000000001</v>
      </c>
      <c r="N11" s="107">
        <v>12.248100000000001</v>
      </c>
      <c r="O11" s="107">
        <v>6.76736</v>
      </c>
      <c r="P11" s="102">
        <f t="shared" si="0"/>
        <v>5.4435348081684154</v>
      </c>
      <c r="Q11" s="254">
        <f t="shared" si="0"/>
        <v>7.366388140279458</v>
      </c>
      <c r="R11" s="102">
        <f t="shared" si="0"/>
        <v>4.2025184965338873</v>
      </c>
      <c r="S11" s="291">
        <f t="shared" si="0"/>
        <v>2.0674682766313159</v>
      </c>
      <c r="T11" s="291">
        <f t="shared" si="0"/>
        <v>1.3370100746479521</v>
      </c>
      <c r="U11" s="291">
        <f t="shared" si="0"/>
        <v>1.0642466028059947</v>
      </c>
      <c r="V11" s="254">
        <f t="shared" si="0"/>
        <v>1.663624613185414</v>
      </c>
      <c r="W11" s="291">
        <f t="shared" si="0"/>
        <v>1.2688005219983305</v>
      </c>
      <c r="X11" s="291">
        <f t="shared" si="0"/>
        <v>1.4441141623767817</v>
      </c>
      <c r="Y11" s="291">
        <f t="shared" si="0"/>
        <v>1.4105971953959653</v>
      </c>
      <c r="Z11" s="291">
        <f t="shared" si="0"/>
        <v>1.281860013442131</v>
      </c>
      <c r="AA11" s="254">
        <f t="shared" si="0"/>
        <v>1.3523512944652443</v>
      </c>
      <c r="AB11" s="291">
        <f t="shared" si="0"/>
        <v>0.71144847102581932</v>
      </c>
      <c r="AC11" s="291">
        <f t="shared" si="0"/>
        <v>0.40138274270221141</v>
      </c>
      <c r="AD11" s="291">
        <f t="shared" si="0"/>
        <v>0.3599581448551703</v>
      </c>
      <c r="AE11" s="291">
        <f t="shared" si="0"/>
        <v>0.35528807490219028</v>
      </c>
      <c r="AF11" s="254">
        <f t="shared" si="0"/>
        <v>0.43404489990357598</v>
      </c>
      <c r="AG11" s="291">
        <f>IFERROR(AG10/AB10-1,"")</f>
        <v>0.34285606883452346</v>
      </c>
      <c r="AH11" s="291">
        <f>IFERROR(AH10/AC10-1,"")</f>
        <v>0.28305772371665006</v>
      </c>
      <c r="AI11" s="291">
        <f>IFERROR(AI10/AD10-1,"")</f>
        <v>0.23367758456599375</v>
      </c>
      <c r="AJ11" s="291">
        <f>IFERROR(AJ10/AE10-1,"")</f>
        <v>0.19199875065212768</v>
      </c>
      <c r="AK11" s="254">
        <f>IFERROR(AK10/AF10-1,"")</f>
        <v>0.25822019406357644</v>
      </c>
    </row>
    <row r="12" spans="1:37" ht="12.75" customHeight="1">
      <c r="A12" s="416" t="s">
        <v>32</v>
      </c>
      <c r="B12" s="433" t="s">
        <v>33</v>
      </c>
      <c r="C12" s="616"/>
      <c r="D12" s="102"/>
      <c r="E12" s="102"/>
      <c r="F12" s="102"/>
      <c r="G12" s="255"/>
      <c r="H12" s="253" t="str">
        <f>IFERROR(H10/F10-1,"")</f>
        <v/>
      </c>
      <c r="I12" s="102">
        <f>IFERROR(I10/H10-1,"")</f>
        <v>2.7663792641704039</v>
      </c>
      <c r="J12" s="102">
        <f>IFERROR(J10/I10-1,"")</f>
        <v>1.5190936984110381</v>
      </c>
      <c r="K12" s="102">
        <f>IFERROR(K10/J10-1,"")</f>
        <v>0.54294630021565538</v>
      </c>
      <c r="L12" s="255"/>
      <c r="M12" s="253">
        <f>IFERROR(M10/K10-1,"")</f>
        <v>0.62662981382129335</v>
      </c>
      <c r="N12" s="102">
        <f>IFERROR(N10/M10-1,"")</f>
        <v>1.0954134955799115</v>
      </c>
      <c r="O12" s="102">
        <f>IFERROR(O10/N10-1,"")</f>
        <v>0.47694443952641974</v>
      </c>
      <c r="P12" s="102">
        <f>IFERROR(P10/O10-1,"")</f>
        <v>0.27997520297427303</v>
      </c>
      <c r="Q12" s="255"/>
      <c r="R12" s="253">
        <f>IFERROR(R10/P10-1,"")</f>
        <v>0.31334305553697339</v>
      </c>
      <c r="S12" s="102">
        <f>IFERROR(S10/R10-1,"")</f>
        <v>0.23548132090233409</v>
      </c>
      <c r="T12" s="102">
        <f>IFERROR(T10/S10-1,"")</f>
        <v>0.12523870618772603</v>
      </c>
      <c r="U12" s="102">
        <f>IFERROR(U10/T10-1,"")</f>
        <v>0.13058325810323068</v>
      </c>
      <c r="V12" s="255"/>
      <c r="W12" s="253">
        <f>IFERROR(W10/U10-1,"")</f>
        <v>0.44348713274603457</v>
      </c>
      <c r="X12" s="102">
        <f>IFERROR(X10/W10-1,"")</f>
        <v>0.33094882714047191</v>
      </c>
      <c r="Y12" s="102">
        <f>IFERROR(Y10/X10-1,"")</f>
        <v>0.10980792593147348</v>
      </c>
      <c r="Z12" s="102">
        <f>IFERROR(Z10/Y10-1,"")</f>
        <v>7.0204816242276591E-2</v>
      </c>
      <c r="AA12" s="255"/>
      <c r="AB12" s="253">
        <f>IFERROR(AB10/Z10-1,"")</f>
        <v>8.264916854256299E-2</v>
      </c>
      <c r="AC12" s="102">
        <f>IFERROR(AC10/AB10-1,"")</f>
        <v>8.9818799310065645E-2</v>
      </c>
      <c r="AD12" s="102">
        <f>IFERROR(AD10/AC10-1,"")</f>
        <v>7.700222223733344E-2</v>
      </c>
      <c r="AE12" s="102">
        <f>IFERROR(AE10/AD10-1,"")</f>
        <v>6.652975361275737E-2</v>
      </c>
      <c r="AF12" s="255"/>
      <c r="AG12" s="253">
        <f>IFERROR(AG10/AE10-1,"")</f>
        <v>7.271806881422882E-2</v>
      </c>
      <c r="AH12" s="102">
        <f>IFERROR(AH10/AG10-1,"")</f>
        <v>4.1288385522942006E-2</v>
      </c>
      <c r="AI12" s="102">
        <f>IFERROR(AI10/AH10-1,"")</f>
        <v>3.5552396078623261E-2</v>
      </c>
      <c r="AJ12" s="102">
        <f>IFERROR(AJ10/AI10-1,"")</f>
        <v>3.0497878655200594E-2</v>
      </c>
      <c r="AK12" s="255"/>
    </row>
    <row r="13" spans="1:37" s="269" customFormat="1" ht="12.75" customHeight="1">
      <c r="A13" s="416"/>
      <c r="B13" s="433" t="s">
        <v>97</v>
      </c>
      <c r="C13" s="608"/>
      <c r="D13" s="290"/>
      <c r="E13" s="290"/>
      <c r="F13" s="290"/>
      <c r="G13" s="410"/>
      <c r="H13" s="290">
        <f t="shared" ref="H13:AF13" si="1">H10-C10</f>
        <v>7.9236842923050173</v>
      </c>
      <c r="I13" s="290">
        <f t="shared" si="1"/>
        <v>29.843600214370358</v>
      </c>
      <c r="J13" s="290">
        <f t="shared" si="1"/>
        <v>75.178825237918673</v>
      </c>
      <c r="K13" s="290">
        <f t="shared" si="1"/>
        <v>115.99689025540596</v>
      </c>
      <c r="L13" s="410">
        <f t="shared" si="1"/>
        <v>213.113</v>
      </c>
      <c r="M13" s="290">
        <f t="shared" si="1"/>
        <v>180.76031570769499</v>
      </c>
      <c r="N13" s="290">
        <f t="shared" si="1"/>
        <v>365.5273997856296</v>
      </c>
      <c r="O13" s="290">
        <f t="shared" si="1"/>
        <v>508.76217476208137</v>
      </c>
      <c r="P13" s="290">
        <f t="shared" si="1"/>
        <v>631.43310974459405</v>
      </c>
      <c r="Q13" s="410">
        <f t="shared" si="1"/>
        <v>1686.4829999999999</v>
      </c>
      <c r="R13" s="290">
        <f t="shared" si="1"/>
        <v>792.94799999999998</v>
      </c>
      <c r="S13" s="290">
        <f t="shared" si="1"/>
        <v>817.41700000000003</v>
      </c>
      <c r="T13" s="290">
        <f t="shared" si="1"/>
        <v>780.7349999999999</v>
      </c>
      <c r="U13" s="290">
        <f t="shared" si="1"/>
        <v>795.44983833528443</v>
      </c>
      <c r="V13" s="410">
        <f t="shared" si="1"/>
        <v>3186.5498383352847</v>
      </c>
      <c r="W13" s="290">
        <f t="shared" si="1"/>
        <v>1245.4951940102651</v>
      </c>
      <c r="X13" s="290">
        <f t="shared" si="1"/>
        <v>1751.4043267606125</v>
      </c>
      <c r="Y13" s="290">
        <f t="shared" si="1"/>
        <v>1925.0081382241842</v>
      </c>
      <c r="Z13" s="290">
        <f t="shared" si="1"/>
        <v>1977.7559703080608</v>
      </c>
      <c r="AA13" s="410">
        <f t="shared" si="1"/>
        <v>6899.6636293031215</v>
      </c>
      <c r="AB13" s="290">
        <f t="shared" si="1"/>
        <v>1584.4862369586263</v>
      </c>
      <c r="AC13" s="290">
        <f t="shared" si="1"/>
        <v>1189.7756460120245</v>
      </c>
      <c r="AD13" s="290">
        <f t="shared" si="1"/>
        <v>1184.1485995546568</v>
      </c>
      <c r="AE13" s="290">
        <f t="shared" si="1"/>
        <v>1250.8399188846101</v>
      </c>
      <c r="AF13" s="410">
        <f t="shared" si="1"/>
        <v>5209.2504014099195</v>
      </c>
      <c r="AG13" s="290">
        <f>AG10-AB10</f>
        <v>1306.8347968588641</v>
      </c>
      <c r="AH13" s="290">
        <f>AH10-AC10</f>
        <v>1175.8127187648897</v>
      </c>
      <c r="AI13" s="290">
        <f>AI10-AD10</f>
        <v>1045.4344279164261</v>
      </c>
      <c r="AJ13" s="290">
        <f>AJ10-AE10</f>
        <v>916.11737845231892</v>
      </c>
      <c r="AK13" s="410">
        <f>AK10-AF10</f>
        <v>4444.1993219924989</v>
      </c>
    </row>
    <row r="14" spans="1:37" s="269" customFormat="1" ht="12.75" customHeight="1">
      <c r="A14" s="416"/>
      <c r="B14" s="433" t="s">
        <v>98</v>
      </c>
      <c r="C14" s="655"/>
      <c r="D14" s="290"/>
      <c r="E14" s="290"/>
      <c r="F14" s="290"/>
      <c r="G14" s="254"/>
      <c r="H14" s="293">
        <f>H10-F10</f>
        <v>7.9236842923050173</v>
      </c>
      <c r="I14" s="290">
        <f>I10-H10</f>
        <v>21.919915922065343</v>
      </c>
      <c r="J14" s="290">
        <f>J10-I10</f>
        <v>45.335225023548318</v>
      </c>
      <c r="K14" s="290">
        <f>K10-J10</f>
        <v>40.818065017487285</v>
      </c>
      <c r="L14" s="254"/>
      <c r="M14" s="293">
        <f>M10-K10</f>
        <v>72.687109744594039</v>
      </c>
      <c r="N14" s="290">
        <f>N10-M10</f>
        <v>206.68699999999998</v>
      </c>
      <c r="O14" s="290">
        <f>O10-N10</f>
        <v>188.57000000000005</v>
      </c>
      <c r="P14" s="290">
        <f>P10-O10</f>
        <v>163.48899999999992</v>
      </c>
      <c r="Q14" s="254"/>
      <c r="R14" s="293">
        <f>R10-P10</f>
        <v>234.202</v>
      </c>
      <c r="S14" s="290">
        <f>S10-R10</f>
        <v>231.15600000000006</v>
      </c>
      <c r="T14" s="290">
        <f>T10-S10</f>
        <v>151.88799999999992</v>
      </c>
      <c r="U14" s="290">
        <f>U10-T10</f>
        <v>178.20383833528444</v>
      </c>
      <c r="V14" s="254"/>
      <c r="W14" s="293">
        <f>W10-U10</f>
        <v>684.24735567498078</v>
      </c>
      <c r="X14" s="290">
        <f>X10-W10</f>
        <v>737.0651327503474</v>
      </c>
      <c r="Y14" s="290">
        <f>Y10-X10</f>
        <v>325.49181146357159</v>
      </c>
      <c r="Z14" s="290">
        <f>Z10-Y10</f>
        <v>230.95167041916102</v>
      </c>
      <c r="AA14" s="254"/>
      <c r="AB14" s="293">
        <f>AB10-Z10</f>
        <v>290.97762232554624</v>
      </c>
      <c r="AC14" s="290">
        <f>AC10-AB10</f>
        <v>342.35454180374563</v>
      </c>
      <c r="AD14" s="290">
        <f>AD10-AC10</f>
        <v>319.86476500620392</v>
      </c>
      <c r="AE14" s="290">
        <f>AE10-AD10</f>
        <v>297.64298974911435</v>
      </c>
      <c r="AF14" s="254"/>
      <c r="AG14" s="293">
        <f>AG10-AE10</f>
        <v>346.97250029980023</v>
      </c>
      <c r="AH14" s="290">
        <f>AH10-AG10</f>
        <v>211.33246370977122</v>
      </c>
      <c r="AI14" s="290">
        <f>AI10-AH10</f>
        <v>189.4864741577403</v>
      </c>
      <c r="AJ14" s="290">
        <f>AJ10-AI10</f>
        <v>168.32594028500716</v>
      </c>
      <c r="AK14" s="254"/>
    </row>
    <row r="15" spans="1:37" s="269" customFormat="1" ht="12.75" customHeight="1">
      <c r="A15" s="416"/>
      <c r="B15" s="433"/>
      <c r="C15" s="655"/>
      <c r="D15" s="290"/>
      <c r="E15" s="290"/>
      <c r="F15" s="290"/>
      <c r="G15" s="254"/>
      <c r="H15" s="293"/>
      <c r="I15" s="290"/>
      <c r="J15" s="290"/>
      <c r="K15" s="290"/>
      <c r="L15" s="254"/>
      <c r="M15" s="293"/>
      <c r="N15" s="290"/>
      <c r="O15" s="290"/>
      <c r="P15" s="290"/>
      <c r="Q15" s="254"/>
      <c r="R15" s="290"/>
      <c r="S15" s="419"/>
      <c r="T15" s="290"/>
      <c r="U15" s="419"/>
      <c r="V15" s="254"/>
      <c r="W15" s="666"/>
      <c r="X15" s="417"/>
      <c r="Y15" s="419"/>
      <c r="Z15" s="419"/>
      <c r="AA15" s="254"/>
      <c r="AB15" s="293"/>
      <c r="AC15" s="290"/>
      <c r="AD15" s="290"/>
      <c r="AE15" s="290"/>
      <c r="AF15" s="254"/>
      <c r="AG15" s="293"/>
      <c r="AH15" s="290"/>
      <c r="AI15" s="290"/>
      <c r="AJ15" s="290"/>
      <c r="AK15" s="254"/>
    </row>
    <row r="16" spans="1:37" s="666" customFormat="1" ht="12.75" customHeight="1">
      <c r="A16" s="448"/>
      <c r="B16" s="433" t="s">
        <v>397</v>
      </c>
      <c r="C16" s="1053"/>
      <c r="D16" s="419"/>
      <c r="E16" s="419"/>
      <c r="F16" s="419"/>
      <c r="G16" s="449"/>
      <c r="H16" s="417"/>
      <c r="I16" s="419"/>
      <c r="J16" s="419"/>
      <c r="K16" s="419"/>
      <c r="L16" s="449"/>
      <c r="M16" s="417"/>
      <c r="N16" s="419"/>
      <c r="O16" s="419">
        <f>O$10/O$23</f>
        <v>8.6095276850452207E-2</v>
      </c>
      <c r="P16" s="419">
        <f>P$10/P$23</f>
        <v>9.7257295598392676E-2</v>
      </c>
      <c r="Q16" s="449"/>
      <c r="R16" s="419">
        <f>R$10/R$23</f>
        <v>0.10414591410894541</v>
      </c>
      <c r="S16" s="419">
        <f>S$10/S$23</f>
        <v>0.10705430217258477</v>
      </c>
      <c r="T16" s="419">
        <f>T$10/T$23</f>
        <v>0.1038986509344781</v>
      </c>
      <c r="U16" s="438">
        <v>9.7600000000000006E-2</v>
      </c>
      <c r="V16" s="449">
        <f>AVERAGE(R16:U16)</f>
        <v>0.10317471680400207</v>
      </c>
      <c r="W16" s="438">
        <v>9.8000000000000004E-2</v>
      </c>
      <c r="X16" s="438">
        <v>0.10100000000000001</v>
      </c>
      <c r="Y16" s="438">
        <v>0.10299999999999999</v>
      </c>
      <c r="Z16" s="438">
        <v>0.105</v>
      </c>
      <c r="AA16" s="449">
        <f>AVERAGE(W16:Z16)</f>
        <v>0.10174999999999999</v>
      </c>
      <c r="AB16" s="1066">
        <v>0.106</v>
      </c>
      <c r="AC16" s="1066">
        <f>AB16</f>
        <v>0.106</v>
      </c>
      <c r="AD16" s="1066">
        <f>AC16</f>
        <v>0.106</v>
      </c>
      <c r="AE16" s="1066">
        <f>AD16</f>
        <v>0.106</v>
      </c>
      <c r="AF16" s="449">
        <f>AVERAGE(AB16:AE16)</f>
        <v>0.106</v>
      </c>
      <c r="AG16" s="1066">
        <v>0.108</v>
      </c>
      <c r="AH16" s="1066">
        <f>AG16</f>
        <v>0.108</v>
      </c>
      <c r="AI16" s="1066">
        <f>AH16</f>
        <v>0.108</v>
      </c>
      <c r="AJ16" s="1066">
        <f>AI16</f>
        <v>0.108</v>
      </c>
      <c r="AK16" s="449">
        <f>AVERAGE(AG16:AJ16)</f>
        <v>0.108</v>
      </c>
    </row>
    <row r="17" spans="1:37" s="269" customFormat="1" ht="12.75" customHeight="1">
      <c r="A17" s="416"/>
      <c r="B17" s="433" t="s">
        <v>398</v>
      </c>
      <c r="C17" s="655"/>
      <c r="D17" s="290"/>
      <c r="E17" s="290"/>
      <c r="F17" s="290"/>
      <c r="G17" s="254"/>
      <c r="H17" s="293"/>
      <c r="I17" s="290"/>
      <c r="J17" s="290"/>
      <c r="K17" s="290"/>
      <c r="L17" s="254"/>
      <c r="M17" s="293"/>
      <c r="N17" s="290"/>
      <c r="O17" s="419">
        <f>O16*4</f>
        <v>0.34438110740180883</v>
      </c>
      <c r="P17" s="419">
        <f>P16*4</f>
        <v>0.3890291823935707</v>
      </c>
      <c r="Q17" s="254"/>
      <c r="R17" s="419">
        <f>R16*4</f>
        <v>0.41658365643578166</v>
      </c>
      <c r="S17" s="419">
        <f>S16*4</f>
        <v>0.42821720869033908</v>
      </c>
      <c r="T17" s="419">
        <f>T16*4</f>
        <v>0.4155946037379124</v>
      </c>
      <c r="U17" s="419">
        <f>U16*4</f>
        <v>0.39040000000000002</v>
      </c>
      <c r="V17" s="254"/>
      <c r="W17" s="419">
        <f>W16*4</f>
        <v>0.39200000000000002</v>
      </c>
      <c r="X17" s="419">
        <f>X16*4</f>
        <v>0.40400000000000003</v>
      </c>
      <c r="Y17" s="419">
        <f>Y16*4</f>
        <v>0.41199999999999998</v>
      </c>
      <c r="Z17" s="419">
        <f>Z16*4</f>
        <v>0.42</v>
      </c>
      <c r="AA17" s="254"/>
      <c r="AB17" s="419">
        <f>AB16*4</f>
        <v>0.42399999999999999</v>
      </c>
      <c r="AC17" s="419">
        <f>AC16*4</f>
        <v>0.42399999999999999</v>
      </c>
      <c r="AD17" s="419">
        <f>AD16*4</f>
        <v>0.42399999999999999</v>
      </c>
      <c r="AE17" s="419">
        <f>AE16*4</f>
        <v>0.42399999999999999</v>
      </c>
      <c r="AF17" s="254"/>
      <c r="AG17" s="419">
        <f>AG16*4</f>
        <v>0.432</v>
      </c>
      <c r="AH17" s="419">
        <f>AH16*4</f>
        <v>0.432</v>
      </c>
      <c r="AI17" s="419">
        <f>AI16*4</f>
        <v>0.432</v>
      </c>
      <c r="AJ17" s="419">
        <f>AJ16*4</f>
        <v>0.432</v>
      </c>
      <c r="AK17" s="254"/>
    </row>
    <row r="18" spans="1:37" s="269" customFormat="1" ht="12.75" customHeight="1">
      <c r="A18" s="416"/>
      <c r="B18" s="433" t="s">
        <v>399</v>
      </c>
      <c r="C18" s="655"/>
      <c r="D18" s="290"/>
      <c r="E18" s="290"/>
      <c r="F18" s="290"/>
      <c r="G18" s="254"/>
      <c r="H18" s="293"/>
      <c r="I18" s="290"/>
      <c r="J18" s="290"/>
      <c r="K18" s="290"/>
      <c r="L18" s="254"/>
      <c r="M18" s="293"/>
      <c r="N18" s="290"/>
      <c r="O18" s="419">
        <f>O$10/O$28</f>
        <v>8.0338949052117872E-2</v>
      </c>
      <c r="P18" s="419">
        <f>P$10/P$28</f>
        <v>8.8204788334116324E-2</v>
      </c>
      <c r="Q18" s="827"/>
      <c r="R18" s="419">
        <f>R$10/R$28</f>
        <v>9.2537485368269931E-2</v>
      </c>
      <c r="S18" s="419">
        <f>S$10/S$28</f>
        <v>9.3253365935426338E-2</v>
      </c>
      <c r="T18" s="419">
        <f>T$10/T$28</f>
        <v>8.8622362672048566E-2</v>
      </c>
      <c r="U18" s="419">
        <f>U$10/U$28</f>
        <v>8.2175833929333683E-2</v>
      </c>
      <c r="V18" s="254"/>
      <c r="W18" s="419">
        <f>W$10/W$28</f>
        <v>8.3496470905502662E-2</v>
      </c>
      <c r="X18" s="419">
        <f>X$10/X$28</f>
        <v>8.5734489713959666E-2</v>
      </c>
      <c r="Y18" s="419">
        <f>Y$10/Y$28</f>
        <v>8.5200040726267912E-2</v>
      </c>
      <c r="Z18" s="419">
        <f>Z$10/Z$28</f>
        <v>8.4261617399642136E-2</v>
      </c>
      <c r="AA18" s="254"/>
      <c r="AB18" s="419">
        <f>AB$10/AB$28</f>
        <v>8.2922964398030957E-2</v>
      </c>
      <c r="AC18" s="419">
        <f>AC$10/AC$28</f>
        <v>8.1183094356791996E-2</v>
      </c>
      <c r="AD18" s="419">
        <f>AD$10/AD$28</f>
        <v>7.935721756111852E-2</v>
      </c>
      <c r="AE18" s="419">
        <f>AE$10/AE$28</f>
        <v>7.7468267593424428E-2</v>
      </c>
      <c r="AF18" s="254"/>
      <c r="AG18" s="419">
        <f>AG$10/AG$28</f>
        <v>7.6872620724090943E-2</v>
      </c>
      <c r="AH18" s="419">
        <f>AH$10/AH$28</f>
        <v>7.4703950679087652E-2</v>
      </c>
      <c r="AI18" s="419">
        <f>AI$10/AI$28</f>
        <v>7.2522393325948259E-2</v>
      </c>
      <c r="AJ18" s="419">
        <f>AJ$10/AJ$28</f>
        <v>7.0332762345197475E-2</v>
      </c>
      <c r="AK18" s="254"/>
    </row>
    <row r="19" spans="1:37" s="269" customFormat="1" ht="12.75" customHeight="1">
      <c r="A19" s="416"/>
      <c r="B19" s="381"/>
      <c r="C19" s="655"/>
      <c r="D19" s="290"/>
      <c r="E19" s="290"/>
      <c r="F19" s="290"/>
      <c r="G19" s="254"/>
      <c r="H19" s="293"/>
      <c r="I19" s="290"/>
      <c r="J19" s="290"/>
      <c r="K19" s="290"/>
      <c r="L19" s="254"/>
      <c r="M19" s="253"/>
      <c r="N19" s="253"/>
      <c r="O19" s="253"/>
      <c r="P19" s="253"/>
      <c r="Q19" s="254"/>
      <c r="R19" s="253"/>
      <c r="S19" s="253"/>
      <c r="T19" s="253"/>
      <c r="U19" s="253"/>
      <c r="V19" s="254"/>
      <c r="W19" s="253"/>
      <c r="X19" s="253"/>
      <c r="Y19" s="253"/>
      <c r="Z19" s="253"/>
      <c r="AA19" s="254"/>
      <c r="AB19" s="253"/>
      <c r="AC19" s="253"/>
      <c r="AD19" s="253"/>
      <c r="AE19" s="253"/>
      <c r="AF19" s="254"/>
      <c r="AG19" s="253"/>
      <c r="AH19" s="253"/>
      <c r="AI19" s="253"/>
      <c r="AJ19" s="253"/>
      <c r="AK19" s="254"/>
    </row>
    <row r="20" spans="1:37" s="289" customFormat="1" ht="12.75" customHeight="1">
      <c r="A20" s="283" t="s">
        <v>593</v>
      </c>
      <c r="B20" s="950" t="s">
        <v>392</v>
      </c>
      <c r="C20" s="371"/>
      <c r="D20" s="371"/>
      <c r="E20" s="371"/>
      <c r="F20" s="371"/>
      <c r="G20" s="495"/>
      <c r="H20" s="371"/>
      <c r="I20" s="371"/>
      <c r="J20" s="371"/>
      <c r="K20" s="491"/>
      <c r="L20" s="495"/>
      <c r="M20" s="491"/>
      <c r="N20" s="491"/>
      <c r="O20" s="491">
        <f t="shared" ref="O20:AK20" si="2">O25+O115</f>
        <v>6656.2500000000009</v>
      </c>
      <c r="P20" s="491">
        <f t="shared" si="2"/>
        <v>8713.9079999999994</v>
      </c>
      <c r="Q20" s="370">
        <f t="shared" si="2"/>
        <v>8713.9079999999994</v>
      </c>
      <c r="R20" s="491">
        <f t="shared" si="2"/>
        <v>10137.182000000001</v>
      </c>
      <c r="S20" s="491">
        <f t="shared" si="2"/>
        <v>12520.253999999997</v>
      </c>
      <c r="T20" s="491">
        <f t="shared" si="2"/>
        <v>13749.115000000003</v>
      </c>
      <c r="U20" s="491">
        <f t="shared" si="2"/>
        <v>17867.275129821392</v>
      </c>
      <c r="V20" s="370">
        <f t="shared" si="2"/>
        <v>17867.275129821392</v>
      </c>
      <c r="W20" s="491">
        <f t="shared" si="2"/>
        <v>27584.300258143205</v>
      </c>
      <c r="X20" s="491">
        <f t="shared" si="2"/>
        <v>31112.577499492676</v>
      </c>
      <c r="Y20" s="491">
        <f t="shared" si="2"/>
        <v>32764.784407773037</v>
      </c>
      <c r="Z20" s="491">
        <f t="shared" si="2"/>
        <v>34294.945280671629</v>
      </c>
      <c r="AA20" s="370">
        <f t="shared" si="2"/>
        <v>34294.945280671629</v>
      </c>
      <c r="AB20" s="491">
        <f t="shared" si="2"/>
        <v>37622.289265911233</v>
      </c>
      <c r="AC20" s="491">
        <f t="shared" si="2"/>
        <v>40754.464937346071</v>
      </c>
      <c r="AD20" s="491">
        <f t="shared" si="2"/>
        <v>43657.473511311313</v>
      </c>
      <c r="AE20" s="491">
        <f t="shared" si="2"/>
        <v>46370.370404310481</v>
      </c>
      <c r="AF20" s="370">
        <f t="shared" si="2"/>
        <v>46370.370404310481</v>
      </c>
      <c r="AG20" s="491">
        <f t="shared" si="2"/>
        <v>48415.707888796096</v>
      </c>
      <c r="AH20" s="491">
        <f t="shared" si="2"/>
        <v>50283.934547084034</v>
      </c>
      <c r="AI20" s="491">
        <f t="shared" si="2"/>
        <v>51924.716669494985</v>
      </c>
      <c r="AJ20" s="491">
        <f t="shared" si="2"/>
        <v>53401.081589398978</v>
      </c>
      <c r="AK20" s="370">
        <f t="shared" si="2"/>
        <v>53401.081589398978</v>
      </c>
    </row>
    <row r="21" spans="1:37" s="298" customFormat="1" ht="12.75" customHeight="1">
      <c r="A21" s="1088"/>
      <c r="B21" s="433" t="s">
        <v>31</v>
      </c>
      <c r="C21" s="102"/>
      <c r="D21" s="102"/>
      <c r="E21" s="102"/>
      <c r="F21" s="102"/>
      <c r="G21" s="254"/>
      <c r="H21" s="102"/>
      <c r="I21" s="102"/>
      <c r="J21" s="102"/>
      <c r="K21" s="102"/>
      <c r="L21" s="254"/>
      <c r="M21" s="102" t="str">
        <f t="shared" ref="M21:S21" si="3">IFERROR(M20/H20-1,"")</f>
        <v/>
      </c>
      <c r="N21" s="102" t="str">
        <f t="shared" si="3"/>
        <v/>
      </c>
      <c r="O21" s="102" t="str">
        <f t="shared" si="3"/>
        <v/>
      </c>
      <c r="P21" s="102" t="str">
        <f t="shared" si="3"/>
        <v/>
      </c>
      <c r="Q21" s="254" t="str">
        <f t="shared" si="3"/>
        <v/>
      </c>
      <c r="R21" s="102" t="str">
        <f t="shared" si="3"/>
        <v/>
      </c>
      <c r="S21" s="102" t="str">
        <f t="shared" si="3"/>
        <v/>
      </c>
      <c r="T21" s="102">
        <f t="shared" ref="T21:AA21" si="4">IFERROR(T20/O20-1,"")</f>
        <v>1.0655947417840377</v>
      </c>
      <c r="U21" s="102">
        <f t="shared" si="4"/>
        <v>1.0504319221434737</v>
      </c>
      <c r="V21" s="254">
        <f t="shared" si="4"/>
        <v>1.0504319221434737</v>
      </c>
      <c r="W21" s="102">
        <f t="shared" si="4"/>
        <v>1.7211014124184811</v>
      </c>
      <c r="X21" s="102">
        <f t="shared" si="4"/>
        <v>1.4849797375910012</v>
      </c>
      <c r="Y21" s="102">
        <f t="shared" si="4"/>
        <v>1.3830467930316264</v>
      </c>
      <c r="Z21" s="102">
        <f t="shared" si="4"/>
        <v>0.91942783840786224</v>
      </c>
      <c r="AA21" s="254">
        <f t="shared" si="4"/>
        <v>0.91942783840786224</v>
      </c>
      <c r="AB21" s="102">
        <f t="shared" ref="AB21:AK21" si="5">IFERROR(AB20/W20-1,"")</f>
        <v>0.3639022528695357</v>
      </c>
      <c r="AC21" s="102">
        <f t="shared" si="5"/>
        <v>0.30990320355202372</v>
      </c>
      <c r="AD21" s="102">
        <f t="shared" si="5"/>
        <v>0.33245111483029088</v>
      </c>
      <c r="AE21" s="102">
        <f t="shared" si="5"/>
        <v>0.3521050995945012</v>
      </c>
      <c r="AF21" s="254">
        <f t="shared" si="5"/>
        <v>0.3521050995945012</v>
      </c>
      <c r="AG21" s="102">
        <f t="shared" si="5"/>
        <v>0.28688893827267847</v>
      </c>
      <c r="AH21" s="102">
        <f t="shared" si="5"/>
        <v>0.23382639483521883</v>
      </c>
      <c r="AI21" s="102">
        <f t="shared" si="5"/>
        <v>0.18936604648094657</v>
      </c>
      <c r="AJ21" s="102">
        <f t="shared" si="5"/>
        <v>0.15162076825754522</v>
      </c>
      <c r="AK21" s="254">
        <f t="shared" si="5"/>
        <v>0.15162076825754522</v>
      </c>
    </row>
    <row r="22" spans="1:37" ht="12.75" customHeight="1">
      <c r="B22" s="433" t="s">
        <v>33</v>
      </c>
      <c r="C22" s="616"/>
      <c r="D22" s="102"/>
      <c r="E22" s="102"/>
      <c r="F22" s="102"/>
      <c r="G22" s="255"/>
      <c r="H22" s="253"/>
      <c r="I22" s="102"/>
      <c r="J22" s="102"/>
      <c r="K22" s="102"/>
      <c r="L22" s="255"/>
      <c r="M22" s="253" t="str">
        <f>IFERROR(M20/K20-1,"")</f>
        <v/>
      </c>
      <c r="N22" s="102" t="str">
        <f>IFERROR(N20/M20-1,"")</f>
        <v/>
      </c>
      <c r="O22" s="102" t="str">
        <f>IFERROR(O20/N20-1,"")</f>
        <v/>
      </c>
      <c r="P22" s="102">
        <f>IFERROR(P20/O20-1,"")</f>
        <v>0.30913171830985897</v>
      </c>
      <c r="Q22" s="255"/>
      <c r="R22" s="253">
        <f>IFERROR(R20/P20-1,"")</f>
        <v>0.16333360416474463</v>
      </c>
      <c r="S22" s="102">
        <f>IFERROR(S20/R20-1,"")</f>
        <v>0.23508229407344139</v>
      </c>
      <c r="T22" s="102">
        <f>IFERROR(T20/S20-1,"")</f>
        <v>9.814984584178621E-2</v>
      </c>
      <c r="U22" s="102">
        <f>IFERROR(U20/T20-1,"")</f>
        <v>0.29952183321045656</v>
      </c>
      <c r="V22" s="255"/>
      <c r="W22" s="253">
        <f>IFERROR(W20/U20-1,"")</f>
        <v>0.54384482567818093</v>
      </c>
      <c r="X22" s="102">
        <f>IFERROR(X20/W20-1,"")</f>
        <v>0.12790889050404264</v>
      </c>
      <c r="Y22" s="102">
        <f>IFERROR(Y20/X20-1,"")</f>
        <v>5.3104147617062614E-2</v>
      </c>
      <c r="Z22" s="102">
        <f>IFERROR(Z20/Y20-1,"")</f>
        <v>4.6701386887062268E-2</v>
      </c>
      <c r="AA22" s="255"/>
      <c r="AB22" s="253">
        <f>IFERROR(AB20/Z20-1,"")</f>
        <v>9.7021411114916356E-2</v>
      </c>
      <c r="AC22" s="102">
        <f>IFERROR(AC20/AB20-1,"")</f>
        <v>8.3253191992036291E-2</v>
      </c>
      <c r="AD22" s="102">
        <f>IFERROR(AD20/AC20-1,"")</f>
        <v>7.1231669423907018E-2</v>
      </c>
      <c r="AE22" s="102">
        <f>IFERROR(AE20/AD20-1,"")</f>
        <v>6.2140492218274446E-2</v>
      </c>
      <c r="AF22" s="255"/>
      <c r="AG22" s="253">
        <f>IFERROR(AG20/AE20-1,"")</f>
        <v>4.4108715687452893E-2</v>
      </c>
      <c r="AH22" s="102">
        <f>IFERROR(AH20/AG20-1,"")</f>
        <v>3.8587201132718851E-2</v>
      </c>
      <c r="AI22" s="102">
        <f>IFERROR(AI20/AH20-1,"")</f>
        <v>3.2630344804752243E-2</v>
      </c>
      <c r="AJ22" s="102">
        <f>IFERROR(AJ20/AI20-1,"")</f>
        <v>2.8432796837413177E-2</v>
      </c>
      <c r="AK22" s="255"/>
    </row>
    <row r="23" spans="1:37" s="289" customFormat="1" ht="12.75" customHeight="1">
      <c r="A23" s="283"/>
      <c r="B23" s="433" t="s">
        <v>396</v>
      </c>
      <c r="C23" s="656"/>
      <c r="D23" s="288"/>
      <c r="E23" s="288"/>
      <c r="F23" s="288"/>
      <c r="G23" s="785"/>
      <c r="H23" s="287"/>
      <c r="I23" s="288"/>
      <c r="J23" s="288"/>
      <c r="K23" s="288"/>
      <c r="L23" s="785"/>
      <c r="M23" s="287"/>
      <c r="N23" s="288"/>
      <c r="O23" s="288">
        <f>O28+AVERAGE(N115:O115)</f>
        <v>6782.4975000000004</v>
      </c>
      <c r="P23" s="288">
        <f>AVERAGE(O20:P20)</f>
        <v>7685.0789999999997</v>
      </c>
      <c r="Q23" s="785">
        <f>P23</f>
        <v>7685.0789999999997</v>
      </c>
      <c r="R23" s="288">
        <f>AVERAGE(Q20:R20)</f>
        <v>9425.5450000000001</v>
      </c>
      <c r="S23" s="288">
        <f>AVERAGE(R20:S20)</f>
        <v>11328.717999999999</v>
      </c>
      <c r="T23" s="288">
        <f>AVERAGE(S20:T20)</f>
        <v>13134.684499999999</v>
      </c>
      <c r="U23" s="288">
        <f>AVERAGE(T20:U20)</f>
        <v>15808.195064910698</v>
      </c>
      <c r="V23" s="785">
        <f>U23</f>
        <v>15808.195064910698</v>
      </c>
      <c r="W23" s="288">
        <f>AVERAGE(V20:W20)</f>
        <v>22725.787693982296</v>
      </c>
      <c r="X23" s="288">
        <f>AVERAGE(W20:X20)</f>
        <v>29348.438878817942</v>
      </c>
      <c r="Y23" s="288">
        <f>AVERAGE(X20:Y20)</f>
        <v>31938.680953632858</v>
      </c>
      <c r="Z23" s="288">
        <f>AVERAGE(Y20:Z20)</f>
        <v>33529.864844222335</v>
      </c>
      <c r="AA23" s="785">
        <f>Z23</f>
        <v>33529.864844222335</v>
      </c>
      <c r="AB23" s="288">
        <f>AVERAGE(AA20:AB20)</f>
        <v>35958.617273291427</v>
      </c>
      <c r="AC23" s="288">
        <f>AVERAGE(AB20:AC20)</f>
        <v>39188.377101628648</v>
      </c>
      <c r="AD23" s="288">
        <f>AVERAGE(AC20:AD20)</f>
        <v>42205.969224328692</v>
      </c>
      <c r="AE23" s="288">
        <f>AVERAGE(AD20:AE20)</f>
        <v>45013.921957810897</v>
      </c>
      <c r="AF23" s="785">
        <f>AE23</f>
        <v>45013.921957810897</v>
      </c>
      <c r="AG23" s="288">
        <f>AVERAGE(AF20:AG20)</f>
        <v>47393.039146553288</v>
      </c>
      <c r="AH23" s="288">
        <f>AVERAGE(AG20:AH20)</f>
        <v>49349.821217940065</v>
      </c>
      <c r="AI23" s="288">
        <f>AVERAGE(AH20:AI20)</f>
        <v>51104.32560828951</v>
      </c>
      <c r="AJ23" s="288">
        <f>AVERAGE(AI20:AJ20)</f>
        <v>52662.899129446982</v>
      </c>
      <c r="AK23" s="785">
        <f>AJ23</f>
        <v>52662.899129446982</v>
      </c>
    </row>
    <row r="24" spans="1:37" s="269" customFormat="1" ht="12.75" customHeight="1">
      <c r="A24" s="416"/>
      <c r="B24" s="479"/>
      <c r="C24" s="655"/>
      <c r="D24" s="290"/>
      <c r="E24" s="290"/>
      <c r="F24" s="290"/>
      <c r="G24" s="254"/>
      <c r="H24" s="293"/>
      <c r="I24" s="290"/>
      <c r="J24" s="290"/>
      <c r="K24" s="290"/>
      <c r="L24" s="254"/>
      <c r="M24" s="293"/>
      <c r="N24" s="290"/>
      <c r="O24" s="290"/>
      <c r="P24" s="290"/>
      <c r="Q24" s="254"/>
      <c r="R24" s="290"/>
      <c r="S24" s="290"/>
      <c r="T24" s="290"/>
      <c r="U24" s="290"/>
      <c r="V24" s="254"/>
      <c r="W24" s="290"/>
      <c r="X24" s="290"/>
      <c r="Y24" s="290"/>
      <c r="Z24" s="290"/>
      <c r="AA24" s="254"/>
      <c r="AB24" s="290"/>
      <c r="AC24" s="290"/>
      <c r="AD24" s="290"/>
      <c r="AE24" s="290"/>
      <c r="AF24" s="254"/>
      <c r="AG24" s="290"/>
      <c r="AH24" s="290"/>
      <c r="AI24" s="290"/>
      <c r="AJ24" s="290"/>
      <c r="AK24" s="254"/>
    </row>
    <row r="25" spans="1:37" s="289" customFormat="1" ht="12.75" customHeight="1">
      <c r="A25" s="283"/>
      <c r="B25" s="476" t="s">
        <v>393</v>
      </c>
      <c r="C25" s="371"/>
      <c r="D25" s="371"/>
      <c r="E25" s="371"/>
      <c r="F25" s="371"/>
      <c r="G25" s="495"/>
      <c r="H25" s="371"/>
      <c r="I25" s="371"/>
      <c r="J25" s="371"/>
      <c r="K25" s="491"/>
      <c r="L25" s="495"/>
      <c r="M25" s="371"/>
      <c r="N25" s="371"/>
      <c r="O25" s="491">
        <f>O31-O59</f>
        <v>7268.4670000000006</v>
      </c>
      <c r="P25" s="491">
        <f>P31-P59</f>
        <v>9679.1389999999992</v>
      </c>
      <c r="Q25" s="370">
        <f>P25</f>
        <v>9679.1389999999992</v>
      </c>
      <c r="R25" s="491">
        <f>R31-R59</f>
        <v>11536.739000000001</v>
      </c>
      <c r="S25" s="491">
        <f>S31-S59</f>
        <v>14473.860999999997</v>
      </c>
      <c r="T25" s="491">
        <f>T31-T59</f>
        <v>16323.693000000003</v>
      </c>
      <c r="U25" s="491">
        <f>U31-U59</f>
        <v>21227.002005105001</v>
      </c>
      <c r="V25" s="370">
        <f>U25</f>
        <v>21227.002005105001</v>
      </c>
      <c r="W25" s="491">
        <f>W31-W59</f>
        <v>32119.616597035005</v>
      </c>
      <c r="X25" s="491">
        <f>X31-X59</f>
        <v>37028.571877643</v>
      </c>
      <c r="Y25" s="491">
        <f>Y31-Y59</f>
        <v>40194.023562031398</v>
      </c>
      <c r="Z25" s="491">
        <f>Z31-Z59</f>
        <v>43370.37781767195</v>
      </c>
      <c r="AA25" s="370">
        <f>Z25</f>
        <v>43370.37781767195</v>
      </c>
      <c r="AB25" s="491">
        <f>AB31-AB59</f>
        <v>48561.054171978445</v>
      </c>
      <c r="AC25" s="491">
        <f>AC31-AC59</f>
        <v>53774.733979095035</v>
      </c>
      <c r="AD25" s="491">
        <f>AD31-AD59</f>
        <v>58977.020058481467</v>
      </c>
      <c r="AE25" s="491">
        <f>AE31-AE59</f>
        <v>64208.275695646436</v>
      </c>
      <c r="AF25" s="370">
        <f>AE25</f>
        <v>64208.275695646436</v>
      </c>
      <c r="AG25" s="491">
        <f>AG31-AG59</f>
        <v>68958.726537794966</v>
      </c>
      <c r="AH25" s="491">
        <f>AH31-AH59</f>
        <v>73732.005159465218</v>
      </c>
      <c r="AI25" s="491">
        <f>AI31-AI59</f>
        <v>78476.627583505571</v>
      </c>
      <c r="AJ25" s="491">
        <f>AJ31-AJ59</f>
        <v>83257.190805859602</v>
      </c>
      <c r="AK25" s="370">
        <f>AJ25</f>
        <v>83257.190805859602</v>
      </c>
    </row>
    <row r="26" spans="1:37" s="298" customFormat="1" ht="12.75" customHeight="1">
      <c r="A26" s="1088"/>
      <c r="B26" s="433" t="s">
        <v>31</v>
      </c>
      <c r="C26" s="102"/>
      <c r="D26" s="102"/>
      <c r="E26" s="102"/>
      <c r="F26" s="102"/>
      <c r="G26" s="254"/>
      <c r="H26" s="102"/>
      <c r="I26" s="102"/>
      <c r="J26" s="102"/>
      <c r="K26" s="102"/>
      <c r="L26" s="254"/>
      <c r="M26" s="102" t="str">
        <f t="shared" ref="M26:AF26" si="6">IFERROR(M25/H25-1,"")</f>
        <v/>
      </c>
      <c r="N26" s="102" t="str">
        <f t="shared" si="6"/>
        <v/>
      </c>
      <c r="O26" s="102" t="str">
        <f t="shared" si="6"/>
        <v/>
      </c>
      <c r="P26" s="948"/>
      <c r="Q26" s="254" t="str">
        <f t="shared" si="6"/>
        <v/>
      </c>
      <c r="R26" s="948"/>
      <c r="S26" s="102" t="str">
        <f t="shared" si="6"/>
        <v/>
      </c>
      <c r="T26" s="102">
        <f t="shared" si="6"/>
        <v>1.245823362753109</v>
      </c>
      <c r="U26" s="102">
        <f t="shared" si="6"/>
        <v>1.1930671731344082</v>
      </c>
      <c r="V26" s="254">
        <f t="shared" si="6"/>
        <v>1.1930671731344082</v>
      </c>
      <c r="W26" s="102">
        <f t="shared" si="6"/>
        <v>1.784115736434273</v>
      </c>
      <c r="X26" s="102">
        <f t="shared" si="6"/>
        <v>1.5583064448140691</v>
      </c>
      <c r="Y26" s="102">
        <f t="shared" si="6"/>
        <v>1.4623119022166975</v>
      </c>
      <c r="Z26" s="102">
        <f t="shared" si="6"/>
        <v>1.0431701946059819</v>
      </c>
      <c r="AA26" s="254">
        <f t="shared" si="6"/>
        <v>1.0431701946059819</v>
      </c>
      <c r="AB26" s="102">
        <f t="shared" si="6"/>
        <v>0.51188150161360157</v>
      </c>
      <c r="AC26" s="102">
        <f t="shared" si="6"/>
        <v>0.45224974262545037</v>
      </c>
      <c r="AD26" s="102">
        <f t="shared" si="6"/>
        <v>0.46730819240980659</v>
      </c>
      <c r="AE26" s="102">
        <f t="shared" si="6"/>
        <v>0.48046383099489054</v>
      </c>
      <c r="AF26" s="254">
        <f t="shared" si="6"/>
        <v>0.48046383099489054</v>
      </c>
      <c r="AG26" s="102">
        <f>IFERROR(AG25/AB25-1,"")</f>
        <v>0.42004179508909312</v>
      </c>
      <c r="AH26" s="102">
        <f>IFERROR(AH25/AC25-1,"")</f>
        <v>0.37112728792165828</v>
      </c>
      <c r="AI26" s="102">
        <f>IFERROR(AI25/AD25-1,"")</f>
        <v>0.33063059994703603</v>
      </c>
      <c r="AJ26" s="102">
        <f>IFERROR(AJ25/AE25-1,"")</f>
        <v>0.29667383065240527</v>
      </c>
      <c r="AK26" s="254">
        <f>IFERROR(AK25/AF25-1,"")</f>
        <v>0.29667383065240527</v>
      </c>
    </row>
    <row r="27" spans="1:37" ht="12.75" customHeight="1">
      <c r="B27" s="433" t="s">
        <v>33</v>
      </c>
      <c r="C27" s="616"/>
      <c r="D27" s="102"/>
      <c r="E27" s="102"/>
      <c r="F27" s="102"/>
      <c r="G27" s="255"/>
      <c r="H27" s="253"/>
      <c r="I27" s="102"/>
      <c r="J27" s="102"/>
      <c r="K27" s="102"/>
      <c r="L27" s="255"/>
      <c r="M27" s="253" t="str">
        <f>IFERROR(M25/K25-1,"")</f>
        <v/>
      </c>
      <c r="N27" s="102" t="str">
        <f>IFERROR(N25/M25-1,"")</f>
        <v/>
      </c>
      <c r="O27" s="102" t="str">
        <f>IFERROR(O25/N25-1,"")</f>
        <v/>
      </c>
      <c r="P27" s="102">
        <f>IFERROR(P25/O25-1,"")</f>
        <v>0.33166168326828727</v>
      </c>
      <c r="Q27" s="255"/>
      <c r="R27" s="253">
        <f>IFERROR(R25/P25-1,"")</f>
        <v>0.19191789682945992</v>
      </c>
      <c r="S27" s="102">
        <f>IFERROR(S25/R25-1,"")</f>
        <v>0.25458858001381457</v>
      </c>
      <c r="T27" s="102">
        <f>IFERROR(T25/S25-1,"")</f>
        <v>0.12780501346530859</v>
      </c>
      <c r="U27" s="102">
        <f>IFERROR(U25/T25-1,"")</f>
        <v>0.30037988371289503</v>
      </c>
      <c r="V27" s="255"/>
      <c r="W27" s="253">
        <f>IFERROR(W25/U25-1,"")</f>
        <v>0.51314898775203277</v>
      </c>
      <c r="X27" s="102">
        <f>IFERROR(X25/W25-1,"")</f>
        <v>0.15283355782836927</v>
      </c>
      <c r="Y27" s="102">
        <f>IFERROR(Y25/X25-1,"")</f>
        <v>8.54867342669412E-2</v>
      </c>
      <c r="Z27" s="102">
        <f>IFERROR(Z25/Y25-1,"")</f>
        <v>7.9025535991401386E-2</v>
      </c>
      <c r="AA27" s="255"/>
      <c r="AB27" s="253">
        <f>IFERROR(AB25/Z25-1,"")</f>
        <v>0.11968252561985926</v>
      </c>
      <c r="AC27" s="102">
        <f>IFERROR(AC25/AB25-1,"")</f>
        <v>0.1073633984273159</v>
      </c>
      <c r="AD27" s="102">
        <f>IFERROR(AD25/AC25-1,"")</f>
        <v>9.6742200182874383E-2</v>
      </c>
      <c r="AE27" s="102">
        <f>IFERROR(AE25/AD25-1,"")</f>
        <v>8.8699897552939611E-2</v>
      </c>
      <c r="AF27" s="255"/>
      <c r="AG27" s="253">
        <f>IFERROR(AG25/AE25-1,"")</f>
        <v>7.3985024370785801E-2</v>
      </c>
      <c r="AH27" s="102">
        <f>IFERROR(AH25/AG25-1,"")</f>
        <v>6.9219355712059283E-2</v>
      </c>
      <c r="AI27" s="102">
        <f>IFERROR(AI25/AH25-1,"")</f>
        <v>6.4349564531424708E-2</v>
      </c>
      <c r="AJ27" s="102">
        <f>IFERROR(AJ25/AI25-1,"")</f>
        <v>6.0917031854702541E-2</v>
      </c>
      <c r="AK27" s="255"/>
    </row>
    <row r="28" spans="1:37" s="1113" customFormat="1" ht="12.75" customHeight="1">
      <c r="A28" s="283"/>
      <c r="B28" s="433" t="s">
        <v>394</v>
      </c>
      <c r="C28" s="655"/>
      <c r="D28" s="290"/>
      <c r="E28" s="290"/>
      <c r="F28" s="290"/>
      <c r="G28" s="410"/>
      <c r="H28" s="293"/>
      <c r="I28" s="290"/>
      <c r="J28" s="290"/>
      <c r="K28" s="290"/>
      <c r="L28" s="410"/>
      <c r="M28" s="293"/>
      <c r="N28" s="290"/>
      <c r="O28" s="290">
        <f>AVERAGE(O25,N25)</f>
        <v>7268.4670000000006</v>
      </c>
      <c r="P28" s="290">
        <f>AVERAGE(P25,O25)</f>
        <v>8473.8029999999999</v>
      </c>
      <c r="Q28" s="410">
        <f>AVERAGE(Q25,L25)</f>
        <v>9679.1389999999992</v>
      </c>
      <c r="R28" s="290">
        <f>AVERAGE(R25,Q25)</f>
        <v>10607.939</v>
      </c>
      <c r="S28" s="290">
        <f>AVERAGE(S25,R25)</f>
        <v>13005.3</v>
      </c>
      <c r="T28" s="290">
        <f>AVERAGE(T25,S25)</f>
        <v>15398.777</v>
      </c>
      <c r="U28" s="290">
        <f>AVERAGE(U25,T25)</f>
        <v>18775.347502552504</v>
      </c>
      <c r="V28" s="410">
        <f>AVERAGE(V25,Q25)</f>
        <v>15453.0705025525</v>
      </c>
      <c r="W28" s="290">
        <f>AVERAGE(W25,V25)</f>
        <v>26673.309301070003</v>
      </c>
      <c r="X28" s="290">
        <f>AVERAGE(X25,W25)</f>
        <v>34574.094237338999</v>
      </c>
      <c r="Y28" s="290">
        <f>AVERAGE(Y25,X25)</f>
        <v>38611.297719837195</v>
      </c>
      <c r="Z28" s="290">
        <f>AVERAGE(Z25,Y25)</f>
        <v>41782.20068985167</v>
      </c>
      <c r="AA28" s="410">
        <f>AVERAGE(AA25,V25)</f>
        <v>32298.689911388476</v>
      </c>
      <c r="AB28" s="290">
        <f>AVERAGE(AB25,AA25)</f>
        <v>45965.715994825194</v>
      </c>
      <c r="AC28" s="290">
        <f>AVERAGE(AC25,AB25)</f>
        <v>51167.894075536737</v>
      </c>
      <c r="AD28" s="290">
        <f>AVERAGE(AD25,AC25)</f>
        <v>56375.877018788247</v>
      </c>
      <c r="AE28" s="290">
        <f>AVERAGE(AE25,AD25)</f>
        <v>61592.647877063951</v>
      </c>
      <c r="AF28" s="410">
        <f>AVERAGE(AF25,AA25)</f>
        <v>53789.326756659197</v>
      </c>
      <c r="AG28" s="290">
        <f>AVERAGE(AG25,AF25)</f>
        <v>66583.501116720698</v>
      </c>
      <c r="AH28" s="290">
        <f>AVERAGE(AH25,AG25)</f>
        <v>71345.365848630085</v>
      </c>
      <c r="AI28" s="290">
        <f>AVERAGE(AI25,AH25)</f>
        <v>76104.316371485387</v>
      </c>
      <c r="AJ28" s="290">
        <f>AVERAGE(AJ25,AI25)</f>
        <v>80866.909194682579</v>
      </c>
      <c r="AK28" s="410">
        <f>AVERAGE(AK25,AF25)</f>
        <v>73732.733250753023</v>
      </c>
    </row>
    <row r="29" spans="1:37" ht="12.75" customHeight="1">
      <c r="B29" s="411"/>
      <c r="C29" s="412"/>
      <c r="D29" s="241"/>
      <c r="E29" s="241"/>
      <c r="F29" s="241"/>
      <c r="G29" s="949"/>
      <c r="H29" s="412"/>
      <c r="I29" s="241"/>
      <c r="J29" s="241"/>
      <c r="K29" s="241"/>
      <c r="L29" s="949"/>
      <c r="M29" s="412"/>
      <c r="N29" s="241"/>
      <c r="O29" s="241"/>
      <c r="P29" s="241"/>
      <c r="Q29" s="949"/>
      <c r="R29" s="228"/>
      <c r="S29" s="239"/>
      <c r="T29" s="239"/>
      <c r="U29" s="239"/>
      <c r="V29" s="949"/>
      <c r="W29" s="228"/>
      <c r="X29" s="239"/>
      <c r="Y29" s="239"/>
      <c r="Z29" s="239"/>
      <c r="AA29" s="949"/>
      <c r="AB29" s="228"/>
      <c r="AC29" s="239"/>
      <c r="AD29" s="239"/>
      <c r="AE29" s="239"/>
      <c r="AF29" s="949"/>
      <c r="AG29" s="228"/>
      <c r="AH29" s="239"/>
      <c r="AI29" s="239"/>
      <c r="AJ29" s="239"/>
      <c r="AK29" s="949"/>
    </row>
    <row r="30" spans="1:37" ht="12.75" customHeight="1">
      <c r="B30" s="411" t="s">
        <v>621</v>
      </c>
      <c r="C30" s="412"/>
      <c r="D30" s="241"/>
      <c r="E30" s="241"/>
      <c r="F30" s="241"/>
      <c r="G30" s="949"/>
      <c r="H30" s="412"/>
      <c r="I30" s="241"/>
      <c r="J30" s="241"/>
      <c r="K30" s="241"/>
      <c r="L30" s="949"/>
      <c r="M30" s="412"/>
      <c r="N30" s="241"/>
      <c r="O30" s="241"/>
      <c r="P30" s="241"/>
      <c r="Q30" s="949"/>
      <c r="R30" s="228"/>
      <c r="S30" s="239"/>
      <c r="T30" s="239"/>
      <c r="U30" s="239"/>
      <c r="V30" s="949"/>
      <c r="W30" s="228"/>
      <c r="X30" s="239"/>
      <c r="Y30" s="239"/>
      <c r="Z30" s="239"/>
      <c r="AA30" s="949"/>
      <c r="AB30" s="228"/>
      <c r="AC30" s="239"/>
      <c r="AD30" s="239"/>
      <c r="AE30" s="239"/>
      <c r="AF30" s="949"/>
      <c r="AG30" s="228"/>
      <c r="AH30" s="239"/>
      <c r="AI30" s="239"/>
      <c r="AJ30" s="239"/>
      <c r="AK30" s="949"/>
    </row>
    <row r="31" spans="1:37" s="955" customFormat="1" ht="12.75" hidden="1" customHeight="1" outlineLevel="1">
      <c r="A31" s="1110"/>
      <c r="B31" s="958" t="str">
        <f>BS!B20</f>
        <v>Property, Plant, and Equipment, Gross</v>
      </c>
      <c r="C31" s="951"/>
      <c r="D31" s="952"/>
      <c r="E31" s="952"/>
      <c r="F31" s="952"/>
      <c r="G31" s="953"/>
      <c r="H31" s="954"/>
      <c r="I31" s="954"/>
      <c r="J31" s="954"/>
      <c r="K31" s="954"/>
      <c r="L31" s="953"/>
      <c r="M31" s="1012">
        <f>BS!M20</f>
        <v>5268.2150000000001</v>
      </c>
      <c r="N31" s="1012">
        <f>BS!N20</f>
        <v>7385.5522000000001</v>
      </c>
      <c r="O31" s="1012">
        <f>BS!O20</f>
        <v>9728.8070000000007</v>
      </c>
      <c r="P31" s="1012">
        <f>BS!P20</f>
        <v>12880.004999999999</v>
      </c>
      <c r="Q31" s="508">
        <f>BS!Q20</f>
        <v>12880.004999999999</v>
      </c>
      <c r="R31" s="1012">
        <f>BS!R20</f>
        <v>15610.549000000001</v>
      </c>
      <c r="S31" s="1012">
        <f>BS!S20</f>
        <v>18585.116999999998</v>
      </c>
      <c r="T31" s="1012">
        <f>BS!T20</f>
        <v>23233.759000000002</v>
      </c>
      <c r="U31" s="1012">
        <f>BS!U20</f>
        <v>31592.101005105003</v>
      </c>
      <c r="V31" s="508">
        <f>BS!V20</f>
        <v>31592.101005105003</v>
      </c>
      <c r="W31" s="1012">
        <f>BS!W20</f>
        <v>40411.695797035005</v>
      </c>
      <c r="X31" s="1012">
        <f>BS!X20</f>
        <v>45486.492661643002</v>
      </c>
      <c r="Y31" s="1012">
        <f>BS!Y20</f>
        <v>49074.8403852314</v>
      </c>
      <c r="Z31" s="1012">
        <f>BS!Z20</f>
        <v>52517.619145567951</v>
      </c>
      <c r="AA31" s="508">
        <f>BS!AA20</f>
        <v>52517.619145567951</v>
      </c>
      <c r="AB31" s="1012">
        <f>BS!AB20</f>
        <v>56793.571367084849</v>
      </c>
      <c r="AC31" s="1012">
        <f>BS!AC20</f>
        <v>63653.754613222722</v>
      </c>
      <c r="AD31" s="1012">
        <f>BS!AD20</f>
        <v>69349.991724315536</v>
      </c>
      <c r="AE31" s="1012">
        <f>BS!AE20</f>
        <v>75307.355378088891</v>
      </c>
      <c r="AF31" s="508">
        <f>BS!AF20</f>
        <v>75307.355378088891</v>
      </c>
      <c r="AG31" s="1012">
        <f>BS!AG20</f>
        <v>80834.741798008385</v>
      </c>
      <c r="AH31" s="1012">
        <f>BS!AH20</f>
        <v>87151.902403506392</v>
      </c>
      <c r="AI31" s="1012">
        <f>BS!AI20</f>
        <v>93641.111469272088</v>
      </c>
      <c r="AJ31" s="1012">
        <f>BS!AJ20</f>
        <v>100089.76791906044</v>
      </c>
      <c r="AK31" s="508">
        <f>BS!AK20</f>
        <v>100089.76791906044</v>
      </c>
    </row>
    <row r="32" spans="1:37" s="956" customFormat="1" ht="12.75" hidden="1" customHeight="1" outlineLevel="1">
      <c r="A32" s="1110"/>
      <c r="B32" s="958" t="str">
        <f>BS!B22</f>
        <v>Property and Equipment, Net</v>
      </c>
      <c r="C32" s="951"/>
      <c r="D32" s="952"/>
      <c r="E32" s="952"/>
      <c r="F32" s="952"/>
      <c r="G32" s="953"/>
      <c r="H32" s="954"/>
      <c r="I32" s="954"/>
      <c r="J32" s="954"/>
      <c r="K32" s="954"/>
      <c r="L32" s="953"/>
      <c r="M32" s="1012">
        <f>BS!M22</f>
        <v>5072.433</v>
      </c>
      <c r="N32" s="1012">
        <f>BS!N22</f>
        <v>7025.8302000000003</v>
      </c>
      <c r="O32" s="1012">
        <f>BS!O22</f>
        <v>9116.59</v>
      </c>
      <c r="P32" s="1012">
        <f>BS!P22</f>
        <v>11914.773999999999</v>
      </c>
      <c r="Q32" s="508">
        <f>BS!Q22</f>
        <v>11914.773999999999</v>
      </c>
      <c r="R32" s="1012">
        <f>BS!R22</f>
        <v>14210.992</v>
      </c>
      <c r="S32" s="1012">
        <f>BS!S22</f>
        <v>16631.509999999998</v>
      </c>
      <c r="T32" s="1012">
        <f>BS!T22</f>
        <v>20659.181</v>
      </c>
      <c r="U32" s="1012">
        <f>BS!U22</f>
        <v>28232.374129821394</v>
      </c>
      <c r="V32" s="508">
        <f>BS!V22</f>
        <v>28232.374129821394</v>
      </c>
      <c r="W32" s="1012">
        <f>BS!W22</f>
        <v>35876.379458143201</v>
      </c>
      <c r="X32" s="1012">
        <f>BS!X22</f>
        <v>39570.498283492678</v>
      </c>
      <c r="Y32" s="1012">
        <f>BS!Y22</f>
        <v>41645.601230973043</v>
      </c>
      <c r="Z32" s="1012">
        <f>BS!Z22</f>
        <v>43442.18660856763</v>
      </c>
      <c r="AA32" s="508">
        <f>BS!AA22</f>
        <v>43442.18660856763</v>
      </c>
      <c r="AB32" s="1012">
        <f>BS!AB22</f>
        <v>45854.806461017637</v>
      </c>
      <c r="AC32" s="1012">
        <f>BS!AC22</f>
        <v>50633.485571473757</v>
      </c>
      <c r="AD32" s="1012">
        <f>BS!AD22</f>
        <v>54030.445177145382</v>
      </c>
      <c r="AE32" s="1012">
        <f>BS!AE22</f>
        <v>57469.450086752942</v>
      </c>
      <c r="AF32" s="508">
        <f>BS!AF22</f>
        <v>57469.450086752942</v>
      </c>
      <c r="AG32" s="1012">
        <f>BS!AG22</f>
        <v>60291.723149009515</v>
      </c>
      <c r="AH32" s="1012">
        <f>BS!AH22</f>
        <v>63703.831791125209</v>
      </c>
      <c r="AI32" s="1012">
        <f>BS!AI22</f>
        <v>67089.200555261501</v>
      </c>
      <c r="AJ32" s="1012">
        <f>BS!AJ22</f>
        <v>70233.658702599816</v>
      </c>
      <c r="AK32" s="508">
        <f>BS!AK22</f>
        <v>70233.658702599816</v>
      </c>
    </row>
    <row r="33" spans="1:37" s="269" customFormat="1" ht="12.75" customHeight="1" collapsed="1">
      <c r="A33" s="416"/>
      <c r="B33" s="479"/>
      <c r="C33" s="655"/>
      <c r="D33" s="290"/>
      <c r="E33" s="290"/>
      <c r="F33" s="290"/>
      <c r="G33" s="254"/>
      <c r="H33" s="293"/>
      <c r="I33" s="290"/>
      <c r="J33" s="290"/>
      <c r="K33" s="290"/>
      <c r="L33" s="254"/>
      <c r="M33" s="293"/>
      <c r="N33" s="290"/>
      <c r="O33" s="290"/>
      <c r="P33" s="290"/>
      <c r="Q33" s="254"/>
      <c r="R33" s="293"/>
      <c r="S33" s="290"/>
      <c r="T33" s="1360"/>
      <c r="U33" s="290"/>
      <c r="V33" s="254"/>
      <c r="W33" s="293"/>
      <c r="X33" s="290"/>
      <c r="Y33" s="290"/>
      <c r="Z33" s="290"/>
      <c r="AA33" s="254"/>
      <c r="AB33" s="293"/>
      <c r="AC33" s="290"/>
      <c r="AD33" s="290"/>
      <c r="AE33" s="290"/>
      <c r="AF33" s="254"/>
      <c r="AG33" s="293"/>
      <c r="AH33" s="290"/>
      <c r="AI33" s="290"/>
      <c r="AJ33" s="290"/>
      <c r="AK33" s="254"/>
    </row>
    <row r="34" spans="1:37" s="289" customFormat="1" ht="12.75" customHeight="1">
      <c r="A34" s="283" t="s">
        <v>619</v>
      </c>
      <c r="B34" s="468" t="s">
        <v>616</v>
      </c>
      <c r="C34" s="782"/>
      <c r="D34" s="782"/>
      <c r="E34" s="782"/>
      <c r="F34" s="782"/>
      <c r="G34" s="783"/>
      <c r="H34" s="782"/>
      <c r="I34" s="782"/>
      <c r="J34" s="782"/>
      <c r="K34" s="487"/>
      <c r="L34" s="783"/>
      <c r="M34" s="782">
        <v>1100</v>
      </c>
      <c r="N34" s="782">
        <v>2600</v>
      </c>
      <c r="O34" s="782">
        <v>2200</v>
      </c>
      <c r="P34" s="782">
        <v>2400</v>
      </c>
      <c r="Q34" s="784">
        <f>SUM(M34:P34)</f>
        <v>8300</v>
      </c>
      <c r="R34" s="782">
        <v>1900</v>
      </c>
      <c r="S34" s="782">
        <v>2900</v>
      </c>
      <c r="T34" s="782">
        <v>1900</v>
      </c>
      <c r="U34" s="487">
        <f>U46-U66+U73</f>
        <v>6323.3330051049988</v>
      </c>
      <c r="V34" s="784">
        <f>SUM(R34:U34)</f>
        <v>13023.333005105</v>
      </c>
      <c r="W34" s="487">
        <f>W46-W66+W73</f>
        <v>12383.63979193</v>
      </c>
      <c r="X34" s="487">
        <f>X46-X66+X73</f>
        <v>6399.9804806079992</v>
      </c>
      <c r="Y34" s="487">
        <f>Y46-Y66+Y73</f>
        <v>4656.4768843884003</v>
      </c>
      <c r="Z34" s="487">
        <f>Z46-Z66+Z73</f>
        <v>4667.3794556405519</v>
      </c>
      <c r="AA34" s="784">
        <f>SUM(W34:Z34)</f>
        <v>28107.476612566952</v>
      </c>
      <c r="AB34" s="487">
        <f>AB46-AB66+AB73</f>
        <v>6681.7015543064927</v>
      </c>
      <c r="AC34" s="487">
        <f>AC46-AC66+AC73</f>
        <v>6704.7050071165922</v>
      </c>
      <c r="AD34" s="487">
        <f>AD46-AD66+AD73</f>
        <v>6693.311279386422</v>
      </c>
      <c r="AE34" s="487">
        <f>AE46-AE66+AE73</f>
        <v>6722.2808371649717</v>
      </c>
      <c r="AF34" s="784">
        <f>SUM(AB34:AE34)</f>
        <v>26801.99867797448</v>
      </c>
      <c r="AG34" s="487">
        <f>AG46-AG66+AG73</f>
        <v>6241.4760421485162</v>
      </c>
      <c r="AH34" s="487">
        <f>AH46-AH66+AH73</f>
        <v>6264.3038216702607</v>
      </c>
      <c r="AI34" s="487">
        <f>AI46-AI66+AI73</f>
        <v>6235.6476240403445</v>
      </c>
      <c r="AJ34" s="487">
        <f>AJ46-AJ66+AJ73</f>
        <v>6271.588422354037</v>
      </c>
      <c r="AK34" s="784">
        <f>SUM(AG34:AJ34)</f>
        <v>25013.015910213162</v>
      </c>
    </row>
    <row r="35" spans="1:37" s="298" customFormat="1" ht="12.75" customHeight="1">
      <c r="A35" s="1088" t="s">
        <v>618</v>
      </c>
      <c r="B35" s="433" t="s">
        <v>31</v>
      </c>
      <c r="C35" s="102"/>
      <c r="D35" s="102"/>
      <c r="E35" s="102"/>
      <c r="F35" s="102"/>
      <c r="G35" s="254"/>
      <c r="H35" s="102"/>
      <c r="I35" s="102"/>
      <c r="J35" s="102"/>
      <c r="K35" s="102"/>
      <c r="L35" s="254"/>
      <c r="M35" s="102" t="str">
        <f t="shared" ref="M35:AK35" si="7">IFERROR(M34/H34-1,"")</f>
        <v/>
      </c>
      <c r="N35" s="102" t="str">
        <f t="shared" si="7"/>
        <v/>
      </c>
      <c r="O35" s="102" t="str">
        <f t="shared" si="7"/>
        <v/>
      </c>
      <c r="P35" s="102" t="str">
        <f t="shared" si="7"/>
        <v/>
      </c>
      <c r="Q35" s="254" t="str">
        <f t="shared" si="7"/>
        <v/>
      </c>
      <c r="R35" s="102">
        <f t="shared" si="7"/>
        <v>0.72727272727272729</v>
      </c>
      <c r="S35" s="102">
        <f t="shared" si="7"/>
        <v>0.11538461538461542</v>
      </c>
      <c r="T35" s="102">
        <f>IFERROR(T34/O34-1,"")</f>
        <v>-0.13636363636363635</v>
      </c>
      <c r="U35" s="291">
        <f t="shared" si="7"/>
        <v>1.6347220854604161</v>
      </c>
      <c r="V35" s="254">
        <f t="shared" si="7"/>
        <v>0.56907626567530123</v>
      </c>
      <c r="W35" s="102">
        <f t="shared" si="7"/>
        <v>5.517705153647368</v>
      </c>
      <c r="X35" s="102">
        <f t="shared" si="7"/>
        <v>1.2068898208993102</v>
      </c>
      <c r="Y35" s="102">
        <f t="shared" si="7"/>
        <v>1.4507773075728423</v>
      </c>
      <c r="Z35" s="102">
        <f t="shared" si="7"/>
        <v>-0.26187985800013225</v>
      </c>
      <c r="AA35" s="254">
        <f t="shared" si="7"/>
        <v>1.1582398761936856</v>
      </c>
      <c r="AB35" s="102">
        <f t="shared" si="7"/>
        <v>-0.46044122192081749</v>
      </c>
      <c r="AC35" s="102">
        <f t="shared" si="7"/>
        <v>4.7613352483169447E-2</v>
      </c>
      <c r="AD35" s="102">
        <f t="shared" si="7"/>
        <v>0.4374196298121531</v>
      </c>
      <c r="AE35" s="102">
        <f t="shared" si="7"/>
        <v>0.44026876345806021</v>
      </c>
      <c r="AF35" s="254">
        <f t="shared" si="7"/>
        <v>-4.6445931542954288E-2</v>
      </c>
      <c r="AG35" s="102">
        <f t="shared" si="7"/>
        <v>-6.5885240246063126E-2</v>
      </c>
      <c r="AH35" s="102">
        <f t="shared" si="7"/>
        <v>-6.5685393313930307E-2</v>
      </c>
      <c r="AI35" s="102">
        <f t="shared" si="7"/>
        <v>-6.8376269419227143E-2</v>
      </c>
      <c r="AJ35" s="102">
        <f t="shared" si="7"/>
        <v>-6.704456801614489E-2</v>
      </c>
      <c r="AK35" s="254">
        <f t="shared" si="7"/>
        <v>-6.674811043966955E-2</v>
      </c>
    </row>
    <row r="36" spans="1:37" ht="12.75" customHeight="1">
      <c r="A36" s="416" t="s">
        <v>620</v>
      </c>
      <c r="B36" s="433" t="s">
        <v>33</v>
      </c>
      <c r="C36" s="616"/>
      <c r="D36" s="102"/>
      <c r="E36" s="102"/>
      <c r="F36" s="102"/>
      <c r="G36" s="255"/>
      <c r="H36" s="253"/>
      <c r="I36" s="102"/>
      <c r="J36" s="102"/>
      <c r="K36" s="102"/>
      <c r="L36" s="255"/>
      <c r="M36" s="253" t="str">
        <f>IFERROR(M34/K34-1,"")</f>
        <v/>
      </c>
      <c r="N36" s="102">
        <f>IFERROR(N34/M34-1,"")</f>
        <v>1.3636363636363638</v>
      </c>
      <c r="O36" s="102">
        <f>IFERROR(O34/N34-1,"")</f>
        <v>-0.15384615384615385</v>
      </c>
      <c r="P36" s="102">
        <f>IFERROR(P34/O34-1,"")</f>
        <v>9.0909090909090828E-2</v>
      </c>
      <c r="Q36" s="255"/>
      <c r="R36" s="253">
        <f>IFERROR(R34/P34-1,"")</f>
        <v>-0.20833333333333337</v>
      </c>
      <c r="S36" s="102">
        <f>IFERROR(S34/R34-1,"")</f>
        <v>0.52631578947368429</v>
      </c>
      <c r="T36" s="102">
        <f>IFERROR(T34/S34-1,"")</f>
        <v>-0.34482758620689657</v>
      </c>
      <c r="U36" s="291">
        <f>IFERROR(U34/T34-1,"")</f>
        <v>2.3280700026868413</v>
      </c>
      <c r="V36" s="255"/>
      <c r="W36" s="253">
        <f>IFERROR(W34/U34-1,"")</f>
        <v>0.95840386421723323</v>
      </c>
      <c r="X36" s="102">
        <f>IFERROR(X34/W34-1,"")</f>
        <v>-0.48319067833524598</v>
      </c>
      <c r="Y36" s="102">
        <f>IFERROR(Y34/X34-1,"")</f>
        <v>-0.27242326777439885</v>
      </c>
      <c r="Z36" s="102">
        <f>IFERROR(Z34/Y34-1,"")</f>
        <v>2.3413777245848699E-3</v>
      </c>
      <c r="AA36" s="255"/>
      <c r="AB36" s="253">
        <f>IFERROR(AB34/Z34-1,"")</f>
        <v>0.43157453080692254</v>
      </c>
      <c r="AC36" s="102">
        <f>IFERROR(AC34/AB34-1,"")</f>
        <v>3.4427537092365235E-3</v>
      </c>
      <c r="AD36" s="102">
        <f>IFERROR(AD34/AC34-1,"")</f>
        <v>-1.6993630171762142E-3</v>
      </c>
      <c r="AE36" s="102">
        <f>IFERROR(AE34/AD34-1,"")</f>
        <v>4.3281354428812424E-3</v>
      </c>
      <c r="AF36" s="255"/>
      <c r="AG36" s="253">
        <f>IFERROR(AG34/AE34-1,"")</f>
        <v>-7.1524056590772878E-2</v>
      </c>
      <c r="AH36" s="102">
        <f>IFERROR(AH34/AG34-1,"")</f>
        <v>3.6574328520351251E-3</v>
      </c>
      <c r="AI36" s="102">
        <f>IFERROR(AI34/AH34-1,"")</f>
        <v>-4.5745223165557514E-3</v>
      </c>
      <c r="AJ36" s="102">
        <f>IFERROR(AJ34/AI34-1,"")</f>
        <v>5.7637635223533046E-3</v>
      </c>
      <c r="AK36" s="255"/>
    </row>
    <row r="37" spans="1:37" s="269" customFormat="1" ht="12.75" customHeight="1">
      <c r="A37" s="416"/>
      <c r="B37" s="433" t="s">
        <v>384</v>
      </c>
      <c r="C37" s="608"/>
      <c r="D37" s="290"/>
      <c r="E37" s="290"/>
      <c r="F37" s="290"/>
      <c r="G37" s="410"/>
      <c r="H37" s="290"/>
      <c r="I37" s="290"/>
      <c r="J37" s="290"/>
      <c r="K37" s="290"/>
      <c r="L37" s="410"/>
      <c r="M37" s="290">
        <f t="shared" ref="M37:AK37" si="8">M34-H34</f>
        <v>1100</v>
      </c>
      <c r="N37" s="290">
        <f t="shared" si="8"/>
        <v>2600</v>
      </c>
      <c r="O37" s="290">
        <f t="shared" si="8"/>
        <v>2200</v>
      </c>
      <c r="P37" s="290">
        <f t="shared" si="8"/>
        <v>2400</v>
      </c>
      <c r="Q37" s="410">
        <f t="shared" si="8"/>
        <v>8300</v>
      </c>
      <c r="R37" s="290">
        <f t="shared" si="8"/>
        <v>800</v>
      </c>
      <c r="S37" s="290">
        <f t="shared" si="8"/>
        <v>300</v>
      </c>
      <c r="T37" s="290">
        <f t="shared" si="8"/>
        <v>-300</v>
      </c>
      <c r="U37" s="608">
        <f t="shared" si="8"/>
        <v>3923.3330051049988</v>
      </c>
      <c r="V37" s="410">
        <f t="shared" si="8"/>
        <v>4723.3330051049998</v>
      </c>
      <c r="W37" s="290">
        <f t="shared" si="8"/>
        <v>10483.63979193</v>
      </c>
      <c r="X37" s="290">
        <f t="shared" si="8"/>
        <v>3499.9804806079992</v>
      </c>
      <c r="Y37" s="290">
        <f t="shared" si="8"/>
        <v>2756.4768843884003</v>
      </c>
      <c r="Z37" s="290">
        <f t="shared" si="8"/>
        <v>-1655.953549464447</v>
      </c>
      <c r="AA37" s="410">
        <f t="shared" si="8"/>
        <v>15084.143607461952</v>
      </c>
      <c r="AB37" s="290">
        <f t="shared" si="8"/>
        <v>-5701.9382376235071</v>
      </c>
      <c r="AC37" s="290">
        <f t="shared" si="8"/>
        <v>304.72452650859304</v>
      </c>
      <c r="AD37" s="290">
        <f t="shared" si="8"/>
        <v>2036.8343949980217</v>
      </c>
      <c r="AE37" s="290">
        <f t="shared" si="8"/>
        <v>2054.9013815244198</v>
      </c>
      <c r="AF37" s="410">
        <f t="shared" si="8"/>
        <v>-1305.4779345924726</v>
      </c>
      <c r="AG37" s="290">
        <f t="shared" si="8"/>
        <v>-440.22551215797648</v>
      </c>
      <c r="AH37" s="290">
        <f t="shared" si="8"/>
        <v>-440.40118544633151</v>
      </c>
      <c r="AI37" s="290">
        <f t="shared" si="8"/>
        <v>-457.66365534607758</v>
      </c>
      <c r="AJ37" s="290">
        <f t="shared" si="8"/>
        <v>-450.69241481093468</v>
      </c>
      <c r="AK37" s="410">
        <f t="shared" si="8"/>
        <v>-1788.9827677613175</v>
      </c>
    </row>
    <row r="38" spans="1:37" s="269" customFormat="1" ht="12.75" customHeight="1">
      <c r="A38" s="416"/>
      <c r="B38" s="433" t="s">
        <v>385</v>
      </c>
      <c r="C38" s="655"/>
      <c r="D38" s="290"/>
      <c r="E38" s="290"/>
      <c r="F38" s="290"/>
      <c r="G38" s="254"/>
      <c r="H38" s="293"/>
      <c r="I38" s="290"/>
      <c r="J38" s="290"/>
      <c r="K38" s="290"/>
      <c r="L38" s="254"/>
      <c r="M38" s="293">
        <f>M34-K34</f>
        <v>1100</v>
      </c>
      <c r="N38" s="290">
        <f>N34-M34</f>
        <v>1500</v>
      </c>
      <c r="O38" s="290">
        <f>O34-N34</f>
        <v>-400</v>
      </c>
      <c r="P38" s="290">
        <f>P34-O34</f>
        <v>200</v>
      </c>
      <c r="Q38" s="254"/>
      <c r="R38" s="293">
        <f>R34-P34</f>
        <v>-500</v>
      </c>
      <c r="S38" s="290">
        <f>S34-R34</f>
        <v>1000</v>
      </c>
      <c r="T38" s="290">
        <f>T34-S34</f>
        <v>-1000</v>
      </c>
      <c r="U38" s="608">
        <f>U34-T34</f>
        <v>4423.3330051049988</v>
      </c>
      <c r="V38" s="254"/>
      <c r="W38" s="293">
        <f>W34-U34</f>
        <v>6060.3067868250009</v>
      </c>
      <c r="X38" s="290">
        <f>X34-W34</f>
        <v>-5983.6593113220006</v>
      </c>
      <c r="Y38" s="290">
        <f>Y34-X34</f>
        <v>-1743.5035962195989</v>
      </c>
      <c r="Z38" s="290">
        <f>Z34-Y34</f>
        <v>10.902571252151574</v>
      </c>
      <c r="AA38" s="254"/>
      <c r="AB38" s="293">
        <f>AB34-Z34</f>
        <v>2014.3220986659408</v>
      </c>
      <c r="AC38" s="290">
        <f>AC34-AB34</f>
        <v>23.003452810099589</v>
      </c>
      <c r="AD38" s="290">
        <f>AD34-AC34</f>
        <v>-11.393727730170212</v>
      </c>
      <c r="AE38" s="290">
        <f>AE34-AD34</f>
        <v>28.969557778549643</v>
      </c>
      <c r="AF38" s="254"/>
      <c r="AG38" s="293">
        <f>AG34-AE34</f>
        <v>-480.8047950164555</v>
      </c>
      <c r="AH38" s="290">
        <f>AH34-AG34</f>
        <v>22.82777952174456</v>
      </c>
      <c r="AI38" s="290">
        <f>AI34-AH34</f>
        <v>-28.656197629916278</v>
      </c>
      <c r="AJ38" s="290">
        <f>AJ34-AI34</f>
        <v>35.94079831369254</v>
      </c>
      <c r="AK38" s="254"/>
    </row>
    <row r="39" spans="1:37" s="381" customFormat="1" ht="12.75" customHeight="1">
      <c r="A39" s="416"/>
      <c r="B39" s="947"/>
      <c r="C39" s="1000"/>
      <c r="D39" s="1001"/>
      <c r="E39" s="1001"/>
      <c r="F39" s="1001"/>
      <c r="G39" s="999"/>
      <c r="H39" s="1002"/>
      <c r="I39" s="1001"/>
      <c r="J39" s="1001"/>
      <c r="K39" s="1001"/>
      <c r="L39" s="999"/>
      <c r="M39" s="1002"/>
      <c r="N39" s="1001"/>
      <c r="O39" s="1002"/>
      <c r="P39" s="1002"/>
      <c r="Q39" s="999"/>
      <c r="R39" s="1002"/>
      <c r="S39" s="1002"/>
      <c r="T39" s="1002"/>
      <c r="U39" s="1002"/>
      <c r="V39" s="999"/>
      <c r="W39" s="1002"/>
      <c r="X39" s="1001"/>
      <c r="Y39" s="1001"/>
      <c r="Z39" s="1001"/>
      <c r="AA39" s="999"/>
      <c r="AB39" s="1002"/>
      <c r="AC39" s="1001"/>
      <c r="AD39" s="1001"/>
      <c r="AE39" s="1001"/>
      <c r="AF39" s="999"/>
      <c r="AG39" s="1002"/>
      <c r="AH39" s="1001"/>
      <c r="AI39" s="1001"/>
      <c r="AJ39" s="1001"/>
      <c r="AK39" s="999"/>
    </row>
    <row r="40" spans="1:37" s="269" customFormat="1" ht="12.75" customHeight="1">
      <c r="A40" s="416"/>
      <c r="B40" s="905" t="s">
        <v>417</v>
      </c>
      <c r="C40" s="655"/>
      <c r="D40" s="290"/>
      <c r="E40" s="290"/>
      <c r="F40" s="290"/>
      <c r="G40" s="254"/>
      <c r="H40" s="293"/>
      <c r="I40" s="290"/>
      <c r="J40" s="290"/>
      <c r="K40" s="290"/>
      <c r="L40" s="254"/>
      <c r="M40" s="293"/>
      <c r="N40" s="290"/>
      <c r="O40" s="290"/>
      <c r="P40" s="290"/>
      <c r="Q40" s="254"/>
      <c r="R40" s="293"/>
      <c r="S40" s="290"/>
      <c r="T40" s="290"/>
      <c r="U40" s="608"/>
      <c r="V40" s="254"/>
      <c r="W40" s="293"/>
      <c r="X40" s="290"/>
      <c r="Y40" s="290"/>
      <c r="Z40" s="290"/>
      <c r="AA40" s="254"/>
      <c r="AB40" s="293"/>
      <c r="AC40" s="290"/>
      <c r="AD40" s="290"/>
      <c r="AE40" s="290"/>
      <c r="AF40" s="254"/>
      <c r="AG40" s="293"/>
      <c r="AH40" s="290"/>
      <c r="AI40" s="290"/>
      <c r="AJ40" s="290"/>
      <c r="AK40" s="254"/>
    </row>
    <row r="41" spans="1:37" s="269" customFormat="1" ht="12.75" hidden="1" customHeight="1" outlineLevel="1">
      <c r="A41" s="416"/>
      <c r="B41" s="433" t="s">
        <v>418</v>
      </c>
      <c r="C41" s="655"/>
      <c r="D41" s="290"/>
      <c r="E41" s="290"/>
      <c r="F41" s="290"/>
      <c r="G41" s="254"/>
      <c r="H41" s="293"/>
      <c r="I41" s="290"/>
      <c r="J41" s="290"/>
      <c r="K41" s="290"/>
      <c r="L41" s="254"/>
      <c r="M41" s="253"/>
      <c r="N41" s="253"/>
      <c r="O41" s="253"/>
      <c r="P41" s="253">
        <f t="shared" ref="P41:AK41" si="9">P46/P10</f>
        <v>4.2160443118419115</v>
      </c>
      <c r="Q41" s="254">
        <f t="shared" si="9"/>
        <v>4.5431554129473026</v>
      </c>
      <c r="R41" s="253">
        <f t="shared" si="9"/>
        <v>1.4336930743904028</v>
      </c>
      <c r="S41" s="253">
        <f>S46/S10</f>
        <v>2.0226057645689108</v>
      </c>
      <c r="T41" s="253">
        <f>T46/T10</f>
        <v>2.4026113157995015</v>
      </c>
      <c r="U41" s="616">
        <f t="shared" si="9"/>
        <v>5.4173642025962119</v>
      </c>
      <c r="V41" s="254">
        <f t="shared" si="9"/>
        <v>3.0375445702153008</v>
      </c>
      <c r="W41" s="253">
        <f t="shared" si="9"/>
        <v>3.96007682706664</v>
      </c>
      <c r="X41" s="253">
        <f t="shared" si="9"/>
        <v>1.7120336014613262</v>
      </c>
      <c r="Y41" s="253">
        <f t="shared" si="9"/>
        <v>1.0907879215192495</v>
      </c>
      <c r="Z41" s="253">
        <f t="shared" si="9"/>
        <v>0.97788551485057074</v>
      </c>
      <c r="AA41" s="254">
        <f t="shared" si="9"/>
        <v>1.7435549698761716</v>
      </c>
      <c r="AB41" s="253">
        <f t="shared" si="9"/>
        <v>1.1218221099693131</v>
      </c>
      <c r="AC41" s="253">
        <f t="shared" si="9"/>
        <v>1.6514771637873094</v>
      </c>
      <c r="AD41" s="253">
        <f t="shared" si="9"/>
        <v>1.2732342590708619</v>
      </c>
      <c r="AE41" s="253">
        <f t="shared" si="9"/>
        <v>1.2485369294458921</v>
      </c>
      <c r="AF41" s="254">
        <f t="shared" si="9"/>
        <v>1.3241463053868863</v>
      </c>
      <c r="AG41" s="253">
        <f t="shared" si="9"/>
        <v>1.0798949552460912</v>
      </c>
      <c r="AH41" s="253">
        <f t="shared" si="9"/>
        <v>1.1852571374143428</v>
      </c>
      <c r="AI41" s="253">
        <f t="shared" si="9"/>
        <v>1.1757374432060574</v>
      </c>
      <c r="AJ41" s="253">
        <f t="shared" si="9"/>
        <v>1.1338111446488419</v>
      </c>
      <c r="AK41" s="254">
        <f t="shared" si="9"/>
        <v>1.1444151682933066</v>
      </c>
    </row>
    <row r="42" spans="1:37" s="269" customFormat="1" ht="12.75" hidden="1" customHeight="1" outlineLevel="1">
      <c r="A42" s="416"/>
      <c r="B42" s="433" t="s">
        <v>419</v>
      </c>
      <c r="C42" s="655"/>
      <c r="D42" s="290"/>
      <c r="E42" s="290"/>
      <c r="F42" s="290"/>
      <c r="G42" s="254"/>
      <c r="H42" s="293"/>
      <c r="I42" s="290"/>
      <c r="J42" s="290"/>
      <c r="K42" s="290"/>
      <c r="L42" s="254"/>
      <c r="M42" s="253"/>
      <c r="N42" s="253"/>
      <c r="O42" s="253"/>
      <c r="P42" s="253">
        <f>P46/(T10+R10+S10+U10)</f>
        <v>0.61764267410333307</v>
      </c>
      <c r="Q42" s="254">
        <f>Q46/V10</f>
        <v>1.705629010355993</v>
      </c>
      <c r="R42" s="253">
        <f>R46/(S10+T10+U10+W10)</f>
        <v>0.2217196412285076</v>
      </c>
      <c r="S42" s="253">
        <f>S46/(T10+U10+W10+X10)</f>
        <v>0.30288057183667122</v>
      </c>
      <c r="T42" s="253">
        <f>T46/(U10+V10+X10+Y10)</f>
        <v>0.25419444050717499</v>
      </c>
      <c r="U42" s="616">
        <f>U46/(Y10+W10+X10+Z10)</f>
        <v>0.69643335209682755</v>
      </c>
      <c r="V42" s="254">
        <f>V46/AA10</f>
        <v>1.2912801660883819</v>
      </c>
      <c r="W42" s="253">
        <f>W46/(X10+Y10+Z10+AB10)</f>
        <v>0.64916187172813966</v>
      </c>
      <c r="X42" s="253">
        <f>X46/(Y10+Z10+AB10+AC10)</f>
        <v>0.34345091674551675</v>
      </c>
      <c r="Y42" s="253">
        <f>Y46/(Z10+AC10+AB10+AD10)</f>
        <v>0.2248331136051108</v>
      </c>
      <c r="Z42" s="616">
        <f>Z46/(AD10+AB10+AC10+AE10)</f>
        <v>0.20003490734828119</v>
      </c>
      <c r="AA42" s="254">
        <f>AA46/AF10</f>
        <v>1.2158301110330694</v>
      </c>
      <c r="AB42" s="253">
        <f>AB46/(AC10+AD10+AE10+AG10)</f>
        <v>0.23091131867779147</v>
      </c>
      <c r="AC42" s="253">
        <f>AC46/(AD10+AE10+AG10+AH10)</f>
        <v>0.34834692783416898</v>
      </c>
      <c r="AD42" s="253">
        <f>AD46/(AE10+AH10+AG10+AI10)</f>
        <v>0.27466342895722562</v>
      </c>
      <c r="AE42" s="616">
        <f>AE46/(AI10+AG10+AH10+AJ10)</f>
        <v>0.27510224507586173</v>
      </c>
      <c r="AF42" s="254">
        <f>AF46/AK10</f>
        <v>1.0523963227059594</v>
      </c>
      <c r="AG42" s="253"/>
      <c r="AH42" s="102"/>
      <c r="AI42" s="102"/>
      <c r="AJ42" s="102"/>
      <c r="AK42" s="254"/>
    </row>
    <row r="43" spans="1:37" s="269" customFormat="1" ht="12.75" hidden="1" customHeight="1" outlineLevel="1">
      <c r="A43" s="416"/>
      <c r="B43" s="433" t="s">
        <v>420</v>
      </c>
      <c r="C43" s="655"/>
      <c r="D43" s="290"/>
      <c r="E43" s="290"/>
      <c r="F43" s="290"/>
      <c r="G43" s="254"/>
      <c r="H43" s="293"/>
      <c r="I43" s="290"/>
      <c r="J43" s="290"/>
      <c r="K43" s="290"/>
      <c r="L43" s="254"/>
      <c r="M43" s="253"/>
      <c r="N43" s="102"/>
      <c r="O43" s="102"/>
      <c r="P43" s="102">
        <f t="shared" ref="P43:AK43" si="10">P46/P13</f>
        <v>4.9905491989082043</v>
      </c>
      <c r="Q43" s="254">
        <f t="shared" si="10"/>
        <v>5.1598966606838017</v>
      </c>
      <c r="R43" s="253">
        <f t="shared" si="10"/>
        <v>1.7748439998587549</v>
      </c>
      <c r="S43" s="253">
        <f>S46/S13</f>
        <v>3.0009065140558615</v>
      </c>
      <c r="T43" s="253">
        <f>T46/T13</f>
        <v>4.1996144658558929</v>
      </c>
      <c r="U43" s="291">
        <f t="shared" si="10"/>
        <v>10.507692128767438</v>
      </c>
      <c r="V43" s="254">
        <f t="shared" si="10"/>
        <v>4.8634039294364788</v>
      </c>
      <c r="W43" s="253">
        <f t="shared" si="10"/>
        <v>7.0811953625710338</v>
      </c>
      <c r="X43" s="102">
        <f t="shared" si="10"/>
        <v>2.8975587116393138</v>
      </c>
      <c r="Y43" s="102">
        <f t="shared" si="10"/>
        <v>1.8640688588977314</v>
      </c>
      <c r="Z43" s="102">
        <f t="shared" si="10"/>
        <v>1.7407500278208219</v>
      </c>
      <c r="AA43" s="254">
        <f t="shared" si="10"/>
        <v>3.0328316371238042</v>
      </c>
      <c r="AB43" s="253">
        <f t="shared" si="10"/>
        <v>2.6986363918972605</v>
      </c>
      <c r="AC43" s="102">
        <f t="shared" si="10"/>
        <v>5.7659469406121469</v>
      </c>
      <c r="AD43" s="102">
        <f t="shared" si="10"/>
        <v>4.8104073367439613</v>
      </c>
      <c r="AE43" s="102">
        <f t="shared" si="10"/>
        <v>4.7626907039276567</v>
      </c>
      <c r="AF43" s="254">
        <f t="shared" si="10"/>
        <v>4.3748590442787574</v>
      </c>
      <c r="AG43" s="253">
        <f t="shared" si="10"/>
        <v>4.2295984413678243</v>
      </c>
      <c r="AH43" s="102">
        <f t="shared" si="10"/>
        <v>5.3725908086227774</v>
      </c>
      <c r="AI43" s="102">
        <f t="shared" si="10"/>
        <v>6.207188985251646</v>
      </c>
      <c r="AJ43" s="102">
        <f t="shared" si="10"/>
        <v>7.0391159489656925</v>
      </c>
      <c r="AK43" s="254">
        <f t="shared" si="10"/>
        <v>5.576350371670701</v>
      </c>
    </row>
    <row r="44" spans="1:37" s="269" customFormat="1" ht="12.75" customHeight="1" collapsed="1">
      <c r="A44" s="416"/>
      <c r="B44" s="479"/>
      <c r="C44" s="655"/>
      <c r="D44" s="290"/>
      <c r="E44" s="290"/>
      <c r="F44" s="290"/>
      <c r="G44" s="254"/>
      <c r="H44" s="293"/>
      <c r="I44" s="290"/>
      <c r="J44" s="290"/>
      <c r="K44" s="290"/>
      <c r="L44" s="254"/>
      <c r="M44" s="293"/>
      <c r="N44" s="290"/>
      <c r="O44" s="290"/>
      <c r="P44" s="290"/>
      <c r="Q44" s="999"/>
      <c r="R44" s="293"/>
      <c r="S44" s="290"/>
      <c r="T44" s="290"/>
      <c r="U44" s="608"/>
      <c r="V44" s="254"/>
      <c r="W44" s="293"/>
      <c r="X44" s="290"/>
      <c r="Y44" s="290"/>
      <c r="Z44" s="290"/>
      <c r="AA44" s="254"/>
      <c r="AB44" s="293"/>
      <c r="AC44" s="290"/>
      <c r="AD44" s="290"/>
      <c r="AE44" s="290"/>
      <c r="AF44" s="254"/>
      <c r="AG44" s="293"/>
      <c r="AH44" s="290"/>
      <c r="AI44" s="290"/>
      <c r="AJ44" s="290"/>
      <c r="AK44" s="254"/>
    </row>
    <row r="45" spans="1:37" s="269" customFormat="1" ht="12.75" customHeight="1">
      <c r="A45" s="416"/>
      <c r="B45" s="490" t="s">
        <v>622</v>
      </c>
      <c r="C45" s="655"/>
      <c r="D45" s="290"/>
      <c r="E45" s="290"/>
      <c r="F45" s="290"/>
      <c r="G45" s="254"/>
      <c r="H45" s="293"/>
      <c r="I45" s="290"/>
      <c r="J45" s="290"/>
      <c r="K45" s="290"/>
      <c r="L45" s="254"/>
      <c r="M45" s="293"/>
      <c r="N45" s="290"/>
      <c r="O45" s="290"/>
      <c r="P45" s="290"/>
      <c r="Q45" s="999"/>
      <c r="R45" s="293"/>
      <c r="S45" s="290"/>
      <c r="T45" s="290"/>
      <c r="U45" s="608"/>
      <c r="V45" s="254"/>
      <c r="W45" s="293"/>
      <c r="X45" s="290"/>
      <c r="Y45" s="290"/>
      <c r="Z45" s="290"/>
      <c r="AA45" s="254"/>
      <c r="AB45" s="293"/>
      <c r="AC45" s="290"/>
      <c r="AD45" s="290"/>
      <c r="AE45" s="290"/>
      <c r="AF45" s="254"/>
      <c r="AG45" s="293"/>
      <c r="AH45" s="290"/>
      <c r="AI45" s="290"/>
      <c r="AJ45" s="290"/>
      <c r="AK45" s="254"/>
    </row>
    <row r="46" spans="1:37" s="289" customFormat="1" ht="12.75" hidden="1" customHeight="1" outlineLevel="1">
      <c r="A46" s="283"/>
      <c r="B46" s="1336" t="s">
        <v>617</v>
      </c>
      <c r="C46" s="782"/>
      <c r="D46" s="782"/>
      <c r="E46" s="782"/>
      <c r="F46" s="782"/>
      <c r="G46" s="914">
        <f>-CF!G40</f>
        <v>72.403999999999996</v>
      </c>
      <c r="H46" s="782"/>
      <c r="I46" s="782"/>
      <c r="J46" s="782"/>
      <c r="K46" s="487"/>
      <c r="L46" s="914">
        <f>-CF!L40</f>
        <v>2943.13</v>
      </c>
      <c r="M46" s="915">
        <f>-CF!M40</f>
        <v>1741.9349999999999</v>
      </c>
      <c r="N46" s="782"/>
      <c r="O46" s="782"/>
      <c r="P46" s="915">
        <f>-CF!P40</f>
        <v>3151.1979999999999</v>
      </c>
      <c r="Q46" s="914">
        <f>-CF!Q40</f>
        <v>8702.0779999999995</v>
      </c>
      <c r="R46" s="915">
        <f>-CF!R40</f>
        <v>1407.3589999999999</v>
      </c>
      <c r="S46" s="915">
        <f>-CF!S40</f>
        <v>2452.9920000000002</v>
      </c>
      <c r="T46" s="915">
        <f>-CF!T40</f>
        <v>3278.7860000000001</v>
      </c>
      <c r="U46" s="487">
        <f>+U52+U66+U80+U87+U93</f>
        <v>8358.3420051049998</v>
      </c>
      <c r="V46" s="784">
        <f>SUM(R46:U46)</f>
        <v>15497.479005105</v>
      </c>
      <c r="W46" s="487">
        <f>+W52+W66+W80+W87+W93</f>
        <v>8819.5947919299997</v>
      </c>
      <c r="X46" s="487">
        <f>+X52+X66+X80+X87+X93</f>
        <v>5074.7968646079999</v>
      </c>
      <c r="Y46" s="487">
        <f>+Y52+Y66+Y80+Y87+Y93</f>
        <v>3588.3477235884015</v>
      </c>
      <c r="Z46" s="487">
        <f>+Z52+Z66+Z80+Z87+Z93</f>
        <v>3442.7787603365532</v>
      </c>
      <c r="AA46" s="784">
        <f>SUM(W46:Z46)</f>
        <v>20925.518140462955</v>
      </c>
      <c r="AB46" s="487">
        <f>+AB52+AB66+AB80+AB87+AB93</f>
        <v>4275.9522215168945</v>
      </c>
      <c r="AC46" s="487">
        <f>+AC52+AC66+AC80+AC87+AC93</f>
        <v>6860.1832461378735</v>
      </c>
      <c r="AD46" s="487">
        <f>+AD52+AD66+AD80+AD87+AD93</f>
        <v>5696.2371110928079</v>
      </c>
      <c r="AE46" s="487">
        <f>+AE52+AE66+AE80+AE87+AE93</f>
        <v>5957.3636537733573</v>
      </c>
      <c r="AF46" s="784">
        <f>SUM(AB46:AE46)</f>
        <v>22789.736232520932</v>
      </c>
      <c r="AG46" s="487">
        <f>+AG52+AG66+AG80+AG87+AG93</f>
        <v>5527.3864199194886</v>
      </c>
      <c r="AH46" s="487">
        <f>+AH52+AH66+AH80+AH87+AH93</f>
        <v>6317.1606054980048</v>
      </c>
      <c r="AI46" s="487">
        <f>+AI52+AI66+AI80+AI87+AI93</f>
        <v>6489.2090657656963</v>
      </c>
      <c r="AJ46" s="487">
        <f>+AJ52+AJ66+AJ80+AJ87+AJ93</f>
        <v>6448.6564497883573</v>
      </c>
      <c r="AK46" s="784">
        <f>SUM(AG46:AJ46)</f>
        <v>24782.412540971549</v>
      </c>
    </row>
    <row r="47" spans="1:37" s="298" customFormat="1" ht="12.75" hidden="1" customHeight="1" outlineLevel="1">
      <c r="A47" s="1088"/>
      <c r="B47" s="433" t="s">
        <v>31</v>
      </c>
      <c r="C47" s="102"/>
      <c r="D47" s="102"/>
      <c r="E47" s="102"/>
      <c r="F47" s="102"/>
      <c r="G47" s="254"/>
      <c r="H47" s="102"/>
      <c r="I47" s="102"/>
      <c r="J47" s="102"/>
      <c r="K47" s="102"/>
      <c r="L47" s="254">
        <f t="shared" ref="L47:AF47" si="11">IFERROR(L46/G46-1,"")</f>
        <v>39.648721065134524</v>
      </c>
      <c r="M47" s="102" t="str">
        <f t="shared" si="11"/>
        <v/>
      </c>
      <c r="N47" s="102" t="str">
        <f t="shared" si="11"/>
        <v/>
      </c>
      <c r="O47" s="102" t="str">
        <f t="shared" si="11"/>
        <v/>
      </c>
      <c r="P47" s="102" t="str">
        <f t="shared" si="11"/>
        <v/>
      </c>
      <c r="Q47" s="254">
        <f t="shared" si="11"/>
        <v>1.956742651530853</v>
      </c>
      <c r="R47" s="102">
        <f t="shared" si="11"/>
        <v>-0.19207146076059101</v>
      </c>
      <c r="S47" s="102" t="str">
        <f>IFERROR(S46/N46-1,"")</f>
        <v/>
      </c>
      <c r="T47" s="102" t="str">
        <f>IFERROR(T46/O46-1,"")</f>
        <v/>
      </c>
      <c r="U47" s="291">
        <f t="shared" si="11"/>
        <v>1.6524331397471692</v>
      </c>
      <c r="V47" s="254">
        <f t="shared" si="11"/>
        <v>0.78089405830480962</v>
      </c>
      <c r="W47" s="102">
        <f t="shared" si="11"/>
        <v>5.2667697381620471</v>
      </c>
      <c r="X47" s="102">
        <f t="shared" si="11"/>
        <v>1.0688191663927151</v>
      </c>
      <c r="Y47" s="102">
        <f t="shared" si="11"/>
        <v>9.4413518780549044E-2</v>
      </c>
      <c r="Z47" s="102">
        <f t="shared" si="11"/>
        <v>-0.58810266937703459</v>
      </c>
      <c r="AA47" s="254">
        <f t="shared" si="11"/>
        <v>0.35025304009574154</v>
      </c>
      <c r="AB47" s="102">
        <f t="shared" si="11"/>
        <v>-0.51517588705669048</v>
      </c>
      <c r="AC47" s="102">
        <f t="shared" si="11"/>
        <v>0.35181435418258555</v>
      </c>
      <c r="AD47" s="102">
        <f t="shared" si="11"/>
        <v>0.58742617769397376</v>
      </c>
      <c r="AE47" s="102">
        <f t="shared" si="11"/>
        <v>0.73039398360613439</v>
      </c>
      <c r="AF47" s="254">
        <f t="shared" si="11"/>
        <v>8.9088264364321823E-2</v>
      </c>
      <c r="AG47" s="102">
        <f>IFERROR(AG46/AB46-1,"")</f>
        <v>0.29266795641571686</v>
      </c>
      <c r="AH47" s="102">
        <f>IFERROR(AH46/AC46-1,"")</f>
        <v>-7.915570490709245E-2</v>
      </c>
      <c r="AI47" s="102">
        <f>IFERROR(AI46/AD46-1,"")</f>
        <v>0.13920978695368236</v>
      </c>
      <c r="AJ47" s="102">
        <f>IFERROR(AJ46/AE46-1,"")</f>
        <v>8.2468156145515614E-2</v>
      </c>
      <c r="AK47" s="254">
        <f>IFERROR(AK46/AF46-1,"")</f>
        <v>8.7437445002416014E-2</v>
      </c>
    </row>
    <row r="48" spans="1:37" ht="12.75" hidden="1" customHeight="1" outlineLevel="1">
      <c r="B48" s="433" t="s">
        <v>33</v>
      </c>
      <c r="C48" s="616"/>
      <c r="D48" s="102"/>
      <c r="E48" s="102"/>
      <c r="F48" s="102"/>
      <c r="G48" s="255"/>
      <c r="H48" s="253"/>
      <c r="I48" s="102"/>
      <c r="J48" s="102"/>
      <c r="K48" s="102"/>
      <c r="L48" s="255"/>
      <c r="M48" s="253" t="str">
        <f>IFERROR(M46/K46-1,"")</f>
        <v/>
      </c>
      <c r="N48" s="102">
        <f>IFERROR(N46/M46-1,"")</f>
        <v>-1</v>
      </c>
      <c r="O48" s="102" t="str">
        <f>IFERROR(O46/N46-1,"")</f>
        <v/>
      </c>
      <c r="P48" s="102" t="str">
        <f>IFERROR(P46/O46-1,"")</f>
        <v/>
      </c>
      <c r="Q48" s="255"/>
      <c r="R48" s="253">
        <f>IFERROR(R46/P46-1,"")</f>
        <v>-0.55338921895736159</v>
      </c>
      <c r="S48" s="102">
        <f>IFERROR(S46/R46-1,"")</f>
        <v>0.74297531759842395</v>
      </c>
      <c r="T48" s="102">
        <f>IFERROR(T46/S46-1,"")</f>
        <v>0.33664765315174283</v>
      </c>
      <c r="U48" s="291">
        <f>IFERROR(U46/T46-1,"")</f>
        <v>1.5492185232903273</v>
      </c>
      <c r="V48" s="255"/>
      <c r="W48" s="253">
        <f>IFERROR(W46/U46-1,"")</f>
        <v>5.518472282460829E-2</v>
      </c>
      <c r="X48" s="102">
        <f>IFERROR(X46/W46-1,"")</f>
        <v>-0.42459977081356615</v>
      </c>
      <c r="Y48" s="102">
        <f>IFERROR(Y46/X46-1,"")</f>
        <v>-0.29290810660544897</v>
      </c>
      <c r="Z48" s="102">
        <f>IFERROR(Z46/Y46-1,"")</f>
        <v>-4.0567128512918216E-2</v>
      </c>
      <c r="AA48" s="255"/>
      <c r="AB48" s="253">
        <f>IFERROR(AB46/Z46-1,"")</f>
        <v>0.24200610006635848</v>
      </c>
      <c r="AC48" s="102">
        <f>IFERROR(AC46/AB46-1,"")</f>
        <v>0.60436386815010357</v>
      </c>
      <c r="AD48" s="102">
        <f>IFERROR(AD46/AC46-1,"")</f>
        <v>-0.1696669160696751</v>
      </c>
      <c r="AE48" s="102">
        <f>IFERROR(AE46/AD46-1,"")</f>
        <v>4.5841936981877662E-2</v>
      </c>
      <c r="AF48" s="255"/>
      <c r="AG48" s="253">
        <f>IFERROR(AG46/AE46-1,"")</f>
        <v>-7.2175757405966601E-2</v>
      </c>
      <c r="AH48" s="102">
        <f>IFERROR(AH46/AG46-1,"")</f>
        <v>0.14288383796224968</v>
      </c>
      <c r="AI48" s="102">
        <f>IFERROR(AI46/AH46-1,"")</f>
        <v>2.7235093582701264E-2</v>
      </c>
      <c r="AJ48" s="102">
        <f>IFERROR(AJ46/AI46-1,"")</f>
        <v>-6.2492386308337089E-3</v>
      </c>
      <c r="AK48" s="255"/>
    </row>
    <row r="49" spans="1:37" s="269" customFormat="1" ht="12.75" hidden="1" customHeight="1" outlineLevel="1">
      <c r="A49" s="416"/>
      <c r="B49" s="433" t="s">
        <v>384</v>
      </c>
      <c r="C49" s="608"/>
      <c r="D49" s="290"/>
      <c r="E49" s="290"/>
      <c r="F49" s="290"/>
      <c r="G49" s="410"/>
      <c r="H49" s="290"/>
      <c r="I49" s="290"/>
      <c r="J49" s="290"/>
      <c r="K49" s="290"/>
      <c r="L49" s="410"/>
      <c r="M49" s="290"/>
      <c r="N49" s="290"/>
      <c r="O49" s="290"/>
      <c r="P49" s="290">
        <f t="shared" ref="P49:AF49" si="12">P46-K46</f>
        <v>3151.1979999999999</v>
      </c>
      <c r="Q49" s="410">
        <f t="shared" si="12"/>
        <v>5758.9479999999994</v>
      </c>
      <c r="R49" s="290">
        <f t="shared" si="12"/>
        <v>-334.57600000000002</v>
      </c>
      <c r="S49" s="290">
        <f t="shared" si="12"/>
        <v>2452.9920000000002</v>
      </c>
      <c r="T49" s="290">
        <f t="shared" si="12"/>
        <v>3278.7860000000001</v>
      </c>
      <c r="U49" s="608">
        <f t="shared" si="12"/>
        <v>5207.1440051049995</v>
      </c>
      <c r="V49" s="410">
        <f t="shared" si="12"/>
        <v>6795.4010051050009</v>
      </c>
      <c r="W49" s="290">
        <f t="shared" si="12"/>
        <v>7412.2357919299993</v>
      </c>
      <c r="X49" s="290">
        <f t="shared" si="12"/>
        <v>2621.8048646079997</v>
      </c>
      <c r="Y49" s="290">
        <f t="shared" si="12"/>
        <v>309.56172358840149</v>
      </c>
      <c r="Z49" s="290">
        <f t="shared" si="12"/>
        <v>-4915.5632447684466</v>
      </c>
      <c r="AA49" s="410">
        <f t="shared" si="12"/>
        <v>5428.0391353579544</v>
      </c>
      <c r="AB49" s="290">
        <f t="shared" si="12"/>
        <v>-4543.6425704131052</v>
      </c>
      <c r="AC49" s="290">
        <f t="shared" si="12"/>
        <v>1785.3863815298737</v>
      </c>
      <c r="AD49" s="290">
        <f t="shared" si="12"/>
        <v>2107.8893875044064</v>
      </c>
      <c r="AE49" s="290">
        <f t="shared" si="12"/>
        <v>2514.5848934368041</v>
      </c>
      <c r="AF49" s="410">
        <f t="shared" si="12"/>
        <v>1864.2180920579776</v>
      </c>
      <c r="AG49" s="290">
        <f>AG46-AB46</f>
        <v>1251.4341984025941</v>
      </c>
      <c r="AH49" s="290">
        <f>AH46-AC46</f>
        <v>-543.02264063986877</v>
      </c>
      <c r="AI49" s="290">
        <f>AI46-AD46</f>
        <v>792.97195467288839</v>
      </c>
      <c r="AJ49" s="290">
        <f>AJ46-AE46</f>
        <v>491.29279601500002</v>
      </c>
      <c r="AK49" s="410">
        <f>AK46-AF46</f>
        <v>1992.6763084506165</v>
      </c>
    </row>
    <row r="50" spans="1:37" s="269" customFormat="1" ht="12.75" hidden="1" customHeight="1" outlineLevel="1">
      <c r="A50" s="416"/>
      <c r="B50" s="433" t="s">
        <v>385</v>
      </c>
      <c r="C50" s="655"/>
      <c r="D50" s="290"/>
      <c r="E50" s="290"/>
      <c r="F50" s="290"/>
      <c r="G50" s="254"/>
      <c r="H50" s="293"/>
      <c r="I50" s="290"/>
      <c r="J50" s="290"/>
      <c r="K50" s="290"/>
      <c r="L50" s="254"/>
      <c r="M50" s="293"/>
      <c r="N50" s="290"/>
      <c r="O50" s="290"/>
      <c r="P50" s="290">
        <f>P46-O46</f>
        <v>3151.1979999999999</v>
      </c>
      <c r="Q50" s="254"/>
      <c r="R50" s="293">
        <f>R46-P46</f>
        <v>-1743.8389999999999</v>
      </c>
      <c r="S50" s="290">
        <f>S46-R46</f>
        <v>1045.6330000000003</v>
      </c>
      <c r="T50" s="290">
        <f>T46-S46</f>
        <v>825.79399999999987</v>
      </c>
      <c r="U50" s="608">
        <f>U46-T46</f>
        <v>5079.5560051049997</v>
      </c>
      <c r="V50" s="254"/>
      <c r="W50" s="293">
        <f>W46-U46</f>
        <v>461.25278682499993</v>
      </c>
      <c r="X50" s="290">
        <f>X46-W46</f>
        <v>-3744.7979273219999</v>
      </c>
      <c r="Y50" s="290">
        <f>Y46-X46</f>
        <v>-1486.4491410195983</v>
      </c>
      <c r="Z50" s="290">
        <f>Z46-Y46</f>
        <v>-145.56896325184834</v>
      </c>
      <c r="AA50" s="254"/>
      <c r="AB50" s="293">
        <f>AB46-Z46</f>
        <v>833.17346118034129</v>
      </c>
      <c r="AC50" s="290">
        <f>AC46-AB46</f>
        <v>2584.231024620979</v>
      </c>
      <c r="AD50" s="290">
        <f>AD46-AC46</f>
        <v>-1163.9461350450656</v>
      </c>
      <c r="AE50" s="290">
        <f>AE46-AD46</f>
        <v>261.12654268054939</v>
      </c>
      <c r="AF50" s="254"/>
      <c r="AG50" s="293">
        <f>AG46-AE46</f>
        <v>-429.97723385386871</v>
      </c>
      <c r="AH50" s="290">
        <f>AH46-AG46</f>
        <v>789.77418557851615</v>
      </c>
      <c r="AI50" s="290">
        <f>AI46-AH46</f>
        <v>172.04846026769155</v>
      </c>
      <c r="AJ50" s="290">
        <f>AJ46-AI46</f>
        <v>-40.552615977338974</v>
      </c>
      <c r="AK50" s="254"/>
    </row>
    <row r="51" spans="1:37" s="269" customFormat="1" ht="12.75" hidden="1" customHeight="1" outlineLevel="1">
      <c r="A51" s="416"/>
      <c r="B51" s="479"/>
      <c r="C51" s="655"/>
      <c r="D51" s="290"/>
      <c r="E51" s="290"/>
      <c r="F51" s="290"/>
      <c r="G51" s="254"/>
      <c r="H51" s="293"/>
      <c r="I51" s="290"/>
      <c r="J51" s="290"/>
      <c r="K51" s="290"/>
      <c r="L51" s="254"/>
      <c r="M51" s="293"/>
      <c r="N51" s="290"/>
      <c r="O51" s="290"/>
      <c r="P51" s="290"/>
      <c r="Q51" s="254"/>
      <c r="R51" s="293"/>
      <c r="S51" s="290"/>
      <c r="T51" s="290"/>
      <c r="U51" s="608"/>
      <c r="V51" s="254"/>
      <c r="W51" s="293"/>
      <c r="X51" s="290"/>
      <c r="Y51" s="290"/>
      <c r="Z51" s="290"/>
      <c r="AA51" s="254"/>
      <c r="AB51" s="293"/>
      <c r="AC51" s="290"/>
      <c r="AD51" s="290"/>
      <c r="AE51" s="290"/>
      <c r="AF51" s="254"/>
      <c r="AG51" s="293"/>
      <c r="AH51" s="290"/>
      <c r="AI51" s="290"/>
      <c r="AJ51" s="290"/>
      <c r="AK51" s="254"/>
    </row>
    <row r="52" spans="1:37" s="1335" customFormat="1" ht="12.75" hidden="1" customHeight="1" outlineLevel="1">
      <c r="A52" s="1333"/>
      <c r="B52" s="1334" t="s">
        <v>386</v>
      </c>
      <c r="C52" s="782"/>
      <c r="D52" s="782"/>
      <c r="E52" s="782"/>
      <c r="F52" s="782"/>
      <c r="G52" s="783"/>
      <c r="H52" s="782"/>
      <c r="I52" s="782"/>
      <c r="J52" s="782"/>
      <c r="K52" s="487"/>
      <c r="L52" s="783"/>
      <c r="M52" s="782"/>
      <c r="N52" s="782"/>
      <c r="O52" s="782"/>
      <c r="P52" s="782">
        <v>2340.018</v>
      </c>
      <c r="Q52" s="783">
        <v>8119.4499173498598</v>
      </c>
      <c r="R52" s="487">
        <f>R46-R66-R80-R87-R93</f>
        <v>483.10399999999998</v>
      </c>
      <c r="S52" s="487">
        <f>S46-S66-S80-S87-S93</f>
        <v>2359.4749999999995</v>
      </c>
      <c r="T52" s="487">
        <f>T46-T66-T80-T87-T93</f>
        <v>382.36100000000056</v>
      </c>
      <c r="U52" s="487">
        <f>T52+U56</f>
        <v>4758.3610000000008</v>
      </c>
      <c r="V52" s="784">
        <f>SUM(R52:U52)</f>
        <v>7983.3010000000004</v>
      </c>
      <c r="W52" s="487">
        <f>U52+W56</f>
        <v>10758.361000000001</v>
      </c>
      <c r="X52" s="487">
        <f>W52+X56</f>
        <v>4758.3610000000008</v>
      </c>
      <c r="Y52" s="487">
        <f>X52+Y56</f>
        <v>3008.3610000000008</v>
      </c>
      <c r="Z52" s="487">
        <f>Y52+Z56</f>
        <v>3008.3610000000008</v>
      </c>
      <c r="AA52" s="784">
        <f>SUM(W52:Z52)</f>
        <v>21533.444000000003</v>
      </c>
      <c r="AB52" s="487">
        <f>Z52+AB56</f>
        <v>5008.3610000000008</v>
      </c>
      <c r="AC52" s="487">
        <f>AB52+AC56</f>
        <v>5008.3610000000008</v>
      </c>
      <c r="AD52" s="487">
        <f>AC52+AD56</f>
        <v>5008.3610000000008</v>
      </c>
      <c r="AE52" s="487">
        <f>AD52+AE56</f>
        <v>5008.3610000000008</v>
      </c>
      <c r="AF52" s="784">
        <f>SUM(AB52:AE52)</f>
        <v>20033.444000000003</v>
      </c>
      <c r="AG52" s="487">
        <f>AE52+AG56</f>
        <v>4508.3610000000008</v>
      </c>
      <c r="AH52" s="487">
        <f>AG52+AH56</f>
        <v>4508.3610000000008</v>
      </c>
      <c r="AI52" s="487">
        <f>AH52+AI56</f>
        <v>4508.3610000000008</v>
      </c>
      <c r="AJ52" s="487">
        <f>AI52+AJ56</f>
        <v>4508.3610000000008</v>
      </c>
      <c r="AK52" s="784">
        <f>SUM(AG52:AJ52)</f>
        <v>18033.444000000003</v>
      </c>
    </row>
    <row r="53" spans="1:37" s="444" customFormat="1" ht="12.75" hidden="1" customHeight="1" outlineLevel="1">
      <c r="A53" s="1102"/>
      <c r="B53" s="433" t="s">
        <v>31</v>
      </c>
      <c r="C53" s="419"/>
      <c r="D53" s="419"/>
      <c r="E53" s="419"/>
      <c r="F53" s="419"/>
      <c r="G53" s="449"/>
      <c r="H53" s="419"/>
      <c r="I53" s="419"/>
      <c r="J53" s="419"/>
      <c r="K53" s="419"/>
      <c r="L53" s="449"/>
      <c r="M53" s="419" t="str">
        <f t="shared" ref="M53:T53" si="13">IFERROR(M52/H52-1,"")</f>
        <v/>
      </c>
      <c r="N53" s="419" t="str">
        <f t="shared" si="13"/>
        <v/>
      </c>
      <c r="O53" s="419" t="str">
        <f t="shared" si="13"/>
        <v/>
      </c>
      <c r="P53" s="419" t="str">
        <f t="shared" si="13"/>
        <v/>
      </c>
      <c r="Q53" s="449" t="str">
        <f t="shared" si="13"/>
        <v/>
      </c>
      <c r="R53" s="419" t="str">
        <f t="shared" si="13"/>
        <v/>
      </c>
      <c r="S53" s="419" t="str">
        <f t="shared" si="13"/>
        <v/>
      </c>
      <c r="T53" s="419" t="str">
        <f t="shared" si="13"/>
        <v/>
      </c>
      <c r="U53" s="291">
        <f t="shared" ref="U53:AF53" si="14">IFERROR(U52/P52-1,"")</f>
        <v>1.0334719647455706</v>
      </c>
      <c r="V53" s="254">
        <f t="shared" si="14"/>
        <v>-1.6768243998763088E-2</v>
      </c>
      <c r="W53" s="102">
        <f t="shared" si="14"/>
        <v>21.26924430350401</v>
      </c>
      <c r="X53" s="102">
        <f t="shared" si="14"/>
        <v>1.0167032920459009</v>
      </c>
      <c r="Y53" s="102">
        <f t="shared" si="14"/>
        <v>6.8678552467432512</v>
      </c>
      <c r="Z53" s="102">
        <f t="shared" si="14"/>
        <v>-0.36777369350496936</v>
      </c>
      <c r="AA53" s="254">
        <f t="shared" si="14"/>
        <v>1.6973107991293328</v>
      </c>
      <c r="AB53" s="102">
        <f t="shared" si="14"/>
        <v>-0.53446802909848445</v>
      </c>
      <c r="AC53" s="102">
        <f t="shared" si="14"/>
        <v>5.2539099072138384E-2</v>
      </c>
      <c r="AD53" s="102">
        <f t="shared" si="14"/>
        <v>0.66481383052100451</v>
      </c>
      <c r="AE53" s="102">
        <f t="shared" si="14"/>
        <v>0.66481383052100451</v>
      </c>
      <c r="AF53" s="254">
        <f t="shared" si="14"/>
        <v>-6.9659084724208564E-2</v>
      </c>
      <c r="AG53" s="102">
        <f>IFERROR(AG52/AB52-1,"")</f>
        <v>-9.9833059158475179E-2</v>
      </c>
      <c r="AH53" s="102">
        <f>IFERROR(AH52/AC52-1,"")</f>
        <v>-9.9833059158475179E-2</v>
      </c>
      <c r="AI53" s="102">
        <f>IFERROR(AI52/AD52-1,"")</f>
        <v>-9.9833059158475179E-2</v>
      </c>
      <c r="AJ53" s="102">
        <f>IFERROR(AJ52/AE52-1,"")</f>
        <v>-9.9833059158475179E-2</v>
      </c>
      <c r="AK53" s="254">
        <f>IFERROR(AK52/AF52-1,"")</f>
        <v>-9.9833059158475179E-2</v>
      </c>
    </row>
    <row r="54" spans="1:37" ht="12.75" hidden="1" customHeight="1" outlineLevel="1">
      <c r="B54" s="433" t="s">
        <v>33</v>
      </c>
      <c r="C54" s="616"/>
      <c r="D54" s="102"/>
      <c r="E54" s="102"/>
      <c r="F54" s="102"/>
      <c r="G54" s="255"/>
      <c r="H54" s="253"/>
      <c r="I54" s="102"/>
      <c r="J54" s="102"/>
      <c r="K54" s="102"/>
      <c r="L54" s="255"/>
      <c r="M54" s="253"/>
      <c r="N54" s="102"/>
      <c r="O54" s="102"/>
      <c r="P54" s="102"/>
      <c r="Q54" s="255"/>
      <c r="R54" s="253">
        <f>IFERROR(R52/P52-1,"")</f>
        <v>-0.79354688724616651</v>
      </c>
      <c r="S54" s="102">
        <f>IFERROR(S52/R52-1,"")</f>
        <v>3.8839897827382917</v>
      </c>
      <c r="T54" s="102">
        <f>IFERROR(T52/S52-1,"")</f>
        <v>-0.83794657709871867</v>
      </c>
      <c r="U54" s="102">
        <f>IFERROR(U52/T52-1,"")</f>
        <v>11.444681858243895</v>
      </c>
      <c r="V54" s="255"/>
      <c r="W54" s="253">
        <f>IFERROR(W52/U52-1,"")</f>
        <v>1.2609383777313234</v>
      </c>
      <c r="X54" s="102">
        <f>IFERROR(X52/W52-1,"")</f>
        <v>-0.55770576949407069</v>
      </c>
      <c r="Y54" s="102">
        <f>IFERROR(Y52/X52-1,"")</f>
        <v>-0.36777369350496936</v>
      </c>
      <c r="Z54" s="102">
        <f>IFERROR(Z52/Y52-1,"")</f>
        <v>0</v>
      </c>
      <c r="AA54" s="255"/>
      <c r="AB54" s="253">
        <f>IFERROR(AB52/Z52-1,"")</f>
        <v>0.66481383052100451</v>
      </c>
      <c r="AC54" s="102">
        <f>IFERROR(AC52/AB52-1,"")</f>
        <v>0</v>
      </c>
      <c r="AD54" s="102">
        <f>IFERROR(AD52/AC52-1,"")</f>
        <v>0</v>
      </c>
      <c r="AE54" s="102">
        <f>IFERROR(AE52/AD52-1,"")</f>
        <v>0</v>
      </c>
      <c r="AF54" s="255"/>
      <c r="AG54" s="253">
        <f>IFERROR(AG52/AE52-1,"")</f>
        <v>-9.9833059158475179E-2</v>
      </c>
      <c r="AH54" s="102">
        <f>IFERROR(AH52/AG52-1,"")</f>
        <v>0</v>
      </c>
      <c r="AI54" s="102">
        <f>IFERROR(AI52/AH52-1,"")</f>
        <v>0</v>
      </c>
      <c r="AJ54" s="102">
        <f>IFERROR(AJ52/AI52-1,"")</f>
        <v>0</v>
      </c>
      <c r="AK54" s="255"/>
    </row>
    <row r="55" spans="1:37" s="269" customFormat="1" ht="12.75" hidden="1" customHeight="1" outlineLevel="1">
      <c r="A55" s="416"/>
      <c r="B55" s="433" t="s">
        <v>384</v>
      </c>
      <c r="C55" s="608"/>
      <c r="D55" s="290"/>
      <c r="E55" s="290"/>
      <c r="F55" s="290"/>
      <c r="G55" s="410"/>
      <c r="H55" s="290"/>
      <c r="I55" s="290"/>
      <c r="J55" s="290"/>
      <c r="K55" s="290"/>
      <c r="L55" s="410"/>
      <c r="M55" s="290"/>
      <c r="N55" s="290"/>
      <c r="O55" s="290"/>
      <c r="P55" s="290"/>
      <c r="Q55" s="410">
        <f t="shared" ref="Q55:AF55" si="15">Q52-L52</f>
        <v>8119.4499173498598</v>
      </c>
      <c r="R55" s="290">
        <f t="shared" si="15"/>
        <v>483.10399999999998</v>
      </c>
      <c r="S55" s="290">
        <f t="shared" si="15"/>
        <v>2359.4749999999995</v>
      </c>
      <c r="T55" s="290">
        <f t="shared" si="15"/>
        <v>382.36100000000056</v>
      </c>
      <c r="U55" s="290">
        <f t="shared" si="15"/>
        <v>2418.3430000000008</v>
      </c>
      <c r="V55" s="410">
        <f t="shared" si="15"/>
        <v>-136.1489173498594</v>
      </c>
      <c r="W55" s="290">
        <f t="shared" si="15"/>
        <v>10275.257000000001</v>
      </c>
      <c r="X55" s="290">
        <f t="shared" si="15"/>
        <v>2398.8860000000013</v>
      </c>
      <c r="Y55" s="290">
        <f t="shared" si="15"/>
        <v>2626</v>
      </c>
      <c r="Z55" s="290">
        <f t="shared" si="15"/>
        <v>-1750</v>
      </c>
      <c r="AA55" s="410">
        <f t="shared" si="15"/>
        <v>13550.143000000004</v>
      </c>
      <c r="AB55" s="290">
        <f t="shared" si="15"/>
        <v>-5750</v>
      </c>
      <c r="AC55" s="290">
        <f t="shared" si="15"/>
        <v>250</v>
      </c>
      <c r="AD55" s="290">
        <f t="shared" si="15"/>
        <v>2000</v>
      </c>
      <c r="AE55" s="290">
        <f t="shared" si="15"/>
        <v>2000</v>
      </c>
      <c r="AF55" s="410">
        <f t="shared" si="15"/>
        <v>-1500</v>
      </c>
      <c r="AG55" s="290">
        <f>AG52-AB52</f>
        <v>-500</v>
      </c>
      <c r="AH55" s="290">
        <f>AH52-AC52</f>
        <v>-500</v>
      </c>
      <c r="AI55" s="290">
        <f>AI52-AD52</f>
        <v>-500</v>
      </c>
      <c r="AJ55" s="290">
        <f>AJ52-AE52</f>
        <v>-500</v>
      </c>
      <c r="AK55" s="410">
        <f>AK52-AF52</f>
        <v>-2000</v>
      </c>
    </row>
    <row r="56" spans="1:37" s="269" customFormat="1" ht="12.75" hidden="1" customHeight="1" outlineLevel="1">
      <c r="A56" s="416"/>
      <c r="B56" s="433" t="s">
        <v>385</v>
      </c>
      <c r="C56" s="655"/>
      <c r="D56" s="290"/>
      <c r="E56" s="290"/>
      <c r="F56" s="290"/>
      <c r="G56" s="254"/>
      <c r="H56" s="293"/>
      <c r="I56" s="290"/>
      <c r="J56" s="290"/>
      <c r="K56" s="290"/>
      <c r="L56" s="254"/>
      <c r="M56" s="293"/>
      <c r="N56" s="290"/>
      <c r="O56" s="290"/>
      <c r="P56" s="290"/>
      <c r="Q56" s="254"/>
      <c r="R56" s="293">
        <f>R52-P52</f>
        <v>-1856.914</v>
      </c>
      <c r="S56" s="293">
        <f>S52-Q52</f>
        <v>-5759.9749173498603</v>
      </c>
      <c r="T56" s="293">
        <f>T52-R52</f>
        <v>-100.74299999999943</v>
      </c>
      <c r="U56" s="1071">
        <v>4376</v>
      </c>
      <c r="V56" s="254"/>
      <c r="W56" s="1070">
        <v>6000</v>
      </c>
      <c r="X56" s="1171">
        <v>-6000</v>
      </c>
      <c r="Y56" s="1171">
        <v>-1750</v>
      </c>
      <c r="Z56" s="1171"/>
      <c r="AA56" s="410"/>
      <c r="AB56" s="1172">
        <v>2000</v>
      </c>
      <c r="AC56" s="1171"/>
      <c r="AD56" s="1171"/>
      <c r="AE56" s="1171"/>
      <c r="AF56" s="410"/>
      <c r="AG56" s="1172">
        <v>-500</v>
      </c>
      <c r="AH56" s="1171">
        <v>0</v>
      </c>
      <c r="AI56" s="1171">
        <f>AH56</f>
        <v>0</v>
      </c>
      <c r="AJ56" s="1171">
        <f>AI56</f>
        <v>0</v>
      </c>
      <c r="AK56" s="410"/>
    </row>
    <row r="57" spans="1:37" s="237" customFormat="1" ht="12.75" hidden="1" customHeight="1" outlineLevel="1">
      <c r="A57" s="78"/>
      <c r="B57" s="433" t="s">
        <v>635</v>
      </c>
      <c r="C57" s="616"/>
      <c r="D57" s="102"/>
      <c r="E57" s="102"/>
      <c r="F57" s="102"/>
      <c r="G57" s="254"/>
      <c r="H57" s="253"/>
      <c r="I57" s="102"/>
      <c r="J57" s="102"/>
      <c r="K57" s="102"/>
      <c r="L57" s="254"/>
      <c r="M57" s="253"/>
      <c r="N57" s="102"/>
      <c r="O57" s="102"/>
      <c r="P57" s="102"/>
      <c r="Q57" s="254"/>
      <c r="R57" s="253">
        <f t="shared" ref="R57:AK57" si="16">R52/R$46</f>
        <v>0.34326991194144496</v>
      </c>
      <c r="S57" s="253">
        <f t="shared" si="16"/>
        <v>0.96187635344917521</v>
      </c>
      <c r="T57" s="253">
        <f>T52/T$46</f>
        <v>0.11661663798735281</v>
      </c>
      <c r="U57" s="253">
        <f t="shared" si="16"/>
        <v>0.56929484305544698</v>
      </c>
      <c r="V57" s="254">
        <f t="shared" si="16"/>
        <v>0.51513546153992107</v>
      </c>
      <c r="W57" s="253">
        <f t="shared" si="16"/>
        <v>1.2198248620043166</v>
      </c>
      <c r="X57" s="253">
        <f t="shared" si="16"/>
        <v>0.93764560965684252</v>
      </c>
      <c r="Y57" s="253">
        <f t="shared" si="16"/>
        <v>0.83836942006043791</v>
      </c>
      <c r="Z57" s="253">
        <f t="shared" si="16"/>
        <v>0.87381769478150106</v>
      </c>
      <c r="AA57" s="254">
        <f t="shared" si="16"/>
        <v>1.0290518903979502</v>
      </c>
      <c r="AB57" s="253">
        <f t="shared" si="16"/>
        <v>1.1712855384112042</v>
      </c>
      <c r="AC57" s="253">
        <f t="shared" si="16"/>
        <v>0.73006227680865432</v>
      </c>
      <c r="AD57" s="253">
        <f t="shared" si="16"/>
        <v>0.87924026024948254</v>
      </c>
      <c r="AE57" s="253">
        <f t="shared" si="16"/>
        <v>0.84070090245837781</v>
      </c>
      <c r="AF57" s="254">
        <f t="shared" si="16"/>
        <v>0.87905554481197978</v>
      </c>
      <c r="AG57" s="253">
        <f t="shared" si="16"/>
        <v>0.81564064053000829</v>
      </c>
      <c r="AH57" s="253">
        <f t="shared" si="16"/>
        <v>0.71366889043097081</v>
      </c>
      <c r="AI57" s="253">
        <f t="shared" si="16"/>
        <v>0.69474738050653873</v>
      </c>
      <c r="AJ57" s="253">
        <f t="shared" si="16"/>
        <v>0.699116325253761</v>
      </c>
      <c r="AK57" s="254">
        <f t="shared" si="16"/>
        <v>0.72767104373660929</v>
      </c>
    </row>
    <row r="58" spans="1:37" s="269" customFormat="1" ht="12.75" hidden="1" customHeight="1" outlineLevel="1">
      <c r="A58" s="416"/>
      <c r="B58" s="433"/>
      <c r="C58" s="655"/>
      <c r="D58" s="290"/>
      <c r="E58" s="290"/>
      <c r="F58" s="290"/>
      <c r="G58" s="254"/>
      <c r="H58" s="293"/>
      <c r="I58" s="290"/>
      <c r="J58" s="290"/>
      <c r="K58" s="290"/>
      <c r="L58" s="254"/>
      <c r="M58" s="293"/>
      <c r="N58" s="290"/>
      <c r="O58" s="290"/>
      <c r="P58" s="290"/>
      <c r="Q58" s="254"/>
      <c r="R58" s="1070"/>
      <c r="S58" s="1071"/>
      <c r="T58" s="1071"/>
      <c r="U58" s="1071"/>
      <c r="V58" s="254"/>
      <c r="W58" s="1070"/>
      <c r="X58" s="1010"/>
      <c r="Y58" s="1010"/>
      <c r="Z58" s="1010"/>
      <c r="AA58" s="1011"/>
      <c r="AB58" s="1009"/>
      <c r="AC58" s="1010"/>
      <c r="AD58" s="1010"/>
      <c r="AE58" s="1010"/>
      <c r="AF58" s="1011"/>
      <c r="AG58" s="1009"/>
      <c r="AH58" s="1010"/>
      <c r="AI58" s="1010"/>
      <c r="AJ58" s="1010"/>
      <c r="AK58" s="1011"/>
    </row>
    <row r="59" spans="1:37" s="1335" customFormat="1" ht="12.75" hidden="1" customHeight="1" outlineLevel="1">
      <c r="A59" s="1333"/>
      <c r="B59" s="1334" t="s">
        <v>506</v>
      </c>
      <c r="C59" s="782"/>
      <c r="D59" s="782"/>
      <c r="E59" s="782"/>
      <c r="F59" s="782"/>
      <c r="G59" s="783"/>
      <c r="H59" s="782"/>
      <c r="I59" s="782"/>
      <c r="J59" s="782"/>
      <c r="K59" s="487">
        <f>K124</f>
        <v>2256.6729999999998</v>
      </c>
      <c r="L59" s="784">
        <f>K59</f>
        <v>2256.6729999999998</v>
      </c>
      <c r="M59" s="782"/>
      <c r="N59" s="782"/>
      <c r="O59" s="487">
        <f>O124</f>
        <v>2460.34</v>
      </c>
      <c r="P59" s="487">
        <f>P124</f>
        <v>3200.866</v>
      </c>
      <c r="Q59" s="784">
        <f>P59</f>
        <v>3200.866</v>
      </c>
      <c r="R59" s="487">
        <f>R124</f>
        <v>4073.81</v>
      </c>
      <c r="S59" s="487">
        <f>S124</f>
        <v>4111.2560000000003</v>
      </c>
      <c r="T59" s="487">
        <f>T124</f>
        <v>6910.0659999999998</v>
      </c>
      <c r="U59" s="487">
        <f>T59*(1+U61)</f>
        <v>10365.099</v>
      </c>
      <c r="V59" s="784">
        <f>U59</f>
        <v>10365.099</v>
      </c>
      <c r="W59" s="487">
        <f>U59*(1+W61)</f>
        <v>8292.0792000000001</v>
      </c>
      <c r="X59" s="487">
        <f>W59*(1+X61)</f>
        <v>8457.9207839999999</v>
      </c>
      <c r="Y59" s="487">
        <f>X59*(1+Y61)</f>
        <v>8880.8168232000007</v>
      </c>
      <c r="Z59" s="487">
        <f>Y59*(1+Z61)</f>
        <v>9147.2413278960012</v>
      </c>
      <c r="AA59" s="784">
        <f>Z59</f>
        <v>9147.2413278960012</v>
      </c>
      <c r="AB59" s="487">
        <f>Z59*(1+AB61)</f>
        <v>8232.5171951064021</v>
      </c>
      <c r="AC59" s="487">
        <f>AB59*(1+AC61)</f>
        <v>9879.0206341276826</v>
      </c>
      <c r="AD59" s="487">
        <f>AC59*(1+AD61)</f>
        <v>10372.971665834068</v>
      </c>
      <c r="AE59" s="487">
        <f>AD59*(1+AE61)</f>
        <v>11099.079682442452</v>
      </c>
      <c r="AF59" s="784">
        <f>AE59</f>
        <v>11099.079682442452</v>
      </c>
      <c r="AG59" s="487">
        <f>AE59*(1+AG61)</f>
        <v>11876.015260213424</v>
      </c>
      <c r="AH59" s="487">
        <f>AG59*(1+AH61)</f>
        <v>13419.897244041167</v>
      </c>
      <c r="AI59" s="487">
        <f>AH59*(1+AI61)</f>
        <v>15164.483885766518</v>
      </c>
      <c r="AJ59" s="487">
        <f>AI59*(1+AJ61)</f>
        <v>16832.577113200838</v>
      </c>
      <c r="AK59" s="784">
        <f>AJ59</f>
        <v>16832.577113200838</v>
      </c>
    </row>
    <row r="60" spans="1:37" s="298" customFormat="1" ht="12.75" hidden="1" customHeight="1" outlineLevel="1">
      <c r="A60" s="1088"/>
      <c r="B60" s="1310" t="s">
        <v>31</v>
      </c>
      <c r="C60" s="102"/>
      <c r="D60" s="102"/>
      <c r="E60" s="102"/>
      <c r="F60" s="102"/>
      <c r="G60" s="254"/>
      <c r="H60" s="102"/>
      <c r="I60" s="102"/>
      <c r="J60" s="102"/>
      <c r="K60" s="102"/>
      <c r="L60" s="254"/>
      <c r="M60" s="102" t="str">
        <f t="shared" ref="M60:AF60" si="17">IFERROR(M59/H59-1,"")</f>
        <v/>
      </c>
      <c r="N60" s="102" t="str">
        <f t="shared" si="17"/>
        <v/>
      </c>
      <c r="O60" s="102" t="str">
        <f t="shared" si="17"/>
        <v/>
      </c>
      <c r="P60" s="102">
        <f t="shared" si="17"/>
        <v>0.41840045057480646</v>
      </c>
      <c r="Q60" s="254">
        <f t="shared" si="17"/>
        <v>0.41840045057480646</v>
      </c>
      <c r="R60" s="102" t="str">
        <f t="shared" si="17"/>
        <v/>
      </c>
      <c r="S60" s="102" t="str">
        <f t="shared" si="17"/>
        <v/>
      </c>
      <c r="T60" s="102">
        <f t="shared" si="17"/>
        <v>1.8085817407350202</v>
      </c>
      <c r="U60" s="102">
        <f t="shared" si="17"/>
        <v>2.2382170949986659</v>
      </c>
      <c r="V60" s="254">
        <f t="shared" si="17"/>
        <v>2.2382170949986659</v>
      </c>
      <c r="W60" s="102">
        <f t="shared" si="17"/>
        <v>1.0354604657556439</v>
      </c>
      <c r="X60" s="102">
        <f t="shared" si="17"/>
        <v>1.057259578094869</v>
      </c>
      <c r="Y60" s="102">
        <f t="shared" si="17"/>
        <v>0.28520000000000012</v>
      </c>
      <c r="Z60" s="102">
        <f t="shared" si="17"/>
        <v>-0.11749599999999993</v>
      </c>
      <c r="AA60" s="254">
        <f t="shared" si="17"/>
        <v>-0.11749599999999993</v>
      </c>
      <c r="AB60" s="102">
        <f t="shared" si="17"/>
        <v>-7.1829999999997174E-3</v>
      </c>
      <c r="AC60" s="102">
        <f t="shared" si="17"/>
        <v>0.16802000000000028</v>
      </c>
      <c r="AD60" s="102">
        <f t="shared" si="17"/>
        <v>0.16802000000000028</v>
      </c>
      <c r="AE60" s="102">
        <f t="shared" si="17"/>
        <v>0.21338000000000035</v>
      </c>
      <c r="AF60" s="254">
        <f t="shared" si="17"/>
        <v>0.21338000000000035</v>
      </c>
      <c r="AG60" s="102">
        <f>IFERROR(AG59/AB59-1,"")</f>
        <v>0.44257400000000002</v>
      </c>
      <c r="AH60" s="102">
        <f>IFERROR(AH59/AC59-1,"")</f>
        <v>0.35842384999999988</v>
      </c>
      <c r="AI60" s="102">
        <f>IFERROR(AI59/AD59-1,"")</f>
        <v>0.46192280999999968</v>
      </c>
      <c r="AJ60" s="102">
        <f>IFERROR(AJ59/AE59-1,"")</f>
        <v>0.51657412999999996</v>
      </c>
      <c r="AK60" s="254">
        <f>IFERROR(AK59/AF59-1,"")</f>
        <v>0.51657412999999996</v>
      </c>
    </row>
    <row r="61" spans="1:37" ht="12.75" hidden="1" customHeight="1" outlineLevel="1">
      <c r="B61" s="866" t="s">
        <v>33</v>
      </c>
      <c r="C61" s="616"/>
      <c r="D61" s="102"/>
      <c r="E61" s="102"/>
      <c r="F61" s="102"/>
      <c r="G61" s="255"/>
      <c r="H61" s="253"/>
      <c r="I61" s="102"/>
      <c r="J61" s="102"/>
      <c r="K61" s="102"/>
      <c r="L61" s="255"/>
      <c r="M61" s="253"/>
      <c r="N61" s="102"/>
      <c r="O61" s="102"/>
      <c r="P61" s="102">
        <f>IFERROR(P59/O59-1,"")</f>
        <v>0.30098522968370212</v>
      </c>
      <c r="Q61" s="255"/>
      <c r="R61" s="253">
        <f>R59/P59-1</f>
        <v>0.27272119482665014</v>
      </c>
      <c r="S61" s="102">
        <f>IFERROR(S59/R59-1,"")</f>
        <v>9.1918867104749946E-3</v>
      </c>
      <c r="T61" s="102">
        <f>IFERROR(T59/S59-1,"")</f>
        <v>0.68076762916247469</v>
      </c>
      <c r="U61" s="107">
        <v>0.5</v>
      </c>
      <c r="V61" s="521"/>
      <c r="W61" s="300">
        <v>-0.2</v>
      </c>
      <c r="X61" s="107">
        <v>0.02</v>
      </c>
      <c r="Y61" s="107">
        <v>0.05</v>
      </c>
      <c r="Z61" s="107">
        <v>0.03</v>
      </c>
      <c r="AA61" s="521"/>
      <c r="AB61" s="300">
        <v>-0.1</v>
      </c>
      <c r="AC61" s="300">
        <v>0.2</v>
      </c>
      <c r="AD61" s="300">
        <v>0.05</v>
      </c>
      <c r="AE61" s="300">
        <v>7.0000000000000007E-2</v>
      </c>
      <c r="AF61" s="255"/>
      <c r="AG61" s="300">
        <v>7.0000000000000007E-2</v>
      </c>
      <c r="AH61" s="300">
        <v>0.13</v>
      </c>
      <c r="AI61" s="300">
        <v>0.13</v>
      </c>
      <c r="AJ61" s="300">
        <v>0.11</v>
      </c>
      <c r="AK61" s="255"/>
    </row>
    <row r="62" spans="1:37" s="269" customFormat="1" ht="12.75" hidden="1" customHeight="1" outlineLevel="1">
      <c r="A62" s="416"/>
      <c r="B62" s="866" t="s">
        <v>384</v>
      </c>
      <c r="C62" s="608"/>
      <c r="D62" s="290"/>
      <c r="E62" s="290"/>
      <c r="F62" s="290"/>
      <c r="G62" s="410"/>
      <c r="H62" s="290"/>
      <c r="I62" s="290"/>
      <c r="J62" s="290"/>
      <c r="K62" s="290"/>
      <c r="L62" s="410"/>
      <c r="M62" s="290"/>
      <c r="N62" s="290"/>
      <c r="O62" s="290"/>
      <c r="P62" s="290">
        <f t="shared" ref="P62:AF62" si="18">P59-K59</f>
        <v>944.19300000000021</v>
      </c>
      <c r="Q62" s="410">
        <f t="shared" si="18"/>
        <v>944.19300000000021</v>
      </c>
      <c r="R62" s="290">
        <f t="shared" si="18"/>
        <v>4073.81</v>
      </c>
      <c r="S62" s="290">
        <f t="shared" si="18"/>
        <v>4111.2560000000003</v>
      </c>
      <c r="T62" s="290">
        <f t="shared" si="18"/>
        <v>4449.7259999999997</v>
      </c>
      <c r="U62" s="290">
        <f t="shared" si="18"/>
        <v>7164.2330000000002</v>
      </c>
      <c r="V62" s="410">
        <f t="shared" si="18"/>
        <v>7164.2330000000002</v>
      </c>
      <c r="W62" s="290">
        <f t="shared" si="18"/>
        <v>4218.2692000000006</v>
      </c>
      <c r="X62" s="290">
        <f t="shared" si="18"/>
        <v>4346.6647839999996</v>
      </c>
      <c r="Y62" s="290">
        <f t="shared" si="18"/>
        <v>1970.7508232000009</v>
      </c>
      <c r="Z62" s="290">
        <f t="shared" si="18"/>
        <v>-1217.857672103999</v>
      </c>
      <c r="AA62" s="410">
        <f t="shared" si="18"/>
        <v>-1217.857672103999</v>
      </c>
      <c r="AB62" s="290">
        <f t="shared" si="18"/>
        <v>-59.562004893597987</v>
      </c>
      <c r="AC62" s="290">
        <f t="shared" si="18"/>
        <v>1421.0998501276827</v>
      </c>
      <c r="AD62" s="290">
        <f t="shared" si="18"/>
        <v>1492.1548426340669</v>
      </c>
      <c r="AE62" s="290">
        <f t="shared" si="18"/>
        <v>1951.8383545464512</v>
      </c>
      <c r="AF62" s="410">
        <f t="shared" si="18"/>
        <v>1951.8383545464512</v>
      </c>
      <c r="AG62" s="290">
        <f>AG59-AB59</f>
        <v>3643.4980651070218</v>
      </c>
      <c r="AH62" s="290">
        <f>AH59-AC59</f>
        <v>3540.8766099134846</v>
      </c>
      <c r="AI62" s="290">
        <f>AI59-AD59</f>
        <v>4791.5122199324505</v>
      </c>
      <c r="AJ62" s="290">
        <f>AJ59-AE59</f>
        <v>5733.4974307583852</v>
      </c>
      <c r="AK62" s="410">
        <f>AK59-AF59</f>
        <v>5733.4974307583852</v>
      </c>
    </row>
    <row r="63" spans="1:37" s="269" customFormat="1" ht="12.75" hidden="1" customHeight="1" outlineLevel="1">
      <c r="A63" s="416"/>
      <c r="B63" s="866" t="s">
        <v>385</v>
      </c>
      <c r="C63" s="655"/>
      <c r="D63" s="290"/>
      <c r="E63" s="290"/>
      <c r="F63" s="290"/>
      <c r="G63" s="254"/>
      <c r="H63" s="293"/>
      <c r="I63" s="290"/>
      <c r="J63" s="290"/>
      <c r="K63" s="290"/>
      <c r="L63" s="254"/>
      <c r="M63" s="293"/>
      <c r="N63" s="290"/>
      <c r="O63" s="290"/>
      <c r="P63" s="290">
        <f>P59-O59</f>
        <v>740.52599999999984</v>
      </c>
      <c r="Q63" s="254"/>
      <c r="R63" s="293">
        <f>R59-P59</f>
        <v>872.94399999999996</v>
      </c>
      <c r="S63" s="290">
        <f>S59-R59</f>
        <v>37.446000000000367</v>
      </c>
      <c r="T63" s="290">
        <f>T59-S59</f>
        <v>2798.8099999999995</v>
      </c>
      <c r="U63" s="290">
        <f>U59-T59</f>
        <v>3455.0330000000004</v>
      </c>
      <c r="V63" s="254"/>
      <c r="W63" s="293">
        <f>W59-U59</f>
        <v>-2073.0198</v>
      </c>
      <c r="X63" s="290">
        <f>X59-W59</f>
        <v>165.84158399999978</v>
      </c>
      <c r="Y63" s="290">
        <f>Y59-X59</f>
        <v>422.89603920000081</v>
      </c>
      <c r="Z63" s="290">
        <f>Z59-Y59</f>
        <v>266.42450469600044</v>
      </c>
      <c r="AA63" s="254"/>
      <c r="AB63" s="293">
        <f>AB59-Z59</f>
        <v>-914.72413278959903</v>
      </c>
      <c r="AC63" s="290">
        <f>AC59-AB59</f>
        <v>1646.5034390212804</v>
      </c>
      <c r="AD63" s="290">
        <f>AD59-AC59</f>
        <v>493.95103170638504</v>
      </c>
      <c r="AE63" s="290">
        <f>AE59-AD59</f>
        <v>726.10801660838479</v>
      </c>
      <c r="AF63" s="254"/>
      <c r="AG63" s="293">
        <f>AG59-AE59</f>
        <v>776.93557777097158</v>
      </c>
      <c r="AH63" s="290">
        <f>AH59-AG59</f>
        <v>1543.8819838277432</v>
      </c>
      <c r="AI63" s="290">
        <f>AI59-AH59</f>
        <v>1744.586641725351</v>
      </c>
      <c r="AJ63" s="290">
        <f>AJ59-AI59</f>
        <v>1668.0932274343195</v>
      </c>
      <c r="AK63" s="254"/>
    </row>
    <row r="64" spans="1:37" s="269" customFormat="1" ht="12.75" hidden="1" customHeight="1" outlineLevel="1">
      <c r="A64" s="416"/>
      <c r="B64" s="866" t="s">
        <v>525</v>
      </c>
      <c r="C64" s="655"/>
      <c r="D64" s="290"/>
      <c r="E64" s="290"/>
      <c r="F64" s="290"/>
      <c r="G64" s="254"/>
      <c r="H64" s="293"/>
      <c r="I64" s="290"/>
      <c r="J64" s="290"/>
      <c r="K64" s="290"/>
      <c r="L64" s="254"/>
      <c r="M64" s="293"/>
      <c r="N64" s="290"/>
      <c r="O64" s="102">
        <f t="shared" ref="O64:AK64" si="19">O59/O31</f>
        <v>0.25289226109635027</v>
      </c>
      <c r="P64" s="102">
        <f t="shared" si="19"/>
        <v>0.24851434452082902</v>
      </c>
      <c r="Q64" s="254">
        <f t="shared" si="19"/>
        <v>0.24851434452082902</v>
      </c>
      <c r="R64" s="253">
        <f t="shared" si="19"/>
        <v>0.26096519731625067</v>
      </c>
      <c r="S64" s="102">
        <f t="shared" si="19"/>
        <v>0.22121227431605628</v>
      </c>
      <c r="T64" s="102">
        <f>T59/T31</f>
        <v>0.29741489528233461</v>
      </c>
      <c r="U64" s="102">
        <f t="shared" si="19"/>
        <v>0.32809147445828601</v>
      </c>
      <c r="V64" s="254">
        <f t="shared" si="19"/>
        <v>0.32809147445828601</v>
      </c>
      <c r="W64" s="253">
        <f t="shared" si="19"/>
        <v>0.20519008263465122</v>
      </c>
      <c r="X64" s="102">
        <f t="shared" si="19"/>
        <v>0.18594356893848263</v>
      </c>
      <c r="Y64" s="102">
        <f t="shared" si="19"/>
        <v>0.18096476225876013</v>
      </c>
      <c r="Z64" s="102">
        <f t="shared" si="19"/>
        <v>0.17417471463323089</v>
      </c>
      <c r="AA64" s="254">
        <f t="shared" si="19"/>
        <v>0.17417471463323089</v>
      </c>
      <c r="AB64" s="253">
        <f t="shared" si="19"/>
        <v>0.14495508905216728</v>
      </c>
      <c r="AC64" s="102">
        <f t="shared" si="19"/>
        <v>0.15519933889454376</v>
      </c>
      <c r="AD64" s="102">
        <f t="shared" si="19"/>
        <v>0.14957423076659274</v>
      </c>
      <c r="AE64" s="102">
        <f t="shared" si="19"/>
        <v>0.14738373996428766</v>
      </c>
      <c r="AF64" s="254">
        <f t="shared" si="19"/>
        <v>0.14738373996428766</v>
      </c>
      <c r="AG64" s="253">
        <f t="shared" si="19"/>
        <v>0.1469172164845837</v>
      </c>
      <c r="AH64" s="102">
        <f t="shared" si="19"/>
        <v>0.15398283771142607</v>
      </c>
      <c r="AI64" s="102">
        <f t="shared" si="19"/>
        <v>0.16194258747924703</v>
      </c>
      <c r="AJ64" s="102">
        <f t="shared" si="19"/>
        <v>0.16817480410997487</v>
      </c>
      <c r="AK64" s="254">
        <f t="shared" si="19"/>
        <v>0.16817480410997487</v>
      </c>
    </row>
    <row r="65" spans="1:37" s="269" customFormat="1" ht="12.75" hidden="1" customHeight="1" outlineLevel="1">
      <c r="A65" s="416"/>
      <c r="B65" s="1116"/>
      <c r="C65" s="655"/>
      <c r="D65" s="290"/>
      <c r="E65" s="290"/>
      <c r="F65" s="290"/>
      <c r="G65" s="254"/>
      <c r="H65" s="293"/>
      <c r="I65" s="290"/>
      <c r="J65" s="290"/>
      <c r="K65" s="290"/>
      <c r="L65" s="254"/>
      <c r="M65" s="293"/>
      <c r="N65" s="290"/>
      <c r="O65" s="290"/>
      <c r="P65" s="290"/>
      <c r="Q65" s="254"/>
      <c r="R65" s="293"/>
      <c r="S65" s="290"/>
      <c r="T65" s="290"/>
      <c r="U65" s="290"/>
      <c r="V65" s="254"/>
      <c r="W65" s="293"/>
      <c r="X65" s="290"/>
      <c r="Y65" s="290"/>
      <c r="Z65" s="290"/>
      <c r="AA65" s="254"/>
      <c r="AB65" s="293"/>
      <c r="AC65" s="290"/>
      <c r="AD65" s="290"/>
      <c r="AE65" s="290"/>
      <c r="AF65" s="254"/>
      <c r="AG65" s="293"/>
      <c r="AH65" s="290"/>
      <c r="AI65" s="290"/>
      <c r="AJ65" s="290"/>
      <c r="AK65" s="254"/>
    </row>
    <row r="66" spans="1:37" s="289" customFormat="1" ht="12.75" hidden="1" customHeight="1" outlineLevel="1">
      <c r="A66" s="283"/>
      <c r="B66" s="1337" t="s">
        <v>387</v>
      </c>
      <c r="C66" s="371"/>
      <c r="D66" s="371"/>
      <c r="E66" s="371"/>
      <c r="F66" s="371"/>
      <c r="G66" s="495"/>
      <c r="H66" s="371"/>
      <c r="I66" s="371"/>
      <c r="J66" s="371"/>
      <c r="K66" s="491"/>
      <c r="L66" s="495"/>
      <c r="M66" s="371"/>
      <c r="N66" s="371"/>
      <c r="O66" s="491"/>
      <c r="P66" s="491">
        <f>P59-O59</f>
        <v>740.52599999999984</v>
      </c>
      <c r="Q66" s="370">
        <f>Q59-L59</f>
        <v>944.19300000000021</v>
      </c>
      <c r="R66" s="491">
        <f>R59-Q59</f>
        <v>872.94399999999996</v>
      </c>
      <c r="S66" s="491">
        <f>S59-R59</f>
        <v>37.446000000000367</v>
      </c>
      <c r="T66" s="491">
        <f>T59-S59</f>
        <v>2798.8099999999995</v>
      </c>
      <c r="U66" s="491">
        <f>U59-T59</f>
        <v>3455.0330000000004</v>
      </c>
      <c r="V66" s="370">
        <f>SUM(R66:U66)</f>
        <v>7164.2330000000002</v>
      </c>
      <c r="W66" s="491">
        <f>W59-U59</f>
        <v>-2073.0198</v>
      </c>
      <c r="X66" s="491">
        <f>X59-W59</f>
        <v>165.84158399999978</v>
      </c>
      <c r="Y66" s="491">
        <f>Y59-X59</f>
        <v>422.89603920000081</v>
      </c>
      <c r="Z66" s="491">
        <f>Z59-Y59</f>
        <v>266.42450469600044</v>
      </c>
      <c r="AA66" s="370">
        <f>SUM(W66:Z66)</f>
        <v>-1217.857672103999</v>
      </c>
      <c r="AB66" s="491">
        <f>AB59-Z59</f>
        <v>-914.72413278959903</v>
      </c>
      <c r="AC66" s="491">
        <f>AC59-AB59</f>
        <v>1646.5034390212804</v>
      </c>
      <c r="AD66" s="491">
        <f>AD59-AC59</f>
        <v>493.95103170638504</v>
      </c>
      <c r="AE66" s="491">
        <f>AE59-AD59</f>
        <v>726.10801660838479</v>
      </c>
      <c r="AF66" s="370">
        <f>SUM(AB66:AE66)</f>
        <v>1951.8383545464512</v>
      </c>
      <c r="AG66" s="491">
        <f>AG59-AE59</f>
        <v>776.93557777097158</v>
      </c>
      <c r="AH66" s="491">
        <f>AH59-AG59</f>
        <v>1543.8819838277432</v>
      </c>
      <c r="AI66" s="491">
        <f>AI59-AH59</f>
        <v>1744.586641725351</v>
      </c>
      <c r="AJ66" s="491">
        <f>AJ59-AI59</f>
        <v>1668.0932274343195</v>
      </c>
      <c r="AK66" s="370">
        <f>SUM(AG66:AJ66)</f>
        <v>5733.4974307583852</v>
      </c>
    </row>
    <row r="67" spans="1:37" s="298" customFormat="1" ht="12.75" hidden="1" customHeight="1" outlineLevel="1">
      <c r="A67" s="1088"/>
      <c r="B67" s="1310" t="s">
        <v>31</v>
      </c>
      <c r="C67" s="102"/>
      <c r="D67" s="102"/>
      <c r="E67" s="102"/>
      <c r="F67" s="102"/>
      <c r="G67" s="254"/>
      <c r="H67" s="102"/>
      <c r="I67" s="102"/>
      <c r="J67" s="102"/>
      <c r="K67" s="102"/>
      <c r="L67" s="254"/>
      <c r="M67" s="102" t="str">
        <f t="shared" ref="M67:T67" si="20">IFERROR(M66/H66-1,"")</f>
        <v/>
      </c>
      <c r="N67" s="102" t="str">
        <f t="shared" si="20"/>
        <v/>
      </c>
      <c r="O67" s="102" t="str">
        <f t="shared" si="20"/>
        <v/>
      </c>
      <c r="P67" s="102" t="str">
        <f t="shared" si="20"/>
        <v/>
      </c>
      <c r="Q67" s="254" t="str">
        <f t="shared" si="20"/>
        <v/>
      </c>
      <c r="R67" s="102" t="str">
        <f t="shared" si="20"/>
        <v/>
      </c>
      <c r="S67" s="102" t="str">
        <f t="shared" si="20"/>
        <v/>
      </c>
      <c r="T67" s="102" t="str">
        <f t="shared" si="20"/>
        <v/>
      </c>
      <c r="U67" s="102">
        <f t="shared" ref="U67:AF67" si="21">IFERROR(U66/P66-1,"")</f>
        <v>3.6656471211004087</v>
      </c>
      <c r="V67" s="254">
        <f t="shared" si="21"/>
        <v>6.5876785784262308</v>
      </c>
      <c r="W67" s="102">
        <f t="shared" si="21"/>
        <v>-3.3747454590443375</v>
      </c>
      <c r="X67" s="102">
        <f t="shared" si="21"/>
        <v>3.4288197404261647</v>
      </c>
      <c r="Y67" s="102">
        <f t="shared" si="21"/>
        <v>-0.84890148341616589</v>
      </c>
      <c r="Z67" s="102">
        <f t="shared" si="21"/>
        <v>-0.92288799999999993</v>
      </c>
      <c r="AA67" s="254">
        <f t="shared" si="21"/>
        <v>-1.1699913545670553</v>
      </c>
      <c r="AB67" s="102">
        <f t="shared" si="21"/>
        <v>-0.55874800000000047</v>
      </c>
      <c r="AC67" s="102">
        <f t="shared" si="21"/>
        <v>8.9281700000000157</v>
      </c>
      <c r="AD67" s="102">
        <f t="shared" si="21"/>
        <v>0.16802000000000028</v>
      </c>
      <c r="AE67" s="102">
        <f t="shared" si="21"/>
        <v>1.7253799999999968</v>
      </c>
      <c r="AF67" s="254">
        <f t="shared" si="21"/>
        <v>-2.602681823381225</v>
      </c>
      <c r="AG67" s="102">
        <f>IFERROR(AG66/AB66-1,"")</f>
        <v>-1.8493660000000012</v>
      </c>
      <c r="AH67" s="102">
        <f>IFERROR(AH66/AC66-1,"")</f>
        <v>-6.2326900000001073E-2</v>
      </c>
      <c r="AI67" s="102">
        <f>IFERROR(AI66/AD66-1,"")</f>
        <v>2.5319020099999916</v>
      </c>
      <c r="AJ67" s="102">
        <f>IFERROR(AJ66/AE66-1,"")</f>
        <v>1.2973072728571458</v>
      </c>
      <c r="AK67" s="254">
        <f>IFERROR(AK66/AF66-1,"")</f>
        <v>1.9374857899493825</v>
      </c>
    </row>
    <row r="68" spans="1:37" ht="12.75" hidden="1" customHeight="1" outlineLevel="1">
      <c r="B68" s="866" t="s">
        <v>33</v>
      </c>
      <c r="C68" s="616"/>
      <c r="D68" s="102"/>
      <c r="E68" s="102"/>
      <c r="F68" s="102"/>
      <c r="G68" s="255"/>
      <c r="H68" s="253"/>
      <c r="I68" s="102"/>
      <c r="J68" s="102"/>
      <c r="K68" s="102"/>
      <c r="L68" s="255"/>
      <c r="M68" s="253" t="str">
        <f>IFERROR(M66/K66-1,"")</f>
        <v/>
      </c>
      <c r="N68" s="102" t="str">
        <f>IFERROR(N66/M66-1,"")</f>
        <v/>
      </c>
      <c r="O68" s="102" t="str">
        <f>IFERROR(O66/N66-1,"")</f>
        <v/>
      </c>
      <c r="P68" s="102" t="str">
        <f>IFERROR(P66/O66-1,"")</f>
        <v/>
      </c>
      <c r="Q68" s="255"/>
      <c r="R68" s="253">
        <f>IFERROR(R66/P66-1,"")</f>
        <v>0.178816138798638</v>
      </c>
      <c r="S68" s="102">
        <f>IFERROR(S66/R66-1,"")</f>
        <v>-0.95710377756190501</v>
      </c>
      <c r="T68" s="102">
        <f>IFERROR(T66/S66-1,"")</f>
        <v>73.742562623510437</v>
      </c>
      <c r="U68" s="102">
        <f>IFERROR(U66/T66-1,"")</f>
        <v>0.23446500476988463</v>
      </c>
      <c r="V68" s="255"/>
      <c r="W68" s="253">
        <f>IFERROR(W66/U66-1,"")</f>
        <v>-1.6</v>
      </c>
      <c r="X68" s="102">
        <f>IFERROR(X66/W66-1,"")</f>
        <v>-1.0799999999999998</v>
      </c>
      <c r="Y68" s="102">
        <f>IFERROR(Y66/X66-1,"")</f>
        <v>1.5500000000000083</v>
      </c>
      <c r="Z68" s="102">
        <f>IFERROR(Z66/Y66-1,"")</f>
        <v>-0.37000000000000022</v>
      </c>
      <c r="AA68" s="255"/>
      <c r="AB68" s="253">
        <f>IFERROR(AB66/Z66-1,"")</f>
        <v>-4.4333333333333238</v>
      </c>
      <c r="AC68" s="102">
        <f>IFERROR(AC66/AB66-1,"")</f>
        <v>-2.8000000000000025</v>
      </c>
      <c r="AD68" s="102">
        <f>IFERROR(AD66/AC66-1,"")</f>
        <v>-0.69999999999999951</v>
      </c>
      <c r="AE68" s="102">
        <f>IFERROR(AE66/AD66-1,"")</f>
        <v>0.46999999999999753</v>
      </c>
      <c r="AF68" s="255"/>
      <c r="AG68" s="253">
        <f>IFERROR(AG66/AE66-1,"")</f>
        <v>6.999999999999984E-2</v>
      </c>
      <c r="AH68" s="102">
        <f>IFERROR(AH66/AG66-1,"")</f>
        <v>0.98714285714285488</v>
      </c>
      <c r="AI68" s="102">
        <f>IFERROR(AI66/AH66-1,"")</f>
        <v>0.13000000000000078</v>
      </c>
      <c r="AJ68" s="102">
        <f>IFERROR(AJ66/AI66-1,"")</f>
        <v>-4.3846153846152092E-2</v>
      </c>
      <c r="AK68" s="255"/>
    </row>
    <row r="69" spans="1:37" s="269" customFormat="1" ht="12.75" hidden="1" customHeight="1" outlineLevel="1">
      <c r="A69" s="416"/>
      <c r="B69" s="433" t="s">
        <v>384</v>
      </c>
      <c r="C69" s="608"/>
      <c r="D69" s="290"/>
      <c r="E69" s="290"/>
      <c r="F69" s="290"/>
      <c r="G69" s="410"/>
      <c r="H69" s="290"/>
      <c r="I69" s="290"/>
      <c r="J69" s="290"/>
      <c r="K69" s="290"/>
      <c r="L69" s="410"/>
      <c r="M69" s="290"/>
      <c r="N69" s="290"/>
      <c r="O69" s="290"/>
      <c r="P69" s="290"/>
      <c r="Q69" s="410"/>
      <c r="R69" s="290">
        <f t="shared" ref="R69:AF69" si="22">R66-M66</f>
        <v>872.94399999999996</v>
      </c>
      <c r="S69" s="290">
        <f t="shared" si="22"/>
        <v>37.446000000000367</v>
      </c>
      <c r="T69" s="290">
        <f t="shared" si="22"/>
        <v>2798.8099999999995</v>
      </c>
      <c r="U69" s="290">
        <f t="shared" si="22"/>
        <v>2714.5070000000005</v>
      </c>
      <c r="V69" s="410">
        <f t="shared" si="22"/>
        <v>6220.04</v>
      </c>
      <c r="W69" s="290">
        <f t="shared" si="22"/>
        <v>-2945.9638</v>
      </c>
      <c r="X69" s="290">
        <f t="shared" si="22"/>
        <v>128.39558399999942</v>
      </c>
      <c r="Y69" s="290">
        <f t="shared" si="22"/>
        <v>-2375.9139607999987</v>
      </c>
      <c r="Z69" s="290">
        <f t="shared" si="22"/>
        <v>-3188.6084953039999</v>
      </c>
      <c r="AA69" s="410">
        <f t="shared" si="22"/>
        <v>-8382.0906721039992</v>
      </c>
      <c r="AB69" s="290">
        <f t="shared" si="22"/>
        <v>1158.295667210401</v>
      </c>
      <c r="AC69" s="290">
        <f t="shared" si="22"/>
        <v>1480.6618550212806</v>
      </c>
      <c r="AD69" s="290">
        <f t="shared" si="22"/>
        <v>71.054992506384224</v>
      </c>
      <c r="AE69" s="290">
        <f t="shared" si="22"/>
        <v>459.68351191238435</v>
      </c>
      <c r="AF69" s="410">
        <f t="shared" si="22"/>
        <v>3169.6960266504502</v>
      </c>
      <c r="AG69" s="290">
        <f>AG66-AB66</f>
        <v>1691.6597105605706</v>
      </c>
      <c r="AH69" s="290">
        <f>AH66-AC66</f>
        <v>-102.62145519353726</v>
      </c>
      <c r="AI69" s="290">
        <f>AI66-AD66</f>
        <v>1250.635610018966</v>
      </c>
      <c r="AJ69" s="290">
        <f>AJ66-AE66</f>
        <v>941.9852108259347</v>
      </c>
      <c r="AK69" s="410">
        <f>AK66-AF66</f>
        <v>3781.659076211934</v>
      </c>
    </row>
    <row r="70" spans="1:37" s="269" customFormat="1" ht="12.75" hidden="1" customHeight="1" outlineLevel="1">
      <c r="A70" s="416"/>
      <c r="B70" s="433" t="s">
        <v>385</v>
      </c>
      <c r="C70" s="655"/>
      <c r="D70" s="290"/>
      <c r="E70" s="290"/>
      <c r="F70" s="290"/>
      <c r="G70" s="254"/>
      <c r="H70" s="293"/>
      <c r="I70" s="290"/>
      <c r="J70" s="290"/>
      <c r="K70" s="290"/>
      <c r="L70" s="254"/>
      <c r="M70" s="293"/>
      <c r="N70" s="290"/>
      <c r="O70" s="290"/>
      <c r="P70" s="290"/>
      <c r="Q70" s="254"/>
      <c r="R70" s="293">
        <f>R66-P66</f>
        <v>132.41800000000012</v>
      </c>
      <c r="S70" s="290">
        <f>S66-R66</f>
        <v>-835.49799999999959</v>
      </c>
      <c r="T70" s="290">
        <f>T66-S66</f>
        <v>2761.3639999999991</v>
      </c>
      <c r="U70" s="290">
        <f>U66-T66</f>
        <v>656.22300000000087</v>
      </c>
      <c r="V70" s="254"/>
      <c r="W70" s="293">
        <f>W66-U66</f>
        <v>-5528.0528000000004</v>
      </c>
      <c r="X70" s="290">
        <f>X66-W66</f>
        <v>2238.8613839999998</v>
      </c>
      <c r="Y70" s="290">
        <f>Y66-X66</f>
        <v>257.05445520000103</v>
      </c>
      <c r="Z70" s="290">
        <f>Z66-Y66</f>
        <v>-156.47153450400037</v>
      </c>
      <c r="AA70" s="254"/>
      <c r="AB70" s="293">
        <f>AB66-Z66</f>
        <v>-1181.1486374855995</v>
      </c>
      <c r="AC70" s="290">
        <f>AC66-AB66</f>
        <v>2561.2275718108795</v>
      </c>
      <c r="AD70" s="290">
        <f>AD66-AC66</f>
        <v>-1152.5524073148954</v>
      </c>
      <c r="AE70" s="290">
        <f>AE66-AD66</f>
        <v>232.15698490199975</v>
      </c>
      <c r="AF70" s="254"/>
      <c r="AG70" s="293">
        <f>AG66-AE66</f>
        <v>50.82756116258679</v>
      </c>
      <c r="AH70" s="290">
        <f>AH66-AG66</f>
        <v>766.94640605677159</v>
      </c>
      <c r="AI70" s="290">
        <f>AI66-AH66</f>
        <v>200.70465789760783</v>
      </c>
      <c r="AJ70" s="290">
        <f>AJ66-AI66</f>
        <v>-76.493414291031513</v>
      </c>
      <c r="AK70" s="254"/>
    </row>
    <row r="71" spans="1:37" s="237" customFormat="1" ht="12.75" hidden="1" customHeight="1" outlineLevel="1">
      <c r="A71" s="78"/>
      <c r="B71" s="433" t="s">
        <v>635</v>
      </c>
      <c r="C71" s="616"/>
      <c r="D71" s="102"/>
      <c r="E71" s="102"/>
      <c r="F71" s="102"/>
      <c r="G71" s="254"/>
      <c r="H71" s="253"/>
      <c r="I71" s="102"/>
      <c r="J71" s="102"/>
      <c r="K71" s="102"/>
      <c r="L71" s="254"/>
      <c r="M71" s="253"/>
      <c r="N71" s="102"/>
      <c r="O71" s="102"/>
      <c r="P71" s="102"/>
      <c r="Q71" s="254"/>
      <c r="R71" s="253">
        <f t="shared" ref="R71:AK71" si="23">R66/R$46</f>
        <v>0.62027101826897046</v>
      </c>
      <c r="S71" s="253">
        <f t="shared" si="23"/>
        <v>1.526543910457122E-2</v>
      </c>
      <c r="T71" s="253">
        <f>T66/T$46</f>
        <v>0.85361167212498756</v>
      </c>
      <c r="U71" s="253">
        <f t="shared" si="23"/>
        <v>0.41336343953020588</v>
      </c>
      <c r="V71" s="254">
        <f t="shared" si="23"/>
        <v>0.46228376871102977</v>
      </c>
      <c r="W71" s="253">
        <f t="shared" si="23"/>
        <v>-0.23504705702543499</v>
      </c>
      <c r="X71" s="253">
        <f t="shared" si="23"/>
        <v>3.2679452680478893E-2</v>
      </c>
      <c r="Y71" s="253">
        <f t="shared" si="23"/>
        <v>0.11785258056794408</v>
      </c>
      <c r="Z71" s="253">
        <f t="shared" si="23"/>
        <v>7.7386472742720119E-2</v>
      </c>
      <c r="AA71" s="254">
        <f t="shared" si="23"/>
        <v>-5.8199642366277636E-2</v>
      </c>
      <c r="AB71" s="253">
        <f t="shared" si="23"/>
        <v>-0.2139229077880343</v>
      </c>
      <c r="AC71" s="253">
        <f t="shared" si="23"/>
        <v>0.24000866739940574</v>
      </c>
      <c r="AD71" s="253">
        <f t="shared" si="23"/>
        <v>8.6715321373204188E-2</v>
      </c>
      <c r="AE71" s="253">
        <f t="shared" si="23"/>
        <v>0.12188411834628771</v>
      </c>
      <c r="AF71" s="254">
        <f t="shared" si="23"/>
        <v>8.5645500001934188E-2</v>
      </c>
      <c r="AG71" s="253">
        <f t="shared" si="23"/>
        <v>0.14056111130046312</v>
      </c>
      <c r="AH71" s="253">
        <f t="shared" si="23"/>
        <v>0.24439492364402746</v>
      </c>
      <c r="AI71" s="253">
        <f t="shared" si="23"/>
        <v>0.26884426500126912</v>
      </c>
      <c r="AJ71" s="253">
        <f t="shared" si="23"/>
        <v>0.25867298722186788</v>
      </c>
      <c r="AK71" s="254">
        <f t="shared" si="23"/>
        <v>0.23135348188072791</v>
      </c>
    </row>
    <row r="72" spans="1:37" s="237" customFormat="1" ht="12.75" hidden="1" customHeight="1" outlineLevel="1">
      <c r="A72" s="78"/>
      <c r="B72" s="433"/>
      <c r="C72" s="616"/>
      <c r="D72" s="102"/>
      <c r="E72" s="102"/>
      <c r="F72" s="102"/>
      <c r="G72" s="254"/>
      <c r="H72" s="253"/>
      <c r="I72" s="102"/>
      <c r="J72" s="102"/>
      <c r="K72" s="102"/>
      <c r="L72" s="254"/>
      <c r="M72" s="253"/>
      <c r="N72" s="102"/>
      <c r="O72" s="102"/>
      <c r="P72" s="102"/>
      <c r="Q72" s="254"/>
      <c r="R72" s="253"/>
      <c r="S72" s="253"/>
      <c r="T72" s="253"/>
      <c r="U72" s="253"/>
      <c r="V72" s="254"/>
      <c r="W72" s="253"/>
      <c r="X72" s="253"/>
      <c r="Y72" s="253"/>
      <c r="Z72" s="253"/>
      <c r="AA72" s="254"/>
      <c r="AB72" s="253"/>
      <c r="AC72" s="253"/>
      <c r="AD72" s="253"/>
      <c r="AE72" s="253"/>
      <c r="AF72" s="254"/>
      <c r="AG72" s="253"/>
      <c r="AH72" s="253"/>
      <c r="AI72" s="253"/>
      <c r="AJ72" s="253"/>
      <c r="AK72" s="254"/>
    </row>
    <row r="73" spans="1:37" s="1335" customFormat="1" ht="12.75" hidden="1" customHeight="1" outlineLevel="1">
      <c r="A73" s="1333"/>
      <c r="B73" s="1334" t="s">
        <v>639</v>
      </c>
      <c r="C73" s="782"/>
      <c r="D73" s="782"/>
      <c r="E73" s="782"/>
      <c r="F73" s="782"/>
      <c r="G73" s="783"/>
      <c r="H73" s="782"/>
      <c r="I73" s="782"/>
      <c r="J73" s="782"/>
      <c r="K73" s="487"/>
      <c r="L73" s="784"/>
      <c r="M73" s="782"/>
      <c r="N73" s="782"/>
      <c r="O73" s="487"/>
      <c r="P73" s="491">
        <f>P34-P46+P66</f>
        <v>-10.672000000000025</v>
      </c>
      <c r="Q73" s="370">
        <f>Q34-Q46+Q66</f>
        <v>542.11500000000069</v>
      </c>
      <c r="R73" s="491">
        <f>R34-R46+R66</f>
        <v>1365.585</v>
      </c>
      <c r="S73" s="491">
        <f>S34-S46+S66</f>
        <v>484.45400000000018</v>
      </c>
      <c r="T73" s="491">
        <f>T34-T46+T66</f>
        <v>1420.0239999999994</v>
      </c>
      <c r="U73" s="491">
        <f>T73*(1+U75)</f>
        <v>1420.0239999999994</v>
      </c>
      <c r="V73" s="370">
        <f>SUM(R73:U73)</f>
        <v>4690.0869999999995</v>
      </c>
      <c r="W73" s="491">
        <f>U73*(1+W75)</f>
        <v>1491.0251999999994</v>
      </c>
      <c r="X73" s="491">
        <f>W73*(1+X75)</f>
        <v>1491.0251999999994</v>
      </c>
      <c r="Y73" s="491">
        <f>X73*(1+Y75)</f>
        <v>1491.0251999999994</v>
      </c>
      <c r="Z73" s="491">
        <f>Y73*(1+Z75)</f>
        <v>1491.0251999999994</v>
      </c>
      <c r="AA73" s="370">
        <f>SUM(W73:Z73)</f>
        <v>5964.1007999999974</v>
      </c>
      <c r="AB73" s="491">
        <f>Z73*(1+AB75)</f>
        <v>1491.0251999999994</v>
      </c>
      <c r="AC73" s="491">
        <f>AB73*(1+AC75)</f>
        <v>1491.0251999999994</v>
      </c>
      <c r="AD73" s="491">
        <f>AC73*(1+AD75)</f>
        <v>1491.0251999999994</v>
      </c>
      <c r="AE73" s="491">
        <f>AD73*(1+AE75)</f>
        <v>1491.0251999999994</v>
      </c>
      <c r="AF73" s="370">
        <f>SUM(AB73:AE73)</f>
        <v>5964.1007999999974</v>
      </c>
      <c r="AG73" s="491">
        <f>AE73*(1+AG75)</f>
        <v>1491.0251999999994</v>
      </c>
      <c r="AH73" s="491">
        <f>AG73*(1+AH75)</f>
        <v>1491.0251999999994</v>
      </c>
      <c r="AI73" s="491">
        <f>AH73*(1+AI75)</f>
        <v>1491.0251999999994</v>
      </c>
      <c r="AJ73" s="491">
        <f>AI73*(1+AJ75)</f>
        <v>1491.0251999999994</v>
      </c>
      <c r="AK73" s="370">
        <f>SUM(AG73:AJ73)</f>
        <v>5964.1007999999974</v>
      </c>
    </row>
    <row r="74" spans="1:37" s="298" customFormat="1" ht="12.75" hidden="1" customHeight="1" outlineLevel="1">
      <c r="A74" s="1088"/>
      <c r="B74" s="1310" t="s">
        <v>31</v>
      </c>
      <c r="C74" s="102"/>
      <c r="D74" s="102"/>
      <c r="E74" s="102"/>
      <c r="F74" s="102"/>
      <c r="G74" s="254"/>
      <c r="H74" s="102"/>
      <c r="I74" s="102"/>
      <c r="J74" s="102"/>
      <c r="K74" s="102"/>
      <c r="L74" s="254"/>
      <c r="M74" s="102" t="str">
        <f t="shared" ref="M74:AK74" si="24">IFERROR(M73/H73-1,"")</f>
        <v/>
      </c>
      <c r="N74" s="102" t="str">
        <f t="shared" si="24"/>
        <v/>
      </c>
      <c r="O74" s="102" t="str">
        <f t="shared" si="24"/>
        <v/>
      </c>
      <c r="P74" s="102" t="str">
        <f t="shared" si="24"/>
        <v/>
      </c>
      <c r="Q74" s="254" t="str">
        <f t="shared" si="24"/>
        <v/>
      </c>
      <c r="R74" s="102" t="str">
        <f t="shared" si="24"/>
        <v/>
      </c>
      <c r="S74" s="102" t="str">
        <f t="shared" si="24"/>
        <v/>
      </c>
      <c r="T74" s="102" t="str">
        <f t="shared" si="24"/>
        <v/>
      </c>
      <c r="U74" s="102">
        <f t="shared" si="24"/>
        <v>-134.06071964017954</v>
      </c>
      <c r="V74" s="254">
        <f t="shared" si="24"/>
        <v>7.6514614057902719</v>
      </c>
      <c r="W74" s="102">
        <f t="shared" si="24"/>
        <v>9.1858214611319822E-2</v>
      </c>
      <c r="X74" s="102">
        <f t="shared" si="24"/>
        <v>2.0777436041399158</v>
      </c>
      <c r="Y74" s="102">
        <f t="shared" si="24"/>
        <v>5.0000000000000044E-2</v>
      </c>
      <c r="Z74" s="102">
        <f t="shared" si="24"/>
        <v>5.0000000000000044E-2</v>
      </c>
      <c r="AA74" s="254">
        <f t="shared" si="24"/>
        <v>0.27163969453018644</v>
      </c>
      <c r="AB74" s="102">
        <f t="shared" si="24"/>
        <v>0</v>
      </c>
      <c r="AC74" s="102">
        <f t="shared" si="24"/>
        <v>0</v>
      </c>
      <c r="AD74" s="102">
        <f t="shared" si="24"/>
        <v>0</v>
      </c>
      <c r="AE74" s="102">
        <f t="shared" si="24"/>
        <v>0</v>
      </c>
      <c r="AF74" s="254">
        <f t="shared" si="24"/>
        <v>0</v>
      </c>
      <c r="AG74" s="102">
        <f t="shared" si="24"/>
        <v>0</v>
      </c>
      <c r="AH74" s="102">
        <f t="shared" si="24"/>
        <v>0</v>
      </c>
      <c r="AI74" s="102">
        <f t="shared" si="24"/>
        <v>0</v>
      </c>
      <c r="AJ74" s="102">
        <f t="shared" si="24"/>
        <v>0</v>
      </c>
      <c r="AK74" s="254">
        <f t="shared" si="24"/>
        <v>0</v>
      </c>
    </row>
    <row r="75" spans="1:37" ht="12.75" hidden="1" customHeight="1" outlineLevel="1">
      <c r="B75" s="866" t="s">
        <v>33</v>
      </c>
      <c r="C75" s="616"/>
      <c r="D75" s="102"/>
      <c r="E75" s="102"/>
      <c r="F75" s="102"/>
      <c r="G75" s="255"/>
      <c r="H75" s="253"/>
      <c r="I75" s="102"/>
      <c r="J75" s="102"/>
      <c r="K75" s="102"/>
      <c r="L75" s="255"/>
      <c r="M75" s="253"/>
      <c r="N75" s="102"/>
      <c r="O75" s="102"/>
      <c r="P75" s="102" t="str">
        <f>IFERROR(#REF!/O73-1,"")</f>
        <v/>
      </c>
      <c r="Q75" s="255"/>
      <c r="R75" s="102">
        <f>R73/P73-1</f>
        <v>-128.95961394302819</v>
      </c>
      <c r="S75" s="102">
        <f>IFERROR(S73/R73-1,"")</f>
        <v>-0.64524068439533222</v>
      </c>
      <c r="T75" s="102">
        <f>IFERROR(T73/S73-1,"")</f>
        <v>1.931184384895158</v>
      </c>
      <c r="U75" s="107">
        <v>0</v>
      </c>
      <c r="V75" s="410"/>
      <c r="W75" s="107">
        <v>0.05</v>
      </c>
      <c r="X75" s="107">
        <v>0</v>
      </c>
      <c r="Y75" s="107">
        <v>0</v>
      </c>
      <c r="Z75" s="107">
        <v>0</v>
      </c>
      <c r="AA75" s="410"/>
      <c r="AB75" s="107">
        <v>0</v>
      </c>
      <c r="AC75" s="107">
        <v>0</v>
      </c>
      <c r="AD75" s="107">
        <v>0</v>
      </c>
      <c r="AE75" s="107">
        <v>0</v>
      </c>
      <c r="AF75" s="410"/>
      <c r="AG75" s="107">
        <v>0</v>
      </c>
      <c r="AH75" s="107">
        <v>0</v>
      </c>
      <c r="AI75" s="107">
        <v>0</v>
      </c>
      <c r="AJ75" s="107">
        <v>0</v>
      </c>
      <c r="AK75" s="255"/>
    </row>
    <row r="76" spans="1:37" s="269" customFormat="1" ht="12.75" hidden="1" customHeight="1" outlineLevel="1">
      <c r="A76" s="416"/>
      <c r="B76" s="433" t="s">
        <v>636</v>
      </c>
      <c r="C76" s="608"/>
      <c r="D76" s="290"/>
      <c r="E76" s="290"/>
      <c r="F76" s="290"/>
      <c r="G76" s="410"/>
      <c r="H76" s="290"/>
      <c r="I76" s="290"/>
      <c r="J76" s="290"/>
      <c r="K76" s="290"/>
      <c r="L76" s="410"/>
      <c r="M76" s="290"/>
      <c r="N76" s="290"/>
      <c r="O76" s="290"/>
      <c r="P76" s="290"/>
      <c r="Q76" s="410"/>
      <c r="R76" s="290">
        <f t="shared" ref="R76:AK76" si="25">R73-M73</f>
        <v>1365.585</v>
      </c>
      <c r="S76" s="290">
        <f t="shared" si="25"/>
        <v>484.45400000000018</v>
      </c>
      <c r="T76" s="290">
        <f t="shared" si="25"/>
        <v>1420.0239999999994</v>
      </c>
      <c r="U76" s="290">
        <f t="shared" si="25"/>
        <v>1430.6959999999995</v>
      </c>
      <c r="V76" s="410">
        <f t="shared" si="25"/>
        <v>4147.9719999999988</v>
      </c>
      <c r="W76" s="290">
        <f t="shared" si="25"/>
        <v>125.44019999999932</v>
      </c>
      <c r="X76" s="290">
        <f t="shared" si="25"/>
        <v>1006.5711999999992</v>
      </c>
      <c r="Y76" s="290">
        <f t="shared" si="25"/>
        <v>71.001199999999926</v>
      </c>
      <c r="Z76" s="290">
        <f t="shared" si="25"/>
        <v>71.001199999999926</v>
      </c>
      <c r="AA76" s="410">
        <f t="shared" si="25"/>
        <v>1274.0137999999979</v>
      </c>
      <c r="AB76" s="290">
        <f t="shared" si="25"/>
        <v>0</v>
      </c>
      <c r="AC76" s="290">
        <f t="shared" si="25"/>
        <v>0</v>
      </c>
      <c r="AD76" s="290">
        <f t="shared" si="25"/>
        <v>0</v>
      </c>
      <c r="AE76" s="290">
        <f t="shared" si="25"/>
        <v>0</v>
      </c>
      <c r="AF76" s="410">
        <f t="shared" si="25"/>
        <v>0</v>
      </c>
      <c r="AG76" s="290">
        <f t="shared" si="25"/>
        <v>0</v>
      </c>
      <c r="AH76" s="290">
        <f t="shared" si="25"/>
        <v>0</v>
      </c>
      <c r="AI76" s="290">
        <f t="shared" si="25"/>
        <v>0</v>
      </c>
      <c r="AJ76" s="290">
        <f t="shared" si="25"/>
        <v>0</v>
      </c>
      <c r="AK76" s="410">
        <f t="shared" si="25"/>
        <v>0</v>
      </c>
    </row>
    <row r="77" spans="1:37" s="269" customFormat="1" ht="12.75" hidden="1" customHeight="1" outlineLevel="1">
      <c r="A77" s="416"/>
      <c r="B77" s="433" t="s">
        <v>637</v>
      </c>
      <c r="C77" s="655"/>
      <c r="D77" s="290"/>
      <c r="E77" s="290"/>
      <c r="F77" s="290"/>
      <c r="G77" s="254"/>
      <c r="H77" s="293"/>
      <c r="I77" s="290"/>
      <c r="J77" s="290"/>
      <c r="K77" s="290"/>
      <c r="L77" s="254"/>
      <c r="M77" s="293"/>
      <c r="N77" s="290"/>
      <c r="O77" s="290"/>
      <c r="P77" s="290"/>
      <c r="Q77" s="254"/>
      <c r="R77" s="293">
        <f>R73-P73</f>
        <v>1376.2570000000001</v>
      </c>
      <c r="S77" s="290">
        <f>S73-R73</f>
        <v>-881.13099999999986</v>
      </c>
      <c r="T77" s="290">
        <f>T73-S73</f>
        <v>935.56999999999925</v>
      </c>
      <c r="U77" s="290">
        <f>U73-T73</f>
        <v>0</v>
      </c>
      <c r="V77" s="254"/>
      <c r="W77" s="293">
        <f>W73-U73</f>
        <v>71.001199999999926</v>
      </c>
      <c r="X77" s="290">
        <f>X73-W73</f>
        <v>0</v>
      </c>
      <c r="Y77" s="290">
        <f>Y73-X73</f>
        <v>0</v>
      </c>
      <c r="Z77" s="290">
        <f>Z73-Y73</f>
        <v>0</v>
      </c>
      <c r="AA77" s="254"/>
      <c r="AB77" s="293">
        <f>AB73-Z73</f>
        <v>0</v>
      </c>
      <c r="AC77" s="290">
        <f>AC73-AB73</f>
        <v>0</v>
      </c>
      <c r="AD77" s="290">
        <f>AD73-AC73</f>
        <v>0</v>
      </c>
      <c r="AE77" s="290">
        <f>AE73-AD73</f>
        <v>0</v>
      </c>
      <c r="AF77" s="254"/>
      <c r="AG77" s="293">
        <f>AG73-AE73</f>
        <v>0</v>
      </c>
      <c r="AH77" s="290">
        <f>AH73-AG73</f>
        <v>0</v>
      </c>
      <c r="AI77" s="290">
        <f>AI73-AH73</f>
        <v>0</v>
      </c>
      <c r="AJ77" s="290">
        <f>AJ73-AI73</f>
        <v>0</v>
      </c>
      <c r="AK77" s="254"/>
    </row>
    <row r="78" spans="1:37" s="237" customFormat="1" ht="12.75" hidden="1" customHeight="1" outlineLevel="1">
      <c r="A78" s="78"/>
      <c r="B78" s="433" t="s">
        <v>638</v>
      </c>
      <c r="C78" s="616"/>
      <c r="D78" s="102"/>
      <c r="E78" s="102"/>
      <c r="F78" s="102"/>
      <c r="G78" s="254"/>
      <c r="H78" s="253"/>
      <c r="I78" s="102"/>
      <c r="J78" s="102"/>
      <c r="K78" s="102"/>
      <c r="L78" s="254"/>
      <c r="M78" s="253"/>
      <c r="N78" s="102"/>
      <c r="O78" s="102"/>
      <c r="P78" s="102"/>
      <c r="Q78" s="254"/>
      <c r="R78" s="253">
        <f>R73/R$34</f>
        <v>0.71872894736842108</v>
      </c>
      <c r="S78" s="253">
        <f t="shared" ref="S78:AK78" si="26">S73/S$46</f>
        <v>0.19749514062826137</v>
      </c>
      <c r="T78" s="253">
        <f>T73/T$46</f>
        <v>0.43309444410217668</v>
      </c>
      <c r="U78" s="253">
        <f t="shared" si="26"/>
        <v>0.16989302413477406</v>
      </c>
      <c r="V78" s="254">
        <f t="shared" si="26"/>
        <v>0.30263548016132463</v>
      </c>
      <c r="W78" s="253">
        <f t="shared" si="26"/>
        <v>0.16905824305718664</v>
      </c>
      <c r="X78" s="253">
        <f t="shared" si="26"/>
        <v>0.29380982919701021</v>
      </c>
      <c r="Y78" s="253">
        <f t="shared" si="26"/>
        <v>0.41551859375237798</v>
      </c>
      <c r="Z78" s="253">
        <f t="shared" si="26"/>
        <v>0.43308771890246073</v>
      </c>
      <c r="AA78" s="254">
        <f t="shared" si="26"/>
        <v>0.28501568085272022</v>
      </c>
      <c r="AB78" s="253">
        <f t="shared" si="26"/>
        <v>0.34870015443508817</v>
      </c>
      <c r="AC78" s="253">
        <f t="shared" si="26"/>
        <v>0.21734480647283183</v>
      </c>
      <c r="AD78" s="253">
        <f t="shared" si="26"/>
        <v>0.26175616831265475</v>
      </c>
      <c r="AE78" s="253">
        <f t="shared" si="26"/>
        <v>0.25028272347544089</v>
      </c>
      <c r="AF78" s="254">
        <f t="shared" si="26"/>
        <v>0.26170117719437364</v>
      </c>
      <c r="AG78" s="253">
        <f t="shared" si="26"/>
        <v>0.26975230004304956</v>
      </c>
      <c r="AH78" s="253">
        <f t="shared" si="26"/>
        <v>0.23602774935028842</v>
      </c>
      <c r="AI78" s="253">
        <f t="shared" si="26"/>
        <v>0.22976994343825557</v>
      </c>
      <c r="AJ78" s="253">
        <f t="shared" si="26"/>
        <v>0.2312148602751096</v>
      </c>
      <c r="AK78" s="254">
        <f t="shared" si="26"/>
        <v>0.24065860376344883</v>
      </c>
    </row>
    <row r="79" spans="1:37" s="269" customFormat="1" ht="12.75" hidden="1" customHeight="1" outlineLevel="1">
      <c r="A79" s="416"/>
      <c r="B79" s="479"/>
      <c r="C79" s="655"/>
      <c r="D79" s="290"/>
      <c r="E79" s="290"/>
      <c r="F79" s="290"/>
      <c r="G79" s="254"/>
      <c r="H79" s="293"/>
      <c r="I79" s="290"/>
      <c r="J79" s="290"/>
      <c r="K79" s="290"/>
      <c r="L79" s="254"/>
      <c r="M79" s="293"/>
      <c r="N79" s="290"/>
      <c r="O79" s="290"/>
      <c r="P79" s="290"/>
      <c r="Q79" s="254"/>
      <c r="R79" s="293"/>
      <c r="S79" s="290"/>
      <c r="T79" s="290"/>
      <c r="U79" s="290"/>
      <c r="V79" s="254"/>
      <c r="W79" s="293"/>
      <c r="X79" s="290"/>
      <c r="Y79" s="290"/>
      <c r="Z79" s="290"/>
      <c r="AA79" s="254"/>
      <c r="AB79" s="293"/>
      <c r="AC79" s="290"/>
      <c r="AD79" s="290"/>
      <c r="AE79" s="290"/>
      <c r="AF79" s="254"/>
      <c r="AG79" s="293"/>
      <c r="AH79" s="290"/>
      <c r="AI79" s="290"/>
      <c r="AJ79" s="290"/>
      <c r="AK79" s="254"/>
    </row>
    <row r="80" spans="1:37" s="289" customFormat="1" ht="12.75" hidden="1" customHeight="1" outlineLevel="1">
      <c r="A80" s="283"/>
      <c r="B80" s="1316" t="s">
        <v>390</v>
      </c>
      <c r="C80" s="371"/>
      <c r="D80" s="371"/>
      <c r="E80" s="371"/>
      <c r="F80" s="371"/>
      <c r="G80" s="495"/>
      <c r="H80" s="371"/>
      <c r="I80" s="371"/>
      <c r="J80" s="371"/>
      <c r="K80" s="491"/>
      <c r="L80" s="495"/>
      <c r="M80" s="371">
        <v>6.1420000000000003</v>
      </c>
      <c r="N80" s="371">
        <v>6</v>
      </c>
      <c r="O80" s="371">
        <v>10</v>
      </c>
      <c r="P80" s="371">
        <v>9.0020000000000007</v>
      </c>
      <c r="Q80" s="370">
        <f>SUM(M80:P80)</f>
        <v>31.143999999999998</v>
      </c>
      <c r="R80" s="371">
        <v>26</v>
      </c>
      <c r="S80" s="371">
        <v>17</v>
      </c>
      <c r="T80" s="371">
        <v>19</v>
      </c>
      <c r="U80" s="491">
        <f t="shared" ref="U80:AE80" si="27">U83*U84</f>
        <v>20.589005104999998</v>
      </c>
      <c r="V80" s="370">
        <f>SUM(R80:U80)</f>
        <v>82.589005104999998</v>
      </c>
      <c r="W80" s="491">
        <f t="shared" si="27"/>
        <v>27.625831530000006</v>
      </c>
      <c r="X80" s="491">
        <f t="shared" si="27"/>
        <v>39.511605000000003</v>
      </c>
      <c r="Y80" s="491">
        <f t="shared" si="27"/>
        <v>48.449999999999996</v>
      </c>
      <c r="Z80" s="491">
        <f t="shared" si="27"/>
        <v>43.236910720499992</v>
      </c>
      <c r="AA80" s="370">
        <f>SUM(W80:Z80)</f>
        <v>158.82434725049998</v>
      </c>
      <c r="AB80" s="491">
        <f t="shared" si="27"/>
        <v>61.977952476000013</v>
      </c>
      <c r="AC80" s="491">
        <f t="shared" si="27"/>
        <v>67.327774919999996</v>
      </c>
      <c r="AD80" s="491">
        <f t="shared" si="27"/>
        <v>72.824383080000004</v>
      </c>
      <c r="AE80" s="491">
        <f t="shared" si="27"/>
        <v>80.082278117099989</v>
      </c>
      <c r="AF80" s="370">
        <f>SUM(AB80:AE80)</f>
        <v>282.2123885931</v>
      </c>
      <c r="AG80" s="491">
        <f>AG83*AG84</f>
        <v>71.274645347400011</v>
      </c>
      <c r="AH80" s="491">
        <f>AH83*AH84</f>
        <v>75.743746785000013</v>
      </c>
      <c r="AI80" s="491">
        <f>AI83*AI84</f>
        <v>78.893081670000015</v>
      </c>
      <c r="AJ80" s="491">
        <f>AJ83*AJ84</f>
        <v>84.086392022954996</v>
      </c>
      <c r="AK80" s="370">
        <f>SUM(AG80:AJ80)</f>
        <v>309.99786582535506</v>
      </c>
    </row>
    <row r="81" spans="1:37" s="298" customFormat="1" ht="12.75" hidden="1" customHeight="1" outlineLevel="1">
      <c r="A81" s="1088"/>
      <c r="B81" s="433" t="s">
        <v>31</v>
      </c>
      <c r="C81" s="102"/>
      <c r="D81" s="102"/>
      <c r="E81" s="102"/>
      <c r="F81" s="102"/>
      <c r="G81" s="254"/>
      <c r="H81" s="102"/>
      <c r="I81" s="102"/>
      <c r="J81" s="102"/>
      <c r="K81" s="102"/>
      <c r="L81" s="254"/>
      <c r="M81" s="102" t="str">
        <f t="shared" ref="M81:AF81" si="28">IFERROR(M80/H80-1,"")</f>
        <v/>
      </c>
      <c r="N81" s="102" t="str">
        <f t="shared" si="28"/>
        <v/>
      </c>
      <c r="O81" s="102" t="str">
        <f t="shared" si="28"/>
        <v/>
      </c>
      <c r="P81" s="102" t="str">
        <f t="shared" si="28"/>
        <v/>
      </c>
      <c r="Q81" s="254" t="str">
        <f t="shared" si="28"/>
        <v/>
      </c>
      <c r="R81" s="102">
        <f t="shared" si="28"/>
        <v>3.2331488114620646</v>
      </c>
      <c r="S81" s="102">
        <f t="shared" si="28"/>
        <v>1.8333333333333335</v>
      </c>
      <c r="T81" s="102">
        <f t="shared" si="28"/>
        <v>0.89999999999999991</v>
      </c>
      <c r="U81" s="102">
        <f t="shared" si="28"/>
        <v>1.2871589763385911</v>
      </c>
      <c r="V81" s="254">
        <f t="shared" si="28"/>
        <v>1.6518432155471361</v>
      </c>
      <c r="W81" s="102">
        <f t="shared" si="28"/>
        <v>6.2531981923077185E-2</v>
      </c>
      <c r="X81" s="102">
        <f t="shared" si="28"/>
        <v>1.3242120588235298</v>
      </c>
      <c r="Y81" s="102">
        <f t="shared" si="28"/>
        <v>1.5499999999999998</v>
      </c>
      <c r="Z81" s="102">
        <f t="shared" si="28"/>
        <v>1.0999999999999996</v>
      </c>
      <c r="AA81" s="254">
        <f t="shared" si="28"/>
        <v>0.92306890061912905</v>
      </c>
      <c r="AB81" s="102">
        <f t="shared" si="28"/>
        <v>1.2434782608695651</v>
      </c>
      <c r="AC81" s="102">
        <f t="shared" si="28"/>
        <v>0.70399999999999974</v>
      </c>
      <c r="AD81" s="102">
        <f t="shared" si="28"/>
        <v>0.50308324210526334</v>
      </c>
      <c r="AE81" s="102">
        <f t="shared" si="28"/>
        <v>0.85217391304347845</v>
      </c>
      <c r="AF81" s="254">
        <f t="shared" si="28"/>
        <v>0.7768836672628705</v>
      </c>
      <c r="AG81" s="102">
        <f>IFERROR(AG80/AB80-1,"")</f>
        <v>0.14999999999999991</v>
      </c>
      <c r="AH81" s="102">
        <f>IFERROR(AH80/AC80-1,"")</f>
        <v>0.12500000000000022</v>
      </c>
      <c r="AI81" s="102">
        <f>IFERROR(AI80/AD80-1,"")</f>
        <v>8.3333333333333481E-2</v>
      </c>
      <c r="AJ81" s="102">
        <f>IFERROR(AJ80/AE80-1,"")</f>
        <v>5.0000000000000044E-2</v>
      </c>
      <c r="AK81" s="254">
        <f>IFERROR(AK80/AF80-1,"")</f>
        <v>9.845590893714018E-2</v>
      </c>
    </row>
    <row r="82" spans="1:37" ht="12.75" hidden="1" customHeight="1" outlineLevel="1">
      <c r="B82" s="433" t="s">
        <v>33</v>
      </c>
      <c r="C82" s="616"/>
      <c r="D82" s="102"/>
      <c r="E82" s="102"/>
      <c r="F82" s="102"/>
      <c r="G82" s="255"/>
      <c r="H82" s="253"/>
      <c r="I82" s="102"/>
      <c r="J82" s="102"/>
      <c r="K82" s="102"/>
      <c r="L82" s="255"/>
      <c r="M82" s="253" t="str">
        <f>IFERROR(M80/K80-1,"")</f>
        <v/>
      </c>
      <c r="N82" s="102">
        <f>IFERROR(N80/M80-1,"")</f>
        <v>-2.3119505047215938E-2</v>
      </c>
      <c r="O82" s="102">
        <f>IFERROR(O80/N80-1,"")</f>
        <v>0.66666666666666674</v>
      </c>
      <c r="P82" s="102">
        <f>IFERROR(P80/O80-1,"")</f>
        <v>-9.9799999999999889E-2</v>
      </c>
      <c r="Q82" s="255"/>
      <c r="R82" s="253">
        <f>IFERROR(R80/P80-1,"")</f>
        <v>1.8882470562097309</v>
      </c>
      <c r="S82" s="102">
        <f>IFERROR(S80/R80-1,"")</f>
        <v>-0.34615384615384615</v>
      </c>
      <c r="T82" s="102">
        <f>IFERROR(T80/S80-1,"")</f>
        <v>0.11764705882352944</v>
      </c>
      <c r="U82" s="102">
        <f>IFERROR(U80/T80-1,"")</f>
        <v>8.3631847631578937E-2</v>
      </c>
      <c r="V82" s="255"/>
      <c r="W82" s="253">
        <f>IFERROR(W80/U80-1,"")</f>
        <v>0.3417759327909986</v>
      </c>
      <c r="X82" s="102">
        <f>IFERROR(X80/W80-1,"")</f>
        <v>0.43024129272245637</v>
      </c>
      <c r="Y82" s="102">
        <f>IFERROR(Y80/X80-1,"")</f>
        <v>0.22622201755661386</v>
      </c>
      <c r="Z82" s="102">
        <f>IFERROR(Z80/Y80-1,"")</f>
        <v>-0.10759730195046446</v>
      </c>
      <c r="AA82" s="255"/>
      <c r="AB82" s="253">
        <f>IFERROR(AB80/Z80-1,"")</f>
        <v>0.43345006484504212</v>
      </c>
      <c r="AC82" s="102">
        <f>IFERROR(AC80/AB80-1,"")</f>
        <v>8.6318153960823762E-2</v>
      </c>
      <c r="AD82" s="102">
        <f>IFERROR(AD80/AC80-1,"")</f>
        <v>8.1639533855547342E-2</v>
      </c>
      <c r="AE82" s="102">
        <f>IFERROR(AE80/AD80-1,"")</f>
        <v>9.9662980036877791E-2</v>
      </c>
      <c r="AF82" s="255"/>
      <c r="AG82" s="253">
        <f>IFERROR(AG80/AE80-1,"")</f>
        <v>-0.10998229541898208</v>
      </c>
      <c r="AH82" s="102">
        <f>IFERROR(AH80/AG80-1,"")</f>
        <v>6.2702541918197463E-2</v>
      </c>
      <c r="AI82" s="102">
        <f>IFERROR(AI80/AH80-1,"")</f>
        <v>4.1578810379415909E-2</v>
      </c>
      <c r="AJ82" s="102">
        <f>IFERROR(AJ80/AI80-1,"")</f>
        <v>6.5827196035743052E-2</v>
      </c>
      <c r="AK82" s="255"/>
    </row>
    <row r="83" spans="1:37" ht="12.75" hidden="1" customHeight="1" outlineLevel="2">
      <c r="B83" s="433" t="s">
        <v>541</v>
      </c>
      <c r="C83" s="616"/>
      <c r="D83" s="102"/>
      <c r="E83" s="102"/>
      <c r="F83" s="102"/>
      <c r="G83" s="255"/>
      <c r="H83" s="253"/>
      <c r="I83" s="102"/>
      <c r="J83" s="102"/>
      <c r="K83" s="102"/>
      <c r="L83" s="255"/>
      <c r="M83" s="417">
        <f t="shared" ref="M83:S83" si="29">M80/M84</f>
        <v>6.784941010118864E-2</v>
      </c>
      <c r="N83" s="419">
        <f t="shared" si="29"/>
        <v>3.3184739444487465E-2</v>
      </c>
      <c r="O83" s="419">
        <f t="shared" si="29"/>
        <v>3.5292290752008126E-2</v>
      </c>
      <c r="P83" s="419">
        <f t="shared" si="29"/>
        <v>2.2726885423247849E-2</v>
      </c>
      <c r="Q83" s="804">
        <f t="shared" si="29"/>
        <v>3.2756513057405144E-2</v>
      </c>
      <c r="R83" s="419">
        <f t="shared" si="29"/>
        <v>5.1301985189511498E-2</v>
      </c>
      <c r="S83" s="419">
        <f t="shared" si="29"/>
        <v>2.7321087057840348E-2</v>
      </c>
      <c r="T83" s="419">
        <f>T80/T84</f>
        <v>2.7343794973346994E-2</v>
      </c>
      <c r="U83" s="438">
        <v>2.3E-2</v>
      </c>
      <c r="V83" s="804">
        <f>V80/'IS (Non-GAAP)'!V$23</f>
        <v>3.0374066729789265E-2</v>
      </c>
      <c r="W83" s="1064">
        <v>2.3E-2</v>
      </c>
      <c r="X83" s="438">
        <v>2.5000000000000001E-2</v>
      </c>
      <c r="Y83" s="438">
        <f>T83</f>
        <v>2.7343794973346994E-2</v>
      </c>
      <c r="Z83" s="438">
        <f>U83</f>
        <v>2.3E-2</v>
      </c>
      <c r="AA83" s="804">
        <f>AA80/'IS (Non-GAAP)'!AA$23</f>
        <v>2.4687712929732365E-2</v>
      </c>
      <c r="AB83" s="805">
        <v>0.03</v>
      </c>
      <c r="AC83" s="438">
        <f t="shared" ref="AC83:AE85" si="30">AB83</f>
        <v>0.03</v>
      </c>
      <c r="AD83" s="438">
        <f t="shared" si="30"/>
        <v>0.03</v>
      </c>
      <c r="AE83" s="438">
        <f t="shared" si="30"/>
        <v>0.03</v>
      </c>
      <c r="AF83" s="804">
        <f>AF80/'IS (Non-GAAP)'!AF$23</f>
        <v>0.03</v>
      </c>
      <c r="AG83" s="805">
        <v>2.5000000000000001E-2</v>
      </c>
      <c r="AH83" s="438">
        <f>AG83</f>
        <v>2.5000000000000001E-2</v>
      </c>
      <c r="AI83" s="438">
        <f>AH83</f>
        <v>2.5000000000000001E-2</v>
      </c>
      <c r="AJ83" s="438">
        <f>AI83</f>
        <v>2.5000000000000001E-2</v>
      </c>
      <c r="AK83" s="804">
        <f>AK80/'IS (Non-GAAP)'!AK$23</f>
        <v>2.5000000000000005E-2</v>
      </c>
    </row>
    <row r="84" spans="1:37" ht="12.75" hidden="1" customHeight="1" outlineLevel="2">
      <c r="B84" s="957" t="s">
        <v>540</v>
      </c>
      <c r="C84" s="616"/>
      <c r="D84" s="102"/>
      <c r="E84" s="102"/>
      <c r="F84" s="102"/>
      <c r="G84" s="255"/>
      <c r="H84" s="253"/>
      <c r="I84" s="102"/>
      <c r="J84" s="102"/>
      <c r="K84" s="102"/>
      <c r="L84" s="255"/>
      <c r="M84" s="1009">
        <f>'IS (Non-GAAP)'!M23</f>
        <v>90.524000000000001</v>
      </c>
      <c r="N84" s="1010">
        <f>'IS (Non-GAAP)'!N23</f>
        <v>180.80599999999998</v>
      </c>
      <c r="O84" s="1010">
        <f>'IS (Non-GAAP)'!O23</f>
        <v>283.34800000000001</v>
      </c>
      <c r="P84" s="1010">
        <f>'IS (Non-GAAP)'!P23</f>
        <v>396.09474999999998</v>
      </c>
      <c r="Q84" s="1117">
        <f>'IS (Non-GAAP)'!Q23</f>
        <v>950.77275000000009</v>
      </c>
      <c r="R84" s="1009">
        <f>'IS (Non-GAAP)'!R23</f>
        <v>506.80300000000005</v>
      </c>
      <c r="S84" s="1010">
        <f>'IS (Non-GAAP)'!S23</f>
        <v>622.23</v>
      </c>
      <c r="T84" s="1010">
        <f>'IS (Non-GAAP)'!T23</f>
        <v>694.85599999999999</v>
      </c>
      <c r="U84" s="1010">
        <f>'IS (Non-GAAP)'!U23</f>
        <v>895.17413499999986</v>
      </c>
      <c r="V84" s="1117">
        <f>'IS (Non-GAAP)'!V23</f>
        <v>2719.0631349999999</v>
      </c>
      <c r="W84" s="1118">
        <f>'IS (Non-GAAP)'!W23</f>
        <v>1201.1231100000002</v>
      </c>
      <c r="X84" s="1010">
        <f>'IS (Non-GAAP)'!X23</f>
        <v>1580.4642000000001</v>
      </c>
      <c r="Y84" s="1010">
        <f>'IS (Non-GAAP)'!Y23</f>
        <v>1771.8827999999999</v>
      </c>
      <c r="Z84" s="1010">
        <f>'IS (Non-GAAP)'!Z23</f>
        <v>1879.8656834999997</v>
      </c>
      <c r="AA84" s="1117">
        <f>'IS (Non-GAAP)'!AA23</f>
        <v>6433.3357935000004</v>
      </c>
      <c r="AB84" s="1009">
        <f>'IS (Non-GAAP)'!AB23</f>
        <v>2065.9317492000005</v>
      </c>
      <c r="AC84" s="1010">
        <f>'IS (Non-GAAP)'!AC23</f>
        <v>2244.2591640000001</v>
      </c>
      <c r="AD84" s="1010">
        <f>'IS (Non-GAAP)'!AD23</f>
        <v>2427.4794360000001</v>
      </c>
      <c r="AE84" s="1010">
        <f>'IS (Non-GAAP)'!AE23</f>
        <v>2669.4092705699995</v>
      </c>
      <c r="AF84" s="1117">
        <f>'IS (Non-GAAP)'!AF23</f>
        <v>9407.0796197700001</v>
      </c>
      <c r="AG84" s="1009">
        <f>'IS (Non-GAAP)'!AG23</f>
        <v>2850.9858138960003</v>
      </c>
      <c r="AH84" s="1010">
        <f>'IS (Non-GAAP)'!AH23</f>
        <v>3029.7498714000003</v>
      </c>
      <c r="AI84" s="1010">
        <f>'IS (Non-GAAP)'!AI23</f>
        <v>3155.7232668000001</v>
      </c>
      <c r="AJ84" s="1010">
        <f>'IS (Non-GAAP)'!AJ23</f>
        <v>3363.4556809181995</v>
      </c>
      <c r="AK84" s="1117">
        <f>'IS (Non-GAAP)'!AK23</f>
        <v>12399.914633014199</v>
      </c>
    </row>
    <row r="85" spans="1:37" s="269" customFormat="1" ht="12.75" hidden="1" customHeight="1" outlineLevel="2">
      <c r="A85" s="416"/>
      <c r="B85" s="433" t="s">
        <v>388</v>
      </c>
      <c r="C85" s="655"/>
      <c r="D85" s="290"/>
      <c r="E85" s="290"/>
      <c r="F85" s="290"/>
      <c r="G85" s="254"/>
      <c r="H85" s="293"/>
      <c r="I85" s="290"/>
      <c r="J85" s="290"/>
      <c r="K85" s="290"/>
      <c r="L85" s="254"/>
      <c r="M85" s="801">
        <v>4.5</v>
      </c>
      <c r="N85" s="802">
        <f>M85</f>
        <v>4.5</v>
      </c>
      <c r="O85" s="802">
        <f>N85</f>
        <v>4.5</v>
      </c>
      <c r="P85" s="802">
        <f>O85</f>
        <v>4.5</v>
      </c>
      <c r="Q85" s="803">
        <f>P85</f>
        <v>4.5</v>
      </c>
      <c r="R85" s="801">
        <v>4.5</v>
      </c>
      <c r="S85" s="801">
        <v>4.5</v>
      </c>
      <c r="T85" s="802">
        <f>S85</f>
        <v>4.5</v>
      </c>
      <c r="U85" s="802">
        <f>T85</f>
        <v>4.5</v>
      </c>
      <c r="V85" s="803">
        <f>U85</f>
        <v>4.5</v>
      </c>
      <c r="W85" s="801">
        <v>4.5</v>
      </c>
      <c r="X85" s="802">
        <f>W85</f>
        <v>4.5</v>
      </c>
      <c r="Y85" s="802">
        <f>X85</f>
        <v>4.5</v>
      </c>
      <c r="Z85" s="802">
        <f>Y85</f>
        <v>4.5</v>
      </c>
      <c r="AA85" s="803">
        <f>Z85</f>
        <v>4.5</v>
      </c>
      <c r="AB85" s="801">
        <v>4.5</v>
      </c>
      <c r="AC85" s="802">
        <f t="shared" si="30"/>
        <v>4.5</v>
      </c>
      <c r="AD85" s="802">
        <f t="shared" si="30"/>
        <v>4.5</v>
      </c>
      <c r="AE85" s="802">
        <f t="shared" si="30"/>
        <v>4.5</v>
      </c>
      <c r="AF85" s="803">
        <f>AE85</f>
        <v>4.5</v>
      </c>
      <c r="AG85" s="801">
        <v>4.5</v>
      </c>
      <c r="AH85" s="802">
        <f>AG85</f>
        <v>4.5</v>
      </c>
      <c r="AI85" s="802">
        <f>AH85</f>
        <v>4.5</v>
      </c>
      <c r="AJ85" s="802">
        <f>AI85</f>
        <v>4.5</v>
      </c>
      <c r="AK85" s="803">
        <f>AJ85</f>
        <v>4.5</v>
      </c>
    </row>
    <row r="86" spans="1:37" s="269" customFormat="1" ht="12.75" hidden="1" customHeight="1" outlineLevel="1">
      <c r="A86" s="416"/>
      <c r="B86" s="479"/>
      <c r="C86" s="655"/>
      <c r="D86" s="290"/>
      <c r="E86" s="290"/>
      <c r="F86" s="290"/>
      <c r="G86" s="254"/>
      <c r="H86" s="293"/>
      <c r="I86" s="290"/>
      <c r="J86" s="290"/>
      <c r="K86" s="290"/>
      <c r="L86" s="254"/>
      <c r="M86" s="293"/>
      <c r="N86" s="290"/>
      <c r="O86" s="290"/>
      <c r="P86" s="290"/>
      <c r="Q86" s="254"/>
      <c r="R86" s="293"/>
      <c r="S86" s="290"/>
      <c r="T86" s="290"/>
      <c r="U86" s="290"/>
      <c r="V86" s="254"/>
      <c r="W86" s="293"/>
      <c r="X86" s="290"/>
      <c r="Y86" s="290"/>
      <c r="Z86" s="290"/>
      <c r="AA86" s="254"/>
      <c r="AB86" s="293"/>
      <c r="AC86" s="290"/>
      <c r="AD86" s="290"/>
      <c r="AE86" s="290"/>
      <c r="AF86" s="254"/>
      <c r="AG86" s="293"/>
      <c r="AH86" s="290"/>
      <c r="AI86" s="290"/>
      <c r="AJ86" s="290"/>
      <c r="AK86" s="254"/>
    </row>
    <row r="87" spans="1:37" s="289" customFormat="1" ht="12.75" hidden="1" customHeight="1" outlineLevel="1">
      <c r="A87" s="283"/>
      <c r="B87" s="1316" t="s">
        <v>391</v>
      </c>
      <c r="C87" s="371"/>
      <c r="D87" s="371"/>
      <c r="E87" s="371"/>
      <c r="F87" s="371"/>
      <c r="G87" s="495"/>
      <c r="H87" s="371"/>
      <c r="I87" s="371"/>
      <c r="J87" s="371"/>
      <c r="K87" s="491"/>
      <c r="L87" s="495"/>
      <c r="M87" s="371">
        <v>4.0730000000000004</v>
      </c>
      <c r="N87" s="371">
        <v>5.2949999999999999</v>
      </c>
      <c r="O87" s="371">
        <v>5.617</v>
      </c>
      <c r="P87" s="371">
        <v>10.571</v>
      </c>
      <c r="Q87" s="370">
        <f>SUM(M87:P87)</f>
        <v>25.555999999999997</v>
      </c>
      <c r="R87" s="491">
        <f>M87*(1+R88)</f>
        <v>12.219000000000001</v>
      </c>
      <c r="S87" s="491">
        <f>N87*(1+S88)</f>
        <v>15.885</v>
      </c>
      <c r="T87" s="491">
        <f>O87*(1+T88)</f>
        <v>16.850999999999999</v>
      </c>
      <c r="U87" s="491">
        <f>P87*(1+U88)</f>
        <v>31.713000000000001</v>
      </c>
      <c r="V87" s="370">
        <f>SUM(R87:U87)</f>
        <v>76.668000000000006</v>
      </c>
      <c r="W87" s="491">
        <f>R87*(1+W88)</f>
        <v>36.657000000000004</v>
      </c>
      <c r="X87" s="491">
        <f>S87*(1+X88)</f>
        <v>39.712499999999999</v>
      </c>
      <c r="Y87" s="491">
        <f>T87*(1+Y88)</f>
        <v>33.701999999999998</v>
      </c>
      <c r="Z87" s="491">
        <f>U87*(1+Z88)</f>
        <v>47.569500000000005</v>
      </c>
      <c r="AA87" s="370">
        <f>SUM(W87:Z87)</f>
        <v>157.64100000000002</v>
      </c>
      <c r="AB87" s="491">
        <f>W87*(1+AB88)</f>
        <v>54.985500000000002</v>
      </c>
      <c r="AC87" s="491">
        <f>X87*(1+AC88)</f>
        <v>59.568749999999994</v>
      </c>
      <c r="AD87" s="491">
        <f>Y87*(1+AD88)</f>
        <v>38.757299999999994</v>
      </c>
      <c r="AE87" s="491">
        <f>Z87*(1+AE88)</f>
        <v>54.704925000000003</v>
      </c>
      <c r="AF87" s="370">
        <f>SUM(AB87:AE87)</f>
        <v>208.01647499999999</v>
      </c>
      <c r="AG87" s="491">
        <f>AB87*(1+AG88)</f>
        <v>82.478250000000003</v>
      </c>
      <c r="AH87" s="491">
        <f>AC87*(1+AH88)</f>
        <v>89.353124999999991</v>
      </c>
      <c r="AI87" s="491">
        <f>AD87*(1+AI88)</f>
        <v>44.570894999999986</v>
      </c>
      <c r="AJ87" s="491">
        <f>AE87*(1+AJ88)</f>
        <v>62.910663749999998</v>
      </c>
      <c r="AK87" s="370">
        <f>SUM(AG87:AJ87)</f>
        <v>279.31293374999996</v>
      </c>
    </row>
    <row r="88" spans="1:37" s="298" customFormat="1" ht="12.75" hidden="1" customHeight="1" outlineLevel="1">
      <c r="A88" s="1088"/>
      <c r="B88" s="433" t="s">
        <v>31</v>
      </c>
      <c r="C88" s="102"/>
      <c r="D88" s="102"/>
      <c r="E88" s="102"/>
      <c r="F88" s="102"/>
      <c r="G88" s="254"/>
      <c r="H88" s="102"/>
      <c r="I88" s="102"/>
      <c r="J88" s="102"/>
      <c r="K88" s="102"/>
      <c r="L88" s="254"/>
      <c r="M88" s="102" t="str">
        <f>IFERROR(M87/H87-1,"")</f>
        <v/>
      </c>
      <c r="N88" s="102" t="str">
        <f>IFERROR(N87/I87-1,"")</f>
        <v/>
      </c>
      <c r="O88" s="102" t="str">
        <f>IFERROR(O87/J87-1,"")</f>
        <v/>
      </c>
      <c r="P88" s="102" t="str">
        <f>IFERROR(P87/K87-1,"")</f>
        <v/>
      </c>
      <c r="Q88" s="254" t="str">
        <f>IFERROR(Q87/L87-1,"")</f>
        <v/>
      </c>
      <c r="R88" s="107">
        <v>2</v>
      </c>
      <c r="S88" s="107">
        <v>2</v>
      </c>
      <c r="T88" s="107">
        <v>2</v>
      </c>
      <c r="U88" s="107">
        <v>2</v>
      </c>
      <c r="V88" s="254">
        <f>IFERROR(V87/Q87-1,"")</f>
        <v>2.0000000000000004</v>
      </c>
      <c r="W88" s="107">
        <v>2</v>
      </c>
      <c r="X88" s="107">
        <v>1.5</v>
      </c>
      <c r="Y88" s="107">
        <v>1</v>
      </c>
      <c r="Z88" s="107">
        <v>0.5</v>
      </c>
      <c r="AA88" s="254">
        <f>IFERROR(AA87/V87-1,"")</f>
        <v>1.0561511973704807</v>
      </c>
      <c r="AB88" s="107">
        <v>0.5</v>
      </c>
      <c r="AC88" s="107">
        <f>AB88</f>
        <v>0.5</v>
      </c>
      <c r="AD88" s="107">
        <v>0.15</v>
      </c>
      <c r="AE88" s="107">
        <f>AD88</f>
        <v>0.15</v>
      </c>
      <c r="AF88" s="254">
        <f>IFERROR(AF87/AA87-1,"")</f>
        <v>0.3195582050354917</v>
      </c>
      <c r="AG88" s="107">
        <v>0.5</v>
      </c>
      <c r="AH88" s="107">
        <f>AG88</f>
        <v>0.5</v>
      </c>
      <c r="AI88" s="107">
        <v>0.15</v>
      </c>
      <c r="AJ88" s="107">
        <f>AI88</f>
        <v>0.15</v>
      </c>
      <c r="AK88" s="254">
        <f>IFERROR(AK87/AF87-1,"")</f>
        <v>0.3427442886434835</v>
      </c>
    </row>
    <row r="89" spans="1:37" ht="12.75" hidden="1" customHeight="1" outlineLevel="1">
      <c r="B89" s="433" t="s">
        <v>33</v>
      </c>
      <c r="C89" s="616"/>
      <c r="D89" s="102"/>
      <c r="E89" s="102"/>
      <c r="F89" s="102"/>
      <c r="G89" s="255"/>
      <c r="H89" s="253"/>
      <c r="I89" s="102"/>
      <c r="J89" s="102"/>
      <c r="K89" s="102"/>
      <c r="L89" s="255"/>
      <c r="M89" s="253" t="str">
        <f>IFERROR(M87/K87-1,"")</f>
        <v/>
      </c>
      <c r="N89" s="102">
        <f>IFERROR(N87/M87-1,"")</f>
        <v>0.30002455192732613</v>
      </c>
      <c r="O89" s="102">
        <f>IFERROR(O87/N87-1,"")</f>
        <v>6.0812086874409754E-2</v>
      </c>
      <c r="P89" s="102">
        <f>IFERROR(P87/O87-1,"")</f>
        <v>0.88196546199038628</v>
      </c>
      <c r="Q89" s="255"/>
      <c r="R89" s="253">
        <f>IFERROR(R87/P87-1,"")</f>
        <v>0.15589821208967947</v>
      </c>
      <c r="S89" s="102">
        <f>IFERROR(S87/R87-1,"")</f>
        <v>0.30002455192732613</v>
      </c>
      <c r="T89" s="102">
        <f>IFERROR(T87/S87-1,"")</f>
        <v>6.0812086874409754E-2</v>
      </c>
      <c r="U89" s="102">
        <f>IFERROR(U87/T87-1,"")</f>
        <v>0.8819654619903865</v>
      </c>
      <c r="V89" s="255"/>
      <c r="W89" s="253">
        <f>IFERROR(W87/U87-1,"")</f>
        <v>0.15589821208967947</v>
      </c>
      <c r="X89" s="102">
        <f>IFERROR(X87/W87-1,"")</f>
        <v>8.3353793272771703E-2</v>
      </c>
      <c r="Y89" s="102">
        <f>IFERROR(Y87/X87-1,"")</f>
        <v>-0.1513503305004722</v>
      </c>
      <c r="Z89" s="102">
        <f>IFERROR(Z87/Y87-1,"")</f>
        <v>0.41147409649278988</v>
      </c>
      <c r="AA89" s="255"/>
      <c r="AB89" s="253">
        <f>IFERROR(AB87/Z87-1,"")</f>
        <v>0.15589821208967924</v>
      </c>
      <c r="AC89" s="102">
        <f>IFERROR(AC87/AB87-1,"")</f>
        <v>8.3353793272771703E-2</v>
      </c>
      <c r="AD89" s="102">
        <f>IFERROR(AD87/AC87-1,"")</f>
        <v>-0.34936858671702864</v>
      </c>
      <c r="AE89" s="102">
        <f>IFERROR(AE87/AD87-1,"")</f>
        <v>0.4114740964927901</v>
      </c>
      <c r="AF89" s="255"/>
      <c r="AG89" s="253">
        <f>IFERROR(AG87/AE87-1,"")</f>
        <v>0.50769332011697288</v>
      </c>
      <c r="AH89" s="102">
        <f>IFERROR(AH87/AG87-1,"")</f>
        <v>8.3353793272771703E-2</v>
      </c>
      <c r="AI89" s="102">
        <f>IFERROR(AI87/AH87-1,"")</f>
        <v>-0.50118258314972208</v>
      </c>
      <c r="AJ89" s="102">
        <f>IFERROR(AJ87/AI87-1,"")</f>
        <v>0.4114740964927901</v>
      </c>
      <c r="AK89" s="255"/>
    </row>
    <row r="90" spans="1:37" ht="12.75" hidden="1" customHeight="1" outlineLevel="2">
      <c r="B90" s="433" t="s">
        <v>389</v>
      </c>
      <c r="C90" s="616"/>
      <c r="D90" s="102"/>
      <c r="E90" s="102"/>
      <c r="F90" s="102"/>
      <c r="G90" s="255"/>
      <c r="H90" s="253"/>
      <c r="I90" s="102"/>
      <c r="J90" s="102"/>
      <c r="K90" s="102"/>
      <c r="L90" s="255"/>
      <c r="M90" s="417">
        <f>M87/'IS (Non-GAAP)'!M$14</f>
        <v>6.9231030731574661E-2</v>
      </c>
      <c r="N90" s="419">
        <f>N87/'IS (Non-GAAP)'!N$14</f>
        <v>4.8807241353882459E-2</v>
      </c>
      <c r="O90" s="419">
        <f>O87/'IS (Non-GAAP)'!O$14</f>
        <v>3.9317387987092528E-2</v>
      </c>
      <c r="P90" s="419">
        <f>P87/'IS (Non-GAAP)'!P$14</f>
        <v>5.8127210666461385E-2</v>
      </c>
      <c r="Q90" s="804">
        <f>Q87/'IS (Non-GAAP)'!Q$14</f>
        <v>5.1938576475316418E-2</v>
      </c>
      <c r="R90" s="417">
        <f>R87/'IS (Non-GAAP)'!R$14</f>
        <v>4.7050261647047953E-2</v>
      </c>
      <c r="S90" s="419">
        <f>S87/'IS (Non-GAAP)'!S$14</f>
        <v>5.1247556183581434E-2</v>
      </c>
      <c r="T90" s="419">
        <f>T87/'IS (Non-GAAP)'!T$14</f>
        <v>4.6130345395862478E-2</v>
      </c>
      <c r="U90" s="419">
        <f>U87/'IS (Non-GAAP)'!U$14</f>
        <v>7.6788433016733632E-2</v>
      </c>
      <c r="V90" s="804">
        <f>V87/'IS (Non-GAAP)'!V$14</f>
        <v>5.6877485305132341E-2</v>
      </c>
      <c r="W90" s="417">
        <f>W87/'IS (Non-GAAP)'!W$14</f>
        <v>6.8580501558590384E-2</v>
      </c>
      <c r="X90" s="419">
        <f>X87/'IS (Non-GAAP)'!X$14</f>
        <v>5.5822541778465115E-2</v>
      </c>
      <c r="Y90" s="419">
        <f>Y87/'IS (Non-GAAP)'!Y$14</f>
        <v>4.2686469004225833E-2</v>
      </c>
      <c r="Z90" s="419">
        <f>Z87/'IS (Non-GAAP)'!Z$14</f>
        <v>5.6298424708796431E-2</v>
      </c>
      <c r="AA90" s="804">
        <f>AA87/'IS (Non-GAAP)'!AA$14</f>
        <v>5.4728981133879008E-2</v>
      </c>
      <c r="AB90" s="417">
        <f>AB87/'IS (Non-GAAP)'!AB$14</f>
        <v>6.41145815088284E-2</v>
      </c>
      <c r="AC90" s="419">
        <f>AC87/'IS (Non-GAAP)'!AC$14</f>
        <v>6.3734241991107124E-2</v>
      </c>
      <c r="AD90" s="419">
        <f>AD87/'IS (Non-GAAP)'!AD$14</f>
        <v>3.8502706015823764E-2</v>
      </c>
      <c r="AE90" s="419">
        <f>AE87/'IS (Non-GAAP)'!AE$14</f>
        <v>5.095551436996712E-2</v>
      </c>
      <c r="AF90" s="804">
        <f>AF87/'IS (Non-GAAP)'!AF$14</f>
        <v>5.3717017173487258E-2</v>
      </c>
      <c r="AG90" s="417">
        <f>AG87/'IS (Non-GAAP)'!AG$14</f>
        <v>7.6732938177095575E-2</v>
      </c>
      <c r="AH90" s="419">
        <f>AH87/'IS (Non-GAAP)'!AH$14</f>
        <v>7.9832754113908305E-2</v>
      </c>
      <c r="AI90" s="419">
        <f>AI87/'IS (Non-GAAP)'!AI$14</f>
        <v>3.8454807634977155E-2</v>
      </c>
      <c r="AJ90" s="419">
        <f>AJ87/'IS (Non-GAAP)'!AJ$14</f>
        <v>5.2671593010182788E-2</v>
      </c>
      <c r="AK90" s="804">
        <f>AK87/'IS (Non-GAAP)'!AK$14</f>
        <v>6.1420277587034347E-2</v>
      </c>
    </row>
    <row r="91" spans="1:37" s="269" customFormat="1" ht="12.75" hidden="1" customHeight="1" outlineLevel="2">
      <c r="A91" s="416"/>
      <c r="B91" s="433" t="s">
        <v>388</v>
      </c>
      <c r="C91" s="655"/>
      <c r="D91" s="290"/>
      <c r="E91" s="290"/>
      <c r="F91" s="290"/>
      <c r="G91" s="254"/>
      <c r="H91" s="293"/>
      <c r="I91" s="290"/>
      <c r="J91" s="290"/>
      <c r="K91" s="290"/>
      <c r="L91" s="254"/>
      <c r="M91" s="801">
        <v>6</v>
      </c>
      <c r="N91" s="802">
        <f>M91</f>
        <v>6</v>
      </c>
      <c r="O91" s="802">
        <f>N91</f>
        <v>6</v>
      </c>
      <c r="P91" s="802">
        <f>O91</f>
        <v>6</v>
      </c>
      <c r="Q91" s="803">
        <f>P91</f>
        <v>6</v>
      </c>
      <c r="R91" s="801">
        <v>6</v>
      </c>
      <c r="S91" s="802">
        <f>R91</f>
        <v>6</v>
      </c>
      <c r="T91" s="802">
        <f>S91</f>
        <v>6</v>
      </c>
      <c r="U91" s="802">
        <f>T91</f>
        <v>6</v>
      </c>
      <c r="V91" s="803">
        <f>U91</f>
        <v>6</v>
      </c>
      <c r="W91" s="801">
        <v>6</v>
      </c>
      <c r="X91" s="802">
        <f>W91</f>
        <v>6</v>
      </c>
      <c r="Y91" s="802">
        <f>X91</f>
        <v>6</v>
      </c>
      <c r="Z91" s="802">
        <f>Y91</f>
        <v>6</v>
      </c>
      <c r="AA91" s="803">
        <f>Z91</f>
        <v>6</v>
      </c>
      <c r="AB91" s="801">
        <v>6</v>
      </c>
      <c r="AC91" s="802">
        <f>AB91</f>
        <v>6</v>
      </c>
      <c r="AD91" s="802">
        <f>AC91</f>
        <v>6</v>
      </c>
      <c r="AE91" s="802">
        <f>AD91</f>
        <v>6</v>
      </c>
      <c r="AF91" s="803">
        <f>AE91</f>
        <v>6</v>
      </c>
      <c r="AG91" s="801">
        <v>6</v>
      </c>
      <c r="AH91" s="802">
        <f>AG91</f>
        <v>6</v>
      </c>
      <c r="AI91" s="802">
        <f>AH91</f>
        <v>6</v>
      </c>
      <c r="AJ91" s="802">
        <f>AI91</f>
        <v>6</v>
      </c>
      <c r="AK91" s="803">
        <f>AJ91</f>
        <v>6</v>
      </c>
    </row>
    <row r="92" spans="1:37" s="269" customFormat="1" ht="12.75" hidden="1" customHeight="1" outlineLevel="1">
      <c r="A92" s="416"/>
      <c r="B92" s="479"/>
      <c r="C92" s="655"/>
      <c r="D92" s="290"/>
      <c r="E92" s="290"/>
      <c r="F92" s="290"/>
      <c r="G92" s="254"/>
      <c r="H92" s="293"/>
      <c r="I92" s="290"/>
      <c r="J92" s="290"/>
      <c r="K92" s="290"/>
      <c r="L92" s="254"/>
      <c r="M92" s="293"/>
      <c r="N92" s="290"/>
      <c r="O92" s="290"/>
      <c r="P92" s="290"/>
      <c r="Q92" s="254"/>
      <c r="R92" s="293"/>
      <c r="S92" s="290"/>
      <c r="T92" s="290"/>
      <c r="U92" s="290"/>
      <c r="V92" s="254"/>
      <c r="W92" s="293"/>
      <c r="X92" s="290"/>
      <c r="Y92" s="290"/>
      <c r="Z92" s="290"/>
      <c r="AA92" s="254"/>
      <c r="AB92" s="293"/>
      <c r="AC92" s="290"/>
      <c r="AD92" s="290"/>
      <c r="AE92" s="290"/>
      <c r="AF92" s="254"/>
      <c r="AG92" s="293"/>
      <c r="AH92" s="290"/>
      <c r="AI92" s="290"/>
      <c r="AJ92" s="290"/>
      <c r="AK92" s="254"/>
    </row>
    <row r="93" spans="1:37" s="289" customFormat="1" ht="12.75" hidden="1" customHeight="1" outlineLevel="1">
      <c r="A93" s="283"/>
      <c r="B93" s="1337" t="s">
        <v>300</v>
      </c>
      <c r="C93" s="371"/>
      <c r="D93" s="371"/>
      <c r="E93" s="371"/>
      <c r="F93" s="371"/>
      <c r="G93" s="495"/>
      <c r="H93" s="371"/>
      <c r="I93" s="371"/>
      <c r="J93" s="371"/>
      <c r="K93" s="491"/>
      <c r="L93" s="495"/>
      <c r="M93" s="912">
        <f>-'IS (GAAP)'!M56</f>
        <v>32.177</v>
      </c>
      <c r="N93" s="912">
        <f>-'IS (GAAP)'!N56</f>
        <v>40.686999999999998</v>
      </c>
      <c r="O93" s="912">
        <f>-'IS (GAAP)'!O56</f>
        <v>35.072000000000003</v>
      </c>
      <c r="P93" s="912">
        <f>-'IS (GAAP)'!P56</f>
        <v>51.081000000000003</v>
      </c>
      <c r="Q93" s="911">
        <f>-'IS (GAAP)'!Q56</f>
        <v>159.017</v>
      </c>
      <c r="R93" s="912">
        <f>-'IS (GAAP)'!R56</f>
        <v>13.091999999999999</v>
      </c>
      <c r="S93" s="912">
        <f>-'IS (GAAP)'!S56</f>
        <v>23.186</v>
      </c>
      <c r="T93" s="912">
        <f>-'IS (GAAP)'!T56</f>
        <v>61.764000000000003</v>
      </c>
      <c r="U93" s="491">
        <f>U59*(U98)</f>
        <v>92.646000000000001</v>
      </c>
      <c r="V93" s="370">
        <f>SUM(R93:U93)</f>
        <v>190.68799999999999</v>
      </c>
      <c r="W93" s="491">
        <f>W59*(W98)</f>
        <v>69.970760400000003</v>
      </c>
      <c r="X93" s="491">
        <f>X59*(X98)</f>
        <v>71.370175607999997</v>
      </c>
      <c r="Y93" s="491">
        <f>Y59*(Y98)</f>
        <v>74.938684388400006</v>
      </c>
      <c r="Z93" s="491">
        <f>Z59*(Z98)</f>
        <v>77.18684492005201</v>
      </c>
      <c r="AA93" s="370">
        <f>SUM(W93:Z93)</f>
        <v>293.466465316452</v>
      </c>
      <c r="AB93" s="491">
        <f>AB59*(AB98)</f>
        <v>65.351901830493617</v>
      </c>
      <c r="AC93" s="491">
        <f>AC59*(AC98)</f>
        <v>78.422282196592334</v>
      </c>
      <c r="AD93" s="491">
        <f>AD59*(AD98)</f>
        <v>82.343396306421965</v>
      </c>
      <c r="AE93" s="491">
        <f>AE59*(AE98)</f>
        <v>88.107434047871493</v>
      </c>
      <c r="AF93" s="370">
        <f>SUM(AB93:AE93)</f>
        <v>314.22501438137942</v>
      </c>
      <c r="AG93" s="491">
        <f>AG59*(AG98)</f>
        <v>88.336946801115786</v>
      </c>
      <c r="AH93" s="491">
        <f>AH59*(AH98)</f>
        <v>99.820749885260824</v>
      </c>
      <c r="AI93" s="491">
        <f>AI59*(AI98)</f>
        <v>112.79744737034473</v>
      </c>
      <c r="AJ93" s="491">
        <f>AJ59*(AJ98)</f>
        <v>125.20516658108266</v>
      </c>
      <c r="AK93" s="370">
        <f>SUM(AG93:AJ93)</f>
        <v>426.160310637804</v>
      </c>
    </row>
    <row r="94" spans="1:37" s="444" customFormat="1" ht="12.75" hidden="1" customHeight="1" outlineLevel="1">
      <c r="A94" s="1102"/>
      <c r="B94" s="433" t="s">
        <v>31</v>
      </c>
      <c r="C94" s="419"/>
      <c r="D94" s="419"/>
      <c r="E94" s="419"/>
      <c r="F94" s="419"/>
      <c r="G94" s="449"/>
      <c r="H94" s="419"/>
      <c r="I94" s="419"/>
      <c r="J94" s="419"/>
      <c r="K94" s="419"/>
      <c r="L94" s="449"/>
      <c r="M94" s="419" t="str">
        <f t="shared" ref="M94:AF94" si="31">IFERROR(M93/H93-1,"")</f>
        <v/>
      </c>
      <c r="N94" s="419" t="str">
        <f t="shared" si="31"/>
        <v/>
      </c>
      <c r="O94" s="419" t="str">
        <f t="shared" si="31"/>
        <v/>
      </c>
      <c r="P94" s="419" t="str">
        <f t="shared" si="31"/>
        <v/>
      </c>
      <c r="Q94" s="449" t="str">
        <f t="shared" si="31"/>
        <v/>
      </c>
      <c r="R94" s="102">
        <f t="shared" si="31"/>
        <v>-0.5931255244429251</v>
      </c>
      <c r="S94" s="102">
        <f t="shared" si="31"/>
        <v>-0.43013739032123277</v>
      </c>
      <c r="T94" s="102">
        <f t="shared" si="31"/>
        <v>0.76106295620437958</v>
      </c>
      <c r="U94" s="102">
        <f t="shared" si="31"/>
        <v>0.81370764080577906</v>
      </c>
      <c r="V94" s="254">
        <f t="shared" si="31"/>
        <v>0.19916738461925454</v>
      </c>
      <c r="W94" s="102">
        <f t="shared" si="31"/>
        <v>4.3445432630614125</v>
      </c>
      <c r="X94" s="102">
        <f t="shared" si="31"/>
        <v>2.078158182006383</v>
      </c>
      <c r="Y94" s="102">
        <f t="shared" si="31"/>
        <v>0.2133068517000194</v>
      </c>
      <c r="Z94" s="102">
        <f t="shared" si="31"/>
        <v>-0.16686262849931988</v>
      </c>
      <c r="AA94" s="254">
        <f t="shared" si="31"/>
        <v>0.53898758871272445</v>
      </c>
      <c r="AB94" s="102">
        <f t="shared" si="31"/>
        <v>-6.601126732226259E-2</v>
      </c>
      <c r="AC94" s="102">
        <f t="shared" si="31"/>
        <v>9.8810273738514587E-2</v>
      </c>
      <c r="AD94" s="102">
        <f t="shared" si="31"/>
        <v>9.8810273738514587E-2</v>
      </c>
      <c r="AE94" s="102">
        <f t="shared" si="31"/>
        <v>0.14148251737884521</v>
      </c>
      <c r="AF94" s="254">
        <f t="shared" si="31"/>
        <v>7.0735676877230258E-2</v>
      </c>
      <c r="AG94" s="102">
        <f>IFERROR(AG93/AB93-1,"")</f>
        <v>0.35171195216689477</v>
      </c>
      <c r="AH94" s="102">
        <f>IFERROR(AH93/AC93-1,"")</f>
        <v>0.27286208829049241</v>
      </c>
      <c r="AI94" s="102">
        <f>IFERROR(AI93/AD93-1,"")</f>
        <v>0.36984205692214878</v>
      </c>
      <c r="AJ94" s="102">
        <f>IFERROR(AJ93/AE93-1,"")</f>
        <v>0.4210511057790518</v>
      </c>
      <c r="AK94" s="254">
        <f>IFERROR(AK93/AF93-1,"")</f>
        <v>0.35622656101008898</v>
      </c>
    </row>
    <row r="95" spans="1:37" ht="12.75" hidden="1" customHeight="1" outlineLevel="1">
      <c r="B95" s="433" t="s">
        <v>33</v>
      </c>
      <c r="C95" s="616"/>
      <c r="D95" s="102"/>
      <c r="E95" s="102"/>
      <c r="F95" s="102"/>
      <c r="G95" s="255"/>
      <c r="H95" s="253"/>
      <c r="I95" s="102"/>
      <c r="J95" s="102"/>
      <c r="K95" s="102"/>
      <c r="L95" s="255"/>
      <c r="M95" s="253" t="str">
        <f>IFERROR(M93/K93-1,"")</f>
        <v/>
      </c>
      <c r="N95" s="102">
        <f>IFERROR(N93/M93-1,"")</f>
        <v>0.26447462473195138</v>
      </c>
      <c r="O95" s="102">
        <f>IFERROR(O93/N93-1,"")</f>
        <v>-0.13800476810774931</v>
      </c>
      <c r="P95" s="102">
        <f>IFERROR(P93/O93-1,"")</f>
        <v>0.45646099452554734</v>
      </c>
      <c r="Q95" s="255"/>
      <c r="R95" s="253">
        <f>IFERROR(R93/P93-1,"")</f>
        <v>-0.74370118047806422</v>
      </c>
      <c r="S95" s="102">
        <f>IFERROR(S93/R93-1,"")</f>
        <v>0.77100519401161027</v>
      </c>
      <c r="T95" s="102">
        <f>IFERROR(T93/S93-1,"")</f>
        <v>1.6638488743207107</v>
      </c>
      <c r="U95" s="102">
        <f>IFERROR(U93/T93-1,"")</f>
        <v>0.5</v>
      </c>
      <c r="V95" s="255"/>
      <c r="W95" s="253">
        <f>IFERROR(W93/U93-1,"")</f>
        <v>-0.24475141506379117</v>
      </c>
      <c r="X95" s="102">
        <f>IFERROR(X93/W93-1,"")</f>
        <v>1.9999999999999796E-2</v>
      </c>
      <c r="Y95" s="102">
        <f>IFERROR(Y93/X93-1,"")</f>
        <v>5.0000000000000044E-2</v>
      </c>
      <c r="Z95" s="102">
        <f>IFERROR(Z93/Y93-1,"")</f>
        <v>3.0000000000000027E-2</v>
      </c>
      <c r="AA95" s="255"/>
      <c r="AB95" s="253">
        <f>IFERROR(AB93/Z93-1,"")</f>
        <v>-0.15332849919978853</v>
      </c>
      <c r="AC95" s="102">
        <f>IFERROR(AC93/AB93-1,"")</f>
        <v>0.19999999999999996</v>
      </c>
      <c r="AD95" s="102">
        <f>IFERROR(AD93/AC93-1,"")</f>
        <v>5.0000000000000266E-2</v>
      </c>
      <c r="AE95" s="102">
        <f>IFERROR(AE93/AD93-1,"")</f>
        <v>6.999999999999984E-2</v>
      </c>
      <c r="AF95" s="255"/>
      <c r="AG95" s="253">
        <f>IFERROR(AG93/AE93-1,"")</f>
        <v>2.6049192752519712E-3</v>
      </c>
      <c r="AH95" s="102">
        <f>IFERROR(AH93/AG93-1,"")</f>
        <v>0.12999999999999989</v>
      </c>
      <c r="AI95" s="102">
        <f>IFERROR(AI93/AH93-1,"")</f>
        <v>0.12999999999999989</v>
      </c>
      <c r="AJ95" s="102">
        <f>IFERROR(AJ93/AI93-1,"")</f>
        <v>0.1100000000000001</v>
      </c>
      <c r="AK95" s="255"/>
    </row>
    <row r="96" spans="1:37" s="269" customFormat="1" ht="12.75" hidden="1" customHeight="1" outlineLevel="2">
      <c r="A96" s="416"/>
      <c r="B96" s="433" t="s">
        <v>388</v>
      </c>
      <c r="C96" s="655"/>
      <c r="D96" s="290"/>
      <c r="E96" s="290"/>
      <c r="F96" s="290"/>
      <c r="G96" s="254"/>
      <c r="H96" s="293"/>
      <c r="I96" s="290"/>
      <c r="J96" s="290"/>
      <c r="K96" s="290"/>
      <c r="L96" s="254"/>
      <c r="M96" s="801">
        <v>6</v>
      </c>
      <c r="N96" s="802">
        <f>M96</f>
        <v>6</v>
      </c>
      <c r="O96" s="802">
        <f>N96</f>
        <v>6</v>
      </c>
      <c r="P96" s="802">
        <f>O96</f>
        <v>6</v>
      </c>
      <c r="Q96" s="803">
        <f>P96</f>
        <v>6</v>
      </c>
      <c r="R96" s="801">
        <v>6</v>
      </c>
      <c r="S96" s="802">
        <f>R96</f>
        <v>6</v>
      </c>
      <c r="T96" s="802">
        <f>S96</f>
        <v>6</v>
      </c>
      <c r="U96" s="802">
        <f>T96</f>
        <v>6</v>
      </c>
      <c r="V96" s="803">
        <f>U96</f>
        <v>6</v>
      </c>
      <c r="W96" s="801">
        <v>6</v>
      </c>
      <c r="X96" s="802">
        <f>W96</f>
        <v>6</v>
      </c>
      <c r="Y96" s="802">
        <f>X96</f>
        <v>6</v>
      </c>
      <c r="Z96" s="802">
        <f>Y96</f>
        <v>6</v>
      </c>
      <c r="AA96" s="803">
        <f>Z96</f>
        <v>6</v>
      </c>
      <c r="AB96" s="801">
        <v>6</v>
      </c>
      <c r="AC96" s="802">
        <f>AB96</f>
        <v>6</v>
      </c>
      <c r="AD96" s="802">
        <f>AC96</f>
        <v>6</v>
      </c>
      <c r="AE96" s="802">
        <f>AD96</f>
        <v>6</v>
      </c>
      <c r="AF96" s="803">
        <f>AE96</f>
        <v>6</v>
      </c>
      <c r="AG96" s="801">
        <v>6</v>
      </c>
      <c r="AH96" s="802">
        <f>AG96</f>
        <v>6</v>
      </c>
      <c r="AI96" s="802">
        <f>AH96</f>
        <v>6</v>
      </c>
      <c r="AJ96" s="802">
        <f>AI96</f>
        <v>6</v>
      </c>
      <c r="AK96" s="803">
        <f>AJ96</f>
        <v>6</v>
      </c>
    </row>
    <row r="97" spans="1:37" s="237" customFormat="1" ht="12.75" hidden="1" customHeight="1" outlineLevel="2">
      <c r="A97" s="78"/>
      <c r="B97" s="946" t="s">
        <v>523</v>
      </c>
      <c r="C97" s="616"/>
      <c r="D97" s="102"/>
      <c r="E97" s="102"/>
      <c r="F97" s="102"/>
      <c r="G97" s="254"/>
      <c r="H97" s="253"/>
      <c r="I97" s="102"/>
      <c r="J97" s="102"/>
      <c r="K97" s="102"/>
      <c r="L97" s="254"/>
      <c r="M97" s="1030">
        <f>M93/M31</f>
        <v>6.107761357499646E-3</v>
      </c>
      <c r="N97" s="1060">
        <f>N93/N31</f>
        <v>5.5089990427526865E-3</v>
      </c>
      <c r="O97" s="1060">
        <f>O93/O31</f>
        <v>3.6049641029984457E-3</v>
      </c>
      <c r="P97" s="1060">
        <f>P93/P31</f>
        <v>3.965914609505199E-3</v>
      </c>
      <c r="Q97" s="1061">
        <f>Q93/Q31</f>
        <v>1.2346035579955133E-2</v>
      </c>
      <c r="R97" s="1030">
        <v>3.9306045028836677E-3</v>
      </c>
      <c r="S97" s="1060">
        <v>5.4576479423313713E-3</v>
      </c>
      <c r="T97" s="1060">
        <v>5.4576479423313713E-3</v>
      </c>
      <c r="U97" s="1060">
        <v>1.973483100662453E-3</v>
      </c>
      <c r="V97" s="1061">
        <f>V93/V31</f>
        <v>6.0359391725541296E-3</v>
      </c>
      <c r="W97" s="1030">
        <v>1.3990111648341011E-3</v>
      </c>
      <c r="X97" s="1060">
        <v>1.3941513555630585E-3</v>
      </c>
      <c r="Y97" s="1060">
        <v>1.2836676010477327E-3</v>
      </c>
      <c r="Z97" s="1060">
        <v>1.2543249682436717E-3</v>
      </c>
      <c r="AA97" s="1061">
        <f>AA93/AA31</f>
        <v>5.5879620990247824E-3</v>
      </c>
      <c r="AB97" s="1030">
        <v>1.1013438428575557E-3</v>
      </c>
      <c r="AC97" s="1060">
        <v>1.139638393927251E-3</v>
      </c>
      <c r="AD97" s="1060">
        <v>1.0816383122543138E-3</v>
      </c>
      <c r="AE97" s="1060">
        <v>1.0743135611302498E-3</v>
      </c>
      <c r="AF97" s="1061">
        <f>AF93/AF31</f>
        <v>4.1725673780971069E-3</v>
      </c>
      <c r="AG97" s="1030">
        <v>1.1013438428575557E-3</v>
      </c>
      <c r="AH97" s="1060">
        <v>1.139638393927251E-3</v>
      </c>
      <c r="AI97" s="1060">
        <v>1.0816383122543138E-3</v>
      </c>
      <c r="AJ97" s="1060">
        <v>1.0743135611302498E-3</v>
      </c>
      <c r="AK97" s="1061">
        <f>AK93/AK31</f>
        <v>4.2577809849896637E-3</v>
      </c>
    </row>
    <row r="98" spans="1:37" s="237" customFormat="1" ht="12.75" hidden="1" customHeight="1" outlineLevel="2">
      <c r="A98" s="78"/>
      <c r="B98" s="946" t="s">
        <v>524</v>
      </c>
      <c r="C98" s="616"/>
      <c r="D98" s="102"/>
      <c r="E98" s="102"/>
      <c r="F98" s="102"/>
      <c r="G98" s="254"/>
      <c r="H98" s="253"/>
      <c r="I98" s="102"/>
      <c r="J98" s="102"/>
      <c r="K98" s="102"/>
      <c r="L98" s="254"/>
      <c r="M98" s="1030"/>
      <c r="N98" s="1060"/>
      <c r="O98" s="1060"/>
      <c r="P98" s="1060">
        <f>P93/P59</f>
        <v>1.5958493732633607E-2</v>
      </c>
      <c r="Q98" s="1061"/>
      <c r="R98" s="1060">
        <f>R93/R59</f>
        <v>3.2136992152309507E-3</v>
      </c>
      <c r="S98" s="1060">
        <f>S93/S59</f>
        <v>5.6396390786659836E-3</v>
      </c>
      <c r="T98" s="1060">
        <f>T93/T59</f>
        <v>8.93826484435894E-3</v>
      </c>
      <c r="U98" s="963">
        <f>T98</f>
        <v>8.93826484435894E-3</v>
      </c>
      <c r="V98" s="1063"/>
      <c r="W98" s="1062">
        <f>U98-0.05%</f>
        <v>8.4382648443589395E-3</v>
      </c>
      <c r="X98" s="963">
        <f>W98</f>
        <v>8.4382648443589395E-3</v>
      </c>
      <c r="Y98" s="963">
        <f>X98</f>
        <v>8.4382648443589395E-3</v>
      </c>
      <c r="Z98" s="963">
        <f>Y98</f>
        <v>8.4382648443589395E-3</v>
      </c>
      <c r="AA98" s="1063"/>
      <c r="AB98" s="1062">
        <f>Z98-0.05%</f>
        <v>7.9382648443589391E-3</v>
      </c>
      <c r="AC98" s="963">
        <f>AB98</f>
        <v>7.9382648443589391E-3</v>
      </c>
      <c r="AD98" s="963">
        <f>AC98</f>
        <v>7.9382648443589391E-3</v>
      </c>
      <c r="AE98" s="963">
        <f>AD98</f>
        <v>7.9382648443589391E-3</v>
      </c>
      <c r="AF98" s="1063"/>
      <c r="AG98" s="1062">
        <f>AE98-0.05%</f>
        <v>7.4382648443589387E-3</v>
      </c>
      <c r="AH98" s="963">
        <f>AG98</f>
        <v>7.4382648443589387E-3</v>
      </c>
      <c r="AI98" s="963">
        <f>AH98</f>
        <v>7.4382648443589387E-3</v>
      </c>
      <c r="AJ98" s="963">
        <f>AI98</f>
        <v>7.4382648443589387E-3</v>
      </c>
      <c r="AK98" s="1063"/>
    </row>
    <row r="99" spans="1:37" s="269" customFormat="1" ht="12.75" customHeight="1" collapsed="1">
      <c r="A99" s="416"/>
      <c r="B99" s="479"/>
      <c r="C99" s="655"/>
      <c r="D99" s="290"/>
      <c r="E99" s="290"/>
      <c r="F99" s="290"/>
      <c r="G99" s="254"/>
      <c r="H99" s="293"/>
      <c r="I99" s="290"/>
      <c r="J99" s="290"/>
      <c r="K99" s="290"/>
      <c r="L99" s="254"/>
      <c r="M99" s="293"/>
      <c r="N99" s="290"/>
      <c r="O99" s="290"/>
      <c r="P99" s="290"/>
      <c r="Q99" s="254"/>
      <c r="R99" s="293"/>
      <c r="S99" s="293"/>
      <c r="T99" s="293"/>
      <c r="U99" s="293"/>
      <c r="V99" s="254"/>
      <c r="W99" s="293"/>
      <c r="X99" s="290"/>
      <c r="Y99" s="290"/>
      <c r="Z99" s="290"/>
      <c r="AA99" s="254"/>
      <c r="AB99" s="293"/>
      <c r="AC99" s="290"/>
      <c r="AD99" s="290"/>
      <c r="AE99" s="290"/>
      <c r="AF99" s="254"/>
      <c r="AG99" s="293"/>
      <c r="AH99" s="290"/>
      <c r="AI99" s="290"/>
      <c r="AJ99" s="290"/>
      <c r="AK99" s="254"/>
    </row>
    <row r="100" spans="1:37" s="269" customFormat="1" ht="12.75" customHeight="1">
      <c r="A100" s="416"/>
      <c r="B100" s="490" t="s">
        <v>168</v>
      </c>
      <c r="C100" s="655"/>
      <c r="D100" s="290"/>
      <c r="E100" s="290"/>
      <c r="F100" s="290"/>
      <c r="G100" s="254"/>
      <c r="H100" s="293"/>
      <c r="I100" s="290"/>
      <c r="J100" s="290"/>
      <c r="K100" s="290"/>
      <c r="L100" s="254"/>
      <c r="M100" s="293"/>
      <c r="N100" s="290"/>
      <c r="O100" s="290"/>
      <c r="P100" s="290"/>
      <c r="Q100" s="254"/>
      <c r="R100" s="293"/>
      <c r="S100" s="290"/>
      <c r="T100" s="290"/>
      <c r="U100" s="290"/>
      <c r="V100" s="254"/>
      <c r="W100" s="293"/>
      <c r="X100" s="290"/>
      <c r="Y100" s="290"/>
      <c r="Z100" s="290"/>
      <c r="AA100" s="999">
        <f>AA101-V101</f>
        <v>3591.8513002081195</v>
      </c>
      <c r="AB100" s="293"/>
      <c r="AC100" s="290"/>
      <c r="AD100" s="290"/>
      <c r="AE100" s="290"/>
      <c r="AF100" s="254"/>
      <c r="AG100" s="293"/>
      <c r="AH100" s="290"/>
      <c r="AI100" s="290"/>
      <c r="AJ100" s="290"/>
      <c r="AK100" s="254"/>
    </row>
    <row r="101" spans="1:37" s="565" customFormat="1" ht="12.75" hidden="1" customHeight="1" outlineLevel="1">
      <c r="A101" s="1097"/>
      <c r="B101" s="468" t="s">
        <v>445</v>
      </c>
      <c r="C101" s="574"/>
      <c r="D101" s="574"/>
      <c r="E101" s="574"/>
      <c r="F101" s="574"/>
      <c r="G101" s="575"/>
      <c r="H101" s="610"/>
      <c r="I101" s="610"/>
      <c r="J101" s="610"/>
      <c r="K101" s="610"/>
      <c r="L101" s="575">
        <f>CF!L14</f>
        <v>103.21</v>
      </c>
      <c r="M101" s="610">
        <f t="shared" ref="M101:AK101" si="32">M110+M106</f>
        <v>80.819999999999993</v>
      </c>
      <c r="N101" s="610">
        <f t="shared" si="32"/>
        <v>167.839</v>
      </c>
      <c r="O101" s="610">
        <f t="shared" si="32"/>
        <v>259.67200000000003</v>
      </c>
      <c r="P101" s="610">
        <f t="shared" si="32"/>
        <v>365.93899999999996</v>
      </c>
      <c r="Q101" s="575">
        <f t="shared" si="32"/>
        <v>874.2700000000001</v>
      </c>
      <c r="R101" s="610">
        <f t="shared" si="32"/>
        <v>457.98877777777778</v>
      </c>
      <c r="S101" s="574">
        <f t="shared" si="32"/>
        <v>567.49223611111108</v>
      </c>
      <c r="T101" s="574">
        <f>T110+T106</f>
        <v>630.4026527777778</v>
      </c>
      <c r="U101" s="574">
        <f t="shared" si="32"/>
        <v>785.14887528361112</v>
      </c>
      <c r="V101" s="575">
        <f t="shared" si="32"/>
        <v>2123.8543615085878</v>
      </c>
      <c r="W101" s="574">
        <f t="shared" si="32"/>
        <v>1175.5894636081887</v>
      </c>
      <c r="X101" s="574">
        <f t="shared" si="32"/>
        <v>1380.6780392585222</v>
      </c>
      <c r="Y101" s="574">
        <f t="shared" si="32"/>
        <v>1513.2447761080389</v>
      </c>
      <c r="Z101" s="574">
        <f t="shared" si="32"/>
        <v>1646.1933827419577</v>
      </c>
      <c r="AA101" s="575">
        <f t="shared" si="32"/>
        <v>5715.7056617167073</v>
      </c>
      <c r="AB101" s="574">
        <f t="shared" si="32"/>
        <v>1863.3323690668949</v>
      </c>
      <c r="AC101" s="574">
        <f t="shared" si="32"/>
        <v>2081.5041356817528</v>
      </c>
      <c r="AD101" s="574">
        <f t="shared" si="32"/>
        <v>2299.277505421187</v>
      </c>
      <c r="AE101" s="574">
        <f t="shared" si="32"/>
        <v>2518.3587441657987</v>
      </c>
      <c r="AF101" s="575">
        <f t="shared" si="32"/>
        <v>8762.472754335633</v>
      </c>
      <c r="AG101" s="574">
        <f t="shared" si="32"/>
        <v>2705.1133576629231</v>
      </c>
      <c r="AH101" s="574">
        <f t="shared" si="32"/>
        <v>2905.0519633823087</v>
      </c>
      <c r="AI101" s="574">
        <f t="shared" si="32"/>
        <v>3103.8403016294069</v>
      </c>
      <c r="AJ101" s="574">
        <f t="shared" si="32"/>
        <v>3304.1983024500328</v>
      </c>
      <c r="AK101" s="575">
        <f t="shared" si="32"/>
        <v>12018.20392512467</v>
      </c>
    </row>
    <row r="102" spans="1:37" s="298" customFormat="1" ht="12.75" hidden="1" customHeight="1" outlineLevel="1">
      <c r="A102" s="1088"/>
      <c r="B102" s="433" t="s">
        <v>31</v>
      </c>
      <c r="C102" s="102"/>
      <c r="D102" s="102"/>
      <c r="E102" s="102"/>
      <c r="F102" s="102"/>
      <c r="G102" s="254"/>
      <c r="H102" s="102"/>
      <c r="I102" s="102"/>
      <c r="J102" s="102"/>
      <c r="K102" s="102"/>
      <c r="L102" s="254"/>
      <c r="M102" s="102" t="str">
        <f t="shared" ref="M102:AF102" si="33">IFERROR(M101/H101-1,"")</f>
        <v/>
      </c>
      <c r="N102" s="102" t="str">
        <f t="shared" si="33"/>
        <v/>
      </c>
      <c r="O102" s="102" t="str">
        <f t="shared" si="33"/>
        <v/>
      </c>
      <c r="P102" s="102" t="str">
        <f t="shared" si="33"/>
        <v/>
      </c>
      <c r="Q102" s="254">
        <f t="shared" si="33"/>
        <v>7.4707877143687647</v>
      </c>
      <c r="R102" s="102">
        <f t="shared" si="33"/>
        <v>4.6667752756468426</v>
      </c>
      <c r="S102" s="102">
        <f t="shared" si="33"/>
        <v>2.3811702650224982</v>
      </c>
      <c r="T102" s="102">
        <f t="shared" si="33"/>
        <v>1.4276882096559418</v>
      </c>
      <c r="U102" s="102">
        <f t="shared" si="33"/>
        <v>1.1455731017563342</v>
      </c>
      <c r="V102" s="254">
        <f t="shared" si="33"/>
        <v>1.4292888484204966</v>
      </c>
      <c r="W102" s="102">
        <f t="shared" si="33"/>
        <v>1.5668521165787173</v>
      </c>
      <c r="X102" s="102">
        <f t="shared" si="33"/>
        <v>1.4329461293073882</v>
      </c>
      <c r="Y102" s="102">
        <f t="shared" si="33"/>
        <v>1.4004416374838295</v>
      </c>
      <c r="Z102" s="102">
        <f t="shared" si="33"/>
        <v>1.0966640016485032</v>
      </c>
      <c r="AA102" s="254">
        <f t="shared" si="33"/>
        <v>1.6911947284637745</v>
      </c>
      <c r="AB102" s="102">
        <f t="shared" si="33"/>
        <v>0.5850196235579086</v>
      </c>
      <c r="AC102" s="102">
        <f t="shared" si="33"/>
        <v>0.5075955990432075</v>
      </c>
      <c r="AD102" s="102">
        <f t="shared" si="33"/>
        <v>0.51943528352020496</v>
      </c>
      <c r="AE102" s="102">
        <f t="shared" si="33"/>
        <v>0.52980735469312346</v>
      </c>
      <c r="AF102" s="254">
        <f t="shared" si="33"/>
        <v>0.53305178274415055</v>
      </c>
      <c r="AG102" s="102">
        <f>IFERROR(AG101/AB101-1,"")</f>
        <v>0.45176105056210059</v>
      </c>
      <c r="AH102" s="102">
        <f>IFERROR(AH101/AC101-1,"")</f>
        <v>0.39565034418287137</v>
      </c>
      <c r="AI102" s="102">
        <f>IFERROR(AI101/AD101-1,"")</f>
        <v>0.34991983103876723</v>
      </c>
      <c r="AJ102" s="102">
        <f>IFERROR(AJ101/AE101-1,"")</f>
        <v>0.31204432653003211</v>
      </c>
      <c r="AK102" s="254">
        <f>IFERROR(AK101/AF101-1,"")</f>
        <v>0.37155392799117304</v>
      </c>
    </row>
    <row r="103" spans="1:37" ht="12.75" hidden="1" customHeight="1" outlineLevel="1">
      <c r="B103" s="433" t="s">
        <v>33</v>
      </c>
      <c r="C103" s="616"/>
      <c r="D103" s="102"/>
      <c r="E103" s="102"/>
      <c r="F103" s="102"/>
      <c r="G103" s="255"/>
      <c r="H103" s="253"/>
      <c r="I103" s="102"/>
      <c r="J103" s="102"/>
      <c r="K103" s="102"/>
      <c r="L103" s="255"/>
      <c r="M103" s="253" t="str">
        <f>IFERROR(M101/K101-1,"")</f>
        <v/>
      </c>
      <c r="N103" s="102">
        <f>IFERROR(N101/M101-1,"")</f>
        <v>1.0767013115565454</v>
      </c>
      <c r="O103" s="102">
        <f>IFERROR(O101/N101-1,"")</f>
        <v>0.54714935146181776</v>
      </c>
      <c r="P103" s="102">
        <f>IFERROR(P101/O101-1,"")</f>
        <v>0.40923549708863471</v>
      </c>
      <c r="Q103" s="255"/>
      <c r="R103" s="253">
        <f>IFERROR(R101/P101-1,"")</f>
        <v>0.25154404908407635</v>
      </c>
      <c r="S103" s="102">
        <f>IFERROR(S101/R101-1,"")</f>
        <v>0.23909637887779378</v>
      </c>
      <c r="T103" s="102">
        <f>IFERROR(T101/S101-1,"")</f>
        <v>0.11085687638262121</v>
      </c>
      <c r="U103" s="102">
        <f>IFERROR(U101/T101-1,"")</f>
        <v>0.24547203572822318</v>
      </c>
      <c r="V103" s="255"/>
      <c r="W103" s="253">
        <f>IFERROR(W101/U101-1,"")</f>
        <v>0.49728223603904764</v>
      </c>
      <c r="X103" s="102">
        <f>IFERROR(X101/W101-1,"")</f>
        <v>0.17445594912093165</v>
      </c>
      <c r="Y103" s="102">
        <f>IFERROR(Y101/X101-1,"")</f>
        <v>9.6015677138393762E-2</v>
      </c>
      <c r="Z103" s="102">
        <f>IFERROR(Z101/Y101-1,"")</f>
        <v>8.7856643375207044E-2</v>
      </c>
      <c r="AA103" s="255"/>
      <c r="AB103" s="253">
        <f>IFERROR(AB101/Z101-1,"")</f>
        <v>0.13190369284759407</v>
      </c>
      <c r="AC103" s="102">
        <f>IFERROR(AC101/AB101-1,"")</f>
        <v>0.11708687630651338</v>
      </c>
      <c r="AD103" s="102">
        <f>IFERROR(AD101/AC101-1,"")</f>
        <v>0.10462307809352822</v>
      </c>
      <c r="AE103" s="102">
        <f>IFERROR(AE101/AD101-1,"")</f>
        <v>9.5282643451287008E-2</v>
      </c>
      <c r="AF103" s="255"/>
      <c r="AG103" s="253">
        <f>IFERROR(AG101/AE101-1,"")</f>
        <v>7.4157271647565137E-2</v>
      </c>
      <c r="AH103" s="102">
        <f>IFERROR(AH101/AG101-1,"")</f>
        <v>7.391135944562488E-2</v>
      </c>
      <c r="AI103" s="102">
        <f>IFERROR(AI101/AH101-1,"")</f>
        <v>6.8428496547666473E-2</v>
      </c>
      <c r="AJ103" s="102">
        <f>IFERROR(AJ101/AI101-1,"")</f>
        <v>6.455164613831621E-2</v>
      </c>
      <c r="AK103" s="255"/>
    </row>
    <row r="104" spans="1:37" ht="12.75" hidden="1" customHeight="1" outlineLevel="1">
      <c r="B104" s="433" t="s">
        <v>116</v>
      </c>
      <c r="C104" s="616"/>
      <c r="D104" s="102"/>
      <c r="E104" s="102"/>
      <c r="F104" s="102"/>
      <c r="G104" s="255"/>
      <c r="H104" s="253"/>
      <c r="I104" s="102"/>
      <c r="J104" s="102"/>
      <c r="K104" s="102"/>
      <c r="L104" s="255"/>
      <c r="M104" s="253">
        <f>M101/'KPI Summary'!M10</f>
        <v>0.42833520595280994</v>
      </c>
      <c r="N104" s="102">
        <f>N101/'KPI Summary'!N10</f>
        <v>0.42451014363724199</v>
      </c>
      <c r="O104" s="102">
        <f>O101/'KPI Summary'!O10</f>
        <v>0.44468876136458996</v>
      </c>
      <c r="P104" s="102">
        <f>P101/'KPI Summary'!P10</f>
        <v>0.48959635015988118</v>
      </c>
      <c r="Q104" s="255">
        <f>Q101/'KPI Summary'!Q10</f>
        <v>0.45643632278145962</v>
      </c>
      <c r="R104" s="253">
        <f>R101/'KPI Summary'!R10</f>
        <v>0.46655852476058013</v>
      </c>
      <c r="S104" s="102">
        <f>S101/'KPI Summary'!S10</f>
        <v>0.46792368996981426</v>
      </c>
      <c r="T104" s="102">
        <f>T101/'KPI Summary'!T10</f>
        <v>0.46194309328937994</v>
      </c>
      <c r="U104" s="102">
        <f>U101/'KPI Summary'!U10</f>
        <v>0.50888530381650487</v>
      </c>
      <c r="V104" s="255">
        <f>V101/'KPI Summary'!V10</f>
        <v>0.41628075647680385</v>
      </c>
      <c r="W104" s="253">
        <f>W101/'KPI Summary'!W10</f>
        <v>0.52785016804153406</v>
      </c>
      <c r="X104" s="102">
        <f>X101/'KPI Summary'!X10</f>
        <v>0.46578557902394346</v>
      </c>
      <c r="Y104" s="102">
        <f>Y101/'KPI Summary'!Y10</f>
        <v>0.45999698224064417</v>
      </c>
      <c r="Z104" s="102">
        <f>Z101/'KPI Summary'!Z10</f>
        <v>0.46758411611347783</v>
      </c>
      <c r="AA104" s="255">
        <f>AA101/'KPI Summary'!AA10</f>
        <v>0.47624373962646632</v>
      </c>
      <c r="AB104" s="253">
        <f>AB101/'KPI Summary'!AB10</f>
        <v>0.48885659650780638</v>
      </c>
      <c r="AC104" s="102">
        <f>AC101/'KPI Summary'!AC10</f>
        <v>0.50108815217764358</v>
      </c>
      <c r="AD104" s="102">
        <f>AD101/'KPI Summary'!AD10</f>
        <v>0.51393908538537081</v>
      </c>
      <c r="AE104" s="102">
        <f>AE101/'KPI Summary'!AE10</f>
        <v>0.52779452060013521</v>
      </c>
      <c r="AF104" s="255">
        <f>AF101/'KPI Summary'!AF10</f>
        <v>0.50912374787162318</v>
      </c>
      <c r="AG104" s="253">
        <f>AG101/'KPI Summary'!AG10</f>
        <v>0.52850263151161347</v>
      </c>
      <c r="AH104" s="102">
        <f>AH101/'KPI Summary'!AH10</f>
        <v>0.54506031889733608</v>
      </c>
      <c r="AI104" s="102">
        <f>AI101/'KPI Summary'!AI10</f>
        <v>0.5623645691444642</v>
      </c>
      <c r="AJ104" s="102">
        <f>AJ101/'KPI Summary'!AJ10</f>
        <v>0.58094843299809928</v>
      </c>
      <c r="AK104" s="255">
        <f>AK101/'KPI Summary'!AK10</f>
        <v>0.55498288735272716</v>
      </c>
    </row>
    <row r="105" spans="1:37" s="298" customFormat="1" ht="12.75" hidden="1" customHeight="1" outlineLevel="1">
      <c r="A105" s="1088"/>
      <c r="B105" s="479"/>
      <c r="C105" s="102"/>
      <c r="D105" s="102"/>
      <c r="E105" s="102"/>
      <c r="F105" s="102"/>
      <c r="G105" s="254"/>
      <c r="H105" s="102"/>
      <c r="I105" s="102"/>
      <c r="J105" s="102"/>
      <c r="K105" s="102"/>
      <c r="L105" s="254"/>
      <c r="M105" s="102"/>
      <c r="N105" s="102"/>
      <c r="O105" s="102"/>
      <c r="P105" s="102"/>
      <c r="Q105" s="254"/>
      <c r="R105" s="102"/>
      <c r="S105" s="102"/>
      <c r="T105" s="102"/>
      <c r="U105" s="102"/>
      <c r="V105" s="254"/>
      <c r="W105" s="102"/>
      <c r="X105" s="102"/>
      <c r="Y105" s="102"/>
      <c r="Z105" s="102"/>
      <c r="AA105" s="254"/>
      <c r="AB105" s="102"/>
      <c r="AC105" s="102"/>
      <c r="AD105" s="102"/>
      <c r="AE105" s="102"/>
      <c r="AF105" s="254"/>
      <c r="AG105" s="102"/>
      <c r="AH105" s="102"/>
      <c r="AI105" s="102"/>
      <c r="AJ105" s="102"/>
      <c r="AK105" s="254"/>
    </row>
    <row r="106" spans="1:37" s="1309" customFormat="1" ht="12.75" hidden="1" customHeight="1" outlineLevel="1">
      <c r="A106" s="1298"/>
      <c r="B106" s="1299" t="s">
        <v>380</v>
      </c>
      <c r="C106" s="1300"/>
      <c r="D106" s="1301"/>
      <c r="E106" s="1301"/>
      <c r="F106" s="1301"/>
      <c r="G106" s="1302"/>
      <c r="H106" s="1303"/>
      <c r="I106" s="1304"/>
      <c r="J106" s="1304"/>
      <c r="K106" s="1305"/>
      <c r="L106" s="1302"/>
      <c r="M106" s="1303">
        <v>79</v>
      </c>
      <c r="N106" s="1304">
        <v>164</v>
      </c>
      <c r="O106" s="1304">
        <v>253</v>
      </c>
      <c r="P106" s="1304">
        <v>357.52699999999999</v>
      </c>
      <c r="Q106" s="1306">
        <f>SUM(M106:P106)</f>
        <v>853.52700000000004</v>
      </c>
      <c r="R106" s="1303">
        <v>443</v>
      </c>
      <c r="S106" s="1303">
        <v>553</v>
      </c>
      <c r="T106" s="1304">
        <v>621</v>
      </c>
      <c r="U106" s="1307">
        <f>'Depreciation Build'!U28</f>
        <v>760</v>
      </c>
      <c r="V106" s="1308">
        <f>'Depreciation Build'!V28</f>
        <v>2059.8218195583099</v>
      </c>
      <c r="W106" s="1307">
        <f>'Depreciation Build'!W28</f>
        <v>1144.4629965562442</v>
      </c>
      <c r="X106" s="1307">
        <f>'Depreciation Build'!X28</f>
        <v>1342.728038222911</v>
      </c>
      <c r="Y106" s="1307">
        <f>'Depreciation Build'!Y28</f>
        <v>1468.076413222911</v>
      </c>
      <c r="Z106" s="1307">
        <f>'Depreciation Build'!Z28</f>
        <v>1593.424788222911</v>
      </c>
      <c r="AA106" s="1308">
        <f>'Depreciation Build'!AA28</f>
        <v>5548.692236224977</v>
      </c>
      <c r="AB106" s="1307">
        <f>'Depreciation Build'!AB28</f>
        <v>1802.1064965562443</v>
      </c>
      <c r="AC106" s="1307">
        <f>'Depreciation Build'!AC28</f>
        <v>2010.7882048895776</v>
      </c>
      <c r="AD106" s="1307">
        <f>'Depreciation Build'!AD28</f>
        <v>2219.4699132229111</v>
      </c>
      <c r="AE106" s="1307">
        <f>'Depreciation Build'!AE28</f>
        <v>2428.1516215562447</v>
      </c>
      <c r="AF106" s="1306">
        <f>'Depreciation Build'!AF28</f>
        <v>8460.5162362249775</v>
      </c>
      <c r="AG106" s="1307">
        <f>'Depreciation Build'!AG28</f>
        <v>2613.2499965562447</v>
      </c>
      <c r="AH106" s="1307">
        <f>'Depreciation Build'!AH28</f>
        <v>2801.0983715562447</v>
      </c>
      <c r="AI106" s="1307">
        <f>'Depreciation Build'!AI28</f>
        <v>2988.9467465562448</v>
      </c>
      <c r="AJ106" s="1307">
        <f>'Depreciation Build'!AJ28</f>
        <v>3176.7951215562448</v>
      </c>
      <c r="AK106" s="1306">
        <f>'Depreciation Build'!AK28</f>
        <v>11580.090236224978</v>
      </c>
    </row>
    <row r="107" spans="1:37" s="298" customFormat="1" ht="12.75" hidden="1" customHeight="1" outlineLevel="1">
      <c r="A107" s="1088"/>
      <c r="B107" s="433" t="s">
        <v>31</v>
      </c>
      <c r="C107" s="102"/>
      <c r="D107" s="102"/>
      <c r="E107" s="102"/>
      <c r="F107" s="102"/>
      <c r="G107" s="254"/>
      <c r="H107" s="102"/>
      <c r="I107" s="102"/>
      <c r="J107" s="102"/>
      <c r="K107" s="102"/>
      <c r="L107" s="254"/>
      <c r="M107" s="102" t="str">
        <f t="shared" ref="M107:AF107" si="34">IFERROR(M106/H106-1,"")</f>
        <v/>
      </c>
      <c r="N107" s="102" t="str">
        <f t="shared" si="34"/>
        <v/>
      </c>
      <c r="O107" s="102" t="str">
        <f t="shared" si="34"/>
        <v/>
      </c>
      <c r="P107" s="102" t="str">
        <f t="shared" si="34"/>
        <v/>
      </c>
      <c r="Q107" s="254" t="str">
        <f t="shared" si="34"/>
        <v/>
      </c>
      <c r="R107" s="102">
        <f t="shared" si="34"/>
        <v>4.6075949367088604</v>
      </c>
      <c r="S107" s="102">
        <f t="shared" si="34"/>
        <v>2.3719512195121952</v>
      </c>
      <c r="T107" s="102">
        <f t="shared" si="34"/>
        <v>1.4545454545454546</v>
      </c>
      <c r="U107" s="102">
        <f t="shared" si="34"/>
        <v>1.1257135824706945</v>
      </c>
      <c r="V107" s="254">
        <f t="shared" si="34"/>
        <v>1.4133059874594593</v>
      </c>
      <c r="W107" s="102">
        <f>IFERROR(W106/R106-1,"")</f>
        <v>1.5834379154768494</v>
      </c>
      <c r="X107" s="102">
        <f>IFERROR(X106/S106-1,"")</f>
        <v>1.4280796351228044</v>
      </c>
      <c r="Y107" s="102">
        <f>IFERROR(Y106/T106-1,"")</f>
        <v>1.3640521952059759</v>
      </c>
      <c r="Z107" s="102">
        <f>IFERROR(Z106/U106-1,"")</f>
        <v>1.0966115634511988</v>
      </c>
      <c r="AA107" s="254">
        <f t="shared" si="34"/>
        <v>1.6937729193560975</v>
      </c>
      <c r="AB107" s="102">
        <f>IFERROR(AB106/W106-1,"")</f>
        <v>0.57463063635861333</v>
      </c>
      <c r="AC107" s="102">
        <f>IFERROR(AC106/X106-1,"")</f>
        <v>0.49753944778783232</v>
      </c>
      <c r="AD107" s="102">
        <f>IFERROR(AD106/Y106-1,"")</f>
        <v>0.51182179158538754</v>
      </c>
      <c r="AE107" s="102">
        <f>IFERROR(AE106/Z106-1,"")</f>
        <v>0.52385706529912479</v>
      </c>
      <c r="AF107" s="254">
        <f t="shared" si="34"/>
        <v>0.524776627723192</v>
      </c>
      <c r="AG107" s="102">
        <f>IFERROR(AG106/AB106-1,"")</f>
        <v>0.45010852663261813</v>
      </c>
      <c r="AH107" s="102">
        <f>IFERROR(AH106/AC106-1,"")</f>
        <v>0.39303501221306747</v>
      </c>
      <c r="AI107" s="102">
        <f>IFERROR(AI106/AD106-1,"")</f>
        <v>0.34669396901892213</v>
      </c>
      <c r="AJ107" s="102">
        <f>IFERROR(AJ106/AE106-1,"")</f>
        <v>0.30831826701175347</v>
      </c>
      <c r="AK107" s="254">
        <f>IFERROR(AK106/AF106-1,"")</f>
        <v>0.36872147194081051</v>
      </c>
    </row>
    <row r="108" spans="1:37" ht="12.75" hidden="1" customHeight="1" outlineLevel="1">
      <c r="B108" s="433" t="s">
        <v>33</v>
      </c>
      <c r="C108" s="616"/>
      <c r="D108" s="102"/>
      <c r="E108" s="102"/>
      <c r="F108" s="102"/>
      <c r="G108" s="255"/>
      <c r="H108" s="253"/>
      <c r="I108" s="102"/>
      <c r="J108" s="102"/>
      <c r="K108" s="102"/>
      <c r="L108" s="255"/>
      <c r="M108" s="253" t="str">
        <f>IFERROR(M106/K106-1,"")</f>
        <v/>
      </c>
      <c r="N108" s="102">
        <f>IFERROR(N106/M106-1,"")</f>
        <v>1.0759493670886076</v>
      </c>
      <c r="O108" s="102">
        <f>IFERROR(O106/N106-1,"")</f>
        <v>0.54268292682926833</v>
      </c>
      <c r="P108" s="102">
        <f>IFERROR(P106/O106-1,"")</f>
        <v>0.41315019762845839</v>
      </c>
      <c r="Q108" s="255"/>
      <c r="R108" s="253">
        <f>IFERROR(R106/P106-1,"")</f>
        <v>0.23906725925594441</v>
      </c>
      <c r="S108" s="102">
        <f>IFERROR(S106/R106-1,"")</f>
        <v>0.24830699774266374</v>
      </c>
      <c r="T108" s="102">
        <f>IFERROR(T106/S106-1,"")</f>
        <v>0.12296564195298365</v>
      </c>
      <c r="U108" s="102">
        <f>IFERROR(U106/T106-1,"")</f>
        <v>0.22383252818035437</v>
      </c>
      <c r="V108" s="255"/>
      <c r="W108" s="253">
        <f>IFERROR(W106/U106-1,"")</f>
        <v>0.50587236388979506</v>
      </c>
      <c r="X108" s="102">
        <f>IFERROR(X106/W106-1,"")</f>
        <v>0.17323849024674254</v>
      </c>
      <c r="Y108" s="102">
        <f>IFERROR(Y106/X106-1,"")</f>
        <v>9.3353509744160457E-2</v>
      </c>
      <c r="Z108" s="102">
        <f>IFERROR(Z106/Y106-1,"")</f>
        <v>8.538273203696467E-2</v>
      </c>
      <c r="AA108" s="255"/>
      <c r="AB108" s="253">
        <f>IFERROR(AB106/Z106-1,"")</f>
        <v>0.1309642663247812</v>
      </c>
      <c r="AC108" s="102">
        <f>IFERROR(AC106/AB106-1,"")</f>
        <v>0.11579876590651872</v>
      </c>
      <c r="AD108" s="102">
        <f>IFERROR(AD106/AC106-1,"")</f>
        <v>0.10378104855891235</v>
      </c>
      <c r="AE108" s="102">
        <f>IFERROR(AE106/AD106-1,"")</f>
        <v>9.4023220179770384E-2</v>
      </c>
      <c r="AF108" s="255"/>
      <c r="AG108" s="253">
        <f>IFERROR(AG106/AE106-1,"")</f>
        <v>7.623015521632337E-2</v>
      </c>
      <c r="AH108" s="102">
        <f>IFERROR(AH106/AG106-1,"")</f>
        <v>7.1883048023552165E-2</v>
      </c>
      <c r="AI108" s="102">
        <f>IFERROR(AI106/AH106-1,"")</f>
        <v>6.7062398417530256E-2</v>
      </c>
      <c r="AJ108" s="102">
        <f>IFERROR(AJ106/AI106-1,"")</f>
        <v>6.2847682119606896E-2</v>
      </c>
      <c r="AK108" s="255"/>
    </row>
    <row r="109" spans="1:37" s="571" customFormat="1" ht="12.75" hidden="1" customHeight="1" outlineLevel="1">
      <c r="A109" s="1100"/>
      <c r="B109" s="384"/>
      <c r="C109" s="566"/>
      <c r="D109" s="566"/>
      <c r="E109" s="566"/>
      <c r="F109" s="566"/>
      <c r="G109" s="568"/>
      <c r="H109" s="619"/>
      <c r="I109" s="619"/>
      <c r="J109" s="619"/>
      <c r="K109" s="619"/>
      <c r="L109" s="568"/>
      <c r="M109" s="619"/>
      <c r="N109" s="619"/>
      <c r="O109" s="619"/>
      <c r="P109" s="619"/>
      <c r="Q109" s="570"/>
      <c r="R109" s="569"/>
      <c r="S109" s="569"/>
      <c r="T109" s="569"/>
      <c r="U109" s="569"/>
      <c r="V109" s="570"/>
      <c r="W109" s="569"/>
      <c r="X109" s="569"/>
      <c r="Y109" s="569"/>
      <c r="Z109" s="569"/>
      <c r="AA109" s="570"/>
      <c r="AB109" s="569"/>
      <c r="AC109" s="569"/>
      <c r="AD109" s="569"/>
      <c r="AE109" s="569"/>
      <c r="AF109" s="570"/>
      <c r="AG109" s="569"/>
      <c r="AH109" s="569"/>
      <c r="AI109" s="569"/>
      <c r="AJ109" s="569"/>
      <c r="AK109" s="570"/>
    </row>
    <row r="110" spans="1:37" s="470" customFormat="1" ht="12.75" hidden="1" customHeight="1" outlineLevel="1">
      <c r="A110" s="548"/>
      <c r="B110" s="468" t="s">
        <v>395</v>
      </c>
      <c r="C110" s="810"/>
      <c r="D110" s="810"/>
      <c r="E110" s="810"/>
      <c r="F110" s="810"/>
      <c r="G110" s="1111">
        <f t="shared" ref="G110:AF110" si="35">SUM(G111:G113)</f>
        <v>0</v>
      </c>
      <c r="H110" s="647">
        <f t="shared" si="35"/>
        <v>0</v>
      </c>
      <c r="I110" s="647">
        <f t="shared" si="35"/>
        <v>0</v>
      </c>
      <c r="J110" s="647">
        <f t="shared" si="35"/>
        <v>0</v>
      </c>
      <c r="K110" s="647">
        <f t="shared" si="35"/>
        <v>0</v>
      </c>
      <c r="L110" s="1111">
        <f t="shared" si="35"/>
        <v>0</v>
      </c>
      <c r="M110" s="647">
        <f t="shared" si="35"/>
        <v>1.8199999999999998</v>
      </c>
      <c r="N110" s="647">
        <f t="shared" si="35"/>
        <v>3.839</v>
      </c>
      <c r="O110" s="647">
        <f t="shared" si="35"/>
        <v>6.6720000000000006</v>
      </c>
      <c r="P110" s="647">
        <f t="shared" si="35"/>
        <v>8.411999999999999</v>
      </c>
      <c r="Q110" s="1111">
        <f t="shared" si="35"/>
        <v>20.743000000000002</v>
      </c>
      <c r="R110" s="810">
        <f>SUM(R111:R113)</f>
        <v>14.988777777777777</v>
      </c>
      <c r="S110" s="810">
        <f t="shared" si="35"/>
        <v>14.492236111111112</v>
      </c>
      <c r="T110" s="810">
        <f>SUM(T111:T113)</f>
        <v>9.402652777777778</v>
      </c>
      <c r="U110" s="810">
        <f t="shared" si="35"/>
        <v>25.148875283611112</v>
      </c>
      <c r="V110" s="1111">
        <f t="shared" si="35"/>
        <v>64.032541950277789</v>
      </c>
      <c r="W110" s="810">
        <f t="shared" si="35"/>
        <v>31.126467051944445</v>
      </c>
      <c r="X110" s="810">
        <f t="shared" si="35"/>
        <v>37.950001035611109</v>
      </c>
      <c r="Y110" s="810">
        <f t="shared" si="35"/>
        <v>45.168362885127777</v>
      </c>
      <c r="Z110" s="810">
        <f t="shared" si="35"/>
        <v>52.768594519046609</v>
      </c>
      <c r="AA110" s="1111">
        <f t="shared" si="35"/>
        <v>167.01342549172995</v>
      </c>
      <c r="AB110" s="810">
        <f t="shared" si="35"/>
        <v>61.225872510650504</v>
      </c>
      <c r="AC110" s="810">
        <f t="shared" si="35"/>
        <v>70.715930792175186</v>
      </c>
      <c r="AD110" s="810">
        <f t="shared" si="35"/>
        <v>79.807592198276097</v>
      </c>
      <c r="AE110" s="810">
        <f t="shared" si="35"/>
        <v>90.207122609554091</v>
      </c>
      <c r="AF110" s="1111">
        <f t="shared" si="35"/>
        <v>301.95651811065591</v>
      </c>
      <c r="AG110" s="810">
        <f>SUM(AG111:AG113)</f>
        <v>91.863361106678354</v>
      </c>
      <c r="AH110" s="810">
        <f>SUM(AH111:AH113)</f>
        <v>103.95359182606421</v>
      </c>
      <c r="AI110" s="810">
        <f>SUM(AI111:AI113)</f>
        <v>114.89355507316191</v>
      </c>
      <c r="AJ110" s="810">
        <f>SUM(AJ111:AJ113)</f>
        <v>127.40318089378786</v>
      </c>
      <c r="AK110" s="1111">
        <f>SUM(AK111:AK113)</f>
        <v>438.11368889969236</v>
      </c>
    </row>
    <row r="111" spans="1:37" s="470" customFormat="1" ht="12.75" hidden="1" customHeight="1" outlineLevel="1">
      <c r="A111" s="548"/>
      <c r="B111" s="825" t="s">
        <v>381</v>
      </c>
      <c r="C111" s="542"/>
      <c r="D111" s="549"/>
      <c r="E111" s="549"/>
      <c r="F111" s="549"/>
      <c r="G111" s="601"/>
      <c r="H111" s="620"/>
      <c r="I111" s="787"/>
      <c r="J111" s="787"/>
      <c r="K111" s="795"/>
      <c r="L111" s="601"/>
      <c r="M111" s="620">
        <v>0.95399999999999996</v>
      </c>
      <c r="N111" s="787">
        <v>1.3640000000000001</v>
      </c>
      <c r="O111" s="787">
        <v>1.839</v>
      </c>
      <c r="P111" s="787">
        <v>2.415</v>
      </c>
      <c r="Q111" s="1112">
        <f>SUM(M111:P111)</f>
        <v>6.5720000000000001</v>
      </c>
      <c r="R111" s="552">
        <f>SUM(P80,Q80:R80)/(R85*4)</f>
        <v>3.6747777777777779</v>
      </c>
      <c r="S111" s="552">
        <f>SUM(Q80,R80:S80)/(S85*4)</f>
        <v>4.1191111111111116</v>
      </c>
      <c r="T111" s="552">
        <f>SUM(R80,S80:T80)/(T85*4)</f>
        <v>3.4444444444444446</v>
      </c>
      <c r="U111" s="552">
        <f>SUM(Q80,R80:U80)/(U85*4)</f>
        <v>6.3185002836111117</v>
      </c>
      <c r="V111" s="1112">
        <f>SUM(R111:U111)</f>
        <v>17.556833616944445</v>
      </c>
      <c r="W111" s="552">
        <f>SUM(Q80,V80,W80)/(W85*4)</f>
        <v>7.8532687019444438</v>
      </c>
      <c r="X111" s="552">
        <f>SUM(Q80,V80,W80:X80)/(X85*4)</f>
        <v>10.048357868611111</v>
      </c>
      <c r="Y111" s="552">
        <f>SUM(Q80,V80,W80:Y80)/(Y85*4)</f>
        <v>12.740024535277776</v>
      </c>
      <c r="Z111" s="552">
        <f>SUM(Q80,V80,W80:Z80)/(Z85*4)</f>
        <v>15.142075130861109</v>
      </c>
      <c r="AA111" s="1112">
        <f>SUM(W111:Z111)</f>
        <v>45.783726236694442</v>
      </c>
      <c r="AB111" s="552">
        <f>SUM(Q80,V80,AA80,AB80)/(AB85*4)</f>
        <v>18.58529471286111</v>
      </c>
      <c r="AC111" s="552">
        <f>SUM(Q80,V80,AA80,AB80:AC80)/(AC85*4)</f>
        <v>22.32572665286111</v>
      </c>
      <c r="AD111" s="552">
        <f>SUM(Q80,V80,AA80,AB80:AD80)/(AD85*4)</f>
        <v>26.371525712861111</v>
      </c>
      <c r="AE111" s="552">
        <f>SUM(Q80,V80,AA80,AB80:AE80)/(AE85*4)</f>
        <v>30.820541163811111</v>
      </c>
      <c r="AF111" s="1112">
        <f>SUM(AB111:AE111)</f>
        <v>98.103088242394449</v>
      </c>
      <c r="AG111" s="552">
        <f>SUM(V80,AA80,AF80,AG80)/(AG85*4)</f>
        <v>33.050021460888885</v>
      </c>
      <c r="AH111" s="552">
        <f>SUM(V80,AA80,AF80,AG80:AH80)/(AH85*4)</f>
        <v>37.258007393388887</v>
      </c>
      <c r="AI111" s="552">
        <f>SUM(V80,AA80,AF80,AG80:AI80)/(AI85*4)</f>
        <v>41.640956375055552</v>
      </c>
      <c r="AJ111" s="552">
        <f>SUM(V80,AA80,AF80,AG80:AJ80)/(AJ85*4)</f>
        <v>46.312422598553056</v>
      </c>
      <c r="AK111" s="1112">
        <f>SUM(AG111:AJ111)</f>
        <v>158.26140782788639</v>
      </c>
    </row>
    <row r="112" spans="1:37" s="470" customFormat="1" ht="12.75" hidden="1" customHeight="1" outlineLevel="1">
      <c r="A112" s="548"/>
      <c r="B112" s="825" t="s">
        <v>382</v>
      </c>
      <c r="C112" s="542"/>
      <c r="D112" s="549"/>
      <c r="E112" s="549"/>
      <c r="F112" s="549"/>
      <c r="G112" s="601"/>
      <c r="H112" s="620"/>
      <c r="I112" s="787"/>
      <c r="J112" s="787"/>
      <c r="K112" s="795"/>
      <c r="L112" s="601"/>
      <c r="M112" s="620">
        <v>3.5999999999999997E-2</v>
      </c>
      <c r="N112" s="787">
        <v>7.4999999999999997E-2</v>
      </c>
      <c r="O112" s="787">
        <v>0.441</v>
      </c>
      <c r="P112" s="787">
        <v>0.66200000000000003</v>
      </c>
      <c r="Q112" s="1112">
        <f>SUM(M112:P112)</f>
        <v>1.214</v>
      </c>
      <c r="R112" s="552">
        <f>SUM(P87,Q87:R87)/(R91*4)</f>
        <v>2.0144166666666665</v>
      </c>
      <c r="S112" s="552">
        <f>SUM(Q87,R87:S87)/(S91*4)</f>
        <v>2.2358333333333333</v>
      </c>
      <c r="T112" s="552">
        <f>SUM(R87,S87:T87)/(T91*4)</f>
        <v>1.8731249999999999</v>
      </c>
      <c r="U112" s="552">
        <f>SUM(Q87,R87:U87)/(U91*4)</f>
        <v>4.2593333333333332</v>
      </c>
      <c r="V112" s="1112">
        <f>SUM(R112:U112)</f>
        <v>10.382708333333333</v>
      </c>
      <c r="W112" s="552">
        <f>SUM(Q87,V87,W87)/(W91*4)</f>
        <v>5.7867083333333333</v>
      </c>
      <c r="X112" s="552">
        <f>SUM(Q87,V87,W87:X87)/(X91*4)</f>
        <v>7.4413958333333339</v>
      </c>
      <c r="Y112" s="552">
        <f>SUM(Q87,V87,W87:Y87)/(Y91*4)</f>
        <v>8.8456458333333341</v>
      </c>
      <c r="Z112" s="552">
        <f>SUM(Q87,V87,W87:Z87)/(Z91*4)</f>
        <v>10.827708333333334</v>
      </c>
      <c r="AA112" s="1112">
        <f>SUM(W112:Z112)</f>
        <v>32.901458333333338</v>
      </c>
      <c r="AB112" s="552">
        <f>SUM(Q87,V87,AA87,AB87)/(AB91*4)</f>
        <v>13.118770833333334</v>
      </c>
      <c r="AC112" s="552">
        <f>SUM(Q87,V87,AA87,AB87:AC87)/(AC91*4)</f>
        <v>15.600802083333335</v>
      </c>
      <c r="AD112" s="552">
        <f>SUM(Q87,V87,AA87,AB87:AD87)/(AD91*4)</f>
        <v>17.215689583333333</v>
      </c>
      <c r="AE112" s="552">
        <f>SUM(Q87,V87,AA87,AB87:AE87)/(AE91*4)</f>
        <v>19.495061458333335</v>
      </c>
      <c r="AF112" s="1112">
        <f>SUM(AB112:AE112)</f>
        <v>65.430323958333346</v>
      </c>
      <c r="AG112" s="552">
        <f>SUM(V87,AA87,AF87,AG87)/(AG91*4)</f>
        <v>21.866821874999999</v>
      </c>
      <c r="AH112" s="552">
        <f>SUM(V87,AA87,AF87,AG87:AH87)/(AH91*4)</f>
        <v>25.589868749999997</v>
      </c>
      <c r="AI112" s="552">
        <f>SUM(V87,AA87,AF87,AG87:AI87)/(AI91*4)</f>
        <v>27.446989374999998</v>
      </c>
      <c r="AJ112" s="552">
        <f>SUM(V87,AA87,AF87,AG87:AJ87)/(AJ91*4)</f>
        <v>30.068267031249999</v>
      </c>
      <c r="AK112" s="1112">
        <f>SUM(AG112:AJ112)</f>
        <v>104.97194703125</v>
      </c>
    </row>
    <row r="113" spans="1:37" s="470" customFormat="1" ht="12.75" hidden="1" customHeight="1" outlineLevel="1">
      <c r="A113" s="548"/>
      <c r="B113" s="825" t="s">
        <v>383</v>
      </c>
      <c r="C113" s="542"/>
      <c r="D113" s="549"/>
      <c r="E113" s="549"/>
      <c r="F113" s="549"/>
      <c r="G113" s="601"/>
      <c r="H113" s="620"/>
      <c r="I113" s="787"/>
      <c r="J113" s="787"/>
      <c r="K113" s="795"/>
      <c r="L113" s="601"/>
      <c r="M113" s="620">
        <v>0.83</v>
      </c>
      <c r="N113" s="787">
        <v>2.4</v>
      </c>
      <c r="O113" s="787">
        <v>4.3920000000000003</v>
      </c>
      <c r="P113" s="787">
        <v>5.335</v>
      </c>
      <c r="Q113" s="1112">
        <f>SUM(M113:P113)</f>
        <v>12.957000000000001</v>
      </c>
      <c r="R113" s="552">
        <f>SUM(P93,Q93:R93)/(R96*4)</f>
        <v>9.2995833333333326</v>
      </c>
      <c r="S113" s="552">
        <f>SUM(Q93,R93:S93)/(S96*4)</f>
        <v>8.1372916666666661</v>
      </c>
      <c r="T113" s="552">
        <f>SUM(R93,S93:T93)/(T96*4)</f>
        <v>4.0850833333333334</v>
      </c>
      <c r="U113" s="552">
        <f>SUM(Q93,R93:U93)/(U96*4)</f>
        <v>14.571041666666666</v>
      </c>
      <c r="V113" s="1112">
        <f>SUM(R113:U113)</f>
        <v>36.093000000000004</v>
      </c>
      <c r="W113" s="552">
        <f>SUM(Q93,V93,W93)/(W96*4)</f>
        <v>17.486490016666668</v>
      </c>
      <c r="X113" s="552">
        <f>SUM(Q93,V93,W93:X93)/(X96*4)</f>
        <v>20.460247333666668</v>
      </c>
      <c r="Y113" s="552">
        <f>SUM(Q93,V93,W93:Y93)/(Y96*4)</f>
        <v>23.582692516516669</v>
      </c>
      <c r="Z113" s="552">
        <f>SUM(Q93,V93,W93:Z93)/(Z96*4)</f>
        <v>26.798811054852166</v>
      </c>
      <c r="AA113" s="1112">
        <f>SUM(W113:Z113)</f>
        <v>88.328240921702175</v>
      </c>
      <c r="AB113" s="552">
        <f>SUM(Q93,V93,AA93,AB93)/(AB96*4)</f>
        <v>29.521806964456065</v>
      </c>
      <c r="AC113" s="552">
        <f>SUM(Q93,V93,AA93,AB93:AC93)/(AC96*4)</f>
        <v>32.789402055980752</v>
      </c>
      <c r="AD113" s="552">
        <f>SUM(Q93,V93,AA93,AB93:AD93)/(AD96*4)</f>
        <v>36.220376902081661</v>
      </c>
      <c r="AE113" s="552">
        <f>SUM(Q93,V93,AA93,AB93:AE93)/(AE96*4)</f>
        <v>39.891519987409644</v>
      </c>
      <c r="AF113" s="1112">
        <f>SUM(AB113:AE113)</f>
        <v>138.42310590992813</v>
      </c>
      <c r="AG113" s="552">
        <f>SUM(V93,AA93,AF93,AG93)/(AG96*4)</f>
        <v>36.946517770789463</v>
      </c>
      <c r="AH113" s="552">
        <f>SUM(V93,AA93,AF93,AG93:AH93)/(AH96*4)</f>
        <v>41.105715682675331</v>
      </c>
      <c r="AI113" s="552">
        <f>SUM(V93,AA93,AF93,AG93:AI93)/(AI96*4)</f>
        <v>45.80560932310636</v>
      </c>
      <c r="AJ113" s="552">
        <f>SUM(V93,AA93,AF93,AG93:AJ93)/(AJ96*4)</f>
        <v>51.022491263984811</v>
      </c>
      <c r="AK113" s="1112">
        <f>SUM(AG113:AJ113)</f>
        <v>174.88033404055597</v>
      </c>
    </row>
    <row r="114" spans="1:37" s="565" customFormat="1" ht="12.75" hidden="1" customHeight="1" outlineLevel="1">
      <c r="A114" s="1097"/>
      <c r="B114" s="694"/>
      <c r="C114" s="695"/>
      <c r="D114" s="695"/>
      <c r="E114" s="695"/>
      <c r="F114" s="695"/>
      <c r="G114" s="696"/>
      <c r="H114" s="697"/>
      <c r="I114" s="697"/>
      <c r="J114" s="697"/>
      <c r="K114" s="697"/>
      <c r="L114" s="696"/>
      <c r="M114" s="697"/>
      <c r="N114" s="697"/>
      <c r="O114" s="697"/>
      <c r="P114" s="697"/>
      <c r="Q114" s="696"/>
      <c r="R114" s="695"/>
      <c r="S114" s="695"/>
      <c r="T114" s="695"/>
      <c r="U114" s="695"/>
      <c r="V114" s="696"/>
      <c r="W114" s="695"/>
      <c r="X114" s="695"/>
      <c r="Y114" s="695"/>
      <c r="Z114" s="695"/>
      <c r="AA114" s="696"/>
      <c r="AB114" s="695"/>
      <c r="AC114" s="695"/>
      <c r="AD114" s="695"/>
      <c r="AE114" s="695"/>
      <c r="AF114" s="696"/>
      <c r="AG114" s="695"/>
      <c r="AH114" s="695"/>
      <c r="AI114" s="695"/>
      <c r="AJ114" s="695"/>
      <c r="AK114" s="696"/>
    </row>
    <row r="115" spans="1:37" s="565" customFormat="1" ht="12.75" hidden="1" customHeight="1" outlineLevel="1">
      <c r="A115" s="1097"/>
      <c r="B115" s="468" t="s">
        <v>222</v>
      </c>
      <c r="C115" s="574"/>
      <c r="D115" s="574"/>
      <c r="E115" s="574"/>
      <c r="F115" s="574"/>
      <c r="G115" s="575"/>
      <c r="H115" s="610"/>
      <c r="I115" s="610"/>
      <c r="J115" s="610"/>
      <c r="K115" s="609">
        <f>BS!K21</f>
        <v>-116.79600000000001</v>
      </c>
      <c r="L115" s="575">
        <f>K115</f>
        <v>-116.79600000000001</v>
      </c>
      <c r="M115" s="609">
        <f>BS!M21</f>
        <v>-195.78200000000001</v>
      </c>
      <c r="N115" s="609">
        <f>BS!N21</f>
        <v>-359.72199999999998</v>
      </c>
      <c r="O115" s="609">
        <f>BS!O21</f>
        <v>-612.21699999999998</v>
      </c>
      <c r="P115" s="609">
        <f>BS!P21</f>
        <v>-965.23099999999999</v>
      </c>
      <c r="Q115" s="889">
        <f>P115</f>
        <v>-965.23099999999999</v>
      </c>
      <c r="R115" s="609">
        <f>BS!R21</f>
        <v>-1399.557</v>
      </c>
      <c r="S115" s="609">
        <f>BS!S21</f>
        <v>-1953.607</v>
      </c>
      <c r="T115" s="609">
        <f>BS!T21</f>
        <v>-2574.578</v>
      </c>
      <c r="U115" s="574">
        <f>T115-U101</f>
        <v>-3359.7268752836112</v>
      </c>
      <c r="V115" s="575">
        <f>U115</f>
        <v>-3359.7268752836112</v>
      </c>
      <c r="W115" s="574">
        <f>V115-W101</f>
        <v>-4535.3163388918001</v>
      </c>
      <c r="X115" s="574">
        <f>W115-X101</f>
        <v>-5915.9943781503225</v>
      </c>
      <c r="Y115" s="574">
        <f>X115-Y101</f>
        <v>-7429.2391542583609</v>
      </c>
      <c r="Z115" s="574">
        <f>Y115-Z101</f>
        <v>-9075.4325370003189</v>
      </c>
      <c r="AA115" s="575">
        <f>Z115</f>
        <v>-9075.4325370003189</v>
      </c>
      <c r="AB115" s="574">
        <f>AA115-AB101</f>
        <v>-10938.764906067214</v>
      </c>
      <c r="AC115" s="574">
        <f>AB115-AC101</f>
        <v>-13020.269041748967</v>
      </c>
      <c r="AD115" s="574">
        <f>AC115-AD101</f>
        <v>-15319.546547170154</v>
      </c>
      <c r="AE115" s="574">
        <f>AD115-AE101</f>
        <v>-17837.905291335952</v>
      </c>
      <c r="AF115" s="575">
        <f>AE115</f>
        <v>-17837.905291335952</v>
      </c>
      <c r="AG115" s="574">
        <f>AF115-AG101</f>
        <v>-20543.018648998874</v>
      </c>
      <c r="AH115" s="574">
        <f>AG115-AH101</f>
        <v>-23448.070612381183</v>
      </c>
      <c r="AI115" s="574">
        <f>AH115-AI101</f>
        <v>-26551.91091401059</v>
      </c>
      <c r="AJ115" s="574">
        <f>AI115-AJ101</f>
        <v>-29856.109216460623</v>
      </c>
      <c r="AK115" s="575">
        <f>AJ115</f>
        <v>-29856.109216460623</v>
      </c>
    </row>
    <row r="116" spans="1:37" s="600" customFormat="1" ht="12.75" hidden="1" customHeight="1" outlineLevel="1">
      <c r="A116" s="548"/>
      <c r="B116" s="433" t="s">
        <v>352</v>
      </c>
      <c r="C116" s="727"/>
      <c r="D116" s="604"/>
      <c r="E116" s="604"/>
      <c r="F116" s="604"/>
      <c r="G116" s="554"/>
      <c r="H116" s="602"/>
      <c r="I116" s="604"/>
      <c r="J116" s="604"/>
      <c r="K116" s="586">
        <v>-2.347</v>
      </c>
      <c r="L116" s="554">
        <f>K116</f>
        <v>-2.347</v>
      </c>
      <c r="M116" s="602"/>
      <c r="N116" s="604"/>
      <c r="O116" s="586">
        <v>-3.92</v>
      </c>
      <c r="P116" s="586">
        <v>-4.4409999999999998</v>
      </c>
      <c r="Q116" s="554">
        <f>P116</f>
        <v>-4.4409999999999998</v>
      </c>
      <c r="R116" s="586">
        <v>-4.9550000000000001</v>
      </c>
      <c r="S116" s="587">
        <v>-11.055</v>
      </c>
      <c r="T116" s="587">
        <v>-20.564</v>
      </c>
      <c r="U116" s="604"/>
      <c r="V116" s="554"/>
      <c r="W116" s="602"/>
      <c r="X116" s="604"/>
      <c r="Y116" s="604"/>
      <c r="Z116" s="604"/>
      <c r="AA116" s="554"/>
      <c r="AB116" s="602"/>
      <c r="AC116" s="604"/>
      <c r="AD116" s="604"/>
      <c r="AE116" s="604"/>
      <c r="AF116" s="554"/>
      <c r="AG116" s="602"/>
      <c r="AH116" s="604"/>
      <c r="AI116" s="604"/>
      <c r="AJ116" s="604"/>
      <c r="AK116" s="554"/>
    </row>
    <row r="117" spans="1:37" s="600" customFormat="1" ht="12.75" hidden="1" customHeight="1" outlineLevel="1">
      <c r="A117" s="548"/>
      <c r="B117" s="433" t="s">
        <v>416</v>
      </c>
      <c r="C117" s="727"/>
      <c r="D117" s="604"/>
      <c r="E117" s="604"/>
      <c r="F117" s="604"/>
      <c r="G117" s="554"/>
      <c r="H117" s="602"/>
      <c r="I117" s="604"/>
      <c r="J117" s="604"/>
      <c r="K117" s="604">
        <f>K115-K116</f>
        <v>-114.44900000000001</v>
      </c>
      <c r="L117" s="554">
        <f>K117</f>
        <v>-114.44900000000001</v>
      </c>
      <c r="M117" s="602"/>
      <c r="N117" s="604"/>
      <c r="O117" s="604">
        <f>O115-O116</f>
        <v>-608.29700000000003</v>
      </c>
      <c r="P117" s="604">
        <f>P115-P116</f>
        <v>-960.79</v>
      </c>
      <c r="Q117" s="554">
        <f>P117</f>
        <v>-960.79</v>
      </c>
      <c r="R117" s="604">
        <f>R115-R116</f>
        <v>-1394.6020000000001</v>
      </c>
      <c r="S117" s="604">
        <f>S115-S116</f>
        <v>-1942.5519999999999</v>
      </c>
      <c r="T117" s="604">
        <f>T115-T116</f>
        <v>-2554.0140000000001</v>
      </c>
      <c r="U117" s="604"/>
      <c r="V117" s="554"/>
      <c r="W117" s="604"/>
      <c r="X117" s="604"/>
      <c r="Y117" s="604"/>
      <c r="Z117" s="604"/>
      <c r="AA117" s="554"/>
      <c r="AB117" s="604"/>
      <c r="AC117" s="604"/>
      <c r="AD117" s="604"/>
      <c r="AE117" s="604"/>
      <c r="AF117" s="554"/>
      <c r="AG117" s="604"/>
      <c r="AH117" s="604"/>
      <c r="AI117" s="604"/>
      <c r="AJ117" s="604"/>
      <c r="AK117" s="554"/>
    </row>
    <row r="118" spans="1:37" s="486" customFormat="1" ht="12.75" customHeight="1" collapsed="1">
      <c r="A118" s="603"/>
      <c r="B118" s="959"/>
      <c r="C118" s="557"/>
      <c r="D118" s="558"/>
      <c r="E118" s="558"/>
      <c r="F118" s="558"/>
      <c r="G118" s="662"/>
      <c r="H118" s="669"/>
      <c r="I118" s="670"/>
      <c r="J118" s="670"/>
      <c r="K118" s="671"/>
      <c r="L118" s="662"/>
      <c r="M118" s="669"/>
      <c r="N118" s="670"/>
      <c r="O118" s="670"/>
      <c r="P118" s="670"/>
      <c r="Q118" s="665"/>
      <c r="R118" s="557"/>
      <c r="S118" s="558"/>
      <c r="T118" s="558"/>
      <c r="U118" s="558"/>
      <c r="V118" s="665"/>
      <c r="W118" s="557"/>
      <c r="X118" s="558"/>
      <c r="Y118" s="558"/>
      <c r="Z118" s="558"/>
      <c r="AA118" s="665"/>
      <c r="AB118" s="557"/>
      <c r="AC118" s="558"/>
      <c r="AD118" s="558"/>
      <c r="AE118" s="558"/>
      <c r="AF118" s="665"/>
      <c r="AG118" s="557"/>
      <c r="AH118" s="558"/>
      <c r="AI118" s="558"/>
      <c r="AJ118" s="558"/>
      <c r="AK118" s="665"/>
    </row>
    <row r="119" spans="1:37" s="486" customFormat="1" ht="12.75" customHeight="1">
      <c r="A119" s="603"/>
      <c r="B119" s="385" t="s">
        <v>409</v>
      </c>
      <c r="C119" s="557"/>
      <c r="D119" s="558"/>
      <c r="E119" s="558"/>
      <c r="F119" s="558"/>
      <c r="G119" s="662"/>
      <c r="H119" s="669"/>
      <c r="I119" s="670"/>
      <c r="J119" s="670"/>
      <c r="L119" s="662"/>
      <c r="M119" s="669"/>
      <c r="N119" s="670"/>
      <c r="O119" s="670"/>
      <c r="P119" s="670"/>
      <c r="Q119" s="665"/>
      <c r="R119" s="557"/>
      <c r="S119" s="558"/>
      <c r="T119" s="558"/>
      <c r="U119" s="558"/>
      <c r="V119" s="665"/>
      <c r="W119" s="557"/>
      <c r="X119" s="558"/>
      <c r="Y119" s="558"/>
      <c r="Z119" s="558"/>
      <c r="AA119" s="665"/>
      <c r="AB119" s="557"/>
      <c r="AC119" s="558"/>
      <c r="AD119" s="558"/>
      <c r="AE119" s="558"/>
      <c r="AF119" s="665"/>
      <c r="AG119" s="557"/>
      <c r="AH119" s="558"/>
      <c r="AI119" s="558"/>
      <c r="AJ119" s="558"/>
      <c r="AK119" s="665"/>
    </row>
    <row r="120" spans="1:37" s="486" customFormat="1" ht="12.75" hidden="1" customHeight="1" outlineLevel="1">
      <c r="A120" s="603"/>
      <c r="B120" s="825" t="s">
        <v>410</v>
      </c>
      <c r="C120" s="557"/>
      <c r="D120" s="558"/>
      <c r="E120" s="558"/>
      <c r="F120" s="558"/>
      <c r="G120" s="662"/>
      <c r="H120" s="669"/>
      <c r="I120" s="670"/>
      <c r="J120" s="670"/>
      <c r="K120" s="670">
        <v>1298.127</v>
      </c>
      <c r="L120" s="687">
        <f t="shared" ref="L120:L125" si="36">K120</f>
        <v>1298.127</v>
      </c>
      <c r="M120" s="669"/>
      <c r="N120" s="670"/>
      <c r="O120" s="670">
        <v>6886.183</v>
      </c>
      <c r="P120" s="670">
        <v>9146.5750000000007</v>
      </c>
      <c r="Q120" s="687">
        <f t="shared" ref="Q120:Q125" si="37">P120</f>
        <v>9146.5750000000007</v>
      </c>
      <c r="R120" s="670">
        <v>10746.445</v>
      </c>
      <c r="S120" s="670">
        <v>13170.295</v>
      </c>
      <c r="T120" s="670">
        <v>14628.79</v>
      </c>
      <c r="U120" s="558"/>
      <c r="V120" s="665"/>
      <c r="W120" s="557"/>
      <c r="X120" s="558"/>
      <c r="Y120" s="558"/>
      <c r="Z120" s="558"/>
      <c r="AA120" s="665"/>
      <c r="AB120" s="557"/>
      <c r="AC120" s="558"/>
      <c r="AD120" s="558"/>
      <c r="AE120" s="558"/>
      <c r="AF120" s="665"/>
      <c r="AG120" s="557"/>
      <c r="AH120" s="558"/>
      <c r="AI120" s="558"/>
      <c r="AJ120" s="558"/>
      <c r="AK120" s="665"/>
    </row>
    <row r="121" spans="1:37" s="486" customFormat="1" ht="12.75" hidden="1" customHeight="1" outlineLevel="1">
      <c r="A121" s="603"/>
      <c r="B121" s="825" t="s">
        <v>411</v>
      </c>
      <c r="C121" s="557"/>
      <c r="D121" s="558"/>
      <c r="E121" s="558"/>
      <c r="F121" s="558"/>
      <c r="G121" s="662"/>
      <c r="H121" s="669"/>
      <c r="I121" s="670"/>
      <c r="J121" s="670"/>
      <c r="K121" s="670">
        <v>14.936999999999999</v>
      </c>
      <c r="L121" s="687">
        <f t="shared" si="36"/>
        <v>14.936999999999999</v>
      </c>
      <c r="M121" s="669"/>
      <c r="N121" s="670"/>
      <c r="O121" s="670">
        <v>69.209000000000003</v>
      </c>
      <c r="P121" s="670">
        <v>245.458</v>
      </c>
      <c r="Q121" s="687">
        <f t="shared" si="37"/>
        <v>245.458</v>
      </c>
      <c r="R121" s="670">
        <v>245.458</v>
      </c>
      <c r="S121" s="670">
        <v>459.74200000000002</v>
      </c>
      <c r="T121" s="670">
        <v>541.56700000000001</v>
      </c>
      <c r="U121" s="558"/>
      <c r="V121" s="665"/>
      <c r="W121" s="557"/>
      <c r="X121" s="558"/>
      <c r="Y121" s="558"/>
      <c r="Z121" s="558"/>
      <c r="AA121" s="665"/>
      <c r="AB121" s="557"/>
      <c r="AC121" s="558"/>
      <c r="AD121" s="558"/>
      <c r="AE121" s="558"/>
      <c r="AF121" s="665"/>
      <c r="AG121" s="557"/>
      <c r="AH121" s="558"/>
      <c r="AI121" s="558"/>
      <c r="AJ121" s="558"/>
      <c r="AK121" s="665"/>
    </row>
    <row r="122" spans="1:37" s="486" customFormat="1" ht="12.75" hidden="1" customHeight="1" outlineLevel="1">
      <c r="A122" s="603"/>
      <c r="B122" s="825" t="s">
        <v>412</v>
      </c>
      <c r="C122" s="557"/>
      <c r="D122" s="558"/>
      <c r="E122" s="558"/>
      <c r="F122" s="558"/>
      <c r="G122" s="662"/>
      <c r="H122" s="669"/>
      <c r="I122" s="670"/>
      <c r="J122" s="670"/>
      <c r="K122" s="670">
        <v>39.332000000000001</v>
      </c>
      <c r="L122" s="687">
        <f>K122</f>
        <v>39.332000000000001</v>
      </c>
      <c r="M122" s="669"/>
      <c r="N122" s="670"/>
      <c r="O122" s="670">
        <v>308.26400000000001</v>
      </c>
      <c r="P122" s="670">
        <v>139.50800000000001</v>
      </c>
      <c r="Q122" s="687">
        <f>P122</f>
        <v>139.50800000000001</v>
      </c>
      <c r="R122" s="670">
        <v>534.12</v>
      </c>
      <c r="S122" s="670">
        <v>830.875</v>
      </c>
      <c r="T122" s="670">
        <v>1139.095</v>
      </c>
      <c r="U122" s="558"/>
      <c r="V122" s="665"/>
      <c r="W122" s="557"/>
      <c r="X122" s="558"/>
      <c r="Y122" s="558"/>
      <c r="Z122" s="558"/>
      <c r="AA122" s="665"/>
      <c r="AB122" s="557"/>
      <c r="AC122" s="558"/>
      <c r="AD122" s="558"/>
      <c r="AE122" s="558"/>
      <c r="AF122" s="665"/>
      <c r="AG122" s="557"/>
      <c r="AH122" s="558"/>
      <c r="AI122" s="558"/>
      <c r="AJ122" s="558"/>
      <c r="AK122" s="665"/>
    </row>
    <row r="123" spans="1:37" s="486" customFormat="1" ht="12.75" hidden="1" customHeight="1" outlineLevel="1">
      <c r="A123" s="603"/>
      <c r="B123" s="825" t="s">
        <v>413</v>
      </c>
      <c r="C123" s="557"/>
      <c r="D123" s="558"/>
      <c r="E123" s="558"/>
      <c r="F123" s="558"/>
      <c r="G123" s="662"/>
      <c r="H123" s="669"/>
      <c r="I123" s="670"/>
      <c r="J123" s="670"/>
      <c r="K123" s="670">
        <v>1.7170000000000001</v>
      </c>
      <c r="L123" s="687">
        <f>K123</f>
        <v>1.7170000000000001</v>
      </c>
      <c r="M123" s="669"/>
      <c r="N123" s="670"/>
      <c r="O123" s="670">
        <v>4.8109999999999999</v>
      </c>
      <c r="P123" s="670">
        <v>8.6839999999999993</v>
      </c>
      <c r="Q123" s="687">
        <f>P123</f>
        <v>8.6839999999999993</v>
      </c>
      <c r="R123" s="670">
        <v>10.714600000000001</v>
      </c>
      <c r="S123" s="670">
        <v>12.949</v>
      </c>
      <c r="T123" s="670">
        <v>14.241</v>
      </c>
      <c r="U123" s="558"/>
      <c r="V123" s="665"/>
      <c r="W123" s="557"/>
      <c r="X123" s="558"/>
      <c r="Y123" s="558"/>
      <c r="Z123" s="558"/>
      <c r="AA123" s="665"/>
      <c r="AB123" s="557"/>
      <c r="AC123" s="558"/>
      <c r="AD123" s="558"/>
      <c r="AE123" s="558"/>
      <c r="AF123" s="665"/>
      <c r="AG123" s="557"/>
      <c r="AH123" s="558"/>
      <c r="AI123" s="558"/>
      <c r="AJ123" s="558"/>
      <c r="AK123" s="665"/>
    </row>
    <row r="124" spans="1:37" s="486" customFormat="1" ht="12.75" hidden="1" customHeight="1" outlineLevel="1">
      <c r="A124" s="603"/>
      <c r="B124" s="825" t="s">
        <v>414</v>
      </c>
      <c r="C124" s="557"/>
      <c r="D124" s="558"/>
      <c r="E124" s="558"/>
      <c r="F124" s="558"/>
      <c r="G124" s="662"/>
      <c r="H124" s="669"/>
      <c r="I124" s="670"/>
      <c r="J124" s="670"/>
      <c r="K124" s="670">
        <v>2256.6729999999998</v>
      </c>
      <c r="L124" s="687">
        <f t="shared" si="36"/>
        <v>2256.6729999999998</v>
      </c>
      <c r="M124" s="669"/>
      <c r="N124" s="670"/>
      <c r="O124" s="670">
        <v>2460.34</v>
      </c>
      <c r="P124" s="670">
        <v>3200.866</v>
      </c>
      <c r="Q124" s="687">
        <f t="shared" si="37"/>
        <v>3200.866</v>
      </c>
      <c r="R124" s="670">
        <v>4073.81</v>
      </c>
      <c r="S124" s="670">
        <v>4111.2560000000003</v>
      </c>
      <c r="T124" s="670">
        <v>6910.0659999999998</v>
      </c>
      <c r="U124" s="558"/>
      <c r="V124" s="665"/>
      <c r="W124" s="557"/>
      <c r="X124" s="558"/>
      <c r="Y124" s="558"/>
      <c r="Z124" s="558"/>
      <c r="AA124" s="665"/>
      <c r="AB124" s="557"/>
      <c r="AC124" s="558"/>
      <c r="AD124" s="558"/>
      <c r="AE124" s="558"/>
      <c r="AF124" s="665"/>
      <c r="AG124" s="557"/>
      <c r="AH124" s="558"/>
      <c r="AI124" s="558"/>
      <c r="AJ124" s="558"/>
      <c r="AK124" s="665"/>
    </row>
    <row r="125" spans="1:37" s="470" customFormat="1" ht="12.75" hidden="1" customHeight="1" outlineLevel="1">
      <c r="A125" s="548"/>
      <c r="B125" s="476" t="s">
        <v>539</v>
      </c>
      <c r="C125" s="698"/>
      <c r="D125" s="698"/>
      <c r="E125" s="698"/>
      <c r="F125" s="698"/>
      <c r="G125" s="661"/>
      <c r="H125" s="698"/>
      <c r="I125" s="698"/>
      <c r="J125" s="698"/>
      <c r="K125" s="493">
        <f>SUM(K120:K124)</f>
        <v>3610.7860000000001</v>
      </c>
      <c r="L125" s="494">
        <f t="shared" si="36"/>
        <v>3610.7860000000001</v>
      </c>
      <c r="M125" s="698"/>
      <c r="N125" s="698"/>
      <c r="O125" s="493">
        <f>SUM(O120:O124)</f>
        <v>9728.8070000000007</v>
      </c>
      <c r="P125" s="493">
        <f>SUM(P120:P124)</f>
        <v>12741.091</v>
      </c>
      <c r="Q125" s="494">
        <f t="shared" si="37"/>
        <v>12741.091</v>
      </c>
      <c r="R125" s="493">
        <f>SUM(R120:R124)</f>
        <v>15610.5476</v>
      </c>
      <c r="S125" s="493">
        <f>SUM(S120:S124)</f>
        <v>18585.117000000002</v>
      </c>
      <c r="T125" s="493">
        <f>SUM(T120:T124)</f>
        <v>23233.758999999998</v>
      </c>
      <c r="U125" s="493"/>
      <c r="V125" s="564"/>
      <c r="W125" s="493"/>
      <c r="X125" s="493"/>
      <c r="Y125" s="493"/>
      <c r="Z125" s="493"/>
      <c r="AA125" s="564"/>
      <c r="AB125" s="493"/>
      <c r="AC125" s="493"/>
      <c r="AD125" s="493"/>
      <c r="AE125" s="493"/>
      <c r="AF125" s="564"/>
      <c r="AG125" s="493"/>
      <c r="AH125" s="493"/>
      <c r="AI125" s="493"/>
      <c r="AJ125" s="493"/>
      <c r="AK125" s="564"/>
    </row>
    <row r="126" spans="1:37" s="269" customFormat="1" ht="12.75" hidden="1" customHeight="1" outlineLevel="1">
      <c r="A126" s="416"/>
      <c r="B126" s="479"/>
      <c r="C126" s="655"/>
      <c r="D126" s="290"/>
      <c r="E126" s="290"/>
      <c r="F126" s="290"/>
      <c r="G126" s="254"/>
      <c r="H126" s="293"/>
      <c r="I126" s="290"/>
      <c r="J126" s="290"/>
      <c r="K126" s="290"/>
      <c r="L126" s="254"/>
      <c r="M126" s="293"/>
      <c r="N126" s="290"/>
      <c r="O126" s="290"/>
      <c r="P126" s="290"/>
      <c r="Q126" s="254"/>
      <c r="R126" s="290"/>
      <c r="S126" s="290"/>
      <c r="T126" s="290"/>
      <c r="U126" s="290"/>
      <c r="V126" s="254"/>
      <c r="W126" s="293"/>
      <c r="X126" s="290"/>
      <c r="Y126" s="290"/>
      <c r="Z126" s="290"/>
      <c r="AA126" s="254"/>
      <c r="AB126" s="293"/>
      <c r="AC126" s="290"/>
      <c r="AD126" s="290"/>
      <c r="AE126" s="290"/>
      <c r="AF126" s="254"/>
      <c r="AG126" s="293"/>
      <c r="AH126" s="290"/>
      <c r="AI126" s="290"/>
      <c r="AJ126" s="290"/>
      <c r="AK126" s="254"/>
    </row>
    <row r="127" spans="1:37" s="809" customFormat="1" ht="12.75" hidden="1" customHeight="1" outlineLevel="1">
      <c r="A127" s="591"/>
      <c r="B127" s="468" t="s">
        <v>415</v>
      </c>
      <c r="C127" s="646"/>
      <c r="D127" s="646"/>
      <c r="E127" s="646"/>
      <c r="F127" s="646"/>
      <c r="G127" s="645"/>
      <c r="H127" s="646"/>
      <c r="I127" s="646"/>
      <c r="J127" s="646"/>
      <c r="K127" s="647">
        <f>K125+K115</f>
        <v>3493.9900000000002</v>
      </c>
      <c r="L127" s="708">
        <f>K127</f>
        <v>3493.9900000000002</v>
      </c>
      <c r="M127" s="646"/>
      <c r="N127" s="646"/>
      <c r="O127" s="647">
        <f>O125+O115</f>
        <v>9116.59</v>
      </c>
      <c r="P127" s="647">
        <f>P125+P115</f>
        <v>11775.86</v>
      </c>
      <c r="Q127" s="708">
        <f>P127</f>
        <v>11775.86</v>
      </c>
      <c r="R127" s="647">
        <f>R125+R115</f>
        <v>14210.990599999999</v>
      </c>
      <c r="S127" s="647">
        <f>S125+S115</f>
        <v>16631.510000000002</v>
      </c>
      <c r="T127" s="647">
        <f>T125+T115</f>
        <v>20659.180999999997</v>
      </c>
      <c r="U127" s="647"/>
      <c r="V127" s="563"/>
      <c r="W127" s="647"/>
      <c r="X127" s="647"/>
      <c r="Y127" s="647"/>
      <c r="Z127" s="647"/>
      <c r="AA127" s="563"/>
      <c r="AB127" s="647"/>
      <c r="AC127" s="647"/>
      <c r="AD127" s="647"/>
      <c r="AE127" s="647"/>
      <c r="AF127" s="563"/>
      <c r="AG127" s="647"/>
      <c r="AH127" s="647"/>
      <c r="AI127" s="647"/>
      <c r="AJ127" s="647"/>
      <c r="AK127" s="563"/>
    </row>
    <row r="128" spans="1:37" s="89" customFormat="1" collapsed="1">
      <c r="A128" s="416"/>
      <c r="B128" s="378"/>
      <c r="C128" s="373"/>
      <c r="G128" s="541"/>
      <c r="L128" s="541"/>
      <c r="Q128" s="541"/>
      <c r="V128" s="541"/>
      <c r="AA128" s="541"/>
      <c r="AF128" s="541"/>
      <c r="AK128" s="541"/>
    </row>
    <row r="129" spans="1:33" s="250" customFormat="1" ht="12.75" customHeight="1">
      <c r="A129" s="416"/>
      <c r="B129" s="401"/>
      <c r="C129" s="296"/>
      <c r="D129" s="297"/>
      <c r="E129" s="297"/>
      <c r="F129" s="297"/>
      <c r="H129" s="296"/>
      <c r="I129" s="297"/>
      <c r="J129" s="297"/>
      <c r="K129" s="297"/>
      <c r="M129" s="296"/>
      <c r="N129" s="297"/>
      <c r="O129" s="297"/>
      <c r="P129" s="297"/>
      <c r="R129" s="249"/>
      <c r="W129" s="249"/>
      <c r="AB129" s="249"/>
      <c r="AG129" s="249"/>
    </row>
    <row r="130" spans="1:33" s="250" customFormat="1" ht="12.75" customHeight="1">
      <c r="A130" s="416"/>
      <c r="B130" s="401"/>
      <c r="C130" s="296"/>
      <c r="D130" s="297"/>
      <c r="E130" s="297"/>
      <c r="F130" s="297"/>
      <c r="H130" s="296"/>
      <c r="I130" s="546"/>
      <c r="J130" s="297"/>
      <c r="K130" s="297"/>
      <c r="M130" s="296"/>
      <c r="N130" s="297"/>
      <c r="O130" s="297"/>
      <c r="P130" s="297"/>
      <c r="R130" s="249"/>
      <c r="W130" s="249"/>
      <c r="AB130" s="249"/>
      <c r="AG130" s="249"/>
    </row>
    <row r="131" spans="1:33" s="250" customFormat="1" ht="12.75" customHeight="1">
      <c r="A131" s="416"/>
      <c r="B131" s="401"/>
      <c r="C131" s="296"/>
      <c r="D131" s="297"/>
      <c r="E131" s="297"/>
      <c r="F131" s="297"/>
      <c r="H131" s="296"/>
      <c r="I131" s="546"/>
      <c r="J131" s="297"/>
      <c r="K131" s="297"/>
      <c r="M131" s="296"/>
      <c r="N131" s="297"/>
      <c r="O131" s="297"/>
      <c r="P131" s="297"/>
      <c r="R131" s="249"/>
      <c r="W131" s="249"/>
      <c r="AB131" s="249"/>
      <c r="AG131" s="249"/>
    </row>
    <row r="132" spans="1:33" s="250" customFormat="1" ht="12.75" customHeight="1">
      <c r="A132" s="416"/>
      <c r="B132" s="401"/>
      <c r="C132" s="296"/>
      <c r="D132" s="297"/>
      <c r="E132" s="297"/>
      <c r="F132" s="297"/>
      <c r="H132" s="296"/>
      <c r="I132" s="546"/>
      <c r="J132" s="297"/>
      <c r="K132" s="297"/>
      <c r="M132" s="296"/>
      <c r="N132" s="297"/>
      <c r="O132" s="297"/>
      <c r="P132" s="297"/>
      <c r="R132" s="249"/>
      <c r="W132" s="249"/>
      <c r="AB132" s="249"/>
      <c r="AG132" s="249"/>
    </row>
    <row r="133" spans="1:33" s="250" customFormat="1" ht="12.75" customHeight="1">
      <c r="A133" s="416"/>
      <c r="B133" s="401"/>
      <c r="C133" s="296"/>
      <c r="D133" s="297"/>
      <c r="E133" s="297"/>
      <c r="F133" s="297"/>
      <c r="H133" s="296"/>
      <c r="I133" s="547"/>
      <c r="J133" s="297"/>
      <c r="K133" s="297"/>
      <c r="M133" s="296"/>
      <c r="N133" s="297"/>
      <c r="O133" s="297"/>
      <c r="P133" s="297"/>
      <c r="R133" s="249"/>
      <c r="W133" s="249"/>
      <c r="AB133" s="249"/>
      <c r="AG133" s="249"/>
    </row>
    <row r="134" spans="1:33" s="250" customFormat="1" ht="12.75" customHeight="1">
      <c r="A134" s="416"/>
      <c r="B134" s="401"/>
      <c r="C134" s="296"/>
      <c r="D134" s="297"/>
      <c r="E134" s="297"/>
      <c r="F134" s="297"/>
      <c r="H134" s="296"/>
      <c r="I134" s="297"/>
      <c r="J134" s="297"/>
      <c r="K134" s="297"/>
      <c r="M134" s="296"/>
      <c r="N134" s="297"/>
      <c r="O134" s="297"/>
      <c r="P134" s="297"/>
      <c r="R134" s="249"/>
      <c r="W134" s="249"/>
      <c r="AB134" s="249"/>
      <c r="AG134" s="249"/>
    </row>
  </sheetData>
  <pageMargins left="0.7" right="0.7" top="0.75" bottom="0.75" header="0.3" footer="0.3"/>
  <pageSetup orientation="portrait" r:id="rId1"/>
  <customProperties>
    <customPr name="Qube.Worksheet.Visibility" r:id="rId2"/>
  </customProperties>
  <ignoredErrors>
    <ignoredError sqref="AC111:AE111 AG111:AJ111 R112:S112 W112:Z112 AB112:AE112 AG112:AH112 U112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F5950-3592-4371-8C2C-F4DD3C5751D2}">
  <sheetPr codeName="Sheet5">
    <tabColor rgb="FF002060"/>
    <pageSetUpPr autoPageBreaks="0"/>
  </sheetPr>
  <dimension ref="A1:AK154"/>
  <sheetViews>
    <sheetView showGridLines="0" zoomScaleNormal="100" workbookViewId="0">
      <pane xSplit="2" ySplit="8" topLeftCell="R9" activePane="bottomRight" state="frozen"/>
      <selection activeCell="DD115" sqref="DD115"/>
      <selection pane="topRight" activeCell="DD115" sqref="DD115"/>
      <selection pane="bottomLeft" activeCell="DD115" sqref="DD115"/>
      <selection pane="bottomRight"/>
    </sheetView>
  </sheetViews>
  <sheetFormatPr defaultColWidth="9.140625" defaultRowHeight="12.75" customHeight="1" outlineLevelRow="1" outlineLevelCol="1"/>
  <cols>
    <col min="1" max="1" width="3.7109375" style="416" customWidth="1"/>
    <col min="2" max="2" width="52.5703125" style="384" customWidth="1"/>
    <col min="3" max="3" width="11.140625" style="296" hidden="1" customWidth="1" outlineLevel="1"/>
    <col min="4" max="6" width="11.140625" style="297" hidden="1" customWidth="1" outlineLevel="1"/>
    <col min="7" max="7" width="11.42578125" style="250" customWidth="1" collapsed="1"/>
    <col min="8" max="8" width="11.140625" style="296" hidden="1" customWidth="1" outlineLevel="1"/>
    <col min="9" max="11" width="11.140625" style="297" hidden="1" customWidth="1" outlineLevel="1"/>
    <col min="12" max="12" width="11.42578125" style="250" customWidth="1" collapsed="1"/>
    <col min="13" max="13" width="11.140625" style="296" hidden="1" customWidth="1" outlineLevel="1"/>
    <col min="14" max="16" width="11.140625" style="297" hidden="1" customWidth="1" outlineLevel="1"/>
    <col min="17" max="17" width="11.42578125" style="250" customWidth="1" collapsed="1"/>
    <col min="18" max="18" width="11.140625" style="249" customWidth="1" outlineLevel="1"/>
    <col min="19" max="21" width="11.140625" style="250" customWidth="1" outlineLevel="1"/>
    <col min="22" max="22" width="11.140625" style="250" customWidth="1"/>
    <col min="23" max="23" width="11.140625" style="249" customWidth="1" outlineLevel="1"/>
    <col min="24" max="26" width="11.140625" style="250" customWidth="1" outlineLevel="1"/>
    <col min="27" max="27" width="11.140625" style="250" customWidth="1"/>
    <col min="28" max="28" width="11.140625" style="249" customWidth="1" outlineLevel="1"/>
    <col min="29" max="31" width="11.140625" style="250" customWidth="1" outlineLevel="1"/>
    <col min="32" max="32" width="11.42578125" style="250" customWidth="1"/>
    <col min="33" max="33" width="11.140625" style="249" hidden="1" customWidth="1" outlineLevel="1"/>
    <col min="34" max="36" width="11.140625" style="250" hidden="1" customWidth="1" outlineLevel="1"/>
    <col min="37" max="37" width="11.42578125" style="250" customWidth="1" collapsed="1"/>
    <col min="38" max="16384" width="9.140625" style="248"/>
  </cols>
  <sheetData>
    <row r="1" spans="1:37" s="384" customFormat="1" ht="12.75" customHeight="1">
      <c r="A1" s="416"/>
      <c r="C1" s="753"/>
      <c r="D1" s="754"/>
      <c r="E1" s="754"/>
      <c r="F1" s="754"/>
      <c r="G1" s="755"/>
      <c r="H1" s="753"/>
      <c r="I1" s="754"/>
      <c r="J1" s="754"/>
      <c r="K1" s="754"/>
      <c r="L1" s="755"/>
      <c r="M1" s="753"/>
      <c r="N1" s="754"/>
      <c r="O1" s="754"/>
      <c r="P1" s="754"/>
      <c r="Q1" s="755"/>
      <c r="R1" s="756"/>
      <c r="S1" s="755"/>
      <c r="T1" s="755"/>
      <c r="U1" s="755"/>
      <c r="V1" s="755"/>
      <c r="W1" s="756"/>
      <c r="X1" s="755"/>
      <c r="Y1" s="755"/>
      <c r="Z1" s="755"/>
      <c r="AA1" s="755"/>
      <c r="AB1" s="756"/>
      <c r="AC1" s="755"/>
      <c r="AD1" s="755"/>
      <c r="AE1" s="755"/>
      <c r="AF1" s="755"/>
      <c r="AG1" s="756"/>
      <c r="AH1" s="755"/>
      <c r="AI1" s="755"/>
      <c r="AJ1" s="755"/>
      <c r="AK1" s="755"/>
    </row>
    <row r="2" spans="1:37" s="384" customFormat="1" ht="12.75" customHeight="1">
      <c r="A2" s="416"/>
      <c r="B2" s="475" t="s">
        <v>231</v>
      </c>
      <c r="C2" s="753"/>
      <c r="D2" s="754"/>
      <c r="E2" s="754"/>
      <c r="F2" s="754"/>
      <c r="G2" s="755"/>
      <c r="H2" s="753"/>
      <c r="I2" s="754"/>
      <c r="J2" s="754"/>
      <c r="K2" s="754"/>
      <c r="L2" s="755"/>
      <c r="M2" s="753"/>
      <c r="N2" s="754"/>
      <c r="O2" s="754"/>
      <c r="P2" s="754"/>
      <c r="Q2" s="756"/>
      <c r="R2" s="756"/>
      <c r="S2" s="755"/>
      <c r="T2" s="755"/>
      <c r="U2" s="755"/>
      <c r="V2" s="755"/>
      <c r="W2" s="756"/>
      <c r="X2" s="755"/>
      <c r="Y2" s="755"/>
      <c r="Z2" s="755"/>
      <c r="AA2" s="755"/>
      <c r="AB2" s="756"/>
      <c r="AC2" s="755"/>
      <c r="AD2" s="755"/>
      <c r="AE2" s="755"/>
      <c r="AF2" s="755"/>
      <c r="AG2" s="756"/>
      <c r="AH2" s="755"/>
      <c r="AI2" s="755"/>
      <c r="AJ2" s="755"/>
      <c r="AK2" s="755"/>
    </row>
    <row r="3" spans="1:37" s="384" customFormat="1" ht="12.75" customHeight="1">
      <c r="A3" s="416"/>
      <c r="B3" s="475" t="s">
        <v>169</v>
      </c>
      <c r="C3" s="753"/>
      <c r="D3" s="754"/>
      <c r="E3" s="754"/>
      <c r="F3" s="754"/>
      <c r="G3" s="755"/>
      <c r="H3" s="753"/>
      <c r="I3" s="754"/>
      <c r="J3" s="754"/>
      <c r="K3" s="754"/>
      <c r="L3" s="755"/>
      <c r="M3" s="753"/>
      <c r="N3" s="754"/>
      <c r="O3" s="754"/>
      <c r="P3" s="754"/>
      <c r="Q3" s="755"/>
      <c r="R3" s="755"/>
      <c r="S3" s="755"/>
      <c r="T3" s="755"/>
      <c r="U3" s="755"/>
      <c r="V3" s="755"/>
      <c r="W3" s="756"/>
      <c r="X3" s="755"/>
      <c r="Y3" s="755"/>
      <c r="Z3" s="755"/>
      <c r="AA3" s="755"/>
      <c r="AB3" s="756"/>
      <c r="AC3" s="755"/>
      <c r="AD3" s="755"/>
      <c r="AE3" s="755"/>
      <c r="AF3" s="755"/>
      <c r="AG3" s="756"/>
      <c r="AH3" s="755"/>
      <c r="AI3" s="755"/>
      <c r="AJ3" s="755"/>
      <c r="AK3" s="755"/>
    </row>
    <row r="4" spans="1:37" s="384" customFormat="1" ht="12.75" customHeight="1">
      <c r="A4" s="416"/>
      <c r="B4" s="475" t="s">
        <v>24</v>
      </c>
      <c r="C4" s="753"/>
      <c r="D4" s="754"/>
      <c r="E4" s="754"/>
      <c r="F4" s="754"/>
      <c r="G4" s="755"/>
      <c r="H4" s="753"/>
      <c r="I4" s="754"/>
      <c r="J4" s="754"/>
      <c r="K4" s="754"/>
      <c r="L4" s="755"/>
      <c r="M4" s="748"/>
      <c r="N4" s="748"/>
      <c r="O4" s="748"/>
      <c r="P4" s="748"/>
      <c r="Q4" s="749"/>
      <c r="R4" s="749"/>
      <c r="S4" s="750"/>
      <c r="T4" s="748"/>
      <c r="U4" s="750"/>
      <c r="V4" s="750"/>
      <c r="W4" s="756"/>
      <c r="X4" s="750"/>
      <c r="Y4" s="748"/>
      <c r="Z4" s="750"/>
      <c r="AA4" s="750"/>
      <c r="AB4" s="756"/>
      <c r="AC4" s="755"/>
      <c r="AD4" s="755"/>
      <c r="AE4" s="755"/>
      <c r="AF4" s="755"/>
      <c r="AG4" s="756"/>
      <c r="AH4" s="755"/>
      <c r="AI4" s="755"/>
      <c r="AJ4" s="755"/>
      <c r="AK4" s="755"/>
    </row>
    <row r="5" spans="1:37" s="384" customFormat="1" ht="12.75" customHeight="1">
      <c r="A5" s="416"/>
      <c r="C5" s="757"/>
      <c r="D5" s="758"/>
      <c r="E5" s="758"/>
      <c r="F5" s="759"/>
      <c r="G5" s="755"/>
      <c r="H5" s="757"/>
      <c r="I5" s="758"/>
      <c r="J5" s="758"/>
      <c r="K5" s="759"/>
      <c r="L5" s="755"/>
      <c r="M5" s="753"/>
      <c r="N5" s="759"/>
      <c r="O5" s="759"/>
      <c r="P5" s="759"/>
      <c r="Q5" s="760"/>
      <c r="R5" s="761"/>
      <c r="S5" s="762"/>
      <c r="T5" s="762"/>
      <c r="U5" s="760"/>
      <c r="V5" s="755"/>
      <c r="W5" s="756"/>
      <c r="X5" s="760"/>
      <c r="Y5" s="760"/>
      <c r="Z5" s="760"/>
      <c r="AA5" s="760"/>
      <c r="AB5" s="761"/>
      <c r="AC5" s="762"/>
      <c r="AD5" s="762"/>
      <c r="AE5" s="760"/>
      <c r="AF5" s="762"/>
      <c r="AG5" s="761"/>
      <c r="AH5" s="762"/>
      <c r="AI5" s="762"/>
      <c r="AJ5" s="760"/>
      <c r="AK5" s="762"/>
    </row>
    <row r="6" spans="1:37" ht="12.75" customHeight="1">
      <c r="C6" s="427" t="str">
        <f>Dates!C3</f>
        <v>2022 (A)</v>
      </c>
      <c r="D6" s="427"/>
      <c r="E6" s="427"/>
      <c r="F6" s="427"/>
      <c r="G6" s="89"/>
      <c r="H6" s="427" t="str">
        <f>Dates!H3</f>
        <v>2023 (A)</v>
      </c>
      <c r="I6" s="427"/>
      <c r="J6" s="427"/>
      <c r="K6" s="427"/>
      <c r="L6" s="89"/>
      <c r="M6" s="427" t="str">
        <f>Dates!M3</f>
        <v>2024 (A)</v>
      </c>
      <c r="N6" s="427"/>
      <c r="O6" s="427"/>
      <c r="P6" s="427"/>
      <c r="Q6" s="89"/>
      <c r="R6" s="46" t="str">
        <f>Dates!R3</f>
        <v>2025 (E)</v>
      </c>
      <c r="S6" s="46"/>
      <c r="T6" s="46"/>
      <c r="U6" s="46"/>
      <c r="V6" s="89"/>
      <c r="W6" s="46" t="str">
        <f>Dates!W3</f>
        <v>2026 (E)</v>
      </c>
      <c r="X6" s="46"/>
      <c r="Y6" s="46"/>
      <c r="Z6" s="46"/>
      <c r="AA6" s="89"/>
      <c r="AB6" s="46" t="str">
        <f>Dates!AB3</f>
        <v>2027 (E)</v>
      </c>
      <c r="AC6" s="46"/>
      <c r="AD6" s="46"/>
      <c r="AE6" s="46"/>
      <c r="AF6" s="89"/>
      <c r="AG6" s="46" t="str">
        <f>Dates!AG3</f>
        <v>2028 (E)</v>
      </c>
      <c r="AH6" s="46"/>
      <c r="AI6" s="46"/>
      <c r="AJ6" s="46"/>
      <c r="AK6" s="89"/>
    </row>
    <row r="7" spans="1:37" ht="12.75" customHeight="1">
      <c r="C7" s="428" t="str">
        <f>Dates!C4</f>
        <v>1Q22 (A)</v>
      </c>
      <c r="D7" s="428" t="str">
        <f>Dates!D4</f>
        <v>2Q22 (A)</v>
      </c>
      <c r="E7" s="428" t="str">
        <f>Dates!E4</f>
        <v>3Q22 (A)</v>
      </c>
      <c r="F7" s="428" t="str">
        <f>Dates!F4</f>
        <v>4Q22 (A)</v>
      </c>
      <c r="G7" s="92" t="str">
        <f>Dates!G4</f>
        <v>FY22 (A)</v>
      </c>
      <c r="H7" s="428" t="str">
        <f>Dates!H4</f>
        <v>1Q23 (A)</v>
      </c>
      <c r="I7" s="428" t="str">
        <f>Dates!I4</f>
        <v>2Q23 (A)</v>
      </c>
      <c r="J7" s="428" t="str">
        <f>Dates!J4</f>
        <v>3Q23 (A)</v>
      </c>
      <c r="K7" s="428" t="str">
        <f>Dates!K4</f>
        <v>4Q23 (A)</v>
      </c>
      <c r="L7" s="92" t="str">
        <f>Dates!L4</f>
        <v>FY23 (A)</v>
      </c>
      <c r="M7" s="428" t="str">
        <f>Dates!M4</f>
        <v>1Q24 (A)</v>
      </c>
      <c r="N7" s="428" t="str">
        <f>Dates!N4</f>
        <v>2Q24 (A)</v>
      </c>
      <c r="O7" s="428" t="str">
        <f>Dates!O4</f>
        <v>3Q24 (A)</v>
      </c>
      <c r="P7" s="428" t="str">
        <f>Dates!P4</f>
        <v>4Q24 (A)</v>
      </c>
      <c r="Q7" s="92" t="str">
        <f>Dates!Q4</f>
        <v>FY24 (A)</v>
      </c>
      <c r="R7" s="91" t="str">
        <f>Dates!R4</f>
        <v>1Q25 (A)</v>
      </c>
      <c r="S7" s="91" t="str">
        <f>Dates!S4</f>
        <v>2Q25 (A)</v>
      </c>
      <c r="T7" s="91" t="str">
        <f>Dates!T4</f>
        <v>3Q25 (A)</v>
      </c>
      <c r="U7" s="91" t="str">
        <f>Dates!U4</f>
        <v>4Q25 (E)</v>
      </c>
      <c r="V7" s="92" t="str">
        <f>Dates!V4</f>
        <v>FY25 (E)</v>
      </c>
      <c r="W7" s="91" t="str">
        <f>Dates!W4</f>
        <v>1Q26 (E)</v>
      </c>
      <c r="X7" s="91" t="str">
        <f>Dates!X4</f>
        <v>2Q26 (E)</v>
      </c>
      <c r="Y7" s="91" t="str">
        <f>Dates!Y4</f>
        <v>3Q26 (E)</v>
      </c>
      <c r="Z7" s="91" t="str">
        <f>Dates!Z4</f>
        <v>4Q26 (E)</v>
      </c>
      <c r="AA7" s="92" t="str">
        <f>Dates!AA4</f>
        <v>FY26 (E)</v>
      </c>
      <c r="AB7" s="91" t="str">
        <f>Dates!AB4</f>
        <v>1Q27 (E)</v>
      </c>
      <c r="AC7" s="91" t="str">
        <f>Dates!AC4</f>
        <v>2Q27 (E)</v>
      </c>
      <c r="AD7" s="91" t="str">
        <f>Dates!AD4</f>
        <v>3Q27 (E)</v>
      </c>
      <c r="AE7" s="91" t="str">
        <f>Dates!AE4</f>
        <v>4Q27 (E)</v>
      </c>
      <c r="AF7" s="92" t="str">
        <f>Dates!AF4</f>
        <v>FY27 (E)</v>
      </c>
      <c r="AG7" s="91" t="str">
        <f>Dates!AG4</f>
        <v>1Q28 (E)</v>
      </c>
      <c r="AH7" s="91" t="str">
        <f>Dates!AH4</f>
        <v>2Q28 (E)</v>
      </c>
      <c r="AI7" s="91" t="str">
        <f>Dates!AI4</f>
        <v>3Q28 (E)</v>
      </c>
      <c r="AJ7" s="91" t="str">
        <f>Dates!AJ4</f>
        <v>4Q28 (E)</v>
      </c>
      <c r="AK7" s="92" t="str">
        <f>Dates!AK4</f>
        <v>FY28 (E)</v>
      </c>
    </row>
    <row r="8" spans="1:37" ht="12.75" customHeight="1">
      <c r="C8" s="423">
        <f>Dates!C5</f>
        <v>44651</v>
      </c>
      <c r="D8" s="423">
        <f>Dates!D5</f>
        <v>44742</v>
      </c>
      <c r="E8" s="423">
        <f>Dates!E5</f>
        <v>44834</v>
      </c>
      <c r="F8" s="423">
        <f>Dates!F5</f>
        <v>44926</v>
      </c>
      <c r="G8" s="94">
        <f>Dates!G5</f>
        <v>44926</v>
      </c>
      <c r="H8" s="423">
        <f>Dates!H5</f>
        <v>45016</v>
      </c>
      <c r="I8" s="423">
        <f>Dates!I5</f>
        <v>45107</v>
      </c>
      <c r="J8" s="423">
        <f>Dates!J5</f>
        <v>45199</v>
      </c>
      <c r="K8" s="423">
        <f>Dates!K5</f>
        <v>45291</v>
      </c>
      <c r="L8" s="94">
        <f>Dates!L5</f>
        <v>45291</v>
      </c>
      <c r="M8" s="423">
        <f>Dates!M5</f>
        <v>45382</v>
      </c>
      <c r="N8" s="423">
        <f>Dates!N5</f>
        <v>45473</v>
      </c>
      <c r="O8" s="423">
        <f>Dates!O5</f>
        <v>45565</v>
      </c>
      <c r="P8" s="423">
        <f>Dates!P5</f>
        <v>45657</v>
      </c>
      <c r="Q8" s="94">
        <f>Dates!Q5</f>
        <v>45657</v>
      </c>
      <c r="R8" s="93">
        <f>Dates!R5</f>
        <v>45747</v>
      </c>
      <c r="S8" s="93">
        <f>Dates!S5</f>
        <v>45838</v>
      </c>
      <c r="T8" s="93">
        <f>Dates!T5</f>
        <v>45930</v>
      </c>
      <c r="U8" s="93">
        <f>Dates!U5</f>
        <v>46022</v>
      </c>
      <c r="V8" s="94">
        <f>Dates!V5</f>
        <v>46022</v>
      </c>
      <c r="W8" s="93">
        <f>Dates!W5</f>
        <v>46112</v>
      </c>
      <c r="X8" s="93">
        <f>Dates!X5</f>
        <v>46203</v>
      </c>
      <c r="Y8" s="93">
        <f>Dates!Y5</f>
        <v>46295</v>
      </c>
      <c r="Z8" s="93">
        <f>Dates!Z5</f>
        <v>46387</v>
      </c>
      <c r="AA8" s="94">
        <f>Dates!AA5</f>
        <v>46387</v>
      </c>
      <c r="AB8" s="93">
        <f>Dates!AB5</f>
        <v>46477</v>
      </c>
      <c r="AC8" s="93">
        <f>Dates!AC5</f>
        <v>46568</v>
      </c>
      <c r="AD8" s="93">
        <f>Dates!AD5</f>
        <v>46660</v>
      </c>
      <c r="AE8" s="93">
        <f>Dates!AE5</f>
        <v>46752</v>
      </c>
      <c r="AF8" s="94">
        <f>Dates!AF5</f>
        <v>46752</v>
      </c>
      <c r="AG8" s="93">
        <f>Dates!AG5</f>
        <v>46843</v>
      </c>
      <c r="AH8" s="93">
        <f>Dates!AH5</f>
        <v>46934</v>
      </c>
      <c r="AI8" s="93">
        <f>Dates!AI5</f>
        <v>47026</v>
      </c>
      <c r="AJ8" s="93">
        <f>Dates!AJ5</f>
        <v>47118</v>
      </c>
      <c r="AK8" s="94">
        <f>Dates!AK5</f>
        <v>47118</v>
      </c>
    </row>
    <row r="9" spans="1:37" ht="12.75" customHeight="1">
      <c r="C9" s="429"/>
      <c r="D9" s="429"/>
      <c r="E9" s="429"/>
      <c r="F9" s="429"/>
      <c r="G9" s="1189"/>
      <c r="H9" s="429"/>
      <c r="I9" s="429"/>
      <c r="J9" s="429"/>
      <c r="K9" s="429"/>
      <c r="L9" s="252"/>
      <c r="M9" s="429"/>
      <c r="N9" s="429"/>
      <c r="O9" s="429"/>
      <c r="P9" s="429"/>
      <c r="Q9" s="252"/>
      <c r="R9" s="251"/>
      <c r="S9" s="251"/>
      <c r="T9" s="251"/>
      <c r="U9" s="251"/>
      <c r="V9" s="252"/>
      <c r="W9" s="251"/>
      <c r="X9" s="251"/>
      <c r="Y9" s="251"/>
      <c r="Z9" s="251"/>
      <c r="AA9" s="252"/>
      <c r="AB9" s="251"/>
      <c r="AC9" s="251"/>
      <c r="AD9" s="251"/>
      <c r="AE9" s="251"/>
      <c r="AF9" s="252"/>
      <c r="AG9" s="251"/>
      <c r="AH9" s="251"/>
      <c r="AI9" s="251"/>
      <c r="AJ9" s="251"/>
      <c r="AK9" s="252"/>
    </row>
    <row r="10" spans="1:37" s="913" customFormat="1" ht="12.75" customHeight="1">
      <c r="A10" s="283" t="s">
        <v>28</v>
      </c>
      <c r="B10" s="441" t="s">
        <v>29</v>
      </c>
      <c r="C10" s="915"/>
      <c r="D10" s="915"/>
      <c r="E10" s="915"/>
      <c r="F10" s="915"/>
      <c r="G10" s="914">
        <f>'Revenue and CapEx Build'!G10</f>
        <v>15.83</v>
      </c>
      <c r="H10" s="915">
        <f>'Revenue and CapEx Build'!H10</f>
        <v>7.9236842923050173</v>
      </c>
      <c r="I10" s="915">
        <f>'Revenue and CapEx Build'!I10</f>
        <v>29.843600214370358</v>
      </c>
      <c r="J10" s="915">
        <f>'Revenue and CapEx Build'!J10</f>
        <v>75.178825237918673</v>
      </c>
      <c r="K10" s="915">
        <f>'Revenue and CapEx Build'!K10</f>
        <v>115.99689025540596</v>
      </c>
      <c r="L10" s="914">
        <f>'Revenue and CapEx Build'!L10</f>
        <v>228.94300000000001</v>
      </c>
      <c r="M10" s="915">
        <f>'Revenue and CapEx Build'!M10</f>
        <v>188.684</v>
      </c>
      <c r="N10" s="915">
        <f>'Revenue and CapEx Build'!N10</f>
        <v>395.37099999999998</v>
      </c>
      <c r="O10" s="915">
        <f>'Revenue and CapEx Build'!O10</f>
        <v>583.94100000000003</v>
      </c>
      <c r="P10" s="915">
        <f>'Revenue and CapEx Build'!P10</f>
        <v>747.43</v>
      </c>
      <c r="Q10" s="914">
        <f>'Revenue and CapEx Build'!Q10</f>
        <v>1915.4259999999999</v>
      </c>
      <c r="R10" s="915">
        <f>'Revenue and CapEx Build'!R10</f>
        <v>981.63199999999995</v>
      </c>
      <c r="S10" s="915">
        <f>'Revenue and CapEx Build'!S10</f>
        <v>1212.788</v>
      </c>
      <c r="T10" s="915">
        <f>'Revenue and CapEx Build'!T10</f>
        <v>1364.6759999999999</v>
      </c>
      <c r="U10" s="915">
        <f>'Revenue and CapEx Build'!U10</f>
        <v>1542.8798383352844</v>
      </c>
      <c r="V10" s="914">
        <f>'Revenue and CapEx Build'!V10</f>
        <v>5101.9758383352846</v>
      </c>
      <c r="W10" s="915">
        <f>'Revenue and CapEx Build'!W10</f>
        <v>2227.1271940102652</v>
      </c>
      <c r="X10" s="915">
        <f>'Revenue and CapEx Build'!X10</f>
        <v>2964.1923267606126</v>
      </c>
      <c r="Y10" s="915">
        <f>'Revenue and CapEx Build'!Y10</f>
        <v>3289.6841382241842</v>
      </c>
      <c r="Z10" s="915">
        <f>'Revenue and CapEx Build'!Z10</f>
        <v>3520.6358086433452</v>
      </c>
      <c r="AA10" s="914">
        <f>'Revenue and CapEx Build'!AA10</f>
        <v>12001.639467638406</v>
      </c>
      <c r="AB10" s="915">
        <f>'Revenue and CapEx Build'!AB10</f>
        <v>3811.6134309688914</v>
      </c>
      <c r="AC10" s="915">
        <f>'Revenue and CapEx Build'!AC10</f>
        <v>4153.967972772637</v>
      </c>
      <c r="AD10" s="915">
        <f>'Revenue and CapEx Build'!AD10</f>
        <v>4473.832737778841</v>
      </c>
      <c r="AE10" s="915">
        <f>'Revenue and CapEx Build'!AE10</f>
        <v>4771.4757275279553</v>
      </c>
      <c r="AF10" s="914">
        <f>'Revenue and CapEx Build'!AF10</f>
        <v>17210.889869048326</v>
      </c>
      <c r="AG10" s="915">
        <f>'Revenue and CapEx Build'!AG10</f>
        <v>5118.4482278277555</v>
      </c>
      <c r="AH10" s="915">
        <f>'Revenue and CapEx Build'!AH10</f>
        <v>5329.7806915375268</v>
      </c>
      <c r="AI10" s="915">
        <f>'Revenue and CapEx Build'!AI10</f>
        <v>5519.2671656952671</v>
      </c>
      <c r="AJ10" s="915">
        <f>'Revenue and CapEx Build'!AJ10</f>
        <v>5687.5931059802742</v>
      </c>
      <c r="AK10" s="914">
        <f>'Revenue and CapEx Build'!AK10</f>
        <v>21655.089191040825</v>
      </c>
    </row>
    <row r="11" spans="1:37" s="444" customFormat="1" ht="12.75" customHeight="1">
      <c r="A11" s="416" t="s">
        <v>30</v>
      </c>
      <c r="B11" s="433" t="s">
        <v>31</v>
      </c>
      <c r="C11" s="644"/>
      <c r="D11" s="419"/>
      <c r="E11" s="419"/>
      <c r="F11" s="419"/>
      <c r="G11" s="449"/>
      <c r="H11" s="102" t="str">
        <f t="shared" ref="H11:AK11" si="0">IFERROR(H10/C10-1,"")</f>
        <v/>
      </c>
      <c r="I11" s="291" t="str">
        <f t="shared" si="0"/>
        <v/>
      </c>
      <c r="J11" s="291" t="str">
        <f t="shared" si="0"/>
        <v/>
      </c>
      <c r="K11" s="291" t="str">
        <f t="shared" si="0"/>
        <v/>
      </c>
      <c r="L11" s="254">
        <f t="shared" si="0"/>
        <v>13.462602653190146</v>
      </c>
      <c r="M11" s="102">
        <f t="shared" si="0"/>
        <v>22.812660000000001</v>
      </c>
      <c r="N11" s="291">
        <f t="shared" si="0"/>
        <v>12.248100000000001</v>
      </c>
      <c r="O11" s="291">
        <f t="shared" si="0"/>
        <v>6.7673600000000009</v>
      </c>
      <c r="P11" s="291">
        <f t="shared" si="0"/>
        <v>5.4435348081684154</v>
      </c>
      <c r="Q11" s="254">
        <f t="shared" si="0"/>
        <v>7.366388140279458</v>
      </c>
      <c r="R11" s="102">
        <f t="shared" si="0"/>
        <v>4.2025184965338873</v>
      </c>
      <c r="S11" s="291">
        <f t="shared" si="0"/>
        <v>2.0674682766313159</v>
      </c>
      <c r="T11" s="291">
        <f t="shared" si="0"/>
        <v>1.3370100746479521</v>
      </c>
      <c r="U11" s="291">
        <f t="shared" si="0"/>
        <v>1.0642466028059947</v>
      </c>
      <c r="V11" s="254">
        <f t="shared" si="0"/>
        <v>1.663624613185414</v>
      </c>
      <c r="W11" s="102">
        <f t="shared" si="0"/>
        <v>1.2688005219983305</v>
      </c>
      <c r="X11" s="291">
        <f t="shared" si="0"/>
        <v>1.4441141623767817</v>
      </c>
      <c r="Y11" s="291">
        <f t="shared" si="0"/>
        <v>1.4105971953959653</v>
      </c>
      <c r="Z11" s="291">
        <f t="shared" si="0"/>
        <v>1.281860013442131</v>
      </c>
      <c r="AA11" s="254">
        <f t="shared" si="0"/>
        <v>1.3523512944652443</v>
      </c>
      <c r="AB11" s="102">
        <f t="shared" si="0"/>
        <v>0.71144847102581932</v>
      </c>
      <c r="AC11" s="291">
        <f t="shared" si="0"/>
        <v>0.40138274270221141</v>
      </c>
      <c r="AD11" s="291">
        <f t="shared" si="0"/>
        <v>0.3599581448551703</v>
      </c>
      <c r="AE11" s="291">
        <f t="shared" si="0"/>
        <v>0.35528807490219028</v>
      </c>
      <c r="AF11" s="254">
        <f t="shared" si="0"/>
        <v>0.43404489990357598</v>
      </c>
      <c r="AG11" s="102">
        <f t="shared" si="0"/>
        <v>0.34285606883452346</v>
      </c>
      <c r="AH11" s="291">
        <f t="shared" si="0"/>
        <v>0.28305772371665006</v>
      </c>
      <c r="AI11" s="291">
        <f t="shared" si="0"/>
        <v>0.23367758456599375</v>
      </c>
      <c r="AJ11" s="291">
        <f t="shared" si="0"/>
        <v>0.19199875065212768</v>
      </c>
      <c r="AK11" s="254">
        <f t="shared" si="0"/>
        <v>0.25822019406357644</v>
      </c>
    </row>
    <row r="12" spans="1:37" ht="12.75" customHeight="1">
      <c r="A12" s="416" t="s">
        <v>32</v>
      </c>
      <c r="B12" s="433" t="s">
        <v>33</v>
      </c>
      <c r="C12" s="616"/>
      <c r="D12" s="102"/>
      <c r="E12" s="102"/>
      <c r="F12" s="102"/>
      <c r="G12" s="255"/>
      <c r="H12" s="253" t="str">
        <f>IFERROR(H10/F10-1,"")</f>
        <v/>
      </c>
      <c r="I12" s="102">
        <f>IFERROR(I10/H10-1,"")</f>
        <v>2.7663792641704039</v>
      </c>
      <c r="J12" s="102">
        <f>IFERROR(J10/I10-1,"")</f>
        <v>1.5190936984110381</v>
      </c>
      <c r="K12" s="102">
        <f>IFERROR(K10/J10-1,"")</f>
        <v>0.54294630021565538</v>
      </c>
      <c r="L12" s="255"/>
      <c r="M12" s="253">
        <f>IFERROR(M10/K10-1,"")</f>
        <v>0.62662981382129335</v>
      </c>
      <c r="N12" s="102">
        <f>IFERROR(N10/M10-1,"")</f>
        <v>1.0954134955799115</v>
      </c>
      <c r="O12" s="102">
        <f>IFERROR(O10/N10-1,"")</f>
        <v>0.47694443952641974</v>
      </c>
      <c r="P12" s="102">
        <f>IFERROR(P10/O10-1,"")</f>
        <v>0.27997520297427303</v>
      </c>
      <c r="Q12" s="255"/>
      <c r="R12" s="253">
        <f>IFERROR(R10/P10-1,"")</f>
        <v>0.31334305553697339</v>
      </c>
      <c r="S12" s="102">
        <f>IFERROR(S10/R10-1,"")</f>
        <v>0.23548132090233409</v>
      </c>
      <c r="T12" s="102">
        <f>IFERROR(T10/S10-1,"")</f>
        <v>0.12523870618772603</v>
      </c>
      <c r="U12" s="102">
        <f>IFERROR(U10/T10-1,"")</f>
        <v>0.13058325810323068</v>
      </c>
      <c r="V12" s="255"/>
      <c r="W12" s="253">
        <f>IFERROR(W10/U10-1,"")</f>
        <v>0.44348713274603457</v>
      </c>
      <c r="X12" s="102">
        <f>IFERROR(X10/W10-1,"")</f>
        <v>0.33094882714047191</v>
      </c>
      <c r="Y12" s="102">
        <f>IFERROR(Y10/X10-1,"")</f>
        <v>0.10980792593147348</v>
      </c>
      <c r="Z12" s="102">
        <f>IFERROR(Z10/Y10-1,"")</f>
        <v>7.0204816242276591E-2</v>
      </c>
      <c r="AA12" s="255"/>
      <c r="AB12" s="253">
        <f>IFERROR(AB10/Z10-1,"")</f>
        <v>8.264916854256299E-2</v>
      </c>
      <c r="AC12" s="102">
        <f>IFERROR(AC10/AB10-1,"")</f>
        <v>8.9818799310065645E-2</v>
      </c>
      <c r="AD12" s="102">
        <f>IFERROR(AD10/AC10-1,"")</f>
        <v>7.700222223733344E-2</v>
      </c>
      <c r="AE12" s="102">
        <f>IFERROR(AE10/AD10-1,"")</f>
        <v>6.652975361275737E-2</v>
      </c>
      <c r="AF12" s="255"/>
      <c r="AG12" s="253">
        <f>IFERROR(AG10/AE10-1,"")</f>
        <v>7.271806881422882E-2</v>
      </c>
      <c r="AH12" s="102">
        <f>IFERROR(AH10/AG10-1,"")</f>
        <v>4.1288385522942006E-2</v>
      </c>
      <c r="AI12" s="102">
        <f>IFERROR(AI10/AH10-1,"")</f>
        <v>3.5552396078623261E-2</v>
      </c>
      <c r="AJ12" s="102">
        <f>IFERROR(AJ10/AI10-1,"")</f>
        <v>3.0497878655200594E-2</v>
      </c>
      <c r="AK12" s="255"/>
    </row>
    <row r="13" spans="1:37" s="269" customFormat="1" ht="12.75" customHeight="1">
      <c r="A13" s="416"/>
      <c r="B13" s="433" t="s">
        <v>97</v>
      </c>
      <c r="C13" s="608"/>
      <c r="D13" s="290"/>
      <c r="E13" s="290"/>
      <c r="F13" s="290"/>
      <c r="G13" s="410"/>
      <c r="H13" s="290">
        <f>'Revenue and CapEx Build'!H13</f>
        <v>7.9236842923050173</v>
      </c>
      <c r="I13" s="290">
        <f>'Revenue and CapEx Build'!I13</f>
        <v>29.843600214370358</v>
      </c>
      <c r="J13" s="290">
        <f>'Revenue and CapEx Build'!J13</f>
        <v>75.178825237918673</v>
      </c>
      <c r="K13" s="290">
        <f>'Revenue and CapEx Build'!K13</f>
        <v>115.99689025540596</v>
      </c>
      <c r="L13" s="410">
        <f>'Revenue and CapEx Build'!L13</f>
        <v>213.113</v>
      </c>
      <c r="M13" s="290">
        <f>'Revenue and CapEx Build'!M13</f>
        <v>180.76031570769499</v>
      </c>
      <c r="N13" s="290">
        <f>'Revenue and CapEx Build'!N13</f>
        <v>365.5273997856296</v>
      </c>
      <c r="O13" s="290">
        <f>'Revenue and CapEx Build'!O13</f>
        <v>508.76217476208137</v>
      </c>
      <c r="P13" s="290">
        <f>'Revenue and CapEx Build'!P13</f>
        <v>631.43310974459405</v>
      </c>
      <c r="Q13" s="410">
        <f>'Revenue and CapEx Build'!Q13</f>
        <v>1686.4829999999999</v>
      </c>
      <c r="R13" s="290">
        <f>'Revenue and CapEx Build'!R13</f>
        <v>792.94799999999998</v>
      </c>
      <c r="S13" s="290">
        <f>'Revenue and CapEx Build'!S13</f>
        <v>817.41700000000003</v>
      </c>
      <c r="T13" s="290">
        <f>'Revenue and CapEx Build'!T13</f>
        <v>780.7349999999999</v>
      </c>
      <c r="U13" s="290">
        <f>'Revenue and CapEx Build'!U13</f>
        <v>795.44983833528443</v>
      </c>
      <c r="V13" s="410">
        <f>'Revenue and CapEx Build'!V13</f>
        <v>3186.5498383352847</v>
      </c>
      <c r="W13" s="290">
        <f>'Revenue and CapEx Build'!W13</f>
        <v>1245.4951940102651</v>
      </c>
      <c r="X13" s="290">
        <f>'Revenue and CapEx Build'!X13</f>
        <v>1751.4043267606125</v>
      </c>
      <c r="Y13" s="290">
        <f>'Revenue and CapEx Build'!Y13</f>
        <v>1925.0081382241842</v>
      </c>
      <c r="Z13" s="290">
        <f>'Revenue and CapEx Build'!Z13</f>
        <v>1977.7559703080608</v>
      </c>
      <c r="AA13" s="410">
        <f>'Revenue and CapEx Build'!AA13</f>
        <v>6899.6636293031215</v>
      </c>
      <c r="AB13" s="290">
        <f>'Revenue and CapEx Build'!AB13</f>
        <v>1584.4862369586263</v>
      </c>
      <c r="AC13" s="290">
        <f>'Revenue and CapEx Build'!AC13</f>
        <v>1189.7756460120245</v>
      </c>
      <c r="AD13" s="290">
        <f>'Revenue and CapEx Build'!AD13</f>
        <v>1184.1485995546568</v>
      </c>
      <c r="AE13" s="290">
        <f>'Revenue and CapEx Build'!AE13</f>
        <v>1250.8399188846101</v>
      </c>
      <c r="AF13" s="410">
        <f>'Revenue and CapEx Build'!AF13</f>
        <v>5209.2504014099195</v>
      </c>
      <c r="AG13" s="290">
        <f>'Revenue and CapEx Build'!AG13</f>
        <v>1306.8347968588641</v>
      </c>
      <c r="AH13" s="290">
        <f>'Revenue and CapEx Build'!AH13</f>
        <v>1175.8127187648897</v>
      </c>
      <c r="AI13" s="290">
        <f>'Revenue and CapEx Build'!AI13</f>
        <v>1045.4344279164261</v>
      </c>
      <c r="AJ13" s="290">
        <f>'Revenue and CapEx Build'!AJ13</f>
        <v>916.11737845231892</v>
      </c>
      <c r="AK13" s="410">
        <f>'Revenue and CapEx Build'!AK13</f>
        <v>4444.1993219924989</v>
      </c>
    </row>
    <row r="14" spans="1:37" s="269" customFormat="1" ht="12.75" customHeight="1">
      <c r="A14" s="416"/>
      <c r="B14" s="433" t="s">
        <v>98</v>
      </c>
      <c r="C14" s="655"/>
      <c r="D14" s="290"/>
      <c r="E14" s="290"/>
      <c r="F14" s="290"/>
      <c r="G14" s="254"/>
      <c r="H14" s="293">
        <f>'Revenue and CapEx Build'!H14</f>
        <v>7.9236842923050173</v>
      </c>
      <c r="I14" s="290">
        <f>'Revenue and CapEx Build'!I14</f>
        <v>21.919915922065343</v>
      </c>
      <c r="J14" s="290">
        <f>'Revenue and CapEx Build'!J14</f>
        <v>45.335225023548318</v>
      </c>
      <c r="K14" s="290">
        <f>'Revenue and CapEx Build'!K14</f>
        <v>40.818065017487285</v>
      </c>
      <c r="L14" s="254">
        <f>'Revenue and CapEx Build'!L14</f>
        <v>0</v>
      </c>
      <c r="M14" s="293">
        <f>'Revenue and CapEx Build'!M14</f>
        <v>72.687109744594039</v>
      </c>
      <c r="N14" s="290">
        <f>'Revenue and CapEx Build'!N14</f>
        <v>206.68699999999998</v>
      </c>
      <c r="O14" s="290">
        <f>'Revenue and CapEx Build'!O14</f>
        <v>188.57000000000005</v>
      </c>
      <c r="P14" s="290">
        <f>'Revenue and CapEx Build'!P14</f>
        <v>163.48899999999992</v>
      </c>
      <c r="Q14" s="254">
        <f>'Revenue and CapEx Build'!Q14</f>
        <v>0</v>
      </c>
      <c r="R14" s="293">
        <f>'Revenue and CapEx Build'!R14</f>
        <v>234.202</v>
      </c>
      <c r="S14" s="290">
        <f>'Revenue and CapEx Build'!S14</f>
        <v>231.15600000000006</v>
      </c>
      <c r="T14" s="290">
        <f>'Revenue and CapEx Build'!T14</f>
        <v>151.88799999999992</v>
      </c>
      <c r="U14" s="290">
        <f>'Revenue and CapEx Build'!U14</f>
        <v>178.20383833528444</v>
      </c>
      <c r="V14" s="254">
        <f>'Revenue and CapEx Build'!V14</f>
        <v>0</v>
      </c>
      <c r="W14" s="293">
        <f>'Revenue and CapEx Build'!W14</f>
        <v>684.24735567498078</v>
      </c>
      <c r="X14" s="290">
        <f>'Revenue and CapEx Build'!X14</f>
        <v>737.0651327503474</v>
      </c>
      <c r="Y14" s="290">
        <f>'Revenue and CapEx Build'!Y14</f>
        <v>325.49181146357159</v>
      </c>
      <c r="Z14" s="290">
        <f>'Revenue and CapEx Build'!Z14</f>
        <v>230.95167041916102</v>
      </c>
      <c r="AA14" s="254">
        <f>'Revenue and CapEx Build'!AA14</f>
        <v>0</v>
      </c>
      <c r="AB14" s="293">
        <f>'Revenue and CapEx Build'!AB14</f>
        <v>290.97762232554624</v>
      </c>
      <c r="AC14" s="290">
        <f>'Revenue and CapEx Build'!AC14</f>
        <v>342.35454180374563</v>
      </c>
      <c r="AD14" s="290">
        <f>'Revenue and CapEx Build'!AD14</f>
        <v>319.86476500620392</v>
      </c>
      <c r="AE14" s="290">
        <f>'Revenue and CapEx Build'!AE14</f>
        <v>297.64298974911435</v>
      </c>
      <c r="AF14" s="254">
        <f>'Revenue and CapEx Build'!AF14</f>
        <v>0</v>
      </c>
      <c r="AG14" s="293">
        <f>'Revenue and CapEx Build'!AG14</f>
        <v>346.97250029980023</v>
      </c>
      <c r="AH14" s="290">
        <f>'Revenue and CapEx Build'!AH14</f>
        <v>211.33246370977122</v>
      </c>
      <c r="AI14" s="290">
        <f>'Revenue and CapEx Build'!AI14</f>
        <v>189.4864741577403</v>
      </c>
      <c r="AJ14" s="290">
        <f>'Revenue and CapEx Build'!AJ14</f>
        <v>168.32594028500716</v>
      </c>
      <c r="AK14" s="254">
        <f>'Revenue and CapEx Build'!AK14</f>
        <v>0</v>
      </c>
    </row>
    <row r="15" spans="1:37" s="269" customFormat="1" ht="12.75" customHeight="1">
      <c r="A15" s="416"/>
      <c r="B15" s="433"/>
      <c r="C15" s="655"/>
      <c r="D15" s="290"/>
      <c r="E15" s="290"/>
      <c r="F15" s="290"/>
      <c r="G15" s="254"/>
      <c r="H15" s="293"/>
      <c r="I15" s="290"/>
      <c r="J15" s="290"/>
      <c r="K15" s="290"/>
      <c r="L15" s="254"/>
      <c r="M15" s="293"/>
      <c r="N15" s="290"/>
      <c r="O15" s="290"/>
      <c r="P15" s="290"/>
      <c r="Q15" s="254"/>
      <c r="R15" s="293"/>
      <c r="S15" s="290"/>
      <c r="T15" s="290"/>
      <c r="U15" s="290"/>
      <c r="V15" s="254"/>
      <c r="W15" s="293"/>
      <c r="X15" s="290"/>
      <c r="Y15" s="290"/>
      <c r="Z15" s="290"/>
      <c r="AA15" s="254"/>
      <c r="AB15" s="293"/>
      <c r="AC15" s="290"/>
      <c r="AD15" s="290"/>
      <c r="AE15" s="290"/>
      <c r="AF15" s="254"/>
      <c r="AG15" s="293"/>
      <c r="AH15" s="290"/>
      <c r="AI15" s="290"/>
      <c r="AJ15" s="290"/>
      <c r="AK15" s="254"/>
    </row>
    <row r="16" spans="1:37" s="945" customFormat="1" ht="12.75" customHeight="1">
      <c r="A16" s="416"/>
      <c r="B16" s="946" t="s">
        <v>397</v>
      </c>
      <c r="C16" s="941"/>
      <c r="D16" s="942"/>
      <c r="E16" s="942"/>
      <c r="F16" s="942"/>
      <c r="G16" s="827"/>
      <c r="H16" s="943"/>
      <c r="I16" s="942"/>
      <c r="J16" s="944"/>
      <c r="K16" s="944"/>
      <c r="L16" s="827"/>
      <c r="M16" s="943"/>
      <c r="N16" s="942"/>
      <c r="O16" s="826">
        <f>'Revenue and CapEx Build'!O16</f>
        <v>8.6095276850452207E-2</v>
      </c>
      <c r="P16" s="826">
        <f>'Revenue and CapEx Build'!P16</f>
        <v>9.7257295598392676E-2</v>
      </c>
      <c r="Q16" s="827">
        <f>'Revenue and CapEx Build'!Q16</f>
        <v>0</v>
      </c>
      <c r="R16" s="826">
        <f>'Revenue and CapEx Build'!R16</f>
        <v>0.10414591410894541</v>
      </c>
      <c r="S16" s="826">
        <f>'Revenue and CapEx Build'!S16</f>
        <v>0.10705430217258477</v>
      </c>
      <c r="T16" s="826">
        <f>'Revenue and CapEx Build'!T16</f>
        <v>0.1038986509344781</v>
      </c>
      <c r="U16" s="826">
        <f>'Revenue and CapEx Build'!U16</f>
        <v>9.7600000000000006E-2</v>
      </c>
      <c r="V16" s="827">
        <f>'Revenue and CapEx Build'!V16</f>
        <v>0.10317471680400207</v>
      </c>
      <c r="W16" s="826">
        <f>'Revenue and CapEx Build'!W16</f>
        <v>9.8000000000000004E-2</v>
      </c>
      <c r="X16" s="826">
        <f>'Revenue and CapEx Build'!X16</f>
        <v>0.10100000000000001</v>
      </c>
      <c r="Y16" s="826">
        <f>'Revenue and CapEx Build'!Y16</f>
        <v>0.10299999999999999</v>
      </c>
      <c r="Z16" s="826">
        <f>'Revenue and CapEx Build'!Z16</f>
        <v>0.105</v>
      </c>
      <c r="AA16" s="827">
        <f>'Revenue and CapEx Build'!AA16</f>
        <v>0.10174999999999999</v>
      </c>
      <c r="AB16" s="826">
        <f>'Revenue and CapEx Build'!AB16</f>
        <v>0.106</v>
      </c>
      <c r="AC16" s="826">
        <f>'Revenue and CapEx Build'!AC16</f>
        <v>0.106</v>
      </c>
      <c r="AD16" s="826">
        <f>'Revenue and CapEx Build'!AD16</f>
        <v>0.106</v>
      </c>
      <c r="AE16" s="826">
        <f>'Revenue and CapEx Build'!AE16</f>
        <v>0.106</v>
      </c>
      <c r="AF16" s="827">
        <f>'Revenue and CapEx Build'!AF16</f>
        <v>0.106</v>
      </c>
      <c r="AG16" s="826">
        <f>'Revenue and CapEx Build'!AG16</f>
        <v>0.108</v>
      </c>
      <c r="AH16" s="826">
        <f>'Revenue and CapEx Build'!AH16</f>
        <v>0.108</v>
      </c>
      <c r="AI16" s="826">
        <f>'Revenue and CapEx Build'!AI16</f>
        <v>0.108</v>
      </c>
      <c r="AJ16" s="826">
        <f>'Revenue and CapEx Build'!AJ16</f>
        <v>0.108</v>
      </c>
      <c r="AK16" s="827">
        <f>'Revenue and CapEx Build'!AK16</f>
        <v>0.108</v>
      </c>
    </row>
    <row r="17" spans="1:37" s="945" customFormat="1" ht="12.75" customHeight="1">
      <c r="A17" s="416"/>
      <c r="B17" s="946" t="s">
        <v>398</v>
      </c>
      <c r="C17" s="941"/>
      <c r="D17" s="942"/>
      <c r="E17" s="942"/>
      <c r="F17" s="942"/>
      <c r="G17" s="827"/>
      <c r="H17" s="943"/>
      <c r="I17" s="942"/>
      <c r="J17" s="942"/>
      <c r="K17" s="942"/>
      <c r="L17" s="827"/>
      <c r="M17" s="943"/>
      <c r="N17" s="942"/>
      <c r="O17" s="826">
        <f>'Revenue and CapEx Build'!O17</f>
        <v>0.34438110740180883</v>
      </c>
      <c r="P17" s="826">
        <f>'Revenue and CapEx Build'!P17</f>
        <v>0.3890291823935707</v>
      </c>
      <c r="Q17" s="827">
        <f>'Revenue and CapEx Build'!Q17</f>
        <v>0</v>
      </c>
      <c r="R17" s="826">
        <f>'Revenue and CapEx Build'!R17</f>
        <v>0.41658365643578166</v>
      </c>
      <c r="S17" s="826">
        <f>'Revenue and CapEx Build'!S17</f>
        <v>0.42821720869033908</v>
      </c>
      <c r="T17" s="826">
        <f>'Revenue and CapEx Build'!T17</f>
        <v>0.4155946037379124</v>
      </c>
      <c r="U17" s="826">
        <f>'Revenue and CapEx Build'!U17</f>
        <v>0.39040000000000002</v>
      </c>
      <c r="V17" s="827">
        <f>'Revenue and CapEx Build'!V17</f>
        <v>0</v>
      </c>
      <c r="W17" s="826">
        <f>'Revenue and CapEx Build'!W17</f>
        <v>0.39200000000000002</v>
      </c>
      <c r="X17" s="826">
        <f>'Revenue and CapEx Build'!X17</f>
        <v>0.40400000000000003</v>
      </c>
      <c r="Y17" s="826">
        <f>'Revenue and CapEx Build'!Y17</f>
        <v>0.41199999999999998</v>
      </c>
      <c r="Z17" s="826">
        <f>'Revenue and CapEx Build'!Z17</f>
        <v>0.42</v>
      </c>
      <c r="AA17" s="827">
        <f>'Revenue and CapEx Build'!AA17</f>
        <v>0</v>
      </c>
      <c r="AB17" s="826">
        <f>'Revenue and CapEx Build'!AB17</f>
        <v>0.42399999999999999</v>
      </c>
      <c r="AC17" s="826">
        <f>'Revenue and CapEx Build'!AC17</f>
        <v>0.42399999999999999</v>
      </c>
      <c r="AD17" s="826">
        <f>'Revenue and CapEx Build'!AD17</f>
        <v>0.42399999999999999</v>
      </c>
      <c r="AE17" s="826">
        <f>'Revenue and CapEx Build'!AE17</f>
        <v>0.42399999999999999</v>
      </c>
      <c r="AF17" s="827">
        <f>'Revenue and CapEx Build'!AF17</f>
        <v>0</v>
      </c>
      <c r="AG17" s="826">
        <f>'Revenue and CapEx Build'!AG17</f>
        <v>0.432</v>
      </c>
      <c r="AH17" s="826">
        <f>'Revenue and CapEx Build'!AH17</f>
        <v>0.432</v>
      </c>
      <c r="AI17" s="826">
        <f>'Revenue and CapEx Build'!AI17</f>
        <v>0.432</v>
      </c>
      <c r="AJ17" s="826">
        <f>'Revenue and CapEx Build'!AJ17</f>
        <v>0.432</v>
      </c>
      <c r="AK17" s="827">
        <f>'Revenue and CapEx Build'!AK17</f>
        <v>0</v>
      </c>
    </row>
    <row r="18" spans="1:37" s="945" customFormat="1" ht="12.75" customHeight="1">
      <c r="A18" s="416"/>
      <c r="B18" s="946" t="s">
        <v>399</v>
      </c>
      <c r="C18" s="941"/>
      <c r="D18" s="942"/>
      <c r="E18" s="942"/>
      <c r="F18" s="942"/>
      <c r="G18" s="827"/>
      <c r="H18" s="943"/>
      <c r="I18" s="942"/>
      <c r="J18" s="942"/>
      <c r="K18" s="942"/>
      <c r="L18" s="827"/>
      <c r="M18" s="943"/>
      <c r="N18" s="942"/>
      <c r="O18" s="826">
        <f>'Revenue and CapEx Build'!O18</f>
        <v>8.0338949052117872E-2</v>
      </c>
      <c r="P18" s="826">
        <f>'Revenue and CapEx Build'!P18</f>
        <v>8.8204788334116324E-2</v>
      </c>
      <c r="Q18" s="827">
        <f>'Revenue and CapEx Build'!Q18</f>
        <v>0</v>
      </c>
      <c r="R18" s="826">
        <f>'Revenue and CapEx Build'!R18</f>
        <v>9.2537485368269931E-2</v>
      </c>
      <c r="S18" s="826">
        <f>'Revenue and CapEx Build'!S18</f>
        <v>9.3253365935426338E-2</v>
      </c>
      <c r="T18" s="826">
        <f>'Revenue and CapEx Build'!T18</f>
        <v>8.8622362672048566E-2</v>
      </c>
      <c r="U18" s="826">
        <f>'Revenue and CapEx Build'!U18</f>
        <v>8.2175833929333683E-2</v>
      </c>
      <c r="V18" s="827">
        <f>'Revenue and CapEx Build'!V18</f>
        <v>0</v>
      </c>
      <c r="W18" s="826">
        <f>'Revenue and CapEx Build'!W18</f>
        <v>8.3496470905502662E-2</v>
      </c>
      <c r="X18" s="826">
        <f>'Revenue and CapEx Build'!X18</f>
        <v>8.5734489713959666E-2</v>
      </c>
      <c r="Y18" s="826">
        <f>'Revenue and CapEx Build'!Y18</f>
        <v>8.5200040726267912E-2</v>
      </c>
      <c r="Z18" s="826">
        <f>'Revenue and CapEx Build'!Z18</f>
        <v>8.4261617399642136E-2</v>
      </c>
      <c r="AA18" s="827">
        <f>'Revenue and CapEx Build'!AA18</f>
        <v>0</v>
      </c>
      <c r="AB18" s="826">
        <f>'Revenue and CapEx Build'!AB18</f>
        <v>8.2922964398030957E-2</v>
      </c>
      <c r="AC18" s="826">
        <f>'Revenue and CapEx Build'!AC18</f>
        <v>8.1183094356791996E-2</v>
      </c>
      <c r="AD18" s="826">
        <f>'Revenue and CapEx Build'!AD18</f>
        <v>7.935721756111852E-2</v>
      </c>
      <c r="AE18" s="826">
        <f>'Revenue and CapEx Build'!AE18</f>
        <v>7.7468267593424428E-2</v>
      </c>
      <c r="AF18" s="827">
        <f>'Revenue and CapEx Build'!AF18</f>
        <v>0</v>
      </c>
      <c r="AG18" s="826">
        <f>'Revenue and CapEx Build'!AG18</f>
        <v>7.6872620724090943E-2</v>
      </c>
      <c r="AH18" s="826">
        <f>'Revenue and CapEx Build'!AH18</f>
        <v>7.4703950679087652E-2</v>
      </c>
      <c r="AI18" s="826">
        <f>'Revenue and CapEx Build'!AI18</f>
        <v>7.2522393325948259E-2</v>
      </c>
      <c r="AJ18" s="826">
        <f>'Revenue and CapEx Build'!AJ18</f>
        <v>7.0332762345197475E-2</v>
      </c>
      <c r="AK18" s="827">
        <f>'Revenue and CapEx Build'!AK18</f>
        <v>0</v>
      </c>
    </row>
    <row r="19" spans="1:37" s="269" customFormat="1" ht="12.75" customHeight="1">
      <c r="A19" s="416"/>
      <c r="B19" s="433"/>
      <c r="C19" s="655"/>
      <c r="D19" s="290"/>
      <c r="E19" s="290"/>
      <c r="F19" s="290"/>
      <c r="G19" s="254"/>
      <c r="H19" s="293"/>
      <c r="I19" s="290"/>
      <c r="J19" s="290"/>
      <c r="K19" s="290"/>
      <c r="L19" s="254"/>
      <c r="M19" s="293"/>
      <c r="N19" s="290"/>
      <c r="O19" s="290"/>
      <c r="P19" s="290"/>
      <c r="Q19" s="254"/>
      <c r="R19" s="293"/>
      <c r="S19" s="290"/>
      <c r="T19" s="290"/>
      <c r="U19" s="290"/>
      <c r="V19" s="254"/>
      <c r="W19" s="293"/>
      <c r="X19" s="290"/>
      <c r="Y19" s="290"/>
      <c r="Z19" s="290"/>
      <c r="AA19" s="254"/>
      <c r="AB19" s="293"/>
      <c r="AC19" s="290"/>
      <c r="AD19" s="290"/>
      <c r="AE19" s="290"/>
      <c r="AF19" s="254"/>
      <c r="AG19" s="293"/>
      <c r="AH19" s="290"/>
      <c r="AI19" s="290"/>
      <c r="AJ19" s="290"/>
      <c r="AK19" s="254"/>
    </row>
    <row r="20" spans="1:37" s="269" customFormat="1" ht="12.75" customHeight="1">
      <c r="A20" s="416"/>
      <c r="B20" s="490" t="s">
        <v>323</v>
      </c>
      <c r="C20" s="655"/>
      <c r="D20" s="290"/>
      <c r="E20" s="290"/>
      <c r="F20" s="290"/>
      <c r="G20" s="254"/>
      <c r="H20" s="293"/>
      <c r="I20" s="290"/>
      <c r="J20" s="290"/>
      <c r="K20" s="290"/>
      <c r="L20" s="254"/>
      <c r="M20" s="293"/>
      <c r="N20" s="290"/>
      <c r="O20" s="290"/>
      <c r="P20" s="290"/>
      <c r="Q20" s="254"/>
      <c r="R20" s="293"/>
      <c r="S20" s="290"/>
      <c r="T20" s="290"/>
      <c r="U20" s="290"/>
      <c r="V20" s="254"/>
      <c r="W20" s="293"/>
      <c r="X20" s="290"/>
      <c r="Y20" s="290"/>
      <c r="Z20" s="290"/>
      <c r="AA20" s="254"/>
      <c r="AB20" s="293"/>
      <c r="AC20" s="290"/>
      <c r="AD20" s="290"/>
      <c r="AE20" s="290"/>
      <c r="AF20" s="254"/>
      <c r="AG20" s="293"/>
      <c r="AH20" s="290"/>
      <c r="AI20" s="290"/>
      <c r="AJ20" s="290"/>
      <c r="AK20" s="254"/>
    </row>
    <row r="21" spans="1:37" s="289" customFormat="1" ht="12.75" customHeight="1" outlineLevel="1">
      <c r="A21" s="416"/>
      <c r="B21" s="476" t="s">
        <v>325</v>
      </c>
      <c r="C21" s="371"/>
      <c r="D21" s="371"/>
      <c r="E21" s="371"/>
      <c r="F21" s="371"/>
      <c r="G21" s="369">
        <f>G$10*G24</f>
        <v>3.1660000000000004</v>
      </c>
      <c r="H21" s="371"/>
      <c r="I21" s="371"/>
      <c r="J21" s="491">
        <f>J$10*J24</f>
        <v>63.150213199851684</v>
      </c>
      <c r="K21" s="491"/>
      <c r="L21" s="369">
        <f>L$10*L24</f>
        <v>201.46984</v>
      </c>
      <c r="M21" s="491">
        <f>M$10*M24</f>
        <v>177.36295999999999</v>
      </c>
      <c r="N21" s="371"/>
      <c r="O21" s="491">
        <f>O$10*O24</f>
        <v>554.74395000000004</v>
      </c>
      <c r="P21" s="491"/>
      <c r="Q21" s="369">
        <f>Q$10*Q24</f>
        <v>1838.8089599999998</v>
      </c>
      <c r="R21" s="491">
        <f>R$10*R24</f>
        <v>961.99935999999991</v>
      </c>
      <c r="S21" s="491"/>
      <c r="T21" s="491"/>
      <c r="U21" s="491"/>
      <c r="V21" s="370"/>
      <c r="W21" s="491"/>
      <c r="X21" s="491"/>
      <c r="Y21" s="491"/>
      <c r="Z21" s="491"/>
      <c r="AA21" s="370"/>
      <c r="AB21" s="491"/>
      <c r="AC21" s="491"/>
      <c r="AD21" s="491"/>
      <c r="AE21" s="491"/>
      <c r="AF21" s="370"/>
      <c r="AG21" s="491"/>
      <c r="AH21" s="491"/>
      <c r="AI21" s="491"/>
      <c r="AJ21" s="491"/>
      <c r="AK21" s="370"/>
    </row>
    <row r="22" spans="1:37" s="298" customFormat="1" ht="12.75" customHeight="1" outlineLevel="1">
      <c r="A22" s="416"/>
      <c r="B22" s="433" t="s">
        <v>31</v>
      </c>
      <c r="C22" s="102"/>
      <c r="D22" s="102"/>
      <c r="E22" s="102"/>
      <c r="F22" s="102"/>
      <c r="G22" s="254"/>
      <c r="H22" s="102" t="str">
        <f t="shared" ref="H22:Q22" si="1">IFERROR(H21/C21-1,"")</f>
        <v/>
      </c>
      <c r="I22" s="102" t="str">
        <f t="shared" si="1"/>
        <v/>
      </c>
      <c r="J22" s="102" t="str">
        <f t="shared" si="1"/>
        <v/>
      </c>
      <c r="K22" s="102"/>
      <c r="L22" s="254">
        <f t="shared" si="1"/>
        <v>62.635451674036631</v>
      </c>
      <c r="M22" s="102" t="str">
        <f t="shared" si="1"/>
        <v/>
      </c>
      <c r="N22" s="102" t="str">
        <f t="shared" si="1"/>
        <v/>
      </c>
      <c r="O22" s="102">
        <f t="shared" si="1"/>
        <v>7.7845142857142875</v>
      </c>
      <c r="P22" s="102"/>
      <c r="Q22" s="254">
        <f t="shared" si="1"/>
        <v>8.1269688803048616</v>
      </c>
      <c r="R22" s="102">
        <f>IFERROR(R21/M21-1,"")</f>
        <v>4.42390226234384</v>
      </c>
      <c r="S22" s="102"/>
      <c r="T22" s="102"/>
      <c r="U22" s="102"/>
      <c r="V22" s="254"/>
      <c r="W22" s="102"/>
      <c r="X22" s="102"/>
      <c r="Y22" s="102"/>
      <c r="Z22" s="102"/>
      <c r="AA22" s="254"/>
      <c r="AB22" s="102"/>
      <c r="AC22" s="102"/>
      <c r="AD22" s="102"/>
      <c r="AE22" s="102"/>
      <c r="AF22" s="254"/>
      <c r="AG22" s="102"/>
      <c r="AH22" s="102"/>
      <c r="AI22" s="102"/>
      <c r="AJ22" s="102"/>
      <c r="AK22" s="254"/>
    </row>
    <row r="23" spans="1:37" ht="12.75" customHeight="1" outlineLevel="1">
      <c r="B23" s="433" t="s">
        <v>33</v>
      </c>
      <c r="C23" s="253"/>
      <c r="D23" s="102"/>
      <c r="E23" s="102"/>
      <c r="F23" s="102"/>
      <c r="G23" s="255"/>
      <c r="H23" s="253" t="str">
        <f>IFERROR(H21/F21-1,"")</f>
        <v/>
      </c>
      <c r="I23" s="102" t="str">
        <f>IFERROR(I21/H21-1,"")</f>
        <v/>
      </c>
      <c r="J23" s="102" t="str">
        <f>IFERROR(J21/I21-1,"")</f>
        <v/>
      </c>
      <c r="K23" s="102"/>
      <c r="L23" s="255"/>
      <c r="M23" s="253" t="str">
        <f>IFERROR(M21/K21-1,"")</f>
        <v/>
      </c>
      <c r="N23" s="102"/>
      <c r="O23" s="102" t="str">
        <f>IFERROR(O21/N21-1,"")</f>
        <v/>
      </c>
      <c r="P23" s="102"/>
      <c r="Q23" s="255"/>
      <c r="R23" s="253"/>
      <c r="S23" s="102"/>
      <c r="T23" s="102"/>
      <c r="U23" s="102"/>
      <c r="V23" s="255"/>
      <c r="W23" s="253"/>
      <c r="X23" s="102"/>
      <c r="Y23" s="102"/>
      <c r="Z23" s="102"/>
      <c r="AA23" s="255"/>
      <c r="AB23" s="253"/>
      <c r="AC23" s="102"/>
      <c r="AD23" s="102"/>
      <c r="AE23" s="102"/>
      <c r="AF23" s="255"/>
      <c r="AG23" s="253"/>
      <c r="AH23" s="102"/>
      <c r="AI23" s="102"/>
      <c r="AJ23" s="102"/>
      <c r="AK23" s="255"/>
    </row>
    <row r="24" spans="1:37" ht="12.75" customHeight="1" outlineLevel="1">
      <c r="B24" s="433" t="s">
        <v>99</v>
      </c>
      <c r="C24" s="616"/>
      <c r="D24" s="102"/>
      <c r="E24" s="102"/>
      <c r="F24" s="102"/>
      <c r="G24" s="521">
        <v>0.2</v>
      </c>
      <c r="H24" s="616"/>
      <c r="I24" s="291"/>
      <c r="J24" s="544">
        <v>0.84</v>
      </c>
      <c r="K24" s="291"/>
      <c r="L24" s="521">
        <v>0.88</v>
      </c>
      <c r="M24" s="545">
        <v>0.94</v>
      </c>
      <c r="N24" s="291"/>
      <c r="O24" s="544">
        <v>0.95</v>
      </c>
      <c r="P24" s="291"/>
      <c r="Q24" s="521">
        <v>0.96</v>
      </c>
      <c r="R24" s="544">
        <v>0.98</v>
      </c>
      <c r="S24" s="544"/>
      <c r="T24" s="102"/>
      <c r="U24" s="102"/>
      <c r="V24" s="255"/>
      <c r="W24" s="253"/>
      <c r="X24" s="102"/>
      <c r="Y24" s="102"/>
      <c r="Z24" s="102"/>
      <c r="AA24" s="255"/>
      <c r="AB24" s="253"/>
      <c r="AC24" s="102"/>
      <c r="AD24" s="102"/>
      <c r="AE24" s="102"/>
      <c r="AF24" s="255"/>
      <c r="AG24" s="253"/>
      <c r="AH24" s="102"/>
      <c r="AI24" s="102"/>
      <c r="AJ24" s="102"/>
      <c r="AK24" s="255"/>
    </row>
    <row r="25" spans="1:37" s="269" customFormat="1" ht="12.75" customHeight="1" outlineLevel="1">
      <c r="A25" s="416"/>
      <c r="B25" s="433"/>
      <c r="C25" s="655"/>
      <c r="D25" s="290"/>
      <c r="E25" s="290"/>
      <c r="F25" s="290"/>
      <c r="G25" s="254"/>
      <c r="H25" s="655"/>
      <c r="I25" s="608"/>
      <c r="J25" s="608"/>
      <c r="K25" s="608"/>
      <c r="L25" s="254"/>
      <c r="M25" s="655"/>
      <c r="N25" s="608"/>
      <c r="O25" s="608"/>
      <c r="P25" s="608"/>
      <c r="Q25" s="254"/>
      <c r="R25" s="293"/>
      <c r="S25" s="290"/>
      <c r="T25" s="290"/>
      <c r="U25" s="290"/>
      <c r="V25" s="254"/>
      <c r="W25" s="293"/>
      <c r="X25" s="290"/>
      <c r="Y25" s="290"/>
      <c r="Z25" s="290"/>
      <c r="AA25" s="254"/>
      <c r="AB25" s="293"/>
      <c r="AC25" s="290"/>
      <c r="AD25" s="290"/>
      <c r="AE25" s="290"/>
      <c r="AF25" s="254"/>
      <c r="AG25" s="293"/>
      <c r="AH25" s="290"/>
      <c r="AI25" s="290"/>
      <c r="AJ25" s="290"/>
      <c r="AK25" s="254"/>
    </row>
    <row r="26" spans="1:37" s="299" customFormat="1" ht="12.75" customHeight="1" outlineLevel="1">
      <c r="A26" s="416"/>
      <c r="B26" s="394" t="s">
        <v>324</v>
      </c>
      <c r="C26" s="491"/>
      <c r="D26" s="491"/>
      <c r="E26" s="491"/>
      <c r="F26" s="491"/>
      <c r="G26" s="369">
        <f>G$10*G29</f>
        <v>12.664000000000001</v>
      </c>
      <c r="H26" s="371"/>
      <c r="I26" s="371"/>
      <c r="J26" s="491">
        <f>J$10*J29</f>
        <v>12.02861203806699</v>
      </c>
      <c r="K26" s="491"/>
      <c r="L26" s="369">
        <f>L$10*L29</f>
        <v>27.47316</v>
      </c>
      <c r="M26" s="491">
        <f>M$10*M29</f>
        <v>11.321040000000011</v>
      </c>
      <c r="N26" s="371"/>
      <c r="O26" s="491">
        <f>O$10*O29</f>
        <v>29.197050000000026</v>
      </c>
      <c r="P26" s="491"/>
      <c r="Q26" s="369">
        <f>Q$10*Q29</f>
        <v>76.61704000000006</v>
      </c>
      <c r="R26" s="491">
        <f>R$10*R29</f>
        <v>19.632640000000016</v>
      </c>
      <c r="S26" s="491">
        <f>S$10*S29</f>
        <v>1212.788</v>
      </c>
      <c r="T26" s="491">
        <f>T$10*T29</f>
        <v>1364.6759999999999</v>
      </c>
      <c r="U26" s="491"/>
      <c r="V26" s="369"/>
      <c r="W26" s="491"/>
      <c r="X26" s="491"/>
      <c r="Y26" s="491"/>
      <c r="Z26" s="491"/>
      <c r="AA26" s="369"/>
      <c r="AB26" s="491"/>
      <c r="AC26" s="491"/>
      <c r="AD26" s="491"/>
      <c r="AE26" s="491"/>
      <c r="AF26" s="369"/>
      <c r="AG26" s="491"/>
      <c r="AH26" s="491"/>
      <c r="AI26" s="491"/>
      <c r="AJ26" s="491"/>
      <c r="AK26" s="369"/>
    </row>
    <row r="27" spans="1:37" s="298" customFormat="1" ht="12.75" customHeight="1" outlineLevel="1">
      <c r="A27" s="416"/>
      <c r="B27" s="433" t="s">
        <v>31</v>
      </c>
      <c r="C27" s="102"/>
      <c r="D27" s="102"/>
      <c r="E27" s="102"/>
      <c r="F27" s="102"/>
      <c r="G27" s="254"/>
      <c r="H27" s="102" t="str">
        <f t="shared" ref="H27:Q27" si="2">IFERROR(H26/C26-1,"")</f>
        <v/>
      </c>
      <c r="I27" s="102" t="str">
        <f t="shared" si="2"/>
        <v/>
      </c>
      <c r="J27" s="102" t="str">
        <f t="shared" si="2"/>
        <v/>
      </c>
      <c r="K27" s="102"/>
      <c r="L27" s="254">
        <f t="shared" si="2"/>
        <v>1.1693903979785216</v>
      </c>
      <c r="M27" s="102" t="str">
        <f t="shared" si="2"/>
        <v/>
      </c>
      <c r="N27" s="102" t="str">
        <f t="shared" si="2"/>
        <v/>
      </c>
      <c r="O27" s="102">
        <f t="shared" si="2"/>
        <v>1.4273000000000016</v>
      </c>
      <c r="P27" s="102"/>
      <c r="Q27" s="254">
        <f t="shared" si="2"/>
        <v>1.7887960467598214</v>
      </c>
      <c r="R27" s="102">
        <f>IFERROR(R26/M26-1,"")</f>
        <v>0.73417283217796236</v>
      </c>
      <c r="S27" s="102" t="str">
        <f>IFERROR(S26/N26-1,"")</f>
        <v/>
      </c>
      <c r="T27" s="102">
        <f>IFERROR(T26/O26-1,"")</f>
        <v>45.740201492959002</v>
      </c>
      <c r="U27" s="102"/>
      <c r="V27" s="254"/>
      <c r="W27" s="102"/>
      <c r="X27" s="102"/>
      <c r="Y27" s="102"/>
      <c r="Z27" s="102"/>
      <c r="AA27" s="254"/>
      <c r="AB27" s="102"/>
      <c r="AC27" s="102"/>
      <c r="AD27" s="102"/>
      <c r="AE27" s="102"/>
      <c r="AF27" s="254"/>
      <c r="AG27" s="102"/>
      <c r="AH27" s="102"/>
      <c r="AI27" s="102"/>
      <c r="AJ27" s="102"/>
      <c r="AK27" s="254"/>
    </row>
    <row r="28" spans="1:37" ht="12.75" customHeight="1" outlineLevel="1">
      <c r="B28" s="433" t="s">
        <v>33</v>
      </c>
      <c r="C28" s="253"/>
      <c r="D28" s="102"/>
      <c r="E28" s="102"/>
      <c r="F28" s="102"/>
      <c r="G28" s="255"/>
      <c r="H28" s="253" t="str">
        <f>IFERROR(H26/F26-1,"")</f>
        <v/>
      </c>
      <c r="I28" s="102" t="str">
        <f>IFERROR(I26/H26-1,"")</f>
        <v/>
      </c>
      <c r="J28" s="102" t="str">
        <f>IFERROR(J26/I26-1,"")</f>
        <v/>
      </c>
      <c r="K28" s="102"/>
      <c r="L28" s="255"/>
      <c r="M28" s="102"/>
      <c r="N28" s="102"/>
      <c r="O28" s="102" t="str">
        <f>IFERROR(O26/N26-1,"")</f>
        <v/>
      </c>
      <c r="P28" s="102"/>
      <c r="Q28" s="255"/>
      <c r="R28" s="102">
        <f>IFERROR(R26/Q26-1,"")</f>
        <v>-0.7437562192431344</v>
      </c>
      <c r="S28" s="102">
        <f>IFERROR(S26/R26-1,"")</f>
        <v>60.774066045116655</v>
      </c>
      <c r="T28" s="102">
        <f>IFERROR(T26/S26-1,"")</f>
        <v>0.12523870618772603</v>
      </c>
      <c r="U28" s="102"/>
      <c r="V28" s="255"/>
      <c r="W28" s="253"/>
      <c r="X28" s="102"/>
      <c r="Y28" s="102"/>
      <c r="Z28" s="102"/>
      <c r="AA28" s="255"/>
      <c r="AB28" s="253"/>
      <c r="AC28" s="102"/>
      <c r="AD28" s="102"/>
      <c r="AE28" s="102"/>
      <c r="AF28" s="255"/>
      <c r="AG28" s="253"/>
      <c r="AH28" s="102"/>
      <c r="AI28" s="102"/>
      <c r="AJ28" s="102"/>
      <c r="AK28" s="255"/>
    </row>
    <row r="29" spans="1:37" ht="12.75" customHeight="1" outlineLevel="1">
      <c r="B29" s="433" t="s">
        <v>99</v>
      </c>
      <c r="C29" s="616"/>
      <c r="D29" s="102"/>
      <c r="E29" s="102"/>
      <c r="F29" s="102"/>
      <c r="G29" s="255">
        <f>1-G24</f>
        <v>0.8</v>
      </c>
      <c r="H29" s="616"/>
      <c r="I29" s="291"/>
      <c r="J29" s="291">
        <f>1-J24</f>
        <v>0.16000000000000003</v>
      </c>
      <c r="K29" s="291"/>
      <c r="L29" s="255">
        <f>1-L24</f>
        <v>0.12</v>
      </c>
      <c r="M29" s="291">
        <f>1-M24</f>
        <v>6.0000000000000053E-2</v>
      </c>
      <c r="N29" s="291"/>
      <c r="O29" s="291">
        <f>1-O24</f>
        <v>5.0000000000000044E-2</v>
      </c>
      <c r="P29" s="291"/>
      <c r="Q29" s="255">
        <f>1-Q24</f>
        <v>4.0000000000000036E-2</v>
      </c>
      <c r="R29" s="291">
        <f>1-R24</f>
        <v>2.0000000000000018E-2</v>
      </c>
      <c r="S29" s="291">
        <f>1-S24</f>
        <v>1</v>
      </c>
      <c r="T29" s="291">
        <f>1-T24</f>
        <v>1</v>
      </c>
      <c r="U29" s="102"/>
      <c r="V29" s="255"/>
      <c r="W29" s="253"/>
      <c r="X29" s="102"/>
      <c r="Y29" s="102"/>
      <c r="Z29" s="102"/>
      <c r="AA29" s="255"/>
      <c r="AB29" s="253"/>
      <c r="AC29" s="102"/>
      <c r="AD29" s="102"/>
      <c r="AE29" s="102"/>
      <c r="AF29" s="255"/>
      <c r="AG29" s="253"/>
      <c r="AH29" s="102"/>
      <c r="AI29" s="102"/>
      <c r="AJ29" s="102"/>
      <c r="AK29" s="255"/>
    </row>
    <row r="30" spans="1:37" s="269" customFormat="1" ht="12.75" customHeight="1">
      <c r="A30" s="416"/>
      <c r="B30" s="433"/>
      <c r="C30" s="655"/>
      <c r="D30" s="290"/>
      <c r="E30" s="290"/>
      <c r="F30" s="290"/>
      <c r="G30" s="254"/>
      <c r="H30" s="293"/>
      <c r="I30" s="290"/>
      <c r="J30" s="290"/>
      <c r="K30" s="290"/>
      <c r="L30" s="254"/>
      <c r="M30" s="293"/>
      <c r="N30" s="290"/>
      <c r="O30" s="290"/>
      <c r="P30" s="290"/>
      <c r="Q30" s="254"/>
      <c r="R30" s="293"/>
      <c r="S30" s="290"/>
      <c r="T30" s="290"/>
      <c r="U30" s="290"/>
      <c r="V30" s="254"/>
      <c r="W30" s="293"/>
      <c r="X30" s="290"/>
      <c r="Y30" s="290"/>
      <c r="Z30" s="290"/>
      <c r="AA30" s="254"/>
      <c r="AB30" s="293"/>
      <c r="AC30" s="290"/>
      <c r="AD30" s="290"/>
      <c r="AE30" s="290"/>
      <c r="AF30" s="254"/>
      <c r="AG30" s="293"/>
      <c r="AH30" s="290"/>
      <c r="AI30" s="290"/>
      <c r="AJ30" s="290"/>
      <c r="AK30" s="254"/>
    </row>
    <row r="31" spans="1:37" s="269" customFormat="1" ht="12.75" customHeight="1">
      <c r="A31" s="416"/>
      <c r="B31" s="490" t="s">
        <v>314</v>
      </c>
      <c r="C31" s="655"/>
      <c r="D31" s="290"/>
      <c r="E31" s="290"/>
      <c r="F31" s="290"/>
      <c r="G31" s="254"/>
      <c r="H31" s="293"/>
      <c r="I31" s="290"/>
      <c r="J31" s="290"/>
      <c r="K31" s="290"/>
      <c r="L31" s="254"/>
      <c r="M31" s="293"/>
      <c r="N31" s="290"/>
      <c r="O31" s="290"/>
      <c r="P31" s="290"/>
      <c r="Q31" s="254"/>
      <c r="R31" s="293"/>
      <c r="S31" s="290"/>
      <c r="T31" s="290"/>
      <c r="U31" s="290"/>
      <c r="V31" s="254"/>
      <c r="W31" s="293"/>
      <c r="X31" s="290"/>
      <c r="Y31" s="290"/>
      <c r="Z31" s="290"/>
      <c r="AA31" s="254"/>
      <c r="AB31" s="293"/>
      <c r="AC31" s="290"/>
      <c r="AD31" s="290"/>
      <c r="AE31" s="290"/>
      <c r="AF31" s="254"/>
      <c r="AG31" s="293"/>
      <c r="AH31" s="290"/>
      <c r="AI31" s="290"/>
      <c r="AJ31" s="290"/>
      <c r="AK31" s="254"/>
    </row>
    <row r="32" spans="1:37" s="289" customFormat="1" ht="12.75" customHeight="1" outlineLevel="1">
      <c r="A32" s="416" t="s">
        <v>315</v>
      </c>
      <c r="B32" s="476" t="s">
        <v>315</v>
      </c>
      <c r="C32" s="371"/>
      <c r="D32" s="371"/>
      <c r="E32" s="371"/>
      <c r="F32" s="371"/>
      <c r="G32" s="495"/>
      <c r="H32" s="371"/>
      <c r="I32" s="371"/>
      <c r="J32" s="371"/>
      <c r="K32" s="371">
        <v>9900</v>
      </c>
      <c r="L32" s="370">
        <f>K32</f>
        <v>9900</v>
      </c>
      <c r="M32" s="371">
        <v>15911.178</v>
      </c>
      <c r="N32" s="371">
        <v>16200</v>
      </c>
      <c r="O32" s="371">
        <v>15000</v>
      </c>
      <c r="P32" s="371">
        <v>15100</v>
      </c>
      <c r="Q32" s="370">
        <f>P32</f>
        <v>15100</v>
      </c>
      <c r="R32" s="371">
        <v>14665.098</v>
      </c>
      <c r="S32" s="371">
        <v>30100</v>
      </c>
      <c r="T32" s="371">
        <v>50000</v>
      </c>
      <c r="U32" s="491"/>
      <c r="V32" s="370"/>
      <c r="W32" s="491"/>
      <c r="X32" s="491"/>
      <c r="Y32" s="491"/>
      <c r="Z32" s="491"/>
      <c r="AA32" s="370"/>
      <c r="AB32" s="491"/>
      <c r="AC32" s="491"/>
      <c r="AD32" s="491"/>
      <c r="AE32" s="491"/>
      <c r="AF32" s="370"/>
      <c r="AG32" s="491"/>
      <c r="AH32" s="491"/>
      <c r="AI32" s="491"/>
      <c r="AJ32" s="491"/>
      <c r="AK32" s="370"/>
    </row>
    <row r="33" spans="1:37" s="298" customFormat="1" ht="12.75" customHeight="1" outlineLevel="1">
      <c r="A33" s="416" t="s">
        <v>321</v>
      </c>
      <c r="B33" s="433" t="s">
        <v>31</v>
      </c>
      <c r="C33" s="102"/>
      <c r="D33" s="102"/>
      <c r="E33" s="102"/>
      <c r="F33" s="102"/>
      <c r="G33" s="254"/>
      <c r="H33" s="102" t="str">
        <f t="shared" ref="H33:O33" si="3">IFERROR(H32/C32-1,"")</f>
        <v/>
      </c>
      <c r="I33" s="102" t="str">
        <f t="shared" si="3"/>
        <v/>
      </c>
      <c r="J33" s="102" t="str">
        <f t="shared" si="3"/>
        <v/>
      </c>
      <c r="K33" s="102"/>
      <c r="L33" s="254"/>
      <c r="M33" s="102" t="str">
        <f t="shared" si="3"/>
        <v/>
      </c>
      <c r="N33" s="102" t="str">
        <f t="shared" si="3"/>
        <v/>
      </c>
      <c r="O33" s="102" t="str">
        <f t="shared" si="3"/>
        <v/>
      </c>
      <c r="P33" s="102">
        <f>IFERROR(P32/K32-1,"")</f>
        <v>0.5252525252525253</v>
      </c>
      <c r="Q33" s="254">
        <f>Q32/L32-1</f>
        <v>0.5252525252525253</v>
      </c>
      <c r="R33" s="102">
        <f>IFERROR(R32/M32-1,"")</f>
        <v>-7.8314754570654621E-2</v>
      </c>
      <c r="S33" s="102">
        <f>IFERROR(S32/N32-1,"")</f>
        <v>0.85802469135802473</v>
      </c>
      <c r="T33" s="102">
        <f>IFERROR(T32/O32-1,"")</f>
        <v>2.3333333333333335</v>
      </c>
      <c r="U33" s="102"/>
      <c r="V33" s="254"/>
      <c r="W33" s="102"/>
      <c r="X33" s="102"/>
      <c r="Y33" s="102"/>
      <c r="Z33" s="102"/>
      <c r="AA33" s="254"/>
      <c r="AB33" s="102"/>
      <c r="AC33" s="102"/>
      <c r="AD33" s="102"/>
      <c r="AE33" s="102"/>
      <c r="AF33" s="254"/>
      <c r="AG33" s="102"/>
      <c r="AH33" s="102"/>
      <c r="AI33" s="102"/>
      <c r="AJ33" s="102"/>
      <c r="AK33" s="254"/>
    </row>
    <row r="34" spans="1:37" ht="12.75" customHeight="1" outlineLevel="1">
      <c r="A34" s="416" t="s">
        <v>322</v>
      </c>
      <c r="B34" s="433" t="s">
        <v>33</v>
      </c>
      <c r="C34" s="253"/>
      <c r="D34" s="102"/>
      <c r="E34" s="102"/>
      <c r="F34" s="102"/>
      <c r="G34" s="255"/>
      <c r="H34" s="253" t="str">
        <f>IFERROR(H32/F32-1,"")</f>
        <v/>
      </c>
      <c r="I34" s="102" t="str">
        <f>IFERROR(I32/H32-1,"")</f>
        <v/>
      </c>
      <c r="J34" s="102" t="str">
        <f>IFERROR(J32/I32-1,"")</f>
        <v/>
      </c>
      <c r="K34" s="102" t="str">
        <f>IFERROR(K32/J32-1,"")</f>
        <v/>
      </c>
      <c r="L34" s="255"/>
      <c r="M34" s="253">
        <f>IFERROR(M32/K32-1,"")</f>
        <v>0.60718969696969705</v>
      </c>
      <c r="N34" s="102"/>
      <c r="O34" s="102">
        <f>IFERROR(O32/N32-1,"")</f>
        <v>-7.407407407407407E-2</v>
      </c>
      <c r="P34" s="102">
        <f>P32/O32-1</f>
        <v>6.6666666666665986E-3</v>
      </c>
      <c r="Q34" s="255"/>
      <c r="R34" s="102">
        <f>R32/Q32-1</f>
        <v>-2.8801456953642335E-2</v>
      </c>
      <c r="S34" s="102">
        <f>S32/R32-1</f>
        <v>1.0524922506484442</v>
      </c>
      <c r="T34" s="102">
        <f>T32/S32-1</f>
        <v>0.66112956810631229</v>
      </c>
      <c r="U34" s="102"/>
      <c r="V34" s="255"/>
      <c r="W34" s="253"/>
      <c r="X34" s="102"/>
      <c r="Y34" s="102"/>
      <c r="Z34" s="102"/>
      <c r="AA34" s="255"/>
      <c r="AB34" s="253"/>
      <c r="AC34" s="102"/>
      <c r="AD34" s="102"/>
      <c r="AE34" s="102"/>
      <c r="AF34" s="255"/>
      <c r="AG34" s="253"/>
      <c r="AH34" s="102"/>
      <c r="AI34" s="102"/>
      <c r="AJ34" s="102"/>
      <c r="AK34" s="255"/>
    </row>
    <row r="35" spans="1:37" s="269" customFormat="1" ht="12.75" customHeight="1" outlineLevel="1">
      <c r="A35" s="416"/>
      <c r="B35" s="433"/>
      <c r="C35" s="655"/>
      <c r="D35" s="290"/>
      <c r="E35" s="290"/>
      <c r="F35" s="290"/>
      <c r="G35" s="254"/>
      <c r="H35" s="655"/>
      <c r="I35" s="608"/>
      <c r="J35" s="608"/>
      <c r="K35" s="608"/>
      <c r="L35" s="254"/>
      <c r="M35" s="655"/>
      <c r="N35" s="608"/>
      <c r="O35" s="608"/>
      <c r="P35" s="608"/>
      <c r="Q35" s="254"/>
      <c r="R35" s="293"/>
      <c r="S35" s="290"/>
      <c r="T35" s="290"/>
      <c r="U35" s="290"/>
      <c r="V35" s="254"/>
      <c r="W35" s="293"/>
      <c r="X35" s="290"/>
      <c r="Y35" s="290"/>
      <c r="Z35" s="290"/>
      <c r="AA35" s="254"/>
      <c r="AB35" s="293"/>
      <c r="AC35" s="290"/>
      <c r="AD35" s="290"/>
      <c r="AE35" s="290"/>
      <c r="AF35" s="254"/>
      <c r="AG35" s="293"/>
      <c r="AH35" s="290"/>
      <c r="AI35" s="290"/>
      <c r="AJ35" s="290"/>
      <c r="AK35" s="254"/>
    </row>
    <row r="36" spans="1:37" s="299" customFormat="1" ht="12.75" customHeight="1" outlineLevel="1">
      <c r="A36" s="416" t="s">
        <v>318</v>
      </c>
      <c r="B36" s="394" t="s">
        <v>317</v>
      </c>
      <c r="C36" s="491"/>
      <c r="D36" s="491"/>
      <c r="E36" s="491"/>
      <c r="F36" s="491"/>
      <c r="G36" s="369"/>
      <c r="H36" s="491"/>
      <c r="I36" s="491"/>
      <c r="J36" s="491"/>
      <c r="K36" s="491">
        <f>K32*K39</f>
        <v>4058.9999999999995</v>
      </c>
      <c r="L36" s="369">
        <f>K36</f>
        <v>4058.9999999999995</v>
      </c>
      <c r="M36" s="491"/>
      <c r="N36" s="491">
        <f>N32*N39</f>
        <v>7290</v>
      </c>
      <c r="O36" s="491">
        <f>O32*O39</f>
        <v>7500</v>
      </c>
      <c r="P36" s="491">
        <f>P32*P39</f>
        <v>8154.0000000000009</v>
      </c>
      <c r="Q36" s="369">
        <f>P36</f>
        <v>8154.0000000000009</v>
      </c>
      <c r="R36" s="491">
        <f>R32*R39</f>
        <v>8505.75684</v>
      </c>
      <c r="S36" s="491">
        <f>S32*S39</f>
        <v>15050</v>
      </c>
      <c r="T36" s="491">
        <f>T32*T39</f>
        <v>20000</v>
      </c>
      <c r="U36" s="491"/>
      <c r="V36" s="369"/>
      <c r="W36" s="491"/>
      <c r="X36" s="491"/>
      <c r="Y36" s="491"/>
      <c r="Z36" s="491"/>
      <c r="AA36" s="369"/>
      <c r="AB36" s="491"/>
      <c r="AC36" s="491"/>
      <c r="AD36" s="491"/>
      <c r="AE36" s="491"/>
      <c r="AF36" s="369"/>
      <c r="AG36" s="491"/>
      <c r="AH36" s="491"/>
      <c r="AI36" s="491"/>
      <c r="AJ36" s="491"/>
      <c r="AK36" s="369"/>
    </row>
    <row r="37" spans="1:37" s="298" customFormat="1" ht="12.75" customHeight="1" outlineLevel="1">
      <c r="A37" s="416" t="s">
        <v>319</v>
      </c>
      <c r="B37" s="433" t="s">
        <v>31</v>
      </c>
      <c r="C37" s="102"/>
      <c r="D37" s="102"/>
      <c r="E37" s="102"/>
      <c r="F37" s="102"/>
      <c r="G37" s="254"/>
      <c r="H37" s="102" t="str">
        <f t="shared" ref="H37:O37" si="4">IFERROR(H36/C36-1,"")</f>
        <v/>
      </c>
      <c r="I37" s="102" t="str">
        <f t="shared" si="4"/>
        <v/>
      </c>
      <c r="J37" s="102" t="str">
        <f t="shared" si="4"/>
        <v/>
      </c>
      <c r="K37" s="102"/>
      <c r="L37" s="254"/>
      <c r="M37" s="102" t="str">
        <f t="shared" si="4"/>
        <v/>
      </c>
      <c r="N37" s="102" t="str">
        <f t="shared" si="4"/>
        <v/>
      </c>
      <c r="O37" s="102" t="str">
        <f t="shared" si="4"/>
        <v/>
      </c>
      <c r="P37" s="102"/>
      <c r="Q37" s="254">
        <f>Q36/L36-1</f>
        <v>1.0088691796008873</v>
      </c>
      <c r="R37" s="102"/>
      <c r="S37" s="102"/>
      <c r="T37" s="102"/>
      <c r="U37" s="102"/>
      <c r="V37" s="254"/>
      <c r="W37" s="102"/>
      <c r="X37" s="102"/>
      <c r="Y37" s="102"/>
      <c r="Z37" s="102"/>
      <c r="AA37" s="254"/>
      <c r="AB37" s="102"/>
      <c r="AC37" s="102"/>
      <c r="AD37" s="102"/>
      <c r="AE37" s="102"/>
      <c r="AF37" s="254"/>
      <c r="AG37" s="102"/>
      <c r="AH37" s="102"/>
      <c r="AI37" s="102"/>
      <c r="AJ37" s="102"/>
      <c r="AK37" s="254"/>
    </row>
    <row r="38" spans="1:37" ht="12.75" customHeight="1" outlineLevel="1">
      <c r="A38" s="416" t="s">
        <v>320</v>
      </c>
      <c r="B38" s="433" t="s">
        <v>33</v>
      </c>
      <c r="C38" s="253"/>
      <c r="D38" s="102"/>
      <c r="E38" s="102"/>
      <c r="F38" s="102"/>
      <c r="G38" s="255"/>
      <c r="H38" s="253" t="str">
        <f>IFERROR(H36/F36-1,"")</f>
        <v/>
      </c>
      <c r="I38" s="102" t="str">
        <f>IFERROR(I36/H36-1,"")</f>
        <v/>
      </c>
      <c r="J38" s="102" t="str">
        <f>IFERROR(J36/I36-1,"")</f>
        <v/>
      </c>
      <c r="K38" s="102"/>
      <c r="L38" s="255"/>
      <c r="M38" s="253"/>
      <c r="N38" s="102" t="str">
        <f>IFERROR(N36/M36-1,"")</f>
        <v/>
      </c>
      <c r="O38" s="102">
        <f>IFERROR(O36/N36-1,"")</f>
        <v>2.8806584362139898E-2</v>
      </c>
      <c r="P38" s="102">
        <f>P36/O36-1</f>
        <v>8.7200000000000166E-2</v>
      </c>
      <c r="Q38" s="255"/>
      <c r="R38" s="102">
        <f>R36/Q36-1</f>
        <v>4.313917586460625E-2</v>
      </c>
      <c r="S38" s="102">
        <f>S36/R36-1</f>
        <v>0.76938987124865887</v>
      </c>
      <c r="T38" s="102">
        <f>T36/S36-1</f>
        <v>0.32890365448504988</v>
      </c>
      <c r="U38" s="102"/>
      <c r="V38" s="255"/>
      <c r="W38" s="253"/>
      <c r="X38" s="102"/>
      <c r="Y38" s="102"/>
      <c r="Z38" s="102"/>
      <c r="AA38" s="255"/>
      <c r="AB38" s="253"/>
      <c r="AC38" s="102"/>
      <c r="AD38" s="102"/>
      <c r="AE38" s="102"/>
      <c r="AF38" s="255"/>
      <c r="AG38" s="253"/>
      <c r="AH38" s="102"/>
      <c r="AI38" s="102"/>
      <c r="AJ38" s="102"/>
      <c r="AK38" s="255"/>
    </row>
    <row r="39" spans="1:37" ht="12.75" customHeight="1" outlineLevel="1">
      <c r="B39" s="433" t="s">
        <v>316</v>
      </c>
      <c r="C39" s="616"/>
      <c r="D39" s="102"/>
      <c r="E39" s="102"/>
      <c r="F39" s="102"/>
      <c r="G39" s="255"/>
      <c r="H39" s="616"/>
      <c r="I39" s="291"/>
      <c r="J39" s="291"/>
      <c r="K39" s="544">
        <v>0.41</v>
      </c>
      <c r="L39" s="255">
        <f>K39</f>
        <v>0.41</v>
      </c>
      <c r="M39" s="616"/>
      <c r="N39" s="544">
        <v>0.45</v>
      </c>
      <c r="O39" s="544">
        <v>0.5</v>
      </c>
      <c r="P39" s="544">
        <v>0.54</v>
      </c>
      <c r="Q39" s="255">
        <f>P39</f>
        <v>0.54</v>
      </c>
      <c r="R39" s="544">
        <v>0.57999999999999996</v>
      </c>
      <c r="S39" s="544">
        <v>0.5</v>
      </c>
      <c r="T39" s="544">
        <v>0.4</v>
      </c>
      <c r="U39" s="102"/>
      <c r="V39" s="255"/>
      <c r="W39" s="253"/>
      <c r="X39" s="102"/>
      <c r="Y39" s="102"/>
      <c r="Z39" s="102"/>
      <c r="AA39" s="255"/>
      <c r="AB39" s="253"/>
      <c r="AC39" s="102"/>
      <c r="AD39" s="102"/>
      <c r="AE39" s="102"/>
      <c r="AF39" s="255"/>
      <c r="AG39" s="253"/>
      <c r="AH39" s="102"/>
      <c r="AI39" s="102"/>
      <c r="AJ39" s="102"/>
      <c r="AK39" s="255"/>
    </row>
    <row r="40" spans="1:37" ht="12.75" customHeight="1" outlineLevel="1">
      <c r="B40" s="433"/>
      <c r="C40" s="616"/>
      <c r="D40" s="102"/>
      <c r="E40" s="102"/>
      <c r="F40" s="102"/>
      <c r="G40" s="255"/>
      <c r="H40" s="616"/>
      <c r="I40" s="291"/>
      <c r="J40" s="291"/>
      <c r="K40" s="544"/>
      <c r="L40" s="521"/>
      <c r="M40" s="616"/>
      <c r="N40" s="291"/>
      <c r="O40" s="544"/>
      <c r="P40" s="544"/>
      <c r="Q40" s="521"/>
      <c r="R40" s="544"/>
      <c r="S40" s="102"/>
      <c r="T40" s="102"/>
      <c r="U40" s="102"/>
      <c r="V40" s="255"/>
      <c r="W40" s="253"/>
      <c r="X40" s="102"/>
      <c r="Y40" s="102"/>
      <c r="Z40" s="102"/>
      <c r="AA40" s="255"/>
      <c r="AB40" s="253"/>
      <c r="AC40" s="102"/>
      <c r="AD40" s="102"/>
      <c r="AE40" s="102"/>
      <c r="AF40" s="255"/>
      <c r="AG40" s="253"/>
      <c r="AH40" s="102"/>
      <c r="AI40" s="102"/>
      <c r="AJ40" s="102"/>
      <c r="AK40" s="255"/>
    </row>
    <row r="41" spans="1:37" ht="12.75" customHeight="1" outlineLevel="1">
      <c r="B41" s="433" t="s">
        <v>643</v>
      </c>
      <c r="C41" s="616"/>
      <c r="D41" s="102"/>
      <c r="E41" s="102"/>
      <c r="F41" s="102"/>
      <c r="G41" s="255"/>
      <c r="H41" s="616"/>
      <c r="I41" s="291"/>
      <c r="J41" s="291"/>
      <c r="K41" s="608">
        <f>SUM(M10:P10,R10:U10)</f>
        <v>7017.4018383352832</v>
      </c>
      <c r="L41" s="512">
        <f>Q10+V10</f>
        <v>7017.401838335285</v>
      </c>
      <c r="M41" s="655">
        <f>SUM(N10:P10,R10:U10,W10)</f>
        <v>9055.845032345549</v>
      </c>
      <c r="N41" s="608">
        <f>SUM(O10:P10,R10:U10,W10:X10)</f>
        <v>11624.666359106162</v>
      </c>
      <c r="O41" s="608">
        <f>SUM(P10,R10:U10,W10:Y10)</f>
        <v>14330.409497330345</v>
      </c>
      <c r="P41" s="608">
        <f>SUM(R10:U10,W10:Z10)</f>
        <v>17103.615305973693</v>
      </c>
      <c r="Q41" s="512">
        <f>V10+AA10</f>
        <v>17103.61530597369</v>
      </c>
      <c r="R41" s="655">
        <f>SUM(S10:U10,W10:Z10,AB10)</f>
        <v>19933.596736942582</v>
      </c>
      <c r="S41" s="655">
        <f>SUM(T10:U10,W10:Z10,AB10:AC10)</f>
        <v>22874.776709715221</v>
      </c>
      <c r="T41" s="655">
        <f>SUM(U10:V10,X10:AA10,AC10:AD10)</f>
        <v>37048.808128488592</v>
      </c>
      <c r="U41" s="608"/>
      <c r="V41" s="512"/>
      <c r="W41" s="655"/>
      <c r="X41" s="608"/>
      <c r="Y41" s="608"/>
      <c r="Z41" s="608"/>
      <c r="AA41" s="512"/>
      <c r="AB41" s="655"/>
      <c r="AC41" s="608"/>
      <c r="AD41" s="608"/>
      <c r="AE41" s="608"/>
      <c r="AF41" s="512"/>
      <c r="AG41" s="655"/>
      <c r="AH41" s="608"/>
      <c r="AI41" s="608"/>
      <c r="AJ41" s="608"/>
      <c r="AK41" s="512"/>
    </row>
    <row r="42" spans="1:37" ht="12.75" customHeight="1" outlineLevel="1">
      <c r="B42" s="433" t="s">
        <v>644</v>
      </c>
      <c r="C42" s="616"/>
      <c r="D42" s="102"/>
      <c r="E42" s="102"/>
      <c r="F42" s="102"/>
      <c r="G42" s="255"/>
      <c r="H42" s="616"/>
      <c r="I42" s="291"/>
      <c r="J42" s="291"/>
      <c r="K42" s="608">
        <f>K41-K36</f>
        <v>2958.4018383352836</v>
      </c>
      <c r="L42" s="512">
        <f>K42</f>
        <v>2958.4018383352836</v>
      </c>
      <c r="M42" s="616"/>
      <c r="N42" s="608">
        <f>N41-N36</f>
        <v>4334.6663591061624</v>
      </c>
      <c r="O42" s="608">
        <f>O41-O36</f>
        <v>6830.4094973303454</v>
      </c>
      <c r="P42" s="608">
        <f>P41-P36</f>
        <v>8949.6153059736935</v>
      </c>
      <c r="Q42" s="512">
        <f>P42</f>
        <v>8949.6153059736935</v>
      </c>
      <c r="R42" s="608">
        <f>R41-R36</f>
        <v>11427.839896942582</v>
      </c>
      <c r="S42" s="608">
        <f>S41-S36</f>
        <v>7824.7767097152209</v>
      </c>
      <c r="T42" s="608">
        <f>T41-T36</f>
        <v>17048.808128488592</v>
      </c>
      <c r="U42" s="102"/>
      <c r="V42" s="255"/>
      <c r="W42" s="253"/>
      <c r="X42" s="102"/>
      <c r="Y42" s="102"/>
      <c r="Z42" s="102"/>
      <c r="AA42" s="255"/>
      <c r="AB42" s="253"/>
      <c r="AC42" s="102"/>
      <c r="AD42" s="102"/>
      <c r="AE42" s="102"/>
      <c r="AF42" s="255"/>
      <c r="AG42" s="253"/>
      <c r="AH42" s="102"/>
      <c r="AI42" s="102"/>
      <c r="AJ42" s="102"/>
      <c r="AK42" s="255"/>
    </row>
    <row r="43" spans="1:37" ht="12.75" customHeight="1" outlineLevel="1">
      <c r="B43" s="957" t="s">
        <v>645</v>
      </c>
      <c r="C43" s="616"/>
      <c r="D43" s="102"/>
      <c r="E43" s="102"/>
      <c r="F43" s="102"/>
      <c r="G43" s="255"/>
      <c r="H43" s="616"/>
      <c r="I43" s="291"/>
      <c r="J43" s="291"/>
      <c r="K43" s="291">
        <f>(K41-K42)/K41</f>
        <v>0.57841920606942232</v>
      </c>
      <c r="L43" s="255">
        <f>K43</f>
        <v>0.57841920606942232</v>
      </c>
      <c r="M43" s="616"/>
      <c r="N43" s="291">
        <f>(N41-N42)/N41</f>
        <v>0.627114772570603</v>
      </c>
      <c r="O43" s="291">
        <f>(O41-O42)/O41</f>
        <v>0.52336257393043772</v>
      </c>
      <c r="P43" s="291">
        <f>(P41-P42)/P41</f>
        <v>0.47674131194660896</v>
      </c>
      <c r="Q43" s="255">
        <f>P43</f>
        <v>0.47674131194660896</v>
      </c>
      <c r="R43" s="291">
        <f>(R41-R42)/R41</f>
        <v>0.42670457079310886</v>
      </c>
      <c r="S43" s="291">
        <f>(S41-S42)/S41</f>
        <v>0.65792991953482394</v>
      </c>
      <c r="T43" s="291">
        <f>(T41-T42)/T41</f>
        <v>0.53982843201428243</v>
      </c>
      <c r="U43" s="102"/>
      <c r="V43" s="255"/>
      <c r="W43" s="253"/>
      <c r="X43" s="102"/>
      <c r="Y43" s="102"/>
      <c r="Z43" s="102"/>
      <c r="AA43" s="255"/>
      <c r="AB43" s="253"/>
      <c r="AC43" s="102"/>
      <c r="AD43" s="102"/>
      <c r="AE43" s="102"/>
      <c r="AF43" s="255"/>
      <c r="AG43" s="253"/>
      <c r="AH43" s="102"/>
      <c r="AI43" s="102"/>
      <c r="AJ43" s="102"/>
      <c r="AK43" s="255"/>
    </row>
    <row r="44" spans="1:37" s="299" customFormat="1" ht="12.75" customHeight="1" outlineLevel="1">
      <c r="A44" s="283"/>
      <c r="B44" s="1115"/>
      <c r="C44" s="656"/>
      <c r="D44" s="288"/>
      <c r="E44" s="288"/>
      <c r="F44" s="288"/>
      <c r="G44" s="785"/>
      <c r="H44" s="656"/>
      <c r="I44" s="786"/>
      <c r="J44" s="786"/>
      <c r="K44" s="786"/>
      <c r="L44" s="785"/>
      <c r="M44" s="656"/>
      <c r="N44" s="786"/>
      <c r="O44" s="786"/>
      <c r="P44" s="786"/>
      <c r="Q44" s="785"/>
      <c r="R44" s="287"/>
      <c r="S44" s="287"/>
      <c r="T44" s="287"/>
      <c r="U44" s="288"/>
      <c r="V44" s="785"/>
      <c r="W44" s="287"/>
      <c r="X44" s="288"/>
      <c r="Y44" s="288"/>
      <c r="Z44" s="288"/>
      <c r="AA44" s="785"/>
      <c r="AB44" s="287"/>
      <c r="AC44" s="288"/>
      <c r="AD44" s="288"/>
      <c r="AE44" s="288"/>
      <c r="AF44" s="785"/>
      <c r="AG44" s="287"/>
      <c r="AH44" s="288"/>
      <c r="AI44" s="288"/>
      <c r="AJ44" s="288"/>
      <c r="AK44" s="785"/>
    </row>
    <row r="45" spans="1:37" s="299" customFormat="1" ht="12.75" customHeight="1" outlineLevel="1">
      <c r="A45" s="416" t="s">
        <v>318</v>
      </c>
      <c r="B45" s="394" t="s">
        <v>641</v>
      </c>
      <c r="C45" s="491"/>
      <c r="D45" s="491"/>
      <c r="E45" s="491"/>
      <c r="F45" s="491"/>
      <c r="G45" s="369"/>
      <c r="H45" s="491"/>
      <c r="I45" s="491"/>
      <c r="J45" s="491"/>
      <c r="K45" s="491">
        <f>K$32*K48</f>
        <v>3960</v>
      </c>
      <c r="L45" s="369">
        <f>K45</f>
        <v>3960</v>
      </c>
      <c r="M45" s="491"/>
      <c r="N45" s="491">
        <f>N$32*N48</f>
        <v>6480</v>
      </c>
      <c r="O45" s="491"/>
      <c r="P45" s="491">
        <f>P$32*P48</f>
        <v>6342</v>
      </c>
      <c r="Q45" s="369">
        <f>P45</f>
        <v>6342</v>
      </c>
      <c r="R45" s="491">
        <f>R$32*R48</f>
        <v>5866.0392000000002</v>
      </c>
      <c r="S45" s="491">
        <f>S$32*S48</f>
        <v>12040</v>
      </c>
      <c r="T45" s="491">
        <f>T$32*T48</f>
        <v>19500</v>
      </c>
      <c r="U45" s="491"/>
      <c r="V45" s="369"/>
      <c r="W45" s="491"/>
      <c r="X45" s="491"/>
      <c r="Y45" s="491"/>
      <c r="Z45" s="491"/>
      <c r="AA45" s="369"/>
      <c r="AB45" s="491"/>
      <c r="AC45" s="491"/>
      <c r="AD45" s="491"/>
      <c r="AE45" s="491"/>
      <c r="AF45" s="369"/>
      <c r="AG45" s="491"/>
      <c r="AH45" s="491"/>
      <c r="AI45" s="491"/>
      <c r="AJ45" s="491"/>
      <c r="AK45" s="369"/>
    </row>
    <row r="46" spans="1:37" s="298" customFormat="1" ht="12.75" customHeight="1" outlineLevel="1">
      <c r="A46" s="416" t="s">
        <v>319</v>
      </c>
      <c r="B46" s="433" t="s">
        <v>31</v>
      </c>
      <c r="C46" s="102"/>
      <c r="D46" s="102"/>
      <c r="E46" s="102"/>
      <c r="F46" s="102"/>
      <c r="G46" s="254"/>
      <c r="H46" s="102" t="str">
        <f>IFERROR(H45/C45-1,"")</f>
        <v/>
      </c>
      <c r="I46" s="102" t="str">
        <f>IFERROR(I45/D45-1,"")</f>
        <v/>
      </c>
      <c r="J46" s="102" t="str">
        <f>IFERROR(J45/E45-1,"")</f>
        <v/>
      </c>
      <c r="K46" s="102"/>
      <c r="L46" s="254"/>
      <c r="M46" s="102"/>
      <c r="N46" s="102"/>
      <c r="O46" s="102"/>
      <c r="P46" s="102">
        <f>P45/K45-1</f>
        <v>0.60151515151515156</v>
      </c>
      <c r="Q46" s="254">
        <f>Q45/L45-1</f>
        <v>0.60151515151515156</v>
      </c>
      <c r="R46" s="102"/>
      <c r="S46" s="102"/>
      <c r="T46" s="102"/>
      <c r="U46" s="102"/>
      <c r="V46" s="254"/>
      <c r="W46" s="102"/>
      <c r="X46" s="102"/>
      <c r="Y46" s="102"/>
      <c r="Z46" s="102"/>
      <c r="AA46" s="254"/>
      <c r="AB46" s="102"/>
      <c r="AC46" s="102"/>
      <c r="AD46" s="102"/>
      <c r="AE46" s="102"/>
      <c r="AF46" s="254"/>
      <c r="AG46" s="102"/>
      <c r="AH46" s="102"/>
      <c r="AI46" s="102"/>
      <c r="AJ46" s="102"/>
      <c r="AK46" s="254"/>
    </row>
    <row r="47" spans="1:37" ht="12.75" customHeight="1" outlineLevel="1">
      <c r="A47" s="416" t="s">
        <v>320</v>
      </c>
      <c r="B47" s="433" t="s">
        <v>33</v>
      </c>
      <c r="C47" s="253"/>
      <c r="D47" s="102"/>
      <c r="E47" s="102"/>
      <c r="F47" s="102"/>
      <c r="G47" s="255"/>
      <c r="H47" s="253" t="str">
        <f>IFERROR(H45/F45-1,"")</f>
        <v/>
      </c>
      <c r="I47" s="102" t="str">
        <f>IFERROR(I45/H45-1,"")</f>
        <v/>
      </c>
      <c r="J47" s="102" t="str">
        <f>IFERROR(J45/I45-1,"")</f>
        <v/>
      </c>
      <c r="K47" s="102"/>
      <c r="L47" s="255"/>
      <c r="M47" s="253"/>
      <c r="N47" s="102"/>
      <c r="O47" s="102"/>
      <c r="P47" s="102"/>
      <c r="Q47" s="255"/>
      <c r="R47" s="102">
        <f>R45/Q45-1</f>
        <v>-7.5049006622516568E-2</v>
      </c>
      <c r="S47" s="102">
        <f>S45/R45-1</f>
        <v>1.0524922506484442</v>
      </c>
      <c r="T47" s="102">
        <f>T45/S45-1</f>
        <v>0.61960132890365438</v>
      </c>
      <c r="U47" s="102"/>
      <c r="V47" s="255"/>
      <c r="W47" s="253"/>
      <c r="X47" s="102"/>
      <c r="Y47" s="102"/>
      <c r="Z47" s="102"/>
      <c r="AA47" s="255"/>
      <c r="AB47" s="253"/>
      <c r="AC47" s="102"/>
      <c r="AD47" s="102"/>
      <c r="AE47" s="102"/>
      <c r="AF47" s="255"/>
      <c r="AG47" s="253"/>
      <c r="AH47" s="102"/>
      <c r="AI47" s="102"/>
      <c r="AJ47" s="102"/>
      <c r="AK47" s="255"/>
    </row>
    <row r="48" spans="1:37" ht="12.75" customHeight="1" outlineLevel="1">
      <c r="B48" s="433" t="s">
        <v>316</v>
      </c>
      <c r="C48" s="616"/>
      <c r="D48" s="102"/>
      <c r="E48" s="102"/>
      <c r="F48" s="102"/>
      <c r="G48" s="255"/>
      <c r="H48" s="616"/>
      <c r="I48" s="291"/>
      <c r="J48" s="291"/>
      <c r="K48" s="544">
        <v>0.4</v>
      </c>
      <c r="L48" s="255">
        <f>K48</f>
        <v>0.4</v>
      </c>
      <c r="M48" s="616"/>
      <c r="N48" s="544">
        <v>0.4</v>
      </c>
      <c r="O48" s="544"/>
      <c r="P48" s="544">
        <v>0.42</v>
      </c>
      <c r="Q48" s="255">
        <f>P48</f>
        <v>0.42</v>
      </c>
      <c r="R48" s="544">
        <v>0.4</v>
      </c>
      <c r="S48" s="544">
        <v>0.4</v>
      </c>
      <c r="T48" s="544">
        <v>0.39</v>
      </c>
      <c r="U48" s="102"/>
      <c r="V48" s="255"/>
      <c r="W48" s="253"/>
      <c r="X48" s="102"/>
      <c r="Y48" s="102"/>
      <c r="Z48" s="102"/>
      <c r="AA48" s="255"/>
      <c r="AB48" s="253"/>
      <c r="AC48" s="102"/>
      <c r="AD48" s="102"/>
      <c r="AE48" s="102"/>
      <c r="AF48" s="255"/>
      <c r="AG48" s="253"/>
      <c r="AH48" s="102"/>
      <c r="AI48" s="102"/>
      <c r="AJ48" s="102"/>
      <c r="AK48" s="255"/>
    </row>
    <row r="49" spans="1:37" s="299" customFormat="1" ht="12.75" customHeight="1" outlineLevel="1">
      <c r="A49" s="283"/>
      <c r="B49" s="1115"/>
      <c r="C49" s="656"/>
      <c r="D49" s="288"/>
      <c r="E49" s="288"/>
      <c r="F49" s="288"/>
      <c r="G49" s="785"/>
      <c r="H49" s="656"/>
      <c r="I49" s="786"/>
      <c r="J49" s="786"/>
      <c r="K49" s="786"/>
      <c r="L49" s="785"/>
      <c r="M49" s="656"/>
      <c r="N49" s="786"/>
      <c r="O49" s="786"/>
      <c r="P49" s="786"/>
      <c r="Q49" s="785"/>
      <c r="R49" s="287"/>
      <c r="S49" s="288"/>
      <c r="T49" s="288"/>
      <c r="U49" s="288"/>
      <c r="V49" s="785"/>
      <c r="W49" s="287"/>
      <c r="X49" s="288"/>
      <c r="Y49" s="288"/>
      <c r="Z49" s="288"/>
      <c r="AA49" s="785"/>
      <c r="AB49" s="287"/>
      <c r="AC49" s="288"/>
      <c r="AD49" s="288"/>
      <c r="AE49" s="288"/>
      <c r="AF49" s="785"/>
      <c r="AG49" s="287"/>
      <c r="AH49" s="288"/>
      <c r="AI49" s="288"/>
      <c r="AJ49" s="288"/>
      <c r="AK49" s="785"/>
    </row>
    <row r="50" spans="1:37" s="289" customFormat="1" ht="12.75" customHeight="1" outlineLevel="1">
      <c r="A50" s="416" t="s">
        <v>315</v>
      </c>
      <c r="B50" s="476" t="s">
        <v>640</v>
      </c>
      <c r="C50" s="371"/>
      <c r="D50" s="371"/>
      <c r="E50" s="371"/>
      <c r="F50" s="371"/>
      <c r="G50" s="495"/>
      <c r="H50" s="371"/>
      <c r="I50" s="371"/>
      <c r="J50" s="371"/>
      <c r="K50" s="491"/>
      <c r="L50" s="495"/>
      <c r="M50" s="371">
        <v>15911.178</v>
      </c>
      <c r="N50" s="371">
        <v>16200</v>
      </c>
      <c r="O50" s="371"/>
      <c r="P50" s="371"/>
      <c r="Q50" s="370"/>
      <c r="R50" s="371">
        <v>25856.694</v>
      </c>
      <c r="S50" s="371">
        <v>30100</v>
      </c>
      <c r="T50" s="371">
        <v>55600</v>
      </c>
      <c r="U50" s="491"/>
      <c r="V50" s="370"/>
      <c r="W50" s="491"/>
      <c r="X50" s="491"/>
      <c r="Y50" s="491"/>
      <c r="Z50" s="491"/>
      <c r="AA50" s="370"/>
      <c r="AB50" s="491"/>
      <c r="AC50" s="491"/>
      <c r="AD50" s="491"/>
      <c r="AE50" s="491"/>
      <c r="AF50" s="370"/>
      <c r="AG50" s="491"/>
      <c r="AH50" s="491"/>
      <c r="AI50" s="491"/>
      <c r="AJ50" s="491"/>
      <c r="AK50" s="370"/>
    </row>
    <row r="51" spans="1:37" s="298" customFormat="1" ht="12.75" customHeight="1" outlineLevel="1">
      <c r="A51" s="416" t="s">
        <v>321</v>
      </c>
      <c r="B51" s="433" t="s">
        <v>31</v>
      </c>
      <c r="C51" s="102"/>
      <c r="D51" s="102"/>
      <c r="E51" s="102"/>
      <c r="F51" s="102"/>
      <c r="G51" s="254"/>
      <c r="H51" s="102" t="str">
        <f>IFERROR(H50/C50-1,"")</f>
        <v/>
      </c>
      <c r="I51" s="102" t="str">
        <f>IFERROR(I50/D50-1,"")</f>
        <v/>
      </c>
      <c r="J51" s="102" t="str">
        <f>IFERROR(J50/E50-1,"")</f>
        <v/>
      </c>
      <c r="K51" s="102" t="str">
        <f>IFERROR(K50/F50-1,"")</f>
        <v/>
      </c>
      <c r="L51" s="254"/>
      <c r="M51" s="102"/>
      <c r="N51" s="102"/>
      <c r="O51" s="102"/>
      <c r="P51" s="102"/>
      <c r="Q51" s="254"/>
      <c r="R51" s="102">
        <f>R50/M50-1</f>
        <v>0.62506471865250957</v>
      </c>
      <c r="S51" s="102">
        <f>S50/N50-1</f>
        <v>0.85802469135802473</v>
      </c>
      <c r="T51" s="102"/>
      <c r="U51" s="102"/>
      <c r="V51" s="254"/>
      <c r="W51" s="102"/>
      <c r="X51" s="102"/>
      <c r="Y51" s="102"/>
      <c r="Z51" s="102"/>
      <c r="AA51" s="254"/>
      <c r="AB51" s="102"/>
      <c r="AC51" s="102"/>
      <c r="AD51" s="102"/>
      <c r="AE51" s="102"/>
      <c r="AF51" s="254"/>
      <c r="AG51" s="102"/>
      <c r="AH51" s="102"/>
      <c r="AI51" s="102"/>
      <c r="AJ51" s="102"/>
      <c r="AK51" s="254"/>
    </row>
    <row r="52" spans="1:37" ht="12.75" customHeight="1" outlineLevel="1">
      <c r="A52" s="416" t="s">
        <v>322</v>
      </c>
      <c r="B52" s="433" t="s">
        <v>33</v>
      </c>
      <c r="C52" s="253"/>
      <c r="D52" s="102"/>
      <c r="E52" s="102"/>
      <c r="F52" s="102"/>
      <c r="G52" s="255"/>
      <c r="H52" s="253" t="str">
        <f>IFERROR(H50/F50-1,"")</f>
        <v/>
      </c>
      <c r="I52" s="102" t="str">
        <f>IFERROR(I50/H50-1,"")</f>
        <v/>
      </c>
      <c r="J52" s="102" t="str">
        <f>IFERROR(J50/I50-1,"")</f>
        <v/>
      </c>
      <c r="K52" s="102" t="str">
        <f>IFERROR(K50/J50-1,"")</f>
        <v/>
      </c>
      <c r="L52" s="255"/>
      <c r="M52" s="253"/>
      <c r="N52" s="102"/>
      <c r="O52" s="102"/>
      <c r="P52" s="102"/>
      <c r="Q52" s="255"/>
      <c r="R52" s="102"/>
      <c r="S52" s="102">
        <f>IFERROR(S50/R50-1,"")</f>
        <v>0.16410860568640362</v>
      </c>
      <c r="T52" s="102">
        <f>IFERROR(T50/S50-1,"")</f>
        <v>0.84717607973421938</v>
      </c>
      <c r="U52" s="102"/>
      <c r="V52" s="255"/>
      <c r="W52" s="253"/>
      <c r="X52" s="102"/>
      <c r="Y52" s="102"/>
      <c r="Z52" s="102"/>
      <c r="AA52" s="255"/>
      <c r="AB52" s="253"/>
      <c r="AC52" s="102"/>
      <c r="AD52" s="102"/>
      <c r="AE52" s="102"/>
      <c r="AF52" s="255"/>
      <c r="AG52" s="253"/>
      <c r="AH52" s="102"/>
      <c r="AI52" s="102"/>
      <c r="AJ52" s="102"/>
      <c r="AK52" s="255"/>
    </row>
    <row r="53" spans="1:37" ht="12.75" customHeight="1" outlineLevel="1">
      <c r="B53" s="433" t="s">
        <v>646</v>
      </c>
      <c r="C53" s="253"/>
      <c r="D53" s="102"/>
      <c r="E53" s="102"/>
      <c r="F53" s="102"/>
      <c r="G53" s="255"/>
      <c r="H53" s="253"/>
      <c r="I53" s="102"/>
      <c r="J53" s="102"/>
      <c r="K53" s="102"/>
      <c r="L53" s="255"/>
      <c r="M53" s="290">
        <f>M50-M32</f>
        <v>0</v>
      </c>
      <c r="N53" s="102"/>
      <c r="O53" s="102"/>
      <c r="P53" s="102"/>
      <c r="Q53" s="255"/>
      <c r="R53" s="290">
        <f>R50-R32</f>
        <v>11191.596</v>
      </c>
      <c r="S53" s="290">
        <f>S50-S32</f>
        <v>0</v>
      </c>
      <c r="T53" s="290">
        <f>T50-T32</f>
        <v>5600</v>
      </c>
      <c r="U53" s="102"/>
      <c r="V53" s="255"/>
      <c r="W53" s="253"/>
      <c r="X53" s="102"/>
      <c r="Y53" s="102"/>
      <c r="Z53" s="102"/>
      <c r="AA53" s="255"/>
      <c r="AB53" s="253"/>
      <c r="AC53" s="102"/>
      <c r="AD53" s="102"/>
      <c r="AE53" s="102"/>
      <c r="AF53" s="255"/>
      <c r="AG53" s="253"/>
      <c r="AH53" s="102"/>
      <c r="AI53" s="102"/>
      <c r="AJ53" s="102"/>
      <c r="AK53" s="255"/>
    </row>
    <row r="54" spans="1:37" s="269" customFormat="1" ht="12.75" customHeight="1">
      <c r="A54" s="416"/>
      <c r="B54" s="433"/>
      <c r="C54" s="655"/>
      <c r="D54" s="290"/>
      <c r="E54" s="290"/>
      <c r="F54" s="290"/>
      <c r="G54" s="254"/>
      <c r="H54" s="655"/>
      <c r="I54" s="608"/>
      <c r="J54" s="608"/>
      <c r="K54" s="608"/>
      <c r="L54" s="254"/>
      <c r="M54" s="655"/>
      <c r="N54" s="608"/>
      <c r="O54" s="608"/>
      <c r="P54" s="608"/>
      <c r="Q54" s="254"/>
      <c r="R54" s="293"/>
      <c r="S54" s="290"/>
      <c r="T54" s="290"/>
      <c r="U54" s="290"/>
      <c r="V54" s="254"/>
      <c r="W54" s="293"/>
      <c r="X54" s="290"/>
      <c r="Y54" s="290"/>
      <c r="Z54" s="290"/>
      <c r="AA54" s="254"/>
      <c r="AB54" s="293"/>
      <c r="AC54" s="290"/>
      <c r="AD54" s="290"/>
      <c r="AE54" s="290"/>
      <c r="AF54" s="254"/>
      <c r="AG54" s="293"/>
      <c r="AH54" s="290"/>
      <c r="AI54" s="290"/>
      <c r="AJ54" s="290"/>
      <c r="AK54" s="254"/>
    </row>
    <row r="55" spans="1:37" s="269" customFormat="1" ht="12.75" customHeight="1">
      <c r="A55" s="416"/>
      <c r="B55" s="490" t="s">
        <v>583</v>
      </c>
      <c r="C55" s="655"/>
      <c r="D55" s="290"/>
      <c r="E55" s="290"/>
      <c r="F55" s="290"/>
      <c r="G55" s="254"/>
      <c r="H55" s="293"/>
      <c r="I55" s="290"/>
      <c r="J55" s="290"/>
      <c r="K55" s="290"/>
      <c r="L55" s="254"/>
      <c r="M55" s="293"/>
      <c r="N55" s="290"/>
      <c r="O55" s="290"/>
      <c r="P55" s="290"/>
      <c r="Q55" s="254"/>
      <c r="R55" s="293"/>
      <c r="S55" s="290"/>
      <c r="T55" s="290"/>
      <c r="U55" s="290"/>
      <c r="V55" s="254"/>
      <c r="W55" s="293"/>
      <c r="X55" s="290"/>
      <c r="Y55" s="290"/>
      <c r="Z55" s="290"/>
      <c r="AA55" s="254"/>
      <c r="AB55" s="293"/>
      <c r="AC55" s="290"/>
      <c r="AD55" s="290"/>
      <c r="AE55" s="290"/>
      <c r="AF55" s="254"/>
      <c r="AG55" s="293"/>
      <c r="AH55" s="290"/>
      <c r="AI55" s="290"/>
      <c r="AJ55" s="290"/>
      <c r="AK55" s="254"/>
    </row>
    <row r="56" spans="1:37" s="289" customFormat="1" ht="12.75" hidden="1" customHeight="1" outlineLevel="1">
      <c r="A56" s="416" t="s">
        <v>594</v>
      </c>
      <c r="B56" s="476" t="s">
        <v>582</v>
      </c>
      <c r="C56" s="371"/>
      <c r="D56" s="371"/>
      <c r="E56" s="371"/>
      <c r="F56" s="371">
        <v>17</v>
      </c>
      <c r="G56" s="370">
        <f>F56</f>
        <v>17</v>
      </c>
      <c r="H56" s="371"/>
      <c r="I56" s="371"/>
      <c r="J56" s="371"/>
      <c r="K56" s="371">
        <v>53</v>
      </c>
      <c r="L56" s="370">
        <f>K56</f>
        <v>53</v>
      </c>
      <c r="M56" s="371"/>
      <c r="N56" s="371"/>
      <c r="O56" s="371"/>
      <c r="P56" s="371">
        <v>250</v>
      </c>
      <c r="Q56" s="370">
        <f>P56</f>
        <v>250</v>
      </c>
      <c r="R56" s="491"/>
      <c r="S56" s="371"/>
      <c r="T56" s="491"/>
      <c r="U56" s="491"/>
      <c r="V56" s="370"/>
      <c r="W56" s="491"/>
      <c r="X56" s="491"/>
      <c r="Y56" s="491"/>
      <c r="Z56" s="491"/>
      <c r="AA56" s="370"/>
      <c r="AB56" s="491"/>
      <c r="AC56" s="491"/>
      <c r="AD56" s="491"/>
      <c r="AE56" s="491"/>
      <c r="AF56" s="370"/>
      <c r="AG56" s="491"/>
      <c r="AH56" s="491"/>
      <c r="AI56" s="491"/>
      <c r="AJ56" s="491"/>
      <c r="AK56" s="370"/>
    </row>
    <row r="57" spans="1:37" s="298" customFormat="1" ht="12.75" hidden="1" customHeight="1" outlineLevel="1">
      <c r="A57" s="416" t="s">
        <v>321</v>
      </c>
      <c r="B57" s="433" t="s">
        <v>31</v>
      </c>
      <c r="C57" s="102"/>
      <c r="D57" s="102"/>
      <c r="E57" s="102"/>
      <c r="F57" s="102"/>
      <c r="G57" s="254"/>
      <c r="H57" s="102"/>
      <c r="I57" s="102"/>
      <c r="J57" s="102"/>
      <c r="K57" s="102">
        <f t="shared" ref="K57:Q57" si="5">IFERROR(K56/F56-1,"")</f>
        <v>2.1176470588235294</v>
      </c>
      <c r="L57" s="254">
        <f t="shared" si="5"/>
        <v>2.1176470588235294</v>
      </c>
      <c r="M57" s="102" t="str">
        <f t="shared" si="5"/>
        <v/>
      </c>
      <c r="N57" s="102" t="str">
        <f t="shared" si="5"/>
        <v/>
      </c>
      <c r="O57" s="102" t="str">
        <f t="shared" si="5"/>
        <v/>
      </c>
      <c r="P57" s="102">
        <f t="shared" si="5"/>
        <v>3.716981132075472</v>
      </c>
      <c r="Q57" s="254">
        <f t="shared" si="5"/>
        <v>3.716981132075472</v>
      </c>
      <c r="R57" s="102"/>
      <c r="S57" s="102"/>
      <c r="T57" s="102"/>
      <c r="U57" s="102"/>
      <c r="V57" s="254"/>
      <c r="W57" s="102"/>
      <c r="X57" s="102"/>
      <c r="Y57" s="102"/>
      <c r="Z57" s="102"/>
      <c r="AA57" s="254"/>
      <c r="AB57" s="102"/>
      <c r="AC57" s="102"/>
      <c r="AD57" s="102"/>
      <c r="AE57" s="102"/>
      <c r="AF57" s="254"/>
      <c r="AG57" s="102"/>
      <c r="AH57" s="102"/>
      <c r="AI57" s="102"/>
      <c r="AJ57" s="102"/>
      <c r="AK57" s="254"/>
    </row>
    <row r="58" spans="1:37" ht="12.75" hidden="1" customHeight="1" outlineLevel="1">
      <c r="A58" s="416" t="s">
        <v>322</v>
      </c>
      <c r="B58" s="433" t="s">
        <v>33</v>
      </c>
      <c r="C58" s="253"/>
      <c r="D58" s="102"/>
      <c r="E58" s="102"/>
      <c r="F58" s="102"/>
      <c r="G58" s="255"/>
      <c r="H58" s="253"/>
      <c r="I58" s="102"/>
      <c r="J58" s="102"/>
      <c r="K58" s="102" t="str">
        <f>IFERROR(K56/J56-1,"")</f>
        <v/>
      </c>
      <c r="L58" s="255"/>
      <c r="M58" s="253"/>
      <c r="N58" s="102" t="str">
        <f>IFERROR(N56/M56-1,"")</f>
        <v/>
      </c>
      <c r="O58" s="102" t="str">
        <f>IFERROR(O56/N56-1,"")</f>
        <v/>
      </c>
      <c r="P58" s="102"/>
      <c r="Q58" s="255"/>
      <c r="R58" s="253"/>
      <c r="S58" s="102"/>
      <c r="T58" s="102"/>
      <c r="U58" s="102"/>
      <c r="V58" s="255"/>
      <c r="W58" s="253"/>
      <c r="X58" s="102"/>
      <c r="Y58" s="102"/>
      <c r="Z58" s="102"/>
      <c r="AA58" s="255"/>
      <c r="AB58" s="253"/>
      <c r="AC58" s="102"/>
      <c r="AD58" s="102"/>
      <c r="AE58" s="102"/>
      <c r="AF58" s="255"/>
      <c r="AG58" s="253"/>
      <c r="AH58" s="102"/>
      <c r="AI58" s="102"/>
      <c r="AJ58" s="102"/>
      <c r="AK58" s="255"/>
    </row>
    <row r="59" spans="1:37" s="269" customFormat="1" ht="12.75" hidden="1" customHeight="1" outlineLevel="1">
      <c r="A59" s="416"/>
      <c r="B59" s="433" t="s">
        <v>584</v>
      </c>
      <c r="C59" s="608"/>
      <c r="D59" s="290"/>
      <c r="E59" s="290"/>
      <c r="F59" s="290"/>
      <c r="G59" s="410"/>
      <c r="H59" s="290"/>
      <c r="I59" s="290"/>
      <c r="J59" s="290"/>
      <c r="K59" s="290">
        <f t="shared" ref="K59:Q59" si="6">K56-F56</f>
        <v>36</v>
      </c>
      <c r="L59" s="410">
        <f t="shared" si="6"/>
        <v>36</v>
      </c>
      <c r="M59" s="290"/>
      <c r="N59" s="290"/>
      <c r="O59" s="290"/>
      <c r="P59" s="290">
        <f t="shared" si="6"/>
        <v>197</v>
      </c>
      <c r="Q59" s="410">
        <f t="shared" si="6"/>
        <v>197</v>
      </c>
      <c r="R59" s="290"/>
      <c r="S59" s="290"/>
      <c r="T59" s="290"/>
      <c r="U59" s="290"/>
      <c r="V59" s="410"/>
      <c r="W59" s="290"/>
      <c r="X59" s="290"/>
      <c r="Y59" s="290"/>
      <c r="Z59" s="290"/>
      <c r="AA59" s="410"/>
      <c r="AB59" s="290"/>
      <c r="AC59" s="290"/>
      <c r="AD59" s="290"/>
      <c r="AE59" s="290"/>
      <c r="AF59" s="410"/>
      <c r="AG59" s="290"/>
      <c r="AH59" s="290"/>
      <c r="AI59" s="290"/>
      <c r="AJ59" s="290"/>
      <c r="AK59" s="410"/>
    </row>
    <row r="60" spans="1:37" s="269" customFormat="1" ht="12.75" hidden="1" customHeight="1" outlineLevel="1">
      <c r="A60" s="416"/>
      <c r="B60" s="433" t="s">
        <v>585</v>
      </c>
      <c r="C60" s="655"/>
      <c r="D60" s="290"/>
      <c r="E60" s="290"/>
      <c r="F60" s="290"/>
      <c r="G60" s="254"/>
      <c r="H60" s="293"/>
      <c r="I60" s="290"/>
      <c r="J60" s="290"/>
      <c r="K60" s="290"/>
      <c r="L60" s="254"/>
      <c r="M60" s="293"/>
      <c r="N60" s="290"/>
      <c r="O60" s="290"/>
      <c r="P60" s="290"/>
      <c r="Q60" s="254"/>
      <c r="R60" s="293"/>
      <c r="S60" s="290"/>
      <c r="T60" s="290"/>
      <c r="U60" s="290"/>
      <c r="V60" s="254"/>
      <c r="W60" s="293"/>
      <c r="X60" s="290"/>
      <c r="Y60" s="290"/>
      <c r="Z60" s="290"/>
      <c r="AA60" s="254"/>
      <c r="AB60" s="293"/>
      <c r="AC60" s="290"/>
      <c r="AD60" s="290"/>
      <c r="AE60" s="290"/>
      <c r="AF60" s="254"/>
      <c r="AG60" s="293"/>
      <c r="AH60" s="290"/>
      <c r="AI60" s="290"/>
      <c r="AJ60" s="290"/>
      <c r="AK60" s="254"/>
    </row>
    <row r="61" spans="1:37" s="269" customFormat="1" ht="12.75" hidden="1" customHeight="1" outlineLevel="1">
      <c r="A61" s="416"/>
      <c r="B61" s="433" t="s">
        <v>572</v>
      </c>
      <c r="C61" s="655"/>
      <c r="D61" s="290"/>
      <c r="E61" s="290"/>
      <c r="F61" s="1001"/>
      <c r="G61" s="999">
        <f t="shared" ref="G61:Q61" si="7">IFERROR(G$10/G56,"")</f>
        <v>0.93117647058823527</v>
      </c>
      <c r="H61" s="1002"/>
      <c r="I61" s="1001"/>
      <c r="J61" s="1001"/>
      <c r="K61" s="1001">
        <f t="shared" si="7"/>
        <v>2.1886205708567164</v>
      </c>
      <c r="L61" s="999">
        <f t="shared" si="7"/>
        <v>4.3196792452830195</v>
      </c>
      <c r="M61" s="1002"/>
      <c r="N61" s="1001"/>
      <c r="O61" s="1001"/>
      <c r="P61" s="1001">
        <f t="shared" si="7"/>
        <v>2.9897199999999997</v>
      </c>
      <c r="Q61" s="999">
        <f t="shared" si="7"/>
        <v>7.6617039999999994</v>
      </c>
      <c r="R61" s="293"/>
      <c r="S61" s="290"/>
      <c r="T61" s="290"/>
      <c r="U61" s="290"/>
      <c r="V61" s="254"/>
      <c r="W61" s="293"/>
      <c r="X61" s="290"/>
      <c r="Y61" s="290"/>
      <c r="Z61" s="290"/>
      <c r="AA61" s="254"/>
      <c r="AB61" s="293"/>
      <c r="AC61" s="290"/>
      <c r="AD61" s="290"/>
      <c r="AE61" s="290"/>
      <c r="AF61" s="254"/>
      <c r="AG61" s="293"/>
      <c r="AH61" s="290"/>
      <c r="AI61" s="290"/>
      <c r="AJ61" s="290"/>
      <c r="AK61" s="254"/>
    </row>
    <row r="62" spans="1:37" s="269" customFormat="1" ht="12.75" hidden="1" customHeight="1" outlineLevel="1">
      <c r="A62" s="416"/>
      <c r="B62" s="433"/>
      <c r="C62" s="655"/>
      <c r="D62" s="290"/>
      <c r="E62" s="290"/>
      <c r="F62" s="290"/>
      <c r="G62" s="254"/>
      <c r="H62" s="655"/>
      <c r="I62" s="608"/>
      <c r="J62" s="608"/>
      <c r="K62" s="1192"/>
      <c r="L62" s="254"/>
      <c r="M62" s="655"/>
      <c r="N62" s="608"/>
      <c r="O62" s="608"/>
      <c r="P62" s="1192"/>
      <c r="Q62" s="254"/>
      <c r="R62" s="293"/>
      <c r="S62" s="290"/>
      <c r="T62" s="290"/>
      <c r="U62" s="290"/>
      <c r="V62" s="254"/>
      <c r="W62" s="293"/>
      <c r="X62" s="290"/>
      <c r="Y62" s="290"/>
      <c r="Z62" s="290"/>
      <c r="AA62" s="254"/>
      <c r="AB62" s="293"/>
      <c r="AC62" s="290"/>
      <c r="AD62" s="290"/>
      <c r="AE62" s="290"/>
      <c r="AF62" s="254"/>
      <c r="AG62" s="293"/>
      <c r="AH62" s="290"/>
      <c r="AI62" s="290"/>
      <c r="AJ62" s="290"/>
      <c r="AK62" s="254"/>
    </row>
    <row r="63" spans="1:37" s="289" customFormat="1" ht="12.75" hidden="1" customHeight="1" outlineLevel="1">
      <c r="A63" s="416" t="s">
        <v>315</v>
      </c>
      <c r="B63" s="476" t="s">
        <v>571</v>
      </c>
      <c r="C63" s="371"/>
      <c r="D63" s="371"/>
      <c r="E63" s="371"/>
      <c r="F63" s="371">
        <v>10</v>
      </c>
      <c r="G63" s="369">
        <f>F63</f>
        <v>10</v>
      </c>
      <c r="H63" s="371"/>
      <c r="I63" s="371"/>
      <c r="J63" s="371"/>
      <c r="K63" s="371">
        <v>70</v>
      </c>
      <c r="L63" s="369">
        <f>K63</f>
        <v>70</v>
      </c>
      <c r="M63" s="371"/>
      <c r="N63" s="371"/>
      <c r="O63" s="371"/>
      <c r="P63" s="371">
        <v>360</v>
      </c>
      <c r="Q63" s="369">
        <f>P63</f>
        <v>360</v>
      </c>
      <c r="R63" s="371">
        <v>420</v>
      </c>
      <c r="S63" s="371">
        <v>470</v>
      </c>
      <c r="T63" s="371">
        <v>590</v>
      </c>
      <c r="U63" s="491"/>
      <c r="V63" s="370"/>
      <c r="W63" s="491"/>
      <c r="X63" s="491"/>
      <c r="Y63" s="491"/>
      <c r="Z63" s="491"/>
      <c r="AA63" s="370"/>
      <c r="AB63" s="491"/>
      <c r="AC63" s="491"/>
      <c r="AD63" s="491"/>
      <c r="AE63" s="491"/>
      <c r="AF63" s="370"/>
      <c r="AG63" s="491"/>
      <c r="AH63" s="491"/>
      <c r="AI63" s="491"/>
      <c r="AJ63" s="491"/>
      <c r="AK63" s="370"/>
    </row>
    <row r="64" spans="1:37" s="298" customFormat="1" ht="12.75" hidden="1" customHeight="1" outlineLevel="1">
      <c r="A64" s="416" t="s">
        <v>321</v>
      </c>
      <c r="B64" s="433" t="s">
        <v>31</v>
      </c>
      <c r="C64" s="102"/>
      <c r="D64" s="102"/>
      <c r="E64" s="102"/>
      <c r="F64" s="102"/>
      <c r="G64" s="254"/>
      <c r="H64" s="102"/>
      <c r="I64" s="102"/>
      <c r="J64" s="102"/>
      <c r="K64" s="102">
        <f t="shared" ref="K64:Q64" si="8">IFERROR(K63/F63-1,"")</f>
        <v>6</v>
      </c>
      <c r="L64" s="254">
        <f t="shared" si="8"/>
        <v>6</v>
      </c>
      <c r="M64" s="102"/>
      <c r="N64" s="102"/>
      <c r="O64" s="102"/>
      <c r="P64" s="102">
        <f t="shared" si="8"/>
        <v>4.1428571428571432</v>
      </c>
      <c r="Q64" s="254">
        <f t="shared" si="8"/>
        <v>4.1428571428571432</v>
      </c>
      <c r="R64" s="102"/>
      <c r="S64" s="102"/>
      <c r="T64" s="102"/>
      <c r="U64" s="102"/>
      <c r="V64" s="254"/>
      <c r="W64" s="102"/>
      <c r="X64" s="102"/>
      <c r="Y64" s="102"/>
      <c r="Z64" s="102"/>
      <c r="AA64" s="254"/>
      <c r="AB64" s="102"/>
      <c r="AC64" s="102"/>
      <c r="AD64" s="102"/>
      <c r="AE64" s="102"/>
      <c r="AF64" s="254"/>
      <c r="AG64" s="102"/>
      <c r="AH64" s="102"/>
      <c r="AI64" s="102"/>
      <c r="AJ64" s="102"/>
      <c r="AK64" s="254"/>
    </row>
    <row r="65" spans="1:37" ht="12.75" hidden="1" customHeight="1" outlineLevel="1">
      <c r="A65" s="416" t="s">
        <v>322</v>
      </c>
      <c r="B65" s="433" t="s">
        <v>33</v>
      </c>
      <c r="C65" s="253"/>
      <c r="D65" s="102"/>
      <c r="E65" s="102"/>
      <c r="F65" s="102"/>
      <c r="G65" s="255"/>
      <c r="H65" s="253"/>
      <c r="I65" s="102"/>
      <c r="J65" s="102"/>
      <c r="K65" s="102" t="str">
        <f>IFERROR(K63/J63-1,"")</f>
        <v/>
      </c>
      <c r="L65" s="255"/>
      <c r="M65" s="253"/>
      <c r="N65" s="102"/>
      <c r="O65" s="102"/>
      <c r="P65" s="102"/>
      <c r="Q65" s="255"/>
      <c r="R65" s="253">
        <f>R63/P63-1</f>
        <v>0.16666666666666674</v>
      </c>
      <c r="S65" s="253">
        <f>S63/Q63-1</f>
        <v>0.30555555555555558</v>
      </c>
      <c r="T65" s="253">
        <f>T63/R63-1</f>
        <v>0.40476190476190466</v>
      </c>
      <c r="U65" s="102"/>
      <c r="V65" s="255"/>
      <c r="W65" s="253"/>
      <c r="X65" s="102"/>
      <c r="Y65" s="102"/>
      <c r="Z65" s="102"/>
      <c r="AA65" s="255"/>
      <c r="AB65" s="253"/>
      <c r="AC65" s="102"/>
      <c r="AD65" s="102"/>
      <c r="AE65" s="102"/>
      <c r="AF65" s="255"/>
      <c r="AG65" s="253"/>
      <c r="AH65" s="102"/>
      <c r="AI65" s="102"/>
      <c r="AJ65" s="102"/>
      <c r="AK65" s="255"/>
    </row>
    <row r="66" spans="1:37" s="269" customFormat="1" ht="12.75" hidden="1" customHeight="1" outlineLevel="1">
      <c r="A66" s="416"/>
      <c r="B66" s="433" t="s">
        <v>586</v>
      </c>
      <c r="C66" s="608"/>
      <c r="D66" s="290"/>
      <c r="E66" s="290"/>
      <c r="F66" s="290"/>
      <c r="G66" s="410"/>
      <c r="H66" s="290"/>
      <c r="I66" s="290"/>
      <c r="J66" s="290"/>
      <c r="K66" s="290">
        <f t="shared" ref="K66:Q66" si="9">K63-F63</f>
        <v>60</v>
      </c>
      <c r="L66" s="410">
        <f t="shared" si="9"/>
        <v>60</v>
      </c>
      <c r="M66" s="290"/>
      <c r="N66" s="290"/>
      <c r="O66" s="290"/>
      <c r="P66" s="290">
        <f t="shared" si="9"/>
        <v>290</v>
      </c>
      <c r="Q66" s="410">
        <f t="shared" si="9"/>
        <v>290</v>
      </c>
      <c r="U66" s="290"/>
      <c r="V66" s="410"/>
      <c r="W66" s="290"/>
      <c r="X66" s="290"/>
      <c r="Y66" s="290"/>
      <c r="Z66" s="290"/>
      <c r="AA66" s="410"/>
      <c r="AB66" s="290"/>
      <c r="AC66" s="290"/>
      <c r="AD66" s="290"/>
      <c r="AE66" s="290"/>
      <c r="AF66" s="410"/>
      <c r="AG66" s="290"/>
      <c r="AH66" s="290"/>
      <c r="AI66" s="290"/>
      <c r="AJ66" s="290"/>
      <c r="AK66" s="410"/>
    </row>
    <row r="67" spans="1:37" s="269" customFormat="1" ht="12.75" hidden="1" customHeight="1" outlineLevel="1">
      <c r="A67" s="416"/>
      <c r="B67" s="433" t="s">
        <v>587</v>
      </c>
      <c r="C67" s="655"/>
      <c r="D67" s="290"/>
      <c r="E67" s="290"/>
      <c r="F67" s="290"/>
      <c r="G67" s="254"/>
      <c r="H67" s="293"/>
      <c r="I67" s="290"/>
      <c r="J67" s="290"/>
      <c r="K67" s="290"/>
      <c r="L67" s="254"/>
      <c r="M67" s="293"/>
      <c r="N67" s="290"/>
      <c r="O67" s="290"/>
      <c r="P67" s="290"/>
      <c r="Q67" s="254"/>
      <c r="R67" s="290">
        <f>R63-Q63</f>
        <v>60</v>
      </c>
      <c r="S67" s="290">
        <f>S63-R63</f>
        <v>50</v>
      </c>
      <c r="T67" s="290">
        <f>T63-S63</f>
        <v>120</v>
      </c>
      <c r="U67" s="290"/>
      <c r="V67" s="254"/>
      <c r="W67" s="293"/>
      <c r="X67" s="290"/>
      <c r="Y67" s="290"/>
      <c r="Z67" s="290"/>
      <c r="AA67" s="254"/>
      <c r="AB67" s="293"/>
      <c r="AC67" s="290"/>
      <c r="AD67" s="290"/>
      <c r="AE67" s="290"/>
      <c r="AF67" s="254"/>
      <c r="AG67" s="293"/>
      <c r="AH67" s="290"/>
      <c r="AI67" s="290"/>
      <c r="AJ67" s="290"/>
      <c r="AK67" s="254"/>
    </row>
    <row r="68" spans="1:37" s="269" customFormat="1" ht="12.75" hidden="1" customHeight="1" outlineLevel="1">
      <c r="A68" s="416"/>
      <c r="B68" s="433" t="s">
        <v>588</v>
      </c>
      <c r="C68" s="655"/>
      <c r="D68" s="290"/>
      <c r="E68" s="290"/>
      <c r="F68" s="1001"/>
      <c r="G68" s="999">
        <f t="shared" ref="G68:R68" si="10">IFERROR(G$10/G63,"")</f>
        <v>1.583</v>
      </c>
      <c r="H68" s="1002"/>
      <c r="I68" s="1001"/>
      <c r="J68" s="1001"/>
      <c r="K68" s="1001">
        <f t="shared" si="10"/>
        <v>1.657098432220085</v>
      </c>
      <c r="L68" s="999">
        <f t="shared" si="10"/>
        <v>3.2706142857142857</v>
      </c>
      <c r="M68" s="1002"/>
      <c r="N68" s="1001"/>
      <c r="O68" s="1001"/>
      <c r="P68" s="1001">
        <f t="shared" si="10"/>
        <v>2.0761944444444445</v>
      </c>
      <c r="Q68" s="999">
        <f t="shared" si="10"/>
        <v>5.3206277777777773</v>
      </c>
      <c r="R68" s="1001">
        <f t="shared" si="10"/>
        <v>2.3372190476190475</v>
      </c>
      <c r="S68" s="1001">
        <f>IFERROR(S$10/S63,"")</f>
        <v>2.5804</v>
      </c>
      <c r="T68" s="1001">
        <f>IFERROR(T$10/T63,"")</f>
        <v>2.3130101694915255</v>
      </c>
      <c r="U68" s="290"/>
      <c r="V68" s="254"/>
      <c r="W68" s="293"/>
      <c r="X68" s="290"/>
      <c r="Y68" s="290"/>
      <c r="Z68" s="290"/>
      <c r="AA68" s="254"/>
      <c r="AB68" s="293"/>
      <c r="AC68" s="290"/>
      <c r="AD68" s="290"/>
      <c r="AE68" s="290"/>
      <c r="AF68" s="254"/>
      <c r="AG68" s="293"/>
      <c r="AH68" s="290"/>
      <c r="AI68" s="290"/>
      <c r="AJ68" s="290"/>
      <c r="AK68" s="254"/>
    </row>
    <row r="69" spans="1:37" s="269" customFormat="1" ht="12.75" hidden="1" customHeight="1" outlineLevel="1">
      <c r="A69" s="416"/>
      <c r="B69" s="433"/>
      <c r="C69" s="655"/>
      <c r="D69" s="290"/>
      <c r="E69" s="290"/>
      <c r="F69" s="290"/>
      <c r="G69" s="254"/>
      <c r="H69" s="655"/>
      <c r="I69" s="608"/>
      <c r="J69" s="608"/>
      <c r="K69" s="608"/>
      <c r="L69" s="254"/>
      <c r="M69" s="655"/>
      <c r="N69" s="608"/>
      <c r="O69" s="608"/>
      <c r="P69" s="608"/>
      <c r="Q69" s="254"/>
      <c r="R69" s="293"/>
      <c r="S69" s="293"/>
      <c r="T69" s="290"/>
      <c r="U69" s="290"/>
      <c r="V69" s="254"/>
      <c r="W69" s="293"/>
      <c r="X69" s="290"/>
      <c r="Y69" s="290"/>
      <c r="Z69" s="290"/>
      <c r="AA69" s="254"/>
      <c r="AB69" s="293"/>
      <c r="AC69" s="290"/>
      <c r="AD69" s="290"/>
      <c r="AE69" s="290"/>
      <c r="AF69" s="254"/>
      <c r="AG69" s="293"/>
      <c r="AH69" s="290"/>
      <c r="AI69" s="290"/>
      <c r="AJ69" s="290"/>
      <c r="AK69" s="254"/>
    </row>
    <row r="70" spans="1:37" s="289" customFormat="1" ht="12.75" hidden="1" customHeight="1" outlineLevel="1">
      <c r="A70" s="416" t="s">
        <v>315</v>
      </c>
      <c r="B70" s="476" t="s">
        <v>592</v>
      </c>
      <c r="C70" s="371"/>
      <c r="D70" s="371"/>
      <c r="E70" s="371"/>
      <c r="F70" s="371"/>
      <c r="G70" s="369"/>
      <c r="H70" s="371"/>
      <c r="I70" s="371"/>
      <c r="J70" s="371"/>
      <c r="K70" s="371"/>
      <c r="L70" s="369"/>
      <c r="M70" s="371"/>
      <c r="N70" s="371"/>
      <c r="O70" s="371"/>
      <c r="P70" s="371">
        <v>1300</v>
      </c>
      <c r="Q70" s="369">
        <f>P70</f>
        <v>1300</v>
      </c>
      <c r="R70" s="371">
        <v>1600</v>
      </c>
      <c r="S70" s="371">
        <v>2200</v>
      </c>
      <c r="T70" s="371">
        <v>2900</v>
      </c>
      <c r="U70" s="491"/>
      <c r="V70" s="370"/>
      <c r="W70" s="491"/>
      <c r="X70" s="491"/>
      <c r="Y70" s="491"/>
      <c r="Z70" s="491"/>
      <c r="AA70" s="370"/>
      <c r="AB70" s="491"/>
      <c r="AC70" s="491"/>
      <c r="AD70" s="491"/>
      <c r="AE70" s="491"/>
      <c r="AF70" s="370"/>
      <c r="AG70" s="491"/>
      <c r="AH70" s="491"/>
      <c r="AI70" s="491"/>
      <c r="AJ70" s="491"/>
      <c r="AK70" s="370"/>
    </row>
    <row r="71" spans="1:37" s="298" customFormat="1" ht="12.75" hidden="1" customHeight="1" outlineLevel="1">
      <c r="A71" s="416" t="s">
        <v>321</v>
      </c>
      <c r="B71" s="433" t="s">
        <v>31</v>
      </c>
      <c r="C71" s="102"/>
      <c r="D71" s="102"/>
      <c r="E71" s="102"/>
      <c r="F71" s="102"/>
      <c r="G71" s="254"/>
      <c r="H71" s="102"/>
      <c r="I71" s="102"/>
      <c r="J71" s="102"/>
      <c r="K71" s="102" t="str">
        <f t="shared" ref="K71:Q71" si="11">IFERROR(K70/F70-1,"")</f>
        <v/>
      </c>
      <c r="L71" s="254" t="str">
        <f t="shared" si="11"/>
        <v/>
      </c>
      <c r="M71" s="102" t="str">
        <f t="shared" si="11"/>
        <v/>
      </c>
      <c r="N71" s="102" t="str">
        <f t="shared" si="11"/>
        <v/>
      </c>
      <c r="O71" s="102" t="str">
        <f t="shared" si="11"/>
        <v/>
      </c>
      <c r="P71" s="102" t="str">
        <f t="shared" si="11"/>
        <v/>
      </c>
      <c r="Q71" s="254" t="str">
        <f t="shared" si="11"/>
        <v/>
      </c>
      <c r="R71" s="102"/>
      <c r="S71" s="102"/>
      <c r="T71" s="102"/>
      <c r="U71" s="102"/>
      <c r="V71" s="254"/>
      <c r="W71" s="102"/>
      <c r="X71" s="102"/>
      <c r="Y71" s="102"/>
      <c r="Z71" s="102"/>
      <c r="AA71" s="254"/>
      <c r="AB71" s="102"/>
      <c r="AC71" s="102"/>
      <c r="AD71" s="102"/>
      <c r="AE71" s="102"/>
      <c r="AF71" s="254"/>
      <c r="AG71" s="102"/>
      <c r="AH71" s="102"/>
      <c r="AI71" s="102"/>
      <c r="AJ71" s="102"/>
      <c r="AK71" s="254"/>
    </row>
    <row r="72" spans="1:37" ht="12.75" hidden="1" customHeight="1" outlineLevel="1">
      <c r="A72" s="416" t="s">
        <v>322</v>
      </c>
      <c r="B72" s="433" t="s">
        <v>33</v>
      </c>
      <c r="C72" s="253"/>
      <c r="D72" s="102"/>
      <c r="E72" s="102"/>
      <c r="F72" s="102"/>
      <c r="G72" s="255"/>
      <c r="H72" s="253"/>
      <c r="I72" s="102"/>
      <c r="J72" s="102"/>
      <c r="K72" s="102"/>
      <c r="L72" s="255"/>
      <c r="M72" s="253"/>
      <c r="N72" s="102"/>
      <c r="O72" s="102"/>
      <c r="P72" s="102"/>
      <c r="Q72" s="255"/>
      <c r="R72" s="253">
        <f>R70/P70-1</f>
        <v>0.23076923076923084</v>
      </c>
      <c r="S72" s="253">
        <f>S70/Q70-1</f>
        <v>0.69230769230769229</v>
      </c>
      <c r="T72" s="253">
        <f>T70/R70-1</f>
        <v>0.8125</v>
      </c>
      <c r="U72" s="102"/>
      <c r="V72" s="255"/>
      <c r="W72" s="253"/>
      <c r="X72" s="102"/>
      <c r="Y72" s="102"/>
      <c r="Z72" s="102"/>
      <c r="AA72" s="255"/>
      <c r="AB72" s="253"/>
      <c r="AC72" s="102"/>
      <c r="AD72" s="102"/>
      <c r="AE72" s="102"/>
      <c r="AF72" s="255"/>
      <c r="AG72" s="253"/>
      <c r="AH72" s="102"/>
      <c r="AI72" s="102"/>
      <c r="AJ72" s="102"/>
      <c r="AK72" s="255"/>
    </row>
    <row r="73" spans="1:37" s="269" customFormat="1" ht="12.75" hidden="1" customHeight="1" outlineLevel="1">
      <c r="A73" s="416"/>
      <c r="B73" s="433" t="s">
        <v>586</v>
      </c>
      <c r="C73" s="608"/>
      <c r="D73" s="290"/>
      <c r="E73" s="290"/>
      <c r="F73" s="290"/>
      <c r="G73" s="410"/>
      <c r="H73" s="290"/>
      <c r="I73" s="290"/>
      <c r="J73" s="290"/>
      <c r="K73" s="290"/>
      <c r="L73" s="410"/>
      <c r="M73" s="290"/>
      <c r="N73" s="290"/>
      <c r="O73" s="290"/>
      <c r="P73" s="290"/>
      <c r="Q73" s="410"/>
      <c r="T73" s="290"/>
      <c r="U73" s="290"/>
      <c r="V73" s="410"/>
      <c r="W73" s="290"/>
      <c r="X73" s="290"/>
      <c r="Y73" s="290"/>
      <c r="Z73" s="290"/>
      <c r="AA73" s="410"/>
      <c r="AB73" s="290"/>
      <c r="AC73" s="290"/>
      <c r="AD73" s="290"/>
      <c r="AE73" s="290"/>
      <c r="AF73" s="410"/>
      <c r="AG73" s="290"/>
      <c r="AH73" s="290"/>
      <c r="AI73" s="290"/>
      <c r="AJ73" s="290"/>
      <c r="AK73" s="410"/>
    </row>
    <row r="74" spans="1:37" s="269" customFormat="1" ht="12.75" hidden="1" customHeight="1" outlineLevel="1">
      <c r="A74" s="416"/>
      <c r="B74" s="433" t="s">
        <v>587</v>
      </c>
      <c r="C74" s="655"/>
      <c r="D74" s="290"/>
      <c r="E74" s="290"/>
      <c r="F74" s="290"/>
      <c r="G74" s="254"/>
      <c r="H74" s="293"/>
      <c r="I74" s="290"/>
      <c r="J74" s="290"/>
      <c r="K74" s="290"/>
      <c r="L74" s="254"/>
      <c r="M74" s="293"/>
      <c r="N74" s="290"/>
      <c r="O74" s="290"/>
      <c r="P74" s="290"/>
      <c r="Q74" s="254"/>
      <c r="R74" s="290">
        <f>R70-Q70</f>
        <v>300</v>
      </c>
      <c r="S74" s="290">
        <f>S70-R70</f>
        <v>600</v>
      </c>
      <c r="T74" s="290">
        <f>T70-S70</f>
        <v>700</v>
      </c>
      <c r="U74" s="290"/>
      <c r="V74" s="254"/>
      <c r="W74" s="293"/>
      <c r="X74" s="290"/>
      <c r="Y74" s="290"/>
      <c r="Z74" s="290"/>
      <c r="AA74" s="254"/>
      <c r="AB74" s="293"/>
      <c r="AC74" s="290"/>
      <c r="AD74" s="290"/>
      <c r="AE74" s="290"/>
      <c r="AF74" s="254"/>
      <c r="AG74" s="293"/>
      <c r="AH74" s="290"/>
      <c r="AI74" s="290"/>
      <c r="AJ74" s="290"/>
      <c r="AK74" s="254"/>
    </row>
    <row r="75" spans="1:37" s="269" customFormat="1" ht="12.75" hidden="1" customHeight="1" outlineLevel="1">
      <c r="A75" s="416"/>
      <c r="B75" s="433"/>
      <c r="C75" s="655"/>
      <c r="D75" s="290"/>
      <c r="E75" s="290"/>
      <c r="F75" s="290"/>
      <c r="G75" s="254"/>
      <c r="H75" s="655"/>
      <c r="I75" s="608"/>
      <c r="J75" s="608"/>
      <c r="K75" s="608"/>
      <c r="L75" s="254"/>
      <c r="M75" s="655"/>
      <c r="N75" s="608"/>
      <c r="O75" s="608"/>
      <c r="P75" s="608"/>
      <c r="Q75" s="254"/>
      <c r="R75" s="293"/>
      <c r="S75" s="290"/>
      <c r="T75" s="290"/>
      <c r="U75" s="290"/>
      <c r="V75" s="254"/>
      <c r="W75" s="293"/>
      <c r="X75" s="290"/>
      <c r="Y75" s="290"/>
      <c r="Z75" s="290"/>
      <c r="AA75" s="254"/>
      <c r="AB75" s="293"/>
      <c r="AC75" s="290"/>
      <c r="AD75" s="290"/>
      <c r="AE75" s="290"/>
      <c r="AF75" s="254"/>
      <c r="AG75" s="293"/>
      <c r="AH75" s="290"/>
      <c r="AI75" s="290"/>
      <c r="AJ75" s="290"/>
      <c r="AK75" s="254"/>
    </row>
    <row r="76" spans="1:37" s="289" customFormat="1" ht="12.75" hidden="1" customHeight="1" outlineLevel="1">
      <c r="A76" s="416" t="s">
        <v>315</v>
      </c>
      <c r="B76" s="476" t="s">
        <v>570</v>
      </c>
      <c r="C76" s="371"/>
      <c r="D76" s="371"/>
      <c r="E76" s="371"/>
      <c r="F76" s="371">
        <v>3</v>
      </c>
      <c r="G76" s="370">
        <f>F76</f>
        <v>3</v>
      </c>
      <c r="H76" s="371"/>
      <c r="I76" s="371"/>
      <c r="J76" s="371"/>
      <c r="K76" s="371">
        <v>10</v>
      </c>
      <c r="L76" s="370">
        <f>K76</f>
        <v>10</v>
      </c>
      <c r="M76" s="371"/>
      <c r="N76" s="371"/>
      <c r="O76" s="371"/>
      <c r="P76" s="371">
        <v>32</v>
      </c>
      <c r="Q76" s="370">
        <f>P76</f>
        <v>32</v>
      </c>
      <c r="R76" s="371">
        <v>33</v>
      </c>
      <c r="S76" s="371">
        <v>33</v>
      </c>
      <c r="T76" s="371">
        <v>41</v>
      </c>
      <c r="U76" s="491"/>
      <c r="V76" s="370"/>
      <c r="W76" s="491"/>
      <c r="X76" s="491"/>
      <c r="Y76" s="491"/>
      <c r="Z76" s="491"/>
      <c r="AA76" s="370"/>
      <c r="AB76" s="491"/>
      <c r="AC76" s="491"/>
      <c r="AD76" s="491"/>
      <c r="AE76" s="491"/>
      <c r="AF76" s="370"/>
      <c r="AG76" s="491"/>
      <c r="AH76" s="491"/>
      <c r="AI76" s="491"/>
      <c r="AJ76" s="491"/>
      <c r="AK76" s="370"/>
    </row>
    <row r="77" spans="1:37" s="298" customFormat="1" ht="12.75" hidden="1" customHeight="1" outlineLevel="1">
      <c r="A77" s="416" t="s">
        <v>321</v>
      </c>
      <c r="B77" s="433" t="s">
        <v>31</v>
      </c>
      <c r="C77" s="102"/>
      <c r="D77" s="102"/>
      <c r="E77" s="102"/>
      <c r="F77" s="102"/>
      <c r="G77" s="254"/>
      <c r="H77" s="102"/>
      <c r="I77" s="102"/>
      <c r="J77" s="102"/>
      <c r="K77" s="102">
        <f t="shared" ref="K77:Q77" si="12">IFERROR(K76/F76-1,"")</f>
        <v>2.3333333333333335</v>
      </c>
      <c r="L77" s="254">
        <f t="shared" si="12"/>
        <v>2.3333333333333335</v>
      </c>
      <c r="M77" s="102" t="str">
        <f t="shared" si="12"/>
        <v/>
      </c>
      <c r="N77" s="102" t="str">
        <f t="shared" si="12"/>
        <v/>
      </c>
      <c r="O77" s="102" t="str">
        <f t="shared" si="12"/>
        <v/>
      </c>
      <c r="P77" s="102">
        <f t="shared" si="12"/>
        <v>2.2000000000000002</v>
      </c>
      <c r="Q77" s="254">
        <f t="shared" si="12"/>
        <v>2.2000000000000002</v>
      </c>
      <c r="R77" s="102"/>
      <c r="S77" s="102"/>
      <c r="T77" s="102"/>
      <c r="U77" s="102"/>
      <c r="V77" s="254"/>
      <c r="W77" s="102"/>
      <c r="X77" s="102"/>
      <c r="Y77" s="102"/>
      <c r="Z77" s="102"/>
      <c r="AA77" s="254"/>
      <c r="AB77" s="102"/>
      <c r="AC77" s="102"/>
      <c r="AD77" s="102"/>
      <c r="AE77" s="102"/>
      <c r="AF77" s="254"/>
      <c r="AG77" s="102"/>
      <c r="AH77" s="102"/>
      <c r="AI77" s="102"/>
      <c r="AJ77" s="102"/>
      <c r="AK77" s="254"/>
    </row>
    <row r="78" spans="1:37" ht="12.75" hidden="1" customHeight="1" outlineLevel="1">
      <c r="A78" s="416" t="s">
        <v>322</v>
      </c>
      <c r="B78" s="433" t="s">
        <v>33</v>
      </c>
      <c r="C78" s="253"/>
      <c r="D78" s="102"/>
      <c r="E78" s="102"/>
      <c r="F78" s="102"/>
      <c r="G78" s="255"/>
      <c r="H78" s="253"/>
      <c r="I78" s="102"/>
      <c r="J78" s="102"/>
      <c r="K78" s="102" t="str">
        <f>IFERROR(K76/J76-1,"")</f>
        <v/>
      </c>
      <c r="L78" s="255"/>
      <c r="M78" s="253"/>
      <c r="N78" s="102" t="str">
        <f>IFERROR(N76/M76-1,"")</f>
        <v/>
      </c>
      <c r="O78" s="102" t="str">
        <f>IFERROR(O76/N76-1,"")</f>
        <v/>
      </c>
      <c r="P78" s="102"/>
      <c r="Q78" s="255"/>
      <c r="R78" s="253">
        <f>R76/P76-1</f>
        <v>3.125E-2</v>
      </c>
      <c r="S78" s="253">
        <f>S76/R76-1</f>
        <v>0</v>
      </c>
      <c r="T78" s="253">
        <f>T76/S76-1</f>
        <v>0.24242424242424243</v>
      </c>
      <c r="U78" s="102"/>
      <c r="V78" s="255"/>
      <c r="W78" s="253"/>
      <c r="X78" s="102"/>
      <c r="Y78" s="102"/>
      <c r="Z78" s="102"/>
      <c r="AA78" s="255"/>
      <c r="AB78" s="253"/>
      <c r="AC78" s="102"/>
      <c r="AD78" s="102"/>
      <c r="AE78" s="102"/>
      <c r="AF78" s="255"/>
      <c r="AG78" s="253"/>
      <c r="AH78" s="102"/>
      <c r="AI78" s="102"/>
      <c r="AJ78" s="102"/>
      <c r="AK78" s="255"/>
    </row>
    <row r="79" spans="1:37" s="269" customFormat="1" ht="12.75" hidden="1" customHeight="1" outlineLevel="1">
      <c r="A79" s="416"/>
      <c r="B79" s="433" t="s">
        <v>589</v>
      </c>
      <c r="C79" s="608"/>
      <c r="D79" s="290"/>
      <c r="E79" s="290"/>
      <c r="F79" s="290"/>
      <c r="G79" s="410"/>
      <c r="H79" s="290"/>
      <c r="I79" s="290"/>
      <c r="J79" s="290"/>
      <c r="K79" s="290">
        <f t="shared" ref="K79:Q79" si="13">K76-F76</f>
        <v>7</v>
      </c>
      <c r="L79" s="410">
        <f t="shared" si="13"/>
        <v>7</v>
      </c>
      <c r="M79" s="290"/>
      <c r="N79" s="290"/>
      <c r="O79" s="290"/>
      <c r="P79" s="290">
        <f t="shared" si="13"/>
        <v>22</v>
      </c>
      <c r="Q79" s="410">
        <f t="shared" si="13"/>
        <v>22</v>
      </c>
      <c r="R79" s="290">
        <f>R76-Q76</f>
        <v>1</v>
      </c>
      <c r="S79" s="290">
        <f>S76-R76</f>
        <v>0</v>
      </c>
      <c r="T79" s="290">
        <f>T76-S76</f>
        <v>8</v>
      </c>
      <c r="U79" s="290"/>
      <c r="V79" s="410"/>
      <c r="W79" s="290"/>
      <c r="X79" s="290"/>
      <c r="Y79" s="290"/>
      <c r="Z79" s="290"/>
      <c r="AA79" s="410"/>
      <c r="AB79" s="290"/>
      <c r="AC79" s="290"/>
      <c r="AD79" s="290"/>
      <c r="AE79" s="290"/>
      <c r="AF79" s="410"/>
      <c r="AG79" s="290"/>
      <c r="AH79" s="290"/>
      <c r="AI79" s="290"/>
      <c r="AJ79" s="290"/>
      <c r="AK79" s="410"/>
    </row>
    <row r="80" spans="1:37" s="269" customFormat="1" ht="12.75" hidden="1" customHeight="1" outlineLevel="1">
      <c r="A80" s="416"/>
      <c r="B80" s="433" t="s">
        <v>590</v>
      </c>
      <c r="C80" s="655"/>
      <c r="D80" s="290"/>
      <c r="E80" s="290"/>
      <c r="F80" s="290"/>
      <c r="G80" s="254"/>
      <c r="H80" s="293"/>
      <c r="I80" s="290"/>
      <c r="J80" s="290"/>
      <c r="K80" s="290"/>
      <c r="L80" s="254"/>
      <c r="M80" s="293"/>
      <c r="N80" s="290"/>
      <c r="O80" s="290"/>
      <c r="P80" s="290"/>
      <c r="Q80" s="254"/>
      <c r="R80" s="293"/>
      <c r="S80" s="293"/>
      <c r="T80" s="290"/>
      <c r="U80" s="290"/>
      <c r="V80" s="254"/>
      <c r="W80" s="293"/>
      <c r="X80" s="290"/>
      <c r="Y80" s="290"/>
      <c r="Z80" s="290"/>
      <c r="AA80" s="254"/>
      <c r="AB80" s="293"/>
      <c r="AC80" s="290"/>
      <c r="AD80" s="290"/>
      <c r="AE80" s="290"/>
      <c r="AF80" s="254"/>
      <c r="AG80" s="293"/>
      <c r="AH80" s="290"/>
      <c r="AI80" s="290"/>
      <c r="AJ80" s="290"/>
      <c r="AK80" s="254"/>
    </row>
    <row r="81" spans="1:37" s="269" customFormat="1" ht="12.75" hidden="1" customHeight="1" outlineLevel="1">
      <c r="A81" s="416"/>
      <c r="B81" s="433" t="s">
        <v>591</v>
      </c>
      <c r="C81" s="655"/>
      <c r="D81" s="290"/>
      <c r="E81" s="290"/>
      <c r="F81" s="1001"/>
      <c r="G81" s="999">
        <f t="shared" ref="G81:R81" si="14">IFERROR(G$10/G76,"")</f>
        <v>5.2766666666666664</v>
      </c>
      <c r="H81" s="1002"/>
      <c r="I81" s="1001"/>
      <c r="J81" s="1001"/>
      <c r="K81" s="1001">
        <f t="shared" si="14"/>
        <v>11.599689025540595</v>
      </c>
      <c r="L81" s="999">
        <f t="shared" si="14"/>
        <v>22.894300000000001</v>
      </c>
      <c r="M81" s="1002" t="str">
        <f t="shared" si="14"/>
        <v/>
      </c>
      <c r="N81" s="1001" t="str">
        <f t="shared" si="14"/>
        <v/>
      </c>
      <c r="O81" s="1001" t="str">
        <f t="shared" si="14"/>
        <v/>
      </c>
      <c r="P81" s="1001">
        <f t="shared" si="14"/>
        <v>23.357187499999998</v>
      </c>
      <c r="Q81" s="999">
        <f t="shared" si="14"/>
        <v>59.857062499999998</v>
      </c>
      <c r="R81" s="1001">
        <f t="shared" si="14"/>
        <v>29.74642424242424</v>
      </c>
      <c r="S81" s="1001">
        <f>IFERROR(S$10/S76,"")</f>
        <v>36.751151515151513</v>
      </c>
      <c r="T81" s="1001">
        <f>IFERROR(T$10/T76,"")</f>
        <v>33.284780487804873</v>
      </c>
      <c r="U81" s="290"/>
      <c r="V81" s="254"/>
      <c r="W81" s="293"/>
      <c r="X81" s="290"/>
      <c r="Y81" s="290"/>
      <c r="Z81" s="290"/>
      <c r="AA81" s="254"/>
      <c r="AB81" s="293"/>
      <c r="AC81" s="290"/>
      <c r="AD81" s="290"/>
      <c r="AE81" s="290"/>
      <c r="AF81" s="254"/>
      <c r="AG81" s="293"/>
      <c r="AH81" s="290"/>
      <c r="AI81" s="290"/>
      <c r="AJ81" s="290"/>
      <c r="AK81" s="254"/>
    </row>
    <row r="82" spans="1:37" s="269" customFormat="1" ht="12.75" hidden="1" customHeight="1" outlineLevel="1">
      <c r="A82" s="416"/>
      <c r="B82" s="866"/>
      <c r="C82" s="655"/>
      <c r="D82" s="290"/>
      <c r="E82" s="290"/>
      <c r="F82" s="290"/>
      <c r="G82" s="254"/>
      <c r="H82" s="293"/>
      <c r="I82" s="290"/>
      <c r="J82" s="290"/>
      <c r="K82" s="290"/>
      <c r="L82" s="254"/>
      <c r="M82" s="293"/>
      <c r="N82" s="290"/>
      <c r="P82" s="290"/>
      <c r="Q82" s="254"/>
      <c r="R82" s="293"/>
      <c r="S82" s="290"/>
      <c r="T82" s="290"/>
      <c r="U82" s="290"/>
      <c r="V82" s="254"/>
      <c r="W82" s="293"/>
      <c r="X82" s="290"/>
      <c r="Y82" s="290"/>
      <c r="Z82" s="290"/>
      <c r="AA82" s="254"/>
      <c r="AB82" s="293"/>
      <c r="AC82" s="290"/>
      <c r="AD82" s="290"/>
      <c r="AE82" s="290"/>
      <c r="AF82" s="254"/>
      <c r="AG82" s="293"/>
      <c r="AH82" s="290"/>
      <c r="AI82" s="290"/>
      <c r="AJ82" s="290"/>
      <c r="AK82" s="254"/>
    </row>
    <row r="83" spans="1:37" s="289" customFormat="1" ht="12.75" hidden="1" customHeight="1" outlineLevel="1">
      <c r="A83" s="416" t="s">
        <v>594</v>
      </c>
      <c r="B83" s="476" t="s">
        <v>582</v>
      </c>
      <c r="C83" s="371"/>
      <c r="D83" s="371"/>
      <c r="E83" s="371"/>
      <c r="F83" s="371">
        <v>17</v>
      </c>
      <c r="G83" s="370">
        <f>F83</f>
        <v>17</v>
      </c>
      <c r="H83" s="371"/>
      <c r="I83" s="371"/>
      <c r="J83" s="371"/>
      <c r="K83" s="371">
        <v>53</v>
      </c>
      <c r="L83" s="370">
        <f>K83</f>
        <v>53</v>
      </c>
      <c r="M83" s="371"/>
      <c r="N83" s="371"/>
      <c r="O83" s="371"/>
      <c r="P83" s="371">
        <v>250</v>
      </c>
      <c r="Q83" s="370">
        <f>P83</f>
        <v>250</v>
      </c>
      <c r="R83" s="491"/>
      <c r="S83" s="371"/>
      <c r="T83" s="491"/>
      <c r="U83" s="491"/>
      <c r="V83" s="370"/>
      <c r="W83" s="491"/>
      <c r="X83" s="491"/>
      <c r="Y83" s="491"/>
      <c r="Z83" s="491"/>
      <c r="AA83" s="370"/>
      <c r="AB83" s="491"/>
      <c r="AC83" s="491"/>
      <c r="AD83" s="491"/>
      <c r="AE83" s="491"/>
      <c r="AF83" s="370"/>
      <c r="AG83" s="491"/>
      <c r="AH83" s="491"/>
      <c r="AI83" s="491"/>
      <c r="AJ83" s="491"/>
      <c r="AK83" s="370"/>
    </row>
    <row r="84" spans="1:37" s="298" customFormat="1" ht="12.75" hidden="1" customHeight="1" outlineLevel="1">
      <c r="A84" s="416" t="s">
        <v>321</v>
      </c>
      <c r="B84" s="433" t="s">
        <v>31</v>
      </c>
      <c r="C84" s="102"/>
      <c r="D84" s="102"/>
      <c r="E84" s="102"/>
      <c r="F84" s="102"/>
      <c r="G84" s="254"/>
      <c r="H84" s="102"/>
      <c r="I84" s="102"/>
      <c r="J84" s="102"/>
      <c r="K84" s="102">
        <f t="shared" ref="K84:Q84" si="15">IFERROR(K83/F83-1,"")</f>
        <v>2.1176470588235294</v>
      </c>
      <c r="L84" s="254">
        <f t="shared" si="15"/>
        <v>2.1176470588235294</v>
      </c>
      <c r="M84" s="102" t="str">
        <f t="shared" si="15"/>
        <v/>
      </c>
      <c r="N84" s="102" t="str">
        <f t="shared" si="15"/>
        <v/>
      </c>
      <c r="O84" s="102" t="str">
        <f t="shared" si="15"/>
        <v/>
      </c>
      <c r="P84" s="102">
        <f t="shared" si="15"/>
        <v>3.716981132075472</v>
      </c>
      <c r="Q84" s="254">
        <f t="shared" si="15"/>
        <v>3.716981132075472</v>
      </c>
      <c r="R84" s="102"/>
      <c r="S84" s="102"/>
      <c r="T84" s="102"/>
      <c r="U84" s="102"/>
      <c r="V84" s="254"/>
      <c r="W84" s="102"/>
      <c r="X84" s="102"/>
      <c r="Y84" s="102"/>
      <c r="Z84" s="102"/>
      <c r="AA84" s="254"/>
      <c r="AB84" s="102"/>
      <c r="AC84" s="102"/>
      <c r="AD84" s="102"/>
      <c r="AE84" s="102"/>
      <c r="AF84" s="254"/>
      <c r="AG84" s="102"/>
      <c r="AH84" s="102"/>
      <c r="AI84" s="102"/>
      <c r="AJ84" s="102"/>
      <c r="AK84" s="254"/>
    </row>
    <row r="85" spans="1:37" ht="12.75" hidden="1" customHeight="1" outlineLevel="1">
      <c r="A85" s="416" t="s">
        <v>322</v>
      </c>
      <c r="B85" s="433" t="s">
        <v>33</v>
      </c>
      <c r="C85" s="253"/>
      <c r="D85" s="102"/>
      <c r="E85" s="102"/>
      <c r="F85" s="102"/>
      <c r="G85" s="255"/>
      <c r="H85" s="253"/>
      <c r="I85" s="102"/>
      <c r="J85" s="102"/>
      <c r="K85" s="102" t="str">
        <f>IFERROR(K83/J83-1,"")</f>
        <v/>
      </c>
      <c r="L85" s="255"/>
      <c r="M85" s="253"/>
      <c r="N85" s="102" t="str">
        <f>IFERROR(N83/M83-1,"")</f>
        <v/>
      </c>
      <c r="O85" s="102" t="str">
        <f>IFERROR(O83/N83-1,"")</f>
        <v/>
      </c>
      <c r="P85" s="102"/>
      <c r="Q85" s="255"/>
      <c r="R85" s="253"/>
      <c r="S85" s="102"/>
      <c r="T85" s="102"/>
      <c r="U85" s="102"/>
      <c r="V85" s="255"/>
      <c r="W85" s="253"/>
      <c r="X85" s="102"/>
      <c r="Y85" s="102"/>
      <c r="Z85" s="102"/>
      <c r="AA85" s="255"/>
      <c r="AB85" s="253"/>
      <c r="AC85" s="102"/>
      <c r="AD85" s="102"/>
      <c r="AE85" s="102"/>
      <c r="AF85" s="255"/>
      <c r="AG85" s="253"/>
      <c r="AH85" s="102"/>
      <c r="AI85" s="102"/>
      <c r="AJ85" s="102"/>
      <c r="AK85" s="255"/>
    </row>
    <row r="86" spans="1:37" s="269" customFormat="1" ht="12.75" hidden="1" customHeight="1" outlineLevel="1">
      <c r="A86" s="416"/>
      <c r="B86" s="433" t="s">
        <v>584</v>
      </c>
      <c r="C86" s="608"/>
      <c r="D86" s="290"/>
      <c r="E86" s="290"/>
      <c r="F86" s="290"/>
      <c r="G86" s="410"/>
      <c r="H86" s="290"/>
      <c r="I86" s="290"/>
      <c r="J86" s="290"/>
      <c r="K86" s="290">
        <f>K83-F83</f>
        <v>36</v>
      </c>
      <c r="L86" s="410">
        <f>L83-G83</f>
        <v>36</v>
      </c>
      <c r="M86" s="290"/>
      <c r="N86" s="290"/>
      <c r="O86" s="290"/>
      <c r="P86" s="290">
        <f>P83-K83</f>
        <v>197</v>
      </c>
      <c r="Q86" s="410">
        <f>Q83-L83</f>
        <v>197</v>
      </c>
      <c r="R86" s="290"/>
      <c r="S86" s="290"/>
      <c r="T86" s="290"/>
      <c r="U86" s="290"/>
      <c r="V86" s="410"/>
      <c r="W86" s="290"/>
      <c r="X86" s="290"/>
      <c r="Y86" s="290"/>
      <c r="Z86" s="290"/>
      <c r="AA86" s="410"/>
      <c r="AB86" s="290"/>
      <c r="AC86" s="290"/>
      <c r="AD86" s="290"/>
      <c r="AE86" s="290"/>
      <c r="AF86" s="410"/>
      <c r="AG86" s="290"/>
      <c r="AH86" s="290"/>
      <c r="AI86" s="290"/>
      <c r="AJ86" s="290"/>
      <c r="AK86" s="410"/>
    </row>
    <row r="87" spans="1:37" s="269" customFormat="1" ht="12.75" hidden="1" customHeight="1" outlineLevel="1">
      <c r="A87" s="416"/>
      <c r="B87" s="433" t="s">
        <v>585</v>
      </c>
      <c r="C87" s="655"/>
      <c r="D87" s="290"/>
      <c r="E87" s="290"/>
      <c r="F87" s="290"/>
      <c r="G87" s="254"/>
      <c r="H87" s="293"/>
      <c r="I87" s="290"/>
      <c r="J87" s="290"/>
      <c r="K87" s="290"/>
      <c r="L87" s="254"/>
      <c r="M87" s="293"/>
      <c r="N87" s="290"/>
      <c r="O87" s="290"/>
      <c r="P87" s="290"/>
      <c r="Q87" s="254"/>
      <c r="R87" s="293"/>
      <c r="S87" s="290"/>
      <c r="T87" s="290"/>
      <c r="U87" s="290"/>
      <c r="V87" s="254"/>
      <c r="W87" s="293"/>
      <c r="X87" s="290"/>
      <c r="Y87" s="290"/>
      <c r="Z87" s="290"/>
      <c r="AA87" s="254"/>
      <c r="AB87" s="293"/>
      <c r="AC87" s="290"/>
      <c r="AD87" s="290"/>
      <c r="AE87" s="290"/>
      <c r="AF87" s="254"/>
      <c r="AG87" s="293"/>
      <c r="AH87" s="290"/>
      <c r="AI87" s="290"/>
      <c r="AJ87" s="290"/>
      <c r="AK87" s="254"/>
    </row>
    <row r="88" spans="1:37" s="269" customFormat="1" ht="12.75" hidden="1" customHeight="1" outlineLevel="1">
      <c r="A88" s="416"/>
      <c r="B88" s="433" t="s">
        <v>572</v>
      </c>
      <c r="C88" s="655"/>
      <c r="D88" s="290"/>
      <c r="E88" s="290"/>
      <c r="F88" s="1001"/>
      <c r="G88" s="999">
        <f t="shared" ref="G88:L88" si="16">IFERROR(G$10/G83,"")</f>
        <v>0.93117647058823527</v>
      </c>
      <c r="H88" s="1002"/>
      <c r="I88" s="1001"/>
      <c r="J88" s="1001"/>
      <c r="K88" s="1001">
        <f t="shared" si="16"/>
        <v>2.1886205708567164</v>
      </c>
      <c r="L88" s="999">
        <f t="shared" si="16"/>
        <v>4.3196792452830195</v>
      </c>
      <c r="M88" s="1002"/>
      <c r="N88" s="1001"/>
      <c r="O88" s="1001"/>
      <c r="P88" s="1001">
        <f>IFERROR(P$10/P83,"")</f>
        <v>2.9897199999999997</v>
      </c>
      <c r="Q88" s="999">
        <f>IFERROR(Q$10/Q83,"")</f>
        <v>7.6617039999999994</v>
      </c>
      <c r="R88" s="293"/>
      <c r="S88" s="290"/>
      <c r="T88" s="290"/>
      <c r="U88" s="290"/>
      <c r="V88" s="254"/>
      <c r="W88" s="293"/>
      <c r="X88" s="290"/>
      <c r="Y88" s="290"/>
      <c r="Z88" s="290"/>
      <c r="AA88" s="254"/>
      <c r="AB88" s="293"/>
      <c r="AC88" s="290"/>
      <c r="AD88" s="290"/>
      <c r="AE88" s="290"/>
      <c r="AF88" s="254"/>
      <c r="AG88" s="293"/>
      <c r="AH88" s="290"/>
      <c r="AI88" s="290"/>
      <c r="AJ88" s="290"/>
      <c r="AK88" s="254"/>
    </row>
    <row r="89" spans="1:37" s="269" customFormat="1" ht="12.75" customHeight="1" collapsed="1">
      <c r="A89" s="416"/>
      <c r="B89" s="433"/>
      <c r="C89" s="655"/>
      <c r="D89" s="290"/>
      <c r="E89" s="290"/>
      <c r="F89" s="290"/>
      <c r="G89" s="254"/>
      <c r="H89" s="655"/>
      <c r="I89" s="608"/>
      <c r="J89" s="608"/>
      <c r="K89" s="1192"/>
      <c r="L89" s="254"/>
      <c r="M89" s="655"/>
      <c r="N89" s="608"/>
      <c r="O89" s="608"/>
      <c r="P89" s="1192"/>
      <c r="Q89" s="254"/>
      <c r="R89" s="293"/>
      <c r="S89" s="290"/>
      <c r="T89" s="290"/>
      <c r="U89" s="290"/>
      <c r="V89" s="254"/>
      <c r="W89" s="293"/>
      <c r="X89" s="290"/>
      <c r="Y89" s="290"/>
      <c r="Z89" s="290"/>
      <c r="AA89" s="254"/>
      <c r="AB89" s="293"/>
      <c r="AC89" s="290"/>
      <c r="AD89" s="290"/>
      <c r="AE89" s="290"/>
      <c r="AF89" s="254"/>
      <c r="AG89" s="293"/>
      <c r="AH89" s="290"/>
      <c r="AI89" s="290"/>
      <c r="AJ89" s="290"/>
      <c r="AK89" s="254"/>
    </row>
    <row r="90" spans="1:37" s="269" customFormat="1" ht="12.75" customHeight="1">
      <c r="A90" s="416"/>
      <c r="B90" s="490" t="s">
        <v>204</v>
      </c>
      <c r="C90" s="655"/>
      <c r="D90" s="290"/>
      <c r="E90" s="290"/>
      <c r="F90" s="290"/>
      <c r="G90" s="254"/>
      <c r="H90" s="293"/>
      <c r="I90" s="290"/>
      <c r="J90" s="290"/>
      <c r="K90" s="290"/>
      <c r="L90" s="254"/>
      <c r="M90" s="293"/>
      <c r="N90" s="290"/>
      <c r="O90" s="290"/>
      <c r="P90" s="290"/>
      <c r="Q90" s="254"/>
      <c r="R90" s="293"/>
      <c r="S90" s="290"/>
      <c r="T90" s="290"/>
      <c r="U90" s="290"/>
      <c r="V90" s="254"/>
      <c r="W90" s="293"/>
      <c r="X90" s="290"/>
      <c r="Y90" s="290"/>
      <c r="Z90" s="290"/>
      <c r="AA90" s="254"/>
      <c r="AB90" s="293"/>
      <c r="AC90" s="290"/>
      <c r="AD90" s="290"/>
      <c r="AE90" s="290"/>
      <c r="AF90" s="254"/>
      <c r="AG90" s="293"/>
      <c r="AH90" s="290"/>
      <c r="AI90" s="290"/>
      <c r="AJ90" s="290"/>
      <c r="AK90" s="254"/>
    </row>
    <row r="91" spans="1:37" s="676" customFormat="1" ht="12.75" hidden="1" customHeight="1" outlineLevel="1">
      <c r="A91" s="481"/>
      <c r="B91" s="441" t="s">
        <v>211</v>
      </c>
      <c r="C91" s="647"/>
      <c r="D91" s="647"/>
      <c r="E91" s="647"/>
      <c r="F91" s="647"/>
      <c r="G91" s="415"/>
      <c r="H91" s="487"/>
      <c r="I91" s="487"/>
      <c r="J91" s="487"/>
      <c r="K91" s="487"/>
      <c r="L91" s="415"/>
      <c r="M91" s="647"/>
      <c r="N91" s="647"/>
      <c r="O91" s="647"/>
      <c r="P91" s="647"/>
      <c r="Q91" s="415">
        <f>Q95+Q100</f>
        <v>881</v>
      </c>
      <c r="R91" s="647"/>
      <c r="S91" s="647"/>
      <c r="T91" s="647"/>
      <c r="U91" s="647"/>
      <c r="V91" s="708"/>
      <c r="W91" s="647"/>
      <c r="X91" s="647"/>
      <c r="Y91" s="647"/>
      <c r="Z91" s="647"/>
      <c r="AA91" s="708"/>
      <c r="AB91" s="647"/>
      <c r="AC91" s="647"/>
      <c r="AD91" s="647"/>
      <c r="AE91" s="647"/>
      <c r="AF91" s="708"/>
      <c r="AG91" s="647"/>
      <c r="AH91" s="647"/>
      <c r="AI91" s="647"/>
      <c r="AJ91" s="647"/>
      <c r="AK91" s="708"/>
    </row>
    <row r="92" spans="1:37" s="298" customFormat="1" ht="12.75" hidden="1" customHeight="1" outlineLevel="1">
      <c r="A92" s="416"/>
      <c r="B92" s="433" t="s">
        <v>31</v>
      </c>
      <c r="C92" s="102"/>
      <c r="D92" s="102"/>
      <c r="E92" s="102"/>
      <c r="F92" s="102"/>
      <c r="G92" s="410"/>
      <c r="H92" s="608"/>
      <c r="I92" s="608"/>
      <c r="J92" s="608"/>
      <c r="K92" s="608"/>
      <c r="L92" s="410"/>
      <c r="M92" s="291"/>
      <c r="N92" s="291"/>
      <c r="O92" s="291"/>
      <c r="P92" s="291"/>
      <c r="Q92" s="410"/>
      <c r="R92" s="102"/>
      <c r="S92" s="102"/>
      <c r="T92" s="102"/>
      <c r="U92" s="102"/>
      <c r="V92" s="254"/>
      <c r="W92" s="102"/>
      <c r="X92" s="102"/>
      <c r="Y92" s="102"/>
      <c r="Z92" s="102"/>
      <c r="AA92" s="254"/>
      <c r="AB92" s="102"/>
      <c r="AC92" s="102"/>
      <c r="AD92" s="102"/>
      <c r="AE92" s="102"/>
      <c r="AF92" s="254"/>
      <c r="AG92" s="102"/>
      <c r="AH92" s="102"/>
      <c r="AI92" s="102"/>
      <c r="AJ92" s="102"/>
      <c r="AK92" s="254"/>
    </row>
    <row r="93" spans="1:37" ht="12.75" hidden="1" customHeight="1" outlineLevel="1">
      <c r="B93" s="433" t="s">
        <v>33</v>
      </c>
      <c r="C93" s="616"/>
      <c r="D93" s="102"/>
      <c r="E93" s="102"/>
      <c r="F93" s="102"/>
      <c r="G93" s="512"/>
      <c r="H93" s="655"/>
      <c r="I93" s="608"/>
      <c r="J93" s="608"/>
      <c r="K93" s="608"/>
      <c r="L93" s="512"/>
      <c r="M93" s="616"/>
      <c r="N93" s="291"/>
      <c r="O93" s="291"/>
      <c r="P93" s="291"/>
      <c r="Q93" s="512"/>
      <c r="R93" s="253"/>
      <c r="S93" s="102"/>
      <c r="T93" s="102"/>
      <c r="U93" s="102"/>
      <c r="V93" s="255"/>
      <c r="W93" s="253"/>
      <c r="X93" s="102"/>
      <c r="Y93" s="102"/>
      <c r="Z93" s="102"/>
      <c r="AA93" s="255"/>
      <c r="AB93" s="253"/>
      <c r="AC93" s="102"/>
      <c r="AD93" s="102"/>
      <c r="AE93" s="102"/>
      <c r="AF93" s="255"/>
      <c r="AG93" s="253"/>
      <c r="AH93" s="102"/>
      <c r="AI93" s="102"/>
      <c r="AJ93" s="102"/>
      <c r="AK93" s="255"/>
    </row>
    <row r="94" spans="1:37" ht="12.75" hidden="1" customHeight="1" outlineLevel="1">
      <c r="B94" s="433"/>
      <c r="C94" s="616"/>
      <c r="D94" s="102"/>
      <c r="E94" s="102"/>
      <c r="F94" s="102"/>
      <c r="G94" s="512"/>
      <c r="H94" s="655"/>
      <c r="I94" s="608"/>
      <c r="J94" s="608"/>
      <c r="K94" s="608"/>
      <c r="L94" s="512"/>
      <c r="M94" s="616"/>
      <c r="N94" s="291"/>
      <c r="O94" s="291"/>
      <c r="P94" s="291"/>
      <c r="Q94" s="512"/>
      <c r="R94" s="253"/>
      <c r="S94" s="102"/>
      <c r="T94" s="102"/>
      <c r="U94" s="102"/>
      <c r="V94" s="255"/>
      <c r="W94" s="253"/>
      <c r="X94" s="102"/>
      <c r="Y94" s="102"/>
      <c r="Z94" s="102"/>
      <c r="AA94" s="255"/>
      <c r="AB94" s="253"/>
      <c r="AC94" s="102"/>
      <c r="AD94" s="102"/>
      <c r="AE94" s="102"/>
      <c r="AF94" s="255"/>
      <c r="AG94" s="253"/>
      <c r="AH94" s="102"/>
      <c r="AI94" s="102"/>
      <c r="AJ94" s="102"/>
      <c r="AK94" s="255"/>
    </row>
    <row r="95" spans="1:37" s="470" customFormat="1" ht="12.75" hidden="1" customHeight="1" outlineLevel="1">
      <c r="A95" s="416"/>
      <c r="B95" s="476" t="s">
        <v>312</v>
      </c>
      <c r="C95" s="698"/>
      <c r="D95" s="698"/>
      <c r="E95" s="698"/>
      <c r="F95" s="698"/>
      <c r="G95" s="495"/>
      <c r="H95" s="371"/>
      <c r="I95" s="371"/>
      <c r="J95" s="371"/>
      <c r="K95" s="491"/>
      <c r="L95" s="495"/>
      <c r="M95" s="698"/>
      <c r="N95" s="698"/>
      <c r="O95" s="698"/>
      <c r="P95" s="493"/>
      <c r="Q95" s="495">
        <v>791</v>
      </c>
      <c r="R95" s="493"/>
      <c r="S95" s="493"/>
      <c r="T95" s="493"/>
      <c r="U95" s="493"/>
      <c r="V95" s="564"/>
      <c r="W95" s="493"/>
      <c r="X95" s="493"/>
      <c r="Y95" s="493"/>
      <c r="Z95" s="493"/>
      <c r="AA95" s="564"/>
      <c r="AB95" s="493"/>
      <c r="AC95" s="493"/>
      <c r="AD95" s="493"/>
      <c r="AE95" s="493"/>
      <c r="AF95" s="564"/>
      <c r="AG95" s="493"/>
      <c r="AH95" s="493"/>
      <c r="AI95" s="493"/>
      <c r="AJ95" s="493"/>
      <c r="AK95" s="564"/>
    </row>
    <row r="96" spans="1:37" s="298" customFormat="1" ht="12.75" hidden="1" customHeight="1" outlineLevel="1">
      <c r="A96" s="416"/>
      <c r="B96" s="433" t="s">
        <v>31</v>
      </c>
      <c r="C96" s="102"/>
      <c r="D96" s="102"/>
      <c r="E96" s="102"/>
      <c r="F96" s="102"/>
      <c r="G96" s="410"/>
      <c r="H96" s="608"/>
      <c r="I96" s="608"/>
      <c r="J96" s="608"/>
      <c r="K96" s="608"/>
      <c r="L96" s="410"/>
      <c r="M96" s="291"/>
      <c r="N96" s="291"/>
      <c r="O96" s="291"/>
      <c r="P96" s="291"/>
      <c r="Q96" s="410"/>
      <c r="R96" s="102"/>
      <c r="S96" s="102"/>
      <c r="T96" s="102"/>
      <c r="U96" s="102"/>
      <c r="V96" s="254"/>
      <c r="W96" s="102"/>
      <c r="X96" s="102"/>
      <c r="Y96" s="102"/>
      <c r="Z96" s="102"/>
      <c r="AA96" s="254"/>
      <c r="AB96" s="102"/>
      <c r="AC96" s="102"/>
      <c r="AD96" s="102"/>
      <c r="AE96" s="102"/>
      <c r="AF96" s="254"/>
      <c r="AG96" s="102"/>
      <c r="AH96" s="102"/>
      <c r="AI96" s="102"/>
      <c r="AJ96" s="102"/>
      <c r="AK96" s="254"/>
    </row>
    <row r="97" spans="1:37" ht="12.75" hidden="1" customHeight="1" outlineLevel="1">
      <c r="B97" s="433" t="s">
        <v>33</v>
      </c>
      <c r="C97" s="616"/>
      <c r="D97" s="102"/>
      <c r="E97" s="102"/>
      <c r="F97" s="102"/>
      <c r="G97" s="512"/>
      <c r="H97" s="655"/>
      <c r="I97" s="608"/>
      <c r="J97" s="608"/>
      <c r="K97" s="608"/>
      <c r="L97" s="512"/>
      <c r="M97" s="616"/>
      <c r="N97" s="291"/>
      <c r="O97" s="291"/>
      <c r="P97" s="291"/>
      <c r="Q97" s="512"/>
      <c r="R97" s="253"/>
      <c r="S97" s="102"/>
      <c r="T97" s="102"/>
      <c r="U97" s="102"/>
      <c r="V97" s="255"/>
      <c r="W97" s="253"/>
      <c r="X97" s="102"/>
      <c r="Y97" s="102"/>
      <c r="Z97" s="102"/>
      <c r="AA97" s="255"/>
      <c r="AB97" s="253"/>
      <c r="AC97" s="102"/>
      <c r="AD97" s="102"/>
      <c r="AE97" s="102"/>
      <c r="AF97" s="255"/>
      <c r="AG97" s="253"/>
      <c r="AH97" s="102"/>
      <c r="AI97" s="102"/>
      <c r="AJ97" s="102"/>
      <c r="AK97" s="255"/>
    </row>
    <row r="98" spans="1:37" ht="12.75" hidden="1" customHeight="1" outlineLevel="1">
      <c r="B98" s="433" t="s">
        <v>351</v>
      </c>
      <c r="C98" s="616"/>
      <c r="D98" s="102"/>
      <c r="E98" s="102"/>
      <c r="F98" s="102"/>
      <c r="G98" s="512"/>
      <c r="H98" s="655"/>
      <c r="I98" s="608"/>
      <c r="J98" s="608"/>
      <c r="K98" s="608"/>
      <c r="L98" s="512"/>
      <c r="M98" s="616"/>
      <c r="N98" s="291"/>
      <c r="O98" s="291"/>
      <c r="P98" s="291"/>
      <c r="Q98" s="512"/>
      <c r="R98" s="253"/>
      <c r="S98" s="102"/>
      <c r="T98" s="102"/>
      <c r="U98" s="102"/>
      <c r="V98" s="255"/>
      <c r="W98" s="253"/>
      <c r="X98" s="102"/>
      <c r="Y98" s="102"/>
      <c r="Z98" s="102"/>
      <c r="AA98" s="255"/>
      <c r="AB98" s="253"/>
      <c r="AC98" s="102"/>
      <c r="AD98" s="102"/>
      <c r="AE98" s="102"/>
      <c r="AF98" s="255"/>
      <c r="AG98" s="253"/>
      <c r="AH98" s="102"/>
      <c r="AI98" s="102"/>
      <c r="AJ98" s="102"/>
      <c r="AK98" s="255"/>
    </row>
    <row r="99" spans="1:37" s="269" customFormat="1" ht="12.75" hidden="1" customHeight="1" outlineLevel="1">
      <c r="A99" s="416"/>
      <c r="B99" s="433"/>
      <c r="C99" s="655"/>
      <c r="D99" s="290"/>
      <c r="E99" s="290"/>
      <c r="F99" s="290"/>
      <c r="G99" s="410"/>
      <c r="H99" s="655"/>
      <c r="I99" s="608"/>
      <c r="J99" s="608"/>
      <c r="K99" s="608"/>
      <c r="L99" s="410"/>
      <c r="M99" s="655"/>
      <c r="N99" s="608"/>
      <c r="O99" s="608"/>
      <c r="P99" s="608"/>
      <c r="Q99" s="410"/>
      <c r="R99" s="293"/>
      <c r="S99" s="290"/>
      <c r="T99" s="290"/>
      <c r="U99" s="290"/>
      <c r="V99" s="254"/>
      <c r="W99" s="293"/>
      <c r="X99" s="290"/>
      <c r="Y99" s="290"/>
      <c r="Z99" s="290"/>
      <c r="AA99" s="254"/>
      <c r="AB99" s="293"/>
      <c r="AC99" s="290"/>
      <c r="AD99" s="290"/>
      <c r="AE99" s="290"/>
      <c r="AF99" s="254"/>
      <c r="AG99" s="293"/>
      <c r="AH99" s="290"/>
      <c r="AI99" s="290"/>
      <c r="AJ99" s="290"/>
      <c r="AK99" s="254"/>
    </row>
    <row r="100" spans="1:37" s="470" customFormat="1" ht="12.75" hidden="1" customHeight="1" outlineLevel="1">
      <c r="A100" s="416"/>
      <c r="B100" s="476" t="s">
        <v>313</v>
      </c>
      <c r="C100" s="698"/>
      <c r="D100" s="698"/>
      <c r="E100" s="698"/>
      <c r="F100" s="698"/>
      <c r="G100" s="495"/>
      <c r="H100" s="371"/>
      <c r="I100" s="371"/>
      <c r="J100" s="371"/>
      <c r="K100" s="491"/>
      <c r="L100" s="495"/>
      <c r="M100" s="698"/>
      <c r="N100" s="698"/>
      <c r="O100" s="698"/>
      <c r="P100" s="493"/>
      <c r="Q100" s="495">
        <v>90</v>
      </c>
      <c r="R100" s="493"/>
      <c r="S100" s="493"/>
      <c r="T100" s="493"/>
      <c r="U100" s="493"/>
      <c r="V100" s="564"/>
      <c r="W100" s="493"/>
      <c r="X100" s="493"/>
      <c r="Y100" s="493"/>
      <c r="Z100" s="493"/>
      <c r="AA100" s="564"/>
      <c r="AB100" s="493"/>
      <c r="AC100" s="493"/>
      <c r="AD100" s="493"/>
      <c r="AE100" s="493"/>
      <c r="AF100" s="564"/>
      <c r="AG100" s="493"/>
      <c r="AH100" s="493"/>
      <c r="AI100" s="493"/>
      <c r="AJ100" s="493"/>
      <c r="AK100" s="564"/>
    </row>
    <row r="101" spans="1:37" s="298" customFormat="1" ht="12.75" hidden="1" customHeight="1" outlineLevel="1">
      <c r="A101" s="416"/>
      <c r="B101" s="433" t="s">
        <v>31</v>
      </c>
      <c r="C101" s="102"/>
      <c r="D101" s="102"/>
      <c r="E101" s="102"/>
      <c r="F101" s="102"/>
      <c r="G101" s="410"/>
      <c r="H101" s="608"/>
      <c r="I101" s="608"/>
      <c r="J101" s="608"/>
      <c r="K101" s="608"/>
      <c r="L101" s="410"/>
      <c r="M101" s="291"/>
      <c r="N101" s="291"/>
      <c r="O101" s="291"/>
      <c r="P101" s="291"/>
      <c r="Q101" s="254"/>
      <c r="R101" s="102"/>
      <c r="S101" s="102"/>
      <c r="T101" s="102"/>
      <c r="U101" s="102"/>
      <c r="V101" s="254"/>
      <c r="W101" s="102"/>
      <c r="X101" s="102"/>
      <c r="Y101" s="102"/>
      <c r="Z101" s="102"/>
      <c r="AA101" s="254"/>
      <c r="AB101" s="102"/>
      <c r="AC101" s="102"/>
      <c r="AD101" s="102"/>
      <c r="AE101" s="102"/>
      <c r="AF101" s="254"/>
      <c r="AG101" s="102"/>
      <c r="AH101" s="102"/>
      <c r="AI101" s="102"/>
      <c r="AJ101" s="102"/>
      <c r="AK101" s="254"/>
    </row>
    <row r="102" spans="1:37" ht="12.75" hidden="1" customHeight="1" outlineLevel="1">
      <c r="B102" s="433" t="s">
        <v>33</v>
      </c>
      <c r="C102" s="616"/>
      <c r="D102" s="102"/>
      <c r="E102" s="102"/>
      <c r="F102" s="102"/>
      <c r="G102" s="512"/>
      <c r="H102" s="655"/>
      <c r="I102" s="608"/>
      <c r="J102" s="608"/>
      <c r="K102" s="608"/>
      <c r="L102" s="512"/>
      <c r="M102" s="616"/>
      <c r="N102" s="291"/>
      <c r="O102" s="291"/>
      <c r="P102" s="291"/>
      <c r="Q102" s="255"/>
      <c r="R102" s="253"/>
      <c r="S102" s="102"/>
      <c r="T102" s="102"/>
      <c r="U102" s="102"/>
      <c r="V102" s="255"/>
      <c r="W102" s="253"/>
      <c r="X102" s="102"/>
      <c r="Y102" s="102"/>
      <c r="Z102" s="102"/>
      <c r="AA102" s="255"/>
      <c r="AB102" s="253"/>
      <c r="AC102" s="102"/>
      <c r="AD102" s="102"/>
      <c r="AE102" s="102"/>
      <c r="AF102" s="255"/>
      <c r="AG102" s="253"/>
      <c r="AH102" s="102"/>
      <c r="AI102" s="102"/>
      <c r="AJ102" s="102"/>
      <c r="AK102" s="255"/>
    </row>
    <row r="103" spans="1:37" ht="12.75" hidden="1" customHeight="1" outlineLevel="1">
      <c r="B103" s="433" t="s">
        <v>351</v>
      </c>
      <c r="C103" s="616"/>
      <c r="D103" s="102"/>
      <c r="E103" s="102"/>
      <c r="F103" s="102"/>
      <c r="G103" s="512"/>
      <c r="H103" s="655"/>
      <c r="I103" s="608"/>
      <c r="J103" s="608"/>
      <c r="K103" s="608"/>
      <c r="L103" s="512"/>
      <c r="M103" s="616"/>
      <c r="N103" s="291"/>
      <c r="O103" s="291"/>
      <c r="P103" s="291"/>
      <c r="Q103" s="255"/>
      <c r="R103" s="253"/>
      <c r="S103" s="102"/>
      <c r="T103" s="102"/>
      <c r="U103" s="102"/>
      <c r="V103" s="255"/>
      <c r="W103" s="253"/>
      <c r="X103" s="102"/>
      <c r="Y103" s="102"/>
      <c r="Z103" s="102"/>
      <c r="AA103" s="255"/>
      <c r="AB103" s="253"/>
      <c r="AC103" s="102"/>
      <c r="AD103" s="102"/>
      <c r="AE103" s="102"/>
      <c r="AF103" s="255"/>
      <c r="AG103" s="253"/>
      <c r="AH103" s="102"/>
      <c r="AI103" s="102"/>
      <c r="AJ103" s="102"/>
      <c r="AK103" s="255"/>
    </row>
    <row r="104" spans="1:37" s="269" customFormat="1" ht="12.75" customHeight="1" collapsed="1">
      <c r="A104" s="416"/>
      <c r="B104" s="433"/>
      <c r="C104" s="655"/>
      <c r="D104" s="290"/>
      <c r="E104" s="290"/>
      <c r="F104" s="290"/>
      <c r="G104" s="254"/>
      <c r="H104" s="293"/>
      <c r="I104" s="290"/>
      <c r="J104" s="290"/>
      <c r="K104" s="290"/>
      <c r="L104" s="254"/>
      <c r="M104" s="293"/>
      <c r="N104" s="290"/>
      <c r="O104" s="290"/>
      <c r="P104" s="290"/>
      <c r="Q104" s="254"/>
      <c r="R104" s="293"/>
      <c r="S104" s="290"/>
      <c r="T104" s="290"/>
      <c r="U104" s="290"/>
      <c r="V104" s="254"/>
      <c r="W104" s="293"/>
      <c r="X104" s="290"/>
      <c r="Y104" s="290"/>
      <c r="Z104" s="290"/>
      <c r="AA104" s="254"/>
      <c r="AB104" s="293"/>
      <c r="AC104" s="290"/>
      <c r="AD104" s="290"/>
      <c r="AE104" s="290"/>
      <c r="AF104" s="254"/>
      <c r="AG104" s="293"/>
      <c r="AH104" s="290"/>
      <c r="AI104" s="290"/>
      <c r="AJ104" s="290"/>
      <c r="AK104" s="254"/>
    </row>
    <row r="105" spans="1:37" s="269" customFormat="1" ht="12.75" customHeight="1">
      <c r="A105" s="416"/>
      <c r="B105" s="490" t="s">
        <v>205</v>
      </c>
      <c r="C105" s="655"/>
      <c r="D105" s="290"/>
      <c r="E105" s="290"/>
      <c r="F105" s="290"/>
      <c r="G105" s="254"/>
      <c r="H105" s="293"/>
      <c r="I105" s="290"/>
      <c r="J105" s="290"/>
      <c r="K105" s="290"/>
      <c r="L105" s="254"/>
      <c r="M105" s="293"/>
      <c r="N105" s="290"/>
      <c r="O105" s="290"/>
      <c r="P105" s="290"/>
      <c r="Q105" s="254"/>
      <c r="R105" s="293"/>
      <c r="S105" s="290"/>
      <c r="T105" s="290"/>
      <c r="U105" s="290"/>
      <c r="V105" s="254"/>
      <c r="W105" s="293"/>
      <c r="X105" s="290"/>
      <c r="Y105" s="290"/>
      <c r="Z105" s="290"/>
      <c r="AA105" s="254"/>
      <c r="AB105" s="293"/>
      <c r="AC105" s="290"/>
      <c r="AD105" s="290"/>
      <c r="AE105" s="290"/>
      <c r="AF105" s="254"/>
      <c r="AG105" s="293"/>
      <c r="AH105" s="290"/>
      <c r="AI105" s="290"/>
      <c r="AJ105" s="290"/>
      <c r="AK105" s="254"/>
    </row>
    <row r="106" spans="1:37" s="470" customFormat="1" ht="12.75" hidden="1" customHeight="1" outlineLevel="1">
      <c r="A106" s="416"/>
      <c r="B106" s="476" t="s">
        <v>312</v>
      </c>
      <c r="C106" s="698"/>
      <c r="D106" s="698"/>
      <c r="E106" s="698"/>
      <c r="F106" s="698"/>
      <c r="G106" s="661">
        <v>10.375999999999999</v>
      </c>
      <c r="H106" s="698"/>
      <c r="I106" s="698"/>
      <c r="J106" s="698"/>
      <c r="K106" s="493"/>
      <c r="L106" s="661">
        <v>200.46899999999999</v>
      </c>
      <c r="M106" s="698">
        <v>176.69399999999999</v>
      </c>
      <c r="N106" s="698">
        <v>370.10700000000003</v>
      </c>
      <c r="O106" s="698">
        <v>547.15</v>
      </c>
      <c r="P106" s="493"/>
      <c r="Q106" s="661">
        <v>1797.268</v>
      </c>
      <c r="R106" s="698">
        <v>929.42399999999998</v>
      </c>
      <c r="S106" s="698">
        <v>1147.655</v>
      </c>
      <c r="T106" s="698">
        <v>1281.336</v>
      </c>
      <c r="U106" s="493"/>
      <c r="V106" s="564"/>
      <c r="W106" s="493"/>
      <c r="X106" s="493"/>
      <c r="Y106" s="493"/>
      <c r="Z106" s="493"/>
      <c r="AA106" s="564"/>
      <c r="AB106" s="493"/>
      <c r="AC106" s="493"/>
      <c r="AD106" s="493"/>
      <c r="AE106" s="493"/>
      <c r="AF106" s="564"/>
      <c r="AG106" s="493"/>
      <c r="AH106" s="493"/>
      <c r="AI106" s="493"/>
      <c r="AJ106" s="493"/>
      <c r="AK106" s="564"/>
    </row>
    <row r="107" spans="1:37" s="298" customFormat="1" ht="12.75" hidden="1" customHeight="1" outlineLevel="1">
      <c r="A107" s="416"/>
      <c r="B107" s="433" t="s">
        <v>31</v>
      </c>
      <c r="C107" s="102"/>
      <c r="D107" s="102"/>
      <c r="E107" s="102"/>
      <c r="F107" s="102"/>
      <c r="G107" s="254"/>
      <c r="H107" s="291"/>
      <c r="I107" s="291"/>
      <c r="J107" s="291"/>
      <c r="K107" s="291"/>
      <c r="L107" s="254">
        <f>IFERROR(L106/G106-1,"")</f>
        <v>18.320451040863531</v>
      </c>
      <c r="M107" s="291"/>
      <c r="N107" s="291"/>
      <c r="O107" s="102"/>
      <c r="P107" s="291"/>
      <c r="Q107" s="254">
        <f>IFERROR(Q106/L106-1,"")</f>
        <v>7.9653163331986487</v>
      </c>
      <c r="R107" s="102">
        <f>R106/M106-1</f>
        <v>4.2600767428435606</v>
      </c>
      <c r="S107" s="102">
        <f>S106/N106-1</f>
        <v>2.1008735311680131</v>
      </c>
      <c r="T107" s="102">
        <f>T106/O106-1</f>
        <v>1.3418367906424198</v>
      </c>
      <c r="U107" s="102"/>
      <c r="V107" s="254"/>
      <c r="W107" s="102"/>
      <c r="X107" s="102"/>
      <c r="Y107" s="102"/>
      <c r="Z107" s="102"/>
      <c r="AA107" s="254"/>
      <c r="AB107" s="102"/>
      <c r="AC107" s="102"/>
      <c r="AD107" s="102"/>
      <c r="AE107" s="102"/>
      <c r="AF107" s="254"/>
      <c r="AG107" s="102"/>
      <c r="AH107" s="102"/>
      <c r="AI107" s="102"/>
      <c r="AJ107" s="102"/>
      <c r="AK107" s="254"/>
    </row>
    <row r="108" spans="1:37" ht="12.75" hidden="1" customHeight="1" outlineLevel="1">
      <c r="B108" s="433" t="s">
        <v>33</v>
      </c>
      <c r="C108" s="616"/>
      <c r="D108" s="102"/>
      <c r="E108" s="102"/>
      <c r="F108" s="102"/>
      <c r="G108" s="255"/>
      <c r="H108" s="616"/>
      <c r="I108" s="291"/>
      <c r="J108" s="291"/>
      <c r="K108" s="291"/>
      <c r="L108" s="255"/>
      <c r="M108" s="616"/>
      <c r="N108" s="253">
        <f>N106/M106-1</f>
        <v>1.0946212095487118</v>
      </c>
      <c r="O108" s="253">
        <f>O106/N106-1</f>
        <v>0.47835625913587143</v>
      </c>
      <c r="P108" s="291"/>
      <c r="Q108" s="255"/>
      <c r="R108" s="253"/>
      <c r="S108" s="253">
        <f>S106/R106-1</f>
        <v>0.23480241525934331</v>
      </c>
      <c r="T108" s="253">
        <f>T106/S106-1</f>
        <v>0.11648186955138962</v>
      </c>
      <c r="U108" s="102"/>
      <c r="V108" s="255"/>
      <c r="W108" s="253"/>
      <c r="X108" s="102"/>
      <c r="Y108" s="102"/>
      <c r="Z108" s="102"/>
      <c r="AA108" s="255"/>
      <c r="AB108" s="253"/>
      <c r="AC108" s="102"/>
      <c r="AD108" s="102"/>
      <c r="AE108" s="102"/>
      <c r="AF108" s="255"/>
      <c r="AG108" s="253"/>
      <c r="AH108" s="102"/>
      <c r="AI108" s="102"/>
      <c r="AJ108" s="102"/>
      <c r="AK108" s="255"/>
    </row>
    <row r="109" spans="1:37" ht="12.75" hidden="1" customHeight="1" outlineLevel="1">
      <c r="B109" s="433" t="s">
        <v>99</v>
      </c>
      <c r="C109" s="616"/>
      <c r="D109" s="102"/>
      <c r="E109" s="102"/>
      <c r="F109" s="102"/>
      <c r="G109" s="255">
        <f>IFERROR(G106/G$10,"")</f>
        <v>0.65546430827542634</v>
      </c>
      <c r="H109" s="616"/>
      <c r="I109" s="291"/>
      <c r="J109" s="291"/>
      <c r="K109" s="291"/>
      <c r="L109" s="255">
        <f>IFERROR(L106/L$10,"")</f>
        <v>0.87562843153099235</v>
      </c>
      <c r="M109" s="253">
        <f>IFERROR(M106/M$10,"")</f>
        <v>0.93645460134404612</v>
      </c>
      <c r="N109" s="253">
        <f>IFERROR(N106/N$10,"")</f>
        <v>0.93610052330595828</v>
      </c>
      <c r="O109" s="253">
        <f>IFERROR(O106/O$10,"")</f>
        <v>0.93699534713267252</v>
      </c>
      <c r="P109" s="291"/>
      <c r="Q109" s="255">
        <f>IFERROR(Q106/Q$10,"")</f>
        <v>0.93831241718552427</v>
      </c>
      <c r="R109" s="253">
        <f>IFERROR(R106/R$10,"")</f>
        <v>0.94681509975224931</v>
      </c>
      <c r="S109" s="253">
        <f>IFERROR(S106/S$10,"")</f>
        <v>0.94629481822049688</v>
      </c>
      <c r="T109" s="253">
        <f>IFERROR(T106/T$10,"")</f>
        <v>0.938930559341558</v>
      </c>
      <c r="U109" s="102"/>
      <c r="V109" s="255"/>
      <c r="W109" s="253"/>
      <c r="X109" s="102"/>
      <c r="Y109" s="102"/>
      <c r="Z109" s="102"/>
      <c r="AA109" s="255"/>
      <c r="AB109" s="253"/>
      <c r="AC109" s="102"/>
      <c r="AD109" s="102"/>
      <c r="AE109" s="102"/>
      <c r="AF109" s="255"/>
      <c r="AG109" s="253"/>
      <c r="AH109" s="102"/>
      <c r="AI109" s="102"/>
      <c r="AJ109" s="102"/>
      <c r="AK109" s="255"/>
    </row>
    <row r="110" spans="1:37" s="269" customFormat="1" ht="12.75" hidden="1" customHeight="1" outlineLevel="1">
      <c r="A110" s="416"/>
      <c r="B110" s="433"/>
      <c r="C110" s="655"/>
      <c r="D110" s="290"/>
      <c r="E110" s="290"/>
      <c r="F110" s="290"/>
      <c r="G110" s="254"/>
      <c r="H110" s="655"/>
      <c r="I110" s="608"/>
      <c r="J110" s="608"/>
      <c r="K110" s="608"/>
      <c r="L110" s="254"/>
      <c r="M110" s="655"/>
      <c r="N110" s="608"/>
      <c r="O110" s="290"/>
      <c r="P110" s="608"/>
      <c r="Q110" s="254"/>
      <c r="R110" s="293"/>
      <c r="S110" s="290"/>
      <c r="T110" s="290"/>
      <c r="U110" s="290"/>
      <c r="V110" s="254"/>
      <c r="W110" s="293"/>
      <c r="X110" s="290"/>
      <c r="Y110" s="290"/>
      <c r="Z110" s="290"/>
      <c r="AA110" s="254"/>
      <c r="AB110" s="293"/>
      <c r="AC110" s="290"/>
      <c r="AD110" s="290"/>
      <c r="AE110" s="290"/>
      <c r="AF110" s="254"/>
      <c r="AG110" s="293"/>
      <c r="AH110" s="290"/>
      <c r="AI110" s="290"/>
      <c r="AJ110" s="290"/>
      <c r="AK110" s="254"/>
    </row>
    <row r="111" spans="1:37" s="470" customFormat="1" ht="12.75" hidden="1" customHeight="1" outlineLevel="1">
      <c r="A111" s="416"/>
      <c r="B111" s="476" t="s">
        <v>313</v>
      </c>
      <c r="C111" s="698"/>
      <c r="D111" s="698"/>
      <c r="E111" s="698"/>
      <c r="F111" s="698"/>
      <c r="G111" s="661">
        <v>5.4630000000000001</v>
      </c>
      <c r="H111" s="698"/>
      <c r="I111" s="698"/>
      <c r="J111" s="698"/>
      <c r="K111" s="493"/>
      <c r="L111" s="661">
        <v>28.474</v>
      </c>
      <c r="M111" s="698">
        <v>11.72</v>
      </c>
      <c r="N111" s="698">
        <v>25.263999999999999</v>
      </c>
      <c r="O111" s="698">
        <v>36.790999999999997</v>
      </c>
      <c r="P111" s="493"/>
      <c r="Q111" s="661">
        <v>118.158</v>
      </c>
      <c r="R111" s="698">
        <v>52.207999999999998</v>
      </c>
      <c r="S111" s="698">
        <v>65.132999999999996</v>
      </c>
      <c r="T111" s="698">
        <v>83.34</v>
      </c>
      <c r="U111" s="493"/>
      <c r="V111" s="564"/>
      <c r="W111" s="493"/>
      <c r="X111" s="493"/>
      <c r="Y111" s="493"/>
      <c r="Z111" s="493"/>
      <c r="AA111" s="564"/>
      <c r="AB111" s="493"/>
      <c r="AC111" s="493"/>
      <c r="AD111" s="493"/>
      <c r="AE111" s="493"/>
      <c r="AF111" s="564"/>
      <c r="AG111" s="493"/>
      <c r="AH111" s="493"/>
      <c r="AI111" s="493"/>
      <c r="AJ111" s="493"/>
      <c r="AK111" s="564"/>
    </row>
    <row r="112" spans="1:37" s="298" customFormat="1" ht="12.75" hidden="1" customHeight="1" outlineLevel="1">
      <c r="A112" s="416"/>
      <c r="B112" s="433" t="s">
        <v>31</v>
      </c>
      <c r="C112" s="102"/>
      <c r="D112" s="102"/>
      <c r="E112" s="102"/>
      <c r="F112" s="102"/>
      <c r="G112" s="254"/>
      <c r="H112" s="291"/>
      <c r="I112" s="291"/>
      <c r="J112" s="291"/>
      <c r="K112" s="291"/>
      <c r="L112" s="254">
        <f>IFERROR(L111/G111-1,"")</f>
        <v>4.2121544938678381</v>
      </c>
      <c r="M112" s="291"/>
      <c r="N112" s="291"/>
      <c r="O112" s="102"/>
      <c r="P112" s="291"/>
      <c r="Q112" s="254">
        <f>IFERROR(Q111/L111-1,"")</f>
        <v>3.1496804101987781</v>
      </c>
      <c r="R112" s="102">
        <f>R111/M111-1</f>
        <v>3.4546075085324226</v>
      </c>
      <c r="S112" s="102">
        <f>S111/N111-1</f>
        <v>1.5780953134895501</v>
      </c>
      <c r="T112" s="102">
        <f>T111/O111-1</f>
        <v>1.265227908999484</v>
      </c>
      <c r="U112" s="102"/>
      <c r="V112" s="254"/>
      <c r="W112" s="102"/>
      <c r="X112" s="102"/>
      <c r="Y112" s="102"/>
      <c r="Z112" s="102"/>
      <c r="AA112" s="254"/>
      <c r="AB112" s="102"/>
      <c r="AC112" s="102"/>
      <c r="AD112" s="102"/>
      <c r="AE112" s="102"/>
      <c r="AF112" s="254"/>
      <c r="AG112" s="102"/>
      <c r="AH112" s="102"/>
      <c r="AI112" s="102"/>
      <c r="AJ112" s="102"/>
      <c r="AK112" s="254"/>
    </row>
    <row r="113" spans="1:37" ht="12.75" hidden="1" customHeight="1" outlineLevel="1">
      <c r="B113" s="433" t="s">
        <v>33</v>
      </c>
      <c r="C113" s="616"/>
      <c r="D113" s="102"/>
      <c r="E113" s="102"/>
      <c r="F113" s="102"/>
      <c r="G113" s="255"/>
      <c r="H113" s="616"/>
      <c r="I113" s="291"/>
      <c r="J113" s="291"/>
      <c r="K113" s="291"/>
      <c r="L113" s="255"/>
      <c r="M113" s="616"/>
      <c r="N113" s="253">
        <f>N111/M111-1</f>
        <v>1.1556313993174059</v>
      </c>
      <c r="O113" s="253">
        <f>O111/N111-1</f>
        <v>0.45626187460417977</v>
      </c>
      <c r="P113" s="291"/>
      <c r="Q113" s="255"/>
      <c r="R113" s="253"/>
      <c r="S113" s="253">
        <f>S111/R111-1</f>
        <v>0.24756742261722331</v>
      </c>
      <c r="T113" s="253">
        <f>T111/S111-1</f>
        <v>0.27953571922067177</v>
      </c>
      <c r="U113" s="102"/>
      <c r="V113" s="255"/>
      <c r="W113" s="253"/>
      <c r="X113" s="102"/>
      <c r="Y113" s="102"/>
      <c r="Z113" s="102"/>
      <c r="AA113" s="255"/>
      <c r="AB113" s="253"/>
      <c r="AC113" s="102"/>
      <c r="AD113" s="102"/>
      <c r="AE113" s="102"/>
      <c r="AF113" s="255"/>
      <c r="AG113" s="253"/>
      <c r="AH113" s="102"/>
      <c r="AI113" s="102"/>
      <c r="AJ113" s="102"/>
      <c r="AK113" s="255"/>
    </row>
    <row r="114" spans="1:37" ht="12.75" hidden="1" customHeight="1" outlineLevel="1">
      <c r="B114" s="433" t="s">
        <v>99</v>
      </c>
      <c r="C114" s="616"/>
      <c r="D114" s="102"/>
      <c r="E114" s="102"/>
      <c r="F114" s="102"/>
      <c r="G114" s="255">
        <f>IFERROR(G111/G$10,"")</f>
        <v>0.34510423246999367</v>
      </c>
      <c r="H114" s="616"/>
      <c r="I114" s="291"/>
      <c r="J114" s="291"/>
      <c r="K114" s="291"/>
      <c r="L114" s="255">
        <f>IFERROR(L111/L$10,"")</f>
        <v>0.12437156846900757</v>
      </c>
      <c r="M114" s="253">
        <f>IFERROR(M111/M$10,"")</f>
        <v>6.2114434716245157E-2</v>
      </c>
      <c r="N114" s="253">
        <f>IFERROR(N111/N$10,"")</f>
        <v>6.3899476694041807E-2</v>
      </c>
      <c r="O114" s="253">
        <f>IFERROR(O111/O$10,"")</f>
        <v>6.3004652867327343E-2</v>
      </c>
      <c r="P114" s="291"/>
      <c r="Q114" s="255">
        <f>IFERROR(Q111/Q$10,"")</f>
        <v>6.1687582814475742E-2</v>
      </c>
      <c r="R114" s="253">
        <f>IFERROR(R111/R$10,"")</f>
        <v>5.3184900247750688E-2</v>
      </c>
      <c r="S114" s="253">
        <f>IFERROR(S111/S$10,"")</f>
        <v>5.3705181779503092E-2</v>
      </c>
      <c r="T114" s="253">
        <f>IFERROR(T111/T$10,"")</f>
        <v>6.1069440658442012E-2</v>
      </c>
      <c r="U114" s="102"/>
      <c r="V114" s="255"/>
      <c r="W114" s="253"/>
      <c r="X114" s="102"/>
      <c r="Y114" s="102"/>
      <c r="Z114" s="102"/>
      <c r="AA114" s="255"/>
      <c r="AB114" s="253"/>
      <c r="AC114" s="102"/>
      <c r="AD114" s="102"/>
      <c r="AE114" s="102"/>
      <c r="AF114" s="255"/>
      <c r="AG114" s="253"/>
      <c r="AH114" s="102"/>
      <c r="AI114" s="102"/>
      <c r="AJ114" s="102"/>
      <c r="AK114" s="255"/>
    </row>
    <row r="115" spans="1:37" s="269" customFormat="1" ht="12.75" customHeight="1" collapsed="1">
      <c r="A115" s="416"/>
      <c r="B115" s="433"/>
      <c r="C115" s="655"/>
      <c r="D115" s="290"/>
      <c r="E115" s="290"/>
      <c r="F115" s="290"/>
      <c r="G115" s="254"/>
      <c r="H115" s="293"/>
      <c r="I115" s="290"/>
      <c r="J115" s="290"/>
      <c r="K115" s="290"/>
      <c r="L115" s="254"/>
      <c r="M115" s="293"/>
      <c r="N115" s="290"/>
      <c r="O115" s="290"/>
      <c r="P115" s="290"/>
      <c r="Q115" s="254"/>
      <c r="R115" s="293"/>
      <c r="S115" s="290"/>
      <c r="T115" s="290"/>
      <c r="U115" s="290"/>
      <c r="V115" s="254"/>
      <c r="W115" s="293"/>
      <c r="X115" s="290"/>
      <c r="Y115" s="290"/>
      <c r="Z115" s="290"/>
      <c r="AA115" s="254"/>
      <c r="AB115" s="293"/>
      <c r="AC115" s="290"/>
      <c r="AD115" s="290"/>
      <c r="AE115" s="290"/>
      <c r="AF115" s="254"/>
      <c r="AG115" s="293"/>
      <c r="AH115" s="290"/>
      <c r="AI115" s="290"/>
      <c r="AJ115" s="290"/>
      <c r="AK115" s="254"/>
    </row>
    <row r="116" spans="1:37" s="269" customFormat="1" ht="12.75" customHeight="1">
      <c r="A116" s="416"/>
      <c r="B116" s="490" t="s">
        <v>648</v>
      </c>
      <c r="C116" s="655"/>
      <c r="D116" s="290"/>
      <c r="E116" s="290"/>
      <c r="F116" s="290"/>
      <c r="G116" s="254"/>
      <c r="H116" s="293"/>
      <c r="I116" s="290"/>
      <c r="J116" s="290"/>
      <c r="K116" s="290"/>
      <c r="L116" s="254"/>
      <c r="M116" s="293"/>
      <c r="N116" s="290"/>
      <c r="O116" s="290"/>
      <c r="P116" s="290"/>
      <c r="Q116" s="254"/>
      <c r="R116" s="293"/>
      <c r="S116" s="290"/>
      <c r="T116" s="290"/>
      <c r="U116" s="290"/>
      <c r="V116" s="254"/>
      <c r="W116" s="293"/>
      <c r="X116" s="290"/>
      <c r="Y116" s="290"/>
      <c r="Z116" s="290"/>
      <c r="AA116" s="254"/>
      <c r="AB116" s="293"/>
      <c r="AC116" s="290"/>
      <c r="AD116" s="290"/>
      <c r="AE116" s="290"/>
      <c r="AF116" s="254"/>
      <c r="AG116" s="293"/>
      <c r="AH116" s="290"/>
      <c r="AI116" s="290"/>
      <c r="AJ116" s="290"/>
      <c r="AK116" s="254"/>
    </row>
    <row r="117" spans="1:37" s="289" customFormat="1" ht="12.75" hidden="1" customHeight="1" outlineLevel="1">
      <c r="A117" s="283"/>
      <c r="B117" s="1316" t="s">
        <v>650</v>
      </c>
      <c r="C117" s="371"/>
      <c r="D117" s="371"/>
      <c r="E117" s="371"/>
      <c r="F117" s="371"/>
      <c r="G117" s="369" t="str">
        <f>IFERROR(G$10*G120,"")</f>
        <v/>
      </c>
      <c r="H117" s="371"/>
      <c r="I117" s="371"/>
      <c r="J117" s="371"/>
      <c r="K117" s="491"/>
      <c r="L117" s="369">
        <f>IFERROR(L$10*L120,"")</f>
        <v>80.130049999999997</v>
      </c>
      <c r="M117" s="491">
        <f>IFERROR(M$10*M120,"")</f>
        <v>62.265720000000002</v>
      </c>
      <c r="N117" s="491">
        <f>IFERROR(N$10*N120,"")</f>
        <v>233.26888999999997</v>
      </c>
      <c r="O117" s="491">
        <f>IFERROR(O$10*O120,"")</f>
        <v>379.56165000000004</v>
      </c>
      <c r="P117" s="491"/>
      <c r="Q117" s="369">
        <f>IFERROR(Q$10*Q120,"")</f>
        <v>1187.56412</v>
      </c>
      <c r="R117" s="491">
        <f>IFERROR(R$10*R120,"")</f>
        <v>706.77503999999999</v>
      </c>
      <c r="S117" s="491">
        <f>IFERROR(S$10*S120,"")</f>
        <v>861.07947999999999</v>
      </c>
      <c r="T117" s="491">
        <f>IFERROR(T$10*T120,"")</f>
        <v>914.33292000000006</v>
      </c>
      <c r="U117" s="491"/>
      <c r="V117" s="370"/>
      <c r="W117" s="491"/>
      <c r="X117" s="491"/>
      <c r="Y117" s="491"/>
      <c r="Z117" s="491"/>
      <c r="AA117" s="370"/>
      <c r="AB117" s="491"/>
      <c r="AC117" s="491"/>
      <c r="AD117" s="491"/>
      <c r="AE117" s="491"/>
      <c r="AF117" s="370"/>
      <c r="AG117" s="491"/>
      <c r="AH117" s="491"/>
      <c r="AI117" s="491"/>
      <c r="AJ117" s="491"/>
      <c r="AK117" s="370"/>
    </row>
    <row r="118" spans="1:37" s="298" customFormat="1" ht="12.75" hidden="1" customHeight="1" outlineLevel="1">
      <c r="A118" s="416"/>
      <c r="B118" s="433" t="s">
        <v>31</v>
      </c>
      <c r="C118" s="102"/>
      <c r="D118" s="102"/>
      <c r="E118" s="102"/>
      <c r="F118" s="102"/>
      <c r="G118" s="254" t="str">
        <f>IFERROR(G117/B117-1,"")</f>
        <v/>
      </c>
      <c r="H118" s="291"/>
      <c r="I118" s="291"/>
      <c r="J118" s="291"/>
      <c r="K118" s="291"/>
      <c r="L118" s="254" t="str">
        <f>IFERROR(L117/G117-1,"")</f>
        <v/>
      </c>
      <c r="M118" s="102" t="str">
        <f>IFERROR(M117/H117-1,"")</f>
        <v/>
      </c>
      <c r="N118" s="291"/>
      <c r="O118" s="291"/>
      <c r="P118" s="291"/>
      <c r="Q118" s="254">
        <f>IFERROR(Q117/L117-1,"")</f>
        <v>13.820458991352183</v>
      </c>
      <c r="R118" s="102">
        <f>IFERROR(R117/M117-1,"")</f>
        <v>10.350949446983027</v>
      </c>
      <c r="S118" s="102">
        <f>IFERROR(S117/N117-1,"")</f>
        <v>2.6913601295054823</v>
      </c>
      <c r="T118" s="102">
        <f>IFERROR(T117/O117-1,"")</f>
        <v>1.4089180769448122</v>
      </c>
      <c r="U118" s="102"/>
      <c r="V118" s="254"/>
      <c r="W118" s="102"/>
      <c r="X118" s="102"/>
      <c r="Y118" s="102"/>
      <c r="Z118" s="102"/>
      <c r="AA118" s="254"/>
      <c r="AB118" s="102"/>
      <c r="AC118" s="102"/>
      <c r="AD118" s="102"/>
      <c r="AE118" s="102"/>
      <c r="AF118" s="254"/>
      <c r="AG118" s="102"/>
      <c r="AH118" s="102"/>
      <c r="AI118" s="102"/>
      <c r="AJ118" s="102"/>
      <c r="AK118" s="254"/>
    </row>
    <row r="119" spans="1:37" ht="12.75" hidden="1" customHeight="1" outlineLevel="1">
      <c r="B119" s="433" t="s">
        <v>33</v>
      </c>
      <c r="C119" s="616"/>
      <c r="D119" s="102"/>
      <c r="E119" s="102"/>
      <c r="F119" s="102"/>
      <c r="G119" s="255"/>
      <c r="H119" s="616"/>
      <c r="I119" s="291"/>
      <c r="J119" s="291"/>
      <c r="K119" s="291"/>
      <c r="L119" s="255"/>
      <c r="M119" s="253"/>
      <c r="N119" s="291"/>
      <c r="O119" s="291"/>
      <c r="P119" s="291"/>
      <c r="Q119" s="255"/>
      <c r="R119" s="253"/>
      <c r="S119" s="102"/>
      <c r="T119" s="102"/>
      <c r="U119" s="102"/>
      <c r="V119" s="255"/>
      <c r="W119" s="253"/>
      <c r="X119" s="102"/>
      <c r="Y119" s="102"/>
      <c r="Z119" s="102"/>
      <c r="AA119" s="255"/>
      <c r="AB119" s="253"/>
      <c r="AC119" s="102"/>
      <c r="AD119" s="102"/>
      <c r="AE119" s="102"/>
      <c r="AF119" s="255"/>
      <c r="AG119" s="253"/>
      <c r="AH119" s="102"/>
      <c r="AI119" s="102"/>
      <c r="AJ119" s="102"/>
      <c r="AK119" s="255"/>
    </row>
    <row r="120" spans="1:37" ht="12.75" hidden="1" customHeight="1" outlineLevel="1">
      <c r="B120" s="433" t="s">
        <v>99</v>
      </c>
      <c r="C120" s="616"/>
      <c r="D120" s="102"/>
      <c r="E120" s="102"/>
      <c r="F120" s="102"/>
      <c r="G120" s="1315" t="s">
        <v>649</v>
      </c>
      <c r="H120" s="616"/>
      <c r="I120" s="291"/>
      <c r="J120" s="291"/>
      <c r="K120" s="291"/>
      <c r="L120" s="521">
        <v>0.35</v>
      </c>
      <c r="M120" s="300">
        <v>0.33</v>
      </c>
      <c r="N120" s="300">
        <v>0.59</v>
      </c>
      <c r="O120" s="300">
        <v>0.65</v>
      </c>
      <c r="P120" s="291"/>
      <c r="Q120" s="521">
        <v>0.62</v>
      </c>
      <c r="R120" s="300">
        <v>0.72</v>
      </c>
      <c r="S120" s="544">
        <v>0.71</v>
      </c>
      <c r="T120" s="544">
        <v>0.67</v>
      </c>
      <c r="U120" s="102"/>
      <c r="V120" s="255"/>
      <c r="W120" s="253"/>
      <c r="X120" s="102"/>
      <c r="Y120" s="102"/>
      <c r="Z120" s="102"/>
      <c r="AA120" s="255"/>
      <c r="AB120" s="253"/>
      <c r="AC120" s="102"/>
      <c r="AD120" s="102"/>
      <c r="AE120" s="102"/>
      <c r="AF120" s="255"/>
      <c r="AG120" s="253"/>
      <c r="AH120" s="102"/>
      <c r="AI120" s="102"/>
      <c r="AJ120" s="102"/>
      <c r="AK120" s="255"/>
    </row>
    <row r="121" spans="1:37" s="269" customFormat="1" ht="12.75" customHeight="1" collapsed="1">
      <c r="A121" s="416"/>
      <c r="B121" s="433"/>
      <c r="C121" s="655"/>
      <c r="D121" s="290"/>
      <c r="E121" s="290"/>
      <c r="F121" s="290"/>
      <c r="G121" s="254"/>
      <c r="H121" s="293"/>
      <c r="I121" s="290"/>
      <c r="J121" s="290"/>
      <c r="K121" s="290"/>
      <c r="L121" s="254"/>
      <c r="M121" s="293"/>
      <c r="N121" s="290"/>
      <c r="O121" s="290"/>
      <c r="P121" s="290"/>
      <c r="Q121" s="254"/>
      <c r="R121" s="293"/>
      <c r="S121" s="290"/>
      <c r="T121" s="290"/>
      <c r="U121" s="290"/>
      <c r="V121" s="254"/>
      <c r="W121" s="293"/>
      <c r="X121" s="290"/>
      <c r="Y121" s="290"/>
      <c r="Z121" s="290"/>
      <c r="AA121" s="254"/>
      <c r="AB121" s="293"/>
      <c r="AC121" s="290"/>
      <c r="AD121" s="290"/>
      <c r="AE121" s="290"/>
      <c r="AF121" s="254"/>
      <c r="AG121" s="293"/>
      <c r="AH121" s="290"/>
      <c r="AI121" s="290"/>
      <c r="AJ121" s="290"/>
      <c r="AK121" s="254"/>
    </row>
    <row r="122" spans="1:37" s="89" customFormat="1">
      <c r="A122" s="416"/>
      <c r="B122" s="386" t="s">
        <v>212</v>
      </c>
      <c r="C122" s="616"/>
      <c r="D122" s="102"/>
      <c r="E122" s="102"/>
      <c r="F122" s="102"/>
      <c r="G122" s="236"/>
      <c r="H122" s="253"/>
      <c r="I122" s="102"/>
      <c r="J122" s="102"/>
      <c r="K122" s="102"/>
      <c r="L122" s="236"/>
      <c r="M122" s="253"/>
      <c r="N122" s="102"/>
      <c r="O122" s="102"/>
      <c r="P122" s="102"/>
      <c r="Q122" s="236"/>
      <c r="R122" s="253"/>
      <c r="S122" s="102"/>
      <c r="T122" s="102"/>
      <c r="U122" s="102"/>
      <c r="V122" s="236"/>
      <c r="W122" s="253"/>
      <c r="X122" s="102"/>
      <c r="Y122" s="102"/>
      <c r="Z122" s="102"/>
      <c r="AA122" s="236"/>
      <c r="AB122" s="253"/>
      <c r="AC122" s="102"/>
      <c r="AD122" s="102"/>
      <c r="AE122" s="102"/>
      <c r="AF122" s="236"/>
      <c r="AG122" s="253"/>
      <c r="AH122" s="102"/>
      <c r="AI122" s="102"/>
      <c r="AJ122" s="102"/>
      <c r="AK122" s="236"/>
    </row>
    <row r="123" spans="1:37" s="299" customFormat="1" hidden="1" outlineLevel="1">
      <c r="A123" s="416"/>
      <c r="B123" s="394" t="s">
        <v>213</v>
      </c>
      <c r="C123" s="659"/>
      <c r="D123" s="529"/>
      <c r="E123" s="529"/>
      <c r="F123" s="529"/>
      <c r="G123" s="530"/>
      <c r="H123" s="529"/>
      <c r="I123" s="529"/>
      <c r="J123" s="529"/>
      <c r="K123" s="529"/>
      <c r="L123" s="530"/>
      <c r="M123" s="529">
        <f>M125/M127</f>
        <v>2.0779469962251534E-2</v>
      </c>
      <c r="N123" s="529">
        <f>N125/N127</f>
        <v>1.1479906429487145E-2</v>
      </c>
      <c r="O123" s="529">
        <f>O125/O127</f>
        <v>8.5216317994813769E-3</v>
      </c>
      <c r="P123" s="529">
        <f>P125/P127</f>
        <v>7.280660340822997E-3</v>
      </c>
      <c r="Q123" s="530">
        <f>Q125/Q127</f>
        <v>7.280660340822997E-3</v>
      </c>
      <c r="R123" s="529">
        <f t="shared" ref="R123:AK123" si="17">R125/R127</f>
        <v>7.8466683817854394E-3</v>
      </c>
      <c r="S123" s="529">
        <f t="shared" si="17"/>
        <v>1.7590470959131018E-2</v>
      </c>
      <c r="T123" s="529">
        <f t="shared" si="17"/>
        <v>3.1254522981549439E-2</v>
      </c>
      <c r="U123" s="529">
        <f t="shared" si="17"/>
        <v>4.3908620063151327E-2</v>
      </c>
      <c r="V123" s="530">
        <f t="shared" si="17"/>
        <v>4.3908620063151327E-2</v>
      </c>
      <c r="W123" s="529">
        <f t="shared" si="17"/>
        <v>4.1374895651811822E-2</v>
      </c>
      <c r="X123" s="529">
        <f t="shared" si="17"/>
        <v>3.3309911001201446E-2</v>
      </c>
      <c r="Y123" s="529">
        <f t="shared" si="17"/>
        <v>3.3599334248287406E-2</v>
      </c>
      <c r="Z123" s="529">
        <f t="shared" si="17"/>
        <v>3.5554492504090887E-2</v>
      </c>
      <c r="AA123" s="530">
        <f t="shared" si="17"/>
        <v>3.5554492504090887E-2</v>
      </c>
      <c r="AB123" s="529">
        <f t="shared" si="17"/>
        <v>4.3709516255343972E-2</v>
      </c>
      <c r="AC123" s="529">
        <f t="shared" si="17"/>
        <v>6.2480413593665969E-2</v>
      </c>
      <c r="AD123" s="529">
        <f t="shared" si="17"/>
        <v>6.5188181463943437E-2</v>
      </c>
      <c r="AE123" s="529">
        <f t="shared" si="17"/>
        <v>6.6192879777537128E-2</v>
      </c>
      <c r="AF123" s="530">
        <f t="shared" si="17"/>
        <v>6.6192879777537128E-2</v>
      </c>
      <c r="AG123" s="529">
        <f t="shared" si="17"/>
        <v>6.7603382625493411E-2</v>
      </c>
      <c r="AH123" s="529">
        <f t="shared" si="17"/>
        <v>7.8011381079593253E-2</v>
      </c>
      <c r="AI123" s="529">
        <f t="shared" si="17"/>
        <v>9.1584992396876203E-2</v>
      </c>
      <c r="AJ123" s="529">
        <f t="shared" si="17"/>
        <v>0.10635403613786558</v>
      </c>
      <c r="AK123" s="530">
        <f t="shared" si="17"/>
        <v>0.10635403613786558</v>
      </c>
    </row>
    <row r="124" spans="1:37" s="89" customFormat="1" hidden="1" outlineLevel="1">
      <c r="A124" s="416"/>
      <c r="B124" s="531" t="s">
        <v>214</v>
      </c>
      <c r="C124" s="657"/>
      <c r="D124" s="532"/>
      <c r="E124" s="532"/>
      <c r="F124" s="532"/>
      <c r="G124" s="533">
        <f>'IS (GAAP)'!G34</f>
        <v>2.4809999999999999</v>
      </c>
      <c r="H124" s="534">
        <f>'IS (GAAP)'!H34</f>
        <v>1.942585797539391</v>
      </c>
      <c r="I124" s="532">
        <f>'IS (GAAP)'!I34</f>
        <v>2.4115328146495414</v>
      </c>
      <c r="J124" s="532">
        <f>'IS (GAAP)'!J34</f>
        <v>3.9969456805076491</v>
      </c>
      <c r="K124" s="532">
        <f>'IS (GAAP)'!K34</f>
        <v>4.5659357073034181</v>
      </c>
      <c r="L124" s="533">
        <f>'IS (GAAP)'!L34</f>
        <v>12.917</v>
      </c>
      <c r="M124" s="534">
        <f>'IS (GAAP)'!M34</f>
        <v>4.05</v>
      </c>
      <c r="N124" s="532">
        <f>'IS (GAAP)'!N34</f>
        <v>4.1719999999999997</v>
      </c>
      <c r="O124" s="532">
        <f>'IS (GAAP)'!O34</f>
        <v>4.5540000000000003</v>
      </c>
      <c r="P124" s="532">
        <f>'IS (GAAP)'!P34</f>
        <v>5.6130000000000004</v>
      </c>
      <c r="Q124" s="533">
        <f>'IS (GAAP)'!Q34</f>
        <v>18.388999999999999</v>
      </c>
      <c r="R124" s="534">
        <f>'IS (GAAP)'!R34</f>
        <v>10.548999999999999</v>
      </c>
      <c r="S124" s="532">
        <f>'IS (GAAP)'!S34</f>
        <v>36.798999999999999</v>
      </c>
      <c r="T124" s="532">
        <f>'IS (GAAP)'!T34</f>
        <v>44.645000000000003</v>
      </c>
      <c r="U124" s="532">
        <f>'IS (GAAP)'!U34</f>
        <v>47.715418923036573</v>
      </c>
      <c r="V124" s="533">
        <f>'IS (GAAP)'!V34</f>
        <v>139.70841892303656</v>
      </c>
      <c r="W124" s="534">
        <f>'IS (GAAP)'!W34</f>
        <v>76.969515824994758</v>
      </c>
      <c r="X124" s="532">
        <f>'IS (GAAP)'!X34</f>
        <v>64.026554258029236</v>
      </c>
      <c r="Y124" s="532">
        <f>'IS (GAAP)'!Y34</f>
        <v>70.004478461410642</v>
      </c>
      <c r="Z124" s="532">
        <f>'IS (GAAP)'!Z34</f>
        <v>70.271890740521172</v>
      </c>
      <c r="AA124" s="533">
        <f>'IS (GAAP)'!AA34</f>
        <v>281.27243928495579</v>
      </c>
      <c r="AB124" s="534">
        <f>'IS (GAAP)'!AB34</f>
        <v>72.725584262886443</v>
      </c>
      <c r="AC124" s="532">
        <f>'IS (GAAP)'!AC34</f>
        <v>84.34874432119139</v>
      </c>
      <c r="AD124" s="532">
        <f>'IS (GAAP)'!AD34</f>
        <v>81.423755827574894</v>
      </c>
      <c r="AE124" s="532">
        <f>'IS (GAAP)'!AE34</f>
        <v>92.688701075040413</v>
      </c>
      <c r="AF124" s="533">
        <f>'IS (GAAP)'!AF34</f>
        <v>331.18678548669311</v>
      </c>
      <c r="AG124" s="534">
        <f>'IS (GAAP)'!AG34</f>
        <v>94.924609977628265</v>
      </c>
      <c r="AH124" s="532">
        <f>'IS (GAAP)'!AH34</f>
        <v>97.870029446958142</v>
      </c>
      <c r="AI124" s="532">
        <f>'IS (GAAP)'!AI34</f>
        <v>97.501076029007237</v>
      </c>
      <c r="AJ124" s="532">
        <f>'IS (GAAP)'!AJ34</f>
        <v>99.435407644184792</v>
      </c>
      <c r="AK124" s="533">
        <f>'IS (GAAP)'!AK34</f>
        <v>389.73112309777844</v>
      </c>
    </row>
    <row r="125" spans="1:37" s="89" customFormat="1" hidden="1" outlineLevel="1">
      <c r="A125" s="416"/>
      <c r="B125" s="535" t="s">
        <v>215</v>
      </c>
      <c r="C125" s="656"/>
      <c r="D125" s="288"/>
      <c r="E125" s="288"/>
      <c r="F125" s="288"/>
      <c r="G125" s="418"/>
      <c r="H125" s="287"/>
      <c r="I125" s="288"/>
      <c r="J125" s="288"/>
      <c r="K125" s="288"/>
      <c r="L125" s="418"/>
      <c r="M125" s="287">
        <f>M124+K124+J124+I124</f>
        <v>15.024414202460608</v>
      </c>
      <c r="N125" s="288">
        <f>N124+M124+K124+J124</f>
        <v>16.784881387811069</v>
      </c>
      <c r="O125" s="288">
        <f>O124+N124+M124+K124</f>
        <v>17.341935707303417</v>
      </c>
      <c r="P125" s="288">
        <f>P124+O124+N124+M124</f>
        <v>18.389000000000003</v>
      </c>
      <c r="Q125" s="418">
        <f>P125</f>
        <v>18.389000000000003</v>
      </c>
      <c r="R125" s="287">
        <f>R124+P124+O124+N124</f>
        <v>24.888000000000002</v>
      </c>
      <c r="S125" s="288">
        <f>S124+R124+P124+O124</f>
        <v>57.515000000000001</v>
      </c>
      <c r="T125" s="288">
        <f>T124+S124+R124+P124</f>
        <v>97.605999999999995</v>
      </c>
      <c r="U125" s="288">
        <f>U124+T124+S124+R124</f>
        <v>139.70841892303659</v>
      </c>
      <c r="V125" s="418">
        <f>U125</f>
        <v>139.70841892303659</v>
      </c>
      <c r="W125" s="287">
        <f>W124+U124+T124+S124</f>
        <v>206.12893474803136</v>
      </c>
      <c r="X125" s="288">
        <f>X124+W124+U124+T124</f>
        <v>233.35648900606057</v>
      </c>
      <c r="Y125" s="288">
        <f>Y124+X124+W124+U124</f>
        <v>258.71596746747122</v>
      </c>
      <c r="Z125" s="288">
        <f>Z124+Y124+X124+W124</f>
        <v>281.27243928495579</v>
      </c>
      <c r="AA125" s="418">
        <f>Z125</f>
        <v>281.27243928495579</v>
      </c>
      <c r="AB125" s="287">
        <f>AB124+Z124+Y124+X124</f>
        <v>277.02850772284751</v>
      </c>
      <c r="AC125" s="288">
        <f>AC124+AB124+Z124+Y124</f>
        <v>297.35069778600962</v>
      </c>
      <c r="AD125" s="288">
        <f>AD124+AC124+AB124+Z124</f>
        <v>308.76997515217386</v>
      </c>
      <c r="AE125" s="288">
        <f>AE124+AD124+AC124+AB124</f>
        <v>331.18678548669317</v>
      </c>
      <c r="AF125" s="418">
        <f>AE125</f>
        <v>331.18678548669317</v>
      </c>
      <c r="AG125" s="287">
        <f>AG124+AE124+AD124+AC124</f>
        <v>353.38581120143499</v>
      </c>
      <c r="AH125" s="288">
        <f>AH124+AG124+AE124+AD124</f>
        <v>366.90709632720171</v>
      </c>
      <c r="AI125" s="288">
        <f>AI124+AH124+AG124+AE124</f>
        <v>382.98441652863403</v>
      </c>
      <c r="AJ125" s="288">
        <f>AJ124+AI124+AH124+AG124</f>
        <v>389.73112309777844</v>
      </c>
      <c r="AK125" s="418">
        <f>AJ125</f>
        <v>389.73112309777844</v>
      </c>
    </row>
    <row r="126" spans="1:37" s="89" customFormat="1" hidden="1" outlineLevel="1">
      <c r="A126" s="416"/>
      <c r="B126" s="531" t="s">
        <v>647</v>
      </c>
      <c r="C126" s="656"/>
      <c r="D126" s="288"/>
      <c r="E126" s="288"/>
      <c r="F126" s="288"/>
      <c r="G126" s="418"/>
      <c r="H126" s="287">
        <f t="shared" ref="H126:AJ126" si="18">H$10*4</f>
        <v>31.694737169220069</v>
      </c>
      <c r="I126" s="288">
        <f t="shared" si="18"/>
        <v>119.37440085748143</v>
      </c>
      <c r="J126" s="288">
        <f t="shared" si="18"/>
        <v>300.71530095167469</v>
      </c>
      <c r="K126" s="288">
        <f t="shared" si="18"/>
        <v>463.98756102162383</v>
      </c>
      <c r="L126" s="418">
        <f>K126</f>
        <v>463.98756102162383</v>
      </c>
      <c r="M126" s="287">
        <f t="shared" si="18"/>
        <v>754.73599999999999</v>
      </c>
      <c r="N126" s="288">
        <f t="shared" si="18"/>
        <v>1581.4839999999999</v>
      </c>
      <c r="O126" s="288">
        <f t="shared" si="18"/>
        <v>2335.7640000000001</v>
      </c>
      <c r="P126" s="288">
        <f t="shared" si="18"/>
        <v>2989.72</v>
      </c>
      <c r="Q126" s="418">
        <f>P126</f>
        <v>2989.72</v>
      </c>
      <c r="R126" s="287">
        <f t="shared" si="18"/>
        <v>3926.5279999999998</v>
      </c>
      <c r="S126" s="288">
        <f t="shared" si="18"/>
        <v>4851.152</v>
      </c>
      <c r="T126" s="288">
        <f t="shared" si="18"/>
        <v>5458.7039999999997</v>
      </c>
      <c r="U126" s="288">
        <f t="shared" si="18"/>
        <v>6171.5193533411375</v>
      </c>
      <c r="V126" s="418">
        <f>U126</f>
        <v>6171.5193533411375</v>
      </c>
      <c r="W126" s="287">
        <f t="shared" si="18"/>
        <v>8908.5087760410606</v>
      </c>
      <c r="X126" s="288">
        <f t="shared" si="18"/>
        <v>11856.76930704245</v>
      </c>
      <c r="Y126" s="288">
        <f t="shared" si="18"/>
        <v>13158.736552896737</v>
      </c>
      <c r="Z126" s="288">
        <f t="shared" si="18"/>
        <v>14082.543234573381</v>
      </c>
      <c r="AA126" s="418">
        <f>Z126</f>
        <v>14082.543234573381</v>
      </c>
      <c r="AB126" s="287">
        <f t="shared" si="18"/>
        <v>15246.453723875566</v>
      </c>
      <c r="AC126" s="288">
        <f t="shared" si="18"/>
        <v>16615.871891090548</v>
      </c>
      <c r="AD126" s="288">
        <f t="shared" si="18"/>
        <v>17895.330951115364</v>
      </c>
      <c r="AE126" s="288">
        <f t="shared" si="18"/>
        <v>19085.902910111821</v>
      </c>
      <c r="AF126" s="418">
        <f>AE126</f>
        <v>19085.902910111821</v>
      </c>
      <c r="AG126" s="287">
        <f t="shared" si="18"/>
        <v>20473.792911311022</v>
      </c>
      <c r="AH126" s="288">
        <f t="shared" si="18"/>
        <v>21319.122766150107</v>
      </c>
      <c r="AI126" s="288">
        <f t="shared" si="18"/>
        <v>22077.068662781068</v>
      </c>
      <c r="AJ126" s="288">
        <f t="shared" si="18"/>
        <v>22750.372423921097</v>
      </c>
      <c r="AK126" s="418">
        <f>AJ126</f>
        <v>22750.372423921097</v>
      </c>
    </row>
    <row r="127" spans="1:37" s="89" customFormat="1" hidden="1" outlineLevel="1">
      <c r="A127" s="416"/>
      <c r="B127" s="535" t="s">
        <v>206</v>
      </c>
      <c r="C127" s="656"/>
      <c r="D127" s="287"/>
      <c r="E127" s="287"/>
      <c r="F127" s="287"/>
      <c r="G127" s="418"/>
      <c r="H127" s="287"/>
      <c r="I127" s="287"/>
      <c r="J127" s="287"/>
      <c r="K127" s="287"/>
      <c r="L127" s="418"/>
      <c r="M127" s="287">
        <f t="shared" ref="M127:AK127" si="19">M126-H126</f>
        <v>723.04126283077994</v>
      </c>
      <c r="N127" s="287">
        <f t="shared" si="19"/>
        <v>1462.1095991425184</v>
      </c>
      <c r="O127" s="287">
        <f t="shared" si="19"/>
        <v>2035.0486990483255</v>
      </c>
      <c r="P127" s="287">
        <f t="shared" si="19"/>
        <v>2525.7324389783762</v>
      </c>
      <c r="Q127" s="418">
        <f t="shared" si="19"/>
        <v>2525.7324389783762</v>
      </c>
      <c r="R127" s="287">
        <f t="shared" si="19"/>
        <v>3171.7919999999999</v>
      </c>
      <c r="S127" s="287">
        <f t="shared" si="19"/>
        <v>3269.6680000000001</v>
      </c>
      <c r="T127" s="287">
        <f t="shared" si="19"/>
        <v>3122.9399999999996</v>
      </c>
      <c r="U127" s="287">
        <f t="shared" si="19"/>
        <v>3181.7993533411377</v>
      </c>
      <c r="V127" s="418">
        <f t="shared" si="19"/>
        <v>3181.7993533411377</v>
      </c>
      <c r="W127" s="287">
        <f t="shared" si="19"/>
        <v>4981.9807760410604</v>
      </c>
      <c r="X127" s="287">
        <f t="shared" si="19"/>
        <v>7005.6173070424502</v>
      </c>
      <c r="Y127" s="287">
        <f t="shared" si="19"/>
        <v>7700.0325528967369</v>
      </c>
      <c r="Z127" s="287">
        <f t="shared" si="19"/>
        <v>7911.0238812322432</v>
      </c>
      <c r="AA127" s="418">
        <f t="shared" si="19"/>
        <v>7911.0238812322432</v>
      </c>
      <c r="AB127" s="287">
        <f t="shared" si="19"/>
        <v>6337.944947834505</v>
      </c>
      <c r="AC127" s="287">
        <f t="shared" si="19"/>
        <v>4759.1025840480979</v>
      </c>
      <c r="AD127" s="287">
        <f t="shared" si="19"/>
        <v>4736.5943982186272</v>
      </c>
      <c r="AE127" s="287">
        <f t="shared" si="19"/>
        <v>5003.3596755384406</v>
      </c>
      <c r="AF127" s="418">
        <f t="shared" si="19"/>
        <v>5003.3596755384406</v>
      </c>
      <c r="AG127" s="287">
        <f t="shared" si="19"/>
        <v>5227.3391874354566</v>
      </c>
      <c r="AH127" s="287">
        <f t="shared" si="19"/>
        <v>4703.2508750595589</v>
      </c>
      <c r="AI127" s="287">
        <f t="shared" si="19"/>
        <v>4181.7377116657044</v>
      </c>
      <c r="AJ127" s="287">
        <f t="shared" si="19"/>
        <v>3664.4695138092757</v>
      </c>
      <c r="AK127" s="418">
        <f t="shared" si="19"/>
        <v>3664.4695138092757</v>
      </c>
    </row>
    <row r="128" spans="1:37" s="89" customFormat="1" hidden="1" outlineLevel="1">
      <c r="A128" s="416"/>
      <c r="B128" s="531"/>
      <c r="C128" s="616"/>
      <c r="D128" s="102"/>
      <c r="E128" s="102"/>
      <c r="F128" s="102"/>
      <c r="G128" s="236"/>
      <c r="H128" s="253"/>
      <c r="I128" s="102"/>
      <c r="J128" s="102"/>
      <c r="K128" s="102"/>
      <c r="L128" s="236"/>
      <c r="M128" s="253"/>
      <c r="N128" s="102"/>
      <c r="O128" s="102"/>
      <c r="P128" s="102"/>
      <c r="Q128" s="236"/>
      <c r="R128" s="253"/>
      <c r="S128" s="102"/>
      <c r="T128" s="102"/>
      <c r="U128" s="102"/>
      <c r="V128" s="236"/>
      <c r="W128" s="253"/>
      <c r="X128" s="102"/>
      <c r="Y128" s="102"/>
      <c r="Z128" s="102"/>
      <c r="AA128" s="236"/>
      <c r="AB128" s="253"/>
      <c r="AC128" s="102"/>
      <c r="AD128" s="102"/>
      <c r="AE128" s="102"/>
      <c r="AF128" s="236"/>
      <c r="AG128" s="253"/>
      <c r="AH128" s="102"/>
      <c r="AI128" s="102"/>
      <c r="AJ128" s="102"/>
      <c r="AK128" s="236"/>
    </row>
    <row r="129" spans="1:37" s="286" customFormat="1" hidden="1" outlineLevel="1">
      <c r="A129" s="416"/>
      <c r="B129" s="398" t="s">
        <v>216</v>
      </c>
      <c r="C129" s="659"/>
      <c r="D129" s="529"/>
      <c r="E129" s="529"/>
      <c r="F129" s="529"/>
      <c r="G129" s="530"/>
      <c r="H129" s="529"/>
      <c r="I129" s="529"/>
      <c r="J129" s="529"/>
      <c r="K129" s="529"/>
      <c r="L129" s="530"/>
      <c r="M129" s="529">
        <f t="shared" ref="M129:AK129" si="20">M131/M133</f>
        <v>1.9580368272528313E-2</v>
      </c>
      <c r="N129" s="529">
        <f t="shared" si="20"/>
        <v>1.0306943745290422E-2</v>
      </c>
      <c r="O129" s="529">
        <f t="shared" si="20"/>
        <v>7.2626938678249514E-3</v>
      </c>
      <c r="P129" s="529">
        <f t="shared" si="20"/>
        <v>5.9312497906783453E-3</v>
      </c>
      <c r="Q129" s="530">
        <f t="shared" si="20"/>
        <v>5.9312497906783453E-3</v>
      </c>
      <c r="R129" s="529">
        <f t="shared" si="20"/>
        <v>6.1563778457099328E-3</v>
      </c>
      <c r="S129" s="529">
        <f t="shared" si="20"/>
        <v>1.3612314767126203E-2</v>
      </c>
      <c r="T129" s="529">
        <f t="shared" si="20"/>
        <v>2.4219405432060817E-2</v>
      </c>
      <c r="U129" s="529">
        <f t="shared" si="20"/>
        <v>3.4651106355984368E-2</v>
      </c>
      <c r="V129" s="530">
        <f t="shared" si="20"/>
        <v>3.4651106355984368E-2</v>
      </c>
      <c r="W129" s="529">
        <f t="shared" si="20"/>
        <v>2.7731520676396049E-2</v>
      </c>
      <c r="X129" s="529">
        <f t="shared" si="20"/>
        <v>2.2450552640129684E-2</v>
      </c>
      <c r="Y129" s="529">
        <f t="shared" si="20"/>
        <v>2.2737556645014742E-2</v>
      </c>
      <c r="Z129" s="529">
        <f t="shared" si="20"/>
        <v>2.3828217245149941E-2</v>
      </c>
      <c r="AA129" s="530">
        <f t="shared" si="20"/>
        <v>2.3828217245149941E-2</v>
      </c>
      <c r="AB129" s="529">
        <f t="shared" si="20"/>
        <v>3.3140988721542454E-2</v>
      </c>
      <c r="AC129" s="529">
        <f t="shared" si="20"/>
        <v>4.7262735027248745E-2</v>
      </c>
      <c r="AD129" s="529">
        <f t="shared" si="20"/>
        <v>5.05428012460791E-2</v>
      </c>
      <c r="AE129" s="529">
        <f t="shared" si="20"/>
        <v>5.1597999100063185E-2</v>
      </c>
      <c r="AF129" s="530">
        <f t="shared" si="20"/>
        <v>5.1597999100063185E-2</v>
      </c>
      <c r="AG129" s="529">
        <f t="shared" si="20"/>
        <v>5.3137143014605162E-2</v>
      </c>
      <c r="AH129" s="529">
        <f t="shared" si="20"/>
        <v>6.280827211164669E-2</v>
      </c>
      <c r="AI129" s="529">
        <f t="shared" si="20"/>
        <v>7.4391221697382298E-2</v>
      </c>
      <c r="AJ129" s="529">
        <f t="shared" si="20"/>
        <v>8.8642117676659304E-2</v>
      </c>
      <c r="AK129" s="530">
        <f t="shared" si="20"/>
        <v>8.8642117676659304E-2</v>
      </c>
    </row>
    <row r="130" spans="1:37" s="89" customFormat="1" hidden="1" outlineLevel="1">
      <c r="A130" s="416"/>
      <c r="B130" s="531" t="s">
        <v>217</v>
      </c>
      <c r="C130" s="657"/>
      <c r="D130" s="532"/>
      <c r="E130" s="532"/>
      <c r="F130" s="532"/>
      <c r="G130" s="533">
        <f>'IS (Non-GAAP)'!G32</f>
        <v>2.407</v>
      </c>
      <c r="H130" s="534">
        <f>'IS (Non-GAAP)'!H32</f>
        <v>1.942585797539391</v>
      </c>
      <c r="I130" s="532">
        <f>'IS (Non-GAAP)'!I32</f>
        <v>2.4115328146495414</v>
      </c>
      <c r="J130" s="532">
        <f>'IS (Non-GAAP)'!J32</f>
        <v>3.9969456805076491</v>
      </c>
      <c r="K130" s="532">
        <f>'IS (Non-GAAP)'!K32</f>
        <v>4.5659357073034181</v>
      </c>
      <c r="L130" s="533">
        <f>'IS (Non-GAAP)'!L32</f>
        <v>11.177</v>
      </c>
      <c r="M130" s="534">
        <f>'IS (Non-GAAP)'!M32</f>
        <v>3.1829999999999998</v>
      </c>
      <c r="N130" s="532">
        <f>'IS (Non-GAAP)'!N32</f>
        <v>3.3239999999999998</v>
      </c>
      <c r="O130" s="532">
        <f>'IS (Non-GAAP)'!O32</f>
        <v>3.7070000000000003</v>
      </c>
      <c r="P130" s="532">
        <f>'IS (Non-GAAP)'!P32</f>
        <v>4.76675</v>
      </c>
      <c r="Q130" s="533">
        <f>'IS (Non-GAAP)'!Q32</f>
        <v>14.98075</v>
      </c>
      <c r="R130" s="534">
        <f>'IS (Non-GAAP)'!R32</f>
        <v>7.7289999999999992</v>
      </c>
      <c r="S130" s="532">
        <f>'IS (Non-GAAP)'!S32</f>
        <v>28.305</v>
      </c>
      <c r="T130" s="532">
        <f>'IS (Non-GAAP)'!T32</f>
        <v>34.835000000000001</v>
      </c>
      <c r="U130" s="532">
        <f>'IS (Non-GAAP)'!U32</f>
        <v>39.383867796026038</v>
      </c>
      <c r="V130" s="533">
        <f>'IS (Non-GAAP)'!V32</f>
        <v>110.25286779602604</v>
      </c>
      <c r="W130" s="534">
        <f>'IS (Non-GAAP)'!W32</f>
        <v>35.634035104164241</v>
      </c>
      <c r="X130" s="532">
        <f>'IS (Non-GAAP)'!X32</f>
        <v>47.4270772281698</v>
      </c>
      <c r="Y130" s="532">
        <f>'IS (Non-GAAP)'!Y32</f>
        <v>52.63494621158695</v>
      </c>
      <c r="Z130" s="532">
        <f>'IS (Non-GAAP)'!Z32</f>
        <v>52.809537129650174</v>
      </c>
      <c r="AA130" s="533">
        <f>'IS (Non-GAAP)'!AA32</f>
        <v>188.50559567357115</v>
      </c>
      <c r="AB130" s="534">
        <f>'IS (Non-GAAP)'!AB32</f>
        <v>57.174201464533368</v>
      </c>
      <c r="AC130" s="532">
        <f>'IS (Non-GAAP)'!AC32</f>
        <v>62.309519591589556</v>
      </c>
      <c r="AD130" s="532">
        <f>'IS (Non-GAAP)'!AD32</f>
        <v>67.107491066682613</v>
      </c>
      <c r="AE130" s="532">
        <f>'IS (Non-GAAP)'!AE32</f>
        <v>71.572135912919322</v>
      </c>
      <c r="AF130" s="533">
        <f>'IS (Non-GAAP)'!AF32</f>
        <v>258.16334803572488</v>
      </c>
      <c r="AG130" s="534">
        <f>'IS (Non-GAAP)'!AG32</f>
        <v>76.776723417416335</v>
      </c>
      <c r="AH130" s="532">
        <f>'IS (Non-GAAP)'!AH32</f>
        <v>79.946710373062899</v>
      </c>
      <c r="AI130" s="532">
        <f>'IS (Non-GAAP)'!AI32</f>
        <v>82.789007485428996</v>
      </c>
      <c r="AJ130" s="532">
        <f>'IS (Non-GAAP)'!AJ32</f>
        <v>85.313896589704115</v>
      </c>
      <c r="AK130" s="533">
        <f>'IS (Non-GAAP)'!AK32</f>
        <v>324.82633786561235</v>
      </c>
    </row>
    <row r="131" spans="1:37" s="89" customFormat="1" hidden="1" outlineLevel="1">
      <c r="A131" s="416"/>
      <c r="B131" s="535" t="s">
        <v>215</v>
      </c>
      <c r="C131" s="656"/>
      <c r="D131" s="288"/>
      <c r="E131" s="288"/>
      <c r="F131" s="288"/>
      <c r="G131" s="418"/>
      <c r="H131" s="287"/>
      <c r="I131" s="288"/>
      <c r="J131" s="288"/>
      <c r="K131" s="288"/>
      <c r="L131" s="418"/>
      <c r="M131" s="287">
        <f>M130+K130+J130+I130</f>
        <v>14.157414202460609</v>
      </c>
      <c r="N131" s="288">
        <f>N130+M130+K130+J130</f>
        <v>15.069881387811067</v>
      </c>
      <c r="O131" s="288">
        <f>O130+N130+M130+K130</f>
        <v>14.779935707303419</v>
      </c>
      <c r="P131" s="288">
        <f>P130+O130+N130+M130</f>
        <v>14.98075</v>
      </c>
      <c r="Q131" s="418">
        <f>P131</f>
        <v>14.98075</v>
      </c>
      <c r="R131" s="287">
        <f>R130+P130+O130+N130</f>
        <v>19.52675</v>
      </c>
      <c r="S131" s="288">
        <f>S130+R130+P130+O130</f>
        <v>44.507750000000001</v>
      </c>
      <c r="T131" s="288">
        <f>T130+S130+R130+P130</f>
        <v>75.635750000000002</v>
      </c>
      <c r="U131" s="288">
        <f>U130+T130+S130+R130</f>
        <v>110.25286779602605</v>
      </c>
      <c r="V131" s="418">
        <f>U131</f>
        <v>110.25286779602605</v>
      </c>
      <c r="W131" s="287">
        <f>W130+U130+T130+S130</f>
        <v>138.15790290019029</v>
      </c>
      <c r="X131" s="288">
        <f>X130+W130+U130+T130</f>
        <v>157.27998012836008</v>
      </c>
      <c r="Y131" s="288">
        <f>Y130+X130+W130+U130</f>
        <v>175.07992633994704</v>
      </c>
      <c r="Z131" s="288">
        <f>Z130+Y130+X130+W130</f>
        <v>188.50559567357115</v>
      </c>
      <c r="AA131" s="418">
        <f>Z131</f>
        <v>188.50559567357115</v>
      </c>
      <c r="AB131" s="287">
        <f>AB130+Z130+Y130+X130</f>
        <v>210.04576203394029</v>
      </c>
      <c r="AC131" s="288">
        <f>AC130+AB130+Z130+Y130</f>
        <v>224.92820439736005</v>
      </c>
      <c r="AD131" s="288">
        <f>AD130+AC130+AB130+Z130</f>
        <v>239.40074925245571</v>
      </c>
      <c r="AE131" s="288">
        <f>AE130+AD130+AC130+AB130</f>
        <v>258.16334803572488</v>
      </c>
      <c r="AF131" s="418">
        <f>AE131</f>
        <v>258.16334803572488</v>
      </c>
      <c r="AG131" s="287">
        <f>AG130+AE130+AD130+AC130</f>
        <v>277.76586998860779</v>
      </c>
      <c r="AH131" s="288">
        <f>AH130+AG130+AE130+AD130</f>
        <v>295.4030607700812</v>
      </c>
      <c r="AI131" s="288">
        <f>AI130+AH130+AG130+AE130</f>
        <v>311.08457718882755</v>
      </c>
      <c r="AJ131" s="288">
        <f>AJ130+AI130+AH130+AG130</f>
        <v>324.82633786561235</v>
      </c>
      <c r="AK131" s="418">
        <f>AJ131</f>
        <v>324.82633786561235</v>
      </c>
    </row>
    <row r="132" spans="1:37" s="89" customFormat="1" hidden="1" outlineLevel="1">
      <c r="A132" s="416"/>
      <c r="B132" s="531" t="s">
        <v>647</v>
      </c>
      <c r="C132" s="656"/>
      <c r="D132" s="288"/>
      <c r="E132" s="288"/>
      <c r="F132" s="288"/>
      <c r="G132" s="418"/>
      <c r="H132" s="287">
        <f t="shared" ref="H132:AJ132" si="21">H$10*4</f>
        <v>31.694737169220069</v>
      </c>
      <c r="I132" s="288">
        <f t="shared" si="21"/>
        <v>119.37440085748143</v>
      </c>
      <c r="J132" s="288">
        <f t="shared" si="21"/>
        <v>300.71530095167469</v>
      </c>
      <c r="K132" s="288">
        <f t="shared" si="21"/>
        <v>463.98756102162383</v>
      </c>
      <c r="L132" s="418">
        <f>K132</f>
        <v>463.98756102162383</v>
      </c>
      <c r="M132" s="287">
        <f t="shared" si="21"/>
        <v>754.73599999999999</v>
      </c>
      <c r="N132" s="288">
        <f t="shared" si="21"/>
        <v>1581.4839999999999</v>
      </c>
      <c r="O132" s="288">
        <f t="shared" si="21"/>
        <v>2335.7640000000001</v>
      </c>
      <c r="P132" s="288">
        <f t="shared" si="21"/>
        <v>2989.72</v>
      </c>
      <c r="Q132" s="418">
        <f>P132</f>
        <v>2989.72</v>
      </c>
      <c r="R132" s="287">
        <f t="shared" si="21"/>
        <v>3926.5279999999998</v>
      </c>
      <c r="S132" s="288">
        <f t="shared" si="21"/>
        <v>4851.152</v>
      </c>
      <c r="T132" s="288">
        <f t="shared" si="21"/>
        <v>5458.7039999999997</v>
      </c>
      <c r="U132" s="288">
        <f t="shared" si="21"/>
        <v>6171.5193533411375</v>
      </c>
      <c r="V132" s="418">
        <f>U132</f>
        <v>6171.5193533411375</v>
      </c>
      <c r="W132" s="287">
        <f t="shared" si="21"/>
        <v>8908.5087760410606</v>
      </c>
      <c r="X132" s="288">
        <f t="shared" si="21"/>
        <v>11856.76930704245</v>
      </c>
      <c r="Y132" s="288">
        <f t="shared" si="21"/>
        <v>13158.736552896737</v>
      </c>
      <c r="Z132" s="288">
        <f t="shared" si="21"/>
        <v>14082.543234573381</v>
      </c>
      <c r="AA132" s="418">
        <f>Z132</f>
        <v>14082.543234573381</v>
      </c>
      <c r="AB132" s="287">
        <f t="shared" si="21"/>
        <v>15246.453723875566</v>
      </c>
      <c r="AC132" s="288">
        <f t="shared" si="21"/>
        <v>16615.871891090548</v>
      </c>
      <c r="AD132" s="288">
        <f t="shared" si="21"/>
        <v>17895.330951115364</v>
      </c>
      <c r="AE132" s="288">
        <f t="shared" si="21"/>
        <v>19085.902910111821</v>
      </c>
      <c r="AF132" s="418">
        <f>AE132</f>
        <v>19085.902910111821</v>
      </c>
      <c r="AG132" s="287">
        <f t="shared" si="21"/>
        <v>20473.792911311022</v>
      </c>
      <c r="AH132" s="288">
        <f t="shared" si="21"/>
        <v>21319.122766150107</v>
      </c>
      <c r="AI132" s="288">
        <f t="shared" si="21"/>
        <v>22077.068662781068</v>
      </c>
      <c r="AJ132" s="288">
        <f t="shared" si="21"/>
        <v>22750.372423921097</v>
      </c>
      <c r="AK132" s="418">
        <f>AJ132</f>
        <v>22750.372423921097</v>
      </c>
    </row>
    <row r="133" spans="1:37" s="89" customFormat="1" hidden="1" outlineLevel="1">
      <c r="A133" s="416"/>
      <c r="B133" s="535" t="s">
        <v>206</v>
      </c>
      <c r="C133" s="656"/>
      <c r="D133" s="287"/>
      <c r="E133" s="287"/>
      <c r="F133" s="287"/>
      <c r="G133" s="418"/>
      <c r="H133" s="287"/>
      <c r="I133" s="287"/>
      <c r="J133" s="287"/>
      <c r="K133" s="287"/>
      <c r="L133" s="418"/>
      <c r="M133" s="287">
        <f t="shared" ref="M133:AK133" si="22">M132-H132</f>
        <v>723.04126283077994</v>
      </c>
      <c r="N133" s="287">
        <f t="shared" si="22"/>
        <v>1462.1095991425184</v>
      </c>
      <c r="O133" s="287">
        <f t="shared" si="22"/>
        <v>2035.0486990483255</v>
      </c>
      <c r="P133" s="287">
        <f t="shared" si="22"/>
        <v>2525.7324389783762</v>
      </c>
      <c r="Q133" s="418">
        <f t="shared" si="22"/>
        <v>2525.7324389783762</v>
      </c>
      <c r="R133" s="287">
        <f t="shared" si="22"/>
        <v>3171.7919999999999</v>
      </c>
      <c r="S133" s="287">
        <f t="shared" si="22"/>
        <v>3269.6680000000001</v>
      </c>
      <c r="T133" s="287">
        <f t="shared" si="22"/>
        <v>3122.9399999999996</v>
      </c>
      <c r="U133" s="287">
        <f t="shared" si="22"/>
        <v>3181.7993533411377</v>
      </c>
      <c r="V133" s="418">
        <f t="shared" si="22"/>
        <v>3181.7993533411377</v>
      </c>
      <c r="W133" s="287">
        <f t="shared" si="22"/>
        <v>4981.9807760410604</v>
      </c>
      <c r="X133" s="287">
        <f t="shared" si="22"/>
        <v>7005.6173070424502</v>
      </c>
      <c r="Y133" s="287">
        <f t="shared" si="22"/>
        <v>7700.0325528967369</v>
      </c>
      <c r="Z133" s="287">
        <f t="shared" si="22"/>
        <v>7911.0238812322432</v>
      </c>
      <c r="AA133" s="418">
        <f t="shared" si="22"/>
        <v>7911.0238812322432</v>
      </c>
      <c r="AB133" s="287">
        <f t="shared" si="22"/>
        <v>6337.944947834505</v>
      </c>
      <c r="AC133" s="287">
        <f t="shared" si="22"/>
        <v>4759.1025840480979</v>
      </c>
      <c r="AD133" s="287">
        <f t="shared" si="22"/>
        <v>4736.5943982186272</v>
      </c>
      <c r="AE133" s="287">
        <f t="shared" si="22"/>
        <v>5003.3596755384406</v>
      </c>
      <c r="AF133" s="418">
        <f t="shared" si="22"/>
        <v>5003.3596755384406</v>
      </c>
      <c r="AG133" s="287">
        <f t="shared" si="22"/>
        <v>5227.3391874354566</v>
      </c>
      <c r="AH133" s="287">
        <f t="shared" si="22"/>
        <v>4703.2508750595589</v>
      </c>
      <c r="AI133" s="287">
        <f t="shared" si="22"/>
        <v>4181.7377116657044</v>
      </c>
      <c r="AJ133" s="287">
        <f t="shared" si="22"/>
        <v>3664.4695138092757</v>
      </c>
      <c r="AK133" s="418">
        <f t="shared" si="22"/>
        <v>3664.4695138092757</v>
      </c>
    </row>
    <row r="134" spans="1:37" s="89" customFormat="1" collapsed="1">
      <c r="A134" s="416"/>
      <c r="B134" s="531"/>
      <c r="C134" s="616"/>
      <c r="D134" s="102"/>
      <c r="E134" s="102"/>
      <c r="F134" s="102"/>
      <c r="G134" s="236"/>
      <c r="H134" s="253"/>
      <c r="I134" s="102"/>
      <c r="J134" s="102"/>
      <c r="K134" s="102"/>
      <c r="L134" s="236"/>
      <c r="M134" s="253"/>
      <c r="N134" s="102"/>
      <c r="O134" s="102"/>
      <c r="P134" s="102"/>
      <c r="Q134" s="236"/>
      <c r="R134" s="253"/>
      <c r="S134" s="102"/>
      <c r="T134" s="102"/>
      <c r="U134" s="102"/>
      <c r="V134" s="236"/>
      <c r="W134" s="253"/>
      <c r="X134" s="102"/>
      <c r="Y134" s="102"/>
      <c r="Z134" s="102"/>
      <c r="AA134" s="236"/>
      <c r="AB134" s="253"/>
      <c r="AC134" s="102"/>
      <c r="AD134" s="102"/>
      <c r="AE134" s="102"/>
      <c r="AF134" s="236"/>
      <c r="AG134" s="253"/>
      <c r="AH134" s="102"/>
      <c r="AI134" s="102"/>
      <c r="AJ134" s="102"/>
      <c r="AK134" s="236"/>
    </row>
    <row r="135" spans="1:37" s="89" customFormat="1">
      <c r="A135" s="416"/>
      <c r="B135" s="386" t="s">
        <v>218</v>
      </c>
      <c r="C135" s="616"/>
      <c r="D135" s="102"/>
      <c r="E135" s="102"/>
      <c r="F135" s="102"/>
      <c r="G135" s="236"/>
      <c r="H135" s="253"/>
      <c r="I135" s="102"/>
      <c r="J135" s="102"/>
      <c r="K135" s="102"/>
      <c r="L135" s="236"/>
      <c r="M135" s="253"/>
      <c r="N135" s="102"/>
      <c r="O135" s="102"/>
      <c r="P135" s="102"/>
      <c r="Q135" s="236"/>
      <c r="R135" s="253"/>
      <c r="S135" s="102"/>
      <c r="T135" s="102"/>
      <c r="U135" s="102"/>
      <c r="V135" s="236"/>
      <c r="W135" s="253"/>
      <c r="X135" s="102"/>
      <c r="Y135" s="102"/>
      <c r="Z135" s="102"/>
      <c r="AA135" s="236"/>
      <c r="AB135" s="253"/>
      <c r="AC135" s="102"/>
      <c r="AD135" s="102"/>
      <c r="AE135" s="102"/>
      <c r="AF135" s="236"/>
      <c r="AG135" s="253"/>
      <c r="AH135" s="102"/>
      <c r="AI135" s="102"/>
      <c r="AJ135" s="102"/>
      <c r="AK135" s="236"/>
    </row>
    <row r="136" spans="1:37" s="299" customFormat="1" hidden="1" outlineLevel="1">
      <c r="A136" s="416"/>
      <c r="B136" s="394" t="s">
        <v>219</v>
      </c>
      <c r="C136" s="660"/>
      <c r="D136" s="537"/>
      <c r="E136" s="537"/>
      <c r="F136" s="537"/>
      <c r="G136" s="536"/>
      <c r="H136" s="537"/>
      <c r="I136" s="537"/>
      <c r="J136" s="537"/>
      <c r="K136" s="537"/>
      <c r="L136" s="536">
        <f t="shared" ref="L136:AF136" si="23">IFERROR(L137+L138,"")</f>
        <v>8.6121376902954516</v>
      </c>
      <c r="M136" s="537">
        <f t="shared" si="23"/>
        <v>24.387266219923259</v>
      </c>
      <c r="N136" s="537">
        <f>IFERROR(N137+N138,"")</f>
        <v>6.2664144439020566</v>
      </c>
      <c r="O136" s="537"/>
      <c r="P136" s="537">
        <f t="shared" si="23"/>
        <v>0.81962086304980897</v>
      </c>
      <c r="Q136" s="536">
        <f t="shared" si="23"/>
        <v>4.2585108325682759</v>
      </c>
      <c r="R136" s="537">
        <f t="shared" si="23"/>
        <v>2.8311379791913391</v>
      </c>
      <c r="S136" s="537">
        <f t="shared" si="23"/>
        <v>-0.16230559975928172</v>
      </c>
      <c r="T136" s="537">
        <f t="shared" si="23"/>
        <v>0.17215336140612747</v>
      </c>
      <c r="U136" s="537">
        <f t="shared" si="23"/>
        <v>-2.8812999285121723</v>
      </c>
      <c r="V136" s="536">
        <f t="shared" si="23"/>
        <v>-0.63501233963306358</v>
      </c>
      <c r="W136" s="537">
        <f t="shared" si="23"/>
        <v>-1.9217441082342357</v>
      </c>
      <c r="X136" s="537">
        <f t="shared" si="23"/>
        <v>-0.4794416748272945</v>
      </c>
      <c r="Y136" s="537">
        <f t="shared" si="23"/>
        <v>0.66545891656294565</v>
      </c>
      <c r="Z136" s="537">
        <f t="shared" si="23"/>
        <v>1.2948024275707513</v>
      </c>
      <c r="AA136" s="536">
        <f t="shared" si="23"/>
        <v>8.4754292115616803E-2</v>
      </c>
      <c r="AB136" s="537">
        <f t="shared" si="23"/>
        <v>-0.11866705305428649</v>
      </c>
      <c r="AC136" s="537">
        <f t="shared" si="23"/>
        <v>-0.74376676459456936</v>
      </c>
      <c r="AD136" s="537">
        <f t="shared" si="23"/>
        <v>-0.34076356082626835</v>
      </c>
      <c r="AE136" s="537">
        <f t="shared" si="23"/>
        <v>0.14909720755701703</v>
      </c>
      <c r="AF136" s="536">
        <f t="shared" si="23"/>
        <v>-0.26549709795465104</v>
      </c>
      <c r="AG136" s="537">
        <f>IFERROR(AG137+AG138,"")</f>
        <v>-0.28203341503822976</v>
      </c>
      <c r="AH136" s="537">
        <f>IFERROR(AH137+AH138,"")</f>
        <v>-0.44157796557478413</v>
      </c>
      <c r="AI136" s="537">
        <f>IFERROR(AI137+AI138,"")</f>
        <v>-0.22023131100453841</v>
      </c>
      <c r="AJ136" s="537">
        <f>IFERROR(AJ137+AJ138,"")</f>
        <v>0.15699321386392828</v>
      </c>
      <c r="AK136" s="536">
        <f>IFERROR(AK137+AK138,"")</f>
        <v>-0.19271101215783587</v>
      </c>
    </row>
    <row r="137" spans="1:37" s="89" customFormat="1" hidden="1" outlineLevel="1">
      <c r="A137" s="416"/>
      <c r="B137" s="531" t="s">
        <v>220</v>
      </c>
      <c r="C137" s="616"/>
      <c r="D137" s="102"/>
      <c r="E137" s="102"/>
      <c r="F137" s="102"/>
      <c r="G137" s="236"/>
      <c r="H137" s="253"/>
      <c r="I137" s="102"/>
      <c r="J137" s="102"/>
      <c r="K137" s="102"/>
      <c r="L137" s="236">
        <f t="shared" ref="L137:AK137" si="24">L$11</f>
        <v>13.462602653190146</v>
      </c>
      <c r="M137" s="253">
        <f t="shared" si="24"/>
        <v>22.812660000000001</v>
      </c>
      <c r="N137" s="253">
        <f t="shared" si="24"/>
        <v>12.248100000000001</v>
      </c>
      <c r="O137" s="102"/>
      <c r="P137" s="102">
        <f t="shared" si="24"/>
        <v>5.4435348081684154</v>
      </c>
      <c r="Q137" s="236">
        <f t="shared" si="24"/>
        <v>7.366388140279458</v>
      </c>
      <c r="R137" s="253">
        <f t="shared" si="24"/>
        <v>4.2025184965338873</v>
      </c>
      <c r="S137" s="102">
        <f t="shared" si="24"/>
        <v>2.0674682766313159</v>
      </c>
      <c r="T137" s="102">
        <f t="shared" si="24"/>
        <v>1.3370100746479521</v>
      </c>
      <c r="U137" s="102">
        <f t="shared" si="24"/>
        <v>1.0642466028059947</v>
      </c>
      <c r="V137" s="236">
        <f t="shared" si="24"/>
        <v>1.663624613185414</v>
      </c>
      <c r="W137" s="253">
        <f t="shared" si="24"/>
        <v>1.2688005219983305</v>
      </c>
      <c r="X137" s="102">
        <f t="shared" si="24"/>
        <v>1.4441141623767817</v>
      </c>
      <c r="Y137" s="102">
        <f t="shared" si="24"/>
        <v>1.4105971953959653</v>
      </c>
      <c r="Z137" s="102">
        <f t="shared" si="24"/>
        <v>1.281860013442131</v>
      </c>
      <c r="AA137" s="236">
        <f t="shared" si="24"/>
        <v>1.3523512944652443</v>
      </c>
      <c r="AB137" s="253">
        <f t="shared" si="24"/>
        <v>0.71144847102581932</v>
      </c>
      <c r="AC137" s="102">
        <f t="shared" si="24"/>
        <v>0.40138274270221141</v>
      </c>
      <c r="AD137" s="102">
        <f t="shared" si="24"/>
        <v>0.3599581448551703</v>
      </c>
      <c r="AE137" s="102">
        <f t="shared" si="24"/>
        <v>0.35528807490219028</v>
      </c>
      <c r="AF137" s="236">
        <f t="shared" si="24"/>
        <v>0.43404489990357598</v>
      </c>
      <c r="AG137" s="253">
        <f t="shared" si="24"/>
        <v>0.34285606883452346</v>
      </c>
      <c r="AH137" s="102">
        <f t="shared" si="24"/>
        <v>0.28305772371665006</v>
      </c>
      <c r="AI137" s="102">
        <f t="shared" si="24"/>
        <v>0.23367758456599375</v>
      </c>
      <c r="AJ137" s="102">
        <f t="shared" si="24"/>
        <v>0.19199875065212768</v>
      </c>
      <c r="AK137" s="236">
        <f t="shared" si="24"/>
        <v>0.25822019406357644</v>
      </c>
    </row>
    <row r="138" spans="1:37" s="89" customFormat="1" hidden="1" outlineLevel="1">
      <c r="A138" s="416"/>
      <c r="B138" s="531" t="s">
        <v>221</v>
      </c>
      <c r="C138" s="658"/>
      <c r="D138" s="540"/>
      <c r="E138" s="540"/>
      <c r="F138" s="540"/>
      <c r="G138" s="538"/>
      <c r="H138" s="539"/>
      <c r="I138" s="540"/>
      <c r="J138" s="540"/>
      <c r="K138" s="540"/>
      <c r="L138" s="538">
        <f>CF!L93</f>
        <v>-4.8504649628946943</v>
      </c>
      <c r="M138" s="539">
        <f>CF!M93</f>
        <v>1.5746062199232582</v>
      </c>
      <c r="N138" s="539">
        <f>CF!N93</f>
        <v>-5.9816855560979443</v>
      </c>
      <c r="O138" s="540"/>
      <c r="P138" s="540">
        <f>CF!P93</f>
        <v>-4.6239139451186064</v>
      </c>
      <c r="Q138" s="538">
        <f>CF!Q93</f>
        <v>-3.1078773077111821</v>
      </c>
      <c r="R138" s="539">
        <f>CF!R93</f>
        <v>-1.3713805173425482</v>
      </c>
      <c r="S138" s="540">
        <f>CF!S93</f>
        <v>-2.2297738763905977</v>
      </c>
      <c r="T138" s="540">
        <f>CF!T93</f>
        <v>-1.1648567132418246</v>
      </c>
      <c r="U138" s="540">
        <f>CF!U93</f>
        <v>-3.945546531318167</v>
      </c>
      <c r="V138" s="538">
        <f>CF!V93</f>
        <v>-2.2986369528184776</v>
      </c>
      <c r="W138" s="539">
        <f>CF!W93</f>
        <v>-3.1905446302325662</v>
      </c>
      <c r="X138" s="540">
        <f>CF!X93</f>
        <v>-1.9235558372040762</v>
      </c>
      <c r="Y138" s="540">
        <f>CF!Y93</f>
        <v>-0.74513827883301964</v>
      </c>
      <c r="Z138" s="540">
        <f>CF!Z93</f>
        <v>1.2942414128620393E-2</v>
      </c>
      <c r="AA138" s="538">
        <f>CF!AA93</f>
        <v>-1.2675970023496275</v>
      </c>
      <c r="AB138" s="539">
        <f>CF!AB93</f>
        <v>-0.8301155240801058</v>
      </c>
      <c r="AC138" s="540">
        <f>CF!AC93</f>
        <v>-1.1451495072967808</v>
      </c>
      <c r="AD138" s="540">
        <f>CF!AD93</f>
        <v>-0.70072170568143866</v>
      </c>
      <c r="AE138" s="540">
        <f>CF!AE93</f>
        <v>-0.20619086734517325</v>
      </c>
      <c r="AF138" s="538">
        <f>CF!AF93</f>
        <v>-0.69954199785822702</v>
      </c>
      <c r="AG138" s="539">
        <f>CF!AG93</f>
        <v>-0.62488948387275323</v>
      </c>
      <c r="AH138" s="540">
        <f>CF!AH93</f>
        <v>-0.72463568929143418</v>
      </c>
      <c r="AI138" s="540">
        <f>CF!AI93</f>
        <v>-0.45390889557053216</v>
      </c>
      <c r="AJ138" s="540">
        <f>CF!AJ93</f>
        <v>-3.5005536788199412E-2</v>
      </c>
      <c r="AK138" s="538">
        <f>CF!AK93</f>
        <v>-0.45093120622141231</v>
      </c>
    </row>
    <row r="139" spans="1:37" s="89" customFormat="1" hidden="1" outlineLevel="1">
      <c r="A139" s="416"/>
      <c r="B139" s="531"/>
      <c r="C139" s="658"/>
      <c r="D139" s="540"/>
      <c r="E139" s="540"/>
      <c r="F139" s="540"/>
      <c r="G139" s="538"/>
      <c r="H139" s="539"/>
      <c r="I139" s="540"/>
      <c r="J139" s="540"/>
      <c r="K139" s="540"/>
      <c r="L139" s="538"/>
      <c r="M139" s="539"/>
      <c r="N139" s="539"/>
      <c r="O139" s="540"/>
      <c r="P139" s="540"/>
      <c r="Q139" s="538"/>
      <c r="R139" s="539"/>
      <c r="S139" s="540"/>
      <c r="T139" s="540"/>
      <c r="U139" s="540"/>
      <c r="V139" s="538"/>
      <c r="W139" s="539"/>
      <c r="X139" s="540"/>
      <c r="Y139" s="540"/>
      <c r="Z139" s="540"/>
      <c r="AA139" s="538"/>
      <c r="AB139" s="539"/>
      <c r="AC139" s="540"/>
      <c r="AD139" s="540"/>
      <c r="AE139" s="540"/>
      <c r="AF139" s="538"/>
      <c r="AG139" s="539"/>
      <c r="AH139" s="540"/>
      <c r="AI139" s="540"/>
      <c r="AJ139" s="540"/>
      <c r="AK139" s="538"/>
    </row>
    <row r="140" spans="1:37" s="299" customFormat="1" hidden="1" outlineLevel="1">
      <c r="A140" s="416"/>
      <c r="B140" s="394" t="s">
        <v>642</v>
      </c>
      <c r="C140" s="660"/>
      <c r="D140" s="537"/>
      <c r="E140" s="537"/>
      <c r="F140" s="537"/>
      <c r="G140" s="536"/>
      <c r="H140" s="537"/>
      <c r="I140" s="537"/>
      <c r="J140" s="537"/>
      <c r="K140" s="537"/>
      <c r="L140" s="536">
        <f t="shared" ref="L140:AF140" si="25">IFERROR(L141+L142,"")</f>
        <v>14.099149823375786</v>
      </c>
      <c r="M140" s="537">
        <f t="shared" si="25"/>
        <v>23.423887017864129</v>
      </c>
      <c r="N140" s="537">
        <f>IFERROR(N141+N142,"")</f>
        <v>12.844820119262394</v>
      </c>
      <c r="O140" s="537"/>
      <c r="P140" s="537">
        <f t="shared" si="25"/>
        <v>6.0410209928508118</v>
      </c>
      <c r="Q140" s="536">
        <f t="shared" si="25"/>
        <v>7.910795437034043</v>
      </c>
      <c r="R140" s="537">
        <f t="shared" si="25"/>
        <v>4.9000536612696584</v>
      </c>
      <c r="S140" s="537">
        <f t="shared" si="25"/>
        <v>2.7130684122777731</v>
      </c>
      <c r="T140" s="537">
        <f t="shared" si="25"/>
        <v>1.9723891453961919</v>
      </c>
      <c r="U140" s="537">
        <f t="shared" si="25"/>
        <v>1.7148744150936606</v>
      </c>
      <c r="V140" s="536">
        <f t="shared" si="25"/>
        <v>2.3175354849793255</v>
      </c>
      <c r="W140" s="537">
        <f t="shared" si="25"/>
        <v>1.9496473405956702</v>
      </c>
      <c r="X140" s="537">
        <f t="shared" si="25"/>
        <v>2.1389335453414478</v>
      </c>
      <c r="Y140" s="537">
        <f t="shared" si="25"/>
        <v>2.1159412446501484</v>
      </c>
      <c r="Z140" s="537">
        <f t="shared" si="25"/>
        <v>1.9842030303555886</v>
      </c>
      <c r="AA140" s="536">
        <f t="shared" si="25"/>
        <v>2.0488978640883748</v>
      </c>
      <c r="AB140" s="537">
        <f t="shared" si="25"/>
        <v>1.4339491193199638</v>
      </c>
      <c r="AC140" s="537">
        <f t="shared" si="25"/>
        <v>1.1289863001026721</v>
      </c>
      <c r="AD140" s="537">
        <f t="shared" si="25"/>
        <v>1.1015578089748801</v>
      </c>
      <c r="AE140" s="537">
        <f t="shared" si="25"/>
        <v>1.0958693657287335</v>
      </c>
      <c r="AF140" s="536">
        <f t="shared" si="25"/>
        <v>1.1674180638041225</v>
      </c>
      <c r="AG140" s="537">
        <f>IFERROR(AG141+AG142,"")</f>
        <v>0.34285606883452346</v>
      </c>
      <c r="AH140" s="537">
        <f>IFERROR(AH141+AH142,"")</f>
        <v>0.28305772371665006</v>
      </c>
      <c r="AI140" s="537">
        <f>IFERROR(AI141+AI142,"")</f>
        <v>0.23367758456599375</v>
      </c>
      <c r="AJ140" s="537">
        <f>IFERROR(AJ141+AJ142,"")</f>
        <v>0.19199875065212768</v>
      </c>
      <c r="AK140" s="536">
        <f>IFERROR(AK141+AK142,"")</f>
        <v>0.25822019406357644</v>
      </c>
    </row>
    <row r="141" spans="1:37" s="89" customFormat="1" hidden="1" outlineLevel="1">
      <c r="A141" s="416"/>
      <c r="B141" s="531" t="s">
        <v>220</v>
      </c>
      <c r="C141" s="616"/>
      <c r="D141" s="102"/>
      <c r="E141" s="102"/>
      <c r="F141" s="102"/>
      <c r="G141" s="236"/>
      <c r="H141" s="253"/>
      <c r="I141" s="102"/>
      <c r="J141" s="102"/>
      <c r="K141" s="102"/>
      <c r="L141" s="236">
        <f t="shared" ref="L141:AK141" si="26">L$11</f>
        <v>13.462602653190146</v>
      </c>
      <c r="M141" s="253">
        <f t="shared" si="26"/>
        <v>22.812660000000001</v>
      </c>
      <c r="N141" s="253">
        <f t="shared" si="26"/>
        <v>12.248100000000001</v>
      </c>
      <c r="O141" s="102"/>
      <c r="P141" s="102">
        <f t="shared" si="26"/>
        <v>5.4435348081684154</v>
      </c>
      <c r="Q141" s="236">
        <f t="shared" si="26"/>
        <v>7.366388140279458</v>
      </c>
      <c r="R141" s="253">
        <f t="shared" si="26"/>
        <v>4.2025184965338873</v>
      </c>
      <c r="S141" s="102">
        <f t="shared" si="26"/>
        <v>2.0674682766313159</v>
      </c>
      <c r="T141" s="102">
        <f t="shared" si="26"/>
        <v>1.3370100746479521</v>
      </c>
      <c r="U141" s="102">
        <f t="shared" si="26"/>
        <v>1.0642466028059947</v>
      </c>
      <c r="V141" s="236">
        <f t="shared" si="26"/>
        <v>1.663624613185414</v>
      </c>
      <c r="W141" s="253">
        <f t="shared" si="26"/>
        <v>1.2688005219983305</v>
      </c>
      <c r="X141" s="102">
        <f t="shared" si="26"/>
        <v>1.4441141623767817</v>
      </c>
      <c r="Y141" s="102">
        <f t="shared" si="26"/>
        <v>1.4105971953959653</v>
      </c>
      <c r="Z141" s="102">
        <f t="shared" si="26"/>
        <v>1.281860013442131</v>
      </c>
      <c r="AA141" s="236">
        <f t="shared" si="26"/>
        <v>1.3523512944652443</v>
      </c>
      <c r="AB141" s="253">
        <f t="shared" si="26"/>
        <v>0.71144847102581932</v>
      </c>
      <c r="AC141" s="102">
        <f t="shared" si="26"/>
        <v>0.40138274270221141</v>
      </c>
      <c r="AD141" s="102">
        <f t="shared" si="26"/>
        <v>0.3599581448551703</v>
      </c>
      <c r="AE141" s="102">
        <f t="shared" si="26"/>
        <v>0.35528807490219028</v>
      </c>
      <c r="AF141" s="236">
        <f t="shared" si="26"/>
        <v>0.43404489990357598</v>
      </c>
      <c r="AG141" s="253">
        <f t="shared" si="26"/>
        <v>0.34285606883452346</v>
      </c>
      <c r="AH141" s="102">
        <f t="shared" si="26"/>
        <v>0.28305772371665006</v>
      </c>
      <c r="AI141" s="102">
        <f t="shared" si="26"/>
        <v>0.23367758456599375</v>
      </c>
      <c r="AJ141" s="102">
        <f t="shared" si="26"/>
        <v>0.19199875065212768</v>
      </c>
      <c r="AK141" s="236">
        <f t="shared" si="26"/>
        <v>0.25822019406357644</v>
      </c>
    </row>
    <row r="142" spans="1:37" s="89" customFormat="1" hidden="1" outlineLevel="1">
      <c r="A142" s="416"/>
      <c r="B142" s="531" t="s">
        <v>310</v>
      </c>
      <c r="C142" s="658"/>
      <c r="D142" s="540"/>
      <c r="E142" s="540"/>
      <c r="F142" s="540"/>
      <c r="G142" s="538"/>
      <c r="H142" s="539"/>
      <c r="I142" s="540"/>
      <c r="J142" s="540"/>
      <c r="K142" s="540"/>
      <c r="L142" s="538">
        <f>'IS (Non-GAAP)'!Q99</f>
        <v>0.63654717018564022</v>
      </c>
      <c r="M142" s="539">
        <f>'IS (Non-GAAP)'!R99</f>
        <v>0.61122701786412825</v>
      </c>
      <c r="N142" s="539">
        <f>'IS (Non-GAAP)'!S99</f>
        <v>0.59672011926239377</v>
      </c>
      <c r="O142" s="540"/>
      <c r="P142" s="540">
        <f>'IS (Non-GAAP)'!U99</f>
        <v>0.59748618468239623</v>
      </c>
      <c r="Q142" s="538">
        <f>'IS (Non-GAAP)'!V99</f>
        <v>0.54440729675458466</v>
      </c>
      <c r="R142" s="539">
        <f>'IS (Non-GAAP)'!W99</f>
        <v>0.69753516473577137</v>
      </c>
      <c r="S142" s="540">
        <f>'IS (Non-GAAP)'!X99</f>
        <v>0.64560013564645724</v>
      </c>
      <c r="T142" s="540">
        <f>'IS (Non-GAAP)'!Y99</f>
        <v>0.63537907074823985</v>
      </c>
      <c r="U142" s="540">
        <f>'IS (Non-GAAP)'!Z99</f>
        <v>0.65062781228766586</v>
      </c>
      <c r="V142" s="538">
        <f>'IS (Non-GAAP)'!AA99</f>
        <v>0.65391087179391161</v>
      </c>
      <c r="W142" s="539">
        <f>'IS (Non-GAAP)'!AB99</f>
        <v>0.68084681859733975</v>
      </c>
      <c r="X142" s="540">
        <f>'IS (Non-GAAP)'!AC99</f>
        <v>0.69481938296466605</v>
      </c>
      <c r="Y142" s="540">
        <f>'IS (Non-GAAP)'!AD99</f>
        <v>0.70534404925418315</v>
      </c>
      <c r="Z142" s="540">
        <f>'IS (Non-GAAP)'!AE99</f>
        <v>0.70234301691345757</v>
      </c>
      <c r="AA142" s="538">
        <f>'IS (Non-GAAP)'!AF99</f>
        <v>0.69654656962313066</v>
      </c>
      <c r="AB142" s="539">
        <f>'IS (Non-GAAP)'!AG99</f>
        <v>0.7225006482941444</v>
      </c>
      <c r="AC142" s="540">
        <f>'IS (Non-GAAP)'!AH99</f>
        <v>0.72760355740046068</v>
      </c>
      <c r="AD142" s="540">
        <f>'IS (Non-GAAP)'!AI99</f>
        <v>0.74159966411970968</v>
      </c>
      <c r="AE142" s="540">
        <f>'IS (Non-GAAP)'!AJ99</f>
        <v>0.74058129082654323</v>
      </c>
      <c r="AF142" s="538">
        <f>'IS (Non-GAAP)'!AK99</f>
        <v>0.73337316390054641</v>
      </c>
      <c r="AG142" s="539">
        <f>'IS (Non-GAAP)'!AL99</f>
        <v>0</v>
      </c>
      <c r="AH142" s="540">
        <f>'IS (Non-GAAP)'!AM99</f>
        <v>0</v>
      </c>
      <c r="AI142" s="540">
        <f>'IS (Non-GAAP)'!AN99</f>
        <v>0</v>
      </c>
      <c r="AJ142" s="540">
        <f>'IS (Non-GAAP)'!AO99</f>
        <v>0</v>
      </c>
      <c r="AK142" s="538">
        <f>'IS (Non-GAAP)'!AP99</f>
        <v>0</v>
      </c>
    </row>
    <row r="143" spans="1:37" s="89" customFormat="1" collapsed="1">
      <c r="A143" s="416"/>
      <c r="B143" s="378"/>
      <c r="C143" s="373"/>
      <c r="G143" s="541"/>
      <c r="L143" s="541"/>
      <c r="Q143" s="541"/>
      <c r="V143" s="541"/>
      <c r="AA143" s="541"/>
      <c r="AF143" s="541"/>
      <c r="AK143" s="541"/>
    </row>
    <row r="144" spans="1:37" ht="12.75" customHeight="1">
      <c r="B144" s="411"/>
      <c r="C144" s="412"/>
      <c r="D144" s="241"/>
      <c r="E144" s="241"/>
      <c r="F144" s="241"/>
      <c r="G144" s="239"/>
      <c r="H144" s="412"/>
      <c r="I144" s="241"/>
      <c r="J144" s="241"/>
      <c r="K144" s="241"/>
      <c r="L144" s="239"/>
      <c r="M144" s="412"/>
      <c r="N144" s="241"/>
      <c r="O144" s="241"/>
      <c r="P144" s="241"/>
      <c r="Q144" s="239"/>
      <c r="R144" s="228"/>
      <c r="S144" s="239"/>
      <c r="T144" s="239"/>
      <c r="U144" s="239"/>
      <c r="V144" s="239"/>
      <c r="W144" s="228"/>
      <c r="X144" s="239"/>
      <c r="Y144" s="239"/>
      <c r="Z144" s="239"/>
      <c r="AA144" s="239"/>
      <c r="AB144" s="228"/>
      <c r="AC144" s="239"/>
      <c r="AD144" s="239"/>
      <c r="AE144" s="239"/>
      <c r="AF144" s="239"/>
      <c r="AG144" s="228"/>
      <c r="AH144" s="239"/>
      <c r="AI144" s="239"/>
      <c r="AJ144" s="239"/>
      <c r="AK144" s="239"/>
    </row>
    <row r="145" spans="1:33" ht="12.75" customHeight="1">
      <c r="B145" s="401"/>
    </row>
    <row r="146" spans="1:33" ht="12.75" customHeight="1">
      <c r="B146" s="401"/>
    </row>
    <row r="147" spans="1:33" s="250" customFormat="1" ht="12.75" customHeight="1">
      <c r="A147" s="416"/>
      <c r="B147" s="401"/>
      <c r="C147" s="296"/>
      <c r="D147" s="297"/>
      <c r="E147" s="297"/>
      <c r="F147" s="297"/>
      <c r="H147" s="296"/>
      <c r="I147" s="297"/>
      <c r="J147" s="297"/>
      <c r="K147" s="297"/>
      <c r="M147" s="296"/>
      <c r="N147" s="297"/>
      <c r="O147" s="297"/>
      <c r="P147" s="297"/>
      <c r="R147" s="249"/>
      <c r="W147" s="249"/>
      <c r="AB147" s="249"/>
      <c r="AG147" s="249"/>
    </row>
    <row r="148" spans="1:33" s="250" customFormat="1" ht="12.75" customHeight="1">
      <c r="A148" s="416"/>
      <c r="B148" s="401"/>
      <c r="C148" s="296"/>
      <c r="D148" s="297"/>
      <c r="E148" s="297"/>
      <c r="F148" s="297"/>
      <c r="H148" s="296"/>
      <c r="I148" s="297"/>
      <c r="J148" s="297"/>
      <c r="K148" s="297"/>
      <c r="M148" s="296"/>
      <c r="N148" s="297"/>
      <c r="O148" s="297"/>
      <c r="P148" s="297"/>
      <c r="R148" s="249"/>
      <c r="W148" s="249"/>
      <c r="AB148" s="249"/>
      <c r="AG148" s="249"/>
    </row>
    <row r="149" spans="1:33" s="250" customFormat="1" ht="12.75" customHeight="1">
      <c r="A149" s="416"/>
      <c r="B149" s="401"/>
      <c r="C149" s="296"/>
      <c r="D149" s="297"/>
      <c r="E149" s="297"/>
      <c r="F149" s="297"/>
      <c r="H149" s="296"/>
      <c r="I149" s="297"/>
      <c r="J149" s="297"/>
      <c r="K149" s="297"/>
      <c r="M149" s="296"/>
      <c r="N149" s="297"/>
      <c r="O149" s="297"/>
      <c r="P149" s="297"/>
      <c r="R149" s="249"/>
      <c r="W149" s="249"/>
      <c r="AB149" s="249"/>
      <c r="AG149" s="249"/>
    </row>
    <row r="150" spans="1:33" s="250" customFormat="1" ht="12.75" customHeight="1">
      <c r="A150" s="416"/>
      <c r="B150" s="401"/>
      <c r="C150" s="296"/>
      <c r="D150" s="297"/>
      <c r="E150" s="297"/>
      <c r="F150" s="297"/>
      <c r="H150" s="296"/>
      <c r="I150" s="546"/>
      <c r="J150" s="297"/>
      <c r="K150" s="297"/>
      <c r="M150" s="296"/>
      <c r="N150" s="297"/>
      <c r="O150" s="297"/>
      <c r="P150" s="297"/>
      <c r="R150" s="249"/>
      <c r="W150" s="249"/>
      <c r="AB150" s="249"/>
      <c r="AG150" s="249"/>
    </row>
    <row r="151" spans="1:33" s="250" customFormat="1" ht="12.75" customHeight="1">
      <c r="A151" s="416"/>
      <c r="B151" s="401"/>
      <c r="C151" s="296"/>
      <c r="D151" s="297"/>
      <c r="E151" s="297"/>
      <c r="F151" s="297"/>
      <c r="H151" s="296"/>
      <c r="I151" s="546"/>
      <c r="J151" s="297"/>
      <c r="K151" s="297"/>
      <c r="M151" s="296"/>
      <c r="N151" s="297"/>
      <c r="O151" s="297"/>
      <c r="P151" s="297"/>
      <c r="R151" s="249"/>
      <c r="W151" s="249"/>
      <c r="AB151" s="249"/>
      <c r="AG151" s="249"/>
    </row>
    <row r="152" spans="1:33" s="250" customFormat="1" ht="12.75" customHeight="1">
      <c r="A152" s="416"/>
      <c r="B152" s="401"/>
      <c r="C152" s="296"/>
      <c r="D152" s="297"/>
      <c r="E152" s="297"/>
      <c r="F152" s="297"/>
      <c r="H152" s="296"/>
      <c r="I152" s="546"/>
      <c r="J152" s="297"/>
      <c r="K152" s="297"/>
      <c r="M152" s="296"/>
      <c r="N152" s="297"/>
      <c r="O152" s="297"/>
      <c r="P152" s="297"/>
      <c r="R152" s="249"/>
      <c r="W152" s="249"/>
      <c r="AB152" s="249"/>
      <c r="AG152" s="249"/>
    </row>
    <row r="153" spans="1:33" s="250" customFormat="1" ht="12.75" customHeight="1">
      <c r="A153" s="416"/>
      <c r="B153" s="401"/>
      <c r="C153" s="296"/>
      <c r="D153" s="297"/>
      <c r="E153" s="297"/>
      <c r="F153" s="297"/>
      <c r="H153" s="296"/>
      <c r="I153" s="547"/>
      <c r="J153" s="297"/>
      <c r="K153" s="297"/>
      <c r="M153" s="296"/>
      <c r="N153" s="297"/>
      <c r="O153" s="297"/>
      <c r="P153" s="297"/>
      <c r="R153" s="249"/>
      <c r="W153" s="249"/>
      <c r="AB153" s="249"/>
      <c r="AG153" s="249"/>
    </row>
    <row r="154" spans="1:33" s="250" customFormat="1" ht="12.75" customHeight="1">
      <c r="A154" s="416"/>
      <c r="B154" s="401"/>
      <c r="C154" s="296"/>
      <c r="D154" s="297"/>
      <c r="E154" s="297"/>
      <c r="F154" s="297"/>
      <c r="H154" s="296"/>
      <c r="I154" s="297"/>
      <c r="J154" s="297"/>
      <c r="K154" s="297"/>
      <c r="M154" s="296"/>
      <c r="N154" s="297"/>
      <c r="O154" s="297"/>
      <c r="P154" s="297"/>
      <c r="R154" s="249"/>
      <c r="W154" s="249"/>
      <c r="AB154" s="249"/>
      <c r="AG154" s="249"/>
    </row>
  </sheetData>
  <pageMargins left="0.7" right="0.7" top="0.75" bottom="0.75" header="0.3" footer="0.3"/>
  <pageSetup orientation="portrait" r:id="rId1"/>
  <customProperties>
    <customPr name="Qube.Worksheet.Visibility" r:id="rId2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969B7-0E29-4CCB-801B-B4F16314109F}">
  <sheetPr>
    <tabColor theme="4"/>
    <pageSetUpPr autoPageBreaks="0"/>
  </sheetPr>
  <dimension ref="A1:AK83"/>
  <sheetViews>
    <sheetView showGridLines="0" workbookViewId="0">
      <pane xSplit="2" ySplit="8" topLeftCell="R9" activePane="bottomRight" state="frozen"/>
      <selection pane="topRight" activeCell="C1" sqref="C1"/>
      <selection pane="bottomLeft" activeCell="A9" sqref="A9"/>
      <selection pane="bottomRight"/>
    </sheetView>
  </sheetViews>
  <sheetFormatPr defaultRowHeight="12.75" outlineLevelRow="1" outlineLevelCol="1"/>
  <cols>
    <col min="1" max="1" width="3.7109375" customWidth="1"/>
    <col min="2" max="2" width="51.28515625" bestFit="1" customWidth="1"/>
    <col min="3" max="6" width="0" hidden="1" customWidth="1" outlineLevel="1"/>
    <col min="7" max="7" width="9.42578125" bestFit="1" customWidth="1" collapsed="1"/>
    <col min="8" max="10" width="9.42578125" hidden="1" customWidth="1" outlineLevel="1"/>
    <col min="11" max="11" width="10.28515625" hidden="1" customWidth="1" outlineLevel="1"/>
    <col min="12" max="12" width="10.28515625" bestFit="1" customWidth="1" collapsed="1"/>
    <col min="13" max="14" width="10.28515625" hidden="1" customWidth="1" outlineLevel="1"/>
    <col min="15" max="15" width="10.42578125" hidden="1" customWidth="1" outlineLevel="1"/>
    <col min="16" max="16" width="11.5703125" hidden="1" customWidth="1" outlineLevel="1"/>
    <col min="17" max="17" width="11.5703125" bestFit="1" customWidth="1" collapsed="1"/>
    <col min="18" max="18" width="11.5703125" customWidth="1" outlineLevel="1"/>
    <col min="19" max="20" width="10.42578125" customWidth="1" outlineLevel="1"/>
    <col min="21" max="21" width="11.28515625" customWidth="1" outlineLevel="1"/>
    <col min="22" max="22" width="11.28515625" bestFit="1" customWidth="1"/>
    <col min="23" max="25" width="10.5703125" customWidth="1" outlineLevel="1"/>
    <col min="26" max="26" width="11.42578125" customWidth="1" outlineLevel="1"/>
    <col min="27" max="27" width="11.42578125" bestFit="1" customWidth="1"/>
    <col min="28" max="31" width="11.42578125" customWidth="1" outlineLevel="1"/>
    <col min="32" max="32" width="11.5703125" bestFit="1" customWidth="1"/>
    <col min="33" max="36" width="11.42578125" hidden="1" customWidth="1" outlineLevel="1"/>
    <col min="37" max="37" width="11.5703125" bestFit="1" customWidth="1" collapsed="1"/>
  </cols>
  <sheetData>
    <row r="1" spans="1:37" s="384" customFormat="1" ht="12.75" customHeight="1">
      <c r="A1" s="416"/>
      <c r="C1" s="753"/>
      <c r="D1" s="754"/>
      <c r="E1" s="754"/>
      <c r="F1" s="754"/>
      <c r="G1" s="755"/>
      <c r="H1" s="753"/>
      <c r="I1" s="754"/>
      <c r="J1" s="754"/>
      <c r="K1" s="754"/>
      <c r="L1" s="755"/>
      <c r="M1" s="753"/>
      <c r="N1" s="754"/>
      <c r="O1" s="754"/>
      <c r="P1" s="754"/>
      <c r="Q1" s="755"/>
      <c r="R1" s="756"/>
      <c r="S1" s="755"/>
      <c r="T1" s="755"/>
      <c r="U1" s="755"/>
      <c r="V1" s="755"/>
      <c r="W1" s="756"/>
      <c r="X1" s="755"/>
      <c r="Y1" s="755"/>
      <c r="Z1" s="755"/>
      <c r="AA1" s="755"/>
      <c r="AB1" s="756"/>
      <c r="AC1" s="755"/>
      <c r="AD1" s="755"/>
      <c r="AE1" s="755"/>
      <c r="AF1" s="755"/>
      <c r="AG1" s="756"/>
      <c r="AH1" s="755"/>
      <c r="AI1" s="755"/>
      <c r="AJ1" s="755"/>
      <c r="AK1" s="755"/>
    </row>
    <row r="2" spans="1:37" s="384" customFormat="1" ht="12.75" customHeight="1">
      <c r="A2" s="416"/>
      <c r="B2" s="475" t="s">
        <v>231</v>
      </c>
      <c r="C2" s="753"/>
      <c r="D2" s="754"/>
      <c r="E2" s="754"/>
      <c r="F2" s="754"/>
      <c r="G2" s="755"/>
      <c r="H2" s="753"/>
      <c r="I2" s="754"/>
      <c r="J2" s="754"/>
      <c r="K2" s="754"/>
      <c r="L2" s="755"/>
      <c r="M2" s="753"/>
      <c r="N2" s="754"/>
      <c r="O2" s="754"/>
      <c r="P2" s="754"/>
      <c r="Q2" s="756"/>
      <c r="R2" s="756"/>
      <c r="S2" s="755"/>
      <c r="T2" s="755"/>
      <c r="U2" s="755"/>
      <c r="V2" s="755"/>
      <c r="W2" s="756"/>
      <c r="X2" s="755"/>
      <c r="Y2" s="755"/>
      <c r="Z2" s="755"/>
      <c r="AA2" s="755"/>
      <c r="AB2" s="756"/>
      <c r="AC2" s="755"/>
      <c r="AD2" s="755"/>
      <c r="AE2" s="755"/>
      <c r="AF2" s="755"/>
      <c r="AG2" s="756"/>
      <c r="AH2" s="755"/>
      <c r="AI2" s="755"/>
      <c r="AJ2" s="755"/>
      <c r="AK2" s="755"/>
    </row>
    <row r="3" spans="1:37" s="384" customFormat="1" ht="12.75" customHeight="1">
      <c r="A3" s="416"/>
      <c r="B3" s="475" t="s">
        <v>169</v>
      </c>
      <c r="C3" s="753"/>
      <c r="D3" s="754"/>
      <c r="E3" s="754"/>
      <c r="F3" s="754"/>
      <c r="G3" s="755"/>
      <c r="H3" s="753"/>
      <c r="I3" s="754"/>
      <c r="J3" s="754"/>
      <c r="K3" s="754"/>
      <c r="L3" s="755"/>
      <c r="M3" s="753"/>
      <c r="N3" s="754"/>
      <c r="O3" s="754"/>
      <c r="P3" s="754"/>
      <c r="Q3" s="755"/>
      <c r="R3" s="755"/>
      <c r="S3" s="755"/>
      <c r="T3" s="755"/>
      <c r="U3" s="755"/>
      <c r="V3" s="755"/>
      <c r="W3" s="1174"/>
      <c r="X3" s="755"/>
      <c r="Y3" s="755"/>
      <c r="Z3" s="755"/>
      <c r="AA3" s="755"/>
      <c r="AB3" s="756"/>
      <c r="AC3" s="755"/>
      <c r="AD3" s="755"/>
      <c r="AE3" s="755"/>
      <c r="AF3" s="755"/>
      <c r="AG3" s="756"/>
      <c r="AH3" s="755"/>
      <c r="AI3" s="755"/>
      <c r="AJ3" s="755"/>
      <c r="AK3" s="755"/>
    </row>
    <row r="4" spans="1:37" s="384" customFormat="1" ht="12.75" customHeight="1">
      <c r="A4" s="416"/>
      <c r="B4" s="475" t="s">
        <v>24</v>
      </c>
      <c r="C4" s="753"/>
      <c r="D4" s="754"/>
      <c r="E4" s="754"/>
      <c r="F4" s="754"/>
      <c r="G4" s="755"/>
      <c r="H4" s="753"/>
      <c r="I4" s="754"/>
      <c r="J4" s="754"/>
      <c r="K4" s="754"/>
      <c r="L4" s="755"/>
      <c r="M4" s="748"/>
      <c r="N4" s="748"/>
      <c r="O4" s="748"/>
      <c r="P4" s="748"/>
      <c r="Q4" s="749"/>
      <c r="R4" s="749"/>
      <c r="S4" s="750"/>
      <c r="T4" s="748"/>
      <c r="U4" s="750"/>
      <c r="V4" s="1215"/>
      <c r="W4" s="756"/>
      <c r="X4" s="750"/>
      <c r="Y4" s="748"/>
      <c r="Z4" s="750"/>
      <c r="AA4" s="750"/>
      <c r="AB4" s="756"/>
      <c r="AC4" s="755"/>
      <c r="AD4" s="755"/>
      <c r="AE4" s="755"/>
      <c r="AF4" s="755"/>
      <c r="AG4" s="756"/>
      <c r="AH4" s="755"/>
      <c r="AI4" s="755"/>
      <c r="AJ4" s="755"/>
      <c r="AK4" s="755"/>
    </row>
    <row r="5" spans="1:37" s="384" customFormat="1" ht="12.75" customHeight="1">
      <c r="A5" s="416"/>
      <c r="C5" s="757"/>
      <c r="D5" s="758"/>
      <c r="E5" s="758"/>
      <c r="F5" s="759"/>
      <c r="G5" s="755"/>
      <c r="H5" s="757"/>
      <c r="I5" s="758"/>
      <c r="J5" s="758"/>
      <c r="K5" s="759"/>
      <c r="L5" s="755"/>
      <c r="M5" s="753"/>
      <c r="N5" s="759"/>
      <c r="O5" s="759"/>
      <c r="P5" s="759"/>
      <c r="Q5" s="760"/>
      <c r="R5" s="761"/>
      <c r="S5" s="762"/>
      <c r="T5" s="762"/>
      <c r="U5" s="760"/>
      <c r="V5" s="755"/>
      <c r="W5" s="756"/>
      <c r="X5" s="760"/>
      <c r="Y5" s="760"/>
      <c r="Z5" s="760"/>
      <c r="AA5" s="760"/>
      <c r="AB5" s="761"/>
      <c r="AC5" s="762"/>
      <c r="AD5" s="762"/>
      <c r="AE5" s="760"/>
      <c r="AF5" s="1173"/>
      <c r="AG5" s="761"/>
      <c r="AH5" s="762"/>
      <c r="AI5" s="762"/>
      <c r="AJ5" s="760"/>
      <c r="AK5" s="1173"/>
    </row>
    <row r="6" spans="1:37" s="248" customFormat="1" ht="12.75" customHeight="1">
      <c r="A6" s="416"/>
      <c r="B6" s="384"/>
      <c r="C6" s="427" t="str">
        <f>Dates!C3</f>
        <v>2022 (A)</v>
      </c>
      <c r="D6" s="427"/>
      <c r="E6" s="427"/>
      <c r="F6" s="427"/>
      <c r="G6" s="89"/>
      <c r="H6" s="427" t="str">
        <f>Dates!H3</f>
        <v>2023 (A)</v>
      </c>
      <c r="I6" s="427"/>
      <c r="J6" s="427"/>
      <c r="K6" s="427"/>
      <c r="L6" s="89"/>
      <c r="M6" s="427" t="str">
        <f>Dates!M3</f>
        <v>2024 (A)</v>
      </c>
      <c r="N6" s="427"/>
      <c r="O6" s="427"/>
      <c r="P6" s="427"/>
      <c r="Q6" s="89"/>
      <c r="R6" s="46" t="str">
        <f>Dates!R3</f>
        <v>2025 (E)</v>
      </c>
      <c r="S6" s="46"/>
      <c r="T6" s="46"/>
      <c r="U6" s="46"/>
      <c r="V6" s="89"/>
      <c r="W6" s="46" t="str">
        <f>Dates!W3</f>
        <v>2026 (E)</v>
      </c>
      <c r="X6" s="46"/>
      <c r="Y6" s="46"/>
      <c r="Z6" s="46"/>
      <c r="AA6" s="89"/>
      <c r="AB6" s="46" t="str">
        <f>Dates!AB3</f>
        <v>2027 (E)</v>
      </c>
      <c r="AC6" s="46"/>
      <c r="AD6" s="46"/>
      <c r="AE6" s="46"/>
      <c r="AF6" s="89"/>
      <c r="AG6" s="46" t="str">
        <f>Dates!AG3</f>
        <v>2028 (E)</v>
      </c>
      <c r="AH6" s="46"/>
      <c r="AI6" s="46"/>
      <c r="AJ6" s="46"/>
      <c r="AK6" s="89"/>
    </row>
    <row r="7" spans="1:37" s="248" customFormat="1" ht="12.75" customHeight="1">
      <c r="A7" s="416"/>
      <c r="B7" s="384"/>
      <c r="C7" s="428" t="str">
        <f>Dates!C4</f>
        <v>1Q22 (A)</v>
      </c>
      <c r="D7" s="428" t="str">
        <f>Dates!D4</f>
        <v>2Q22 (A)</v>
      </c>
      <c r="E7" s="428" t="str">
        <f>Dates!E4</f>
        <v>3Q22 (A)</v>
      </c>
      <c r="F7" s="428" t="str">
        <f>Dates!F4</f>
        <v>4Q22 (A)</v>
      </c>
      <c r="G7" s="92" t="str">
        <f>Dates!G4</f>
        <v>FY22 (A)</v>
      </c>
      <c r="H7" s="428" t="str">
        <f>Dates!H4</f>
        <v>1Q23 (A)</v>
      </c>
      <c r="I7" s="428" t="str">
        <f>Dates!I4</f>
        <v>2Q23 (A)</v>
      </c>
      <c r="J7" s="428" t="str">
        <f>Dates!J4</f>
        <v>3Q23 (A)</v>
      </c>
      <c r="K7" s="428" t="str">
        <f>Dates!K4</f>
        <v>4Q23 (A)</v>
      </c>
      <c r="L7" s="92" t="str">
        <f>Dates!L4</f>
        <v>FY23 (A)</v>
      </c>
      <c r="M7" s="428" t="str">
        <f>Dates!M4</f>
        <v>1Q24 (A)</v>
      </c>
      <c r="N7" s="428" t="str">
        <f>Dates!N4</f>
        <v>2Q24 (A)</v>
      </c>
      <c r="O7" s="428" t="str">
        <f>Dates!O4</f>
        <v>3Q24 (A)</v>
      </c>
      <c r="P7" s="428" t="str">
        <f>Dates!P4</f>
        <v>4Q24 (A)</v>
      </c>
      <c r="Q7" s="92" t="str">
        <f>Dates!Q4</f>
        <v>FY24 (A)</v>
      </c>
      <c r="R7" s="91" t="str">
        <f>Dates!R4</f>
        <v>1Q25 (A)</v>
      </c>
      <c r="S7" s="91" t="str">
        <f>Dates!S4</f>
        <v>2Q25 (A)</v>
      </c>
      <c r="T7" s="91" t="str">
        <f>Dates!T4</f>
        <v>3Q25 (A)</v>
      </c>
      <c r="U7" s="91" t="str">
        <f>Dates!U4</f>
        <v>4Q25 (E)</v>
      </c>
      <c r="V7" s="92" t="str">
        <f>Dates!V4</f>
        <v>FY25 (E)</v>
      </c>
      <c r="W7" s="91" t="str">
        <f>Dates!W4</f>
        <v>1Q26 (E)</v>
      </c>
      <c r="X7" s="91" t="str">
        <f>Dates!X4</f>
        <v>2Q26 (E)</v>
      </c>
      <c r="Y7" s="91" t="str">
        <f>Dates!Y4</f>
        <v>3Q26 (E)</v>
      </c>
      <c r="Z7" s="91" t="str">
        <f>Dates!Z4</f>
        <v>4Q26 (E)</v>
      </c>
      <c r="AA7" s="92" t="str">
        <f>Dates!AA4</f>
        <v>FY26 (E)</v>
      </c>
      <c r="AB7" s="91" t="str">
        <f>Dates!AB4</f>
        <v>1Q27 (E)</v>
      </c>
      <c r="AC7" s="91" t="str">
        <f>Dates!AC4</f>
        <v>2Q27 (E)</v>
      </c>
      <c r="AD7" s="91" t="str">
        <f>Dates!AD4</f>
        <v>3Q27 (E)</v>
      </c>
      <c r="AE7" s="91" t="str">
        <f>Dates!AE4</f>
        <v>4Q27 (E)</v>
      </c>
      <c r="AF7" s="92" t="str">
        <f>Dates!AF4</f>
        <v>FY27 (E)</v>
      </c>
      <c r="AG7" s="91" t="str">
        <f>Dates!AG4</f>
        <v>1Q28 (E)</v>
      </c>
      <c r="AH7" s="91" t="str">
        <f>Dates!AH4</f>
        <v>2Q28 (E)</v>
      </c>
      <c r="AI7" s="91" t="str">
        <f>Dates!AI4</f>
        <v>3Q28 (E)</v>
      </c>
      <c r="AJ7" s="91" t="str">
        <f>Dates!AJ4</f>
        <v>4Q28 (E)</v>
      </c>
      <c r="AK7" s="92" t="str">
        <f>Dates!AK4</f>
        <v>FY28 (E)</v>
      </c>
    </row>
    <row r="8" spans="1:37" s="248" customFormat="1" ht="12.75" customHeight="1">
      <c r="A8" s="416"/>
      <c r="B8" s="384"/>
      <c r="C8" s="423">
        <f>Dates!C5</f>
        <v>44651</v>
      </c>
      <c r="D8" s="423">
        <f>Dates!D5</f>
        <v>44742</v>
      </c>
      <c r="E8" s="423">
        <f>Dates!E5</f>
        <v>44834</v>
      </c>
      <c r="F8" s="423">
        <f>Dates!F5</f>
        <v>44926</v>
      </c>
      <c r="G8" s="94">
        <f>Dates!G5</f>
        <v>44926</v>
      </c>
      <c r="H8" s="423">
        <f>Dates!H5</f>
        <v>45016</v>
      </c>
      <c r="I8" s="423">
        <f>Dates!I5</f>
        <v>45107</v>
      </c>
      <c r="J8" s="423">
        <f>Dates!J5</f>
        <v>45199</v>
      </c>
      <c r="K8" s="423">
        <f>Dates!K5</f>
        <v>45291</v>
      </c>
      <c r="L8" s="94">
        <f>Dates!L5</f>
        <v>45291</v>
      </c>
      <c r="M8" s="423">
        <f>Dates!M5</f>
        <v>45382</v>
      </c>
      <c r="N8" s="423">
        <f>Dates!N5</f>
        <v>45473</v>
      </c>
      <c r="O8" s="423">
        <f>Dates!O5</f>
        <v>45565</v>
      </c>
      <c r="P8" s="423">
        <f>Dates!P5</f>
        <v>45657</v>
      </c>
      <c r="Q8" s="94">
        <f>Dates!Q5</f>
        <v>45657</v>
      </c>
      <c r="R8" s="93">
        <f>Dates!R5</f>
        <v>45747</v>
      </c>
      <c r="S8" s="93">
        <f>Dates!S5</f>
        <v>45838</v>
      </c>
      <c r="T8" s="93">
        <f>Dates!T5</f>
        <v>45930</v>
      </c>
      <c r="U8" s="93">
        <f>Dates!U5</f>
        <v>46022</v>
      </c>
      <c r="V8" s="94">
        <f>Dates!V5</f>
        <v>46022</v>
      </c>
      <c r="W8" s="93">
        <f>Dates!W5</f>
        <v>46112</v>
      </c>
      <c r="X8" s="93">
        <f>Dates!X5</f>
        <v>46203</v>
      </c>
      <c r="Y8" s="93">
        <f>Dates!Y5</f>
        <v>46295</v>
      </c>
      <c r="Z8" s="93">
        <f>Dates!Z5</f>
        <v>46387</v>
      </c>
      <c r="AA8" s="94">
        <f>Dates!AA5</f>
        <v>46387</v>
      </c>
      <c r="AB8" s="93">
        <f>Dates!AB5</f>
        <v>46477</v>
      </c>
      <c r="AC8" s="93">
        <f>Dates!AC5</f>
        <v>46568</v>
      </c>
      <c r="AD8" s="93">
        <f>Dates!AD5</f>
        <v>46660</v>
      </c>
      <c r="AE8" s="93">
        <f>Dates!AE5</f>
        <v>46752</v>
      </c>
      <c r="AF8" s="94">
        <f>Dates!AF5</f>
        <v>46752</v>
      </c>
      <c r="AG8" s="93">
        <f>Dates!AG5</f>
        <v>46843</v>
      </c>
      <c r="AH8" s="93">
        <f>Dates!AH5</f>
        <v>46934</v>
      </c>
      <c r="AI8" s="93">
        <f>Dates!AI5</f>
        <v>47026</v>
      </c>
      <c r="AJ8" s="93">
        <f>Dates!AJ5</f>
        <v>47118</v>
      </c>
      <c r="AK8" s="94">
        <f>Dates!AK5</f>
        <v>47118</v>
      </c>
    </row>
    <row r="9" spans="1:37" s="248" customFormat="1" ht="12.75" customHeight="1">
      <c r="A9" s="416"/>
      <c r="B9" s="523" t="s">
        <v>652</v>
      </c>
      <c r="C9" s="429"/>
      <c r="D9" s="429"/>
      <c r="E9" s="429"/>
      <c r="F9" s="429"/>
      <c r="G9" s="1189"/>
      <c r="H9" s="429"/>
      <c r="I9" s="429"/>
      <c r="J9" s="429"/>
      <c r="K9" s="429"/>
      <c r="L9" s="252"/>
      <c r="M9" s="429"/>
      <c r="N9" s="429"/>
      <c r="O9" s="429"/>
      <c r="P9" s="429"/>
      <c r="Q9" s="252"/>
      <c r="R9" s="251"/>
      <c r="S9" s="251"/>
      <c r="T9" s="251"/>
      <c r="U9" s="251"/>
      <c r="V9" s="252"/>
      <c r="W9" s="251"/>
      <c r="X9" s="251"/>
      <c r="Y9" s="251"/>
      <c r="Z9" s="251"/>
      <c r="AA9" s="252"/>
      <c r="AB9" s="251"/>
      <c r="AC9" s="251"/>
      <c r="AD9" s="251"/>
      <c r="AE9" s="251"/>
      <c r="AF9" s="252"/>
      <c r="AG9" s="251"/>
      <c r="AH9" s="251"/>
      <c r="AI9" s="251"/>
      <c r="AJ9" s="251"/>
      <c r="AK9" s="252"/>
    </row>
    <row r="10" spans="1:37" s="913" customFormat="1" ht="12.75" customHeight="1" outlineLevel="1">
      <c r="A10" s="283" t="s">
        <v>28</v>
      </c>
      <c r="B10" s="394" t="s">
        <v>29</v>
      </c>
      <c r="C10" s="912"/>
      <c r="D10" s="912"/>
      <c r="E10" s="912"/>
      <c r="F10" s="912"/>
      <c r="G10" s="911">
        <f>'Revenue and CapEx Build'!G10</f>
        <v>15.83</v>
      </c>
      <c r="H10" s="912">
        <f>'Revenue and CapEx Build'!H10</f>
        <v>7.9236842923050173</v>
      </c>
      <c r="I10" s="912">
        <f>'Revenue and CapEx Build'!I10</f>
        <v>29.843600214370358</v>
      </c>
      <c r="J10" s="912">
        <f>'Revenue and CapEx Build'!J10</f>
        <v>75.178825237918673</v>
      </c>
      <c r="K10" s="912">
        <f>'Revenue and CapEx Build'!K10</f>
        <v>115.99689025540596</v>
      </c>
      <c r="L10" s="911">
        <f>'Revenue and CapEx Build'!L10</f>
        <v>228.94300000000001</v>
      </c>
      <c r="M10" s="912">
        <f>'Revenue and CapEx Build'!M10</f>
        <v>188.684</v>
      </c>
      <c r="N10" s="912">
        <f>'Revenue and CapEx Build'!N10</f>
        <v>395.37099999999998</v>
      </c>
      <c r="O10" s="912">
        <f>'Revenue and CapEx Build'!O10</f>
        <v>583.94100000000003</v>
      </c>
      <c r="P10" s="912">
        <f>'Revenue and CapEx Build'!P10</f>
        <v>747.43</v>
      </c>
      <c r="Q10" s="911">
        <f>'Revenue and CapEx Build'!Q10</f>
        <v>1915.4259999999999</v>
      </c>
      <c r="R10" s="912">
        <f>'Revenue and CapEx Build'!R10</f>
        <v>981.63199999999995</v>
      </c>
      <c r="S10" s="912">
        <f>'Revenue and CapEx Build'!S10</f>
        <v>1212.788</v>
      </c>
      <c r="T10" s="912">
        <f>'Revenue and CapEx Build'!T10</f>
        <v>1364.6759999999999</v>
      </c>
      <c r="U10" s="912">
        <f>'Revenue and CapEx Build'!U10</f>
        <v>1542.8798383352844</v>
      </c>
      <c r="V10" s="911">
        <f>'Revenue and CapEx Build'!V10</f>
        <v>5101.9758383352846</v>
      </c>
      <c r="W10" s="912">
        <f>'Revenue and CapEx Build'!W10</f>
        <v>2227.1271940102652</v>
      </c>
      <c r="X10" s="912">
        <f>'Revenue and CapEx Build'!X10</f>
        <v>2964.1923267606126</v>
      </c>
      <c r="Y10" s="912">
        <f>'Revenue and CapEx Build'!Y10</f>
        <v>3289.6841382241842</v>
      </c>
      <c r="Z10" s="912">
        <f>'Revenue and CapEx Build'!Z10</f>
        <v>3520.6358086433452</v>
      </c>
      <c r="AA10" s="911">
        <f>'Revenue and CapEx Build'!AA10</f>
        <v>12001.639467638406</v>
      </c>
      <c r="AB10" s="912">
        <f>'Revenue and CapEx Build'!AB10</f>
        <v>3811.6134309688914</v>
      </c>
      <c r="AC10" s="912">
        <f>'Revenue and CapEx Build'!AC10</f>
        <v>4153.967972772637</v>
      </c>
      <c r="AD10" s="912">
        <f>'Revenue and CapEx Build'!AD10</f>
        <v>4473.832737778841</v>
      </c>
      <c r="AE10" s="912">
        <f>'Revenue and CapEx Build'!AE10</f>
        <v>4771.4757275279553</v>
      </c>
      <c r="AF10" s="911">
        <f>'Revenue and CapEx Build'!AF10</f>
        <v>17210.889869048326</v>
      </c>
      <c r="AG10" s="912">
        <f>'Revenue and CapEx Build'!AG10</f>
        <v>5118.4482278277555</v>
      </c>
      <c r="AH10" s="912">
        <f>'Revenue and CapEx Build'!AH10</f>
        <v>5329.7806915375268</v>
      </c>
      <c r="AI10" s="912">
        <f>'Revenue and CapEx Build'!AI10</f>
        <v>5519.2671656952671</v>
      </c>
      <c r="AJ10" s="912">
        <f>'Revenue and CapEx Build'!AJ10</f>
        <v>5687.5931059802742</v>
      </c>
      <c r="AK10" s="911">
        <f>'Revenue and CapEx Build'!AK10</f>
        <v>21655.089191040825</v>
      </c>
    </row>
    <row r="11" spans="1:37" s="444" customFormat="1" ht="12.75" customHeight="1" outlineLevel="1">
      <c r="A11" s="416" t="s">
        <v>30</v>
      </c>
      <c r="B11" s="433" t="s">
        <v>31</v>
      </c>
      <c r="C11" s="644"/>
      <c r="D11" s="419"/>
      <c r="E11" s="419"/>
      <c r="F11" s="419"/>
      <c r="G11" s="449"/>
      <c r="H11" s="102" t="str">
        <f t="shared" ref="H11:AF11" si="0">IFERROR(H10/C10-1,"")</f>
        <v/>
      </c>
      <c r="I11" s="291" t="str">
        <f t="shared" si="0"/>
        <v/>
      </c>
      <c r="J11" s="291" t="str">
        <f t="shared" si="0"/>
        <v/>
      </c>
      <c r="K11" s="291" t="str">
        <f t="shared" si="0"/>
        <v/>
      </c>
      <c r="L11" s="254">
        <f t="shared" si="0"/>
        <v>13.462602653190146</v>
      </c>
      <c r="M11" s="102">
        <f t="shared" si="0"/>
        <v>22.812660000000001</v>
      </c>
      <c r="N11" s="291">
        <f t="shared" si="0"/>
        <v>12.248100000000001</v>
      </c>
      <c r="O11" s="291">
        <f t="shared" si="0"/>
        <v>6.7673600000000009</v>
      </c>
      <c r="P11" s="291">
        <f t="shared" si="0"/>
        <v>5.4435348081684154</v>
      </c>
      <c r="Q11" s="254">
        <f t="shared" si="0"/>
        <v>7.366388140279458</v>
      </c>
      <c r="R11" s="102">
        <f t="shared" si="0"/>
        <v>4.2025184965338873</v>
      </c>
      <c r="S11" s="291">
        <f t="shared" si="0"/>
        <v>2.0674682766313159</v>
      </c>
      <c r="T11" s="291">
        <f t="shared" si="0"/>
        <v>1.3370100746479521</v>
      </c>
      <c r="U11" s="291">
        <f t="shared" si="0"/>
        <v>1.0642466028059947</v>
      </c>
      <c r="V11" s="254">
        <f t="shared" si="0"/>
        <v>1.663624613185414</v>
      </c>
      <c r="W11" s="102">
        <f t="shared" si="0"/>
        <v>1.2688005219983305</v>
      </c>
      <c r="X11" s="291">
        <f t="shared" si="0"/>
        <v>1.4441141623767817</v>
      </c>
      <c r="Y11" s="291">
        <f t="shared" si="0"/>
        <v>1.4105971953959653</v>
      </c>
      <c r="Z11" s="291">
        <f t="shared" si="0"/>
        <v>1.281860013442131</v>
      </c>
      <c r="AA11" s="254">
        <f t="shared" si="0"/>
        <v>1.3523512944652443</v>
      </c>
      <c r="AB11" s="102">
        <f t="shared" si="0"/>
        <v>0.71144847102581932</v>
      </c>
      <c r="AC11" s="291">
        <f t="shared" si="0"/>
        <v>0.40138274270221141</v>
      </c>
      <c r="AD11" s="291">
        <f t="shared" si="0"/>
        <v>0.3599581448551703</v>
      </c>
      <c r="AE11" s="291">
        <f t="shared" si="0"/>
        <v>0.35528807490219028</v>
      </c>
      <c r="AF11" s="254">
        <f t="shared" si="0"/>
        <v>0.43404489990357598</v>
      </c>
      <c r="AG11" s="102">
        <f>IFERROR(AG10/AB10-1,"")</f>
        <v>0.34285606883452346</v>
      </c>
      <c r="AH11" s="291">
        <f>IFERROR(AH10/AC10-1,"")</f>
        <v>0.28305772371665006</v>
      </c>
      <c r="AI11" s="291">
        <f>IFERROR(AI10/AD10-1,"")</f>
        <v>0.23367758456599375</v>
      </c>
      <c r="AJ11" s="291">
        <f>IFERROR(AJ10/AE10-1,"")</f>
        <v>0.19199875065212768</v>
      </c>
      <c r="AK11" s="254">
        <f>IFERROR(AK10/AF10-1,"")</f>
        <v>0.25822019406357644</v>
      </c>
    </row>
    <row r="12" spans="1:37" s="248" customFormat="1" ht="12.75" customHeight="1" outlineLevel="1">
      <c r="A12" s="416" t="s">
        <v>32</v>
      </c>
      <c r="B12" s="433" t="s">
        <v>33</v>
      </c>
      <c r="C12" s="616"/>
      <c r="D12" s="102"/>
      <c r="E12" s="102"/>
      <c r="F12" s="102"/>
      <c r="G12" s="255"/>
      <c r="H12" s="253" t="str">
        <f>IFERROR(H10/F10-1,"")</f>
        <v/>
      </c>
      <c r="I12" s="102">
        <f>IFERROR(I10/H10-1,"")</f>
        <v>2.7663792641704039</v>
      </c>
      <c r="J12" s="102">
        <f>IFERROR(J10/I10-1,"")</f>
        <v>1.5190936984110381</v>
      </c>
      <c r="K12" s="102">
        <f>IFERROR(K10/J10-1,"")</f>
        <v>0.54294630021565538</v>
      </c>
      <c r="L12" s="255"/>
      <c r="M12" s="253">
        <f>IFERROR(M10/K10-1,"")</f>
        <v>0.62662981382129335</v>
      </c>
      <c r="N12" s="102">
        <f>IFERROR(N10/M10-1,"")</f>
        <v>1.0954134955799115</v>
      </c>
      <c r="O12" s="102">
        <f>IFERROR(O10/N10-1,"")</f>
        <v>0.47694443952641974</v>
      </c>
      <c r="P12" s="102">
        <f>IFERROR(P10/O10-1,"")</f>
        <v>0.27997520297427303</v>
      </c>
      <c r="Q12" s="255"/>
      <c r="R12" s="253">
        <f>IFERROR(R10/P10-1,"")</f>
        <v>0.31334305553697339</v>
      </c>
      <c r="S12" s="102">
        <f>IFERROR(S10/R10-1,"")</f>
        <v>0.23548132090233409</v>
      </c>
      <c r="T12" s="102">
        <f>IFERROR(T10/S10-1,"")</f>
        <v>0.12523870618772603</v>
      </c>
      <c r="U12" s="102">
        <f>IFERROR(U10/T10-1,"")</f>
        <v>0.13058325810323068</v>
      </c>
      <c r="V12" s="255"/>
      <c r="W12" s="253">
        <f>IFERROR(W10/U10-1,"")</f>
        <v>0.44348713274603457</v>
      </c>
      <c r="X12" s="102">
        <f>IFERROR(X10/W10-1,"")</f>
        <v>0.33094882714047191</v>
      </c>
      <c r="Y12" s="102">
        <f>IFERROR(Y10/X10-1,"")</f>
        <v>0.10980792593147348</v>
      </c>
      <c r="Z12" s="102">
        <f>IFERROR(Z10/Y10-1,"")</f>
        <v>7.0204816242276591E-2</v>
      </c>
      <c r="AA12" s="255"/>
      <c r="AB12" s="253">
        <f>IFERROR(AB10/Z10-1,"")</f>
        <v>8.264916854256299E-2</v>
      </c>
      <c r="AC12" s="102">
        <f>IFERROR(AC10/AB10-1,"")</f>
        <v>8.9818799310065645E-2</v>
      </c>
      <c r="AD12" s="102">
        <f>IFERROR(AD10/AC10-1,"")</f>
        <v>7.700222223733344E-2</v>
      </c>
      <c r="AE12" s="102">
        <f>IFERROR(AE10/AD10-1,"")</f>
        <v>6.652975361275737E-2</v>
      </c>
      <c r="AF12" s="255"/>
      <c r="AG12" s="253">
        <f>IFERROR(AG10/AE10-1,"")</f>
        <v>7.271806881422882E-2</v>
      </c>
      <c r="AH12" s="102">
        <f>IFERROR(AH10/AG10-1,"")</f>
        <v>4.1288385522942006E-2</v>
      </c>
      <c r="AI12" s="102">
        <f>IFERROR(AI10/AH10-1,"")</f>
        <v>3.5552396078623261E-2</v>
      </c>
      <c r="AJ12" s="102">
        <f>IFERROR(AJ10/AI10-1,"")</f>
        <v>3.0497878655200594E-2</v>
      </c>
      <c r="AK12" s="255"/>
    </row>
    <row r="13" spans="1:37" s="248" customFormat="1" ht="12.75" customHeight="1" outlineLevel="1">
      <c r="A13" s="416"/>
      <c r="B13" s="433"/>
      <c r="C13" s="616"/>
      <c r="D13" s="102"/>
      <c r="E13" s="102"/>
      <c r="F13" s="102"/>
      <c r="G13" s="255"/>
      <c r="H13" s="253"/>
      <c r="I13" s="102"/>
      <c r="J13" s="102"/>
      <c r="K13" s="102"/>
      <c r="L13" s="255"/>
      <c r="M13" s="253"/>
      <c r="N13" s="102"/>
      <c r="O13" s="102"/>
      <c r="P13" s="102"/>
      <c r="Q13" s="255"/>
      <c r="R13" s="253"/>
      <c r="S13" s="102"/>
      <c r="T13" s="102"/>
      <c r="U13" s="102"/>
      <c r="V13" s="255"/>
      <c r="W13" s="253"/>
      <c r="X13" s="102"/>
      <c r="Y13" s="102"/>
      <c r="Z13" s="102"/>
      <c r="AA13" s="255"/>
      <c r="AB13" s="253"/>
      <c r="AC13" s="102"/>
      <c r="AD13" s="102"/>
      <c r="AE13" s="102"/>
      <c r="AF13" s="255"/>
      <c r="AG13" s="253"/>
      <c r="AH13" s="102"/>
      <c r="AI13" s="102"/>
      <c r="AJ13" s="102"/>
      <c r="AK13" s="255"/>
    </row>
    <row r="14" spans="1:37" s="289" customFormat="1" ht="12.75" customHeight="1" outlineLevel="1">
      <c r="A14" s="283"/>
      <c r="B14" s="1337" t="s">
        <v>656</v>
      </c>
      <c r="C14" s="371"/>
      <c r="D14" s="371"/>
      <c r="E14" s="371"/>
      <c r="F14" s="912">
        <f>'Revenue and CapEx Build'!F46</f>
        <v>0</v>
      </c>
      <c r="G14" s="911">
        <f>'Revenue and CapEx Build'!G46</f>
        <v>72.403999999999996</v>
      </c>
      <c r="H14" s="912">
        <f>'Revenue and CapEx Build'!H46</f>
        <v>0</v>
      </c>
      <c r="I14" s="912">
        <f>'Revenue and CapEx Build'!I46</f>
        <v>0</v>
      </c>
      <c r="J14" s="912">
        <f>'Revenue and CapEx Build'!J46</f>
        <v>0</v>
      </c>
      <c r="K14" s="912">
        <f>'Revenue and CapEx Build'!K46</f>
        <v>0</v>
      </c>
      <c r="L14" s="911">
        <f>'Revenue and CapEx Build'!L46</f>
        <v>2943.13</v>
      </c>
      <c r="M14" s="912">
        <f>'Revenue and CapEx Build'!M46</f>
        <v>1741.9349999999999</v>
      </c>
      <c r="N14" s="912">
        <f>'Revenue and CapEx Build'!N46</f>
        <v>0</v>
      </c>
      <c r="O14" s="912">
        <f>'Revenue and CapEx Build'!O46</f>
        <v>0</v>
      </c>
      <c r="P14" s="912">
        <f>'Revenue and CapEx Build'!P46</f>
        <v>3151.1979999999999</v>
      </c>
      <c r="Q14" s="911">
        <f>'Revenue and CapEx Build'!Q46</f>
        <v>8702.0779999999995</v>
      </c>
      <c r="R14" s="912">
        <f>'Revenue and CapEx Build'!R46</f>
        <v>1407.3589999999999</v>
      </c>
      <c r="S14" s="912">
        <f>'Revenue and CapEx Build'!S46</f>
        <v>2452.9920000000002</v>
      </c>
      <c r="T14" s="912">
        <f>'Revenue and CapEx Build'!T46</f>
        <v>3278.7860000000001</v>
      </c>
      <c r="U14" s="912">
        <f>'Revenue and CapEx Build'!U46</f>
        <v>8358.3420051049998</v>
      </c>
      <c r="V14" s="911">
        <f>'Revenue and CapEx Build'!V46</f>
        <v>15497.479005105</v>
      </c>
      <c r="W14" s="912">
        <f>'Revenue and CapEx Build'!W46</f>
        <v>8819.5947919299997</v>
      </c>
      <c r="X14" s="912">
        <f>'Revenue and CapEx Build'!X46</f>
        <v>5074.7968646079999</v>
      </c>
      <c r="Y14" s="912">
        <f>'Revenue and CapEx Build'!Y46</f>
        <v>3588.3477235884015</v>
      </c>
      <c r="Z14" s="912">
        <f>'Revenue and CapEx Build'!Z46</f>
        <v>3442.7787603365532</v>
      </c>
      <c r="AA14" s="911">
        <f>'Revenue and CapEx Build'!AA46</f>
        <v>20925.518140462955</v>
      </c>
      <c r="AB14" s="912">
        <f>'Revenue and CapEx Build'!AB46</f>
        <v>4275.9522215168945</v>
      </c>
      <c r="AC14" s="912">
        <f>'Revenue and CapEx Build'!AC46</f>
        <v>6860.1832461378735</v>
      </c>
      <c r="AD14" s="912">
        <f>'Revenue and CapEx Build'!AD46</f>
        <v>5696.2371110928079</v>
      </c>
      <c r="AE14" s="912">
        <f>'Revenue and CapEx Build'!AE46</f>
        <v>5957.3636537733573</v>
      </c>
      <c r="AF14" s="911">
        <f>'Revenue and CapEx Build'!AF46</f>
        <v>22789.736232520932</v>
      </c>
      <c r="AG14" s="912">
        <f>'Revenue and CapEx Build'!AG46</f>
        <v>5527.3864199194886</v>
      </c>
      <c r="AH14" s="912">
        <f>'Revenue and CapEx Build'!AH46</f>
        <v>6317.1606054980048</v>
      </c>
      <c r="AI14" s="912">
        <f>'Revenue and CapEx Build'!AI46</f>
        <v>6489.2090657656963</v>
      </c>
      <c r="AJ14" s="912">
        <f>'Revenue and CapEx Build'!AJ46</f>
        <v>6448.6564497883573</v>
      </c>
      <c r="AK14" s="911">
        <f>'Revenue and CapEx Build'!AK46</f>
        <v>24782.412540971549</v>
      </c>
    </row>
    <row r="15" spans="1:37" s="444" customFormat="1" ht="12.75" customHeight="1" outlineLevel="1">
      <c r="A15" s="1102"/>
      <c r="B15" s="433" t="s">
        <v>31</v>
      </c>
      <c r="C15" s="419"/>
      <c r="D15" s="419"/>
      <c r="E15" s="419"/>
      <c r="F15" s="419"/>
      <c r="G15" s="449"/>
      <c r="H15" s="419"/>
      <c r="I15" s="419"/>
      <c r="J15" s="419"/>
      <c r="K15" s="419"/>
      <c r="L15" s="449"/>
      <c r="M15" s="419" t="str">
        <f t="shared" ref="M15:AK15" si="1">IFERROR(M14/H14-1,"")</f>
        <v/>
      </c>
      <c r="N15" s="419" t="str">
        <f t="shared" si="1"/>
        <v/>
      </c>
      <c r="O15" s="419" t="str">
        <f t="shared" si="1"/>
        <v/>
      </c>
      <c r="P15" s="419" t="str">
        <f t="shared" si="1"/>
        <v/>
      </c>
      <c r="Q15" s="449">
        <f t="shared" si="1"/>
        <v>1.956742651530853</v>
      </c>
      <c r="R15" s="419">
        <f t="shared" si="1"/>
        <v>-0.19207146076059101</v>
      </c>
      <c r="S15" s="419" t="str">
        <f t="shared" si="1"/>
        <v/>
      </c>
      <c r="T15" s="419" t="str">
        <f t="shared" si="1"/>
        <v/>
      </c>
      <c r="U15" s="291">
        <f t="shared" si="1"/>
        <v>1.6524331397471692</v>
      </c>
      <c r="V15" s="254">
        <f t="shared" si="1"/>
        <v>0.78089405830480962</v>
      </c>
      <c r="W15" s="102">
        <f t="shared" si="1"/>
        <v>5.2667697381620471</v>
      </c>
      <c r="X15" s="102">
        <f t="shared" si="1"/>
        <v>1.0688191663927151</v>
      </c>
      <c r="Y15" s="102">
        <f t="shared" si="1"/>
        <v>9.4413518780549044E-2</v>
      </c>
      <c r="Z15" s="102">
        <f t="shared" si="1"/>
        <v>-0.58810266937703459</v>
      </c>
      <c r="AA15" s="254">
        <f t="shared" si="1"/>
        <v>0.35025304009574154</v>
      </c>
      <c r="AB15" s="102">
        <f t="shared" si="1"/>
        <v>-0.51517588705669048</v>
      </c>
      <c r="AC15" s="102">
        <f t="shared" si="1"/>
        <v>0.35181435418258555</v>
      </c>
      <c r="AD15" s="102">
        <f t="shared" si="1"/>
        <v>0.58742617769397376</v>
      </c>
      <c r="AE15" s="102">
        <f t="shared" si="1"/>
        <v>0.73039398360613439</v>
      </c>
      <c r="AF15" s="254">
        <f t="shared" si="1"/>
        <v>8.9088264364321823E-2</v>
      </c>
      <c r="AG15" s="102">
        <f t="shared" si="1"/>
        <v>0.29266795641571686</v>
      </c>
      <c r="AH15" s="102">
        <f t="shared" si="1"/>
        <v>-7.915570490709245E-2</v>
      </c>
      <c r="AI15" s="102">
        <f t="shared" si="1"/>
        <v>0.13920978695368236</v>
      </c>
      <c r="AJ15" s="102">
        <f t="shared" si="1"/>
        <v>8.2468156145515614E-2</v>
      </c>
      <c r="AK15" s="254">
        <f t="shared" si="1"/>
        <v>8.7437445002416014E-2</v>
      </c>
    </row>
    <row r="16" spans="1:37" s="248" customFormat="1" ht="12.75" customHeight="1" outlineLevel="1">
      <c r="A16" s="416"/>
      <c r="B16" s="433" t="s">
        <v>33</v>
      </c>
      <c r="C16" s="616"/>
      <c r="D16" s="102"/>
      <c r="E16" s="102"/>
      <c r="F16" s="102"/>
      <c r="G16" s="255"/>
      <c r="H16" s="253"/>
      <c r="I16" s="102"/>
      <c r="J16" s="102"/>
      <c r="K16" s="102"/>
      <c r="L16" s="255"/>
      <c r="M16" s="253"/>
      <c r="N16" s="102"/>
      <c r="O16" s="102"/>
      <c r="P16" s="102"/>
      <c r="Q16" s="255"/>
      <c r="R16" s="253">
        <f>IFERROR(R14/P14-1,"")</f>
        <v>-0.55338921895736159</v>
      </c>
      <c r="S16" s="102">
        <f>IFERROR(S14/R14-1,"")</f>
        <v>0.74297531759842395</v>
      </c>
      <c r="T16" s="102">
        <f>IFERROR(T14/S14-1,"")</f>
        <v>0.33664765315174283</v>
      </c>
      <c r="U16" s="102">
        <f>IFERROR(U14/T14-1,"")</f>
        <v>1.5492185232903273</v>
      </c>
      <c r="V16" s="255"/>
      <c r="W16" s="253">
        <f>IFERROR(W14/U14-1,"")</f>
        <v>5.518472282460829E-2</v>
      </c>
      <c r="X16" s="102">
        <f>IFERROR(X14/W14-1,"")</f>
        <v>-0.42459977081356615</v>
      </c>
      <c r="Y16" s="102">
        <f>IFERROR(Y14/X14-1,"")</f>
        <v>-0.29290810660544897</v>
      </c>
      <c r="Z16" s="102">
        <f>IFERROR(Z14/Y14-1,"")</f>
        <v>-4.0567128512918216E-2</v>
      </c>
      <c r="AA16" s="255"/>
      <c r="AB16" s="253">
        <f>IFERROR(AB14/Z14-1,"")</f>
        <v>0.24200610006635848</v>
      </c>
      <c r="AC16" s="102">
        <f>IFERROR(AC14/AB14-1,"")</f>
        <v>0.60436386815010357</v>
      </c>
      <c r="AD16" s="102">
        <f>IFERROR(AD14/AC14-1,"")</f>
        <v>-0.1696669160696751</v>
      </c>
      <c r="AE16" s="102">
        <f>IFERROR(AE14/AD14-1,"")</f>
        <v>4.5841936981877662E-2</v>
      </c>
      <c r="AF16" s="255"/>
      <c r="AG16" s="253">
        <f>IFERROR(AG14/AE14-1,"")</f>
        <v>-7.2175757405966601E-2</v>
      </c>
      <c r="AH16" s="102">
        <f>IFERROR(AH14/AG14-1,"")</f>
        <v>0.14288383796224968</v>
      </c>
      <c r="AI16" s="102">
        <f>IFERROR(AI14/AH14-1,"")</f>
        <v>2.7235093582701264E-2</v>
      </c>
      <c r="AJ16" s="102">
        <f>IFERROR(AJ14/AI14-1,"")</f>
        <v>-6.2492386308337089E-3</v>
      </c>
      <c r="AK16" s="255"/>
    </row>
    <row r="17" spans="1:37" s="269" customFormat="1" ht="12.75" customHeight="1" outlineLevel="1">
      <c r="A17" s="416"/>
      <c r="B17" s="433"/>
      <c r="C17" s="655"/>
      <c r="D17" s="290"/>
      <c r="E17" s="290"/>
      <c r="F17" s="290"/>
      <c r="G17" s="254"/>
      <c r="H17" s="293"/>
      <c r="I17" s="290"/>
      <c r="J17" s="290"/>
      <c r="K17" s="290"/>
      <c r="L17" s="254"/>
      <c r="M17" s="293"/>
      <c r="N17" s="290"/>
      <c r="O17" s="290"/>
      <c r="P17" s="290"/>
      <c r="Q17" s="254"/>
      <c r="R17" s="1070"/>
      <c r="S17" s="1071"/>
      <c r="T17" s="1071"/>
      <c r="U17" s="1071"/>
      <c r="V17" s="254"/>
      <c r="W17" s="1070"/>
      <c r="X17" s="1010"/>
      <c r="Y17" s="1010"/>
      <c r="Z17" s="1010"/>
      <c r="AA17" s="1011"/>
      <c r="AB17" s="1009"/>
      <c r="AC17" s="1010"/>
      <c r="AD17" s="1010"/>
      <c r="AE17" s="1010"/>
      <c r="AF17" s="1011"/>
      <c r="AG17" s="1009"/>
      <c r="AH17" s="1010"/>
      <c r="AI17" s="1010"/>
      <c r="AJ17" s="1010"/>
      <c r="AK17" s="1011"/>
    </row>
    <row r="18" spans="1:37" s="289" customFormat="1" ht="12.75" customHeight="1" outlineLevel="1">
      <c r="A18" s="283"/>
      <c r="B18" s="1337" t="s">
        <v>386</v>
      </c>
      <c r="C18" s="371"/>
      <c r="D18" s="371"/>
      <c r="E18" s="371"/>
      <c r="F18" s="371"/>
      <c r="G18" s="495"/>
      <c r="H18" s="371"/>
      <c r="I18" s="371"/>
      <c r="J18" s="371"/>
      <c r="K18" s="491"/>
      <c r="L18" s="495"/>
      <c r="M18" s="371">
        <v>1200</v>
      </c>
      <c r="N18" s="371">
        <v>1900</v>
      </c>
      <c r="O18" s="371">
        <f>Q18-P18-N18-M18</f>
        <v>2679.4319173498598</v>
      </c>
      <c r="P18" s="912">
        <f>'Revenue and CapEx Build'!P52</f>
        <v>2340.018</v>
      </c>
      <c r="Q18" s="911">
        <f>'Revenue and CapEx Build'!Q52</f>
        <v>8119.4499173498598</v>
      </c>
      <c r="R18" s="912">
        <f>'Revenue and CapEx Build'!R52</f>
        <v>483.10399999999998</v>
      </c>
      <c r="S18" s="912">
        <f>'Revenue and CapEx Build'!S52</f>
        <v>2359.4749999999995</v>
      </c>
      <c r="T18" s="912">
        <f>'Revenue and CapEx Build'!T52</f>
        <v>382.36100000000056</v>
      </c>
      <c r="U18" s="912">
        <f>'Revenue and CapEx Build'!U52</f>
        <v>4758.3610000000008</v>
      </c>
      <c r="V18" s="911">
        <f>'Revenue and CapEx Build'!V52</f>
        <v>7983.3010000000004</v>
      </c>
      <c r="W18" s="912">
        <f>'Revenue and CapEx Build'!W52</f>
        <v>10758.361000000001</v>
      </c>
      <c r="X18" s="912">
        <f>'Revenue and CapEx Build'!X52</f>
        <v>4758.3610000000008</v>
      </c>
      <c r="Y18" s="912">
        <f>'Revenue and CapEx Build'!Y52</f>
        <v>3008.3610000000008</v>
      </c>
      <c r="Z18" s="912">
        <f>'Revenue and CapEx Build'!Z52</f>
        <v>3008.3610000000008</v>
      </c>
      <c r="AA18" s="911">
        <f>'Revenue and CapEx Build'!AA52</f>
        <v>21533.444000000003</v>
      </c>
      <c r="AB18" s="912">
        <f>'Revenue and CapEx Build'!AB52</f>
        <v>5008.3610000000008</v>
      </c>
      <c r="AC18" s="912">
        <f>'Revenue and CapEx Build'!AC52</f>
        <v>5008.3610000000008</v>
      </c>
      <c r="AD18" s="912">
        <f>'Revenue and CapEx Build'!AD52</f>
        <v>5008.3610000000008</v>
      </c>
      <c r="AE18" s="912">
        <f>'Revenue and CapEx Build'!AE52</f>
        <v>5008.3610000000008</v>
      </c>
      <c r="AF18" s="911">
        <f>'Revenue and CapEx Build'!AF52</f>
        <v>20033.444000000003</v>
      </c>
      <c r="AG18" s="912">
        <f>'Revenue and CapEx Build'!AG52</f>
        <v>4508.3610000000008</v>
      </c>
      <c r="AH18" s="912">
        <f>'Revenue and CapEx Build'!AH52</f>
        <v>4508.3610000000008</v>
      </c>
      <c r="AI18" s="912">
        <f>'Revenue and CapEx Build'!AI52</f>
        <v>4508.3610000000008</v>
      </c>
      <c r="AJ18" s="912">
        <f>'Revenue and CapEx Build'!AJ52</f>
        <v>4508.3610000000008</v>
      </c>
      <c r="AK18" s="911">
        <f>'Revenue and CapEx Build'!AK52</f>
        <v>18033.444000000003</v>
      </c>
    </row>
    <row r="19" spans="1:37" s="444" customFormat="1" ht="12.75" customHeight="1" outlineLevel="1">
      <c r="A19" s="1102"/>
      <c r="B19" s="433" t="s">
        <v>31</v>
      </c>
      <c r="C19" s="419"/>
      <c r="D19" s="419"/>
      <c r="E19" s="419"/>
      <c r="F19" s="419"/>
      <c r="G19" s="449"/>
      <c r="H19" s="419"/>
      <c r="I19" s="419"/>
      <c r="J19" s="419"/>
      <c r="K19" s="419"/>
      <c r="L19" s="449"/>
      <c r="M19" s="419" t="str">
        <f t="shared" ref="M19:AF19" si="2">IFERROR(M18/H18-1,"")</f>
        <v/>
      </c>
      <c r="N19" s="419" t="str">
        <f t="shared" si="2"/>
        <v/>
      </c>
      <c r="O19" s="419" t="str">
        <f t="shared" si="2"/>
        <v/>
      </c>
      <c r="P19" s="419" t="str">
        <f t="shared" si="2"/>
        <v/>
      </c>
      <c r="Q19" s="449" t="str">
        <f t="shared" si="2"/>
        <v/>
      </c>
      <c r="R19" s="419">
        <f t="shared" si="2"/>
        <v>-0.59741333333333335</v>
      </c>
      <c r="S19" s="419">
        <f t="shared" si="2"/>
        <v>0.24182894736842075</v>
      </c>
      <c r="T19" s="419">
        <f t="shared" si="2"/>
        <v>-0.8572977363133818</v>
      </c>
      <c r="U19" s="291">
        <f t="shared" si="2"/>
        <v>1.0334719647455706</v>
      </c>
      <c r="V19" s="254">
        <f t="shared" si="2"/>
        <v>-1.6768243998763088E-2</v>
      </c>
      <c r="W19" s="102">
        <f t="shared" si="2"/>
        <v>21.26924430350401</v>
      </c>
      <c r="X19" s="102">
        <f t="shared" si="2"/>
        <v>1.0167032920459009</v>
      </c>
      <c r="Y19" s="102">
        <f t="shared" si="2"/>
        <v>6.8678552467432512</v>
      </c>
      <c r="Z19" s="102">
        <f t="shared" si="2"/>
        <v>-0.36777369350496936</v>
      </c>
      <c r="AA19" s="254">
        <f t="shared" si="2"/>
        <v>1.6973107991293328</v>
      </c>
      <c r="AB19" s="102">
        <f t="shared" si="2"/>
        <v>-0.53446802909848445</v>
      </c>
      <c r="AC19" s="102">
        <f t="shared" si="2"/>
        <v>5.2539099072138384E-2</v>
      </c>
      <c r="AD19" s="102">
        <f t="shared" si="2"/>
        <v>0.66481383052100451</v>
      </c>
      <c r="AE19" s="102">
        <f t="shared" si="2"/>
        <v>0.66481383052100451</v>
      </c>
      <c r="AF19" s="254">
        <f t="shared" si="2"/>
        <v>-6.9659084724208564E-2</v>
      </c>
      <c r="AG19" s="102">
        <f>IFERROR(AG18/AB18-1,"")</f>
        <v>-9.9833059158475179E-2</v>
      </c>
      <c r="AH19" s="102">
        <f>IFERROR(AH18/AC18-1,"")</f>
        <v>-9.9833059158475179E-2</v>
      </c>
      <c r="AI19" s="102">
        <f>IFERROR(AI18/AD18-1,"")</f>
        <v>-9.9833059158475179E-2</v>
      </c>
      <c r="AJ19" s="102">
        <f>IFERROR(AJ18/AE18-1,"")</f>
        <v>-9.9833059158475179E-2</v>
      </c>
      <c r="AK19" s="254">
        <f>IFERROR(AK18/AF18-1,"")</f>
        <v>-9.9833059158475179E-2</v>
      </c>
    </row>
    <row r="20" spans="1:37" s="248" customFormat="1" ht="12.75" customHeight="1" outlineLevel="1">
      <c r="A20" s="416"/>
      <c r="B20" s="433" t="s">
        <v>33</v>
      </c>
      <c r="C20" s="616"/>
      <c r="D20" s="102"/>
      <c r="E20" s="102"/>
      <c r="F20" s="102"/>
      <c r="G20" s="255"/>
      <c r="H20" s="253"/>
      <c r="I20" s="102"/>
      <c r="J20" s="102"/>
      <c r="K20" s="102"/>
      <c r="L20" s="255"/>
      <c r="M20" s="253"/>
      <c r="N20" s="102"/>
      <c r="O20" s="102"/>
      <c r="P20" s="102"/>
      <c r="Q20" s="255"/>
      <c r="R20" s="253">
        <f>IFERROR(R18/P18-1,"")</f>
        <v>-0.79354688724616651</v>
      </c>
      <c r="S20" s="102">
        <f>IFERROR(S18/R18-1,"")</f>
        <v>3.8839897827382917</v>
      </c>
      <c r="T20" s="102">
        <f>IFERROR(T18/S18-1,"")</f>
        <v>-0.83794657709871867</v>
      </c>
      <c r="U20" s="102">
        <f>IFERROR(U18/T18-1,"")</f>
        <v>11.444681858243895</v>
      </c>
      <c r="V20" s="255"/>
      <c r="W20" s="253">
        <f>IFERROR(W18/U18-1,"")</f>
        <v>1.2609383777313234</v>
      </c>
      <c r="X20" s="102">
        <f>IFERROR(X18/W18-1,"")</f>
        <v>-0.55770576949407069</v>
      </c>
      <c r="Y20" s="102">
        <f>IFERROR(Y18/X18-1,"")</f>
        <v>-0.36777369350496936</v>
      </c>
      <c r="Z20" s="102">
        <f>IFERROR(Z18/Y18-1,"")</f>
        <v>0</v>
      </c>
      <c r="AA20" s="255"/>
      <c r="AB20" s="253">
        <f>IFERROR(AB18/Z18-1,"")</f>
        <v>0.66481383052100451</v>
      </c>
      <c r="AC20" s="102">
        <f>IFERROR(AC18/AB18-1,"")</f>
        <v>0</v>
      </c>
      <c r="AD20" s="102">
        <f>IFERROR(AD18/AC18-1,"")</f>
        <v>0</v>
      </c>
      <c r="AE20" s="102">
        <f>IFERROR(AE18/AD18-1,"")</f>
        <v>0</v>
      </c>
      <c r="AF20" s="255"/>
      <c r="AG20" s="253">
        <f>IFERROR(AG18/AE18-1,"")</f>
        <v>-9.9833059158475179E-2</v>
      </c>
      <c r="AH20" s="102">
        <f>IFERROR(AH18/AG18-1,"")</f>
        <v>0</v>
      </c>
      <c r="AI20" s="102">
        <f>IFERROR(AI18/AH18-1,"")</f>
        <v>0</v>
      </c>
      <c r="AJ20" s="102">
        <f>IFERROR(AJ18/AI18-1,"")</f>
        <v>0</v>
      </c>
      <c r="AK20" s="255"/>
    </row>
    <row r="21" spans="1:37" s="269" customFormat="1" ht="12.75" customHeight="1">
      <c r="A21" s="416"/>
      <c r="B21" s="433"/>
      <c r="C21" s="655"/>
      <c r="D21" s="290"/>
      <c r="E21" s="290"/>
      <c r="F21" s="290"/>
      <c r="G21" s="254"/>
      <c r="H21" s="293"/>
      <c r="I21" s="290"/>
      <c r="J21" s="290"/>
      <c r="K21" s="290"/>
      <c r="L21" s="254"/>
      <c r="M21" s="293"/>
      <c r="N21" s="290"/>
      <c r="O21" s="290"/>
      <c r="P21" s="290"/>
      <c r="Q21" s="254"/>
      <c r="R21" s="1070"/>
      <c r="S21" s="1071"/>
      <c r="T21" s="1071"/>
      <c r="U21" s="1071"/>
      <c r="V21" s="254"/>
      <c r="W21" s="1070"/>
      <c r="X21" s="1010"/>
      <c r="Y21" s="1010"/>
      <c r="Z21" s="1010"/>
      <c r="AA21" s="1011"/>
      <c r="AB21" s="1009"/>
      <c r="AC21" s="1010"/>
      <c r="AD21" s="1010"/>
      <c r="AE21" s="1010"/>
      <c r="AF21" s="1011"/>
      <c r="AG21" s="1009"/>
      <c r="AH21" s="1010"/>
      <c r="AI21" s="1010"/>
      <c r="AJ21" s="1010"/>
      <c r="AK21" s="1011"/>
    </row>
    <row r="22" spans="1:37" s="269" customFormat="1" ht="12.75" customHeight="1">
      <c r="A22" s="416"/>
      <c r="B22" s="490" t="s">
        <v>168</v>
      </c>
      <c r="C22" s="655"/>
      <c r="D22" s="290"/>
      <c r="E22" s="290"/>
      <c r="F22" s="290"/>
      <c r="G22" s="254"/>
      <c r="H22" s="293"/>
      <c r="I22" s="290"/>
      <c r="J22" s="290"/>
      <c r="K22" s="290"/>
      <c r="L22" s="254"/>
      <c r="M22" s="293"/>
      <c r="N22" s="290"/>
      <c r="O22" s="290"/>
      <c r="P22" s="290"/>
      <c r="Q22" s="254"/>
      <c r="R22" s="293"/>
      <c r="S22" s="290"/>
      <c r="T22" s="290"/>
      <c r="U22" s="290"/>
      <c r="V22" s="254"/>
      <c r="W22" s="293"/>
      <c r="X22" s="290"/>
      <c r="Y22" s="290"/>
      <c r="Z22" s="290"/>
      <c r="AA22" s="999"/>
      <c r="AB22" s="293"/>
      <c r="AC22" s="290"/>
      <c r="AD22" s="290"/>
      <c r="AE22" s="290"/>
      <c r="AF22" s="254"/>
      <c r="AG22" s="293"/>
      <c r="AH22" s="290"/>
      <c r="AI22" s="290"/>
      <c r="AJ22" s="290"/>
      <c r="AK22" s="254"/>
    </row>
    <row r="23" spans="1:37" s="289" customFormat="1" ht="12.75" customHeight="1" outlineLevel="1">
      <c r="A23" s="283"/>
      <c r="B23" s="1336" t="s">
        <v>651</v>
      </c>
      <c r="C23" s="368"/>
      <c r="D23" s="368"/>
      <c r="E23" s="368"/>
      <c r="F23" s="368"/>
      <c r="G23" s="1362">
        <f>CF!G14</f>
        <v>11.695</v>
      </c>
      <c r="H23" s="915">
        <f>CF!H14</f>
        <v>0</v>
      </c>
      <c r="I23" s="915">
        <f>CF!I14</f>
        <v>0</v>
      </c>
      <c r="J23" s="915">
        <f>CF!J14</f>
        <v>0</v>
      </c>
      <c r="K23" s="915">
        <f>CF!K14</f>
        <v>0</v>
      </c>
      <c r="L23" s="1362">
        <f>CF!L14</f>
        <v>103.21</v>
      </c>
      <c r="M23" s="915">
        <f>CF!M14</f>
        <v>79.510000000000005</v>
      </c>
      <c r="N23" s="915">
        <f>CF!N14</f>
        <v>164.46</v>
      </c>
      <c r="O23" s="915">
        <f>CF!O14</f>
        <v>254.024</v>
      </c>
      <c r="P23" s="915">
        <f>CF!P14</f>
        <v>365.41899999999998</v>
      </c>
      <c r="Q23" s="1362">
        <f>CF!Q14</f>
        <v>863.41300000000001</v>
      </c>
      <c r="R23" s="915">
        <f>CF!R14</f>
        <v>443.49700000000001</v>
      </c>
      <c r="S23" s="915">
        <f>CF!S14</f>
        <v>559.48099999999999</v>
      </c>
      <c r="T23" s="915">
        <f>CF!T14</f>
        <v>630.47900000000004</v>
      </c>
      <c r="U23" s="368">
        <f t="shared" ref="U23:AK23" si="3">U28+U39</f>
        <v>785.14887528361112</v>
      </c>
      <c r="V23" s="1361">
        <f t="shared" si="3"/>
        <v>2123.8543615085878</v>
      </c>
      <c r="W23" s="368">
        <f t="shared" si="3"/>
        <v>1175.5894636081887</v>
      </c>
      <c r="X23" s="368">
        <f t="shared" si="3"/>
        <v>1380.6780392585222</v>
      </c>
      <c r="Y23" s="368">
        <f t="shared" si="3"/>
        <v>1513.2447761080389</v>
      </c>
      <c r="Z23" s="368">
        <f t="shared" si="3"/>
        <v>1646.1933827419577</v>
      </c>
      <c r="AA23" s="1361">
        <f t="shared" si="3"/>
        <v>5715.7056617167073</v>
      </c>
      <c r="AB23" s="368">
        <f t="shared" si="3"/>
        <v>1863.3323690668949</v>
      </c>
      <c r="AC23" s="368">
        <f t="shared" si="3"/>
        <v>2081.5041356817528</v>
      </c>
      <c r="AD23" s="368">
        <f t="shared" si="3"/>
        <v>2299.277505421187</v>
      </c>
      <c r="AE23" s="368">
        <f t="shared" si="3"/>
        <v>2518.3587441657987</v>
      </c>
      <c r="AF23" s="1361">
        <f t="shared" si="3"/>
        <v>8762.472754335633</v>
      </c>
      <c r="AG23" s="368">
        <f t="shared" si="3"/>
        <v>2705.1133576629231</v>
      </c>
      <c r="AH23" s="368">
        <f t="shared" si="3"/>
        <v>2905.0519633823087</v>
      </c>
      <c r="AI23" s="368">
        <f t="shared" si="3"/>
        <v>3103.8403016294069</v>
      </c>
      <c r="AJ23" s="368">
        <f t="shared" si="3"/>
        <v>3304.1983024500328</v>
      </c>
      <c r="AK23" s="1361">
        <f t="shared" si="3"/>
        <v>12018.20392512467</v>
      </c>
    </row>
    <row r="24" spans="1:37" s="298" customFormat="1" ht="12.75" customHeight="1" outlineLevel="1">
      <c r="A24" s="1088"/>
      <c r="B24" s="433" t="s">
        <v>31</v>
      </c>
      <c r="C24" s="102"/>
      <c r="D24" s="102"/>
      <c r="E24" s="102"/>
      <c r="F24" s="102"/>
      <c r="G24" s="254"/>
      <c r="H24" s="102"/>
      <c r="I24" s="102"/>
      <c r="J24" s="102"/>
      <c r="K24" s="102"/>
      <c r="L24" s="254"/>
      <c r="M24" s="102" t="str">
        <f t="shared" ref="M24:AK24" si="4">IFERROR(M23/H23-1,"")</f>
        <v/>
      </c>
      <c r="N24" s="102" t="str">
        <f t="shared" si="4"/>
        <v/>
      </c>
      <c r="O24" s="102" t="str">
        <f t="shared" si="4"/>
        <v/>
      </c>
      <c r="P24" s="102" t="str">
        <f t="shared" si="4"/>
        <v/>
      </c>
      <c r="Q24" s="254">
        <f t="shared" si="4"/>
        <v>7.3655944191454328</v>
      </c>
      <c r="R24" s="102">
        <f t="shared" si="4"/>
        <v>4.5778769966042008</v>
      </c>
      <c r="S24" s="102">
        <f t="shared" si="4"/>
        <v>2.4019275203696946</v>
      </c>
      <c r="T24" s="102">
        <f t="shared" si="4"/>
        <v>1.4819662709035368</v>
      </c>
      <c r="U24" s="102">
        <f t="shared" si="4"/>
        <v>1.1486263037324584</v>
      </c>
      <c r="V24" s="254">
        <f t="shared" si="4"/>
        <v>1.459835978272956</v>
      </c>
      <c r="W24" s="102">
        <f t="shared" si="4"/>
        <v>1.6507269803588045</v>
      </c>
      <c r="X24" s="102">
        <f t="shared" si="4"/>
        <v>1.4677836052672428</v>
      </c>
      <c r="Y24" s="102">
        <f t="shared" si="4"/>
        <v>1.4001509584110474</v>
      </c>
      <c r="Z24" s="102">
        <f t="shared" si="4"/>
        <v>1.0966640016485032</v>
      </c>
      <c r="AA24" s="254">
        <f t="shared" si="4"/>
        <v>1.6911947284637745</v>
      </c>
      <c r="AB24" s="102">
        <f t="shared" si="4"/>
        <v>0.5850196235579086</v>
      </c>
      <c r="AC24" s="102">
        <f t="shared" si="4"/>
        <v>0.5075955990432075</v>
      </c>
      <c r="AD24" s="102">
        <f t="shared" si="4"/>
        <v>0.51943528352020496</v>
      </c>
      <c r="AE24" s="102">
        <f t="shared" si="4"/>
        <v>0.52980735469312346</v>
      </c>
      <c r="AF24" s="254">
        <f t="shared" si="4"/>
        <v>0.53305178274415055</v>
      </c>
      <c r="AG24" s="102">
        <f t="shared" si="4"/>
        <v>0.45176105056210059</v>
      </c>
      <c r="AH24" s="102">
        <f t="shared" si="4"/>
        <v>0.39565034418287137</v>
      </c>
      <c r="AI24" s="102">
        <f t="shared" si="4"/>
        <v>0.34991983103876723</v>
      </c>
      <c r="AJ24" s="102">
        <f t="shared" si="4"/>
        <v>0.31204432653003211</v>
      </c>
      <c r="AK24" s="254">
        <f t="shared" si="4"/>
        <v>0.37155392799117304</v>
      </c>
    </row>
    <row r="25" spans="1:37" s="248" customFormat="1" ht="12.75" customHeight="1" outlineLevel="1">
      <c r="A25" s="416"/>
      <c r="B25" s="433" t="s">
        <v>33</v>
      </c>
      <c r="C25" s="616"/>
      <c r="D25" s="102"/>
      <c r="E25" s="102"/>
      <c r="F25" s="102"/>
      <c r="G25" s="255"/>
      <c r="H25" s="253"/>
      <c r="I25" s="102"/>
      <c r="J25" s="102"/>
      <c r="K25" s="102"/>
      <c r="L25" s="255"/>
      <c r="M25" s="253" t="str">
        <f>IFERROR(M23/K23-1,"")</f>
        <v/>
      </c>
      <c r="N25" s="102">
        <f>IFERROR(N23/M23-1,"")</f>
        <v>1.0684190667840521</v>
      </c>
      <c r="O25" s="102">
        <f>IFERROR(O23/N23-1,"")</f>
        <v>0.54459443025659726</v>
      </c>
      <c r="P25" s="102">
        <f>IFERROR(P23/O23-1,"")</f>
        <v>0.43852155701823436</v>
      </c>
      <c r="Q25" s="255"/>
      <c r="R25" s="253">
        <f>IFERROR(R23/P23-1,"")</f>
        <v>0.21366705070070258</v>
      </c>
      <c r="S25" s="102">
        <f>IFERROR(S23/R23-1,"")</f>
        <v>0.26152149845432993</v>
      </c>
      <c r="T25" s="102">
        <f>IFERROR(T23/S23-1,"")</f>
        <v>0.12689975173419654</v>
      </c>
      <c r="U25" s="102">
        <f>IFERROR(U23/T23-1,"")</f>
        <v>0.24532121654109185</v>
      </c>
      <c r="V25" s="255"/>
      <c r="W25" s="253">
        <f>IFERROR(W23/U23-1,"")</f>
        <v>0.49728223603904764</v>
      </c>
      <c r="X25" s="102">
        <f>IFERROR(X23/W23-1,"")</f>
        <v>0.17445594912093165</v>
      </c>
      <c r="Y25" s="102">
        <f>IFERROR(Y23/X23-1,"")</f>
        <v>9.6015677138393762E-2</v>
      </c>
      <c r="Z25" s="102">
        <f>IFERROR(Z23/Y23-1,"")</f>
        <v>8.7856643375207044E-2</v>
      </c>
      <c r="AA25" s="255"/>
      <c r="AB25" s="253">
        <f>IFERROR(AB23/Z23-1,"")</f>
        <v>0.13190369284759407</v>
      </c>
      <c r="AC25" s="102">
        <f>IFERROR(AC23/AB23-1,"")</f>
        <v>0.11708687630651338</v>
      </c>
      <c r="AD25" s="102">
        <f>IFERROR(AD23/AC23-1,"")</f>
        <v>0.10462307809352822</v>
      </c>
      <c r="AE25" s="102">
        <f>IFERROR(AE23/AD23-1,"")</f>
        <v>9.5282643451287008E-2</v>
      </c>
      <c r="AF25" s="255"/>
      <c r="AG25" s="253">
        <f>IFERROR(AG23/AE23-1,"")</f>
        <v>7.4157271647565137E-2</v>
      </c>
      <c r="AH25" s="102">
        <f>IFERROR(AH23/AG23-1,"")</f>
        <v>7.391135944562488E-2</v>
      </c>
      <c r="AI25" s="102">
        <f>IFERROR(AI23/AH23-1,"")</f>
        <v>6.8428496547666473E-2</v>
      </c>
      <c r="AJ25" s="102">
        <f>IFERROR(AJ23/AI23-1,"")</f>
        <v>6.455164613831621E-2</v>
      </c>
      <c r="AK25" s="255"/>
    </row>
    <row r="26" spans="1:37" s="248" customFormat="1" ht="12.75" customHeight="1" outlineLevel="1">
      <c r="A26" s="416"/>
      <c r="B26" s="433" t="s">
        <v>116</v>
      </c>
      <c r="C26" s="616"/>
      <c r="D26" s="102"/>
      <c r="E26" s="102"/>
      <c r="F26" s="102"/>
      <c r="G26" s="255">
        <f t="shared" ref="G26:AK26" si="5">IFERROR(G23/G$10,"")</f>
        <v>0.73878711307643719</v>
      </c>
      <c r="H26" s="253">
        <f t="shared" si="5"/>
        <v>0</v>
      </c>
      <c r="I26" s="102">
        <f t="shared" si="5"/>
        <v>0</v>
      </c>
      <c r="J26" s="102">
        <f t="shared" si="5"/>
        <v>0</v>
      </c>
      <c r="K26" s="102">
        <f t="shared" si="5"/>
        <v>0</v>
      </c>
      <c r="L26" s="255">
        <f t="shared" si="5"/>
        <v>0.45081090052982614</v>
      </c>
      <c r="M26" s="253">
        <f t="shared" si="5"/>
        <v>0.42139238091200104</v>
      </c>
      <c r="N26" s="102">
        <f t="shared" si="5"/>
        <v>0.41596374038561257</v>
      </c>
      <c r="O26" s="102">
        <f t="shared" si="5"/>
        <v>0.43501655132967199</v>
      </c>
      <c r="P26" s="102">
        <f t="shared" si="5"/>
        <v>0.48890063283518193</v>
      </c>
      <c r="Q26" s="255">
        <f t="shared" si="5"/>
        <v>0.45076813199779059</v>
      </c>
      <c r="R26" s="253">
        <f t="shared" si="5"/>
        <v>0.45179558123614555</v>
      </c>
      <c r="S26" s="102">
        <f t="shared" si="5"/>
        <v>0.46131805393852843</v>
      </c>
      <c r="T26" s="102">
        <f>IFERROR(T23/T$10,"")</f>
        <v>0.46199903859963837</v>
      </c>
      <c r="U26" s="102">
        <f t="shared" si="5"/>
        <v>0.50888530381650487</v>
      </c>
      <c r="V26" s="255">
        <f t="shared" si="5"/>
        <v>0.41628075647680385</v>
      </c>
      <c r="W26" s="253">
        <f t="shared" si="5"/>
        <v>0.52785016804153406</v>
      </c>
      <c r="X26" s="102">
        <f t="shared" si="5"/>
        <v>0.46578557902394346</v>
      </c>
      <c r="Y26" s="102">
        <f t="shared" si="5"/>
        <v>0.45999698224064417</v>
      </c>
      <c r="Z26" s="102">
        <f t="shared" si="5"/>
        <v>0.46758411611347783</v>
      </c>
      <c r="AA26" s="255">
        <f t="shared" si="5"/>
        <v>0.47624373962646632</v>
      </c>
      <c r="AB26" s="253">
        <f t="shared" si="5"/>
        <v>0.48885659650780638</v>
      </c>
      <c r="AC26" s="102">
        <f t="shared" si="5"/>
        <v>0.50108815217764358</v>
      </c>
      <c r="AD26" s="102">
        <f t="shared" si="5"/>
        <v>0.51393908538537081</v>
      </c>
      <c r="AE26" s="102">
        <f t="shared" si="5"/>
        <v>0.52779452060013521</v>
      </c>
      <c r="AF26" s="255">
        <f t="shared" si="5"/>
        <v>0.50912374787162318</v>
      </c>
      <c r="AG26" s="253">
        <f t="shared" si="5"/>
        <v>0.52850263151161347</v>
      </c>
      <c r="AH26" s="102">
        <f t="shared" si="5"/>
        <v>0.54506031889733608</v>
      </c>
      <c r="AI26" s="102">
        <f t="shared" si="5"/>
        <v>0.5623645691444642</v>
      </c>
      <c r="AJ26" s="102">
        <f t="shared" si="5"/>
        <v>0.58094843299809928</v>
      </c>
      <c r="AK26" s="255">
        <f t="shared" si="5"/>
        <v>0.55498288735272716</v>
      </c>
    </row>
    <row r="27" spans="1:37" s="298" customFormat="1" ht="12.75" customHeight="1" outlineLevel="1">
      <c r="A27" s="1088"/>
      <c r="B27" s="479"/>
      <c r="C27" s="102"/>
      <c r="D27" s="102"/>
      <c r="E27" s="102"/>
      <c r="F27" s="102"/>
      <c r="G27" s="254"/>
      <c r="H27" s="102"/>
      <c r="I27" s="102"/>
      <c r="J27" s="102"/>
      <c r="K27" s="102"/>
      <c r="L27" s="254"/>
      <c r="M27" s="102"/>
      <c r="N27" s="102"/>
      <c r="O27" s="102"/>
      <c r="P27" s="102"/>
      <c r="Q27" s="254"/>
      <c r="R27" s="102"/>
      <c r="S27" s="102"/>
      <c r="T27" s="102"/>
      <c r="U27" s="102"/>
      <c r="V27" s="254"/>
      <c r="W27" s="102"/>
      <c r="X27" s="102"/>
      <c r="Y27" s="102"/>
      <c r="Z27" s="102"/>
      <c r="AA27" s="254"/>
      <c r="AB27" s="102"/>
      <c r="AC27" s="102"/>
      <c r="AD27" s="102"/>
      <c r="AE27" s="102"/>
      <c r="AF27" s="254"/>
      <c r="AG27" s="102"/>
      <c r="AH27" s="102"/>
      <c r="AI27" s="102"/>
      <c r="AJ27" s="102"/>
      <c r="AK27" s="254"/>
    </row>
    <row r="28" spans="1:37" s="1309" customFormat="1" ht="12.75" customHeight="1" outlineLevel="1">
      <c r="A28" s="1298"/>
      <c r="B28" s="1299" t="s">
        <v>380</v>
      </c>
      <c r="C28" s="1300"/>
      <c r="D28" s="1301"/>
      <c r="E28" s="1301"/>
      <c r="F28" s="1301"/>
      <c r="G28" s="1302"/>
      <c r="H28" s="1303"/>
      <c r="I28" s="1304"/>
      <c r="J28" s="1304"/>
      <c r="K28" s="1305"/>
      <c r="L28" s="1302"/>
      <c r="M28" s="1423">
        <f>'Revenue and CapEx Build'!M106</f>
        <v>79</v>
      </c>
      <c r="N28" s="1424">
        <f>'Revenue and CapEx Build'!N106</f>
        <v>164</v>
      </c>
      <c r="O28" s="1424">
        <f>'Revenue and CapEx Build'!O106</f>
        <v>253</v>
      </c>
      <c r="P28" s="1424">
        <f>'Revenue and CapEx Build'!P106</f>
        <v>357.52699999999999</v>
      </c>
      <c r="Q28" s="1425">
        <f>'Revenue and CapEx Build'!Q106</f>
        <v>853.52700000000004</v>
      </c>
      <c r="R28" s="1423">
        <f>'Revenue and CapEx Build'!R106</f>
        <v>443</v>
      </c>
      <c r="S28" s="1423">
        <f>'Revenue and CapEx Build'!S106</f>
        <v>553</v>
      </c>
      <c r="T28" s="1423">
        <f>'Revenue and CapEx Build'!T106</f>
        <v>621</v>
      </c>
      <c r="U28" s="1303">
        <v>760</v>
      </c>
      <c r="V28" s="1351">
        <f t="shared" ref="V28:AK28" si="6">V58</f>
        <v>2059.8218195583099</v>
      </c>
      <c r="W28" s="1307">
        <f t="shared" si="6"/>
        <v>1144.4629965562442</v>
      </c>
      <c r="X28" s="1307">
        <f t="shared" si="6"/>
        <v>1342.728038222911</v>
      </c>
      <c r="Y28" s="1307">
        <f t="shared" si="6"/>
        <v>1468.076413222911</v>
      </c>
      <c r="Z28" s="1307">
        <f t="shared" si="6"/>
        <v>1593.424788222911</v>
      </c>
      <c r="AA28" s="1351">
        <f t="shared" si="6"/>
        <v>5548.692236224977</v>
      </c>
      <c r="AB28" s="1307">
        <f t="shared" si="6"/>
        <v>1802.1064965562443</v>
      </c>
      <c r="AC28" s="1307">
        <f t="shared" si="6"/>
        <v>2010.7882048895776</v>
      </c>
      <c r="AD28" s="1307">
        <f t="shared" si="6"/>
        <v>2219.4699132229111</v>
      </c>
      <c r="AE28" s="1307">
        <f t="shared" si="6"/>
        <v>2428.1516215562447</v>
      </c>
      <c r="AF28" s="1384">
        <f t="shared" si="6"/>
        <v>8460.5162362249775</v>
      </c>
      <c r="AG28" s="1307">
        <f t="shared" si="6"/>
        <v>2613.2499965562447</v>
      </c>
      <c r="AH28" s="1307">
        <f t="shared" si="6"/>
        <v>2801.0983715562447</v>
      </c>
      <c r="AI28" s="1307">
        <f t="shared" si="6"/>
        <v>2988.9467465562448</v>
      </c>
      <c r="AJ28" s="1307">
        <f t="shared" si="6"/>
        <v>3176.7951215562448</v>
      </c>
      <c r="AK28" s="1384">
        <f t="shared" si="6"/>
        <v>11580.090236224978</v>
      </c>
    </row>
    <row r="29" spans="1:37" s="298" customFormat="1" ht="12.75" customHeight="1" outlineLevel="1">
      <c r="A29" s="1088"/>
      <c r="B29" s="433" t="s">
        <v>31</v>
      </c>
      <c r="C29" s="102"/>
      <c r="D29" s="102"/>
      <c r="E29" s="102"/>
      <c r="F29" s="102"/>
      <c r="G29" s="254"/>
      <c r="H29" s="102"/>
      <c r="I29" s="102"/>
      <c r="J29" s="102"/>
      <c r="K29" s="102"/>
      <c r="L29" s="254"/>
      <c r="M29" s="102" t="str">
        <f>IFERROR(M28/H28-1,"")</f>
        <v/>
      </c>
      <c r="N29" s="102" t="str">
        <f>IFERROR(N28/I28-1,"")</f>
        <v/>
      </c>
      <c r="O29" s="102" t="str">
        <f>IFERROR(O28/J28-1,"")</f>
        <v/>
      </c>
      <c r="P29" s="102" t="str">
        <f>IFERROR(P28/K28-1,"")</f>
        <v/>
      </c>
      <c r="Q29" s="254" t="str">
        <f>IFERROR(Q28/L28-1,"")</f>
        <v/>
      </c>
      <c r="R29" s="102">
        <f t="shared" ref="R29:AK29" si="7">IFERROR(R28/M28-1,"")</f>
        <v>4.6075949367088604</v>
      </c>
      <c r="S29" s="1331">
        <f t="shared" si="7"/>
        <v>2.3719512195121952</v>
      </c>
      <c r="T29" s="1331">
        <f t="shared" si="7"/>
        <v>1.4545454545454546</v>
      </c>
      <c r="U29" s="1331">
        <f t="shared" si="7"/>
        <v>1.1257135824706945</v>
      </c>
      <c r="V29" s="1075">
        <f t="shared" si="7"/>
        <v>1.4133059874594593</v>
      </c>
      <c r="W29" s="1332">
        <f t="shared" si="7"/>
        <v>1.5834379154768494</v>
      </c>
      <c r="X29" s="1331">
        <f t="shared" si="7"/>
        <v>1.4280796351228044</v>
      </c>
      <c r="Y29" s="1331">
        <f t="shared" si="7"/>
        <v>1.3640521952059759</v>
      </c>
      <c r="Z29" s="1331">
        <f t="shared" si="7"/>
        <v>1.0966115634511988</v>
      </c>
      <c r="AA29" s="1075">
        <f t="shared" si="7"/>
        <v>1.6937729193560975</v>
      </c>
      <c r="AB29" s="1332">
        <f t="shared" si="7"/>
        <v>0.57463063635861333</v>
      </c>
      <c r="AC29" s="1331">
        <f t="shared" si="7"/>
        <v>0.49753944778783232</v>
      </c>
      <c r="AD29" s="1331">
        <f t="shared" si="7"/>
        <v>0.51182179158538754</v>
      </c>
      <c r="AE29" s="1331">
        <f t="shared" si="7"/>
        <v>0.52385706529912479</v>
      </c>
      <c r="AF29" s="1075">
        <f t="shared" si="7"/>
        <v>0.524776627723192</v>
      </c>
      <c r="AG29" s="1332">
        <f t="shared" si="7"/>
        <v>0.45010852663261813</v>
      </c>
      <c r="AH29" s="1331">
        <f t="shared" si="7"/>
        <v>0.39303501221306747</v>
      </c>
      <c r="AI29" s="1331">
        <f t="shared" si="7"/>
        <v>0.34669396901892213</v>
      </c>
      <c r="AJ29" s="1331">
        <f t="shared" si="7"/>
        <v>0.30831826701175347</v>
      </c>
      <c r="AK29" s="1075">
        <f t="shared" si="7"/>
        <v>0.36872147194081051</v>
      </c>
    </row>
    <row r="30" spans="1:37" s="248" customFormat="1" ht="12.75" customHeight="1" outlineLevel="1">
      <c r="A30" s="416"/>
      <c r="B30" s="433" t="s">
        <v>33</v>
      </c>
      <c r="C30" s="616"/>
      <c r="D30" s="102"/>
      <c r="E30" s="102"/>
      <c r="F30" s="102"/>
      <c r="G30" s="255"/>
      <c r="H30" s="253"/>
      <c r="I30" s="102"/>
      <c r="J30" s="102"/>
      <c r="K30" s="102"/>
      <c r="L30" s="255"/>
      <c r="M30" s="253" t="str">
        <f>IFERROR(M28/K28-1,"")</f>
        <v/>
      </c>
      <c r="N30" s="102">
        <f>IFERROR(N28/M28-1,"")</f>
        <v>1.0759493670886076</v>
      </c>
      <c r="O30" s="102">
        <f>IFERROR(O28/N28-1,"")</f>
        <v>0.54268292682926833</v>
      </c>
      <c r="P30" s="102">
        <f>IFERROR(P28/O28-1,"")</f>
        <v>0.41315019762845839</v>
      </c>
      <c r="Q30" s="255"/>
      <c r="R30" s="253">
        <f>IFERROR(R28/P28-1,"")</f>
        <v>0.23906725925594441</v>
      </c>
      <c r="S30" s="102">
        <f>IFERROR(S28/R28-1,"")</f>
        <v>0.24830699774266374</v>
      </c>
      <c r="T30" s="102">
        <f>IFERROR(T28/S28-1,"")</f>
        <v>0.12296564195298365</v>
      </c>
      <c r="U30" s="102">
        <f>IFERROR(U28/T28-1,"")</f>
        <v>0.22383252818035437</v>
      </c>
      <c r="V30" s="255"/>
      <c r="W30" s="253">
        <f>IFERROR(W28/U28-1,"")</f>
        <v>0.50587236388979506</v>
      </c>
      <c r="X30" s="102">
        <f>IFERROR(X28/W28-1,"")</f>
        <v>0.17323849024674254</v>
      </c>
      <c r="Y30" s="102">
        <f>IFERROR(Y28/X28-1,"")</f>
        <v>9.3353509744160457E-2</v>
      </c>
      <c r="Z30" s="102">
        <f>IFERROR(Z28/Y28-1,"")</f>
        <v>8.538273203696467E-2</v>
      </c>
      <c r="AA30" s="255"/>
      <c r="AB30" s="253">
        <f>IFERROR(AB28/Z28-1,"")</f>
        <v>0.1309642663247812</v>
      </c>
      <c r="AC30" s="102">
        <f>IFERROR(AC28/AB28-1,"")</f>
        <v>0.11579876590651872</v>
      </c>
      <c r="AD30" s="102">
        <f>IFERROR(AD28/AC28-1,"")</f>
        <v>0.10378104855891235</v>
      </c>
      <c r="AE30" s="102">
        <f>IFERROR(AE28/AD28-1,"")</f>
        <v>9.4023220179770384E-2</v>
      </c>
      <c r="AF30" s="255"/>
      <c r="AG30" s="253">
        <f>IFERROR(AG28/AE28-1,"")</f>
        <v>7.623015521632337E-2</v>
      </c>
      <c r="AH30" s="102">
        <f>IFERROR(AH28/AG28-1,"")</f>
        <v>7.1883048023552165E-2</v>
      </c>
      <c r="AI30" s="102">
        <f>IFERROR(AI28/AH28-1,"")</f>
        <v>6.7062398417530256E-2</v>
      </c>
      <c r="AJ30" s="102">
        <f>IFERROR(AJ28/AI28-1,"")</f>
        <v>6.2847682119606896E-2</v>
      </c>
      <c r="AK30" s="255"/>
    </row>
    <row r="31" spans="1:37" s="248" customFormat="1" ht="12.75" customHeight="1" outlineLevel="1">
      <c r="A31" s="416"/>
      <c r="B31" s="433" t="s">
        <v>116</v>
      </c>
      <c r="C31" s="616"/>
      <c r="D31" s="102"/>
      <c r="E31" s="102"/>
      <c r="F31" s="102"/>
      <c r="G31" s="255">
        <f t="shared" ref="G31:AK31" si="8">IFERROR(G28/G$10,"")</f>
        <v>0</v>
      </c>
      <c r="H31" s="253">
        <f t="shared" si="8"/>
        <v>0</v>
      </c>
      <c r="I31" s="102">
        <f t="shared" si="8"/>
        <v>0</v>
      </c>
      <c r="J31" s="102">
        <f t="shared" si="8"/>
        <v>0</v>
      </c>
      <c r="K31" s="102">
        <f t="shared" si="8"/>
        <v>0</v>
      </c>
      <c r="L31" s="255">
        <f t="shared" si="8"/>
        <v>0</v>
      </c>
      <c r="M31" s="253">
        <f t="shared" si="8"/>
        <v>0.41868944902588456</v>
      </c>
      <c r="N31" s="102">
        <f t="shared" si="8"/>
        <v>0.41480027619628151</v>
      </c>
      <c r="O31" s="102">
        <f t="shared" si="8"/>
        <v>0.43326294951031008</v>
      </c>
      <c r="P31" s="102">
        <f t="shared" si="8"/>
        <v>0.47834178451493786</v>
      </c>
      <c r="Q31" s="255">
        <f t="shared" si="8"/>
        <v>0.44560687805219312</v>
      </c>
      <c r="R31" s="253">
        <f t="shared" si="8"/>
        <v>0.45128928152301478</v>
      </c>
      <c r="S31" s="102">
        <f t="shared" si="8"/>
        <v>0.45597416860984774</v>
      </c>
      <c r="T31" s="102">
        <f>IFERROR(T28/T$10,"")</f>
        <v>0.45505306754130653</v>
      </c>
      <c r="U31" s="102">
        <f t="shared" si="8"/>
        <v>0.49258534664631726</v>
      </c>
      <c r="V31" s="255">
        <f t="shared" si="8"/>
        <v>0.40373021841483392</v>
      </c>
      <c r="W31" s="253">
        <f t="shared" si="8"/>
        <v>0.51387410635288988</v>
      </c>
      <c r="X31" s="102">
        <f t="shared" si="8"/>
        <v>0.45298276569331036</v>
      </c>
      <c r="Y31" s="102">
        <f t="shared" si="8"/>
        <v>0.44626667836122358</v>
      </c>
      <c r="Z31" s="102">
        <f t="shared" si="8"/>
        <v>0.45259574543636971</v>
      </c>
      <c r="AA31" s="255">
        <f t="shared" si="8"/>
        <v>0.46232785538897775</v>
      </c>
      <c r="AB31" s="253">
        <f t="shared" si="8"/>
        <v>0.4727936159302909</v>
      </c>
      <c r="AC31" s="102">
        <f t="shared" si="8"/>
        <v>0.48406444586703029</v>
      </c>
      <c r="AD31" s="102">
        <f t="shared" si="8"/>
        <v>0.49610033349723059</v>
      </c>
      <c r="AE31" s="102">
        <f t="shared" si="8"/>
        <v>0.50888902306420014</v>
      </c>
      <c r="AF31" s="255">
        <f t="shared" si="8"/>
        <v>0.4915792443387938</v>
      </c>
      <c r="AG31" s="253">
        <f t="shared" si="8"/>
        <v>0.51055512925746549</v>
      </c>
      <c r="AH31" s="102">
        <f t="shared" si="8"/>
        <v>0.52555602822527925</v>
      </c>
      <c r="AI31" s="102">
        <f t="shared" si="8"/>
        <v>0.54154775567558966</v>
      </c>
      <c r="AJ31" s="102">
        <f t="shared" si="8"/>
        <v>0.55854824041754558</v>
      </c>
      <c r="AK31" s="255">
        <f t="shared" si="8"/>
        <v>0.53475144498670135</v>
      </c>
    </row>
    <row r="32" spans="1:37" s="248" customFormat="1" ht="12.75" customHeight="1" outlineLevel="1">
      <c r="A32" s="416"/>
      <c r="B32" s="433"/>
      <c r="C32" s="616"/>
      <c r="D32" s="102"/>
      <c r="E32" s="102"/>
      <c r="F32" s="102"/>
      <c r="G32" s="255"/>
      <c r="H32" s="253"/>
      <c r="I32" s="102"/>
      <c r="J32" s="102"/>
      <c r="K32" s="102"/>
      <c r="L32" s="255"/>
      <c r="M32" s="300"/>
      <c r="N32" s="300"/>
      <c r="O32" s="300"/>
      <c r="P32" s="253"/>
      <c r="Q32" s="521"/>
      <c r="R32" s="253"/>
      <c r="S32" s="300"/>
      <c r="T32" s="300"/>
      <c r="U32" s="300"/>
      <c r="V32" s="521"/>
      <c r="W32" s="300"/>
      <c r="X32" s="300"/>
      <c r="Y32" s="545"/>
      <c r="Z32" s="545"/>
      <c r="AA32" s="521"/>
      <c r="AB32" s="545"/>
      <c r="AC32" s="545"/>
      <c r="AD32" s="545"/>
      <c r="AE32" s="545"/>
      <c r="AF32" s="521"/>
      <c r="AG32" s="545"/>
      <c r="AH32" s="545"/>
      <c r="AI32" s="545"/>
      <c r="AJ32" s="545"/>
      <c r="AK32" s="521"/>
    </row>
    <row r="33" spans="1:37" s="1309" customFormat="1" ht="12.75" customHeight="1" outlineLevel="1">
      <c r="A33" s="1298"/>
      <c r="B33" s="1299" t="s">
        <v>654</v>
      </c>
      <c r="C33" s="1300"/>
      <c r="D33" s="1301"/>
      <c r="E33" s="1301"/>
      <c r="F33" s="1301"/>
      <c r="G33" s="1302">
        <v>11</v>
      </c>
      <c r="H33" s="1303"/>
      <c r="I33" s="1304"/>
      <c r="J33" s="1304"/>
      <c r="K33" s="1304"/>
      <c r="L33" s="1302">
        <v>101</v>
      </c>
      <c r="M33" s="1303">
        <v>77</v>
      </c>
      <c r="N33" s="1304">
        <v>158</v>
      </c>
      <c r="O33" s="1304">
        <v>256</v>
      </c>
      <c r="P33" s="1305">
        <f>Q33-O33-N33-M33</f>
        <v>352</v>
      </c>
      <c r="Q33" s="1302">
        <v>843</v>
      </c>
      <c r="R33" s="1303">
        <v>429</v>
      </c>
      <c r="S33" s="1303">
        <v>537</v>
      </c>
      <c r="T33" s="1303">
        <v>349</v>
      </c>
      <c r="U33" s="1307">
        <f>U28*U37</f>
        <v>427.1175523349437</v>
      </c>
      <c r="V33" s="1351">
        <f>SUM(R33:U33)</f>
        <v>1742.1175523349436</v>
      </c>
      <c r="W33" s="1307">
        <f t="shared" ref="W33:AJ33" si="9">W28*W37</f>
        <v>643.18451819344489</v>
      </c>
      <c r="X33" s="1307">
        <f t="shared" si="9"/>
        <v>754.60883307535585</v>
      </c>
      <c r="Y33" s="1307">
        <f t="shared" si="9"/>
        <v>825.05421612688565</v>
      </c>
      <c r="Z33" s="1307">
        <f t="shared" si="9"/>
        <v>895.49959917841545</v>
      </c>
      <c r="AA33" s="1351">
        <f>SUM(W33:Z33)</f>
        <v>3118.3471665741017</v>
      </c>
      <c r="AB33" s="1307">
        <f t="shared" si="9"/>
        <v>1012.7780471789522</v>
      </c>
      <c r="AC33" s="1307">
        <f t="shared" si="9"/>
        <v>1130.056495179489</v>
      </c>
      <c r="AD33" s="1307">
        <f t="shared" si="9"/>
        <v>1247.3349431800259</v>
      </c>
      <c r="AE33" s="1307">
        <f t="shared" si="9"/>
        <v>1364.6133911805628</v>
      </c>
      <c r="AF33" s="1351">
        <f>SUM(AB33:AE33)</f>
        <v>4754.7828767190304</v>
      </c>
      <c r="AG33" s="1307">
        <f t="shared" si="9"/>
        <v>1468.6380818005305</v>
      </c>
      <c r="AH33" s="1307">
        <f t="shared" si="9"/>
        <v>1574.2082635638155</v>
      </c>
      <c r="AI33" s="1307">
        <f t="shared" si="9"/>
        <v>1679.7784453271006</v>
      </c>
      <c r="AJ33" s="1307">
        <f t="shared" si="9"/>
        <v>1785.3486270903857</v>
      </c>
      <c r="AK33" s="1351">
        <f>SUM(AG33:AJ33)</f>
        <v>6507.9734177818327</v>
      </c>
    </row>
    <row r="34" spans="1:37" s="298" customFormat="1" ht="12.75" customHeight="1" outlineLevel="1">
      <c r="A34" s="1088"/>
      <c r="B34" s="433" t="s">
        <v>31</v>
      </c>
      <c r="C34" s="102"/>
      <c r="D34" s="102"/>
      <c r="E34" s="102"/>
      <c r="F34" s="102"/>
      <c r="G34" s="254"/>
      <c r="H34" s="102"/>
      <c r="I34" s="102"/>
      <c r="J34" s="102"/>
      <c r="K34" s="102"/>
      <c r="L34" s="254"/>
      <c r="M34" s="102" t="str">
        <f t="shared" ref="M34:AK34" si="10">IFERROR(M33/H33-1,"")</f>
        <v/>
      </c>
      <c r="N34" s="102" t="str">
        <f t="shared" si="10"/>
        <v/>
      </c>
      <c r="O34" s="102" t="str">
        <f t="shared" si="10"/>
        <v/>
      </c>
      <c r="P34" s="102" t="str">
        <f t="shared" si="10"/>
        <v/>
      </c>
      <c r="Q34" s="254">
        <f t="shared" si="10"/>
        <v>7.346534653465346</v>
      </c>
      <c r="R34" s="102">
        <f t="shared" si="10"/>
        <v>4.5714285714285712</v>
      </c>
      <c r="S34" s="102">
        <f t="shared" si="10"/>
        <v>2.3987341772151898</v>
      </c>
      <c r="T34" s="102">
        <f t="shared" si="10"/>
        <v>0.36328125</v>
      </c>
      <c r="U34" s="102">
        <f t="shared" si="10"/>
        <v>0.21340213731518087</v>
      </c>
      <c r="V34" s="254">
        <f t="shared" si="10"/>
        <v>1.066568863979767</v>
      </c>
      <c r="W34" s="102">
        <f t="shared" si="10"/>
        <v>0.49926461117353127</v>
      </c>
      <c r="X34" s="102">
        <f t="shared" si="10"/>
        <v>0.40523060163008529</v>
      </c>
      <c r="Y34" s="102">
        <f t="shared" si="10"/>
        <v>1.3640521952059759</v>
      </c>
      <c r="Z34" s="102">
        <f t="shared" si="10"/>
        <v>1.0966115634511988</v>
      </c>
      <c r="AA34" s="254">
        <f t="shared" si="10"/>
        <v>0.78997517268258433</v>
      </c>
      <c r="AB34" s="102">
        <f t="shared" si="10"/>
        <v>0.57463063635861333</v>
      </c>
      <c r="AC34" s="102">
        <f t="shared" si="10"/>
        <v>0.49753944778783254</v>
      </c>
      <c r="AD34" s="102">
        <f t="shared" si="10"/>
        <v>0.51182179158538776</v>
      </c>
      <c r="AE34" s="102">
        <f t="shared" si="10"/>
        <v>0.52385706529912479</v>
      </c>
      <c r="AF34" s="254">
        <f t="shared" si="10"/>
        <v>0.52477662772319222</v>
      </c>
      <c r="AG34" s="102">
        <f t="shared" si="10"/>
        <v>0.45010852663261813</v>
      </c>
      <c r="AH34" s="102">
        <f t="shared" si="10"/>
        <v>0.39303501221306725</v>
      </c>
      <c r="AI34" s="102">
        <f t="shared" si="10"/>
        <v>0.34669396901892191</v>
      </c>
      <c r="AJ34" s="102">
        <f t="shared" si="10"/>
        <v>0.30831826701175324</v>
      </c>
      <c r="AK34" s="254">
        <f t="shared" si="10"/>
        <v>0.36872147194081051</v>
      </c>
    </row>
    <row r="35" spans="1:37" s="248" customFormat="1" ht="12.75" customHeight="1" outlineLevel="1">
      <c r="A35" s="416"/>
      <c r="B35" s="433" t="s">
        <v>33</v>
      </c>
      <c r="C35" s="616"/>
      <c r="D35" s="102"/>
      <c r="E35" s="102"/>
      <c r="F35" s="102"/>
      <c r="G35" s="255"/>
      <c r="H35" s="253"/>
      <c r="I35" s="102"/>
      <c r="J35" s="102"/>
      <c r="K35" s="102"/>
      <c r="L35" s="255"/>
      <c r="M35" s="253" t="str">
        <f>IFERROR(M33/K33-1,"")</f>
        <v/>
      </c>
      <c r="N35" s="102">
        <f>IFERROR(N33/M33-1,"")</f>
        <v>1.051948051948052</v>
      </c>
      <c r="O35" s="102">
        <f>IFERROR(O33/N33-1,"")</f>
        <v>0.620253164556962</v>
      </c>
      <c r="P35" s="102">
        <f>IFERROR(P33/O33-1,"")</f>
        <v>0.375</v>
      </c>
      <c r="Q35" s="255"/>
      <c r="R35" s="253">
        <f>IFERROR(R33/P33-1,"")</f>
        <v>0.21875</v>
      </c>
      <c r="S35" s="102">
        <f>IFERROR(S33/R33-1,"")</f>
        <v>0.25174825174825166</v>
      </c>
      <c r="T35" s="102">
        <f>IFERROR(T33/S33-1,"")</f>
        <v>-0.35009310986964615</v>
      </c>
      <c r="U35" s="102">
        <f>IFERROR(U33/T33-1,"")</f>
        <v>0.22383252818035437</v>
      </c>
      <c r="V35" s="255"/>
      <c r="W35" s="253">
        <f>IFERROR(W33/U33-1,"")</f>
        <v>0.50587236388979506</v>
      </c>
      <c r="X35" s="102">
        <f>IFERROR(X33/W33-1,"")</f>
        <v>0.17323849024674254</v>
      </c>
      <c r="Y35" s="102">
        <f>IFERROR(Y33/X33-1,"")</f>
        <v>9.3353509744160457E-2</v>
      </c>
      <c r="Z35" s="102">
        <f>IFERROR(Z33/Y33-1,"")</f>
        <v>8.538273203696467E-2</v>
      </c>
      <c r="AA35" s="255"/>
      <c r="AB35" s="253">
        <f>IFERROR(AB33/Z33-1,"")</f>
        <v>0.1309642663247812</v>
      </c>
      <c r="AC35" s="102">
        <f>IFERROR(AC33/AB33-1,"")</f>
        <v>0.11579876590651894</v>
      </c>
      <c r="AD35" s="102">
        <f>IFERROR(AD33/AC33-1,"")</f>
        <v>0.10378104855891235</v>
      </c>
      <c r="AE35" s="102">
        <f>IFERROR(AE33/AD33-1,"")</f>
        <v>9.4023220179770384E-2</v>
      </c>
      <c r="AF35" s="255"/>
      <c r="AG35" s="253">
        <f>IFERROR(AG33/AE33-1,"")</f>
        <v>7.623015521632337E-2</v>
      </c>
      <c r="AH35" s="102">
        <f>IFERROR(AH33/AG33-1,"")</f>
        <v>7.1883048023552165E-2</v>
      </c>
      <c r="AI35" s="102">
        <f>IFERROR(AI33/AH33-1,"")</f>
        <v>6.7062398417530256E-2</v>
      </c>
      <c r="AJ35" s="102">
        <f>IFERROR(AJ33/AI33-1,"")</f>
        <v>6.2847682119606896E-2</v>
      </c>
      <c r="AK35" s="255"/>
    </row>
    <row r="36" spans="1:37" s="289" customFormat="1" ht="12.75" customHeight="1" outlineLevel="1">
      <c r="A36" s="283"/>
      <c r="B36" s="1317" t="s">
        <v>655</v>
      </c>
      <c r="C36" s="656"/>
      <c r="D36" s="288"/>
      <c r="E36" s="288"/>
      <c r="F36" s="288"/>
      <c r="G36" s="785">
        <f>G23-G33</f>
        <v>0.69500000000000028</v>
      </c>
      <c r="H36" s="287"/>
      <c r="I36" s="288"/>
      <c r="J36" s="288"/>
      <c r="K36" s="288"/>
      <c r="L36" s="785">
        <f>L23-L33</f>
        <v>2.2099999999999937</v>
      </c>
      <c r="M36" s="287">
        <f>M23-M33</f>
        <v>2.5100000000000051</v>
      </c>
      <c r="N36" s="288"/>
      <c r="O36" s="288"/>
      <c r="P36" s="288"/>
      <c r="Q36" s="785">
        <f>Q23-Q33</f>
        <v>20.413000000000011</v>
      </c>
      <c r="R36" s="287">
        <f t="shared" ref="R36:AK36" si="11">R23-R33</f>
        <v>14.497000000000014</v>
      </c>
      <c r="S36" s="288">
        <f t="shared" si="11"/>
        <v>22.480999999999995</v>
      </c>
      <c r="T36" s="288">
        <f>T23-T33</f>
        <v>281.47900000000004</v>
      </c>
      <c r="U36" s="288">
        <f t="shared" si="11"/>
        <v>358.03132294866742</v>
      </c>
      <c r="V36" s="785">
        <f t="shared" si="11"/>
        <v>381.73680917364413</v>
      </c>
      <c r="W36" s="287">
        <f t="shared" si="11"/>
        <v>532.40494541474379</v>
      </c>
      <c r="X36" s="288">
        <f t="shared" si="11"/>
        <v>626.06920618316633</v>
      </c>
      <c r="Y36" s="288">
        <f t="shared" si="11"/>
        <v>688.19055998115323</v>
      </c>
      <c r="Z36" s="288">
        <f t="shared" si="11"/>
        <v>750.6937835635423</v>
      </c>
      <c r="AA36" s="785">
        <f t="shared" si="11"/>
        <v>2597.3584951426055</v>
      </c>
      <c r="AB36" s="287">
        <f t="shared" si="11"/>
        <v>850.55432188794271</v>
      </c>
      <c r="AC36" s="288">
        <f t="shared" si="11"/>
        <v>951.44764050226377</v>
      </c>
      <c r="AD36" s="288">
        <f t="shared" si="11"/>
        <v>1051.9425622411611</v>
      </c>
      <c r="AE36" s="288">
        <f t="shared" si="11"/>
        <v>1153.745352985236</v>
      </c>
      <c r="AF36" s="785">
        <f t="shared" si="11"/>
        <v>4007.6898776166026</v>
      </c>
      <c r="AG36" s="287">
        <f t="shared" si="11"/>
        <v>1236.4752758623927</v>
      </c>
      <c r="AH36" s="288">
        <f t="shared" si="11"/>
        <v>1330.8436998184932</v>
      </c>
      <c r="AI36" s="288">
        <f t="shared" si="11"/>
        <v>1424.0618563023063</v>
      </c>
      <c r="AJ36" s="288">
        <f t="shared" si="11"/>
        <v>1518.8496753596471</v>
      </c>
      <c r="AK36" s="785">
        <f t="shared" si="11"/>
        <v>5510.230507342837</v>
      </c>
    </row>
    <row r="37" spans="1:37" s="248" customFormat="1" ht="12.75" customHeight="1" outlineLevel="1">
      <c r="A37" s="416"/>
      <c r="B37" s="433" t="s">
        <v>679</v>
      </c>
      <c r="C37" s="616"/>
      <c r="D37" s="102"/>
      <c r="E37" s="102"/>
      <c r="F37" s="102"/>
      <c r="G37" s="255"/>
      <c r="H37" s="253"/>
      <c r="I37" s="102"/>
      <c r="J37" s="102"/>
      <c r="K37" s="102"/>
      <c r="L37" s="255"/>
      <c r="M37" s="253">
        <f t="shared" ref="M37:S37" si="12">M33/M28</f>
        <v>0.97468354430379744</v>
      </c>
      <c r="N37" s="102">
        <f t="shared" si="12"/>
        <v>0.96341463414634143</v>
      </c>
      <c r="O37" s="102">
        <f t="shared" si="12"/>
        <v>1.0118577075098814</v>
      </c>
      <c r="P37" s="102">
        <f t="shared" si="12"/>
        <v>0.98454102767063745</v>
      </c>
      <c r="Q37" s="255">
        <f t="shared" si="12"/>
        <v>0.98766647100794702</v>
      </c>
      <c r="R37" s="253">
        <f t="shared" si="12"/>
        <v>0.96839729119638829</v>
      </c>
      <c r="S37" s="253">
        <f t="shared" si="12"/>
        <v>0.97106690777576854</v>
      </c>
      <c r="T37" s="253">
        <f>T33/T28</f>
        <v>0.56199677938808379</v>
      </c>
      <c r="U37" s="107">
        <f t="shared" ref="U37:Z37" si="13">T37</f>
        <v>0.56199677938808379</v>
      </c>
      <c r="V37" s="255">
        <f>V33/V23</f>
        <v>0.82026224768891687</v>
      </c>
      <c r="W37" s="107">
        <f>U37</f>
        <v>0.56199677938808379</v>
      </c>
      <c r="X37" s="107">
        <f t="shared" si="13"/>
        <v>0.56199677938808379</v>
      </c>
      <c r="Y37" s="107">
        <f t="shared" si="13"/>
        <v>0.56199677938808379</v>
      </c>
      <c r="Z37" s="107">
        <f t="shared" si="13"/>
        <v>0.56199677938808379</v>
      </c>
      <c r="AA37" s="255">
        <f>AA33/AA23</f>
        <v>0.54557518373636982</v>
      </c>
      <c r="AB37" s="107">
        <f>Z37</f>
        <v>0.56199677938808379</v>
      </c>
      <c r="AC37" s="107">
        <f>AB37</f>
        <v>0.56199677938808379</v>
      </c>
      <c r="AD37" s="107">
        <f>AC37</f>
        <v>0.56199677938808379</v>
      </c>
      <c r="AE37" s="107">
        <f>AD37</f>
        <v>0.56199677938808379</v>
      </c>
      <c r="AF37" s="255">
        <f>AF33/AF23</f>
        <v>0.54263026088912913</v>
      </c>
      <c r="AG37" s="107">
        <f>AE37</f>
        <v>0.56199677938808379</v>
      </c>
      <c r="AH37" s="107">
        <f>AG37</f>
        <v>0.56199677938808379</v>
      </c>
      <c r="AI37" s="107">
        <f>AH37</f>
        <v>0.56199677938808379</v>
      </c>
      <c r="AJ37" s="107">
        <f>AI37</f>
        <v>0.56199677938808379</v>
      </c>
      <c r="AK37" s="255">
        <f>AK33/AK23</f>
        <v>0.54150965138614282</v>
      </c>
    </row>
    <row r="38" spans="1:37" s="248" customFormat="1" ht="12.75" customHeight="1" outlineLevel="1">
      <c r="A38" s="416"/>
      <c r="B38" s="433"/>
      <c r="C38" s="616"/>
      <c r="D38" s="102"/>
      <c r="E38" s="102"/>
      <c r="F38" s="102"/>
      <c r="G38" s="255"/>
      <c r="H38" s="253"/>
      <c r="I38" s="102"/>
      <c r="J38" s="102"/>
      <c r="K38" s="102"/>
      <c r="L38" s="255"/>
      <c r="M38" s="300"/>
      <c r="N38" s="300"/>
      <c r="O38" s="300"/>
      <c r="P38" s="253"/>
      <c r="Q38" s="521"/>
      <c r="R38" s="253"/>
      <c r="S38" s="300"/>
      <c r="T38" s="300"/>
      <c r="U38" s="300"/>
      <c r="V38" s="521"/>
      <c r="W38" s="300"/>
      <c r="X38" s="300"/>
      <c r="Y38" s="545"/>
      <c r="Z38" s="545"/>
      <c r="AA38" s="521"/>
      <c r="AB38" s="545"/>
      <c r="AC38" s="545"/>
      <c r="AD38" s="545"/>
      <c r="AE38" s="545"/>
      <c r="AF38" s="521"/>
      <c r="AG38" s="545"/>
      <c r="AH38" s="545"/>
      <c r="AI38" s="545"/>
      <c r="AJ38" s="545"/>
      <c r="AK38" s="521"/>
    </row>
    <row r="39" spans="1:37" s="289" customFormat="1" ht="12.75" customHeight="1" outlineLevel="1">
      <c r="A39" s="283"/>
      <c r="B39" s="1336" t="s">
        <v>395</v>
      </c>
      <c r="C39" s="368"/>
      <c r="D39" s="368"/>
      <c r="E39" s="368"/>
      <c r="F39" s="368"/>
      <c r="G39" s="1361"/>
      <c r="H39" s="487"/>
      <c r="I39" s="487"/>
      <c r="J39" s="487"/>
      <c r="K39" s="487"/>
      <c r="L39" s="1361"/>
      <c r="M39" s="487">
        <f t="shared" ref="M39:AF39" si="14">SUM(M40:M42)</f>
        <v>1.8199999999999998</v>
      </c>
      <c r="N39" s="487">
        <f t="shared" si="14"/>
        <v>3.839</v>
      </c>
      <c r="O39" s="487">
        <f t="shared" si="14"/>
        <v>6.6720000000000006</v>
      </c>
      <c r="P39" s="487">
        <f t="shared" si="14"/>
        <v>8.411999999999999</v>
      </c>
      <c r="Q39" s="1361">
        <f t="shared" si="14"/>
        <v>20.743000000000002</v>
      </c>
      <c r="R39" s="368">
        <f>SUM(R40:R42)</f>
        <v>14.988777777777777</v>
      </c>
      <c r="S39" s="368">
        <f t="shared" si="14"/>
        <v>14.492236111111112</v>
      </c>
      <c r="T39" s="368">
        <f>SUM(T40:T42)</f>
        <v>9.402652777777778</v>
      </c>
      <c r="U39" s="368">
        <f t="shared" si="14"/>
        <v>25.148875283611112</v>
      </c>
      <c r="V39" s="1361">
        <f t="shared" si="14"/>
        <v>64.032541950277789</v>
      </c>
      <c r="W39" s="368">
        <f t="shared" si="14"/>
        <v>31.126467051944445</v>
      </c>
      <c r="X39" s="368">
        <f t="shared" si="14"/>
        <v>37.950001035611109</v>
      </c>
      <c r="Y39" s="368">
        <f t="shared" si="14"/>
        <v>45.168362885127777</v>
      </c>
      <c r="Z39" s="368">
        <f t="shared" si="14"/>
        <v>52.768594519046609</v>
      </c>
      <c r="AA39" s="1361">
        <f t="shared" si="14"/>
        <v>167.01342549172995</v>
      </c>
      <c r="AB39" s="368">
        <f t="shared" si="14"/>
        <v>61.225872510650504</v>
      </c>
      <c r="AC39" s="368">
        <f t="shared" si="14"/>
        <v>70.715930792175186</v>
      </c>
      <c r="AD39" s="368">
        <f t="shared" si="14"/>
        <v>79.807592198276097</v>
      </c>
      <c r="AE39" s="368">
        <f t="shared" si="14"/>
        <v>90.207122609554091</v>
      </c>
      <c r="AF39" s="1361">
        <f t="shared" si="14"/>
        <v>301.95651811065591</v>
      </c>
      <c r="AG39" s="368">
        <f>SUM(AG40:AG42)</f>
        <v>91.863361106678354</v>
      </c>
      <c r="AH39" s="368">
        <f>SUM(AH40:AH42)</f>
        <v>103.95359182606421</v>
      </c>
      <c r="AI39" s="368">
        <f>SUM(AI40:AI42)</f>
        <v>114.89355507316191</v>
      </c>
      <c r="AJ39" s="368">
        <f>SUM(AJ40:AJ42)</f>
        <v>127.40318089378786</v>
      </c>
      <c r="AK39" s="1361">
        <f>SUM(AK40:AK42)</f>
        <v>438.11368889969236</v>
      </c>
    </row>
    <row r="40" spans="1:37" s="289" customFormat="1" ht="12.75" customHeight="1" outlineLevel="1">
      <c r="A40" s="283"/>
      <c r="B40" s="1367" t="s">
        <v>381</v>
      </c>
      <c r="C40" s="1375"/>
      <c r="D40" s="1376"/>
      <c r="E40" s="1376"/>
      <c r="F40" s="1376"/>
      <c r="G40" s="1377"/>
      <c r="H40" s="1378"/>
      <c r="I40" s="1379"/>
      <c r="J40" s="1379"/>
      <c r="K40" s="1380"/>
      <c r="L40" s="1377"/>
      <c r="M40" s="1381">
        <f>'Revenue and CapEx Build'!M111</f>
        <v>0.95399999999999996</v>
      </c>
      <c r="N40" s="1012">
        <f>'Revenue and CapEx Build'!N111</f>
        <v>1.3640000000000001</v>
      </c>
      <c r="O40" s="1012">
        <f>'Revenue and CapEx Build'!O111</f>
        <v>1.839</v>
      </c>
      <c r="P40" s="1012">
        <f>'Revenue and CapEx Build'!P111</f>
        <v>2.415</v>
      </c>
      <c r="Q40" s="426">
        <f>'Revenue and CapEx Build'!Q111</f>
        <v>6.5720000000000001</v>
      </c>
      <c r="R40" s="1382">
        <f>'Revenue and CapEx Build'!R111</f>
        <v>3.6747777777777779</v>
      </c>
      <c r="S40" s="1382">
        <f>'Revenue and CapEx Build'!S111</f>
        <v>4.1191111111111116</v>
      </c>
      <c r="T40" s="1382">
        <f>'Revenue and CapEx Build'!T111</f>
        <v>3.4444444444444446</v>
      </c>
      <c r="U40" s="1382">
        <f>'Revenue and CapEx Build'!U111</f>
        <v>6.3185002836111117</v>
      </c>
      <c r="V40" s="426">
        <f>'Revenue and CapEx Build'!V111</f>
        <v>17.556833616944445</v>
      </c>
      <c r="W40" s="1382">
        <f>'Revenue and CapEx Build'!W111</f>
        <v>7.8532687019444438</v>
      </c>
      <c r="X40" s="1382">
        <f>'Revenue and CapEx Build'!X111</f>
        <v>10.048357868611111</v>
      </c>
      <c r="Y40" s="1382">
        <f>'Revenue and CapEx Build'!Y111</f>
        <v>12.740024535277776</v>
      </c>
      <c r="Z40" s="1382">
        <f>'Revenue and CapEx Build'!Z111</f>
        <v>15.142075130861109</v>
      </c>
      <c r="AA40" s="426">
        <f>'Revenue and CapEx Build'!AA111</f>
        <v>45.783726236694442</v>
      </c>
      <c r="AB40" s="1382">
        <f>'Revenue and CapEx Build'!AB111</f>
        <v>18.58529471286111</v>
      </c>
      <c r="AC40" s="1382">
        <f>'Revenue and CapEx Build'!AC111</f>
        <v>22.32572665286111</v>
      </c>
      <c r="AD40" s="1382">
        <f>'Revenue and CapEx Build'!AD111</f>
        <v>26.371525712861111</v>
      </c>
      <c r="AE40" s="1382">
        <f>'Revenue and CapEx Build'!AE111</f>
        <v>30.820541163811111</v>
      </c>
      <c r="AF40" s="426">
        <f>'Revenue and CapEx Build'!AF111</f>
        <v>98.103088242394449</v>
      </c>
      <c r="AG40" s="1382">
        <f>'Revenue and CapEx Build'!AG111</f>
        <v>33.050021460888885</v>
      </c>
      <c r="AH40" s="1382">
        <f>'Revenue and CapEx Build'!AH111</f>
        <v>37.258007393388887</v>
      </c>
      <c r="AI40" s="1382">
        <f>'Revenue and CapEx Build'!AI111</f>
        <v>41.640956375055552</v>
      </c>
      <c r="AJ40" s="1382">
        <f>'Revenue and CapEx Build'!AJ111</f>
        <v>46.312422598553056</v>
      </c>
      <c r="AK40" s="426">
        <f>'Revenue and CapEx Build'!AK111</f>
        <v>158.26140782788639</v>
      </c>
    </row>
    <row r="41" spans="1:37" s="289" customFormat="1" ht="12.75" customHeight="1" outlineLevel="1">
      <c r="A41" s="283"/>
      <c r="B41" s="1367" t="s">
        <v>382</v>
      </c>
      <c r="C41" s="1375"/>
      <c r="D41" s="1376"/>
      <c r="E41" s="1376"/>
      <c r="F41" s="1376"/>
      <c r="G41" s="1377"/>
      <c r="H41" s="1378"/>
      <c r="I41" s="1379"/>
      <c r="J41" s="1379"/>
      <c r="K41" s="1380"/>
      <c r="L41" s="1377"/>
      <c r="M41" s="1381">
        <f>'Revenue and CapEx Build'!M112</f>
        <v>3.5999999999999997E-2</v>
      </c>
      <c r="N41" s="1012">
        <f>'Revenue and CapEx Build'!N112</f>
        <v>7.4999999999999997E-2</v>
      </c>
      <c r="O41" s="1012">
        <f>'Revenue and CapEx Build'!O112</f>
        <v>0.441</v>
      </c>
      <c r="P41" s="1012">
        <f>'Revenue and CapEx Build'!P112</f>
        <v>0.66200000000000003</v>
      </c>
      <c r="Q41" s="426">
        <f>'Revenue and CapEx Build'!Q112</f>
        <v>1.214</v>
      </c>
      <c r="R41" s="1382">
        <f>'Revenue and CapEx Build'!R112</f>
        <v>2.0144166666666665</v>
      </c>
      <c r="S41" s="1382">
        <f>'Revenue and CapEx Build'!S112</f>
        <v>2.2358333333333333</v>
      </c>
      <c r="T41" s="1382">
        <f>'Revenue and CapEx Build'!T112</f>
        <v>1.8731249999999999</v>
      </c>
      <c r="U41" s="1382">
        <f>'Revenue and CapEx Build'!U112</f>
        <v>4.2593333333333332</v>
      </c>
      <c r="V41" s="426">
        <f>'Revenue and CapEx Build'!V112</f>
        <v>10.382708333333333</v>
      </c>
      <c r="W41" s="1382">
        <f>'Revenue and CapEx Build'!W112</f>
        <v>5.7867083333333333</v>
      </c>
      <c r="X41" s="1382">
        <f>'Revenue and CapEx Build'!X112</f>
        <v>7.4413958333333339</v>
      </c>
      <c r="Y41" s="1382">
        <f>'Revenue and CapEx Build'!Y112</f>
        <v>8.8456458333333341</v>
      </c>
      <c r="Z41" s="1382">
        <f>'Revenue and CapEx Build'!Z112</f>
        <v>10.827708333333334</v>
      </c>
      <c r="AA41" s="426">
        <f>'Revenue and CapEx Build'!AA112</f>
        <v>32.901458333333338</v>
      </c>
      <c r="AB41" s="1382">
        <f>'Revenue and CapEx Build'!AB112</f>
        <v>13.118770833333334</v>
      </c>
      <c r="AC41" s="1382">
        <f>'Revenue and CapEx Build'!AC112</f>
        <v>15.600802083333335</v>
      </c>
      <c r="AD41" s="1382">
        <f>'Revenue and CapEx Build'!AD112</f>
        <v>17.215689583333333</v>
      </c>
      <c r="AE41" s="1382">
        <f>'Revenue and CapEx Build'!AE112</f>
        <v>19.495061458333335</v>
      </c>
      <c r="AF41" s="426">
        <f>'Revenue and CapEx Build'!AF112</f>
        <v>65.430323958333346</v>
      </c>
      <c r="AG41" s="1382">
        <f>'Revenue and CapEx Build'!AG112</f>
        <v>21.866821874999999</v>
      </c>
      <c r="AH41" s="1382">
        <f>'Revenue and CapEx Build'!AH112</f>
        <v>25.589868749999997</v>
      </c>
      <c r="AI41" s="1382">
        <f>'Revenue and CapEx Build'!AI112</f>
        <v>27.446989374999998</v>
      </c>
      <c r="AJ41" s="1382">
        <f>'Revenue and CapEx Build'!AJ112</f>
        <v>30.068267031249999</v>
      </c>
      <c r="AK41" s="426">
        <f>'Revenue and CapEx Build'!AK112</f>
        <v>104.97194703125</v>
      </c>
    </row>
    <row r="42" spans="1:37" s="289" customFormat="1" ht="12.75" customHeight="1" outlineLevel="1">
      <c r="A42" s="283"/>
      <c r="B42" s="1367" t="s">
        <v>383</v>
      </c>
      <c r="C42" s="1375"/>
      <c r="D42" s="1376"/>
      <c r="E42" s="1376"/>
      <c r="F42" s="1376"/>
      <c r="G42" s="1377"/>
      <c r="H42" s="1378"/>
      <c r="I42" s="1379"/>
      <c r="J42" s="1379"/>
      <c r="K42" s="1380"/>
      <c r="L42" s="1377"/>
      <c r="M42" s="1381">
        <f>'Revenue and CapEx Build'!M113</f>
        <v>0.83</v>
      </c>
      <c r="N42" s="1012">
        <f>'Revenue and CapEx Build'!N113</f>
        <v>2.4</v>
      </c>
      <c r="O42" s="1012">
        <f>'Revenue and CapEx Build'!O113</f>
        <v>4.3920000000000003</v>
      </c>
      <c r="P42" s="1012">
        <f>'Revenue and CapEx Build'!P113</f>
        <v>5.335</v>
      </c>
      <c r="Q42" s="426">
        <f>'Revenue and CapEx Build'!Q113</f>
        <v>12.957000000000001</v>
      </c>
      <c r="R42" s="1382">
        <f>'Revenue and CapEx Build'!R113</f>
        <v>9.2995833333333326</v>
      </c>
      <c r="S42" s="1382">
        <f>'Revenue and CapEx Build'!S113</f>
        <v>8.1372916666666661</v>
      </c>
      <c r="T42" s="1382">
        <f>'Revenue and CapEx Build'!T113</f>
        <v>4.0850833333333334</v>
      </c>
      <c r="U42" s="1382">
        <f>'Revenue and CapEx Build'!U113</f>
        <v>14.571041666666666</v>
      </c>
      <c r="V42" s="426">
        <f>'Revenue and CapEx Build'!V113</f>
        <v>36.093000000000004</v>
      </c>
      <c r="W42" s="1382">
        <f>'Revenue and CapEx Build'!W113</f>
        <v>17.486490016666668</v>
      </c>
      <c r="X42" s="1382">
        <f>'Revenue and CapEx Build'!X113</f>
        <v>20.460247333666668</v>
      </c>
      <c r="Y42" s="1382">
        <f>'Revenue and CapEx Build'!Y113</f>
        <v>23.582692516516669</v>
      </c>
      <c r="Z42" s="1382">
        <f>'Revenue and CapEx Build'!Z113</f>
        <v>26.798811054852166</v>
      </c>
      <c r="AA42" s="426">
        <f>'Revenue and CapEx Build'!AA113</f>
        <v>88.328240921702175</v>
      </c>
      <c r="AB42" s="1382">
        <f>'Revenue and CapEx Build'!AB113</f>
        <v>29.521806964456065</v>
      </c>
      <c r="AC42" s="1382">
        <f>'Revenue and CapEx Build'!AC113</f>
        <v>32.789402055980752</v>
      </c>
      <c r="AD42" s="1382">
        <f>'Revenue and CapEx Build'!AD113</f>
        <v>36.220376902081661</v>
      </c>
      <c r="AE42" s="1382">
        <f>'Revenue and CapEx Build'!AE113</f>
        <v>39.891519987409644</v>
      </c>
      <c r="AF42" s="426">
        <f>'Revenue and CapEx Build'!AF113</f>
        <v>138.42310590992813</v>
      </c>
      <c r="AG42" s="1382">
        <f>'Revenue and CapEx Build'!AG113</f>
        <v>36.946517770789463</v>
      </c>
      <c r="AH42" s="1382">
        <f>'Revenue and CapEx Build'!AH113</f>
        <v>41.105715682675331</v>
      </c>
      <c r="AI42" s="1382">
        <f>'Revenue and CapEx Build'!AI113</f>
        <v>45.80560932310636</v>
      </c>
      <c r="AJ42" s="1382">
        <f>'Revenue and CapEx Build'!AJ113</f>
        <v>51.022491263984811</v>
      </c>
      <c r="AK42" s="426">
        <f>'Revenue and CapEx Build'!AK113</f>
        <v>174.88033404055597</v>
      </c>
    </row>
    <row r="43" spans="1:37" s="565" customFormat="1" ht="12.75" customHeight="1" outlineLevel="1">
      <c r="A43" s="1097"/>
      <c r="B43" s="694"/>
      <c r="C43" s="695"/>
      <c r="D43" s="695"/>
      <c r="E43" s="695"/>
      <c r="F43" s="695"/>
      <c r="G43" s="696"/>
      <c r="H43" s="697"/>
      <c r="I43" s="697"/>
      <c r="J43" s="697"/>
      <c r="K43" s="697"/>
      <c r="L43" s="696"/>
      <c r="M43" s="695"/>
      <c r="N43" s="695"/>
      <c r="O43" s="695"/>
      <c r="P43" s="695"/>
      <c r="Q43" s="696"/>
      <c r="R43" s="695"/>
      <c r="S43" s="695"/>
      <c r="T43" s="695"/>
      <c r="U43" s="695"/>
      <c r="V43" s="696"/>
      <c r="W43" s="695"/>
      <c r="X43" s="695"/>
      <c r="Y43" s="695"/>
      <c r="Z43" s="695"/>
      <c r="AA43" s="696"/>
      <c r="AB43" s="695"/>
      <c r="AC43" s="695"/>
      <c r="AD43" s="695"/>
      <c r="AE43" s="695"/>
      <c r="AF43" s="696"/>
      <c r="AG43" s="695"/>
      <c r="AH43" s="695"/>
      <c r="AI43" s="695"/>
      <c r="AJ43" s="695"/>
      <c r="AK43" s="696"/>
    </row>
    <row r="44" spans="1:37" s="289" customFormat="1" ht="12.75" customHeight="1" outlineLevel="1">
      <c r="A44" s="283"/>
      <c r="B44" s="1336" t="s">
        <v>653</v>
      </c>
      <c r="C44" s="368"/>
      <c r="D44" s="368"/>
      <c r="E44" s="368"/>
      <c r="F44" s="368"/>
      <c r="G44" s="1361"/>
      <c r="H44" s="487"/>
      <c r="I44" s="487"/>
      <c r="J44" s="487"/>
      <c r="K44" s="915">
        <f>BS!K21</f>
        <v>-116.79600000000001</v>
      </c>
      <c r="L44" s="1362">
        <f>BS!L21</f>
        <v>-116.79600000000001</v>
      </c>
      <c r="M44" s="915">
        <f>BS!M21</f>
        <v>-195.78200000000001</v>
      </c>
      <c r="N44" s="915">
        <f>BS!N21</f>
        <v>-359.72199999999998</v>
      </c>
      <c r="O44" s="915">
        <f>BS!O21</f>
        <v>-612.21699999999998</v>
      </c>
      <c r="P44" s="915">
        <f>BS!P21</f>
        <v>-965.23099999999999</v>
      </c>
      <c r="Q44" s="1362">
        <f>BS!Q21</f>
        <v>-965.23099999999999</v>
      </c>
      <c r="R44" s="915">
        <f>BS!R21</f>
        <v>-1399.557</v>
      </c>
      <c r="S44" s="1363">
        <f>BS!S21</f>
        <v>-1953.607</v>
      </c>
      <c r="T44" s="1363">
        <f>BS!T21</f>
        <v>-2574.578</v>
      </c>
      <c r="U44" s="1363">
        <f>BS!U21</f>
        <v>-3359.7268752836112</v>
      </c>
      <c r="V44" s="1362">
        <f>BS!V21</f>
        <v>-3359.7268752836112</v>
      </c>
      <c r="W44" s="1363">
        <f>BS!W21</f>
        <v>-4535.3163388918001</v>
      </c>
      <c r="X44" s="1363">
        <f>BS!X21</f>
        <v>-5915.9943781503225</v>
      </c>
      <c r="Y44" s="1363">
        <f>BS!Y21</f>
        <v>-7429.2391542583609</v>
      </c>
      <c r="Z44" s="1363">
        <f>BS!Z21</f>
        <v>-9075.4325370003189</v>
      </c>
      <c r="AA44" s="1362">
        <f>BS!AA21</f>
        <v>-9075.4325370003189</v>
      </c>
      <c r="AB44" s="1363">
        <f>BS!AB21</f>
        <v>-10938.764906067214</v>
      </c>
      <c r="AC44" s="1363">
        <f>BS!AC21</f>
        <v>-13020.269041748967</v>
      </c>
      <c r="AD44" s="1363">
        <f>BS!AD21</f>
        <v>-15319.546547170154</v>
      </c>
      <c r="AE44" s="1363">
        <f>BS!AE21</f>
        <v>-17837.905291335952</v>
      </c>
      <c r="AF44" s="1362">
        <f>BS!AF21</f>
        <v>-17837.905291335952</v>
      </c>
      <c r="AG44" s="1363">
        <f>BS!AG21</f>
        <v>-20543.018648998874</v>
      </c>
      <c r="AH44" s="1363">
        <f>BS!AH21</f>
        <v>-23448.070612381183</v>
      </c>
      <c r="AI44" s="1363">
        <f>BS!AI21</f>
        <v>-26551.91091401059</v>
      </c>
      <c r="AJ44" s="1363">
        <f>BS!AJ21</f>
        <v>-29856.109216460623</v>
      </c>
      <c r="AK44" s="1362">
        <f>BS!AK21</f>
        <v>-29856.109216460623</v>
      </c>
    </row>
    <row r="45" spans="1:37" s="299" customFormat="1" ht="12.75" customHeight="1" outlineLevel="1">
      <c r="A45" s="283"/>
      <c r="B45" s="1317" t="s">
        <v>352</v>
      </c>
      <c r="C45" s="656"/>
      <c r="D45" s="288"/>
      <c r="E45" s="288"/>
      <c r="F45" s="288"/>
      <c r="G45" s="1352"/>
      <c r="H45" s="287"/>
      <c r="I45" s="288"/>
      <c r="J45" s="288"/>
      <c r="K45" s="1364">
        <f>'Revenue and CapEx Build'!K116</f>
        <v>-2.347</v>
      </c>
      <c r="L45" s="1365">
        <f>'Revenue and CapEx Build'!L116</f>
        <v>-2.347</v>
      </c>
      <c r="M45" s="1366"/>
      <c r="N45" s="1364"/>
      <c r="O45" s="1364">
        <f>'Revenue and CapEx Build'!O116</f>
        <v>-3.92</v>
      </c>
      <c r="P45" s="1364">
        <f>'Revenue and CapEx Build'!P116</f>
        <v>-4.4409999999999998</v>
      </c>
      <c r="Q45" s="1365">
        <f>'Revenue and CapEx Build'!Q116</f>
        <v>-4.4409999999999998</v>
      </c>
      <c r="R45" s="1364">
        <f>'Revenue and CapEx Build'!R116</f>
        <v>-4.9550000000000001</v>
      </c>
      <c r="S45" s="1364">
        <f>'Revenue and CapEx Build'!S116</f>
        <v>-11.055</v>
      </c>
      <c r="T45" s="1364">
        <f>'Revenue and CapEx Build'!T116</f>
        <v>-20.564</v>
      </c>
      <c r="U45" s="288"/>
      <c r="V45" s="1352"/>
      <c r="W45" s="287"/>
      <c r="X45" s="288"/>
      <c r="Y45" s="288"/>
      <c r="Z45" s="288"/>
      <c r="AA45" s="1352"/>
      <c r="AB45" s="287"/>
      <c r="AC45" s="288"/>
      <c r="AD45" s="288"/>
      <c r="AE45" s="288"/>
      <c r="AF45" s="1352"/>
      <c r="AG45" s="287"/>
      <c r="AH45" s="288"/>
      <c r="AI45" s="288"/>
      <c r="AJ45" s="288"/>
      <c r="AK45" s="1352"/>
    </row>
    <row r="46" spans="1:37" s="299" customFormat="1" ht="12.75" customHeight="1" outlineLevel="1">
      <c r="A46" s="283"/>
      <c r="B46" s="1317" t="s">
        <v>416</v>
      </c>
      <c r="C46" s="656"/>
      <c r="D46" s="288"/>
      <c r="E46" s="288"/>
      <c r="F46" s="288"/>
      <c r="G46" s="1352"/>
      <c r="H46" s="287"/>
      <c r="I46" s="288"/>
      <c r="J46" s="288"/>
      <c r="K46" s="288">
        <f>K44-K45</f>
        <v>-114.44900000000001</v>
      </c>
      <c r="L46" s="1352">
        <f>K46</f>
        <v>-114.44900000000001</v>
      </c>
      <c r="M46" s="287"/>
      <c r="N46" s="288"/>
      <c r="O46" s="288">
        <f>O44-O45</f>
        <v>-608.29700000000003</v>
      </c>
      <c r="P46" s="288">
        <f>P44-P45</f>
        <v>-960.79</v>
      </c>
      <c r="Q46" s="1352">
        <f>P46</f>
        <v>-960.79</v>
      </c>
      <c r="R46" s="288">
        <f>R44-R45</f>
        <v>-1394.6020000000001</v>
      </c>
      <c r="S46" s="288">
        <f>S44-S45</f>
        <v>-1942.5519999999999</v>
      </c>
      <c r="T46" s="288">
        <f>T44-T45</f>
        <v>-2554.0140000000001</v>
      </c>
      <c r="U46" s="288"/>
      <c r="V46" s="1352"/>
      <c r="W46" s="288"/>
      <c r="X46" s="288"/>
      <c r="Y46" s="288"/>
      <c r="Z46" s="288"/>
      <c r="AA46" s="1352"/>
      <c r="AB46" s="288"/>
      <c r="AC46" s="288"/>
      <c r="AD46" s="288"/>
      <c r="AE46" s="288"/>
      <c r="AF46" s="1352"/>
      <c r="AG46" s="288"/>
      <c r="AH46" s="288"/>
      <c r="AI46" s="288"/>
      <c r="AJ46" s="288"/>
      <c r="AK46" s="1352"/>
    </row>
    <row r="47" spans="1:37" s="486" customFormat="1" ht="12.75" customHeight="1">
      <c r="A47" s="603"/>
      <c r="B47" s="959"/>
      <c r="C47" s="557"/>
      <c r="D47" s="558"/>
      <c r="E47" s="558"/>
      <c r="F47" s="558"/>
      <c r="G47" s="662"/>
      <c r="H47" s="669"/>
      <c r="I47" s="670"/>
      <c r="J47" s="670"/>
      <c r="K47" s="671"/>
      <c r="L47" s="662"/>
      <c r="M47" s="669"/>
      <c r="N47" s="670"/>
      <c r="O47" s="670"/>
      <c r="P47" s="670"/>
      <c r="Q47" s="665"/>
      <c r="R47" s="557"/>
      <c r="S47" s="557"/>
      <c r="T47" s="557"/>
      <c r="U47" s="558"/>
      <c r="V47" s="665"/>
      <c r="W47" s="557"/>
      <c r="X47" s="558"/>
      <c r="Y47" s="558"/>
      <c r="Z47" s="558"/>
      <c r="AA47" s="665"/>
      <c r="AB47" s="557"/>
      <c r="AC47" s="558"/>
      <c r="AD47" s="558"/>
      <c r="AE47" s="558"/>
      <c r="AF47" s="665"/>
      <c r="AG47" s="557"/>
      <c r="AH47" s="558"/>
      <c r="AI47" s="558"/>
      <c r="AJ47" s="558"/>
      <c r="AK47" s="665"/>
    </row>
    <row r="48" spans="1:37" s="486" customFormat="1" ht="12.75" customHeight="1">
      <c r="A48" s="603"/>
      <c r="B48" s="385" t="s">
        <v>409</v>
      </c>
      <c r="C48" s="557"/>
      <c r="D48" s="558"/>
      <c r="E48" s="558"/>
      <c r="F48" s="558"/>
      <c r="G48" s="662"/>
      <c r="H48" s="669"/>
      <c r="I48" s="670"/>
      <c r="J48" s="670"/>
      <c r="L48" s="662"/>
      <c r="M48" s="669"/>
      <c r="N48" s="670"/>
      <c r="O48" s="670"/>
      <c r="P48" s="670"/>
      <c r="Q48" s="665"/>
      <c r="R48" s="557"/>
      <c r="S48" s="557"/>
      <c r="T48" s="557"/>
      <c r="U48" s="558"/>
      <c r="V48" s="665"/>
      <c r="W48" s="557"/>
      <c r="X48" s="558"/>
      <c r="Y48" s="558"/>
      <c r="Z48" s="558"/>
      <c r="AA48" s="665"/>
      <c r="AB48" s="557"/>
      <c r="AC48" s="558"/>
      <c r="AD48" s="558"/>
      <c r="AE48" s="558"/>
      <c r="AF48" s="665"/>
      <c r="AG48" s="557"/>
      <c r="AH48" s="558"/>
      <c r="AI48" s="558"/>
      <c r="AJ48" s="558"/>
      <c r="AK48" s="665"/>
    </row>
    <row r="49" spans="1:37" s="1374" customFormat="1" ht="12.75" customHeight="1" outlineLevel="1">
      <c r="A49" s="642"/>
      <c r="B49" s="1367" t="s">
        <v>410</v>
      </c>
      <c r="C49" s="1368"/>
      <c r="D49" s="1369"/>
      <c r="E49" s="1369"/>
      <c r="F49" s="1369"/>
      <c r="G49" s="1370"/>
      <c r="H49" s="1371"/>
      <c r="I49" s="1372"/>
      <c r="J49" s="1372"/>
      <c r="K49" s="1364">
        <f>'Revenue and CapEx Build'!K120</f>
        <v>1298.127</v>
      </c>
      <c r="L49" s="1365">
        <f>'Revenue and CapEx Build'!L120</f>
        <v>1298.127</v>
      </c>
      <c r="M49" s="1366">
        <v>2500</v>
      </c>
      <c r="N49" s="1364">
        <v>4000</v>
      </c>
      <c r="O49" s="1364">
        <f>'Revenue and CapEx Build'!O120</f>
        <v>6886.183</v>
      </c>
      <c r="P49" s="1364">
        <f>'Revenue and CapEx Build'!P120</f>
        <v>9146.5750000000007</v>
      </c>
      <c r="Q49" s="1365">
        <f>'Revenue and CapEx Build'!Q120</f>
        <v>9146.5750000000007</v>
      </c>
      <c r="R49" s="1364">
        <f>'Revenue and CapEx Build'!R120</f>
        <v>10746.445</v>
      </c>
      <c r="S49" s="1364">
        <f>'Revenue and CapEx Build'!S120</f>
        <v>13170.295</v>
      </c>
      <c r="T49" s="1364">
        <f>'Revenue and CapEx Build'!T120</f>
        <v>14628.79</v>
      </c>
      <c r="U49" s="1369"/>
      <c r="V49" s="1373"/>
      <c r="W49" s="1368"/>
      <c r="X49" s="1369"/>
      <c r="Y49" s="1369"/>
      <c r="Z49" s="1369"/>
      <c r="AA49" s="1373"/>
      <c r="AB49" s="1368"/>
      <c r="AC49" s="1369"/>
      <c r="AD49" s="1369"/>
      <c r="AE49" s="1369"/>
      <c r="AF49" s="1373"/>
      <c r="AG49" s="1368"/>
      <c r="AH49" s="1369"/>
      <c r="AI49" s="1369"/>
      <c r="AJ49" s="1369"/>
      <c r="AK49" s="1373"/>
    </row>
    <row r="50" spans="1:37" s="1374" customFormat="1" ht="12.75" customHeight="1" outlineLevel="1">
      <c r="A50" s="642"/>
      <c r="B50" s="1367" t="s">
        <v>411</v>
      </c>
      <c r="C50" s="1368"/>
      <c r="D50" s="1369"/>
      <c r="E50" s="1369"/>
      <c r="F50" s="1369"/>
      <c r="G50" s="1370"/>
      <c r="H50" s="1371"/>
      <c r="I50" s="1372"/>
      <c r="J50" s="1372"/>
      <c r="K50" s="1364">
        <f>'Revenue and CapEx Build'!K121</f>
        <v>14.936999999999999</v>
      </c>
      <c r="L50" s="1365">
        <f>'Revenue and CapEx Build'!L121</f>
        <v>14.936999999999999</v>
      </c>
      <c r="M50" s="1366"/>
      <c r="N50" s="1364"/>
      <c r="O50" s="1364">
        <f>'Revenue and CapEx Build'!O121</f>
        <v>69.209000000000003</v>
      </c>
      <c r="P50" s="1364">
        <f>'Revenue and CapEx Build'!P121</f>
        <v>245.458</v>
      </c>
      <c r="Q50" s="1365">
        <f>'Revenue and CapEx Build'!Q121</f>
        <v>245.458</v>
      </c>
      <c r="R50" s="1364">
        <f>'Revenue and CapEx Build'!R121</f>
        <v>245.458</v>
      </c>
      <c r="S50" s="1364">
        <f>'Revenue and CapEx Build'!S121</f>
        <v>459.74200000000002</v>
      </c>
      <c r="T50" s="1364">
        <f>'Revenue and CapEx Build'!T121</f>
        <v>541.56700000000001</v>
      </c>
      <c r="U50" s="1369"/>
      <c r="V50" s="1373"/>
      <c r="W50" s="1368"/>
      <c r="X50" s="1369"/>
      <c r="Y50" s="1369"/>
      <c r="Z50" s="1369"/>
      <c r="AA50" s="1373"/>
      <c r="AB50" s="1368"/>
      <c r="AC50" s="1369"/>
      <c r="AD50" s="1369"/>
      <c r="AE50" s="1369"/>
      <c r="AF50" s="1373"/>
      <c r="AG50" s="1368"/>
      <c r="AH50" s="1369"/>
      <c r="AI50" s="1369"/>
      <c r="AJ50" s="1369"/>
      <c r="AK50" s="1373"/>
    </row>
    <row r="51" spans="1:37" s="1374" customFormat="1" ht="12.75" customHeight="1" outlineLevel="1">
      <c r="A51" s="642"/>
      <c r="B51" s="1367" t="s">
        <v>412</v>
      </c>
      <c r="C51" s="1368"/>
      <c r="D51" s="1369"/>
      <c r="E51" s="1369"/>
      <c r="F51" s="1369"/>
      <c r="G51" s="1370"/>
      <c r="H51" s="1371"/>
      <c r="I51" s="1372"/>
      <c r="J51" s="1372"/>
      <c r="K51" s="1364">
        <f>'Revenue and CapEx Build'!K122</f>
        <v>39.332000000000001</v>
      </c>
      <c r="L51" s="1365">
        <f>'Revenue and CapEx Build'!L122</f>
        <v>39.332000000000001</v>
      </c>
      <c r="M51" s="1366"/>
      <c r="N51" s="1364"/>
      <c r="O51" s="1364">
        <f>'Revenue and CapEx Build'!O122</f>
        <v>308.26400000000001</v>
      </c>
      <c r="P51" s="1364">
        <f>'Revenue and CapEx Build'!P122</f>
        <v>139.50800000000001</v>
      </c>
      <c r="Q51" s="1365">
        <f>'Revenue and CapEx Build'!Q122</f>
        <v>139.50800000000001</v>
      </c>
      <c r="R51" s="1364">
        <f>'Revenue and CapEx Build'!R122</f>
        <v>534.12</v>
      </c>
      <c r="S51" s="1364">
        <f>'Revenue and CapEx Build'!S122</f>
        <v>830.875</v>
      </c>
      <c r="T51" s="1364">
        <f>'Revenue and CapEx Build'!T122</f>
        <v>1139.095</v>
      </c>
      <c r="U51" s="1369"/>
      <c r="V51" s="1373"/>
      <c r="W51" s="1368"/>
      <c r="X51" s="1369"/>
      <c r="Y51" s="1369"/>
      <c r="Z51" s="1369"/>
      <c r="AA51" s="1373"/>
      <c r="AB51" s="1368"/>
      <c r="AC51" s="1369"/>
      <c r="AD51" s="1369"/>
      <c r="AE51" s="1369"/>
      <c r="AF51" s="1373"/>
      <c r="AG51" s="1368"/>
      <c r="AH51" s="1369"/>
      <c r="AI51" s="1369"/>
      <c r="AJ51" s="1369"/>
      <c r="AK51" s="1373"/>
    </row>
    <row r="52" spans="1:37" s="1374" customFormat="1" ht="12.75" customHeight="1" outlineLevel="1">
      <c r="A52" s="642"/>
      <c r="B52" s="1367" t="s">
        <v>413</v>
      </c>
      <c r="C52" s="1368"/>
      <c r="D52" s="1369"/>
      <c r="E52" s="1369"/>
      <c r="F52" s="1369"/>
      <c r="G52" s="1370"/>
      <c r="H52" s="1371"/>
      <c r="I52" s="1372"/>
      <c r="J52" s="1372"/>
      <c r="K52" s="1364">
        <f>'Revenue and CapEx Build'!K123</f>
        <v>1.7170000000000001</v>
      </c>
      <c r="L52" s="1365">
        <f>'Revenue and CapEx Build'!L123</f>
        <v>1.7170000000000001</v>
      </c>
      <c r="M52" s="1366"/>
      <c r="N52" s="1364"/>
      <c r="O52" s="1364">
        <f>'Revenue and CapEx Build'!O123</f>
        <v>4.8109999999999999</v>
      </c>
      <c r="P52" s="1364">
        <f>'Revenue and CapEx Build'!P123</f>
        <v>8.6839999999999993</v>
      </c>
      <c r="Q52" s="1365">
        <f>'Revenue and CapEx Build'!Q123</f>
        <v>8.6839999999999993</v>
      </c>
      <c r="R52" s="1364">
        <f>'Revenue and CapEx Build'!R123</f>
        <v>10.714600000000001</v>
      </c>
      <c r="S52" s="1364">
        <f>'Revenue and CapEx Build'!S123</f>
        <v>12.949</v>
      </c>
      <c r="T52" s="1364">
        <f>'Revenue and CapEx Build'!T123</f>
        <v>14.241</v>
      </c>
      <c r="U52" s="1369"/>
      <c r="V52" s="1373"/>
      <c r="W52" s="1368"/>
      <c r="X52" s="1369"/>
      <c r="Y52" s="1369"/>
      <c r="Z52" s="1369"/>
      <c r="AA52" s="1373"/>
      <c r="AB52" s="1368"/>
      <c r="AC52" s="1369"/>
      <c r="AD52" s="1369"/>
      <c r="AE52" s="1369"/>
      <c r="AF52" s="1373"/>
      <c r="AG52" s="1368"/>
      <c r="AH52" s="1369"/>
      <c r="AI52" s="1369"/>
      <c r="AJ52" s="1369"/>
      <c r="AK52" s="1373"/>
    </row>
    <row r="53" spans="1:37" s="1374" customFormat="1" ht="12.75" customHeight="1" outlineLevel="1">
      <c r="A53" s="642"/>
      <c r="B53" s="1367" t="s">
        <v>414</v>
      </c>
      <c r="C53" s="1368"/>
      <c r="D53" s="1369"/>
      <c r="E53" s="1369"/>
      <c r="F53" s="1369"/>
      <c r="G53" s="1370"/>
      <c r="H53" s="1371"/>
      <c r="I53" s="1372"/>
      <c r="J53" s="1372"/>
      <c r="K53" s="1364">
        <f>'Revenue and CapEx Build'!K124</f>
        <v>2256.6729999999998</v>
      </c>
      <c r="L53" s="1365">
        <f>'Revenue and CapEx Build'!L124</f>
        <v>2256.6729999999998</v>
      </c>
      <c r="M53" s="1366"/>
      <c r="N53" s="1364"/>
      <c r="O53" s="1364">
        <f>'Revenue and CapEx Build'!O124</f>
        <v>2460.34</v>
      </c>
      <c r="P53" s="1364">
        <f>'Revenue and CapEx Build'!P124</f>
        <v>3200.866</v>
      </c>
      <c r="Q53" s="1365">
        <f>'Revenue and CapEx Build'!Q124</f>
        <v>3200.866</v>
      </c>
      <c r="R53" s="1364">
        <f>'Revenue and CapEx Build'!R124</f>
        <v>4073.81</v>
      </c>
      <c r="S53" s="1364">
        <f>'Revenue and CapEx Build'!S124</f>
        <v>4111.2560000000003</v>
      </c>
      <c r="T53" s="1364">
        <f>'Revenue and CapEx Build'!T124</f>
        <v>6910.0659999999998</v>
      </c>
      <c r="U53" s="1369"/>
      <c r="V53" s="1373"/>
      <c r="W53" s="1368"/>
      <c r="X53" s="1369"/>
      <c r="Y53" s="1369"/>
      <c r="Z53" s="1369"/>
      <c r="AA53" s="1373"/>
      <c r="AB53" s="1368"/>
      <c r="AC53" s="1369"/>
      <c r="AD53" s="1369"/>
      <c r="AE53" s="1369"/>
      <c r="AF53" s="1373"/>
      <c r="AG53" s="1368"/>
      <c r="AH53" s="1369"/>
      <c r="AI53" s="1369"/>
      <c r="AJ53" s="1369"/>
      <c r="AK53" s="1373"/>
    </row>
    <row r="54" spans="1:37" s="289" customFormat="1" ht="12.75" customHeight="1" outlineLevel="1">
      <c r="A54" s="283"/>
      <c r="B54" s="1316" t="s">
        <v>539</v>
      </c>
      <c r="C54" s="371"/>
      <c r="D54" s="371"/>
      <c r="E54" s="371"/>
      <c r="F54" s="371"/>
      <c r="G54" s="495"/>
      <c r="H54" s="371"/>
      <c r="I54" s="371"/>
      <c r="J54" s="371"/>
      <c r="K54" s="491">
        <f>SUM(K49:K53)</f>
        <v>3610.7860000000001</v>
      </c>
      <c r="L54" s="369">
        <f>K54</f>
        <v>3610.7860000000001</v>
      </c>
      <c r="M54" s="371"/>
      <c r="N54" s="371"/>
      <c r="O54" s="491">
        <f>SUM(O49:O53)</f>
        <v>9728.8070000000007</v>
      </c>
      <c r="P54" s="491">
        <f>SUM(P49:P53)</f>
        <v>12741.091</v>
      </c>
      <c r="Q54" s="369">
        <f>P54</f>
        <v>12741.091</v>
      </c>
      <c r="R54" s="491">
        <f>SUM(R49:R53)</f>
        <v>15610.5476</v>
      </c>
      <c r="S54" s="491">
        <f>SUM(S49:S53)</f>
        <v>18585.117000000002</v>
      </c>
      <c r="T54" s="491">
        <f>SUM(T49:T53)</f>
        <v>23233.758999999998</v>
      </c>
      <c r="U54" s="491"/>
      <c r="V54" s="370"/>
      <c r="W54" s="491"/>
      <c r="X54" s="491"/>
      <c r="Y54" s="491"/>
      <c r="Z54" s="491"/>
      <c r="AA54" s="370"/>
      <c r="AB54" s="491"/>
      <c r="AC54" s="491"/>
      <c r="AD54" s="491"/>
      <c r="AE54" s="491"/>
      <c r="AF54" s="370"/>
      <c r="AG54" s="491"/>
      <c r="AH54" s="491"/>
      <c r="AI54" s="491"/>
      <c r="AJ54" s="491"/>
      <c r="AK54" s="370"/>
    </row>
    <row r="55" spans="1:37" s="1113" customFormat="1" ht="12.75" customHeight="1" outlineLevel="1">
      <c r="A55" s="283"/>
      <c r="B55" s="1050"/>
      <c r="C55" s="655"/>
      <c r="D55" s="290"/>
      <c r="E55" s="290"/>
      <c r="F55" s="290"/>
      <c r="G55" s="410"/>
      <c r="H55" s="293"/>
      <c r="I55" s="290"/>
      <c r="J55" s="290"/>
      <c r="K55" s="290"/>
      <c r="L55" s="410"/>
      <c r="M55" s="293"/>
      <c r="N55" s="290"/>
      <c r="O55" s="290"/>
      <c r="P55" s="290"/>
      <c r="Q55" s="410"/>
      <c r="R55" s="290"/>
      <c r="S55" s="290"/>
      <c r="T55" s="290"/>
      <c r="U55" s="290"/>
      <c r="V55" s="410"/>
      <c r="W55" s="293"/>
      <c r="X55" s="290"/>
      <c r="Y55" s="290"/>
      <c r="Z55" s="290"/>
      <c r="AA55" s="410"/>
      <c r="AB55" s="293"/>
      <c r="AC55" s="290"/>
      <c r="AD55" s="290"/>
      <c r="AE55" s="290"/>
      <c r="AF55" s="410"/>
      <c r="AG55" s="293"/>
      <c r="AH55" s="290"/>
      <c r="AI55" s="290"/>
      <c r="AJ55" s="290"/>
      <c r="AK55" s="410"/>
    </row>
    <row r="56" spans="1:37" s="1335" customFormat="1" ht="12.75" customHeight="1" outlineLevel="1">
      <c r="A56" s="1333"/>
      <c r="B56" s="1336" t="s">
        <v>415</v>
      </c>
      <c r="C56" s="782"/>
      <c r="D56" s="782"/>
      <c r="E56" s="782"/>
      <c r="F56" s="782"/>
      <c r="G56" s="783"/>
      <c r="H56" s="782"/>
      <c r="I56" s="782"/>
      <c r="J56" s="782"/>
      <c r="K56" s="487">
        <f>K54+K44</f>
        <v>3493.9900000000002</v>
      </c>
      <c r="L56" s="415">
        <f>K56</f>
        <v>3493.9900000000002</v>
      </c>
      <c r="M56" s="782"/>
      <c r="N56" s="782"/>
      <c r="O56" s="487">
        <f>O54+O44</f>
        <v>9116.59</v>
      </c>
      <c r="P56" s="487">
        <f>P54+P44</f>
        <v>11775.86</v>
      </c>
      <c r="Q56" s="415">
        <f>P56</f>
        <v>11775.86</v>
      </c>
      <c r="R56" s="487">
        <f>R54+R44</f>
        <v>14210.990599999999</v>
      </c>
      <c r="S56" s="487">
        <f>S54+S44</f>
        <v>16631.510000000002</v>
      </c>
      <c r="T56" s="487">
        <f>T54+T44</f>
        <v>20659.180999999997</v>
      </c>
      <c r="U56" s="487"/>
      <c r="V56" s="784"/>
      <c r="W56" s="487"/>
      <c r="X56" s="487"/>
      <c r="Y56" s="487"/>
      <c r="Z56" s="487"/>
      <c r="AA56" s="784"/>
      <c r="AB56" s="487"/>
      <c r="AC56" s="487"/>
      <c r="AD56" s="487"/>
      <c r="AE56" s="487"/>
      <c r="AF56" s="784"/>
      <c r="AG56" s="487"/>
      <c r="AH56" s="487"/>
      <c r="AI56" s="487"/>
      <c r="AJ56" s="487"/>
      <c r="AK56" s="784"/>
    </row>
    <row r="57" spans="1:37" s="486" customFormat="1" ht="12.75" customHeight="1" outlineLevel="1">
      <c r="A57" s="603"/>
      <c r="B57" s="825"/>
      <c r="C57" s="557"/>
      <c r="D57" s="558"/>
      <c r="E57" s="558"/>
      <c r="F57" s="558"/>
      <c r="G57" s="662"/>
      <c r="H57" s="669"/>
      <c r="I57" s="670"/>
      <c r="J57" s="670"/>
      <c r="K57" s="692"/>
      <c r="L57" s="690"/>
      <c r="M57" s="691"/>
      <c r="N57" s="692"/>
      <c r="O57" s="692"/>
      <c r="P57" s="692"/>
      <c r="Q57" s="690"/>
      <c r="R57" s="692"/>
      <c r="S57" s="692"/>
      <c r="T57" s="692"/>
      <c r="U57" s="558"/>
      <c r="V57" s="665"/>
      <c r="W57" s="557"/>
      <c r="X57" s="558"/>
      <c r="Y57" s="558"/>
      <c r="Z57" s="558"/>
      <c r="AA57" s="665"/>
      <c r="AB57" s="557"/>
      <c r="AC57" s="558"/>
      <c r="AD57" s="558"/>
      <c r="AE57" s="558"/>
      <c r="AF57" s="665"/>
      <c r="AG57" s="557"/>
      <c r="AH57" s="558"/>
      <c r="AI57" s="558"/>
      <c r="AJ57" s="558"/>
      <c r="AK57" s="665"/>
    </row>
    <row r="58" spans="1:37" s="1374" customFormat="1" ht="12.75" customHeight="1" outlineLevel="1">
      <c r="A58" s="642"/>
      <c r="B58" s="1383" t="s">
        <v>680</v>
      </c>
      <c r="C58" s="1300"/>
      <c r="D58" s="1301"/>
      <c r="E58" s="1301"/>
      <c r="F58" s="1301"/>
      <c r="G58" s="1384">
        <f>SUM(G62:G82)</f>
        <v>0</v>
      </c>
      <c r="H58" s="1307">
        <f>SUM(H61:H82)</f>
        <v>25.25</v>
      </c>
      <c r="I58" s="1305">
        <f>SUM(I61:I82)</f>
        <v>25.25</v>
      </c>
      <c r="J58" s="1305">
        <f>SUM(J61:J82)</f>
        <v>25.25</v>
      </c>
      <c r="K58" s="1305">
        <f t="shared" ref="K58:AK58" si="15">SUM(K61:K82)</f>
        <v>25.25</v>
      </c>
      <c r="L58" s="1384">
        <f t="shared" si="15"/>
        <v>101</v>
      </c>
      <c r="M58" s="1307">
        <f t="shared" si="15"/>
        <v>75.25</v>
      </c>
      <c r="N58" s="1305">
        <f t="shared" si="15"/>
        <v>154.41666666666669</v>
      </c>
      <c r="O58" s="1305">
        <f t="shared" si="15"/>
        <v>266.05966322291084</v>
      </c>
      <c r="P58" s="1305">
        <f t="shared" si="15"/>
        <v>363.56041322291082</v>
      </c>
      <c r="Q58" s="1384">
        <f t="shared" si="15"/>
        <v>859.28674311248835</v>
      </c>
      <c r="R58" s="1305">
        <f t="shared" si="15"/>
        <v>383.68974655624413</v>
      </c>
      <c r="S58" s="1305">
        <f>SUM(S61:S82)</f>
        <v>482.00120488957742</v>
      </c>
      <c r="T58" s="1305">
        <f>SUM(T61:T82)</f>
        <v>497.93291322291077</v>
      </c>
      <c r="U58" s="1385">
        <f t="shared" si="15"/>
        <v>696.19795488957743</v>
      </c>
      <c r="V58" s="1384">
        <f t="shared" si="15"/>
        <v>2059.8218195583099</v>
      </c>
      <c r="W58" s="1386">
        <f t="shared" si="15"/>
        <v>1144.4629965562442</v>
      </c>
      <c r="X58" s="1385">
        <f t="shared" si="15"/>
        <v>1342.728038222911</v>
      </c>
      <c r="Y58" s="1385">
        <f t="shared" si="15"/>
        <v>1468.076413222911</v>
      </c>
      <c r="Z58" s="1385">
        <f t="shared" si="15"/>
        <v>1593.424788222911</v>
      </c>
      <c r="AA58" s="1384">
        <f t="shared" si="15"/>
        <v>5548.692236224977</v>
      </c>
      <c r="AB58" s="1386">
        <f t="shared" si="15"/>
        <v>1802.1064965562443</v>
      </c>
      <c r="AC58" s="1385">
        <f t="shared" si="15"/>
        <v>2010.7882048895776</v>
      </c>
      <c r="AD58" s="1385">
        <f t="shared" si="15"/>
        <v>2219.4699132229111</v>
      </c>
      <c r="AE58" s="1385">
        <f t="shared" si="15"/>
        <v>2428.1516215562447</v>
      </c>
      <c r="AF58" s="1384">
        <f t="shared" si="15"/>
        <v>8460.5162362249775</v>
      </c>
      <c r="AG58" s="1386">
        <f t="shared" si="15"/>
        <v>2613.2499965562447</v>
      </c>
      <c r="AH58" s="1385">
        <f t="shared" si="15"/>
        <v>2801.0983715562447</v>
      </c>
      <c r="AI58" s="1385">
        <f t="shared" si="15"/>
        <v>2988.9467465562448</v>
      </c>
      <c r="AJ58" s="1385">
        <f t="shared" si="15"/>
        <v>3176.7951215562448</v>
      </c>
      <c r="AK58" s="1384">
        <f t="shared" si="15"/>
        <v>11580.090236224978</v>
      </c>
    </row>
    <row r="59" spans="1:37" s="486" customFormat="1" ht="12.75" customHeight="1" outlineLevel="1">
      <c r="A59" s="603"/>
      <c r="B59" s="898" t="s">
        <v>31</v>
      </c>
      <c r="C59" s="1324"/>
      <c r="D59" s="1325"/>
      <c r="E59" s="1325"/>
      <c r="F59" s="1325"/>
      <c r="G59" s="1326"/>
      <c r="H59" s="1327"/>
      <c r="I59" s="1328"/>
      <c r="J59" s="1328"/>
      <c r="K59" s="1328"/>
      <c r="L59" s="1326"/>
      <c r="M59" s="1196">
        <f t="shared" ref="M59:AK59" si="16">M58/H58-1</f>
        <v>1.9801980198019802</v>
      </c>
      <c r="N59" s="1197">
        <f t="shared" si="16"/>
        <v>5.1155115511551159</v>
      </c>
      <c r="O59" s="1197">
        <f t="shared" si="16"/>
        <v>9.5370163652637956</v>
      </c>
      <c r="P59" s="1197">
        <f t="shared" si="16"/>
        <v>13.398432206847954</v>
      </c>
      <c r="Q59" s="1075">
        <f t="shared" si="16"/>
        <v>7.5077895357672109</v>
      </c>
      <c r="R59" s="1197">
        <f t="shared" si="16"/>
        <v>4.0988670638703537</v>
      </c>
      <c r="S59" s="1197">
        <f t="shared" si="16"/>
        <v>2.1214325195223576</v>
      </c>
      <c r="T59" s="1197">
        <f t="shared" si="16"/>
        <v>0.8715084699093647</v>
      </c>
      <c r="U59" s="1331">
        <f t="shared" si="16"/>
        <v>0.91494433818545473</v>
      </c>
      <c r="V59" s="1075">
        <f t="shared" si="16"/>
        <v>1.3971297544953054</v>
      </c>
      <c r="W59" s="1332">
        <f t="shared" si="16"/>
        <v>1.9827823308499077</v>
      </c>
      <c r="X59" s="1331">
        <f t="shared" si="16"/>
        <v>1.7857358541884123</v>
      </c>
      <c r="Y59" s="1331">
        <f t="shared" si="16"/>
        <v>1.9483417830740861</v>
      </c>
      <c r="Z59" s="1331">
        <f t="shared" si="16"/>
        <v>1.2887524690813561</v>
      </c>
      <c r="AA59" s="1075">
        <f t="shared" si="16"/>
        <v>1.6937729193560975</v>
      </c>
      <c r="AB59" s="1332">
        <f t="shared" si="16"/>
        <v>0.57463063635861333</v>
      </c>
      <c r="AC59" s="1331">
        <f t="shared" si="16"/>
        <v>0.49753944778783232</v>
      </c>
      <c r="AD59" s="1331">
        <f t="shared" si="16"/>
        <v>0.51182179158538754</v>
      </c>
      <c r="AE59" s="1331">
        <f t="shared" si="16"/>
        <v>0.52385706529912479</v>
      </c>
      <c r="AF59" s="1075">
        <f t="shared" si="16"/>
        <v>0.524776627723192</v>
      </c>
      <c r="AG59" s="1332">
        <f t="shared" si="16"/>
        <v>0.45010852663261813</v>
      </c>
      <c r="AH59" s="1331">
        <f t="shared" si="16"/>
        <v>0.39303501221306747</v>
      </c>
      <c r="AI59" s="1331">
        <f t="shared" si="16"/>
        <v>0.34669396901892213</v>
      </c>
      <c r="AJ59" s="1331">
        <f t="shared" si="16"/>
        <v>0.30831826701175347</v>
      </c>
      <c r="AK59" s="1075">
        <f t="shared" si="16"/>
        <v>0.36872147194081051</v>
      </c>
    </row>
    <row r="60" spans="1:37" s="486" customFormat="1" ht="12.75" customHeight="1" outlineLevel="1">
      <c r="A60" s="603"/>
      <c r="B60" s="1323"/>
      <c r="C60" s="1324"/>
      <c r="D60" s="1325"/>
      <c r="E60" s="1325"/>
      <c r="F60" s="1325"/>
      <c r="G60" s="1326"/>
      <c r="H60" s="1327"/>
      <c r="I60" s="1328"/>
      <c r="J60" s="1328"/>
      <c r="K60" s="1328"/>
      <c r="L60" s="1326"/>
      <c r="M60" s="1327"/>
      <c r="N60" s="1328"/>
      <c r="O60" s="1328"/>
      <c r="P60" s="1328"/>
      <c r="Q60" s="1326"/>
      <c r="R60" s="1328"/>
      <c r="S60" s="1329"/>
      <c r="T60" s="1329"/>
      <c r="U60" s="1329"/>
      <c r="V60" s="1326"/>
      <c r="W60" s="1330"/>
      <c r="X60" s="1329"/>
      <c r="Y60" s="1329"/>
      <c r="Z60" s="1329"/>
      <c r="AA60" s="1326"/>
      <c r="AB60" s="1330"/>
      <c r="AC60" s="1329"/>
      <c r="AD60" s="1329"/>
      <c r="AE60" s="1329"/>
      <c r="AF60" s="1326"/>
      <c r="AG60" s="1330"/>
      <c r="AH60" s="1329"/>
      <c r="AI60" s="1329"/>
      <c r="AJ60" s="1329"/>
      <c r="AK60" s="1326"/>
    </row>
    <row r="61" spans="1:37" s="1374" customFormat="1" ht="12.75" customHeight="1" outlineLevel="1">
      <c r="A61" s="642"/>
      <c r="B61" s="1367" t="s">
        <v>657</v>
      </c>
      <c r="C61" s="1368"/>
      <c r="D61" s="1369"/>
      <c r="E61" s="1369"/>
      <c r="F61" s="1369"/>
      <c r="G61" s="1370">
        <v>11</v>
      </c>
      <c r="H61" s="1371">
        <v>2.75</v>
      </c>
      <c r="I61" s="1372">
        <f t="shared" ref="I61:K62" si="17">H61</f>
        <v>2.75</v>
      </c>
      <c r="J61" s="1372">
        <f t="shared" si="17"/>
        <v>2.75</v>
      </c>
      <c r="K61" s="1372">
        <f t="shared" si="17"/>
        <v>2.75</v>
      </c>
      <c r="L61" s="1387">
        <f>SUM(H61:K61)</f>
        <v>11</v>
      </c>
      <c r="M61" s="1388">
        <f>K61</f>
        <v>2.75</v>
      </c>
      <c r="N61" s="1389">
        <f t="shared" ref="N61:P62" si="18">M61</f>
        <v>2.75</v>
      </c>
      <c r="O61" s="1389">
        <f t="shared" si="18"/>
        <v>2.75</v>
      </c>
      <c r="P61" s="1389">
        <f t="shared" si="18"/>
        <v>2.75</v>
      </c>
      <c r="Q61" s="1387">
        <f t="shared" ref="Q61:Q66" si="19">SUM(M61:P61)</f>
        <v>11</v>
      </c>
      <c r="R61" s="1388">
        <f>P61</f>
        <v>2.75</v>
      </c>
      <c r="S61" s="1389">
        <f t="shared" ref="R61:U69" si="20">R61</f>
        <v>2.75</v>
      </c>
      <c r="T61" s="1389">
        <f t="shared" si="20"/>
        <v>2.75</v>
      </c>
      <c r="U61" s="1389">
        <f t="shared" si="20"/>
        <v>2.75</v>
      </c>
      <c r="V61" s="1387">
        <f t="shared" ref="V61:V70" si="21">SUM(R61:U61)</f>
        <v>11</v>
      </c>
      <c r="W61" s="1388">
        <f t="shared" ref="W61:W69" si="22">U61</f>
        <v>2.75</v>
      </c>
      <c r="X61" s="1389">
        <f t="shared" ref="W61:Z73" si="23">W61</f>
        <v>2.75</v>
      </c>
      <c r="Y61" s="1389">
        <f t="shared" si="23"/>
        <v>2.75</v>
      </c>
      <c r="Z61" s="1389">
        <f t="shared" si="23"/>
        <v>2.75</v>
      </c>
      <c r="AA61" s="1387">
        <f t="shared" ref="AA61:AA74" si="24">SUM(W61:Z61)</f>
        <v>11</v>
      </c>
      <c r="AB61" s="1388">
        <f t="shared" ref="AB61:AB70" si="25">Z61</f>
        <v>2.75</v>
      </c>
      <c r="AC61" s="1389">
        <f t="shared" ref="AC61:AE62" si="26">AB61</f>
        <v>2.75</v>
      </c>
      <c r="AD61" s="1389">
        <f t="shared" si="26"/>
        <v>2.75</v>
      </c>
      <c r="AE61" s="1389">
        <f t="shared" si="26"/>
        <v>2.75</v>
      </c>
      <c r="AF61" s="1387">
        <f t="shared" ref="AF61:AF78" si="27">SUM(AB61:AE61)</f>
        <v>11</v>
      </c>
      <c r="AG61" s="1388"/>
      <c r="AH61" s="1389"/>
      <c r="AI61" s="1389"/>
      <c r="AJ61" s="1372"/>
      <c r="AK61" s="1387"/>
    </row>
    <row r="62" spans="1:37" s="1374" customFormat="1" ht="12.75" customHeight="1" outlineLevel="1">
      <c r="A62" s="642"/>
      <c r="B62" s="1367" t="s">
        <v>658</v>
      </c>
      <c r="C62" s="1368"/>
      <c r="D62" s="1369"/>
      <c r="E62" s="1369"/>
      <c r="F62" s="1369"/>
      <c r="G62" s="1370"/>
      <c r="H62" s="1371">
        <f>+(101-11)/4</f>
        <v>22.5</v>
      </c>
      <c r="I62" s="1372">
        <f t="shared" si="17"/>
        <v>22.5</v>
      </c>
      <c r="J62" s="1372">
        <f t="shared" si="17"/>
        <v>22.5</v>
      </c>
      <c r="K62" s="1372">
        <f t="shared" si="17"/>
        <v>22.5</v>
      </c>
      <c r="L62" s="1387">
        <f>SUM(H62:K62)</f>
        <v>90</v>
      </c>
      <c r="M62" s="1388">
        <f>K62</f>
        <v>22.5</v>
      </c>
      <c r="N62" s="1389">
        <f t="shared" si="18"/>
        <v>22.5</v>
      </c>
      <c r="O62" s="1389">
        <f t="shared" si="18"/>
        <v>22.5</v>
      </c>
      <c r="P62" s="1389">
        <f t="shared" si="18"/>
        <v>22.5</v>
      </c>
      <c r="Q62" s="1387">
        <f t="shared" si="19"/>
        <v>90</v>
      </c>
      <c r="R62" s="1388">
        <f>P62</f>
        <v>22.5</v>
      </c>
      <c r="S62" s="1389">
        <f t="shared" si="20"/>
        <v>22.5</v>
      </c>
      <c r="T62" s="1389">
        <f t="shared" si="20"/>
        <v>22.5</v>
      </c>
      <c r="U62" s="1389">
        <f t="shared" si="20"/>
        <v>22.5</v>
      </c>
      <c r="V62" s="1387">
        <f t="shared" si="21"/>
        <v>90</v>
      </c>
      <c r="W62" s="1388">
        <f t="shared" si="22"/>
        <v>22.5</v>
      </c>
      <c r="X62" s="1389">
        <f t="shared" si="23"/>
        <v>22.5</v>
      </c>
      <c r="Y62" s="1389">
        <f t="shared" si="23"/>
        <v>22.5</v>
      </c>
      <c r="Z62" s="1389">
        <f t="shared" si="23"/>
        <v>22.5</v>
      </c>
      <c r="AA62" s="1387">
        <f t="shared" si="24"/>
        <v>90</v>
      </c>
      <c r="AB62" s="1388">
        <f t="shared" si="25"/>
        <v>22.5</v>
      </c>
      <c r="AC62" s="1389">
        <f t="shared" si="26"/>
        <v>22.5</v>
      </c>
      <c r="AD62" s="1389">
        <f t="shared" si="26"/>
        <v>22.5</v>
      </c>
      <c r="AE62" s="1389">
        <f t="shared" si="26"/>
        <v>22.5</v>
      </c>
      <c r="AF62" s="1387">
        <f t="shared" si="27"/>
        <v>90</v>
      </c>
      <c r="AG62" s="1388">
        <f t="shared" ref="AG62:AG72" si="28">AE62</f>
        <v>22.5</v>
      </c>
      <c r="AH62" s="1389">
        <f t="shared" ref="AH62:AJ73" si="29">AG62</f>
        <v>22.5</v>
      </c>
      <c r="AI62" s="1389">
        <f t="shared" si="29"/>
        <v>22.5</v>
      </c>
      <c r="AJ62" s="1389">
        <f t="shared" si="29"/>
        <v>22.5</v>
      </c>
      <c r="AK62" s="1387">
        <f t="shared" ref="AK62:AK82" si="30">SUM(AG62:AJ62)</f>
        <v>90</v>
      </c>
    </row>
    <row r="63" spans="1:37" s="1374" customFormat="1" ht="12.75" customHeight="1" outlineLevel="1">
      <c r="A63" s="642"/>
      <c r="B63" s="1367" t="s">
        <v>659</v>
      </c>
      <c r="C63" s="1368"/>
      <c r="D63" s="1369"/>
      <c r="E63" s="1369"/>
      <c r="F63" s="1369"/>
      <c r="G63" s="1370"/>
      <c r="H63" s="1371"/>
      <c r="I63" s="1372"/>
      <c r="J63" s="1372"/>
      <c r="K63" s="1364"/>
      <c r="L63" s="1365"/>
      <c r="M63" s="1371">
        <f>M$18/(4*6)</f>
        <v>50</v>
      </c>
      <c r="N63" s="1388">
        <f>M63</f>
        <v>50</v>
      </c>
      <c r="O63" s="1388">
        <f>N63</f>
        <v>50</v>
      </c>
      <c r="P63" s="1388">
        <f>O63</f>
        <v>50</v>
      </c>
      <c r="Q63" s="1387">
        <f>SUM(M63:P63)</f>
        <v>200</v>
      </c>
      <c r="R63" s="1388">
        <f>P63</f>
        <v>50</v>
      </c>
      <c r="S63" s="1389">
        <f t="shared" si="20"/>
        <v>50</v>
      </c>
      <c r="T63" s="1389">
        <f t="shared" si="20"/>
        <v>50</v>
      </c>
      <c r="U63" s="1389">
        <f t="shared" si="20"/>
        <v>50</v>
      </c>
      <c r="V63" s="1387">
        <f t="shared" si="21"/>
        <v>200</v>
      </c>
      <c r="W63" s="1388">
        <f t="shared" si="22"/>
        <v>50</v>
      </c>
      <c r="X63" s="1389">
        <f t="shared" si="23"/>
        <v>50</v>
      </c>
      <c r="Y63" s="1389">
        <f t="shared" si="23"/>
        <v>50</v>
      </c>
      <c r="Z63" s="1389">
        <f t="shared" si="23"/>
        <v>50</v>
      </c>
      <c r="AA63" s="1387">
        <f t="shared" si="24"/>
        <v>200</v>
      </c>
      <c r="AB63" s="1388">
        <f t="shared" si="25"/>
        <v>50</v>
      </c>
      <c r="AC63" s="1389">
        <f t="shared" ref="AC63:AE69" si="31">AB63</f>
        <v>50</v>
      </c>
      <c r="AD63" s="1389">
        <f t="shared" si="31"/>
        <v>50</v>
      </c>
      <c r="AE63" s="1389">
        <f t="shared" si="31"/>
        <v>50</v>
      </c>
      <c r="AF63" s="1387">
        <f t="shared" si="27"/>
        <v>200</v>
      </c>
      <c r="AG63" s="1388">
        <f t="shared" si="28"/>
        <v>50</v>
      </c>
      <c r="AH63" s="1389">
        <f t="shared" si="29"/>
        <v>50</v>
      </c>
      <c r="AI63" s="1389">
        <f t="shared" si="29"/>
        <v>50</v>
      </c>
      <c r="AJ63" s="1389">
        <f t="shared" si="29"/>
        <v>50</v>
      </c>
      <c r="AK63" s="1387">
        <f t="shared" si="30"/>
        <v>200</v>
      </c>
    </row>
    <row r="64" spans="1:37" s="1374" customFormat="1" ht="12.75" customHeight="1" outlineLevel="1">
      <c r="A64" s="642"/>
      <c r="B64" s="1367" t="s">
        <v>660</v>
      </c>
      <c r="C64" s="1368"/>
      <c r="D64" s="1369"/>
      <c r="E64" s="1369"/>
      <c r="F64" s="1369"/>
      <c r="G64" s="1370"/>
      <c r="H64" s="1371"/>
      <c r="I64" s="1372"/>
      <c r="J64" s="1372"/>
      <c r="K64" s="1364"/>
      <c r="L64" s="1365"/>
      <c r="M64" s="1366"/>
      <c r="N64" s="1371">
        <f>N$18/(4*6)</f>
        <v>79.166666666666671</v>
      </c>
      <c r="O64" s="1388">
        <f>N64</f>
        <v>79.166666666666671</v>
      </c>
      <c r="P64" s="1388">
        <f>O64</f>
        <v>79.166666666666671</v>
      </c>
      <c r="Q64" s="1387">
        <f t="shared" si="19"/>
        <v>237.5</v>
      </c>
      <c r="R64" s="1388">
        <f>P64</f>
        <v>79.166666666666671</v>
      </c>
      <c r="S64" s="1389">
        <f t="shared" si="20"/>
        <v>79.166666666666671</v>
      </c>
      <c r="T64" s="1389">
        <f t="shared" si="20"/>
        <v>79.166666666666671</v>
      </c>
      <c r="U64" s="1389">
        <f t="shared" si="20"/>
        <v>79.166666666666671</v>
      </c>
      <c r="V64" s="1387">
        <f t="shared" si="21"/>
        <v>316.66666666666669</v>
      </c>
      <c r="W64" s="1388">
        <f t="shared" si="22"/>
        <v>79.166666666666671</v>
      </c>
      <c r="X64" s="1389">
        <f t="shared" si="23"/>
        <v>79.166666666666671</v>
      </c>
      <c r="Y64" s="1389">
        <f t="shared" si="23"/>
        <v>79.166666666666671</v>
      </c>
      <c r="Z64" s="1389">
        <f t="shared" si="23"/>
        <v>79.166666666666671</v>
      </c>
      <c r="AA64" s="1387">
        <f t="shared" si="24"/>
        <v>316.66666666666669</v>
      </c>
      <c r="AB64" s="1388">
        <f t="shared" si="25"/>
        <v>79.166666666666671</v>
      </c>
      <c r="AC64" s="1389">
        <f t="shared" si="31"/>
        <v>79.166666666666671</v>
      </c>
      <c r="AD64" s="1389">
        <f t="shared" si="31"/>
        <v>79.166666666666671</v>
      </c>
      <c r="AE64" s="1389">
        <f t="shared" si="31"/>
        <v>79.166666666666671</v>
      </c>
      <c r="AF64" s="1387">
        <f t="shared" si="27"/>
        <v>316.66666666666669</v>
      </c>
      <c r="AG64" s="1388">
        <f t="shared" si="28"/>
        <v>79.166666666666671</v>
      </c>
      <c r="AH64" s="1389">
        <f t="shared" si="29"/>
        <v>79.166666666666671</v>
      </c>
      <c r="AI64" s="1389">
        <f t="shared" si="29"/>
        <v>79.166666666666671</v>
      </c>
      <c r="AJ64" s="1389">
        <f t="shared" si="29"/>
        <v>79.166666666666671</v>
      </c>
      <c r="AK64" s="1387">
        <f t="shared" si="30"/>
        <v>316.66666666666669</v>
      </c>
    </row>
    <row r="65" spans="1:37" s="1374" customFormat="1" ht="12.75" customHeight="1" outlineLevel="1">
      <c r="A65" s="642"/>
      <c r="B65" s="1367" t="s">
        <v>661</v>
      </c>
      <c r="C65" s="1368"/>
      <c r="D65" s="1369"/>
      <c r="E65" s="1369"/>
      <c r="F65" s="1369"/>
      <c r="G65" s="1370"/>
      <c r="H65" s="1371"/>
      <c r="I65" s="1372"/>
      <c r="J65" s="1372"/>
      <c r="K65" s="1364"/>
      <c r="L65" s="1365"/>
      <c r="M65" s="1366"/>
      <c r="N65" s="1364"/>
      <c r="O65" s="1371">
        <f>O$18/(4*6)</f>
        <v>111.64299655624416</v>
      </c>
      <c r="P65" s="1388">
        <f>O65</f>
        <v>111.64299655624416</v>
      </c>
      <c r="Q65" s="1387">
        <f t="shared" si="19"/>
        <v>223.28599311248831</v>
      </c>
      <c r="R65" s="1388">
        <f>P65</f>
        <v>111.64299655624416</v>
      </c>
      <c r="S65" s="1389">
        <f t="shared" si="20"/>
        <v>111.64299655624416</v>
      </c>
      <c r="T65" s="1389">
        <f t="shared" si="20"/>
        <v>111.64299655624416</v>
      </c>
      <c r="U65" s="1389">
        <f t="shared" si="20"/>
        <v>111.64299655624416</v>
      </c>
      <c r="V65" s="1387">
        <f t="shared" si="21"/>
        <v>446.57198622497663</v>
      </c>
      <c r="W65" s="1388">
        <f t="shared" si="22"/>
        <v>111.64299655624416</v>
      </c>
      <c r="X65" s="1389">
        <f t="shared" si="23"/>
        <v>111.64299655624416</v>
      </c>
      <c r="Y65" s="1389">
        <f t="shared" si="23"/>
        <v>111.64299655624416</v>
      </c>
      <c r="Z65" s="1389">
        <f t="shared" si="23"/>
        <v>111.64299655624416</v>
      </c>
      <c r="AA65" s="1387">
        <f t="shared" si="24"/>
        <v>446.57198622497663</v>
      </c>
      <c r="AB65" s="1388">
        <f t="shared" si="25"/>
        <v>111.64299655624416</v>
      </c>
      <c r="AC65" s="1389">
        <f t="shared" si="31"/>
        <v>111.64299655624416</v>
      </c>
      <c r="AD65" s="1389">
        <f t="shared" si="31"/>
        <v>111.64299655624416</v>
      </c>
      <c r="AE65" s="1389">
        <f t="shared" si="31"/>
        <v>111.64299655624416</v>
      </c>
      <c r="AF65" s="1387">
        <f t="shared" si="27"/>
        <v>446.57198622497663</v>
      </c>
      <c r="AG65" s="1388">
        <f t="shared" si="28"/>
        <v>111.64299655624416</v>
      </c>
      <c r="AH65" s="1389">
        <f t="shared" si="29"/>
        <v>111.64299655624416</v>
      </c>
      <c r="AI65" s="1389">
        <f t="shared" si="29"/>
        <v>111.64299655624416</v>
      </c>
      <c r="AJ65" s="1389">
        <f t="shared" si="29"/>
        <v>111.64299655624416</v>
      </c>
      <c r="AK65" s="1387">
        <f t="shared" si="30"/>
        <v>446.57198622497663</v>
      </c>
    </row>
    <row r="66" spans="1:37" s="1374" customFormat="1" ht="12.75" customHeight="1" outlineLevel="1">
      <c r="A66" s="642"/>
      <c r="B66" s="1367" t="s">
        <v>662</v>
      </c>
      <c r="C66" s="1368"/>
      <c r="D66" s="1369"/>
      <c r="E66" s="1369"/>
      <c r="F66" s="1369"/>
      <c r="G66" s="1370"/>
      <c r="H66" s="1371"/>
      <c r="I66" s="1372"/>
      <c r="J66" s="1372"/>
      <c r="K66" s="1364"/>
      <c r="L66" s="1365"/>
      <c r="M66" s="1366"/>
      <c r="N66" s="1364"/>
      <c r="O66" s="1364"/>
      <c r="P66" s="1371">
        <f>P$18/(4*6)</f>
        <v>97.500749999999996</v>
      </c>
      <c r="Q66" s="1387">
        <f t="shared" si="19"/>
        <v>97.500749999999996</v>
      </c>
      <c r="R66" s="1389">
        <f t="shared" si="20"/>
        <v>97.500749999999996</v>
      </c>
      <c r="S66" s="1389">
        <f t="shared" si="20"/>
        <v>97.500749999999996</v>
      </c>
      <c r="T66" s="1389">
        <f t="shared" si="20"/>
        <v>97.500749999999996</v>
      </c>
      <c r="U66" s="1389">
        <f t="shared" si="20"/>
        <v>97.500749999999996</v>
      </c>
      <c r="V66" s="1387">
        <f t="shared" si="21"/>
        <v>390.00299999999999</v>
      </c>
      <c r="W66" s="1388">
        <f t="shared" si="22"/>
        <v>97.500749999999996</v>
      </c>
      <c r="X66" s="1389">
        <f t="shared" si="23"/>
        <v>97.500749999999996</v>
      </c>
      <c r="Y66" s="1389">
        <f t="shared" si="23"/>
        <v>97.500749999999996</v>
      </c>
      <c r="Z66" s="1389">
        <f t="shared" si="23"/>
        <v>97.500749999999996</v>
      </c>
      <c r="AA66" s="1387">
        <f t="shared" si="24"/>
        <v>390.00299999999999</v>
      </c>
      <c r="AB66" s="1388">
        <f t="shared" si="25"/>
        <v>97.500749999999996</v>
      </c>
      <c r="AC66" s="1389">
        <f t="shared" si="31"/>
        <v>97.500749999999996</v>
      </c>
      <c r="AD66" s="1389">
        <f t="shared" si="31"/>
        <v>97.500749999999996</v>
      </c>
      <c r="AE66" s="1389">
        <f t="shared" si="31"/>
        <v>97.500749999999996</v>
      </c>
      <c r="AF66" s="1387">
        <f t="shared" si="27"/>
        <v>390.00299999999999</v>
      </c>
      <c r="AG66" s="1388">
        <f t="shared" si="28"/>
        <v>97.500749999999996</v>
      </c>
      <c r="AH66" s="1389">
        <f t="shared" si="29"/>
        <v>97.500749999999996</v>
      </c>
      <c r="AI66" s="1389">
        <f t="shared" si="29"/>
        <v>97.500749999999996</v>
      </c>
      <c r="AJ66" s="1389">
        <f t="shared" si="29"/>
        <v>97.500749999999996</v>
      </c>
      <c r="AK66" s="1387">
        <f t="shared" si="30"/>
        <v>390.00299999999999</v>
      </c>
    </row>
    <row r="67" spans="1:37" s="1374" customFormat="1" ht="12.75" customHeight="1" outlineLevel="1">
      <c r="A67" s="642"/>
      <c r="B67" s="1367" t="s">
        <v>663</v>
      </c>
      <c r="C67" s="1368"/>
      <c r="D67" s="1369"/>
      <c r="E67" s="1369"/>
      <c r="F67" s="1369"/>
      <c r="G67" s="1370"/>
      <c r="H67" s="1371"/>
      <c r="I67" s="1372"/>
      <c r="J67" s="1372"/>
      <c r="K67" s="1364"/>
      <c r="L67" s="1365"/>
      <c r="M67" s="1366"/>
      <c r="N67" s="1364"/>
      <c r="O67" s="1364"/>
      <c r="P67" s="1364"/>
      <c r="Q67" s="1365"/>
      <c r="R67" s="1371">
        <f>R$18/(4*6)</f>
        <v>20.129333333333332</v>
      </c>
      <c r="S67" s="1389">
        <f t="shared" si="20"/>
        <v>20.129333333333332</v>
      </c>
      <c r="T67" s="1389">
        <f t="shared" si="20"/>
        <v>20.129333333333332</v>
      </c>
      <c r="U67" s="1389">
        <f t="shared" si="20"/>
        <v>20.129333333333332</v>
      </c>
      <c r="V67" s="1387">
        <f t="shared" si="21"/>
        <v>80.517333333333326</v>
      </c>
      <c r="W67" s="1388">
        <f t="shared" si="22"/>
        <v>20.129333333333332</v>
      </c>
      <c r="X67" s="1389">
        <f t="shared" si="23"/>
        <v>20.129333333333332</v>
      </c>
      <c r="Y67" s="1389">
        <f t="shared" si="23"/>
        <v>20.129333333333332</v>
      </c>
      <c r="Z67" s="1389">
        <f t="shared" si="23"/>
        <v>20.129333333333332</v>
      </c>
      <c r="AA67" s="1387">
        <f t="shared" si="24"/>
        <v>80.517333333333326</v>
      </c>
      <c r="AB67" s="1388">
        <f t="shared" si="25"/>
        <v>20.129333333333332</v>
      </c>
      <c r="AC67" s="1389">
        <f t="shared" si="31"/>
        <v>20.129333333333332</v>
      </c>
      <c r="AD67" s="1389">
        <f t="shared" si="31"/>
        <v>20.129333333333332</v>
      </c>
      <c r="AE67" s="1389">
        <f t="shared" si="31"/>
        <v>20.129333333333332</v>
      </c>
      <c r="AF67" s="1387">
        <f t="shared" si="27"/>
        <v>80.517333333333326</v>
      </c>
      <c r="AG67" s="1388">
        <f t="shared" si="28"/>
        <v>20.129333333333332</v>
      </c>
      <c r="AH67" s="1389">
        <f t="shared" si="29"/>
        <v>20.129333333333332</v>
      </c>
      <c r="AI67" s="1389">
        <f t="shared" si="29"/>
        <v>20.129333333333332</v>
      </c>
      <c r="AJ67" s="1389">
        <f t="shared" si="29"/>
        <v>20.129333333333332</v>
      </c>
      <c r="AK67" s="1387">
        <f t="shared" si="30"/>
        <v>80.517333333333326</v>
      </c>
    </row>
    <row r="68" spans="1:37" s="1374" customFormat="1" ht="12.75" customHeight="1" outlineLevel="1">
      <c r="A68" s="642"/>
      <c r="B68" s="1367" t="s">
        <v>664</v>
      </c>
      <c r="C68" s="1368"/>
      <c r="D68" s="1369"/>
      <c r="E68" s="1369"/>
      <c r="F68" s="1369"/>
      <c r="G68" s="1370"/>
      <c r="H68" s="1371"/>
      <c r="I68" s="1372"/>
      <c r="J68" s="1372"/>
      <c r="K68" s="1364"/>
      <c r="L68" s="1365"/>
      <c r="M68" s="1366"/>
      <c r="N68" s="1364"/>
      <c r="O68" s="1364"/>
      <c r="P68" s="1364"/>
      <c r="Q68" s="1365"/>
      <c r="R68" s="1364"/>
      <c r="S68" s="1371">
        <f>S$18/(4*6)</f>
        <v>98.311458333333306</v>
      </c>
      <c r="T68" s="1389">
        <f t="shared" si="20"/>
        <v>98.311458333333306</v>
      </c>
      <c r="U68" s="1389">
        <f t="shared" si="20"/>
        <v>98.311458333333306</v>
      </c>
      <c r="V68" s="1387">
        <f t="shared" si="21"/>
        <v>294.93437499999993</v>
      </c>
      <c r="W68" s="1388">
        <f t="shared" si="22"/>
        <v>98.311458333333306</v>
      </c>
      <c r="X68" s="1389">
        <f t="shared" si="23"/>
        <v>98.311458333333306</v>
      </c>
      <c r="Y68" s="1389">
        <f t="shared" si="23"/>
        <v>98.311458333333306</v>
      </c>
      <c r="Z68" s="1389">
        <f t="shared" si="23"/>
        <v>98.311458333333306</v>
      </c>
      <c r="AA68" s="1387">
        <f t="shared" si="24"/>
        <v>393.24583333333322</v>
      </c>
      <c r="AB68" s="1388">
        <f t="shared" si="25"/>
        <v>98.311458333333306</v>
      </c>
      <c r="AC68" s="1389">
        <f t="shared" si="31"/>
        <v>98.311458333333306</v>
      </c>
      <c r="AD68" s="1389">
        <f t="shared" si="31"/>
        <v>98.311458333333306</v>
      </c>
      <c r="AE68" s="1389">
        <f t="shared" si="31"/>
        <v>98.311458333333306</v>
      </c>
      <c r="AF68" s="1387">
        <f t="shared" si="27"/>
        <v>393.24583333333322</v>
      </c>
      <c r="AG68" s="1388">
        <f t="shared" si="28"/>
        <v>98.311458333333306</v>
      </c>
      <c r="AH68" s="1389">
        <f t="shared" si="29"/>
        <v>98.311458333333306</v>
      </c>
      <c r="AI68" s="1389">
        <f t="shared" si="29"/>
        <v>98.311458333333306</v>
      </c>
      <c r="AJ68" s="1389">
        <f t="shared" si="29"/>
        <v>98.311458333333306</v>
      </c>
      <c r="AK68" s="1387">
        <f t="shared" si="30"/>
        <v>393.24583333333322</v>
      </c>
    </row>
    <row r="69" spans="1:37" s="1374" customFormat="1" ht="12.75" customHeight="1" outlineLevel="1">
      <c r="A69" s="642"/>
      <c r="B69" s="1367" t="s">
        <v>665</v>
      </c>
      <c r="C69" s="1368"/>
      <c r="D69" s="1369"/>
      <c r="E69" s="1369"/>
      <c r="F69" s="1369"/>
      <c r="G69" s="1370"/>
      <c r="H69" s="1371"/>
      <c r="I69" s="1372"/>
      <c r="J69" s="1372"/>
      <c r="K69" s="1364"/>
      <c r="L69" s="1365"/>
      <c r="M69" s="1366"/>
      <c r="N69" s="1364"/>
      <c r="O69" s="1364"/>
      <c r="P69" s="1364"/>
      <c r="Q69" s="1365"/>
      <c r="R69" s="1364"/>
      <c r="S69" s="1369"/>
      <c r="T69" s="1371">
        <f>T$18/(4*6)</f>
        <v>15.931708333333356</v>
      </c>
      <c r="U69" s="1389">
        <f t="shared" si="20"/>
        <v>15.931708333333356</v>
      </c>
      <c r="V69" s="1387">
        <f t="shared" si="21"/>
        <v>31.863416666666712</v>
      </c>
      <c r="W69" s="1388">
        <f t="shared" si="22"/>
        <v>15.931708333333356</v>
      </c>
      <c r="X69" s="1389">
        <f t="shared" si="23"/>
        <v>15.931708333333356</v>
      </c>
      <c r="Y69" s="1389">
        <f t="shared" si="23"/>
        <v>15.931708333333356</v>
      </c>
      <c r="Z69" s="1389">
        <f t="shared" si="23"/>
        <v>15.931708333333356</v>
      </c>
      <c r="AA69" s="1387">
        <f t="shared" si="24"/>
        <v>63.726833333333424</v>
      </c>
      <c r="AB69" s="1388">
        <f t="shared" si="25"/>
        <v>15.931708333333356</v>
      </c>
      <c r="AC69" s="1389">
        <f t="shared" si="31"/>
        <v>15.931708333333356</v>
      </c>
      <c r="AD69" s="1389">
        <f t="shared" si="31"/>
        <v>15.931708333333356</v>
      </c>
      <c r="AE69" s="1389">
        <f t="shared" si="31"/>
        <v>15.931708333333356</v>
      </c>
      <c r="AF69" s="1387">
        <f t="shared" si="27"/>
        <v>63.726833333333424</v>
      </c>
      <c r="AG69" s="1388">
        <f t="shared" si="28"/>
        <v>15.931708333333356</v>
      </c>
      <c r="AH69" s="1389">
        <f t="shared" si="29"/>
        <v>15.931708333333356</v>
      </c>
      <c r="AI69" s="1389">
        <f t="shared" si="29"/>
        <v>15.931708333333356</v>
      </c>
      <c r="AJ69" s="1389">
        <f t="shared" si="29"/>
        <v>15.931708333333356</v>
      </c>
      <c r="AK69" s="1387">
        <f t="shared" si="30"/>
        <v>63.726833333333424</v>
      </c>
    </row>
    <row r="70" spans="1:37" s="1374" customFormat="1" ht="12.75" customHeight="1" outlineLevel="1">
      <c r="A70" s="642"/>
      <c r="B70" s="1367" t="s">
        <v>666</v>
      </c>
      <c r="C70" s="1368"/>
      <c r="D70" s="1369"/>
      <c r="E70" s="1369"/>
      <c r="F70" s="1369"/>
      <c r="G70" s="1370"/>
      <c r="H70" s="1371"/>
      <c r="I70" s="1372"/>
      <c r="J70" s="1372"/>
      <c r="K70" s="1364"/>
      <c r="L70" s="1365"/>
      <c r="M70" s="1366"/>
      <c r="N70" s="1364"/>
      <c r="O70" s="1364"/>
      <c r="P70" s="1364"/>
      <c r="Q70" s="1365"/>
      <c r="R70" s="1364"/>
      <c r="S70" s="1369"/>
      <c r="T70" s="1369"/>
      <c r="U70" s="1371">
        <f>U$18/(4*6)</f>
        <v>198.26504166666669</v>
      </c>
      <c r="V70" s="1387">
        <f t="shared" si="21"/>
        <v>198.26504166666669</v>
      </c>
      <c r="W70" s="1389">
        <f t="shared" si="23"/>
        <v>198.26504166666669</v>
      </c>
      <c r="X70" s="1389">
        <f t="shared" si="23"/>
        <v>198.26504166666669</v>
      </c>
      <c r="Y70" s="1389">
        <f t="shared" si="23"/>
        <v>198.26504166666669</v>
      </c>
      <c r="Z70" s="1389">
        <f t="shared" si="23"/>
        <v>198.26504166666669</v>
      </c>
      <c r="AA70" s="1387">
        <f t="shared" si="24"/>
        <v>793.06016666666676</v>
      </c>
      <c r="AB70" s="1388">
        <f t="shared" si="25"/>
        <v>198.26504166666669</v>
      </c>
      <c r="AC70" s="1389">
        <f t="shared" ref="AB70:AE74" si="32">AB70</f>
        <v>198.26504166666669</v>
      </c>
      <c r="AD70" s="1389">
        <f t="shared" si="32"/>
        <v>198.26504166666669</v>
      </c>
      <c r="AE70" s="1389">
        <f t="shared" si="32"/>
        <v>198.26504166666669</v>
      </c>
      <c r="AF70" s="1387">
        <f t="shared" si="27"/>
        <v>793.06016666666676</v>
      </c>
      <c r="AG70" s="1388">
        <f t="shared" si="28"/>
        <v>198.26504166666669</v>
      </c>
      <c r="AH70" s="1389">
        <f t="shared" si="29"/>
        <v>198.26504166666669</v>
      </c>
      <c r="AI70" s="1389">
        <f t="shared" si="29"/>
        <v>198.26504166666669</v>
      </c>
      <c r="AJ70" s="1389">
        <f t="shared" si="29"/>
        <v>198.26504166666669</v>
      </c>
      <c r="AK70" s="1387">
        <f t="shared" si="30"/>
        <v>793.06016666666676</v>
      </c>
    </row>
    <row r="71" spans="1:37" s="1374" customFormat="1" ht="12.75" customHeight="1" outlineLevel="1">
      <c r="A71" s="642"/>
      <c r="B71" s="1367" t="s">
        <v>667</v>
      </c>
      <c r="C71" s="1368"/>
      <c r="D71" s="1369"/>
      <c r="E71" s="1369"/>
      <c r="F71" s="1369"/>
      <c r="G71" s="1370"/>
      <c r="H71" s="1371"/>
      <c r="I71" s="1372"/>
      <c r="J71" s="1372"/>
      <c r="K71" s="1364"/>
      <c r="L71" s="1365"/>
      <c r="M71" s="1366"/>
      <c r="N71" s="1364"/>
      <c r="O71" s="1364"/>
      <c r="P71" s="1364"/>
      <c r="Q71" s="1365"/>
      <c r="R71" s="1364"/>
      <c r="S71" s="1369"/>
      <c r="T71" s="1369"/>
      <c r="U71" s="1369"/>
      <c r="V71" s="1373"/>
      <c r="W71" s="1371">
        <f>W$18/(4*6)</f>
        <v>448.26504166666672</v>
      </c>
      <c r="X71" s="1389">
        <f t="shared" si="23"/>
        <v>448.26504166666672</v>
      </c>
      <c r="Y71" s="1389">
        <f t="shared" si="23"/>
        <v>448.26504166666672</v>
      </c>
      <c r="Z71" s="1389">
        <f t="shared" si="23"/>
        <v>448.26504166666672</v>
      </c>
      <c r="AA71" s="1387">
        <f t="shared" si="24"/>
        <v>1793.0601666666669</v>
      </c>
      <c r="AB71" s="1388">
        <f>Z71</f>
        <v>448.26504166666672</v>
      </c>
      <c r="AC71" s="1389">
        <f t="shared" si="32"/>
        <v>448.26504166666672</v>
      </c>
      <c r="AD71" s="1389">
        <f t="shared" si="32"/>
        <v>448.26504166666672</v>
      </c>
      <c r="AE71" s="1389">
        <f t="shared" si="32"/>
        <v>448.26504166666672</v>
      </c>
      <c r="AF71" s="1387">
        <f t="shared" si="27"/>
        <v>1793.0601666666669</v>
      </c>
      <c r="AG71" s="1388">
        <f t="shared" si="28"/>
        <v>448.26504166666672</v>
      </c>
      <c r="AH71" s="1389">
        <f t="shared" si="29"/>
        <v>448.26504166666672</v>
      </c>
      <c r="AI71" s="1389">
        <f t="shared" si="29"/>
        <v>448.26504166666672</v>
      </c>
      <c r="AJ71" s="1389">
        <f t="shared" si="29"/>
        <v>448.26504166666672</v>
      </c>
      <c r="AK71" s="1387">
        <f t="shared" si="30"/>
        <v>1793.0601666666669</v>
      </c>
    </row>
    <row r="72" spans="1:37" s="1374" customFormat="1" ht="12.75" customHeight="1" outlineLevel="1">
      <c r="A72" s="642"/>
      <c r="B72" s="1367" t="s">
        <v>668</v>
      </c>
      <c r="C72" s="1368"/>
      <c r="D72" s="1369"/>
      <c r="E72" s="1369"/>
      <c r="F72" s="1369"/>
      <c r="G72" s="1370"/>
      <c r="H72" s="1371"/>
      <c r="I72" s="1372"/>
      <c r="J72" s="1372"/>
      <c r="K72" s="1364"/>
      <c r="L72" s="1365"/>
      <c r="M72" s="1366"/>
      <c r="N72" s="1364"/>
      <c r="O72" s="1364"/>
      <c r="P72" s="1364"/>
      <c r="Q72" s="1365"/>
      <c r="R72" s="1364"/>
      <c r="S72" s="1369"/>
      <c r="T72" s="1369"/>
      <c r="U72" s="1369"/>
      <c r="V72" s="1373"/>
      <c r="W72" s="1368"/>
      <c r="X72" s="1371">
        <f>X$18/(4*6)</f>
        <v>198.26504166666669</v>
      </c>
      <c r="Y72" s="1389">
        <f t="shared" si="23"/>
        <v>198.26504166666669</v>
      </c>
      <c r="Z72" s="1389">
        <f t="shared" si="23"/>
        <v>198.26504166666669</v>
      </c>
      <c r="AA72" s="1387">
        <f t="shared" si="24"/>
        <v>594.7951250000001</v>
      </c>
      <c r="AB72" s="1388">
        <f>Z72</f>
        <v>198.26504166666669</v>
      </c>
      <c r="AC72" s="1389">
        <f t="shared" si="32"/>
        <v>198.26504166666669</v>
      </c>
      <c r="AD72" s="1389">
        <f t="shared" si="32"/>
        <v>198.26504166666669</v>
      </c>
      <c r="AE72" s="1389">
        <f t="shared" si="32"/>
        <v>198.26504166666669</v>
      </c>
      <c r="AF72" s="1387">
        <f t="shared" si="27"/>
        <v>793.06016666666676</v>
      </c>
      <c r="AG72" s="1388">
        <f t="shared" si="28"/>
        <v>198.26504166666669</v>
      </c>
      <c r="AH72" s="1389">
        <f t="shared" si="29"/>
        <v>198.26504166666669</v>
      </c>
      <c r="AI72" s="1389">
        <f t="shared" si="29"/>
        <v>198.26504166666669</v>
      </c>
      <c r="AJ72" s="1389">
        <f t="shared" si="29"/>
        <v>198.26504166666669</v>
      </c>
      <c r="AK72" s="1387">
        <f t="shared" si="30"/>
        <v>793.06016666666676</v>
      </c>
    </row>
    <row r="73" spans="1:37" s="1374" customFormat="1" ht="12.75" customHeight="1" outlineLevel="1">
      <c r="A73" s="642"/>
      <c r="B73" s="1367" t="s">
        <v>669</v>
      </c>
      <c r="C73" s="1368"/>
      <c r="D73" s="1369"/>
      <c r="E73" s="1369"/>
      <c r="F73" s="1369"/>
      <c r="G73" s="1370"/>
      <c r="H73" s="1371"/>
      <c r="I73" s="1372"/>
      <c r="J73" s="1372"/>
      <c r="K73" s="1364"/>
      <c r="L73" s="1365"/>
      <c r="M73" s="1366"/>
      <c r="N73" s="1364"/>
      <c r="O73" s="1364"/>
      <c r="P73" s="1364"/>
      <c r="Q73" s="1365"/>
      <c r="R73" s="1364"/>
      <c r="S73" s="1369"/>
      <c r="T73" s="1369"/>
      <c r="U73" s="1369"/>
      <c r="V73" s="1373"/>
      <c r="W73" s="1368"/>
      <c r="X73" s="1369"/>
      <c r="Y73" s="1371">
        <f>Y$18/(4*6)</f>
        <v>125.34837500000003</v>
      </c>
      <c r="Z73" s="1389">
        <f t="shared" si="23"/>
        <v>125.34837500000003</v>
      </c>
      <c r="AA73" s="1387">
        <f t="shared" si="24"/>
        <v>250.69675000000007</v>
      </c>
      <c r="AB73" s="1388">
        <f>Z73</f>
        <v>125.34837500000003</v>
      </c>
      <c r="AC73" s="1389">
        <f t="shared" si="32"/>
        <v>125.34837500000003</v>
      </c>
      <c r="AD73" s="1389">
        <f t="shared" si="32"/>
        <v>125.34837500000003</v>
      </c>
      <c r="AE73" s="1389">
        <f t="shared" si="32"/>
        <v>125.34837500000003</v>
      </c>
      <c r="AF73" s="1387">
        <f t="shared" si="27"/>
        <v>501.39350000000013</v>
      </c>
      <c r="AG73" s="1388">
        <f t="shared" ref="AG73:AG78" si="33">AE73</f>
        <v>125.34837500000003</v>
      </c>
      <c r="AH73" s="1389">
        <f t="shared" si="29"/>
        <v>125.34837500000003</v>
      </c>
      <c r="AI73" s="1389">
        <f t="shared" si="29"/>
        <v>125.34837500000003</v>
      </c>
      <c r="AJ73" s="1389">
        <f t="shared" si="29"/>
        <v>125.34837500000003</v>
      </c>
      <c r="AK73" s="1387">
        <f t="shared" si="30"/>
        <v>501.39350000000013</v>
      </c>
    </row>
    <row r="74" spans="1:37" s="1374" customFormat="1" ht="12.75" customHeight="1" outlineLevel="1">
      <c r="A74" s="642"/>
      <c r="B74" s="1367" t="s">
        <v>670</v>
      </c>
      <c r="C74" s="1368"/>
      <c r="D74" s="1369"/>
      <c r="E74" s="1369"/>
      <c r="F74" s="1369"/>
      <c r="G74" s="1370"/>
      <c r="H74" s="1371"/>
      <c r="I74" s="1372"/>
      <c r="J74" s="1372"/>
      <c r="K74" s="1364"/>
      <c r="L74" s="1365"/>
      <c r="M74" s="1366"/>
      <c r="N74" s="1364"/>
      <c r="O74" s="1364"/>
      <c r="P74" s="1364"/>
      <c r="Q74" s="1365"/>
      <c r="R74" s="1364"/>
      <c r="S74" s="1369"/>
      <c r="T74" s="1369"/>
      <c r="U74" s="1369"/>
      <c r="V74" s="1373"/>
      <c r="W74" s="1368"/>
      <c r="X74" s="1369"/>
      <c r="Y74" s="1369"/>
      <c r="Z74" s="1371">
        <f>Z$18/(4*6)</f>
        <v>125.34837500000003</v>
      </c>
      <c r="AA74" s="1387">
        <f t="shared" si="24"/>
        <v>125.34837500000003</v>
      </c>
      <c r="AB74" s="1389">
        <f t="shared" si="32"/>
        <v>125.34837500000003</v>
      </c>
      <c r="AC74" s="1389">
        <f t="shared" si="32"/>
        <v>125.34837500000003</v>
      </c>
      <c r="AD74" s="1389">
        <f t="shared" si="32"/>
        <v>125.34837500000003</v>
      </c>
      <c r="AE74" s="1389">
        <f t="shared" si="32"/>
        <v>125.34837500000003</v>
      </c>
      <c r="AF74" s="1387">
        <f t="shared" si="27"/>
        <v>501.39350000000013</v>
      </c>
      <c r="AG74" s="1388">
        <f t="shared" si="33"/>
        <v>125.34837500000003</v>
      </c>
      <c r="AH74" s="1389">
        <f t="shared" ref="AH74:AJ78" si="34">AG74</f>
        <v>125.34837500000003</v>
      </c>
      <c r="AI74" s="1389">
        <f t="shared" si="34"/>
        <v>125.34837500000003</v>
      </c>
      <c r="AJ74" s="1389">
        <f t="shared" si="34"/>
        <v>125.34837500000003</v>
      </c>
      <c r="AK74" s="1387">
        <f t="shared" si="30"/>
        <v>501.39350000000013</v>
      </c>
    </row>
    <row r="75" spans="1:37" s="1374" customFormat="1" ht="12.75" customHeight="1" outlineLevel="1">
      <c r="A75" s="642"/>
      <c r="B75" s="1367" t="s">
        <v>671</v>
      </c>
      <c r="C75" s="1368"/>
      <c r="D75" s="1369"/>
      <c r="E75" s="1369"/>
      <c r="F75" s="1369"/>
      <c r="G75" s="1370"/>
      <c r="H75" s="1371"/>
      <c r="I75" s="1372"/>
      <c r="J75" s="1372"/>
      <c r="K75" s="1364"/>
      <c r="L75" s="1365"/>
      <c r="M75" s="1366"/>
      <c r="N75" s="1364"/>
      <c r="O75" s="1364"/>
      <c r="P75" s="1364"/>
      <c r="Q75" s="1365"/>
      <c r="R75" s="1364"/>
      <c r="S75" s="1369"/>
      <c r="T75" s="1369"/>
      <c r="U75" s="1369"/>
      <c r="V75" s="1373"/>
      <c r="W75" s="1368"/>
      <c r="X75" s="1369"/>
      <c r="Y75" s="1369"/>
      <c r="Z75" s="1369"/>
      <c r="AA75" s="1373"/>
      <c r="AB75" s="1371">
        <f>AB$18/(4*6)</f>
        <v>208.68170833333338</v>
      </c>
      <c r="AC75" s="1389">
        <f>AB75</f>
        <v>208.68170833333338</v>
      </c>
      <c r="AD75" s="1389">
        <f>AC75</f>
        <v>208.68170833333338</v>
      </c>
      <c r="AE75" s="1389">
        <f>AD75</f>
        <v>208.68170833333338</v>
      </c>
      <c r="AF75" s="1387">
        <f t="shared" si="27"/>
        <v>834.7268333333335</v>
      </c>
      <c r="AG75" s="1388">
        <f t="shared" si="33"/>
        <v>208.68170833333338</v>
      </c>
      <c r="AH75" s="1389">
        <f t="shared" si="34"/>
        <v>208.68170833333338</v>
      </c>
      <c r="AI75" s="1389">
        <f t="shared" si="34"/>
        <v>208.68170833333338</v>
      </c>
      <c r="AJ75" s="1389">
        <f t="shared" si="34"/>
        <v>208.68170833333338</v>
      </c>
      <c r="AK75" s="1387">
        <f t="shared" si="30"/>
        <v>834.7268333333335</v>
      </c>
    </row>
    <row r="76" spans="1:37" s="1374" customFormat="1" ht="12.75" customHeight="1" outlineLevel="1">
      <c r="A76" s="642"/>
      <c r="B76" s="1367" t="s">
        <v>672</v>
      </c>
      <c r="C76" s="1368"/>
      <c r="D76" s="1369"/>
      <c r="E76" s="1369"/>
      <c r="F76" s="1369"/>
      <c r="G76" s="1370"/>
      <c r="H76" s="1371"/>
      <c r="I76" s="1372"/>
      <c r="J76" s="1372"/>
      <c r="K76" s="1364"/>
      <c r="L76" s="1365"/>
      <c r="M76" s="1366"/>
      <c r="N76" s="1364"/>
      <c r="O76" s="1364"/>
      <c r="P76" s="1364"/>
      <c r="Q76" s="1365"/>
      <c r="R76" s="1364"/>
      <c r="S76" s="1369"/>
      <c r="T76" s="1369"/>
      <c r="U76" s="1369"/>
      <c r="V76" s="1373"/>
      <c r="W76" s="1368"/>
      <c r="X76" s="1369"/>
      <c r="Y76" s="1369"/>
      <c r="Z76" s="1369"/>
      <c r="AA76" s="1373"/>
      <c r="AB76" s="1368"/>
      <c r="AC76" s="1371">
        <f>AC$18/(4*6)</f>
        <v>208.68170833333338</v>
      </c>
      <c r="AD76" s="1389">
        <f>AC76</f>
        <v>208.68170833333338</v>
      </c>
      <c r="AE76" s="1389">
        <f>AD76</f>
        <v>208.68170833333338</v>
      </c>
      <c r="AF76" s="1387">
        <f t="shared" si="27"/>
        <v>626.0451250000001</v>
      </c>
      <c r="AG76" s="1388">
        <f t="shared" si="33"/>
        <v>208.68170833333338</v>
      </c>
      <c r="AH76" s="1389">
        <f t="shared" si="34"/>
        <v>208.68170833333338</v>
      </c>
      <c r="AI76" s="1389">
        <f t="shared" si="34"/>
        <v>208.68170833333338</v>
      </c>
      <c r="AJ76" s="1389">
        <f t="shared" si="34"/>
        <v>208.68170833333338</v>
      </c>
      <c r="AK76" s="1387">
        <f t="shared" si="30"/>
        <v>834.7268333333335</v>
      </c>
    </row>
    <row r="77" spans="1:37" s="1374" customFormat="1" ht="12.75" customHeight="1" outlineLevel="1">
      <c r="A77" s="642"/>
      <c r="B77" s="1367" t="s">
        <v>673</v>
      </c>
      <c r="C77" s="1368"/>
      <c r="D77" s="1369"/>
      <c r="E77" s="1369"/>
      <c r="F77" s="1369"/>
      <c r="G77" s="1370"/>
      <c r="H77" s="1371"/>
      <c r="I77" s="1372"/>
      <c r="J77" s="1372"/>
      <c r="K77" s="1364"/>
      <c r="L77" s="1365"/>
      <c r="M77" s="1366"/>
      <c r="N77" s="1364"/>
      <c r="O77" s="1364"/>
      <c r="P77" s="1364"/>
      <c r="Q77" s="1365"/>
      <c r="R77" s="1364"/>
      <c r="S77" s="1369"/>
      <c r="T77" s="1369"/>
      <c r="U77" s="1369"/>
      <c r="V77" s="1373"/>
      <c r="W77" s="1368"/>
      <c r="X77" s="1369"/>
      <c r="Y77" s="1369"/>
      <c r="Z77" s="1369"/>
      <c r="AA77" s="1373"/>
      <c r="AB77" s="1368"/>
      <c r="AC77" s="1369"/>
      <c r="AD77" s="1371">
        <f>AD$18/(4*6)</f>
        <v>208.68170833333338</v>
      </c>
      <c r="AE77" s="1389">
        <f>AD77</f>
        <v>208.68170833333338</v>
      </c>
      <c r="AF77" s="1387">
        <f t="shared" si="27"/>
        <v>417.36341666666675</v>
      </c>
      <c r="AG77" s="1388">
        <f t="shared" si="33"/>
        <v>208.68170833333338</v>
      </c>
      <c r="AH77" s="1389">
        <f t="shared" si="34"/>
        <v>208.68170833333338</v>
      </c>
      <c r="AI77" s="1389">
        <f t="shared" si="34"/>
        <v>208.68170833333338</v>
      </c>
      <c r="AJ77" s="1389">
        <f t="shared" si="34"/>
        <v>208.68170833333338</v>
      </c>
      <c r="AK77" s="1387">
        <f t="shared" si="30"/>
        <v>834.7268333333335</v>
      </c>
    </row>
    <row r="78" spans="1:37" s="1374" customFormat="1" ht="12.75" customHeight="1" outlineLevel="1">
      <c r="A78" s="642"/>
      <c r="B78" s="1367" t="s">
        <v>674</v>
      </c>
      <c r="C78" s="1368"/>
      <c r="D78" s="1369"/>
      <c r="E78" s="1369"/>
      <c r="F78" s="1369"/>
      <c r="G78" s="1370"/>
      <c r="H78" s="1371"/>
      <c r="I78" s="1372"/>
      <c r="J78" s="1372"/>
      <c r="K78" s="1364"/>
      <c r="L78" s="1365"/>
      <c r="M78" s="1366"/>
      <c r="N78" s="1364"/>
      <c r="O78" s="1364"/>
      <c r="P78" s="1364"/>
      <c r="Q78" s="1365"/>
      <c r="R78" s="1364"/>
      <c r="S78" s="1369"/>
      <c r="T78" s="1369"/>
      <c r="U78" s="1369"/>
      <c r="V78" s="1373"/>
      <c r="W78" s="1368"/>
      <c r="X78" s="1369"/>
      <c r="Y78" s="1369"/>
      <c r="Z78" s="1369"/>
      <c r="AA78" s="1373"/>
      <c r="AB78" s="1368"/>
      <c r="AC78" s="1369"/>
      <c r="AD78" s="1369"/>
      <c r="AE78" s="1371">
        <f>AE$18/(4*6)</f>
        <v>208.68170833333338</v>
      </c>
      <c r="AF78" s="1387">
        <f t="shared" si="27"/>
        <v>208.68170833333338</v>
      </c>
      <c r="AG78" s="1388">
        <f t="shared" si="33"/>
        <v>208.68170833333338</v>
      </c>
      <c r="AH78" s="1389">
        <f t="shared" si="34"/>
        <v>208.68170833333338</v>
      </c>
      <c r="AI78" s="1389">
        <f t="shared" si="34"/>
        <v>208.68170833333338</v>
      </c>
      <c r="AJ78" s="1389">
        <f t="shared" si="34"/>
        <v>208.68170833333338</v>
      </c>
      <c r="AK78" s="1387">
        <f t="shared" si="30"/>
        <v>834.7268333333335</v>
      </c>
    </row>
    <row r="79" spans="1:37" s="1374" customFormat="1" ht="12.75" customHeight="1" outlineLevel="1">
      <c r="A79" s="642"/>
      <c r="B79" s="1367" t="s">
        <v>675</v>
      </c>
      <c r="C79" s="1368"/>
      <c r="D79" s="1369"/>
      <c r="E79" s="1369"/>
      <c r="F79" s="1369"/>
      <c r="G79" s="1370"/>
      <c r="H79" s="1371"/>
      <c r="I79" s="1372"/>
      <c r="J79" s="1372"/>
      <c r="K79" s="1364"/>
      <c r="L79" s="1365"/>
      <c r="M79" s="1366"/>
      <c r="N79" s="1364"/>
      <c r="O79" s="1364"/>
      <c r="P79" s="1364"/>
      <c r="Q79" s="1365"/>
      <c r="R79" s="1364"/>
      <c r="S79" s="1369"/>
      <c r="T79" s="1369"/>
      <c r="U79" s="1369"/>
      <c r="V79" s="1373"/>
      <c r="W79" s="1368"/>
      <c r="X79" s="1369"/>
      <c r="Y79" s="1369"/>
      <c r="Z79" s="1369"/>
      <c r="AA79" s="1373"/>
      <c r="AB79" s="1368"/>
      <c r="AC79" s="1369"/>
      <c r="AD79" s="1369"/>
      <c r="AE79" s="1369"/>
      <c r="AF79" s="1373"/>
      <c r="AG79" s="1371">
        <f>AG$18/(4*6)</f>
        <v>187.84837500000003</v>
      </c>
      <c r="AH79" s="1389">
        <f>AG79</f>
        <v>187.84837500000003</v>
      </c>
      <c r="AI79" s="1389">
        <f>AH79</f>
        <v>187.84837500000003</v>
      </c>
      <c r="AJ79" s="1389">
        <f>AI79</f>
        <v>187.84837500000003</v>
      </c>
      <c r="AK79" s="1387">
        <f t="shared" si="30"/>
        <v>751.39350000000013</v>
      </c>
    </row>
    <row r="80" spans="1:37" s="1374" customFormat="1" ht="12.75" customHeight="1" outlineLevel="1">
      <c r="A80" s="642"/>
      <c r="B80" s="1367" t="s">
        <v>676</v>
      </c>
      <c r="C80" s="1368"/>
      <c r="D80" s="1369"/>
      <c r="E80" s="1369"/>
      <c r="F80" s="1369"/>
      <c r="G80" s="1370"/>
      <c r="H80" s="1371"/>
      <c r="I80" s="1372"/>
      <c r="J80" s="1372"/>
      <c r="K80" s="1364"/>
      <c r="L80" s="1365"/>
      <c r="M80" s="1366"/>
      <c r="N80" s="1364"/>
      <c r="O80" s="1364"/>
      <c r="P80" s="1364"/>
      <c r="Q80" s="1365"/>
      <c r="R80" s="1364"/>
      <c r="S80" s="1369"/>
      <c r="T80" s="1369"/>
      <c r="U80" s="1369"/>
      <c r="V80" s="1373"/>
      <c r="W80" s="1368"/>
      <c r="X80" s="1369"/>
      <c r="Y80" s="1369"/>
      <c r="Z80" s="1369"/>
      <c r="AA80" s="1373"/>
      <c r="AB80" s="1368"/>
      <c r="AC80" s="1369"/>
      <c r="AD80" s="1369"/>
      <c r="AE80" s="1369"/>
      <c r="AF80" s="1373"/>
      <c r="AG80" s="1368"/>
      <c r="AH80" s="1371">
        <f>AH$18/(4*6)</f>
        <v>187.84837500000003</v>
      </c>
      <c r="AI80" s="1389">
        <f>AH80</f>
        <v>187.84837500000003</v>
      </c>
      <c r="AJ80" s="1389">
        <f>AI80</f>
        <v>187.84837500000003</v>
      </c>
      <c r="AK80" s="1387">
        <f t="shared" si="30"/>
        <v>563.5451250000001</v>
      </c>
    </row>
    <row r="81" spans="1:37" s="1374" customFormat="1" ht="12.75" customHeight="1" outlineLevel="1">
      <c r="A81" s="642"/>
      <c r="B81" s="1367" t="s">
        <v>677</v>
      </c>
      <c r="C81" s="1368"/>
      <c r="D81" s="1369"/>
      <c r="E81" s="1369"/>
      <c r="F81" s="1369"/>
      <c r="G81" s="1370"/>
      <c r="H81" s="1371"/>
      <c r="I81" s="1372"/>
      <c r="J81" s="1372"/>
      <c r="K81" s="1364"/>
      <c r="L81" s="1365"/>
      <c r="M81" s="1366"/>
      <c r="N81" s="1364"/>
      <c r="O81" s="1364"/>
      <c r="P81" s="1364"/>
      <c r="Q81" s="1365"/>
      <c r="R81" s="1364"/>
      <c r="S81" s="1369"/>
      <c r="T81" s="1369"/>
      <c r="U81" s="1369"/>
      <c r="V81" s="1373"/>
      <c r="W81" s="1368"/>
      <c r="X81" s="1369"/>
      <c r="Y81" s="1369"/>
      <c r="Z81" s="1369"/>
      <c r="AA81" s="1373"/>
      <c r="AB81" s="1368"/>
      <c r="AC81" s="1369"/>
      <c r="AD81" s="1369"/>
      <c r="AE81" s="1369"/>
      <c r="AF81" s="1373"/>
      <c r="AG81" s="1368"/>
      <c r="AH81" s="1369"/>
      <c r="AI81" s="1371">
        <f>AI$18/(4*6)</f>
        <v>187.84837500000003</v>
      </c>
      <c r="AJ81" s="1389">
        <f>AI81</f>
        <v>187.84837500000003</v>
      </c>
      <c r="AK81" s="1387">
        <f t="shared" si="30"/>
        <v>375.69675000000007</v>
      </c>
    </row>
    <row r="82" spans="1:37" s="1374" customFormat="1" ht="12.75" customHeight="1" outlineLevel="1">
      <c r="A82" s="642"/>
      <c r="B82" s="1367" t="s">
        <v>678</v>
      </c>
      <c r="C82" s="1368"/>
      <c r="D82" s="1369"/>
      <c r="E82" s="1369"/>
      <c r="F82" s="1369"/>
      <c r="G82" s="1370"/>
      <c r="H82" s="1371"/>
      <c r="I82" s="1372"/>
      <c r="J82" s="1372"/>
      <c r="K82" s="1364"/>
      <c r="L82" s="1365"/>
      <c r="M82" s="1366"/>
      <c r="N82" s="1364"/>
      <c r="O82" s="1364"/>
      <c r="P82" s="1364"/>
      <c r="Q82" s="1365"/>
      <c r="R82" s="1364"/>
      <c r="S82" s="1369"/>
      <c r="T82" s="1369"/>
      <c r="U82" s="1369"/>
      <c r="V82" s="1373"/>
      <c r="W82" s="1368"/>
      <c r="X82" s="1369"/>
      <c r="Y82" s="1369"/>
      <c r="Z82" s="1369"/>
      <c r="AA82" s="1373"/>
      <c r="AB82" s="1368"/>
      <c r="AC82" s="1369"/>
      <c r="AD82" s="1369"/>
      <c r="AE82" s="1369"/>
      <c r="AF82" s="1373"/>
      <c r="AG82" s="1368"/>
      <c r="AH82" s="1369"/>
      <c r="AI82" s="1369"/>
      <c r="AJ82" s="1371">
        <f>AJ$18/(4*6)</f>
        <v>187.84837500000003</v>
      </c>
      <c r="AK82" s="1387">
        <f t="shared" si="30"/>
        <v>187.84837500000003</v>
      </c>
    </row>
    <row r="83" spans="1:37" s="89" customFormat="1">
      <c r="A83" s="416"/>
      <c r="B83" s="378"/>
      <c r="C83" s="373"/>
      <c r="G83" s="541"/>
      <c r="L83" s="541"/>
      <c r="Q83" s="541"/>
      <c r="V83" s="541"/>
      <c r="AA83" s="541"/>
      <c r="AF83" s="541"/>
      <c r="AK83" s="541"/>
    </row>
  </sheetData>
  <pageMargins left="0.7" right="0.7" top="0.75" bottom="0.75" header="0.3" footer="0.3"/>
  <customProperties>
    <customPr name="Qube.Worksheet.Visibility" r:id="rId1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60E5F-CA5B-4076-9819-AA36439D879C}">
  <sheetPr codeName="Sheet6">
    <tabColor rgb="FF002060"/>
    <pageSetUpPr autoPageBreaks="0"/>
  </sheetPr>
  <dimension ref="A1:AS112"/>
  <sheetViews>
    <sheetView showGridLines="0" zoomScaleNormal="100" workbookViewId="0">
      <pane xSplit="2" ySplit="8" topLeftCell="R9" activePane="bottomRight" state="frozen"/>
      <selection activeCell="DD115" sqref="DD115"/>
      <selection pane="topRight" activeCell="DD115" sqref="DD115"/>
      <selection pane="bottomLeft" activeCell="DD115" sqref="DD115"/>
      <selection pane="bottomRight"/>
    </sheetView>
  </sheetViews>
  <sheetFormatPr defaultColWidth="9.140625" defaultRowHeight="12.75" customHeight="1" outlineLevelRow="1" outlineLevelCol="1"/>
  <cols>
    <col min="1" max="1" width="3.7109375" style="67" customWidth="1"/>
    <col min="2" max="2" width="73" style="384" customWidth="1"/>
    <col min="3" max="3" width="12.7109375" style="249" hidden="1" customWidth="1" outlineLevel="1"/>
    <col min="4" max="6" width="11.42578125" style="250" hidden="1" customWidth="1" outlineLevel="1"/>
    <col min="7" max="7" width="11.7109375" style="128" bestFit="1" customWidth="1" collapsed="1"/>
    <col min="8" max="8" width="11.42578125" style="249" hidden="1" customWidth="1" outlineLevel="1"/>
    <col min="9" max="11" width="11.42578125" style="250" hidden="1" customWidth="1" outlineLevel="1"/>
    <col min="12" max="12" width="11.7109375" style="128" bestFit="1" customWidth="1" collapsed="1"/>
    <col min="13" max="13" width="11.140625" style="249" hidden="1" customWidth="1" outlineLevel="1"/>
    <col min="14" max="16" width="11.140625" style="250" hidden="1" customWidth="1" outlineLevel="1"/>
    <col min="17" max="17" width="11.7109375" style="250" bestFit="1" customWidth="1" collapsed="1"/>
    <col min="18" max="18" width="11.140625" style="249" customWidth="1" outlineLevel="1"/>
    <col min="19" max="21" width="11.140625" style="250" customWidth="1" outlineLevel="1"/>
    <col min="22" max="22" width="11.7109375" style="250" bestFit="1" customWidth="1"/>
    <col min="23" max="23" width="11.140625" style="249" customWidth="1" outlineLevel="1"/>
    <col min="24" max="26" width="11.140625" style="250" customWidth="1" outlineLevel="1"/>
    <col min="27" max="27" width="11.7109375" style="250" bestFit="1" customWidth="1"/>
    <col min="28" max="28" width="11.140625" style="249" customWidth="1" outlineLevel="1"/>
    <col min="29" max="31" width="11.140625" style="250" customWidth="1" outlineLevel="1"/>
    <col min="32" max="32" width="11.85546875" style="250" bestFit="1" customWidth="1"/>
    <col min="33" max="33" width="11.140625" style="249" hidden="1" customWidth="1" outlineLevel="1"/>
    <col min="34" max="36" width="11.140625" style="250" hidden="1" customWidth="1" outlineLevel="1"/>
    <col min="37" max="37" width="12.42578125" style="250" bestFit="1" customWidth="1" collapsed="1"/>
    <col min="38" max="16384" width="9.140625" style="248"/>
  </cols>
  <sheetData>
    <row r="1" spans="1:37" s="384" customFormat="1" ht="12.75" customHeight="1">
      <c r="A1" s="416"/>
      <c r="C1" s="756"/>
      <c r="D1" s="755"/>
      <c r="E1" s="755"/>
      <c r="F1" s="755"/>
      <c r="G1" s="755"/>
      <c r="H1" s="756"/>
      <c r="I1" s="755"/>
      <c r="J1" s="755"/>
      <c r="K1" s="755"/>
      <c r="L1" s="755"/>
      <c r="M1" s="756"/>
      <c r="N1" s="754"/>
      <c r="O1" s="755"/>
      <c r="P1" s="755"/>
      <c r="Q1" s="755"/>
      <c r="R1" s="756"/>
      <c r="S1" s="755"/>
      <c r="T1" s="754"/>
      <c r="U1" s="755"/>
      <c r="V1" s="755"/>
      <c r="W1" s="756"/>
      <c r="X1" s="755"/>
      <c r="Y1" s="755"/>
      <c r="Z1" s="755"/>
      <c r="AA1" s="755"/>
      <c r="AB1" s="756"/>
      <c r="AC1" s="755"/>
      <c r="AD1" s="755"/>
      <c r="AE1" s="755"/>
      <c r="AF1" s="755"/>
      <c r="AG1" s="756"/>
      <c r="AH1" s="755"/>
      <c r="AI1" s="755"/>
      <c r="AJ1" s="755"/>
      <c r="AK1" s="755"/>
    </row>
    <row r="2" spans="1:37" s="384" customFormat="1" ht="12.75" customHeight="1">
      <c r="A2" s="416"/>
      <c r="B2" s="475" t="s">
        <v>231</v>
      </c>
      <c r="C2" s="756"/>
      <c r="D2" s="755"/>
      <c r="E2" s="755"/>
      <c r="F2" s="755"/>
      <c r="G2" s="755"/>
      <c r="H2" s="756"/>
      <c r="I2" s="755"/>
      <c r="J2" s="755"/>
      <c r="K2" s="755"/>
      <c r="L2" s="755"/>
      <c r="M2" s="756"/>
      <c r="N2" s="754"/>
      <c r="O2" s="755"/>
      <c r="P2" s="755"/>
      <c r="Q2" s="755"/>
      <c r="R2" s="756"/>
      <c r="S2" s="755"/>
      <c r="T2" s="754"/>
      <c r="U2" s="755"/>
      <c r="V2" s="755"/>
      <c r="W2" s="756"/>
      <c r="X2" s="755"/>
      <c r="Y2" s="755"/>
      <c r="Z2" s="755"/>
      <c r="AA2" s="755"/>
      <c r="AB2" s="756"/>
      <c r="AC2" s="755"/>
      <c r="AD2" s="755"/>
      <c r="AE2" s="755"/>
      <c r="AF2" s="755"/>
      <c r="AG2" s="756"/>
      <c r="AH2" s="755"/>
      <c r="AI2" s="755"/>
      <c r="AJ2" s="755"/>
      <c r="AK2" s="755"/>
    </row>
    <row r="3" spans="1:37" s="384" customFormat="1" ht="12.75" customHeight="1">
      <c r="A3" s="416"/>
      <c r="B3" s="475" t="s">
        <v>169</v>
      </c>
      <c r="C3" s="756"/>
      <c r="D3" s="755"/>
      <c r="E3" s="755"/>
      <c r="F3" s="755"/>
      <c r="G3" s="755"/>
      <c r="H3" s="756"/>
      <c r="I3" s="755"/>
      <c r="J3" s="755"/>
      <c r="K3" s="755"/>
      <c r="L3" s="755"/>
      <c r="M3" s="756"/>
      <c r="N3" s="754"/>
      <c r="O3" s="755"/>
      <c r="P3" s="755"/>
      <c r="Q3" s="755"/>
      <c r="R3" s="756"/>
      <c r="S3" s="755"/>
      <c r="T3" s="754"/>
      <c r="U3" s="755"/>
      <c r="V3" s="755"/>
      <c r="W3" s="756"/>
      <c r="X3" s="755"/>
      <c r="Y3" s="755"/>
      <c r="Z3" s="755"/>
      <c r="AA3" s="755"/>
      <c r="AB3" s="756"/>
      <c r="AC3" s="755"/>
      <c r="AD3" s="755"/>
      <c r="AE3" s="755"/>
      <c r="AF3" s="755"/>
      <c r="AG3" s="756"/>
      <c r="AH3" s="755"/>
      <c r="AI3" s="755"/>
      <c r="AJ3" s="755"/>
      <c r="AK3" s="755"/>
    </row>
    <row r="4" spans="1:37" s="384" customFormat="1" ht="12.75" customHeight="1">
      <c r="A4" s="416"/>
      <c r="B4" s="475" t="s">
        <v>24</v>
      </c>
      <c r="C4" s="756"/>
      <c r="D4" s="755"/>
      <c r="E4" s="755"/>
      <c r="F4" s="755"/>
      <c r="G4" s="755"/>
      <c r="H4" s="756"/>
      <c r="I4" s="755"/>
      <c r="J4" s="755"/>
      <c r="K4" s="755"/>
      <c r="L4" s="755"/>
      <c r="M4" s="756"/>
      <c r="N4" s="754"/>
      <c r="O4" s="755"/>
      <c r="P4" s="755"/>
      <c r="Q4" s="1065"/>
      <c r="R4" s="756"/>
      <c r="S4" s="755"/>
      <c r="T4" s="754"/>
      <c r="U4" s="755"/>
      <c r="V4" s="1065"/>
      <c r="W4" s="756"/>
      <c r="X4" s="755"/>
      <c r="Y4" s="755"/>
      <c r="Z4" s="755"/>
      <c r="AA4" s="755"/>
      <c r="AB4" s="756"/>
      <c r="AC4" s="755"/>
      <c r="AD4" s="755"/>
      <c r="AE4" s="755"/>
      <c r="AF4" s="755"/>
      <c r="AG4" s="756"/>
      <c r="AH4" s="755"/>
      <c r="AI4" s="755"/>
      <c r="AJ4" s="755"/>
      <c r="AK4" s="755"/>
    </row>
    <row r="5" spans="1:37" s="384" customFormat="1" ht="12.75" customHeight="1">
      <c r="A5" s="416"/>
      <c r="C5" s="761"/>
      <c r="D5" s="762"/>
      <c r="E5" s="762"/>
      <c r="F5" s="760"/>
      <c r="G5" s="755"/>
      <c r="H5" s="761"/>
      <c r="I5" s="762"/>
      <c r="J5" s="762"/>
      <c r="K5" s="760"/>
      <c r="L5" s="755"/>
      <c r="M5" s="761"/>
      <c r="N5" s="758"/>
      <c r="O5" s="762"/>
      <c r="P5" s="760"/>
      <c r="Q5" s="755"/>
      <c r="R5" s="761"/>
      <c r="S5" s="762"/>
      <c r="T5" s="758"/>
      <c r="U5" s="755"/>
      <c r="V5" s="755"/>
      <c r="W5" s="756"/>
      <c r="X5" s="755"/>
      <c r="Y5" s="755"/>
      <c r="Z5" s="755"/>
      <c r="AA5" s="755"/>
      <c r="AB5" s="1188"/>
      <c r="AC5" s="755"/>
      <c r="AD5" s="755"/>
      <c r="AE5" s="755"/>
      <c r="AF5" s="755"/>
      <c r="AG5" s="1188"/>
      <c r="AH5" s="755"/>
      <c r="AI5" s="755"/>
      <c r="AJ5" s="755"/>
      <c r="AK5" s="755"/>
    </row>
    <row r="6" spans="1:37" ht="12.75" customHeight="1">
      <c r="C6" s="46" t="str">
        <f>Dates!C3</f>
        <v>2022 (A)</v>
      </c>
      <c r="D6" s="46"/>
      <c r="E6" s="46"/>
      <c r="F6" s="46"/>
      <c r="G6" s="89"/>
      <c r="H6" s="46" t="str">
        <f>Dates!H3</f>
        <v>2023 (A)</v>
      </c>
      <c r="I6" s="46"/>
      <c r="J6" s="46"/>
      <c r="K6" s="46"/>
      <c r="L6" s="89"/>
      <c r="M6" s="46" t="str">
        <f>Dates!M3</f>
        <v>2024 (A)</v>
      </c>
      <c r="N6" s="427"/>
      <c r="O6" s="46"/>
      <c r="P6" s="46"/>
      <c r="Q6" s="89"/>
      <c r="R6" s="46" t="str">
        <f>Dates!R3</f>
        <v>2025 (E)</v>
      </c>
      <c r="S6" s="46"/>
      <c r="T6" s="427"/>
      <c r="U6" s="46"/>
      <c r="V6" s="89"/>
      <c r="W6" s="46" t="str">
        <f>Dates!W3</f>
        <v>2026 (E)</v>
      </c>
      <c r="X6" s="46"/>
      <c r="Y6" s="46"/>
      <c r="Z6" s="46"/>
      <c r="AA6" s="89"/>
      <c r="AB6" s="46" t="str">
        <f>Dates!AB3</f>
        <v>2027 (E)</v>
      </c>
      <c r="AC6" s="46"/>
      <c r="AD6" s="46"/>
      <c r="AE6" s="46"/>
      <c r="AF6" s="89"/>
      <c r="AG6" s="46" t="str">
        <f>Dates!AG3</f>
        <v>2028 (E)</v>
      </c>
      <c r="AH6" s="46"/>
      <c r="AI6" s="46"/>
      <c r="AJ6" s="46"/>
      <c r="AK6" s="89"/>
    </row>
    <row r="7" spans="1:37" ht="12.75" customHeight="1">
      <c r="C7" s="91" t="str">
        <f>Dates!C4</f>
        <v>1Q22 (A)</v>
      </c>
      <c r="D7" s="91" t="str">
        <f>Dates!D4</f>
        <v>2Q22 (A)</v>
      </c>
      <c r="E7" s="91" t="str">
        <f>Dates!E4</f>
        <v>3Q22 (A)</v>
      </c>
      <c r="F7" s="91" t="str">
        <f>Dates!F4</f>
        <v>4Q22 (A)</v>
      </c>
      <c r="G7" s="92" t="str">
        <f>Dates!G4</f>
        <v>FY22 (A)</v>
      </c>
      <c r="H7" s="91" t="str">
        <f>Dates!H4</f>
        <v>1Q23 (A)</v>
      </c>
      <c r="I7" s="91" t="str">
        <f>Dates!I4</f>
        <v>2Q23 (A)</v>
      </c>
      <c r="J7" s="91" t="str">
        <f>Dates!J4</f>
        <v>3Q23 (A)</v>
      </c>
      <c r="K7" s="91" t="str">
        <f>Dates!K4</f>
        <v>4Q23 (A)</v>
      </c>
      <c r="L7" s="92" t="str">
        <f>Dates!L4</f>
        <v>FY23 (A)</v>
      </c>
      <c r="M7" s="91" t="str">
        <f>Dates!M4</f>
        <v>1Q24 (A)</v>
      </c>
      <c r="N7" s="428" t="str">
        <f>Dates!N4</f>
        <v>2Q24 (A)</v>
      </c>
      <c r="O7" s="428" t="str">
        <f>Dates!O4</f>
        <v>3Q24 (A)</v>
      </c>
      <c r="P7" s="91" t="str">
        <f>Dates!P4</f>
        <v>4Q24 (A)</v>
      </c>
      <c r="Q7" s="92" t="str">
        <f>Dates!Q4</f>
        <v>FY24 (A)</v>
      </c>
      <c r="R7" s="91" t="str">
        <f>Dates!R4</f>
        <v>1Q25 (A)</v>
      </c>
      <c r="S7" s="91" t="str">
        <f>Dates!S4</f>
        <v>2Q25 (A)</v>
      </c>
      <c r="T7" s="428" t="str">
        <f>Dates!T4</f>
        <v>3Q25 (A)</v>
      </c>
      <c r="U7" s="91" t="str">
        <f>Dates!U4</f>
        <v>4Q25 (E)</v>
      </c>
      <c r="V7" s="92" t="str">
        <f>Dates!V4</f>
        <v>FY25 (E)</v>
      </c>
      <c r="W7" s="91" t="str">
        <f>Dates!W4</f>
        <v>1Q26 (E)</v>
      </c>
      <c r="X7" s="91" t="str">
        <f>Dates!X4</f>
        <v>2Q26 (E)</v>
      </c>
      <c r="Y7" s="91" t="str">
        <f>Dates!Y4</f>
        <v>3Q26 (E)</v>
      </c>
      <c r="Z7" s="91" t="str">
        <f>Dates!Z4</f>
        <v>4Q26 (E)</v>
      </c>
      <c r="AA7" s="92" t="str">
        <f>Dates!AA4</f>
        <v>FY26 (E)</v>
      </c>
      <c r="AB7" s="91" t="str">
        <f>Dates!AB4</f>
        <v>1Q27 (E)</v>
      </c>
      <c r="AC7" s="91" t="str">
        <f>Dates!AC4</f>
        <v>2Q27 (E)</v>
      </c>
      <c r="AD7" s="91" t="str">
        <f>Dates!AD4</f>
        <v>3Q27 (E)</v>
      </c>
      <c r="AE7" s="91" t="str">
        <f>Dates!AE4</f>
        <v>4Q27 (E)</v>
      </c>
      <c r="AF7" s="92" t="str">
        <f>Dates!AF4</f>
        <v>FY27 (E)</v>
      </c>
      <c r="AG7" s="91" t="str">
        <f>Dates!AG4</f>
        <v>1Q28 (E)</v>
      </c>
      <c r="AH7" s="91" t="str">
        <f>Dates!AH4</f>
        <v>2Q28 (E)</v>
      </c>
      <c r="AI7" s="91" t="str">
        <f>Dates!AI4</f>
        <v>3Q28 (E)</v>
      </c>
      <c r="AJ7" s="91" t="str">
        <f>Dates!AJ4</f>
        <v>4Q28 (E)</v>
      </c>
      <c r="AK7" s="92" t="str">
        <f>Dates!AK4</f>
        <v>FY28 (E)</v>
      </c>
    </row>
    <row r="8" spans="1:37" ht="12.75" customHeight="1">
      <c r="C8" s="93">
        <f>Dates!C5</f>
        <v>44651</v>
      </c>
      <c r="D8" s="93">
        <f>Dates!D5</f>
        <v>44742</v>
      </c>
      <c r="E8" s="93">
        <f>Dates!E5</f>
        <v>44834</v>
      </c>
      <c r="F8" s="93">
        <f>Dates!F5</f>
        <v>44926</v>
      </c>
      <c r="G8" s="94">
        <f>Dates!G5</f>
        <v>44926</v>
      </c>
      <c r="H8" s="93">
        <f>Dates!H5</f>
        <v>45016</v>
      </c>
      <c r="I8" s="93">
        <f>Dates!I5</f>
        <v>45107</v>
      </c>
      <c r="J8" s="93">
        <f>Dates!J5</f>
        <v>45199</v>
      </c>
      <c r="K8" s="93">
        <f>Dates!K5</f>
        <v>45291</v>
      </c>
      <c r="L8" s="94">
        <f>Dates!L5</f>
        <v>45291</v>
      </c>
      <c r="M8" s="93">
        <f>Dates!M5</f>
        <v>45382</v>
      </c>
      <c r="N8" s="423">
        <f>Dates!N5</f>
        <v>45473</v>
      </c>
      <c r="O8" s="423">
        <f>Dates!O5</f>
        <v>45565</v>
      </c>
      <c r="P8" s="93">
        <f>Dates!P5</f>
        <v>45657</v>
      </c>
      <c r="Q8" s="94">
        <f>Dates!Q5</f>
        <v>45657</v>
      </c>
      <c r="R8" s="93">
        <f>Dates!R5</f>
        <v>45747</v>
      </c>
      <c r="S8" s="93">
        <f>Dates!S5</f>
        <v>45838</v>
      </c>
      <c r="T8" s="423">
        <f>Dates!T5</f>
        <v>45930</v>
      </c>
      <c r="U8" s="93">
        <f>Dates!U5</f>
        <v>46022</v>
      </c>
      <c r="V8" s="94">
        <f>Dates!V5</f>
        <v>46022</v>
      </c>
      <c r="W8" s="93">
        <f>Dates!W5</f>
        <v>46112</v>
      </c>
      <c r="X8" s="93">
        <f>Dates!X5</f>
        <v>46203</v>
      </c>
      <c r="Y8" s="93">
        <f>Dates!Y5</f>
        <v>46295</v>
      </c>
      <c r="Z8" s="93">
        <f>Dates!Z5</f>
        <v>46387</v>
      </c>
      <c r="AA8" s="94">
        <f>Dates!AA5</f>
        <v>46387</v>
      </c>
      <c r="AB8" s="93">
        <f>Dates!AB5</f>
        <v>46477</v>
      </c>
      <c r="AC8" s="93">
        <f>Dates!AC5</f>
        <v>46568</v>
      </c>
      <c r="AD8" s="93">
        <f>Dates!AD5</f>
        <v>46660</v>
      </c>
      <c r="AE8" s="93">
        <f>Dates!AE5</f>
        <v>46752</v>
      </c>
      <c r="AF8" s="94">
        <f>Dates!AF5</f>
        <v>46752</v>
      </c>
      <c r="AG8" s="93">
        <f>Dates!AG5</f>
        <v>46843</v>
      </c>
      <c r="AH8" s="93">
        <f>Dates!AH5</f>
        <v>46934</v>
      </c>
      <c r="AI8" s="93">
        <f>Dates!AI5</f>
        <v>47026</v>
      </c>
      <c r="AJ8" s="93">
        <f>Dates!AJ5</f>
        <v>47118</v>
      </c>
      <c r="AK8" s="94">
        <f>Dates!AK5</f>
        <v>47118</v>
      </c>
    </row>
    <row r="9" spans="1:37" ht="12.75" customHeight="1">
      <c r="C9" s="251"/>
      <c r="D9" s="251"/>
      <c r="E9" s="251"/>
      <c r="F9" s="251"/>
      <c r="G9" s="252"/>
      <c r="H9" s="251"/>
      <c r="I9" s="251"/>
      <c r="J9" s="251"/>
      <c r="K9" s="251"/>
      <c r="L9" s="252"/>
      <c r="M9" s="251"/>
      <c r="N9" s="429"/>
      <c r="O9" s="429"/>
      <c r="P9" s="251"/>
      <c r="Q9" s="252"/>
      <c r="R9" s="251"/>
      <c r="S9" s="251"/>
      <c r="T9" s="429"/>
      <c r="U9" s="251"/>
      <c r="V9" s="252"/>
      <c r="W9" s="251"/>
      <c r="X9" s="251"/>
      <c r="Y9" s="251"/>
      <c r="Z9" s="251"/>
      <c r="AA9" s="252"/>
      <c r="AB9" s="251"/>
      <c r="AC9" s="251"/>
      <c r="AD9" s="251"/>
      <c r="AE9" s="251"/>
      <c r="AF9" s="252"/>
      <c r="AG9" s="251"/>
      <c r="AH9" s="251"/>
      <c r="AI9" s="251"/>
      <c r="AJ9" s="251"/>
      <c r="AK9" s="252"/>
    </row>
    <row r="10" spans="1:37" s="1433" customFormat="1" ht="12.75" customHeight="1">
      <c r="A10" s="1428" t="s">
        <v>28</v>
      </c>
      <c r="B10" s="1429" t="s">
        <v>29</v>
      </c>
      <c r="C10" s="1430"/>
      <c r="D10" s="1430"/>
      <c r="E10" s="1430"/>
      <c r="F10" s="1430"/>
      <c r="G10" s="1431">
        <f>'KPI Summary'!G10</f>
        <v>15.83</v>
      </c>
      <c r="H10" s="1430">
        <f>'KPI Summary'!H10</f>
        <v>7.9236842923050173</v>
      </c>
      <c r="I10" s="1430">
        <f>'KPI Summary'!I10</f>
        <v>29.843600214370358</v>
      </c>
      <c r="J10" s="1430">
        <f>'KPI Summary'!J10</f>
        <v>75.178825237918673</v>
      </c>
      <c r="K10" s="1430">
        <f>'KPI Summary'!K10</f>
        <v>115.99689025540596</v>
      </c>
      <c r="L10" s="1431">
        <f>'KPI Summary'!L10</f>
        <v>228.94300000000001</v>
      </c>
      <c r="M10" s="1430">
        <f>'KPI Summary'!M10</f>
        <v>188.684</v>
      </c>
      <c r="N10" s="1432">
        <f>'KPI Summary'!N10</f>
        <v>395.37099999999998</v>
      </c>
      <c r="O10" s="1432">
        <f>'KPI Summary'!O10</f>
        <v>583.94100000000003</v>
      </c>
      <c r="P10" s="1432">
        <f>'KPI Summary'!P10</f>
        <v>747.43</v>
      </c>
      <c r="Q10" s="1431">
        <f>'KPI Summary'!Q10</f>
        <v>1915.4259999999999</v>
      </c>
      <c r="R10" s="1430">
        <f>'KPI Summary'!R10</f>
        <v>981.63199999999995</v>
      </c>
      <c r="S10" s="1432">
        <f>'KPI Summary'!S10</f>
        <v>1212.788</v>
      </c>
      <c r="T10" s="1432">
        <f>'KPI Summary'!T10</f>
        <v>1364.6759999999999</v>
      </c>
      <c r="U10" s="1430">
        <f>'KPI Summary'!U10</f>
        <v>1542.8798383352844</v>
      </c>
      <c r="V10" s="1431">
        <f>'KPI Summary'!V10</f>
        <v>5101.9758383352846</v>
      </c>
      <c r="W10" s="1430">
        <f>'KPI Summary'!W10</f>
        <v>2227.1271940102652</v>
      </c>
      <c r="X10" s="1430">
        <f>'KPI Summary'!X10</f>
        <v>2964.1923267606126</v>
      </c>
      <c r="Y10" s="1430">
        <f>'KPI Summary'!Y10</f>
        <v>3289.6841382241842</v>
      </c>
      <c r="Z10" s="1430">
        <f>'KPI Summary'!Z10</f>
        <v>3520.6358086433452</v>
      </c>
      <c r="AA10" s="1431">
        <f>'KPI Summary'!AA10</f>
        <v>12001.639467638406</v>
      </c>
      <c r="AB10" s="1430">
        <f>'KPI Summary'!AB10</f>
        <v>3811.6134309688914</v>
      </c>
      <c r="AC10" s="1430">
        <f>'KPI Summary'!AC10</f>
        <v>4153.967972772637</v>
      </c>
      <c r="AD10" s="1430">
        <f>'KPI Summary'!AD10</f>
        <v>4473.832737778841</v>
      </c>
      <c r="AE10" s="1430">
        <f>'KPI Summary'!AE10</f>
        <v>4771.4757275279553</v>
      </c>
      <c r="AF10" s="1431">
        <f>'KPI Summary'!AF10</f>
        <v>17210.889869048326</v>
      </c>
      <c r="AG10" s="1430">
        <f>'KPI Summary'!AG10</f>
        <v>5118.4482278277555</v>
      </c>
      <c r="AH10" s="1430">
        <f>'KPI Summary'!AH10</f>
        <v>5329.7806915375268</v>
      </c>
      <c r="AI10" s="1430">
        <f>'KPI Summary'!AI10</f>
        <v>5519.2671656952671</v>
      </c>
      <c r="AJ10" s="1430">
        <f>'KPI Summary'!AJ10</f>
        <v>5687.5931059802742</v>
      </c>
      <c r="AK10" s="1431">
        <f>'KPI Summary'!AK10</f>
        <v>21655.089191040825</v>
      </c>
    </row>
    <row r="11" spans="1:37" s="298" customFormat="1" ht="12.75" customHeight="1">
      <c r="A11" s="1088" t="s">
        <v>30</v>
      </c>
      <c r="B11" s="433" t="s">
        <v>31</v>
      </c>
      <c r="C11" s="102"/>
      <c r="D11" s="102"/>
      <c r="E11" s="102"/>
      <c r="F11" s="102"/>
      <c r="G11" s="254"/>
      <c r="H11" s="102" t="str">
        <f t="shared" ref="H11:AF11" si="0">IFERROR(H10/C10-1,"")</f>
        <v/>
      </c>
      <c r="I11" s="102" t="str">
        <f t="shared" si="0"/>
        <v/>
      </c>
      <c r="J11" s="102" t="str">
        <f t="shared" si="0"/>
        <v/>
      </c>
      <c r="K11" s="102" t="str">
        <f t="shared" si="0"/>
        <v/>
      </c>
      <c r="L11" s="254">
        <f t="shared" si="0"/>
        <v>13.462602653190146</v>
      </c>
      <c r="M11" s="102">
        <f t="shared" si="0"/>
        <v>22.812660000000001</v>
      </c>
      <c r="N11" s="102">
        <f t="shared" si="0"/>
        <v>12.248100000000001</v>
      </c>
      <c r="O11" s="102">
        <f t="shared" si="0"/>
        <v>6.7673600000000009</v>
      </c>
      <c r="P11" s="102">
        <f t="shared" si="0"/>
        <v>5.4435348081684154</v>
      </c>
      <c r="Q11" s="254">
        <f t="shared" si="0"/>
        <v>7.366388140279458</v>
      </c>
      <c r="R11" s="102">
        <f t="shared" si="0"/>
        <v>4.2025184965338873</v>
      </c>
      <c r="S11" s="102">
        <f t="shared" si="0"/>
        <v>2.0674682766313159</v>
      </c>
      <c r="T11" s="291">
        <f t="shared" si="0"/>
        <v>1.3370100746479521</v>
      </c>
      <c r="U11" s="102">
        <f t="shared" si="0"/>
        <v>1.0642466028059947</v>
      </c>
      <c r="V11" s="254">
        <f t="shared" si="0"/>
        <v>1.663624613185414</v>
      </c>
      <c r="W11" s="102">
        <f t="shared" si="0"/>
        <v>1.2688005219983305</v>
      </c>
      <c r="X11" s="102">
        <f t="shared" si="0"/>
        <v>1.4441141623767817</v>
      </c>
      <c r="Y11" s="102">
        <f t="shared" si="0"/>
        <v>1.4105971953959653</v>
      </c>
      <c r="Z11" s="102">
        <f t="shared" si="0"/>
        <v>1.281860013442131</v>
      </c>
      <c r="AA11" s="254">
        <f t="shared" si="0"/>
        <v>1.3523512944652443</v>
      </c>
      <c r="AB11" s="102">
        <f t="shared" si="0"/>
        <v>0.71144847102581932</v>
      </c>
      <c r="AC11" s="102">
        <f t="shared" si="0"/>
        <v>0.40138274270221141</v>
      </c>
      <c r="AD11" s="102">
        <f t="shared" si="0"/>
        <v>0.3599581448551703</v>
      </c>
      <c r="AE11" s="102">
        <f t="shared" si="0"/>
        <v>0.35528807490219028</v>
      </c>
      <c r="AF11" s="254">
        <f t="shared" si="0"/>
        <v>0.43404489990357598</v>
      </c>
      <c r="AG11" s="102">
        <f>IFERROR(AG10/AB10-1,"")</f>
        <v>0.34285606883452346</v>
      </c>
      <c r="AH11" s="102">
        <f>IFERROR(AH10/AC10-1,"")</f>
        <v>0.28305772371665006</v>
      </c>
      <c r="AI11" s="102">
        <f>IFERROR(AI10/AD10-1,"")</f>
        <v>0.23367758456599375</v>
      </c>
      <c r="AJ11" s="102">
        <f>IFERROR(AJ10/AE10-1,"")</f>
        <v>0.19199875065212768</v>
      </c>
      <c r="AK11" s="254">
        <f>IFERROR(AK10/AF10-1,"")</f>
        <v>0.25822019406357644</v>
      </c>
    </row>
    <row r="12" spans="1:37" ht="12.75" customHeight="1">
      <c r="A12" s="67" t="s">
        <v>32</v>
      </c>
      <c r="B12" s="433" t="s">
        <v>33</v>
      </c>
      <c r="C12" s="253"/>
      <c r="D12" s="102"/>
      <c r="E12" s="102"/>
      <c r="F12" s="102"/>
      <c r="G12" s="255"/>
      <c r="H12" s="253" t="str">
        <f>IFERROR(H10/F10-1,"")</f>
        <v/>
      </c>
      <c r="I12" s="102">
        <f>IFERROR(I10/H10-1,"")</f>
        <v>2.7663792641704039</v>
      </c>
      <c r="J12" s="102">
        <f>IFERROR(J10/I10-1,"")</f>
        <v>1.5190936984110381</v>
      </c>
      <c r="K12" s="102">
        <f>IFERROR(K10/J10-1,"")</f>
        <v>0.54294630021565538</v>
      </c>
      <c r="L12" s="255"/>
      <c r="M12" s="253">
        <f>IFERROR(M10/K10-1,"")</f>
        <v>0.62662981382129335</v>
      </c>
      <c r="N12" s="102">
        <f>IFERROR(N10/M10-1,"")</f>
        <v>1.0954134955799115</v>
      </c>
      <c r="O12" s="102">
        <f>IFERROR(O10/N10-1,"")</f>
        <v>0.47694443952641974</v>
      </c>
      <c r="P12" s="102">
        <f>IFERROR(P10/O10-1,"")</f>
        <v>0.27997520297427303</v>
      </c>
      <c r="Q12" s="255"/>
      <c r="R12" s="253">
        <f>IFERROR(R10/P10-1,"")</f>
        <v>0.31334305553697339</v>
      </c>
      <c r="S12" s="102">
        <f>IFERROR(S10/R10-1,"")</f>
        <v>0.23548132090233409</v>
      </c>
      <c r="T12" s="291">
        <f>IFERROR(T10/S10-1,"")</f>
        <v>0.12523870618772603</v>
      </c>
      <c r="U12" s="102">
        <f>IFERROR(U10/T10-1,"")</f>
        <v>0.13058325810323068</v>
      </c>
      <c r="V12" s="255"/>
      <c r="W12" s="253">
        <f>IFERROR(W10/U10-1,"")</f>
        <v>0.44348713274603457</v>
      </c>
      <c r="X12" s="102">
        <f>IFERROR(X10/W10-1,"")</f>
        <v>0.33094882714047191</v>
      </c>
      <c r="Y12" s="102">
        <f>IFERROR(Y10/X10-1,"")</f>
        <v>0.10980792593147348</v>
      </c>
      <c r="Z12" s="102">
        <f>IFERROR(Z10/Y10-1,"")</f>
        <v>7.0204816242276591E-2</v>
      </c>
      <c r="AA12" s="255"/>
      <c r="AB12" s="253">
        <f>IFERROR(AB10/Z10-1,"")</f>
        <v>8.264916854256299E-2</v>
      </c>
      <c r="AC12" s="102">
        <f>IFERROR(AC10/AB10-1,"")</f>
        <v>8.9818799310065645E-2</v>
      </c>
      <c r="AD12" s="102">
        <f>IFERROR(AD10/AC10-1,"")</f>
        <v>7.700222223733344E-2</v>
      </c>
      <c r="AE12" s="102">
        <f>IFERROR(AE10/AD10-1,"")</f>
        <v>6.652975361275737E-2</v>
      </c>
      <c r="AF12" s="255"/>
      <c r="AG12" s="253">
        <f>IFERROR(AG10/AE10-1,"")</f>
        <v>7.271806881422882E-2</v>
      </c>
      <c r="AH12" s="102">
        <f>IFERROR(AH10/AG10-1,"")</f>
        <v>4.1288385522942006E-2</v>
      </c>
      <c r="AI12" s="102">
        <f>IFERROR(AI10/AH10-1,"")</f>
        <v>3.5552396078623261E-2</v>
      </c>
      <c r="AJ12" s="102">
        <f>IFERROR(AJ10/AI10-1,"")</f>
        <v>3.0497878655200594E-2</v>
      </c>
      <c r="AK12" s="255"/>
    </row>
    <row r="13" spans="1:37" ht="12.75" customHeight="1">
      <c r="C13" s="256"/>
      <c r="D13" s="257"/>
      <c r="E13" s="257"/>
      <c r="F13" s="257"/>
      <c r="G13" s="258"/>
      <c r="H13" s="256"/>
      <c r="I13" s="257"/>
      <c r="J13" s="257"/>
      <c r="K13" s="257"/>
      <c r="L13" s="258"/>
      <c r="M13" s="256"/>
      <c r="N13" s="292"/>
      <c r="O13" s="292"/>
      <c r="P13" s="292"/>
      <c r="Q13" s="258"/>
      <c r="R13" s="256"/>
      <c r="S13" s="292"/>
      <c r="T13" s="292"/>
      <c r="U13" s="257"/>
      <c r="V13" s="258"/>
      <c r="W13" s="256"/>
      <c r="X13" s="257"/>
      <c r="Y13" s="257"/>
      <c r="Z13" s="257"/>
      <c r="AA13" s="258"/>
      <c r="AB13" s="256"/>
      <c r="AC13" s="257"/>
      <c r="AD13" s="257"/>
      <c r="AE13" s="257"/>
      <c r="AF13" s="258"/>
      <c r="AG13" s="256"/>
      <c r="AH13" s="257"/>
      <c r="AI13" s="257"/>
      <c r="AJ13" s="257"/>
      <c r="AK13" s="258"/>
    </row>
    <row r="14" spans="1:37" s="1433" customFormat="1" ht="12.75" customHeight="1">
      <c r="A14" s="245" t="s">
        <v>172</v>
      </c>
      <c r="B14" s="1434" t="s">
        <v>34</v>
      </c>
      <c r="C14" s="1435"/>
      <c r="D14" s="1435"/>
      <c r="E14" s="1435"/>
      <c r="F14" s="1435"/>
      <c r="G14" s="1436">
        <v>12.122</v>
      </c>
      <c r="H14" s="1437">
        <f>M14/(1+M15)</f>
        <v>4.7868238671910994</v>
      </c>
      <c r="I14" s="1437">
        <f>N14/(1+N15)</f>
        <v>9.7875371176054795</v>
      </c>
      <c r="J14" s="1437">
        <f>O14/(1+O15)</f>
        <v>19.315416950616367</v>
      </c>
      <c r="K14" s="1437">
        <f>L14-J14-I14-H14</f>
        <v>34.89022206458705</v>
      </c>
      <c r="L14" s="1436">
        <v>68.78</v>
      </c>
      <c r="M14" s="1438">
        <v>59.22</v>
      </c>
      <c r="N14" s="1438">
        <v>108.83799999999999</v>
      </c>
      <c r="O14" s="1438">
        <v>143.13399999999999</v>
      </c>
      <c r="P14" s="1438">
        <v>182.15799999999999</v>
      </c>
      <c r="Q14" s="1439">
        <f>SUM(M14:P14)</f>
        <v>493.35</v>
      </c>
      <c r="R14" s="1438">
        <v>262.39400000000001</v>
      </c>
      <c r="S14" s="1438">
        <v>312.66699999999997</v>
      </c>
      <c r="T14" s="1438">
        <v>368.82400000000001</v>
      </c>
      <c r="U14" s="1440">
        <f>'IS (Non-GAAP)'!U14+'IS (Non-GAAP)'!U102</f>
        <v>426.87780748080485</v>
      </c>
      <c r="V14" s="1439">
        <f>SUM(R14:U14)</f>
        <v>1370.7628074808049</v>
      </c>
      <c r="W14" s="1440">
        <f>'IS (Non-GAAP)'!W14+'IS (Non-GAAP)'!W102</f>
        <v>553.04022481662901</v>
      </c>
      <c r="X14" s="1440">
        <f>'IS (Non-GAAP)'!X14+'IS (Non-GAAP)'!X102</f>
        <v>736.3053739673361</v>
      </c>
      <c r="Y14" s="1440">
        <f>'IS (Non-GAAP)'!Y14+'IS (Non-GAAP)'!Y102</f>
        <v>815.57849154853977</v>
      </c>
      <c r="Z14" s="1440">
        <f>'IS (Non-GAAP)'!Z14+'IS (Non-GAAP)'!Z102</f>
        <v>871.14612449070933</v>
      </c>
      <c r="AA14" s="1439">
        <f>SUM(W14:Z14)</f>
        <v>2976.070214823214</v>
      </c>
      <c r="AB14" s="1440">
        <f>'IS (Non-GAAP)'!AB14+'IS (Non-GAAP)'!AB102</f>
        <v>880.94009616553001</v>
      </c>
      <c r="AC14" s="1440">
        <f>'IS (Non-GAAP)'!AC14+'IS (Non-GAAP)'!AC102</f>
        <v>967.70163096824615</v>
      </c>
      <c r="AD14" s="1440">
        <f>'IS (Non-GAAP)'!AD14+'IS (Non-GAAP)'!AD102</f>
        <v>1028.0867631415774</v>
      </c>
      <c r="AE14" s="1440">
        <f>'IS (Non-GAAP)'!AE14+'IS (Non-GAAP)'!AE102</f>
        <v>1105.2568864369714</v>
      </c>
      <c r="AF14" s="1439">
        <f>SUM(AB14:AE14)</f>
        <v>3981.985376712325</v>
      </c>
      <c r="AG14" s="1440">
        <f>'IS (Non-GAAP)'!AG14+'IS (Non-GAAP)'!AG102</f>
        <v>1102.0959576841462</v>
      </c>
      <c r="AH14" s="1440">
        <f>'IS (Non-GAAP)'!AH14+'IS (Non-GAAP)'!AH102</f>
        <v>1146.1389238337231</v>
      </c>
      <c r="AI14" s="1440">
        <f>'IS (Non-GAAP)'!AI14+'IS (Non-GAAP)'!AI102</f>
        <v>1181.1142076113736</v>
      </c>
      <c r="AJ14" s="1440">
        <f>'IS (Non-GAAP)'!AJ14+'IS (Non-GAAP)'!AJ102</f>
        <v>1215.576818837578</v>
      </c>
      <c r="AK14" s="1439">
        <f>SUM(AG14:AJ14)</f>
        <v>4644.9259079668209</v>
      </c>
    </row>
    <row r="15" spans="1:37" s="298" customFormat="1" ht="12.75" customHeight="1">
      <c r="A15" s="1088" t="s">
        <v>173</v>
      </c>
      <c r="B15" s="433" t="s">
        <v>31</v>
      </c>
      <c r="C15" s="102"/>
      <c r="D15" s="102"/>
      <c r="E15" s="102"/>
      <c r="F15" s="102"/>
      <c r="G15" s="254"/>
      <c r="H15" s="102" t="str">
        <f t="shared" ref="H15:AF15" si="1">IFERROR(H14/C14-1,"")</f>
        <v/>
      </c>
      <c r="I15" s="102" t="str">
        <f t="shared" si="1"/>
        <v/>
      </c>
      <c r="J15" s="102" t="str">
        <f t="shared" si="1"/>
        <v/>
      </c>
      <c r="K15" s="102" t="str">
        <f t="shared" si="1"/>
        <v/>
      </c>
      <c r="L15" s="254">
        <f t="shared" si="1"/>
        <v>4.6739811912225706</v>
      </c>
      <c r="M15" s="107">
        <v>11.371460000000001</v>
      </c>
      <c r="N15" s="107">
        <v>10.12006</v>
      </c>
      <c r="O15" s="107">
        <v>6.4103500000000002</v>
      </c>
      <c r="P15" s="102">
        <f t="shared" si="1"/>
        <v>4.2208896711175443</v>
      </c>
      <c r="Q15" s="254">
        <f t="shared" si="1"/>
        <v>6.1728700203547548</v>
      </c>
      <c r="R15" s="102">
        <f t="shared" si="1"/>
        <v>3.4308341776426881</v>
      </c>
      <c r="S15" s="291">
        <f t="shared" si="1"/>
        <v>1.8727742148881825</v>
      </c>
      <c r="T15" s="291">
        <f t="shared" si="1"/>
        <v>1.5767742115779622</v>
      </c>
      <c r="U15" s="102">
        <f t="shared" si="1"/>
        <v>1.3434480367637156</v>
      </c>
      <c r="V15" s="254">
        <f t="shared" si="1"/>
        <v>1.7784793908600482</v>
      </c>
      <c r="W15" s="102">
        <f t="shared" si="1"/>
        <v>1.1076710016868869</v>
      </c>
      <c r="X15" s="102">
        <f t="shared" si="1"/>
        <v>1.3549187281271644</v>
      </c>
      <c r="Y15" s="102">
        <f t="shared" si="1"/>
        <v>1.2112945240779878</v>
      </c>
      <c r="Z15" s="102">
        <f t="shared" si="1"/>
        <v>1.04073884663091</v>
      </c>
      <c r="AA15" s="254">
        <f t="shared" si="1"/>
        <v>1.171105167561886</v>
      </c>
      <c r="AB15" s="102">
        <f t="shared" si="1"/>
        <v>0.59290419870927558</v>
      </c>
      <c r="AC15" s="102">
        <f t="shared" si="1"/>
        <v>0.31426669583315481</v>
      </c>
      <c r="AD15" s="102">
        <f t="shared" si="1"/>
        <v>0.26056139757872709</v>
      </c>
      <c r="AE15" s="102">
        <f t="shared" si="1"/>
        <v>0.26873879750441199</v>
      </c>
      <c r="AF15" s="254">
        <f t="shared" si="1"/>
        <v>0.33800115228425986</v>
      </c>
      <c r="AG15" s="102">
        <f>IFERROR(AG14/AB14-1,"")</f>
        <v>0.25104528955060834</v>
      </c>
      <c r="AH15" s="102">
        <f>IFERROR(AH14/AC14-1,"")</f>
        <v>0.1843928822223222</v>
      </c>
      <c r="AI15" s="102">
        <f>IFERROR(AI14/AD14-1,"")</f>
        <v>0.14884681911688302</v>
      </c>
      <c r="AJ15" s="102">
        <f>IFERROR(AJ14/AE14-1,"")</f>
        <v>9.9813838533271859E-2</v>
      </c>
      <c r="AK15" s="254">
        <f>IFERROR(AK14/AF14-1,"")</f>
        <v>0.16648492360909772</v>
      </c>
    </row>
    <row r="16" spans="1:37" ht="12.75" customHeight="1">
      <c r="A16" s="67" t="s">
        <v>174</v>
      </c>
      <c r="B16" s="433" t="s">
        <v>33</v>
      </c>
      <c r="C16" s="253"/>
      <c r="D16" s="102"/>
      <c r="E16" s="102"/>
      <c r="F16" s="102"/>
      <c r="G16" s="255"/>
      <c r="H16" s="253" t="str">
        <f>IFERROR(H14/F14-1,"")</f>
        <v/>
      </c>
      <c r="I16" s="102">
        <f>IFERROR(I14/H14-1,"")</f>
        <v>1.0446829440893532</v>
      </c>
      <c r="J16" s="102">
        <f>IFERROR(J14/I14-1,"")</f>
        <v>0.97347062070114343</v>
      </c>
      <c r="K16" s="102">
        <f>IFERROR(K14/J14-1,"")</f>
        <v>0.80634061142923863</v>
      </c>
      <c r="L16" s="255"/>
      <c r="M16" s="253">
        <f>IFERROR(M14/K14-1,"")</f>
        <v>0.69732367682770469</v>
      </c>
      <c r="N16" s="102">
        <f>IFERROR(N14/M14-1,"")</f>
        <v>0.83785883147585261</v>
      </c>
      <c r="O16" s="102">
        <f>IFERROR(O14/N14-1,"")</f>
        <v>0.31511053124827715</v>
      </c>
      <c r="P16" s="102">
        <f>IFERROR(P14/O14-1,"")</f>
        <v>0.27263962440789746</v>
      </c>
      <c r="Q16" s="255"/>
      <c r="R16" s="253">
        <f>IFERROR(R14/P14-1,"")</f>
        <v>0.44047475268722769</v>
      </c>
      <c r="S16" s="291">
        <f>IFERROR(S14/R14-1,"")</f>
        <v>0.19159355777952225</v>
      </c>
      <c r="T16" s="291">
        <f>IFERROR(T14/S14-1,"")</f>
        <v>0.17960641833004454</v>
      </c>
      <c r="U16" s="102">
        <f>IFERROR(U14/T14-1,"")</f>
        <v>0.15740246697830096</v>
      </c>
      <c r="V16" s="255"/>
      <c r="W16" s="253">
        <f>IFERROR(W14/U14-1,"")</f>
        <v>0.29554691090727925</v>
      </c>
      <c r="X16" s="102">
        <f>IFERROR(X14/W14-1,"")</f>
        <v>0.3313776122007619</v>
      </c>
      <c r="Y16" s="102">
        <f>IFERROR(Y14/X14-1,"")</f>
        <v>0.10766336955286215</v>
      </c>
      <c r="Z16" s="102">
        <f>IFERROR(Z14/Y14-1,"")</f>
        <v>6.8132783684208276E-2</v>
      </c>
      <c r="AA16" s="255"/>
      <c r="AB16" s="253">
        <f>IFERROR(AB14/Z14-1,"")</f>
        <v>1.1242627843344177E-2</v>
      </c>
      <c r="AC16" s="102">
        <f>IFERROR(AC14/AB14-1,"")</f>
        <v>9.8487439929642484E-2</v>
      </c>
      <c r="AD16" s="102">
        <f>IFERROR(AD14/AC14-1,"")</f>
        <v>6.2400568771298071E-2</v>
      </c>
      <c r="AE16" s="102">
        <f>IFERROR(AE14/AD14-1,"")</f>
        <v>7.506187810412146E-2</v>
      </c>
      <c r="AF16" s="255"/>
      <c r="AG16" s="253">
        <f>IFERROR(AG14/AE14-1,"")</f>
        <v>-2.8599041468224673E-3</v>
      </c>
      <c r="AH16" s="102">
        <f>IFERROR(AH14/AG14-1,"")</f>
        <v>3.9962914156880691E-2</v>
      </c>
      <c r="AI16" s="102">
        <f>IFERROR(AI14/AH14-1,"")</f>
        <v>3.0515745561333407E-2</v>
      </c>
      <c r="AJ16" s="102">
        <f>IFERROR(AJ14/AI14-1,"")</f>
        <v>2.9178051541603134E-2</v>
      </c>
      <c r="AK16" s="255"/>
    </row>
    <row r="17" spans="1:37" ht="12.75" customHeight="1">
      <c r="B17" s="433"/>
      <c r="C17" s="293"/>
      <c r="D17" s="290"/>
      <c r="E17" s="290"/>
      <c r="F17" s="290"/>
      <c r="G17" s="255"/>
      <c r="H17" s="293"/>
      <c r="I17" s="290"/>
      <c r="J17" s="290"/>
      <c r="K17" s="290"/>
      <c r="L17" s="255"/>
      <c r="M17" s="293"/>
      <c r="N17" s="608"/>
      <c r="O17" s="608"/>
      <c r="P17" s="608"/>
      <c r="Q17" s="255"/>
      <c r="R17" s="293"/>
      <c r="S17" s="608"/>
      <c r="T17" s="608"/>
      <c r="U17" s="290"/>
      <c r="V17" s="255"/>
      <c r="W17" s="293"/>
      <c r="X17" s="290"/>
      <c r="Y17" s="290"/>
      <c r="Z17" s="290"/>
      <c r="AA17" s="255"/>
      <c r="AB17" s="293"/>
      <c r="AC17" s="290"/>
      <c r="AD17" s="290"/>
      <c r="AE17" s="290"/>
      <c r="AF17" s="255"/>
      <c r="AG17" s="293"/>
      <c r="AH17" s="290"/>
      <c r="AI17" s="290"/>
      <c r="AJ17" s="290"/>
      <c r="AK17" s="255"/>
    </row>
    <row r="18" spans="1:37" s="1448" customFormat="1" ht="12.75" customHeight="1">
      <c r="A18" s="1428" t="s">
        <v>171</v>
      </c>
      <c r="B18" s="1429" t="s">
        <v>35</v>
      </c>
      <c r="C18" s="1445"/>
      <c r="D18" s="1445"/>
      <c r="E18" s="1445"/>
      <c r="F18" s="1445"/>
      <c r="G18" s="1446">
        <f t="shared" ref="G18:AK18" si="2">G10-G14</f>
        <v>3.7080000000000002</v>
      </c>
      <c r="H18" s="1445">
        <f t="shared" si="2"/>
        <v>3.1368604251139178</v>
      </c>
      <c r="I18" s="1445">
        <f t="shared" si="2"/>
        <v>20.056063096764881</v>
      </c>
      <c r="J18" s="1445">
        <f t="shared" si="2"/>
        <v>55.863408287302306</v>
      </c>
      <c r="K18" s="1445">
        <f t="shared" si="2"/>
        <v>81.106668190818908</v>
      </c>
      <c r="L18" s="1446">
        <f t="shared" si="2"/>
        <v>160.16300000000001</v>
      </c>
      <c r="M18" s="1445">
        <f t="shared" si="2"/>
        <v>129.464</v>
      </c>
      <c r="N18" s="1447">
        <f t="shared" si="2"/>
        <v>286.53300000000002</v>
      </c>
      <c r="O18" s="1447">
        <f t="shared" si="2"/>
        <v>440.80700000000002</v>
      </c>
      <c r="P18" s="1447">
        <f t="shared" si="2"/>
        <v>565.27199999999993</v>
      </c>
      <c r="Q18" s="1446">
        <f t="shared" si="2"/>
        <v>1422.076</v>
      </c>
      <c r="R18" s="1445">
        <f t="shared" si="2"/>
        <v>719.23799999999994</v>
      </c>
      <c r="S18" s="1447">
        <f t="shared" si="2"/>
        <v>900.12100000000009</v>
      </c>
      <c r="T18" s="1447">
        <f>T10-T14</f>
        <v>995.85199999999986</v>
      </c>
      <c r="U18" s="1445">
        <f t="shared" si="2"/>
        <v>1116.0020308544795</v>
      </c>
      <c r="V18" s="1446">
        <f t="shared" si="2"/>
        <v>3731.2130308544797</v>
      </c>
      <c r="W18" s="1445">
        <f t="shared" si="2"/>
        <v>1674.0869691936362</v>
      </c>
      <c r="X18" s="1445">
        <f t="shared" si="2"/>
        <v>2227.8869527932766</v>
      </c>
      <c r="Y18" s="1445">
        <f t="shared" si="2"/>
        <v>2474.1056466756445</v>
      </c>
      <c r="Z18" s="1445">
        <f t="shared" si="2"/>
        <v>2649.4896841526361</v>
      </c>
      <c r="AA18" s="1446">
        <f t="shared" si="2"/>
        <v>9025.5692528151922</v>
      </c>
      <c r="AB18" s="1445">
        <f t="shared" si="2"/>
        <v>2930.6733348033613</v>
      </c>
      <c r="AC18" s="1445">
        <f t="shared" si="2"/>
        <v>3186.2663418043908</v>
      </c>
      <c r="AD18" s="1445">
        <f t="shared" si="2"/>
        <v>3445.7459746372633</v>
      </c>
      <c r="AE18" s="1445">
        <f t="shared" si="2"/>
        <v>3666.2188410909839</v>
      </c>
      <c r="AF18" s="1446">
        <f t="shared" si="2"/>
        <v>13228.904492336002</v>
      </c>
      <c r="AG18" s="1445">
        <f t="shared" si="2"/>
        <v>4016.3522701436095</v>
      </c>
      <c r="AH18" s="1445">
        <f t="shared" si="2"/>
        <v>4183.6417677038035</v>
      </c>
      <c r="AI18" s="1445">
        <f t="shared" si="2"/>
        <v>4338.1529580838933</v>
      </c>
      <c r="AJ18" s="1445">
        <f t="shared" si="2"/>
        <v>4472.0162871426965</v>
      </c>
      <c r="AK18" s="1446">
        <f t="shared" si="2"/>
        <v>17010.163283074005</v>
      </c>
    </row>
    <row r="19" spans="1:37" s="298" customFormat="1" ht="12.75" customHeight="1">
      <c r="A19" s="1088" t="s">
        <v>175</v>
      </c>
      <c r="B19" s="433" t="s">
        <v>31</v>
      </c>
      <c r="C19" s="102"/>
      <c r="D19" s="102"/>
      <c r="E19" s="102"/>
      <c r="F19" s="102"/>
      <c r="G19" s="254"/>
      <c r="H19" s="102" t="str">
        <f t="shared" ref="H19:AF19" si="3">IFERROR(H18/C18-1,"")</f>
        <v/>
      </c>
      <c r="I19" s="102" t="str">
        <f t="shared" si="3"/>
        <v/>
      </c>
      <c r="J19" s="102" t="str">
        <f t="shared" si="3"/>
        <v/>
      </c>
      <c r="K19" s="102" t="str">
        <f t="shared" si="3"/>
        <v/>
      </c>
      <c r="L19" s="254">
        <f t="shared" si="3"/>
        <v>42.19390507011866</v>
      </c>
      <c r="M19" s="102">
        <f t="shared" si="3"/>
        <v>40.271839500253954</v>
      </c>
      <c r="N19" s="102">
        <f t="shared" si="3"/>
        <v>13.286602441244757</v>
      </c>
      <c r="O19" s="102">
        <f t="shared" si="3"/>
        <v>6.8908003201837396</v>
      </c>
      <c r="P19" s="102">
        <f t="shared" si="3"/>
        <v>5.9694886081387262</v>
      </c>
      <c r="Q19" s="254">
        <f t="shared" si="3"/>
        <v>7.8789295904796983</v>
      </c>
      <c r="R19" s="102">
        <f t="shared" si="3"/>
        <v>4.5555057776679231</v>
      </c>
      <c r="S19" s="291">
        <f t="shared" si="3"/>
        <v>2.1414217559583015</v>
      </c>
      <c r="T19" s="291">
        <f t="shared" si="3"/>
        <v>1.2591565015982047</v>
      </c>
      <c r="U19" s="102">
        <f t="shared" si="3"/>
        <v>0.97427438623260953</v>
      </c>
      <c r="V19" s="254">
        <f t="shared" si="3"/>
        <v>1.6237789195897263</v>
      </c>
      <c r="W19" s="102">
        <f t="shared" si="3"/>
        <v>1.3275841504392654</v>
      </c>
      <c r="X19" s="102">
        <f t="shared" si="3"/>
        <v>1.4750971844821712</v>
      </c>
      <c r="Y19" s="102">
        <f t="shared" si="3"/>
        <v>1.4844109834349331</v>
      </c>
      <c r="Z19" s="102">
        <f t="shared" si="3"/>
        <v>1.3740903787818599</v>
      </c>
      <c r="AA19" s="254">
        <f t="shared" si="3"/>
        <v>1.4189369993565495</v>
      </c>
      <c r="AB19" s="102">
        <f t="shared" si="3"/>
        <v>0.75060996754248066</v>
      </c>
      <c r="AC19" s="102">
        <f t="shared" si="3"/>
        <v>0.43017415574408702</v>
      </c>
      <c r="AD19" s="102">
        <f t="shared" si="3"/>
        <v>0.39272386337550813</v>
      </c>
      <c r="AE19" s="102">
        <f t="shared" si="3"/>
        <v>0.38374527857938046</v>
      </c>
      <c r="AF19" s="254">
        <f t="shared" si="3"/>
        <v>0.4657141418763957</v>
      </c>
      <c r="AG19" s="102">
        <f>IFERROR(AG18/AB18-1,"")</f>
        <v>0.37045375287897575</v>
      </c>
      <c r="AH19" s="102">
        <f>IFERROR(AH18/AC18-1,"")</f>
        <v>0.31302324379279489</v>
      </c>
      <c r="AI19" s="102">
        <f>IFERROR(AI18/AD18-1,"")</f>
        <v>0.25898803626711753</v>
      </c>
      <c r="AJ19" s="102">
        <f>IFERROR(AJ18/AE18-1,"")</f>
        <v>0.21978978369221558</v>
      </c>
      <c r="AK19" s="254">
        <f>IFERROR(AK18/AF18-1,"")</f>
        <v>0.28583310076269952</v>
      </c>
    </row>
    <row r="20" spans="1:37" ht="12.75" customHeight="1">
      <c r="A20" s="67" t="s">
        <v>176</v>
      </c>
      <c r="B20" s="433" t="s">
        <v>33</v>
      </c>
      <c r="C20" s="253"/>
      <c r="D20" s="102"/>
      <c r="E20" s="102"/>
      <c r="F20" s="102"/>
      <c r="G20" s="255"/>
      <c r="H20" s="253" t="str">
        <f>IFERROR(H18/F18-1,"")</f>
        <v/>
      </c>
      <c r="I20" s="102">
        <f>IFERROR(I18/H18-1,"")</f>
        <v>5.3936740494395847</v>
      </c>
      <c r="J20" s="102">
        <f>IFERROR(J18/I18-1,"")</f>
        <v>1.7853626116839094</v>
      </c>
      <c r="K20" s="102">
        <f>IFERROR(K18/J18-1,"")</f>
        <v>0.45187468286381605</v>
      </c>
      <c r="L20" s="255"/>
      <c r="M20" s="253">
        <f>IFERROR(M18/K18-1,"")</f>
        <v>0.59621894090645222</v>
      </c>
      <c r="N20" s="102">
        <f>IFERROR(N18/M18-1,"")</f>
        <v>1.2132252981523823</v>
      </c>
      <c r="O20" s="102">
        <f>IFERROR(O18/N18-1,"")</f>
        <v>0.53841616846925144</v>
      </c>
      <c r="P20" s="102">
        <f>IFERROR(P18/O18-1,"")</f>
        <v>0.2823571313522697</v>
      </c>
      <c r="Q20" s="255"/>
      <c r="R20" s="253">
        <f>IFERROR(R18/P18-1,"")</f>
        <v>0.27237506899333419</v>
      </c>
      <c r="S20" s="291">
        <f>IFERROR(S18/R18-1,"")</f>
        <v>0.25149255183958608</v>
      </c>
      <c r="T20" s="291">
        <f>IFERROR(T18/S18-1,"")</f>
        <v>0.10635347914335935</v>
      </c>
      <c r="U20" s="102">
        <f>IFERROR(U18/T18-1,"")</f>
        <v>0.12065048908319675</v>
      </c>
      <c r="V20" s="255"/>
      <c r="W20" s="253">
        <f>IFERROR(W18/U18-1,"")</f>
        <v>0.50007519960501567</v>
      </c>
      <c r="X20" s="102">
        <f>IFERROR(X18/W18-1,"")</f>
        <v>0.33080717656287084</v>
      </c>
      <c r="Y20" s="102">
        <f>IFERROR(Y18/X18-1,"")</f>
        <v>0.11051669097198324</v>
      </c>
      <c r="Z20" s="102">
        <f>IFERROR(Z18/Y18-1,"")</f>
        <v>7.088785303596401E-2</v>
      </c>
      <c r="AA20" s="255"/>
      <c r="AB20" s="253">
        <f>IFERROR(AB18/Z18-1,"")</f>
        <v>0.10612747516344978</v>
      </c>
      <c r="AC20" s="102">
        <f>IFERROR(AC18/AB18-1,"")</f>
        <v>8.7213066009685036E-2</v>
      </c>
      <c r="AD20" s="102">
        <f>IFERROR(AD18/AC18-1,"")</f>
        <v>8.1436893529097887E-2</v>
      </c>
      <c r="AE20" s="102">
        <f>IFERROR(AE18/AD18-1,"")</f>
        <v>6.39840742981439E-2</v>
      </c>
      <c r="AF20" s="255"/>
      <c r="AG20" s="253">
        <f>IFERROR(AG18/AE18-1,"")</f>
        <v>9.5502599334314153E-2</v>
      </c>
      <c r="AH20" s="102">
        <f>IFERROR(AH18/AG18-1,"")</f>
        <v>4.1652097801225141E-2</v>
      </c>
      <c r="AI20" s="102">
        <f>IFERROR(AI18/AH18-1,"")</f>
        <v>3.6932222919481283E-2</v>
      </c>
      <c r="AJ20" s="102">
        <f>IFERROR(AJ18/AI18-1,"")</f>
        <v>3.0857217426913719E-2</v>
      </c>
      <c r="AK20" s="255"/>
    </row>
    <row r="21" spans="1:37" s="450" customFormat="1" ht="12.75" customHeight="1">
      <c r="A21" s="448" t="s">
        <v>177</v>
      </c>
      <c r="B21" s="433" t="s">
        <v>100</v>
      </c>
      <c r="C21" s="465" t="str">
        <f>IFERROR(C18/C$10,"")</f>
        <v/>
      </c>
      <c r="D21" s="465" t="str">
        <f>IFERROR(D18/D$10,"")</f>
        <v/>
      </c>
      <c r="E21" s="465" t="str">
        <f>IFERROR(E18/E$10,"")</f>
        <v/>
      </c>
      <c r="F21" s="465" t="str">
        <f>IFERROR(F18/F$10,"")</f>
        <v/>
      </c>
      <c r="G21" s="466">
        <f>IFERROR(G18/G$10,"")</f>
        <v>0.23423878711307644</v>
      </c>
      <c r="H21" s="465">
        <f t="shared" ref="H21:AF21" si="4">IFERROR(H18/H$10,"")</f>
        <v>0.39588407480598881</v>
      </c>
      <c r="I21" s="465">
        <f t="shared" si="4"/>
        <v>0.67203899505085318</v>
      </c>
      <c r="J21" s="465">
        <f t="shared" si="4"/>
        <v>0.74307370606698353</v>
      </c>
      <c r="K21" s="465">
        <f t="shared" si="4"/>
        <v>0.69921416007132131</v>
      </c>
      <c r="L21" s="466">
        <f t="shared" si="4"/>
        <v>0.69957587696500878</v>
      </c>
      <c r="M21" s="465">
        <f t="shared" si="4"/>
        <v>0.68614190922388751</v>
      </c>
      <c r="N21" s="611">
        <f t="shared" si="4"/>
        <v>0.72471931426432401</v>
      </c>
      <c r="O21" s="611">
        <f t="shared" si="4"/>
        <v>0.75488277069087462</v>
      </c>
      <c r="P21" s="611">
        <f>IFERROR(P18/P$10,"")</f>
        <v>0.75628754532196996</v>
      </c>
      <c r="Q21" s="466">
        <f t="shared" si="4"/>
        <v>0.74243327593966046</v>
      </c>
      <c r="R21" s="465">
        <f>IFERROR(R18/R$10,"")</f>
        <v>0.73269616312426655</v>
      </c>
      <c r="S21" s="611">
        <f>IFERROR(S18/S$10,"")</f>
        <v>0.74219154543085852</v>
      </c>
      <c r="T21" s="611">
        <f>IFERROR(T18/T$10,"")</f>
        <v>0.72973511661376023</v>
      </c>
      <c r="U21" s="465">
        <f t="shared" si="4"/>
        <v>0.72332400950848397</v>
      </c>
      <c r="V21" s="466">
        <f t="shared" si="4"/>
        <v>0.73132706799958724</v>
      </c>
      <c r="W21" s="465">
        <f t="shared" si="4"/>
        <v>0.75168000000000001</v>
      </c>
      <c r="X21" s="465">
        <f t="shared" si="4"/>
        <v>0.75160000000000005</v>
      </c>
      <c r="Y21" s="465">
        <f t="shared" si="4"/>
        <v>0.75207999999999997</v>
      </c>
      <c r="Z21" s="465">
        <f t="shared" si="4"/>
        <v>0.75256000000000012</v>
      </c>
      <c r="AA21" s="466">
        <f t="shared" si="4"/>
        <v>0.7520280272667762</v>
      </c>
      <c r="AB21" s="465">
        <f t="shared" si="4"/>
        <v>0.76888000000000001</v>
      </c>
      <c r="AC21" s="465">
        <f t="shared" si="4"/>
        <v>0.76704162446338331</v>
      </c>
      <c r="AD21" s="465">
        <f t="shared" si="4"/>
        <v>0.7702</v>
      </c>
      <c r="AE21" s="465">
        <f t="shared" si="4"/>
        <v>0.76836162446338341</v>
      </c>
      <c r="AF21" s="466">
        <f t="shared" si="4"/>
        <v>0.76863570640391832</v>
      </c>
      <c r="AG21" s="465">
        <f>IFERROR(AG18/AG$10,"")</f>
        <v>0.78468162446338352</v>
      </c>
      <c r="AH21" s="465">
        <f>IFERROR(AH18/AH$10,"")</f>
        <v>0.78495570640391832</v>
      </c>
      <c r="AI21" s="465">
        <f>IFERROR(AI18/AI$10,"")</f>
        <v>0.78600162446338329</v>
      </c>
      <c r="AJ21" s="465">
        <f>IFERROR(AJ18/AJ$10,"")</f>
        <v>0.78627570640391842</v>
      </c>
      <c r="AK21" s="466">
        <f>IFERROR(AK18/AK$10,"")</f>
        <v>0.78550418947761602</v>
      </c>
    </row>
    <row r="22" spans="1:37" ht="12.75" customHeight="1">
      <c r="B22" s="477"/>
      <c r="C22" s="259"/>
      <c r="D22" s="257"/>
      <c r="E22" s="257"/>
      <c r="F22" s="257"/>
      <c r="G22" s="258"/>
      <c r="H22" s="259"/>
      <c r="I22" s="257"/>
      <c r="J22" s="257"/>
      <c r="K22" s="257"/>
      <c r="L22" s="258"/>
      <c r="M22" s="614"/>
      <c r="N22" s="292"/>
      <c r="O22" s="292"/>
      <c r="P22" s="292"/>
      <c r="Q22" s="258"/>
      <c r="R22" s="259"/>
      <c r="S22" s="292"/>
      <c r="T22" s="292"/>
      <c r="U22" s="257"/>
      <c r="V22" s="258"/>
      <c r="W22" s="259"/>
      <c r="X22" s="257"/>
      <c r="Y22" s="257"/>
      <c r="Z22" s="257"/>
      <c r="AA22" s="258"/>
      <c r="AB22" s="259"/>
      <c r="AC22" s="257"/>
      <c r="AD22" s="257"/>
      <c r="AE22" s="257"/>
      <c r="AF22" s="258"/>
      <c r="AG22" s="259"/>
      <c r="AH22" s="257"/>
      <c r="AI22" s="257"/>
      <c r="AJ22" s="257"/>
      <c r="AK22" s="258"/>
    </row>
    <row r="23" spans="1:37" s="1433" customFormat="1" ht="12.75" customHeight="1">
      <c r="A23" s="1441"/>
      <c r="B23" s="1442" t="s">
        <v>255</v>
      </c>
      <c r="C23" s="1443"/>
      <c r="D23" s="1444"/>
      <c r="E23" s="1444"/>
      <c r="F23" s="1444"/>
      <c r="G23" s="1436">
        <v>18.106000000000002</v>
      </c>
      <c r="H23" s="1437">
        <f>M23/(1+M24)</f>
        <v>8.8592249215478684</v>
      </c>
      <c r="I23" s="1437">
        <f>N23/(1+N24)</f>
        <v>17.162370896997249</v>
      </c>
      <c r="J23" s="1437">
        <f>O23/(1+O24)</f>
        <v>39.900803161776935</v>
      </c>
      <c r="K23" s="1437">
        <f>L23-J23-I23-H23</f>
        <v>65.932601019677946</v>
      </c>
      <c r="L23" s="1436">
        <v>131.85499999999999</v>
      </c>
      <c r="M23" s="1438">
        <v>92.881</v>
      </c>
      <c r="N23" s="1438">
        <v>182.886</v>
      </c>
      <c r="O23" s="1438">
        <v>285.50900000000001</v>
      </c>
      <c r="P23" s="1438">
        <v>399.40899999999999</v>
      </c>
      <c r="Q23" s="1439">
        <f>SUM(M23:P23)</f>
        <v>960.68500000000006</v>
      </c>
      <c r="R23" s="1438">
        <v>561.40200000000004</v>
      </c>
      <c r="S23" s="1438">
        <v>669.91300000000001</v>
      </c>
      <c r="T23" s="1438">
        <v>747.47900000000004</v>
      </c>
      <c r="U23" s="1440">
        <f>'IS (Non-GAAP)'!U23+'IS (Non-GAAP)'!U103</f>
        <v>918.00514958508563</v>
      </c>
      <c r="V23" s="1439">
        <f>SUM(R23:U23)</f>
        <v>2896.7991495850856</v>
      </c>
      <c r="W23" s="1440">
        <f>'IS (Non-GAAP)'!W23+'IS (Non-GAAP)'!W103</f>
        <v>1249.5853977416637</v>
      </c>
      <c r="X23" s="1440">
        <f>'IS (Non-GAAP)'!X23+'IS (Non-GAAP)'!X103</f>
        <v>1614.4329170715087</v>
      </c>
      <c r="Y23" s="1440">
        <f>'IS (Non-GAAP)'!Y23+'IS (Non-GAAP)'!Y103</f>
        <v>1807.4273370717017</v>
      </c>
      <c r="Z23" s="1440">
        <f>'IS (Non-GAAP)'!Z23+'IS (Non-GAAP)'!Z103</f>
        <v>1915.6001676734047</v>
      </c>
      <c r="AA23" s="1439">
        <f>SUM(W23:Z23)</f>
        <v>6587.0458195582787</v>
      </c>
      <c r="AB23" s="1440">
        <f>'IS (Non-GAAP)'!AB23+'IS (Non-GAAP)'!AB103</f>
        <v>2097.755674821135</v>
      </c>
      <c r="AC23" s="1440">
        <f>'IS (Non-GAAP)'!AC23+'IS (Non-GAAP)'!AC103</f>
        <v>2289.3596324044302</v>
      </c>
      <c r="AD23" s="1440">
        <f>'IS (Non-GAAP)'!AD23+'IS (Non-GAAP)'!AD103</f>
        <v>2456.7758497550108</v>
      </c>
      <c r="AE23" s="1440">
        <f>'IS (Non-GAAP)'!AE23+'IS (Non-GAAP)'!AE103</f>
        <v>2712.6216335995014</v>
      </c>
      <c r="AF23" s="1439">
        <f>SUM(AB23:AE23)</f>
        <v>9556.5127905800782</v>
      </c>
      <c r="AG23" s="1440">
        <f>'IS (Non-GAAP)'!AG23+'IS (Non-GAAP)'!AG103</f>
        <v>2888.1231540001959</v>
      </c>
      <c r="AH23" s="1440">
        <f>'IS (Non-GAAP)'!AH23+'IS (Non-GAAP)'!AH103</f>
        <v>3066.4276627248919</v>
      </c>
      <c r="AI23" s="1440">
        <f>'IS (Non-GAAP)'!AI23+'IS (Non-GAAP)'!AI103</f>
        <v>3185.8296426210268</v>
      </c>
      <c r="AJ23" s="1440">
        <f>'IS (Non-GAAP)'!AJ23+'IS (Non-GAAP)'!AJ103</f>
        <v>3392.3535559999841</v>
      </c>
      <c r="AK23" s="1439">
        <f>SUM(AG23:AJ23)</f>
        <v>12532.734015346099</v>
      </c>
    </row>
    <row r="24" spans="1:37" s="298" customFormat="1" ht="12.75" customHeight="1">
      <c r="A24" s="1089"/>
      <c r="B24" s="433" t="s">
        <v>31</v>
      </c>
      <c r="C24" s="102"/>
      <c r="D24" s="102"/>
      <c r="E24" s="102"/>
      <c r="F24" s="102"/>
      <c r="G24" s="254"/>
      <c r="H24" s="102" t="str">
        <f t="shared" ref="H24:AF24" si="5">IFERROR(H23/C23-1,"")</f>
        <v/>
      </c>
      <c r="I24" s="102" t="str">
        <f t="shared" si="5"/>
        <v/>
      </c>
      <c r="J24" s="102" t="str">
        <f t="shared" si="5"/>
        <v/>
      </c>
      <c r="K24" s="102" t="str">
        <f t="shared" si="5"/>
        <v/>
      </c>
      <c r="L24" s="254">
        <f t="shared" si="5"/>
        <v>6.2823925770462816</v>
      </c>
      <c r="M24" s="544">
        <v>9.4840999999999998</v>
      </c>
      <c r="N24" s="544">
        <v>9.6562199999999994</v>
      </c>
      <c r="O24" s="544">
        <v>6.1554700000000002</v>
      </c>
      <c r="P24" s="291">
        <f t="shared" si="5"/>
        <v>5.0578377589076791</v>
      </c>
      <c r="Q24" s="254">
        <f t="shared" si="5"/>
        <v>6.2859201395472306</v>
      </c>
      <c r="R24" s="102">
        <f t="shared" si="5"/>
        <v>5.0443147683595146</v>
      </c>
      <c r="S24" s="291">
        <f t="shared" si="5"/>
        <v>2.6630086501973911</v>
      </c>
      <c r="T24" s="291">
        <f t="shared" si="5"/>
        <v>1.618057574367183</v>
      </c>
      <c r="U24" s="102">
        <f t="shared" si="5"/>
        <v>1.2984087729247102</v>
      </c>
      <c r="V24" s="254">
        <f t="shared" si="5"/>
        <v>2.0153475380432559</v>
      </c>
      <c r="W24" s="102">
        <f t="shared" si="5"/>
        <v>1.2258299716453869</v>
      </c>
      <c r="X24" s="102">
        <f t="shared" si="5"/>
        <v>1.4099142979334758</v>
      </c>
      <c r="Y24" s="102">
        <f t="shared" si="5"/>
        <v>1.4180309240416138</v>
      </c>
      <c r="Z24" s="102">
        <f t="shared" si="5"/>
        <v>1.086698716820059</v>
      </c>
      <c r="AA24" s="254">
        <f t="shared" si="5"/>
        <v>1.2739049134634532</v>
      </c>
      <c r="AB24" s="102">
        <f t="shared" si="5"/>
        <v>0.67876135445592012</v>
      </c>
      <c r="AC24" s="102">
        <f t="shared" si="5"/>
        <v>0.41805807364061986</v>
      </c>
      <c r="AD24" s="102">
        <f t="shared" si="5"/>
        <v>0.35926673198124215</v>
      </c>
      <c r="AE24" s="102">
        <f t="shared" si="5"/>
        <v>0.41606880150471093</v>
      </c>
      <c r="AF24" s="254">
        <f t="shared" si="5"/>
        <v>0.45080405577335569</v>
      </c>
      <c r="AG24" s="102">
        <f>IFERROR(AG23/AB23-1,"")</f>
        <v>0.37676812827425743</v>
      </c>
      <c r="AH24" s="102">
        <f>IFERROR(AH23/AC23-1,"")</f>
        <v>0.33942593348880523</v>
      </c>
      <c r="AI24" s="102">
        <f>IFERROR(AI23/AD23-1,"")</f>
        <v>0.29675226290535095</v>
      </c>
      <c r="AJ24" s="102">
        <f>IFERROR(AJ23/AE23-1,"")</f>
        <v>0.25058117725711537</v>
      </c>
      <c r="AK24" s="254">
        <f>IFERROR(AK23/AF23-1,"")</f>
        <v>0.31143381377563828</v>
      </c>
    </row>
    <row r="25" spans="1:37" ht="12.75" customHeight="1">
      <c r="A25" s="1089"/>
      <c r="B25" s="433" t="s">
        <v>33</v>
      </c>
      <c r="C25" s="253"/>
      <c r="D25" s="102"/>
      <c r="E25" s="102"/>
      <c r="F25" s="102"/>
      <c r="G25" s="255"/>
      <c r="H25" s="253" t="str">
        <f>IFERROR(H23/F23-1,"")</f>
        <v/>
      </c>
      <c r="I25" s="102">
        <f>IFERROR(I23/H23-1,"")</f>
        <v>0.93723164825108296</v>
      </c>
      <c r="J25" s="102">
        <f>IFERROR(J23/I23-1,"")</f>
        <v>1.3249004115601553</v>
      </c>
      <c r="K25" s="102">
        <f>IFERROR(K23/J23-1,"")</f>
        <v>0.65241287881739263</v>
      </c>
      <c r="L25" s="255"/>
      <c r="M25" s="616">
        <f>IFERROR(M23/K23-1,"")</f>
        <v>0.40872646556563352</v>
      </c>
      <c r="N25" s="291">
        <f>IFERROR(N23/M23-1,"")</f>
        <v>0.96903564776434359</v>
      </c>
      <c r="O25" s="291">
        <f>IFERROR(O23/N23-1,"")</f>
        <v>0.56113097776757126</v>
      </c>
      <c r="P25" s="291">
        <f>IFERROR(P23/O23-1,"")</f>
        <v>0.39893663597294649</v>
      </c>
      <c r="Q25" s="255"/>
      <c r="R25" s="253">
        <f>IFERROR(R23/P23-1,"")</f>
        <v>0.40558174703123884</v>
      </c>
      <c r="S25" s="291">
        <f>IFERROR(S23/R23-1,"")</f>
        <v>0.19328573820542139</v>
      </c>
      <c r="T25" s="291">
        <f>IFERROR(T23/S23-1,"")</f>
        <v>0.11578518404628668</v>
      </c>
      <c r="U25" s="102">
        <f>IFERROR(U23/T23-1,"")</f>
        <v>0.22813503735233431</v>
      </c>
      <c r="V25" s="255"/>
      <c r="W25" s="253">
        <f>IFERROR(W23/U23-1,"")</f>
        <v>0.36119650124669089</v>
      </c>
      <c r="X25" s="102">
        <f>IFERROR(X23/W23-1,"")</f>
        <v>0.29197485821234981</v>
      </c>
      <c r="Y25" s="102">
        <f>IFERROR(Y23/X23-1,"")</f>
        <v>0.11954316463657966</v>
      </c>
      <c r="Z25" s="102">
        <f>IFERROR(Z23/Y23-1,"")</f>
        <v>5.9849061914134305E-2</v>
      </c>
      <c r="AA25" s="255"/>
      <c r="AB25" s="253">
        <f>IFERROR(AB23/Z23-1,"")</f>
        <v>9.5090567552501115E-2</v>
      </c>
      <c r="AC25" s="102">
        <f>IFERROR(AC23/AB23-1,"")</f>
        <v>9.1337594688967849E-2</v>
      </c>
      <c r="AD25" s="102">
        <f>IFERROR(AD23/AC23-1,"")</f>
        <v>7.3127967742992572E-2</v>
      </c>
      <c r="AE25" s="102">
        <f>IFERROR(AE23/AD23-1,"")</f>
        <v>0.10413883866124918</v>
      </c>
      <c r="AF25" s="255"/>
      <c r="AG25" s="253">
        <f>IFERROR(AG23/AE23-1,"")</f>
        <v>6.4698120160537664E-2</v>
      </c>
      <c r="AH25" s="102">
        <f>IFERROR(AH23/AG23-1,"")</f>
        <v>6.1737155660323895E-2</v>
      </c>
      <c r="AI25" s="102">
        <f>IFERROR(AI23/AH23-1,"")</f>
        <v>3.8938462937694762E-2</v>
      </c>
      <c r="AJ25" s="102">
        <f>IFERROR(AJ23/AI23-1,"")</f>
        <v>6.4825786858159651E-2</v>
      </c>
      <c r="AK25" s="255"/>
    </row>
    <row r="26" spans="1:37" s="450" customFormat="1" ht="12.75" customHeight="1">
      <c r="A26" s="1091"/>
      <c r="B26" s="433" t="s">
        <v>99</v>
      </c>
      <c r="C26" s="465" t="str">
        <f t="shared" ref="C26:V26" si="6">IFERROR(C23/C$10,"")</f>
        <v/>
      </c>
      <c r="D26" s="465" t="str">
        <f t="shared" si="6"/>
        <v/>
      </c>
      <c r="E26" s="465" t="str">
        <f t="shared" si="6"/>
        <v/>
      </c>
      <c r="F26" s="465" t="str">
        <f t="shared" si="6"/>
        <v/>
      </c>
      <c r="G26" s="466">
        <f t="shared" si="6"/>
        <v>1.1437776373973469</v>
      </c>
      <c r="H26" s="465">
        <f t="shared" si="6"/>
        <v>1.1180688925417421</v>
      </c>
      <c r="I26" s="465">
        <f t="shared" si="6"/>
        <v>0.57507709437593879</v>
      </c>
      <c r="J26" s="465">
        <f t="shared" si="6"/>
        <v>0.53074523358808456</v>
      </c>
      <c r="K26" s="465">
        <f t="shared" si="6"/>
        <v>0.56839972929020144</v>
      </c>
      <c r="L26" s="466">
        <f t="shared" si="6"/>
        <v>0.57592937980195935</v>
      </c>
      <c r="M26" s="611">
        <f t="shared" si="6"/>
        <v>0.49225689512624282</v>
      </c>
      <c r="N26" s="611">
        <f t="shared" si="6"/>
        <v>0.46256806897825081</v>
      </c>
      <c r="O26" s="611">
        <f t="shared" si="6"/>
        <v>0.48893466976971989</v>
      </c>
      <c r="P26" s="611">
        <f t="shared" si="6"/>
        <v>0.53437646334773825</v>
      </c>
      <c r="Q26" s="466">
        <f t="shared" si="6"/>
        <v>0.50155161306153306</v>
      </c>
      <c r="R26" s="465">
        <f t="shared" si="6"/>
        <v>0.57190678380492899</v>
      </c>
      <c r="S26" s="611">
        <f>IFERROR(S23/S$10,"")</f>
        <v>0.55237436386243932</v>
      </c>
      <c r="T26" s="611">
        <f>IFERROR(T23/T$10,"")</f>
        <v>0.54773367451321786</v>
      </c>
      <c r="U26" s="465">
        <f t="shared" si="6"/>
        <v>0.59499458530457072</v>
      </c>
      <c r="V26" s="466">
        <f t="shared" si="6"/>
        <v>0.56777986438490813</v>
      </c>
      <c r="W26" s="465">
        <f t="shared" ref="W26:AF26" si="7">IFERROR(W23/W$10,"")</f>
        <v>0.56107500330576277</v>
      </c>
      <c r="X26" s="465">
        <f t="shared" si="7"/>
        <v>0.54464513064704723</v>
      </c>
      <c r="Y26" s="465">
        <f t="shared" si="7"/>
        <v>0.54942275948941877</v>
      </c>
      <c r="Z26" s="465">
        <f t="shared" si="7"/>
        <v>0.5441063125502803</v>
      </c>
      <c r="AA26" s="466">
        <f t="shared" si="7"/>
        <v>0.54884550042682034</v>
      </c>
      <c r="AB26" s="465">
        <f t="shared" si="7"/>
        <v>0.55035897863543237</v>
      </c>
      <c r="AC26" s="465">
        <f t="shared" si="7"/>
        <v>0.55112597097766203</v>
      </c>
      <c r="AD26" s="465">
        <f t="shared" si="7"/>
        <v>0.54914342885665091</v>
      </c>
      <c r="AE26" s="465">
        <f t="shared" si="7"/>
        <v>0.56850789745185992</v>
      </c>
      <c r="AF26" s="466">
        <f t="shared" si="7"/>
        <v>0.55525965614167894</v>
      </c>
      <c r="AG26" s="465">
        <f>IFERROR(AG23/AG$10,"")</f>
        <v>0.56425756898314883</v>
      </c>
      <c r="AH26" s="465">
        <f>IFERROR(AH23/AH$10,"")</f>
        <v>0.57533843139055951</v>
      </c>
      <c r="AI26" s="465">
        <f>IFERROR(AI23/AI$10,"")</f>
        <v>0.57721968279093172</v>
      </c>
      <c r="AJ26" s="465">
        <f>IFERROR(AJ23/AJ$10,"")</f>
        <v>0.59644800406573761</v>
      </c>
      <c r="AK26" s="466">
        <f>IFERROR(AK23/AK$10,"")</f>
        <v>0.57874312614381473</v>
      </c>
    </row>
    <row r="27" spans="1:37" s="450" customFormat="1" ht="12.75" customHeight="1">
      <c r="A27" s="448"/>
      <c r="B27" s="433" t="s">
        <v>512</v>
      </c>
      <c r="C27" s="465" t="str">
        <f>IFERROR(C24/C$10,"")</f>
        <v/>
      </c>
      <c r="D27" s="465" t="str">
        <f>IFERROR(D24/D$10,"")</f>
        <v/>
      </c>
      <c r="E27" s="465" t="str">
        <f>IFERROR(E24/E$10,"")</f>
        <v/>
      </c>
      <c r="F27" s="465" t="str">
        <f>IFERROR(F24/F$10,"")</f>
        <v/>
      </c>
      <c r="G27" s="466">
        <f t="shared" ref="G27:AK27" si="8">(G18-G23)/G10</f>
        <v>-0.90953885028427051</v>
      </c>
      <c r="H27" s="465">
        <f t="shared" si="8"/>
        <v>-0.72218481773575338</v>
      </c>
      <c r="I27" s="465">
        <f t="shared" si="8"/>
        <v>9.696190067491435E-2</v>
      </c>
      <c r="J27" s="465">
        <f t="shared" si="8"/>
        <v>0.21232847247889899</v>
      </c>
      <c r="K27" s="465">
        <f t="shared" si="8"/>
        <v>0.13081443078111987</v>
      </c>
      <c r="L27" s="466">
        <f t="shared" si="8"/>
        <v>0.1236464971630494</v>
      </c>
      <c r="M27" s="465">
        <f t="shared" si="8"/>
        <v>0.19388501409764472</v>
      </c>
      <c r="N27" s="611">
        <f t="shared" si="8"/>
        <v>0.26215124528607314</v>
      </c>
      <c r="O27" s="611">
        <f t="shared" si="8"/>
        <v>0.26594810092115467</v>
      </c>
      <c r="P27" s="611">
        <f t="shared" si="8"/>
        <v>0.22191108197423165</v>
      </c>
      <c r="Q27" s="466">
        <f t="shared" si="8"/>
        <v>0.24088166287812737</v>
      </c>
      <c r="R27" s="465">
        <f t="shared" si="8"/>
        <v>0.16078937931933751</v>
      </c>
      <c r="S27" s="611">
        <f t="shared" si="8"/>
        <v>0.18981718156841929</v>
      </c>
      <c r="T27" s="611">
        <f>(T18-T23)/T10</f>
        <v>0.18200144210054242</v>
      </c>
      <c r="U27" s="465">
        <f t="shared" si="8"/>
        <v>0.12832942420391327</v>
      </c>
      <c r="V27" s="466">
        <f t="shared" si="8"/>
        <v>0.16354720361467914</v>
      </c>
      <c r="W27" s="465">
        <f t="shared" si="8"/>
        <v>0.19060499669423725</v>
      </c>
      <c r="X27" s="465">
        <f t="shared" si="8"/>
        <v>0.20695486935295285</v>
      </c>
      <c r="Y27" s="465">
        <f t="shared" si="8"/>
        <v>0.20265724051058129</v>
      </c>
      <c r="Z27" s="465">
        <f t="shared" si="8"/>
        <v>0.20845368744971979</v>
      </c>
      <c r="AA27" s="466">
        <f t="shared" si="8"/>
        <v>0.2031825268399558</v>
      </c>
      <c r="AB27" s="465">
        <f t="shared" si="8"/>
        <v>0.21852102136456769</v>
      </c>
      <c r="AC27" s="465">
        <f t="shared" si="8"/>
        <v>0.21591565348572123</v>
      </c>
      <c r="AD27" s="465">
        <f t="shared" si="8"/>
        <v>0.22105657114334909</v>
      </c>
      <c r="AE27" s="465">
        <f t="shared" si="8"/>
        <v>0.19985372701152351</v>
      </c>
      <c r="AF27" s="466">
        <f t="shared" si="8"/>
        <v>0.21337605026223946</v>
      </c>
      <c r="AG27" s="465">
        <f t="shared" si="8"/>
        <v>0.22042405548023461</v>
      </c>
      <c r="AH27" s="465">
        <f t="shared" si="8"/>
        <v>0.20961727501335883</v>
      </c>
      <c r="AI27" s="465">
        <f t="shared" si="8"/>
        <v>0.20878194167245159</v>
      </c>
      <c r="AJ27" s="465">
        <f t="shared" si="8"/>
        <v>0.18982770233818075</v>
      </c>
      <c r="AK27" s="466">
        <f t="shared" si="8"/>
        <v>0.20676106333380123</v>
      </c>
    </row>
    <row r="28" spans="1:37" s="450" customFormat="1" ht="12.75" customHeight="1">
      <c r="A28" s="448"/>
      <c r="B28" s="433"/>
      <c r="C28" s="465"/>
      <c r="D28" s="465"/>
      <c r="E28" s="465"/>
      <c r="F28" s="465"/>
      <c r="G28" s="466"/>
      <c r="H28" s="465"/>
      <c r="I28" s="465"/>
      <c r="J28" s="465"/>
      <c r="K28" s="465"/>
      <c r="L28" s="466"/>
      <c r="M28" s="465"/>
      <c r="N28" s="611"/>
      <c r="O28" s="611"/>
      <c r="P28" s="611"/>
      <c r="Q28" s="466"/>
      <c r="R28" s="465"/>
      <c r="S28" s="611"/>
      <c r="T28" s="611"/>
      <c r="U28" s="465"/>
      <c r="V28" s="466"/>
      <c r="W28" s="465"/>
      <c r="X28" s="465"/>
      <c r="Y28" s="465"/>
      <c r="Z28" s="465"/>
      <c r="AA28" s="466"/>
      <c r="AB28" s="465"/>
      <c r="AC28" s="465"/>
      <c r="AD28" s="465"/>
      <c r="AE28" s="465"/>
      <c r="AF28" s="466"/>
      <c r="AG28" s="465"/>
      <c r="AH28" s="465"/>
      <c r="AI28" s="465"/>
      <c r="AJ28" s="465"/>
      <c r="AK28" s="466"/>
    </row>
    <row r="29" spans="1:37" s="289" customFormat="1" ht="12.75" customHeight="1">
      <c r="A29" s="1090"/>
      <c r="B29" s="1050" t="s">
        <v>615</v>
      </c>
      <c r="C29" s="287"/>
      <c r="D29" s="288"/>
      <c r="E29" s="288"/>
      <c r="F29" s="288"/>
      <c r="G29" s="1318">
        <f>'Depreciation Build'!G33</f>
        <v>11</v>
      </c>
      <c r="H29" s="890"/>
      <c r="I29" s="703"/>
      <c r="J29" s="703"/>
      <c r="K29" s="703"/>
      <c r="L29" s="1318">
        <f>'Depreciation Build'!L33</f>
        <v>101</v>
      </c>
      <c r="M29" s="890">
        <f>'Depreciation Build'!M33</f>
        <v>77</v>
      </c>
      <c r="N29" s="890">
        <f>'Depreciation Build'!N33</f>
        <v>158</v>
      </c>
      <c r="O29" s="890">
        <f>'Depreciation Build'!O33</f>
        <v>256</v>
      </c>
      <c r="P29" s="890">
        <f>'Depreciation Build'!P33</f>
        <v>352</v>
      </c>
      <c r="Q29" s="1318">
        <f>'Depreciation Build'!Q33</f>
        <v>843</v>
      </c>
      <c r="R29" s="890">
        <f>'Depreciation Build'!R33</f>
        <v>429</v>
      </c>
      <c r="S29" s="890">
        <f>'Depreciation Build'!S33</f>
        <v>537</v>
      </c>
      <c r="T29" s="890">
        <f>'Depreciation Build'!T33</f>
        <v>349</v>
      </c>
      <c r="U29" s="890">
        <f>'Depreciation Build'!U33</f>
        <v>427.1175523349437</v>
      </c>
      <c r="V29" s="1318">
        <f>'Depreciation Build'!V33</f>
        <v>1742.1175523349436</v>
      </c>
      <c r="W29" s="890">
        <f>'Depreciation Build'!W33</f>
        <v>643.18451819344489</v>
      </c>
      <c r="X29" s="890">
        <f>'Depreciation Build'!X33</f>
        <v>754.60883307535585</v>
      </c>
      <c r="Y29" s="890">
        <f>'Depreciation Build'!Y33</f>
        <v>825.05421612688565</v>
      </c>
      <c r="Z29" s="890">
        <f>'Depreciation Build'!Z33</f>
        <v>895.49959917841545</v>
      </c>
      <c r="AA29" s="1318">
        <f>'Depreciation Build'!AA33</f>
        <v>3118.3471665741017</v>
      </c>
      <c r="AB29" s="890">
        <f>'Depreciation Build'!AB33</f>
        <v>1012.7780471789522</v>
      </c>
      <c r="AC29" s="890">
        <f>'Depreciation Build'!AC33</f>
        <v>1130.056495179489</v>
      </c>
      <c r="AD29" s="890">
        <f>'Depreciation Build'!AD33</f>
        <v>1247.3349431800259</v>
      </c>
      <c r="AE29" s="890">
        <f>'Depreciation Build'!AE33</f>
        <v>1364.6133911805628</v>
      </c>
      <c r="AF29" s="1318">
        <f>'Depreciation Build'!AF33</f>
        <v>4754.7828767190304</v>
      </c>
      <c r="AG29" s="890">
        <f>'Depreciation Build'!AG33</f>
        <v>1468.6380818005305</v>
      </c>
      <c r="AH29" s="890">
        <f>'Depreciation Build'!AH33</f>
        <v>1574.2082635638155</v>
      </c>
      <c r="AI29" s="890">
        <f>'Depreciation Build'!AI33</f>
        <v>1679.7784453271006</v>
      </c>
      <c r="AJ29" s="890">
        <f>'Depreciation Build'!AJ33</f>
        <v>1785.3486270903857</v>
      </c>
      <c r="AK29" s="1318">
        <f>'Depreciation Build'!AK33</f>
        <v>6507.9734177818327</v>
      </c>
    </row>
    <row r="30" spans="1:37" s="289" customFormat="1" ht="12.75" customHeight="1">
      <c r="A30" s="1090"/>
      <c r="B30" s="1050"/>
      <c r="C30" s="287"/>
      <c r="D30" s="288"/>
      <c r="E30" s="288"/>
      <c r="F30" s="288"/>
      <c r="G30" s="1318"/>
      <c r="H30" s="890"/>
      <c r="I30" s="703"/>
      <c r="J30" s="703"/>
      <c r="K30" s="703"/>
      <c r="L30" s="1318"/>
      <c r="M30" s="890"/>
      <c r="N30" s="890"/>
      <c r="O30" s="890"/>
      <c r="P30" s="890"/>
      <c r="Q30" s="1318"/>
      <c r="R30" s="890"/>
      <c r="S30" s="890"/>
      <c r="T30" s="890"/>
      <c r="U30" s="890"/>
      <c r="V30" s="1318"/>
      <c r="W30" s="890"/>
      <c r="X30" s="890"/>
      <c r="Y30" s="890"/>
      <c r="Z30" s="890"/>
      <c r="AA30" s="1318"/>
      <c r="AB30" s="890"/>
      <c r="AC30" s="890"/>
      <c r="AD30" s="890"/>
      <c r="AE30" s="890"/>
      <c r="AF30" s="1318"/>
      <c r="AG30" s="890"/>
      <c r="AH30" s="890"/>
      <c r="AI30" s="890"/>
      <c r="AJ30" s="890"/>
      <c r="AK30" s="1318"/>
    </row>
    <row r="31" spans="1:37" s="299" customFormat="1" ht="12.75" customHeight="1">
      <c r="A31" s="1023"/>
      <c r="B31" s="1320" t="s">
        <v>681</v>
      </c>
      <c r="C31" s="287"/>
      <c r="D31" s="288"/>
      <c r="E31" s="288"/>
      <c r="F31" s="288"/>
      <c r="G31" s="699">
        <f>G23-G29</f>
        <v>7.1060000000000016</v>
      </c>
      <c r="H31" s="727"/>
      <c r="I31" s="728"/>
      <c r="J31" s="728"/>
      <c r="K31" s="728"/>
      <c r="L31" s="699">
        <f t="shared" ref="L31:Q31" si="9">L23-L29</f>
        <v>30.85499999999999</v>
      </c>
      <c r="M31" s="727">
        <f t="shared" si="9"/>
        <v>15.881</v>
      </c>
      <c r="N31" s="727">
        <f t="shared" si="9"/>
        <v>24.885999999999996</v>
      </c>
      <c r="O31" s="727">
        <f t="shared" si="9"/>
        <v>29.509000000000015</v>
      </c>
      <c r="P31" s="727">
        <f t="shared" si="9"/>
        <v>47.408999999999992</v>
      </c>
      <c r="Q31" s="699">
        <f t="shared" si="9"/>
        <v>117.68500000000006</v>
      </c>
      <c r="R31" s="727">
        <f t="shared" ref="R31:AK31" si="10">R23-R29</f>
        <v>132.40200000000004</v>
      </c>
      <c r="S31" s="727">
        <f t="shared" si="10"/>
        <v>132.91300000000001</v>
      </c>
      <c r="T31" s="727">
        <f>T23-T29</f>
        <v>398.47900000000004</v>
      </c>
      <c r="U31" s="727">
        <f t="shared" si="10"/>
        <v>490.88759725014194</v>
      </c>
      <c r="V31" s="699">
        <f t="shared" si="10"/>
        <v>1154.681597250142</v>
      </c>
      <c r="W31" s="727">
        <f t="shared" si="10"/>
        <v>606.40087954821877</v>
      </c>
      <c r="X31" s="727">
        <f t="shared" si="10"/>
        <v>859.82408399615281</v>
      </c>
      <c r="Y31" s="727">
        <f t="shared" si="10"/>
        <v>982.37312094481604</v>
      </c>
      <c r="Z31" s="727">
        <f t="shared" si="10"/>
        <v>1020.1005684949893</v>
      </c>
      <c r="AA31" s="699">
        <f t="shared" si="10"/>
        <v>3468.698652984177</v>
      </c>
      <c r="AB31" s="727">
        <f t="shared" si="10"/>
        <v>1084.9776276421828</v>
      </c>
      <c r="AC31" s="727">
        <f t="shared" si="10"/>
        <v>1159.3031372249411</v>
      </c>
      <c r="AD31" s="727">
        <f t="shared" si="10"/>
        <v>1209.4409065749849</v>
      </c>
      <c r="AE31" s="727">
        <f t="shared" si="10"/>
        <v>1348.0082424189386</v>
      </c>
      <c r="AF31" s="699">
        <f t="shared" si="10"/>
        <v>4801.7299138610479</v>
      </c>
      <c r="AG31" s="727">
        <f t="shared" si="10"/>
        <v>1419.4850721996654</v>
      </c>
      <c r="AH31" s="727">
        <f t="shared" si="10"/>
        <v>1492.2193991610764</v>
      </c>
      <c r="AI31" s="727">
        <f t="shared" si="10"/>
        <v>1506.0511972939262</v>
      </c>
      <c r="AJ31" s="727">
        <f t="shared" si="10"/>
        <v>1607.0049289095984</v>
      </c>
      <c r="AK31" s="699">
        <f t="shared" si="10"/>
        <v>6024.7605975642664</v>
      </c>
    </row>
    <row r="32" spans="1:37" s="289" customFormat="1" ht="12.75" customHeight="1">
      <c r="A32" s="1090"/>
      <c r="B32" s="1319" t="s">
        <v>116</v>
      </c>
      <c r="C32" s="287"/>
      <c r="D32" s="288"/>
      <c r="E32" s="288"/>
      <c r="F32" s="288"/>
      <c r="G32" s="1321">
        <f>G31/G10</f>
        <v>0.44889450410612769</v>
      </c>
      <c r="H32" s="656"/>
      <c r="I32" s="786"/>
      <c r="J32" s="786"/>
      <c r="K32" s="786"/>
      <c r="L32" s="1321">
        <f t="shared" ref="L32:AK32" si="11">L31/L10</f>
        <v>0.13477153702013159</v>
      </c>
      <c r="M32" s="1322">
        <f t="shared" si="11"/>
        <v>8.416717898708953E-2</v>
      </c>
      <c r="N32" s="1322">
        <f t="shared" si="11"/>
        <v>6.2943412642808894E-2</v>
      </c>
      <c r="O32" s="1322">
        <f t="shared" si="11"/>
        <v>5.0534214929248013E-2</v>
      </c>
      <c r="P32" s="1322">
        <f t="shared" si="11"/>
        <v>6.3429351243594709E-2</v>
      </c>
      <c r="Q32" s="1321">
        <f t="shared" si="11"/>
        <v>6.144064035885493E-2</v>
      </c>
      <c r="R32" s="1322">
        <f t="shared" si="11"/>
        <v>0.13487946603207723</v>
      </c>
      <c r="S32" s="1322">
        <f t="shared" si="11"/>
        <v>0.10959293792484755</v>
      </c>
      <c r="T32" s="1322">
        <f>T31/T10</f>
        <v>0.29199531610433543</v>
      </c>
      <c r="U32" s="1322">
        <f t="shared" si="11"/>
        <v>0.31816320691557753</v>
      </c>
      <c r="V32" s="1321">
        <f t="shared" si="11"/>
        <v>0.22632047540760231</v>
      </c>
      <c r="W32" s="1322">
        <f t="shared" si="11"/>
        <v>0.27227941052450899</v>
      </c>
      <c r="X32" s="1322">
        <f t="shared" si="11"/>
        <v>0.29007027520909984</v>
      </c>
      <c r="Y32" s="1322">
        <f t="shared" si="11"/>
        <v>0.2986223235021932</v>
      </c>
      <c r="Z32" s="1322">
        <f t="shared" si="11"/>
        <v>0.28974896125029148</v>
      </c>
      <c r="AA32" s="1321">
        <f t="shared" si="11"/>
        <v>0.2890187346768151</v>
      </c>
      <c r="AB32" s="1322">
        <f t="shared" si="11"/>
        <v>0.28465048916736224</v>
      </c>
      <c r="AC32" s="1322">
        <f t="shared" si="11"/>
        <v>0.27908331138411363</v>
      </c>
      <c r="AD32" s="1322">
        <f t="shared" si="11"/>
        <v>0.270336639177853</v>
      </c>
      <c r="AE32" s="1322">
        <f t="shared" si="11"/>
        <v>0.28251390542383115</v>
      </c>
      <c r="AF32" s="1321">
        <f t="shared" si="11"/>
        <v>0.27899370400924883</v>
      </c>
      <c r="AG32" s="1322">
        <f t="shared" si="11"/>
        <v>0.2773272306403865</v>
      </c>
      <c r="AH32" s="1322">
        <f t="shared" si="11"/>
        <v>0.27997763613995968</v>
      </c>
      <c r="AI32" s="1322">
        <f t="shared" si="11"/>
        <v>0.27287158821640545</v>
      </c>
      <c r="AJ32" s="1322">
        <f t="shared" si="11"/>
        <v>0.28254569181819594</v>
      </c>
      <c r="AK32" s="1321">
        <f t="shared" si="11"/>
        <v>0.2782145362881645</v>
      </c>
    </row>
    <row r="33" spans="1:45" ht="12.75" customHeight="1">
      <c r="A33" s="1092"/>
      <c r="B33" s="391"/>
      <c r="C33" s="101"/>
      <c r="D33" s="102"/>
      <c r="E33" s="102"/>
      <c r="F33" s="102"/>
      <c r="G33" s="255"/>
      <c r="H33" s="101"/>
      <c r="I33" s="102"/>
      <c r="J33" s="102"/>
      <c r="K33" s="102"/>
      <c r="L33" s="255"/>
      <c r="M33" s="686"/>
      <c r="N33" s="291"/>
      <c r="O33" s="291"/>
      <c r="P33" s="291"/>
      <c r="Q33" s="255"/>
      <c r="R33" s="101"/>
      <c r="S33" s="291"/>
      <c r="T33" s="291"/>
      <c r="U33" s="102"/>
      <c r="V33" s="255"/>
      <c r="W33" s="101"/>
      <c r="X33" s="102"/>
      <c r="Y33" s="102"/>
      <c r="Z33" s="102"/>
      <c r="AA33" s="255"/>
      <c r="AB33" s="101"/>
      <c r="AC33" s="102"/>
      <c r="AD33" s="102"/>
      <c r="AE33" s="102"/>
      <c r="AF33" s="804"/>
      <c r="AG33" s="101"/>
      <c r="AH33" s="102"/>
      <c r="AI33" s="102"/>
      <c r="AJ33" s="102"/>
      <c r="AK33" s="804"/>
    </row>
    <row r="34" spans="1:45" s="1433" customFormat="1" ht="12.75" customHeight="1">
      <c r="A34" s="1428"/>
      <c r="B34" s="1442" t="s">
        <v>77</v>
      </c>
      <c r="C34" s="1435"/>
      <c r="D34" s="1435"/>
      <c r="E34" s="1435"/>
      <c r="F34" s="1435"/>
      <c r="G34" s="1436">
        <v>2.4809999999999999</v>
      </c>
      <c r="H34" s="1437">
        <f>M34/(1+M35)</f>
        <v>1.942585797539391</v>
      </c>
      <c r="I34" s="1437">
        <f>N34/(1+N35)</f>
        <v>2.4115328146495414</v>
      </c>
      <c r="J34" s="1437">
        <f>O34/(1+O35)</f>
        <v>3.9969456805076491</v>
      </c>
      <c r="K34" s="1437">
        <f>L34-J34-I34-H34</f>
        <v>4.5659357073034181</v>
      </c>
      <c r="L34" s="1436">
        <v>12.917</v>
      </c>
      <c r="M34" s="1438">
        <v>4.05</v>
      </c>
      <c r="N34" s="1438">
        <v>4.1719999999999997</v>
      </c>
      <c r="O34" s="1438">
        <v>4.5540000000000003</v>
      </c>
      <c r="P34" s="1438">
        <v>5.6130000000000004</v>
      </c>
      <c r="Q34" s="1439">
        <f>SUM(M34:P34)</f>
        <v>18.388999999999999</v>
      </c>
      <c r="R34" s="1438">
        <v>10.548999999999999</v>
      </c>
      <c r="S34" s="1438">
        <v>36.798999999999999</v>
      </c>
      <c r="T34" s="1438">
        <v>44.645000000000003</v>
      </c>
      <c r="U34" s="1440">
        <f>'IS (Non-GAAP)'!U32+'IS (Non-GAAP)'!U104</f>
        <v>47.715418923036573</v>
      </c>
      <c r="V34" s="1439">
        <f>SUM(R34:U34)</f>
        <v>139.70841892303656</v>
      </c>
      <c r="W34" s="1440">
        <f>'IS (Non-GAAP)'!W32+'IS (Non-GAAP)'!W104</f>
        <v>76.969515824994758</v>
      </c>
      <c r="X34" s="1440">
        <f>'IS (Non-GAAP)'!X32+'IS (Non-GAAP)'!X104</f>
        <v>64.026554258029236</v>
      </c>
      <c r="Y34" s="1440">
        <f>'IS (Non-GAAP)'!Y32+'IS (Non-GAAP)'!Y104</f>
        <v>70.004478461410642</v>
      </c>
      <c r="Z34" s="1440">
        <f>'IS (Non-GAAP)'!Z32+'IS (Non-GAAP)'!Z104</f>
        <v>70.271890740521172</v>
      </c>
      <c r="AA34" s="1439">
        <f>SUM(W34:Z34)</f>
        <v>281.27243928495579</v>
      </c>
      <c r="AB34" s="1440">
        <f>'IS (Non-GAAP)'!AB32+'IS (Non-GAAP)'!AB104</f>
        <v>72.725584262886443</v>
      </c>
      <c r="AC34" s="1440">
        <f>'IS (Non-GAAP)'!AC32+'IS (Non-GAAP)'!AC104</f>
        <v>84.34874432119139</v>
      </c>
      <c r="AD34" s="1440">
        <f>'IS (Non-GAAP)'!AD32+'IS (Non-GAAP)'!AD104</f>
        <v>81.423755827574894</v>
      </c>
      <c r="AE34" s="1440">
        <f>'IS (Non-GAAP)'!AE32+'IS (Non-GAAP)'!AE104</f>
        <v>92.688701075040413</v>
      </c>
      <c r="AF34" s="1439">
        <f>SUM(AB34:AE34)</f>
        <v>331.18678548669311</v>
      </c>
      <c r="AG34" s="1440">
        <f>'IS (Non-GAAP)'!AG32+'IS (Non-GAAP)'!AG104</f>
        <v>94.924609977628265</v>
      </c>
      <c r="AH34" s="1440">
        <f>'IS (Non-GAAP)'!AH32+'IS (Non-GAAP)'!AH104</f>
        <v>97.870029446958142</v>
      </c>
      <c r="AI34" s="1440">
        <f>'IS (Non-GAAP)'!AI32+'IS (Non-GAAP)'!AI104</f>
        <v>97.501076029007237</v>
      </c>
      <c r="AJ34" s="1440">
        <f>'IS (Non-GAAP)'!AJ32+'IS (Non-GAAP)'!AJ104</f>
        <v>99.435407644184792</v>
      </c>
      <c r="AK34" s="1439">
        <f>SUM(AG34:AJ34)</f>
        <v>389.73112309777844</v>
      </c>
    </row>
    <row r="35" spans="1:45" s="298" customFormat="1" ht="12.75" customHeight="1">
      <c r="A35" s="1093"/>
      <c r="B35" s="433" t="s">
        <v>31</v>
      </c>
      <c r="C35" s="102"/>
      <c r="D35" s="102"/>
      <c r="E35" s="102"/>
      <c r="F35" s="102"/>
      <c r="G35" s="254"/>
      <c r="H35" s="102" t="str">
        <f t="shared" ref="H35:AF35" si="12">IFERROR(H34/C34-1,"")</f>
        <v/>
      </c>
      <c r="I35" s="102" t="str">
        <f t="shared" si="12"/>
        <v/>
      </c>
      <c r="J35" s="102" t="str">
        <f t="shared" si="12"/>
        <v/>
      </c>
      <c r="K35" s="102" t="str">
        <f t="shared" si="12"/>
        <v/>
      </c>
      <c r="L35" s="254">
        <f t="shared" si="12"/>
        <v>4.2063683998387749</v>
      </c>
      <c r="M35" s="544">
        <v>1.0848500000000001</v>
      </c>
      <c r="N35" s="544">
        <v>0.73002</v>
      </c>
      <c r="O35" s="544">
        <v>0.13936999999999999</v>
      </c>
      <c r="P35" s="291">
        <f t="shared" si="12"/>
        <v>0.22932085772074196</v>
      </c>
      <c r="Q35" s="254">
        <f t="shared" si="12"/>
        <v>0.42362777734768131</v>
      </c>
      <c r="R35" s="102">
        <f t="shared" si="12"/>
        <v>1.6046913580246915</v>
      </c>
      <c r="S35" s="291">
        <f t="shared" si="12"/>
        <v>7.8204697986577187</v>
      </c>
      <c r="T35" s="291">
        <f t="shared" si="12"/>
        <v>8.8034694773825208</v>
      </c>
      <c r="U35" s="102">
        <f t="shared" si="12"/>
        <v>7.5008763447419504</v>
      </c>
      <c r="V35" s="254">
        <f t="shared" si="12"/>
        <v>6.597390772909705</v>
      </c>
      <c r="W35" s="102">
        <f t="shared" si="12"/>
        <v>6.2963803038197712</v>
      </c>
      <c r="X35" s="102">
        <f t="shared" si="12"/>
        <v>0.73989929775345087</v>
      </c>
      <c r="Y35" s="102">
        <f t="shared" si="12"/>
        <v>0.56802505233308631</v>
      </c>
      <c r="Z35" s="102">
        <f t="shared" si="12"/>
        <v>0.47272920004888697</v>
      </c>
      <c r="AA35" s="254">
        <f t="shared" si="12"/>
        <v>1.0132819586191504</v>
      </c>
      <c r="AB35" s="102">
        <f t="shared" si="12"/>
        <v>-5.5137823287828902E-2</v>
      </c>
      <c r="AC35" s="102">
        <f t="shared" si="12"/>
        <v>0.31740252616536302</v>
      </c>
      <c r="AD35" s="102">
        <f t="shared" si="12"/>
        <v>0.1631220975735006</v>
      </c>
      <c r="AE35" s="102">
        <f t="shared" si="12"/>
        <v>0.31900109842345459</v>
      </c>
      <c r="AF35" s="254">
        <f t="shared" si="12"/>
        <v>0.17745907252281246</v>
      </c>
      <c r="AG35" s="102">
        <f>IFERROR(AG34/AB34-1,"")</f>
        <v>0.30524369023282638</v>
      </c>
      <c r="AH35" s="102">
        <f>IFERROR(AH34/AC34-1,"")</f>
        <v>0.16030215072650145</v>
      </c>
      <c r="AI35" s="102">
        <f>IFERROR(AI34/AD34-1,"")</f>
        <v>0.19745245153611068</v>
      </c>
      <c r="AJ35" s="102">
        <f>IFERROR(AJ34/AE34-1,"")</f>
        <v>7.2788878157676207E-2</v>
      </c>
      <c r="AK35" s="254">
        <f>IFERROR(AK34/AF34-1,"")</f>
        <v>0.17677135736273986</v>
      </c>
    </row>
    <row r="36" spans="1:45" ht="12.75" customHeight="1">
      <c r="A36" s="1094"/>
      <c r="B36" s="433" t="s">
        <v>33</v>
      </c>
      <c r="C36" s="253"/>
      <c r="D36" s="102"/>
      <c r="E36" s="102"/>
      <c r="F36" s="102"/>
      <c r="G36" s="255"/>
      <c r="H36" s="253" t="str">
        <f>IFERROR(H34/F34-1,"")</f>
        <v/>
      </c>
      <c r="I36" s="102">
        <f>IFERROR(I34/H34-1,"")</f>
        <v>0.24140350336348071</v>
      </c>
      <c r="J36" s="102">
        <f>IFERROR(J34/I34-1,"")</f>
        <v>0.65742952209775729</v>
      </c>
      <c r="K36" s="102">
        <f>IFERROR(K34/J34-1,"")</f>
        <v>0.14235620703344209</v>
      </c>
      <c r="L36" s="255"/>
      <c r="M36" s="616">
        <f>IFERROR(M34/K34-1,"")</f>
        <v>-0.11299670875307244</v>
      </c>
      <c r="N36" s="291">
        <f>IFERROR(N34/M34-1,"")</f>
        <v>3.0123456790123404E-2</v>
      </c>
      <c r="O36" s="291">
        <f>IFERROR(O34/N34-1,"")</f>
        <v>9.1562799616490942E-2</v>
      </c>
      <c r="P36" s="291">
        <f>IFERROR(P34/O34-1,"")</f>
        <v>0.2325428194993413</v>
      </c>
      <c r="Q36" s="255"/>
      <c r="R36" s="253">
        <f>IFERROR(R34/P34-1,"")</f>
        <v>0.87938713700338478</v>
      </c>
      <c r="S36" s="291">
        <f>IFERROR(S34/R34-1,"")</f>
        <v>2.4883875248838754</v>
      </c>
      <c r="T36" s="291">
        <f>IFERROR(T34/S34-1,"")</f>
        <v>0.21321231555205311</v>
      </c>
      <c r="U36" s="102">
        <f>IFERROR(U34/T34-1,"")</f>
        <v>6.8774082720048701E-2</v>
      </c>
      <c r="V36" s="255"/>
      <c r="W36" s="253">
        <f>IFERROR(W34/U34-1,"")</f>
        <v>0.61309525436932866</v>
      </c>
      <c r="X36" s="102">
        <f>IFERROR(X34/W34-1,"")</f>
        <v>-0.16815698303720494</v>
      </c>
      <c r="Y36" s="102">
        <f>IFERROR(Y34/X34-1,"")</f>
        <v>9.3366327028785001E-2</v>
      </c>
      <c r="Z36" s="102">
        <f>IFERROR(Z34/Y34-1,"")</f>
        <v>3.8199310242406082E-3</v>
      </c>
      <c r="AA36" s="255"/>
      <c r="AB36" s="253">
        <f>IFERROR(AB34/Z34-1,"")</f>
        <v>3.491714107174837E-2</v>
      </c>
      <c r="AC36" s="102">
        <f>IFERROR(AC34/AB34-1,"")</f>
        <v>0.15982216129457094</v>
      </c>
      <c r="AD36" s="102">
        <f>IFERROR(AD34/AC34-1,"")</f>
        <v>-3.4677321128556926E-2</v>
      </c>
      <c r="AE36" s="102">
        <f>IFERROR(AE34/AD34-1,"")</f>
        <v>0.1383496147158878</v>
      </c>
      <c r="AF36" s="255"/>
      <c r="AG36" s="253">
        <f>IFERROR(AG34/AE34-1,"")</f>
        <v>2.4122777389853356E-2</v>
      </c>
      <c r="AH36" s="102">
        <f>IFERROR(AH34/AG34-1,"")</f>
        <v>3.1029039466414998E-2</v>
      </c>
      <c r="AI36" s="102">
        <f>IFERROR(AI34/AH34-1,"")</f>
        <v>-3.769830458167589E-3</v>
      </c>
      <c r="AJ36" s="102">
        <f>IFERROR(AJ34/AI34-1,"")</f>
        <v>1.9839079669254911E-2</v>
      </c>
      <c r="AK36" s="255"/>
    </row>
    <row r="37" spans="1:45" s="450" customFormat="1" ht="12.75" customHeight="1">
      <c r="A37" s="1091"/>
      <c r="B37" s="433" t="s">
        <v>99</v>
      </c>
      <c r="C37" s="465" t="str">
        <f t="shared" ref="C37:V37" si="13">IFERROR(C34/C$10,"")</f>
        <v/>
      </c>
      <c r="D37" s="465" t="str">
        <f t="shared" si="13"/>
        <v/>
      </c>
      <c r="E37" s="465" t="str">
        <f t="shared" si="13"/>
        <v/>
      </c>
      <c r="F37" s="465" t="str">
        <f t="shared" si="13"/>
        <v/>
      </c>
      <c r="G37" s="466">
        <f t="shared" si="13"/>
        <v>0.15672773215413771</v>
      </c>
      <c r="H37" s="465">
        <f t="shared" si="13"/>
        <v>0.2451619380426234</v>
      </c>
      <c r="I37" s="465">
        <f t="shared" si="13"/>
        <v>8.0805693593507352E-2</v>
      </c>
      <c r="J37" s="465">
        <f t="shared" si="13"/>
        <v>5.316584381118622E-2</v>
      </c>
      <c r="K37" s="465">
        <f t="shared" si="13"/>
        <v>3.9362569955539183E-2</v>
      </c>
      <c r="L37" s="466">
        <f t="shared" si="13"/>
        <v>5.6420156982305639E-2</v>
      </c>
      <c r="M37" s="611">
        <f t="shared" si="13"/>
        <v>2.146445909563079E-2</v>
      </c>
      <c r="N37" s="611">
        <f t="shared" si="13"/>
        <v>1.0552114343237112E-2</v>
      </c>
      <c r="O37" s="611">
        <f t="shared" si="13"/>
        <v>7.7987330911855821E-3</v>
      </c>
      <c r="P37" s="611">
        <f>IFERROR(P34/P$10,"")</f>
        <v>7.5097333529561307E-3</v>
      </c>
      <c r="Q37" s="466">
        <f t="shared" si="13"/>
        <v>9.6004752989674366E-3</v>
      </c>
      <c r="R37" s="465">
        <f t="shared" si="13"/>
        <v>1.0746389685747816E-2</v>
      </c>
      <c r="S37" s="611">
        <f>IFERROR(S34/S$10,"")</f>
        <v>3.0342483599771763E-2</v>
      </c>
      <c r="T37" s="611">
        <f>IFERROR(T34/T$10,"")</f>
        <v>3.2714724960356892E-2</v>
      </c>
      <c r="U37" s="465">
        <f t="shared" si="13"/>
        <v>3.0926205487602918E-2</v>
      </c>
      <c r="V37" s="466">
        <f t="shared" si="13"/>
        <v>2.7383198852745212E-2</v>
      </c>
      <c r="W37" s="465">
        <f t="shared" ref="W37:AF37" si="14">IFERROR(W34/W$10,"")</f>
        <v>3.456E-2</v>
      </c>
      <c r="X37" s="465">
        <f t="shared" si="14"/>
        <v>2.1600000000000001E-2</v>
      </c>
      <c r="Y37" s="465">
        <f t="shared" si="14"/>
        <v>2.128E-2</v>
      </c>
      <c r="Z37" s="465">
        <f t="shared" si="14"/>
        <v>1.9960000000000002E-2</v>
      </c>
      <c r="AA37" s="466">
        <f t="shared" si="14"/>
        <v>2.3436168037157552E-2</v>
      </c>
      <c r="AB37" s="465">
        <f t="shared" si="14"/>
        <v>1.908E-2</v>
      </c>
      <c r="AC37" s="465">
        <f t="shared" si="14"/>
        <v>2.0305583691077756E-2</v>
      </c>
      <c r="AD37" s="465">
        <f t="shared" si="14"/>
        <v>1.8199999999999997E-2</v>
      </c>
      <c r="AE37" s="465">
        <f t="shared" si="14"/>
        <v>1.9425583691077754E-2</v>
      </c>
      <c r="AF37" s="466">
        <f t="shared" si="14"/>
        <v>1.9242862397387827E-2</v>
      </c>
      <c r="AG37" s="465">
        <f>IFERROR(AG34/AG$10,"")</f>
        <v>1.8545583691077755E-2</v>
      </c>
      <c r="AH37" s="465">
        <f>IFERROR(AH34/AH$10,"")</f>
        <v>1.8362862397387828E-2</v>
      </c>
      <c r="AI37" s="465">
        <f>IFERROR(AI34/AI$10,"")</f>
        <v>1.7665583691077753E-2</v>
      </c>
      <c r="AJ37" s="465">
        <f>IFERROR(AJ34/AJ$10,"")</f>
        <v>1.7482862397387829E-2</v>
      </c>
      <c r="AK37" s="466">
        <f>IFERROR(AK34/AK$10,"")</f>
        <v>1.7997207014922783E-2</v>
      </c>
      <c r="AL37" s="248"/>
      <c r="AM37" s="248"/>
      <c r="AN37" s="248"/>
    </row>
    <row r="38" spans="1:45" s="1454" customFormat="1">
      <c r="A38" s="1449"/>
      <c r="B38" s="1450" t="s">
        <v>491</v>
      </c>
      <c r="C38" s="1451"/>
      <c r="D38" s="1451"/>
      <c r="E38" s="1451"/>
      <c r="F38" s="1451"/>
      <c r="G38" s="1452"/>
      <c r="H38" s="1451"/>
      <c r="I38" s="1451"/>
      <c r="J38" s="1451"/>
      <c r="K38" s="1451"/>
      <c r="L38" s="1452"/>
      <c r="M38" s="1451">
        <f t="shared" ref="M38:AK38" si="15">M34/(M10-H10)</f>
        <v>2.240536029240621E-2</v>
      </c>
      <c r="N38" s="1451">
        <f t="shared" si="15"/>
        <v>1.141364505765299E-2</v>
      </c>
      <c r="O38" s="1451">
        <f t="shared" si="15"/>
        <v>8.9511371440489703E-3</v>
      </c>
      <c r="P38" s="1451">
        <f t="shared" si="15"/>
        <v>8.88930262505617E-3</v>
      </c>
      <c r="Q38" s="1452">
        <f t="shared" si="15"/>
        <v>1.0903756515778695E-2</v>
      </c>
      <c r="R38" s="1451">
        <f t="shared" si="15"/>
        <v>1.3303520533502828E-2</v>
      </c>
      <c r="S38" s="1451">
        <f t="shared" si="15"/>
        <v>4.5018637977923139E-2</v>
      </c>
      <c r="T38" s="1451">
        <f t="shared" si="15"/>
        <v>5.7183295228214449E-2</v>
      </c>
      <c r="U38" s="1451">
        <f t="shared" si="15"/>
        <v>5.9985453039874008E-2</v>
      </c>
      <c r="V38" s="1452">
        <f t="shared" si="15"/>
        <v>4.3843161416242886E-2</v>
      </c>
      <c r="W38" s="1451">
        <f t="shared" si="15"/>
        <v>6.1798324228909386E-2</v>
      </c>
      <c r="X38" s="1451">
        <f t="shared" si="15"/>
        <v>3.655726623472056E-2</v>
      </c>
      <c r="Y38" s="1451">
        <f t="shared" si="15"/>
        <v>3.6365809095222641E-2</v>
      </c>
      <c r="Z38" s="1451">
        <f t="shared" si="15"/>
        <v>3.5531123048297725E-2</v>
      </c>
      <c r="AA38" s="1452">
        <f t="shared" si="15"/>
        <v>4.0766108957889131E-2</v>
      </c>
      <c r="AB38" s="1451">
        <f t="shared" si="15"/>
        <v>4.5898526958795816E-2</v>
      </c>
      <c r="AC38" s="1451">
        <f t="shared" si="15"/>
        <v>7.0894663715732942E-2</v>
      </c>
      <c r="AD38" s="1451">
        <f t="shared" si="15"/>
        <v>6.8761434044846512E-2</v>
      </c>
      <c r="AE38" s="1451">
        <f t="shared" si="15"/>
        <v>7.4101169682601831E-2</v>
      </c>
      <c r="AF38" s="1452">
        <f t="shared" si="15"/>
        <v>6.3576668419904545E-2</v>
      </c>
      <c r="AG38" s="1451">
        <f t="shared" si="15"/>
        <v>7.2637038901773254E-2</v>
      </c>
      <c r="AH38" s="1451">
        <f t="shared" si="15"/>
        <v>8.3236069728658713E-2</v>
      </c>
      <c r="AI38" s="1451">
        <f t="shared" si="15"/>
        <v>9.3263693470789014E-2</v>
      </c>
      <c r="AJ38" s="1451">
        <f t="shared" si="15"/>
        <v>0.1085400298946082</v>
      </c>
      <c r="AK38" s="1452">
        <f t="shared" si="15"/>
        <v>8.7694339263579099E-2</v>
      </c>
      <c r="AL38" s="1453"/>
      <c r="AM38" s="1453"/>
      <c r="AN38" s="1453"/>
      <c r="AO38" s="1453"/>
      <c r="AP38" s="1453"/>
      <c r="AQ38" s="1453"/>
      <c r="AR38" s="1453"/>
      <c r="AS38" s="1453"/>
    </row>
    <row r="39" spans="1:45" s="450" customFormat="1" ht="12.75" customHeight="1">
      <c r="A39" s="1091"/>
      <c r="B39" s="433"/>
      <c r="C39" s="465"/>
      <c r="D39" s="465"/>
      <c r="E39" s="465"/>
      <c r="F39" s="465"/>
      <c r="G39" s="466"/>
      <c r="H39" s="465"/>
      <c r="I39" s="465"/>
      <c r="J39" s="465"/>
      <c r="K39" s="465"/>
      <c r="L39" s="466"/>
      <c r="M39" s="611"/>
      <c r="N39" s="611"/>
      <c r="O39" s="611"/>
      <c r="P39" s="611"/>
      <c r="Q39" s="466"/>
      <c r="R39" s="465"/>
      <c r="S39" s="611"/>
      <c r="T39" s="611"/>
      <c r="U39" s="465"/>
      <c r="V39" s="466"/>
      <c r="W39" s="465"/>
      <c r="X39" s="465"/>
      <c r="Y39" s="465"/>
      <c r="Z39" s="465"/>
      <c r="AA39" s="466"/>
      <c r="AB39" s="465"/>
      <c r="AC39" s="465"/>
      <c r="AD39" s="465"/>
      <c r="AE39" s="465"/>
      <c r="AF39" s="466"/>
      <c r="AG39" s="465"/>
      <c r="AH39" s="465"/>
      <c r="AI39" s="465"/>
      <c r="AJ39" s="465"/>
      <c r="AK39" s="466"/>
      <c r="AL39" s="248"/>
      <c r="AM39" s="248"/>
      <c r="AN39" s="248"/>
    </row>
    <row r="40" spans="1:45" s="1433" customFormat="1" ht="12.75" customHeight="1">
      <c r="A40" s="1428"/>
      <c r="B40" s="1442" t="s">
        <v>78</v>
      </c>
      <c r="C40" s="1435"/>
      <c r="D40" s="1435"/>
      <c r="E40" s="1435"/>
      <c r="F40" s="1435"/>
      <c r="G40" s="1436">
        <v>6.0010000000000003</v>
      </c>
      <c r="H40" s="1437">
        <f>M40/(1+M41)</f>
        <v>4.1810156408260744</v>
      </c>
      <c r="I40" s="1437">
        <f>N40/(1+N41)</f>
        <v>5.1185159738921344</v>
      </c>
      <c r="J40" s="1437">
        <f>O40/(1+O41)</f>
        <v>8.1593435256380697</v>
      </c>
      <c r="K40" s="1437">
        <f>L40-J40-I40-H40</f>
        <v>12.383124859643718</v>
      </c>
      <c r="L40" s="1436">
        <v>29.841999999999999</v>
      </c>
      <c r="M40" s="1438">
        <v>15.686</v>
      </c>
      <c r="N40" s="1438">
        <v>21.754000000000001</v>
      </c>
      <c r="O40" s="1438">
        <v>33.628</v>
      </c>
      <c r="P40" s="1438">
        <v>47.576000000000001</v>
      </c>
      <c r="Q40" s="1439">
        <f>SUM(M40:P40)</f>
        <v>118.64400000000001</v>
      </c>
      <c r="R40" s="1438">
        <v>174.75700000000001</v>
      </c>
      <c r="S40" s="1438">
        <v>174.2</v>
      </c>
      <c r="T40" s="1438">
        <v>151.87799999999999</v>
      </c>
      <c r="U40" s="1440">
        <f>'IS (Non-GAAP)'!U38+'IS (Non-GAAP)'!U105</f>
        <v>83.010542324714748</v>
      </c>
      <c r="V40" s="1439">
        <f>SUM(R40:U40)</f>
        <v>583.84554232471476</v>
      </c>
      <c r="W40" s="1440">
        <f>'IS (Non-GAAP)'!W38+'IS (Non-GAAP)'!W105</f>
        <v>112.15812549035695</v>
      </c>
      <c r="X40" s="1440">
        <f>'IS (Non-GAAP)'!X38+'IS (Non-GAAP)'!X105</f>
        <v>120.16928392004337</v>
      </c>
      <c r="Y40" s="1440">
        <f>'IS (Non-GAAP)'!Y38+'IS (Non-GAAP)'!Y105</f>
        <v>128.28173301186243</v>
      </c>
      <c r="Z40" s="1440">
        <f>'IS (Non-GAAP)'!Z38+'IS (Non-GAAP)'!Z105</f>
        <v>128.3271445093749</v>
      </c>
      <c r="AA40" s="1439">
        <f>SUM(W40:Z40)</f>
        <v>488.9362869316376</v>
      </c>
      <c r="AB40" s="1440">
        <f>'IS (Non-GAAP)'!AB38+'IS (Non-GAAP)'!AB105</f>
        <v>125.59570907788057</v>
      </c>
      <c r="AC40" s="1440">
        <f>'IS (Non-GAAP)'!AC38+'IS (Non-GAAP)'!AC105</f>
        <v>145.54979162366539</v>
      </c>
      <c r="AD40" s="1440">
        <f>'IS (Non-GAAP)'!AD38+'IS (Non-GAAP)'!AD105</f>
        <v>140.70923028058527</v>
      </c>
      <c r="AE40" s="1440">
        <f>'IS (Non-GAAP)'!AE38+'IS (Non-GAAP)'!AE105</f>
        <v>160.03312524417899</v>
      </c>
      <c r="AF40" s="1439">
        <f>SUM(AB40:AE40)</f>
        <v>571.8878562263103</v>
      </c>
      <c r="AG40" s="1440">
        <f>'IS (Non-GAAP)'!AG38+'IS (Non-GAAP)'!AG105</f>
        <v>153.75999196446537</v>
      </c>
      <c r="AH40" s="1440">
        <f>'IS (Non-GAAP)'!AH38+'IS (Non-GAAP)'!AH105</f>
        <v>158.449391799116</v>
      </c>
      <c r="AI40" s="1440">
        <f>'IS (Non-GAAP)'!AI38+'IS (Non-GAAP)'!AI105</f>
        <v>157.52629319407805</v>
      </c>
      <c r="AJ40" s="1440">
        <f>'IS (Non-GAAP)'!AJ38+'IS (Non-GAAP)'!AJ105</f>
        <v>160.56002591604431</v>
      </c>
      <c r="AK40" s="1439">
        <f>SUM(AG40:AJ40)</f>
        <v>630.2957028737037</v>
      </c>
    </row>
    <row r="41" spans="1:45" s="298" customFormat="1" ht="12.75" customHeight="1">
      <c r="A41" s="1093"/>
      <c r="B41" s="433" t="s">
        <v>31</v>
      </c>
      <c r="C41" s="102"/>
      <c r="D41" s="102"/>
      <c r="E41" s="102"/>
      <c r="F41" s="102"/>
      <c r="G41" s="254"/>
      <c r="H41" s="102" t="str">
        <f t="shared" ref="H41:AF41" si="16">IFERROR(H40/C40-1,"")</f>
        <v/>
      </c>
      <c r="I41" s="102" t="str">
        <f t="shared" si="16"/>
        <v/>
      </c>
      <c r="J41" s="102" t="str">
        <f t="shared" si="16"/>
        <v/>
      </c>
      <c r="K41" s="102" t="str">
        <f t="shared" si="16"/>
        <v/>
      </c>
      <c r="L41" s="254">
        <f t="shared" si="16"/>
        <v>3.9728378603566066</v>
      </c>
      <c r="M41" s="544">
        <v>2.7517200000000002</v>
      </c>
      <c r="N41" s="544">
        <v>3.2500599999999999</v>
      </c>
      <c r="O41" s="544">
        <v>3.12141</v>
      </c>
      <c r="P41" s="291">
        <f t="shared" si="16"/>
        <v>2.8420027690303717</v>
      </c>
      <c r="Q41" s="254">
        <f t="shared" si="16"/>
        <v>2.9757388914952085</v>
      </c>
      <c r="R41" s="102">
        <f t="shared" si="16"/>
        <v>10.140953716690042</v>
      </c>
      <c r="S41" s="291">
        <f t="shared" si="16"/>
        <v>7.0077227176611192</v>
      </c>
      <c r="T41" s="291">
        <f t="shared" si="16"/>
        <v>3.5164148923516114</v>
      </c>
      <c r="U41" s="102">
        <f t="shared" si="16"/>
        <v>0.74479868683190564</v>
      </c>
      <c r="V41" s="254">
        <f t="shared" si="16"/>
        <v>3.9209866687292632</v>
      </c>
      <c r="W41" s="102">
        <f t="shared" si="16"/>
        <v>-0.35820524791363462</v>
      </c>
      <c r="X41" s="102">
        <f t="shared" si="16"/>
        <v>-0.31016484546473377</v>
      </c>
      <c r="Y41" s="102">
        <f t="shared" si="16"/>
        <v>-0.15536329809542893</v>
      </c>
      <c r="Z41" s="102">
        <f t="shared" si="16"/>
        <v>0.5459138190832904</v>
      </c>
      <c r="AA41" s="254">
        <f t="shared" si="16"/>
        <v>-0.16255884221565553</v>
      </c>
      <c r="AB41" s="102">
        <f t="shared" si="16"/>
        <v>0.11980927399396446</v>
      </c>
      <c r="AC41" s="102">
        <f t="shared" si="16"/>
        <v>0.2112062823018015</v>
      </c>
      <c r="AD41" s="102">
        <f t="shared" si="16"/>
        <v>9.6876593236962627E-2</v>
      </c>
      <c r="AE41" s="102">
        <f t="shared" si="16"/>
        <v>0.24707150506639541</v>
      </c>
      <c r="AF41" s="254">
        <f t="shared" si="16"/>
        <v>0.16965721610732265</v>
      </c>
      <c r="AG41" s="102">
        <f>IFERROR(AG40/AB40-1,"")</f>
        <v>0.22424558206140954</v>
      </c>
      <c r="AH41" s="102">
        <f>IFERROR(AH40/AC40-1,"")</f>
        <v>8.8626716888773771E-2</v>
      </c>
      <c r="AI41" s="102">
        <f>IFERROR(AI40/AD40-1,"")</f>
        <v>0.11951641608697749</v>
      </c>
      <c r="AJ41" s="102">
        <f>IFERROR(AJ40/AE40-1,"")</f>
        <v>3.2924475546007859E-3</v>
      </c>
      <c r="AK41" s="254">
        <f>IFERROR(AK40/AF40-1,"")</f>
        <v>0.10213164348829951</v>
      </c>
    </row>
    <row r="42" spans="1:45" ht="12.75" customHeight="1">
      <c r="A42" s="1094"/>
      <c r="B42" s="433" t="s">
        <v>33</v>
      </c>
      <c r="C42" s="253"/>
      <c r="D42" s="102"/>
      <c r="E42" s="102"/>
      <c r="F42" s="102"/>
      <c r="G42" s="255"/>
      <c r="H42" s="253" t="str">
        <f>IFERROR(H40/F40-1,"")</f>
        <v/>
      </c>
      <c r="I42" s="102">
        <f>IFERROR(I40/H40-1,"")</f>
        <v>0.22422789427327539</v>
      </c>
      <c r="J42" s="102">
        <f>IFERROR(J40/I40-1,"")</f>
        <v>0.59408382571358498</v>
      </c>
      <c r="K42" s="102">
        <f>IFERROR(K40/J40-1,"")</f>
        <v>0.5176619075706026</v>
      </c>
      <c r="L42" s="255"/>
      <c r="M42" s="616">
        <f>IFERROR(M40/K40-1,"")</f>
        <v>0.26672388252502133</v>
      </c>
      <c r="N42" s="291">
        <f>IFERROR(N40/M40-1,"")</f>
        <v>0.38684176973097029</v>
      </c>
      <c r="O42" s="291">
        <f>IFERROR(O40/N40-1,"")</f>
        <v>0.54583065183414536</v>
      </c>
      <c r="P42" s="291">
        <f>IFERROR(P40/O40-1,"")</f>
        <v>0.4147734031164505</v>
      </c>
      <c r="Q42" s="255"/>
      <c r="R42" s="253">
        <f>IFERROR(R40/P40-1,"")</f>
        <v>2.6732175887001852</v>
      </c>
      <c r="S42" s="291">
        <f>IFERROR(S40/R40-1,"")</f>
        <v>-3.1872829128447577E-3</v>
      </c>
      <c r="T42" s="291">
        <f>IFERROR(T40/S40-1,"")</f>
        <v>-0.12814006888633755</v>
      </c>
      <c r="U42" s="102">
        <f>IFERROR(U40/T40-1,"")</f>
        <v>-0.45343932416337618</v>
      </c>
      <c r="V42" s="255"/>
      <c r="W42" s="253">
        <f>IFERROR(W40/U40-1,"")</f>
        <v>0.35113110153677529</v>
      </c>
      <c r="X42" s="102">
        <f>IFERROR(X40/W40-1,"")</f>
        <v>7.1427356641897477E-2</v>
      </c>
      <c r="Y42" s="102">
        <f>IFERROR(Y40/X40-1,"")</f>
        <v>6.7508508224254804E-2</v>
      </c>
      <c r="Z42" s="102">
        <f>IFERROR(Z40/Y40-1,"")</f>
        <v>3.5399816050407651E-4</v>
      </c>
      <c r="AA42" s="255"/>
      <c r="AB42" s="253">
        <f>IFERROR(AB40/Z40-1,"")</f>
        <v>-2.1284938910915985E-2</v>
      </c>
      <c r="AC42" s="102">
        <f>IFERROR(AC40/AB40-1,"")</f>
        <v>0.15887551168974645</v>
      </c>
      <c r="AD42" s="102">
        <f>IFERROR(AD40/AC40-1,"")</f>
        <v>-3.325708191734067E-2</v>
      </c>
      <c r="AE42" s="102">
        <f>IFERROR(AE40/AD40-1,"")</f>
        <v>0.13733210625244952</v>
      </c>
      <c r="AF42" s="255"/>
      <c r="AG42" s="253">
        <f>IFERROR(AG40/AE40-1,"")</f>
        <v>-3.9198967527142026E-2</v>
      </c>
      <c r="AH42" s="102">
        <f>IFERROR(AH40/AG40-1,"")</f>
        <v>3.0498179498698041E-2</v>
      </c>
      <c r="AI42" s="102">
        <f>IFERROR(AI40/AH40-1,"")</f>
        <v>-5.8258261174537473E-3</v>
      </c>
      <c r="AJ42" s="102">
        <f>IFERROR(AJ40/AI40-1,"")</f>
        <v>1.9258580015138138E-2</v>
      </c>
      <c r="AK42" s="255"/>
    </row>
    <row r="43" spans="1:45" s="450" customFormat="1" ht="12.75" customHeight="1">
      <c r="A43" s="1091"/>
      <c r="B43" s="433" t="s">
        <v>99</v>
      </c>
      <c r="C43" s="465" t="str">
        <f t="shared" ref="C43:AF43" si="17">IFERROR(C40/C$10,"")</f>
        <v/>
      </c>
      <c r="D43" s="465" t="str">
        <f t="shared" si="17"/>
        <v/>
      </c>
      <c r="E43" s="465" t="str">
        <f t="shared" si="17"/>
        <v/>
      </c>
      <c r="F43" s="465" t="str">
        <f t="shared" si="17"/>
        <v/>
      </c>
      <c r="G43" s="466">
        <f t="shared" si="17"/>
        <v>0.3790903348073279</v>
      </c>
      <c r="H43" s="465">
        <f t="shared" si="17"/>
        <v>0.52766055367531661</v>
      </c>
      <c r="I43" s="465">
        <f t="shared" si="17"/>
        <v>0.17151134370937776</v>
      </c>
      <c r="J43" s="465">
        <f t="shared" si="17"/>
        <v>0.10853246908043812</v>
      </c>
      <c r="K43" s="465">
        <f t="shared" si="17"/>
        <v>0.10675393825108696</v>
      </c>
      <c r="L43" s="466">
        <f t="shared" si="17"/>
        <v>0.1303468548940129</v>
      </c>
      <c r="M43" s="611">
        <f t="shared" si="17"/>
        <v>8.3133705030633234E-2</v>
      </c>
      <c r="N43" s="611">
        <f t="shared" si="17"/>
        <v>5.502173907545066E-2</v>
      </c>
      <c r="O43" s="611">
        <f t="shared" si="17"/>
        <v>5.7588009747560114E-2</v>
      </c>
      <c r="P43" s="611">
        <f>IFERROR(P40/P$10,"")</f>
        <v>6.3652783538257762E-2</v>
      </c>
      <c r="Q43" s="466">
        <f t="shared" si="17"/>
        <v>6.1941312272048105E-2</v>
      </c>
      <c r="R43" s="465">
        <f t="shared" si="17"/>
        <v>0.17802699993480248</v>
      </c>
      <c r="S43" s="611">
        <f>IFERROR(S40/S$10,"")</f>
        <v>0.1436359858441871</v>
      </c>
      <c r="T43" s="611">
        <f>IFERROR(T40/T$10,"")</f>
        <v>0.11129235071181731</v>
      </c>
      <c r="U43" s="465">
        <f t="shared" si="17"/>
        <v>5.3802337850418956E-2</v>
      </c>
      <c r="V43" s="466">
        <f t="shared" si="17"/>
        <v>0.11443518370624366</v>
      </c>
      <c r="W43" s="465">
        <f t="shared" si="17"/>
        <v>5.0360000000000002E-2</v>
      </c>
      <c r="X43" s="465">
        <f t="shared" si="17"/>
        <v>4.0540312730439169E-2</v>
      </c>
      <c r="Y43" s="465">
        <f t="shared" si="17"/>
        <v>3.8995152002985499E-2</v>
      </c>
      <c r="Z43" s="465">
        <f t="shared" si="17"/>
        <v>3.6449991275531834E-2</v>
      </c>
      <c r="AA43" s="466">
        <f t="shared" si="17"/>
        <v>4.0739124704588951E-2</v>
      </c>
      <c r="AB43" s="465">
        <f t="shared" si="17"/>
        <v>3.2950799275034255E-2</v>
      </c>
      <c r="AC43" s="465">
        <f t="shared" si="17"/>
        <v>3.503873707685707E-2</v>
      </c>
      <c r="AD43" s="465">
        <f t="shared" si="17"/>
        <v>3.1451607274536664E-2</v>
      </c>
      <c r="AE43" s="465">
        <f t="shared" si="17"/>
        <v>3.3539545076359478E-2</v>
      </c>
      <c r="AF43" s="466">
        <f t="shared" si="17"/>
        <v>3.3228256097017995E-2</v>
      </c>
      <c r="AG43" s="465">
        <f>IFERROR(AG40/AG$10,"")</f>
        <v>3.0040353075861892E-2</v>
      </c>
      <c r="AH43" s="465">
        <f>IFERROR(AH40/AH$10,"")</f>
        <v>2.9729064096520409E-2</v>
      </c>
      <c r="AI43" s="465">
        <f>IFERROR(AI40/AI$10,"")</f>
        <v>2.8541161075364307E-2</v>
      </c>
      <c r="AJ43" s="465">
        <f>IFERROR(AJ40/AJ$10,"")</f>
        <v>2.8229872096022821E-2</v>
      </c>
      <c r="AK43" s="466">
        <f>IFERROR(AK40/AK$10,"")</f>
        <v>2.9106123614326677E-2</v>
      </c>
    </row>
    <row r="44" spans="1:45" s="450" customFormat="1" ht="12.75" customHeight="1">
      <c r="A44" s="1091"/>
      <c r="B44" s="433"/>
      <c r="C44" s="465"/>
      <c r="D44" s="465"/>
      <c r="E44" s="465"/>
      <c r="F44" s="465"/>
      <c r="G44" s="466"/>
      <c r="H44" s="465"/>
      <c r="I44" s="465"/>
      <c r="J44" s="465"/>
      <c r="K44" s="465"/>
      <c r="L44" s="466"/>
      <c r="M44" s="611"/>
      <c r="N44" s="611"/>
      <c r="O44" s="611"/>
      <c r="P44" s="611"/>
      <c r="Q44" s="466"/>
      <c r="R44" s="465"/>
      <c r="S44" s="611"/>
      <c r="T44" s="611"/>
      <c r="U44" s="465"/>
      <c r="V44" s="466"/>
      <c r="W44" s="465"/>
      <c r="X44" s="465"/>
      <c r="Y44" s="465"/>
      <c r="Z44" s="465"/>
      <c r="AA44" s="466"/>
      <c r="AB44" s="465"/>
      <c r="AC44" s="465"/>
      <c r="AD44" s="465"/>
      <c r="AE44" s="465"/>
      <c r="AF44" s="466"/>
      <c r="AG44" s="465"/>
      <c r="AH44" s="465"/>
      <c r="AI44" s="465"/>
      <c r="AJ44" s="465"/>
      <c r="AK44" s="466"/>
      <c r="AL44" s="248"/>
      <c r="AM44" s="248"/>
      <c r="AN44" s="248"/>
    </row>
    <row r="45" spans="1:45" s="1448" customFormat="1" ht="12.75" customHeight="1">
      <c r="A45" s="245" t="s">
        <v>178</v>
      </c>
      <c r="B45" s="1455" t="s">
        <v>79</v>
      </c>
      <c r="C45" s="1445"/>
      <c r="D45" s="1445"/>
      <c r="E45" s="1445"/>
      <c r="F45" s="1445"/>
      <c r="G45" s="1446">
        <f t="shared" ref="G45:AK45" si="18">G40+G34+G23</f>
        <v>26.588000000000001</v>
      </c>
      <c r="H45" s="1445">
        <f t="shared" si="18"/>
        <v>14.982826359913334</v>
      </c>
      <c r="I45" s="1445">
        <f t="shared" si="18"/>
        <v>24.692419685538923</v>
      </c>
      <c r="J45" s="1445">
        <f t="shared" si="18"/>
        <v>52.05709236792265</v>
      </c>
      <c r="K45" s="1445">
        <f t="shared" si="18"/>
        <v>82.881661586625086</v>
      </c>
      <c r="L45" s="1446">
        <f t="shared" si="18"/>
        <v>174.61399999999998</v>
      </c>
      <c r="M45" s="1447">
        <f t="shared" si="18"/>
        <v>112.617</v>
      </c>
      <c r="N45" s="1447">
        <f t="shared" si="18"/>
        <v>208.81200000000001</v>
      </c>
      <c r="O45" s="1447">
        <f t="shared" si="18"/>
        <v>323.69100000000003</v>
      </c>
      <c r="P45" s="1447">
        <f t="shared" si="18"/>
        <v>452.59800000000001</v>
      </c>
      <c r="Q45" s="1446">
        <f t="shared" si="18"/>
        <v>1097.7180000000001</v>
      </c>
      <c r="R45" s="1447">
        <f t="shared" si="18"/>
        <v>746.70800000000008</v>
      </c>
      <c r="S45" s="1447">
        <f>S40+S34+S23</f>
        <v>880.91200000000003</v>
      </c>
      <c r="T45" s="1447">
        <f>T40+T34+T23</f>
        <v>944.00200000000007</v>
      </c>
      <c r="U45" s="1445">
        <f t="shared" si="18"/>
        <v>1048.731110832837</v>
      </c>
      <c r="V45" s="1446">
        <f t="shared" si="18"/>
        <v>3620.353110832837</v>
      </c>
      <c r="W45" s="1445">
        <f t="shared" si="18"/>
        <v>1438.7130390570153</v>
      </c>
      <c r="X45" s="1445">
        <f t="shared" si="18"/>
        <v>1798.6287552495812</v>
      </c>
      <c r="Y45" s="1445">
        <f t="shared" si="18"/>
        <v>2005.7135485449749</v>
      </c>
      <c r="Z45" s="1445">
        <f t="shared" si="18"/>
        <v>2114.1992029233006</v>
      </c>
      <c r="AA45" s="1446">
        <f t="shared" si="18"/>
        <v>7357.254545774872</v>
      </c>
      <c r="AB45" s="1445">
        <f t="shared" si="18"/>
        <v>2296.0769681619022</v>
      </c>
      <c r="AC45" s="1445">
        <f t="shared" si="18"/>
        <v>2519.2581683492867</v>
      </c>
      <c r="AD45" s="1445">
        <f t="shared" si="18"/>
        <v>2678.9088358631711</v>
      </c>
      <c r="AE45" s="1445">
        <f t="shared" si="18"/>
        <v>2965.3434599187208</v>
      </c>
      <c r="AF45" s="1446">
        <f t="shared" si="18"/>
        <v>10459.587432293081</v>
      </c>
      <c r="AG45" s="1445">
        <f t="shared" si="18"/>
        <v>3136.8077559422895</v>
      </c>
      <c r="AH45" s="1445">
        <f t="shared" si="18"/>
        <v>3322.7470839709658</v>
      </c>
      <c r="AI45" s="1445">
        <f t="shared" si="18"/>
        <v>3440.8570118441121</v>
      </c>
      <c r="AJ45" s="1445">
        <f t="shared" si="18"/>
        <v>3652.3489895602133</v>
      </c>
      <c r="AK45" s="1446">
        <f t="shared" si="18"/>
        <v>13552.76084131758</v>
      </c>
    </row>
    <row r="46" spans="1:45" s="298" customFormat="1" ht="12.75" customHeight="1">
      <c r="A46" s="1088" t="s">
        <v>179</v>
      </c>
      <c r="B46" s="433" t="s">
        <v>31</v>
      </c>
      <c r="C46" s="102"/>
      <c r="D46" s="102"/>
      <c r="E46" s="102"/>
      <c r="F46" s="102"/>
      <c r="G46" s="254"/>
      <c r="H46" s="102" t="str">
        <f t="shared" ref="H46:AF46" si="19">IFERROR(H45/C45-1,"")</f>
        <v/>
      </c>
      <c r="I46" s="102" t="str">
        <f t="shared" si="19"/>
        <v/>
      </c>
      <c r="J46" s="102" t="str">
        <f t="shared" si="19"/>
        <v/>
      </c>
      <c r="K46" s="102" t="str">
        <f t="shared" si="19"/>
        <v/>
      </c>
      <c r="L46" s="254">
        <f t="shared" si="19"/>
        <v>5.5673988265382865</v>
      </c>
      <c r="M46" s="291">
        <f t="shared" si="19"/>
        <v>6.516405602971389</v>
      </c>
      <c r="N46" s="291">
        <f t="shared" si="19"/>
        <v>7.4565223926714008</v>
      </c>
      <c r="O46" s="291">
        <f t="shared" si="19"/>
        <v>5.2179999933968073</v>
      </c>
      <c r="P46" s="291">
        <f t="shared" si="19"/>
        <v>4.4607737264890623</v>
      </c>
      <c r="Q46" s="254">
        <f t="shared" si="19"/>
        <v>5.2865405981192817</v>
      </c>
      <c r="R46" s="291">
        <f t="shared" si="19"/>
        <v>5.6305087153804489</v>
      </c>
      <c r="S46" s="291">
        <f t="shared" si="19"/>
        <v>3.2186847499185873</v>
      </c>
      <c r="T46" s="291">
        <f t="shared" si="19"/>
        <v>1.9163677704971716</v>
      </c>
      <c r="U46" s="102">
        <f t="shared" si="19"/>
        <v>1.3171359812302241</v>
      </c>
      <c r="V46" s="254">
        <f t="shared" si="19"/>
        <v>2.2980721012435223</v>
      </c>
      <c r="W46" s="102">
        <f t="shared" si="19"/>
        <v>0.92674116127993145</v>
      </c>
      <c r="X46" s="102">
        <f t="shared" si="19"/>
        <v>1.0417802859418206</v>
      </c>
      <c r="Y46" s="102">
        <f t="shared" si="19"/>
        <v>1.1246920541958332</v>
      </c>
      <c r="Z46" s="102">
        <f t="shared" si="19"/>
        <v>1.0159592683813252</v>
      </c>
      <c r="AA46" s="254">
        <f t="shared" si="19"/>
        <v>1.0321925294415237</v>
      </c>
      <c r="AB46" s="102">
        <f t="shared" si="19"/>
        <v>0.59592420853211592</v>
      </c>
      <c r="AC46" s="102">
        <f t="shared" si="19"/>
        <v>0.40065489389983067</v>
      </c>
      <c r="AD46" s="102">
        <f t="shared" si="19"/>
        <v>0.33563879937220298</v>
      </c>
      <c r="AE46" s="102">
        <f t="shared" si="19"/>
        <v>0.40258470243416222</v>
      </c>
      <c r="AF46" s="254">
        <f t="shared" si="19"/>
        <v>0.42166991331023329</v>
      </c>
      <c r="AG46" s="102">
        <f>IFERROR(AG45/AB45-1,"")</f>
        <v>0.36615967122976056</v>
      </c>
      <c r="AH46" s="102">
        <f>IFERROR(AH45/AC45-1,"")</f>
        <v>0.31893869620681059</v>
      </c>
      <c r="AI46" s="102">
        <f>IFERROR(AI45/AD45-1,"")</f>
        <v>0.28442482468255914</v>
      </c>
      <c r="AJ46" s="102">
        <f>IFERROR(AJ45/AE45-1,"")</f>
        <v>0.23167823185659686</v>
      </c>
      <c r="AK46" s="254">
        <f>IFERROR(AK45/AF45-1,"")</f>
        <v>0.29572613920455315</v>
      </c>
    </row>
    <row r="47" spans="1:45" ht="12.75" customHeight="1">
      <c r="A47" s="67" t="s">
        <v>180</v>
      </c>
      <c r="B47" s="433" t="s">
        <v>33</v>
      </c>
      <c r="C47" s="253"/>
      <c r="D47" s="102"/>
      <c r="E47" s="102"/>
      <c r="F47" s="102"/>
      <c r="G47" s="255"/>
      <c r="H47" s="253" t="str">
        <f>IFERROR(H45/F45-1,"")</f>
        <v/>
      </c>
      <c r="I47" s="102">
        <f>IFERROR(I45/H45-1,"")</f>
        <v>0.64804817811969562</v>
      </c>
      <c r="J47" s="102">
        <f>IFERROR(J45/I45-1,"")</f>
        <v>1.1082215931397683</v>
      </c>
      <c r="K47" s="102">
        <f>IFERROR(K45/J45-1,"")</f>
        <v>0.59213005983592737</v>
      </c>
      <c r="L47" s="255"/>
      <c r="M47" s="616">
        <f>IFERROR(M45/K45-1,"")</f>
        <v>0.35876860869031391</v>
      </c>
      <c r="N47" s="291">
        <f>IFERROR(N45/M45-1,"")</f>
        <v>0.85417832121260551</v>
      </c>
      <c r="O47" s="291">
        <f>IFERROR(O45/N45-1,"")</f>
        <v>0.55015516349635085</v>
      </c>
      <c r="P47" s="291">
        <f>IFERROR(P45/O45-1,"")</f>
        <v>0.39824091494666192</v>
      </c>
      <c r="Q47" s="255"/>
      <c r="R47" s="616">
        <f>IFERROR(R45/P45-1,"")</f>
        <v>0.64982611500713672</v>
      </c>
      <c r="S47" s="291">
        <f>IFERROR(S45/R45-1,"")</f>
        <v>0.17972755079629521</v>
      </c>
      <c r="T47" s="291">
        <f>IFERROR(T45/S45-1,"")</f>
        <v>7.1618958533883115E-2</v>
      </c>
      <c r="U47" s="102">
        <f>IFERROR(U45/T45-1,"")</f>
        <v>0.11094161964999749</v>
      </c>
      <c r="V47" s="255"/>
      <c r="W47" s="253">
        <f>IFERROR(W45/U45-1,"")</f>
        <v>0.37186074122896851</v>
      </c>
      <c r="X47" s="102">
        <f>IFERROR(X45/W45-1,"")</f>
        <v>0.25016504780443749</v>
      </c>
      <c r="Y47" s="102">
        <f>IFERROR(Y45/X45-1,"")</f>
        <v>0.11513481739407538</v>
      </c>
      <c r="Z47" s="102">
        <f>IFERROR(Z45/Y45-1,"")</f>
        <v>5.4088309099285636E-2</v>
      </c>
      <c r="AA47" s="255"/>
      <c r="AB47" s="253">
        <f>IFERROR(AB45/Z45-1,"")</f>
        <v>8.6026787346773936E-2</v>
      </c>
      <c r="AC47" s="102">
        <f>IFERROR(AC45/AB45-1,"")</f>
        <v>9.7201097037286965E-2</v>
      </c>
      <c r="AD47" s="102">
        <f>IFERROR(AD45/AC45-1,"")</f>
        <v>6.3372094817298441E-2</v>
      </c>
      <c r="AE47" s="102">
        <f>IFERROR(AE45/AD45-1,"")</f>
        <v>0.10692212449374283</v>
      </c>
      <c r="AF47" s="255"/>
      <c r="AG47" s="253">
        <f>IFERROR(AG45/AE45-1,"")</f>
        <v>5.7822744090584521E-2</v>
      </c>
      <c r="AH47" s="102">
        <f>IFERROR(AH45/AG45-1,"")</f>
        <v>5.9276609373474454E-2</v>
      </c>
      <c r="AI47" s="102">
        <f>IFERROR(AI45/AH45-1,"")</f>
        <v>3.5545867587368329E-2</v>
      </c>
      <c r="AJ47" s="102">
        <f>IFERROR(AJ45/AI45-1,"")</f>
        <v>6.146491324344594E-2</v>
      </c>
      <c r="AK47" s="255"/>
    </row>
    <row r="48" spans="1:45" s="274" customFormat="1" ht="12.75" customHeight="1">
      <c r="A48" s="405"/>
      <c r="B48" s="478"/>
      <c r="C48" s="275"/>
      <c r="D48" s="275"/>
      <c r="E48" s="275"/>
      <c r="F48" s="275"/>
      <c r="G48" s="276"/>
      <c r="H48" s="275"/>
      <c r="I48" s="275"/>
      <c r="J48" s="275"/>
      <c r="K48" s="275"/>
      <c r="L48" s="276"/>
      <c r="M48" s="275"/>
      <c r="N48" s="612"/>
      <c r="O48" s="612"/>
      <c r="P48" s="612"/>
      <c r="Q48" s="276"/>
      <c r="R48" s="275"/>
      <c r="S48" s="612"/>
      <c r="T48" s="612"/>
      <c r="U48" s="275"/>
      <c r="V48" s="276"/>
      <c r="W48" s="275"/>
      <c r="X48" s="275"/>
      <c r="Y48" s="275"/>
      <c r="Z48" s="275"/>
      <c r="AA48" s="276"/>
      <c r="AB48" s="275"/>
      <c r="AC48" s="275"/>
      <c r="AD48" s="275"/>
      <c r="AE48" s="275"/>
      <c r="AF48" s="276"/>
      <c r="AG48" s="275"/>
      <c r="AH48" s="275"/>
      <c r="AI48" s="275"/>
      <c r="AJ48" s="275"/>
      <c r="AK48" s="276"/>
    </row>
    <row r="49" spans="1:39" s="1448" customFormat="1" ht="12.75" customHeight="1">
      <c r="A49" s="245" t="s">
        <v>170</v>
      </c>
      <c r="B49" s="1429" t="s">
        <v>80</v>
      </c>
      <c r="C49" s="1445"/>
      <c r="D49" s="1445"/>
      <c r="E49" s="1445"/>
      <c r="F49" s="1445"/>
      <c r="G49" s="1446">
        <f t="shared" ref="G49:AK49" si="20">G18-G45</f>
        <v>-22.880000000000003</v>
      </c>
      <c r="H49" s="1445">
        <f t="shared" si="20"/>
        <v>-11.845965934799416</v>
      </c>
      <c r="I49" s="1445">
        <f t="shared" si="20"/>
        <v>-4.6363565887740421</v>
      </c>
      <c r="J49" s="1445">
        <f t="shared" si="20"/>
        <v>3.8063159193796565</v>
      </c>
      <c r="K49" s="1445">
        <f t="shared" si="20"/>
        <v>-1.7749933958061774</v>
      </c>
      <c r="L49" s="1446">
        <f t="shared" si="20"/>
        <v>-14.450999999999965</v>
      </c>
      <c r="M49" s="1445">
        <f t="shared" si="20"/>
        <v>16.846999999999994</v>
      </c>
      <c r="N49" s="1447">
        <f t="shared" si="20"/>
        <v>77.721000000000004</v>
      </c>
      <c r="O49" s="1447">
        <f t="shared" si="20"/>
        <v>117.11599999999999</v>
      </c>
      <c r="P49" s="1447">
        <f t="shared" si="20"/>
        <v>112.67399999999992</v>
      </c>
      <c r="Q49" s="1446">
        <f t="shared" si="20"/>
        <v>324.35799999999995</v>
      </c>
      <c r="R49" s="1445">
        <f t="shared" si="20"/>
        <v>-27.470000000000141</v>
      </c>
      <c r="S49" s="1447">
        <f>S18-S45</f>
        <v>19.20900000000006</v>
      </c>
      <c r="T49" s="1447">
        <f>T18-T45</f>
        <v>51.849999999999795</v>
      </c>
      <c r="U49" s="1445">
        <f t="shared" si="20"/>
        <v>67.270920021642496</v>
      </c>
      <c r="V49" s="1446">
        <f t="shared" si="20"/>
        <v>110.85992002164267</v>
      </c>
      <c r="W49" s="1445">
        <f t="shared" si="20"/>
        <v>235.37393013662086</v>
      </c>
      <c r="X49" s="1445">
        <f t="shared" si="20"/>
        <v>429.25819754369536</v>
      </c>
      <c r="Y49" s="1445">
        <f t="shared" si="20"/>
        <v>468.39209813066964</v>
      </c>
      <c r="Z49" s="1445">
        <f t="shared" si="20"/>
        <v>535.29048122933546</v>
      </c>
      <c r="AA49" s="1446">
        <f t="shared" si="20"/>
        <v>1668.3147070403202</v>
      </c>
      <c r="AB49" s="1445">
        <f t="shared" si="20"/>
        <v>634.5963666414591</v>
      </c>
      <c r="AC49" s="1445">
        <f t="shared" si="20"/>
        <v>667.00817345510404</v>
      </c>
      <c r="AD49" s="1445">
        <f t="shared" si="20"/>
        <v>766.83713877409218</v>
      </c>
      <c r="AE49" s="1445">
        <f t="shared" si="20"/>
        <v>700.87538117226313</v>
      </c>
      <c r="AF49" s="1446">
        <f t="shared" si="20"/>
        <v>2769.3170600429203</v>
      </c>
      <c r="AG49" s="1445">
        <f t="shared" si="20"/>
        <v>879.54451420132</v>
      </c>
      <c r="AH49" s="1445">
        <f t="shared" si="20"/>
        <v>860.89468373283762</v>
      </c>
      <c r="AI49" s="1445">
        <f t="shared" si="20"/>
        <v>897.29594623978119</v>
      </c>
      <c r="AJ49" s="1445">
        <f t="shared" si="20"/>
        <v>819.66729758248312</v>
      </c>
      <c r="AK49" s="1446">
        <f t="shared" si="20"/>
        <v>3457.4024417564251</v>
      </c>
    </row>
    <row r="50" spans="1:39" s="298" customFormat="1" ht="12.75" customHeight="1">
      <c r="A50" s="1088" t="s">
        <v>181</v>
      </c>
      <c r="B50" s="433" t="s">
        <v>31</v>
      </c>
      <c r="C50" s="102"/>
      <c r="D50" s="102"/>
      <c r="E50" s="102"/>
      <c r="F50" s="102"/>
      <c r="G50" s="254"/>
      <c r="H50" s="102" t="str">
        <f t="shared" ref="H50:AF50" si="21">IFERROR(H49/C49-1,"")</f>
        <v/>
      </c>
      <c r="I50" s="102" t="str">
        <f t="shared" si="21"/>
        <v/>
      </c>
      <c r="J50" s="102" t="str">
        <f t="shared" si="21"/>
        <v/>
      </c>
      <c r="K50" s="102" t="str">
        <f t="shared" si="21"/>
        <v/>
      </c>
      <c r="L50" s="254">
        <f t="shared" si="21"/>
        <v>-0.36840034965035129</v>
      </c>
      <c r="M50" s="102">
        <f t="shared" si="21"/>
        <v>-2.4221719100600518</v>
      </c>
      <c r="N50" s="102">
        <f t="shared" si="21"/>
        <v>-17.763378422657347</v>
      </c>
      <c r="O50" s="102">
        <f t="shared" si="21"/>
        <v>29.768859569356831</v>
      </c>
      <c r="P50" s="102">
        <f t="shared" si="21"/>
        <v>-64.478546042040307</v>
      </c>
      <c r="Q50" s="254">
        <f t="shared" si="21"/>
        <v>-23.445367102622708</v>
      </c>
      <c r="R50" s="102">
        <f t="shared" si="21"/>
        <v>-2.6305573692645665</v>
      </c>
      <c r="S50" s="102">
        <f t="shared" si="21"/>
        <v>-0.7528467209634454</v>
      </c>
      <c r="T50" s="102">
        <f t="shared" si="21"/>
        <v>-0.5572765463301359</v>
      </c>
      <c r="U50" s="102">
        <f t="shared" si="21"/>
        <v>-0.40295968882224342</v>
      </c>
      <c r="V50" s="254">
        <f t="shared" si="21"/>
        <v>-0.65821740169305931</v>
      </c>
      <c r="W50" s="102">
        <f t="shared" si="21"/>
        <v>-9.568399349713129</v>
      </c>
      <c r="X50" s="102">
        <f t="shared" si="21"/>
        <v>21.346722762439171</v>
      </c>
      <c r="Y50" s="102">
        <f t="shared" si="21"/>
        <v>8.0335988067631909</v>
      </c>
      <c r="Z50" s="102">
        <f t="shared" si="21"/>
        <v>6.9572344343903882</v>
      </c>
      <c r="AA50" s="254">
        <f t="shared" si="21"/>
        <v>14.048853604752942</v>
      </c>
      <c r="AB50" s="102">
        <f t="shared" si="21"/>
        <v>1.6961200260076077</v>
      </c>
      <c r="AC50" s="102">
        <f t="shared" si="21"/>
        <v>0.55386240093226746</v>
      </c>
      <c r="AD50" s="102">
        <f t="shared" si="21"/>
        <v>0.63716924737736269</v>
      </c>
      <c r="AE50" s="102">
        <f t="shared" si="21"/>
        <v>0.30933652988308191</v>
      </c>
      <c r="AF50" s="254">
        <f t="shared" si="21"/>
        <v>0.65994883840341934</v>
      </c>
      <c r="AG50" s="102">
        <f>IFERROR(AG49/AB49-1,"")</f>
        <v>0.38599046643810087</v>
      </c>
      <c r="AH50" s="102">
        <f>IFERROR(AH49/AC49-1,"")</f>
        <v>0.29068086118555492</v>
      </c>
      <c r="AI50" s="102">
        <f>IFERROR(AI49/AD49-1,"")</f>
        <v>0.17012583359518496</v>
      </c>
      <c r="AJ50" s="102">
        <f>IFERROR(AJ49/AE49-1,"")</f>
        <v>0.16949078195831646</v>
      </c>
      <c r="AK50" s="254">
        <f>IFERROR(AK49/AF49-1,"")</f>
        <v>0.2484675343396181</v>
      </c>
    </row>
    <row r="51" spans="1:39" ht="12.75" customHeight="1">
      <c r="A51" s="67" t="s">
        <v>182</v>
      </c>
      <c r="B51" s="433" t="s">
        <v>33</v>
      </c>
      <c r="C51" s="253"/>
      <c r="D51" s="102"/>
      <c r="E51" s="102"/>
      <c r="F51" s="102"/>
      <c r="G51" s="255"/>
      <c r="H51" s="253" t="str">
        <f>IFERROR(H49/F49-1,"")</f>
        <v/>
      </c>
      <c r="I51" s="102">
        <f>IFERROR(I49/H49-1,"")</f>
        <v>-0.60861304056649324</v>
      </c>
      <c r="J51" s="102">
        <f>IFERROR(J49/I49-1,"")</f>
        <v>-1.8209713481909149</v>
      </c>
      <c r="K51" s="102">
        <f>IFERROR(K49/J49-1,"")</f>
        <v>-1.4663284481377103</v>
      </c>
      <c r="L51" s="255"/>
      <c r="M51" s="253">
        <f>IFERROR(M49/K49-1,"")</f>
        <v>-10.491302919664284</v>
      </c>
      <c r="N51" s="102">
        <f>IFERROR(N49/M49-1,"")</f>
        <v>3.6133436220098556</v>
      </c>
      <c r="O51" s="102">
        <f>IFERROR(O49/N49-1,"")</f>
        <v>0.50687716318626852</v>
      </c>
      <c r="P51" s="102">
        <f>IFERROR(P49/O49-1,"")</f>
        <v>-3.7928207930599256E-2</v>
      </c>
      <c r="Q51" s="255"/>
      <c r="R51" s="253">
        <f>IFERROR(R49/P49-1,"")</f>
        <v>-1.2438006993627648</v>
      </c>
      <c r="S51" s="102">
        <f>IFERROR(S49/R49-1,"")</f>
        <v>-1.6992719330178363</v>
      </c>
      <c r="T51" s="102">
        <f>IFERROR(T49/S49-1,"")</f>
        <v>1.6992555572908343</v>
      </c>
      <c r="U51" s="102">
        <f>IFERROR(U49/T49-1,"")</f>
        <v>0.29741407949166376</v>
      </c>
      <c r="V51" s="255"/>
      <c r="W51" s="253">
        <f>IFERROR(W49/U49-1,"")</f>
        <v>2.4988956604264669</v>
      </c>
      <c r="X51" s="102">
        <f>IFERROR(X49/W49-1,"")</f>
        <v>0.82372872515888229</v>
      </c>
      <c r="Y51" s="102">
        <f>IFERROR(Y49/X49-1,"")</f>
        <v>9.1166344197749938E-2</v>
      </c>
      <c r="Z51" s="102">
        <f>IFERROR(Z49/Y49-1,"")</f>
        <v>0.14282560138323008</v>
      </c>
      <c r="AA51" s="255"/>
      <c r="AB51" s="253">
        <f>IFERROR(AB49/Z49-1,"")</f>
        <v>0.18551774951062106</v>
      </c>
      <c r="AC51" s="102">
        <f>IFERROR(AC49/AB49-1,"")</f>
        <v>5.1074680722143606E-2</v>
      </c>
      <c r="AD51" s="102">
        <f>IFERROR(AD49/AC49-1,"")</f>
        <v>0.14966677964660291</v>
      </c>
      <c r="AE51" s="102">
        <f>IFERROR(AE49/AD49-1,"")</f>
        <v>-8.6017948618502094E-2</v>
      </c>
      <c r="AF51" s="255"/>
      <c r="AG51" s="253">
        <f>IFERROR(AG49/AE49-1,"")</f>
        <v>0.25492282626651863</v>
      </c>
      <c r="AH51" s="102">
        <f>IFERROR(AH49/AG49-1,"")</f>
        <v>-2.1203964287603516E-2</v>
      </c>
      <c r="AI51" s="102">
        <f>IFERROR(AI49/AH49-1,"")</f>
        <v>4.2283061093033814E-2</v>
      </c>
      <c r="AJ51" s="102">
        <f>IFERROR(AJ49/AI49-1,"")</f>
        <v>-8.6513985695142792E-2</v>
      </c>
      <c r="AK51" s="255"/>
      <c r="AL51" s="298"/>
      <c r="AM51" s="298"/>
    </row>
    <row r="52" spans="1:39" s="450" customFormat="1" ht="12.75" customHeight="1">
      <c r="A52" s="448" t="s">
        <v>183</v>
      </c>
      <c r="B52" s="433" t="s">
        <v>101</v>
      </c>
      <c r="C52" s="465" t="str">
        <f t="shared" ref="C52:AF52" si="22">IFERROR(C49/C$10,"")</f>
        <v/>
      </c>
      <c r="D52" s="465" t="str">
        <f t="shared" si="22"/>
        <v/>
      </c>
      <c r="E52" s="465" t="str">
        <f t="shared" si="22"/>
        <v/>
      </c>
      <c r="F52" s="465" t="str">
        <f t="shared" si="22"/>
        <v/>
      </c>
      <c r="G52" s="466">
        <f t="shared" si="22"/>
        <v>-1.4453569172457361</v>
      </c>
      <c r="H52" s="465">
        <f t="shared" si="22"/>
        <v>-1.4950073094536933</v>
      </c>
      <c r="I52" s="465">
        <f t="shared" si="22"/>
        <v>-0.15535513662797068</v>
      </c>
      <c r="J52" s="465">
        <f t="shared" si="22"/>
        <v>5.0630159587274688E-2</v>
      </c>
      <c r="K52" s="465">
        <f t="shared" si="22"/>
        <v>-1.5302077425506284E-2</v>
      </c>
      <c r="L52" s="466">
        <f t="shared" si="22"/>
        <v>-6.3120514713269085E-2</v>
      </c>
      <c r="M52" s="465">
        <f t="shared" si="22"/>
        <v>8.9286849971380686E-2</v>
      </c>
      <c r="N52" s="611">
        <f t="shared" si="22"/>
        <v>0.19657739186738535</v>
      </c>
      <c r="O52" s="611">
        <f t="shared" si="22"/>
        <v>0.20056135808240896</v>
      </c>
      <c r="P52" s="611">
        <f>IFERROR(P49/P$10,"")</f>
        <v>0.1507485650830177</v>
      </c>
      <c r="Q52" s="466">
        <f t="shared" si="22"/>
        <v>0.16933987530711181</v>
      </c>
      <c r="R52" s="465">
        <f>IFERROR(R49/R$10,"")</f>
        <v>-2.7984010301212819E-2</v>
      </c>
      <c r="S52" s="611">
        <f>IFERROR(S49/S$10,"")</f>
        <v>1.5838712124460384E-2</v>
      </c>
      <c r="T52" s="611">
        <f>IFERROR(T49/T$10,"")</f>
        <v>3.7994366428368197E-2</v>
      </c>
      <c r="U52" s="465">
        <f t="shared" si="22"/>
        <v>4.3600880865891388E-2</v>
      </c>
      <c r="V52" s="466">
        <f t="shared" si="22"/>
        <v>2.1728821055690253E-2</v>
      </c>
      <c r="W52" s="465">
        <f t="shared" si="22"/>
        <v>0.1056849966942373</v>
      </c>
      <c r="X52" s="465">
        <f t="shared" si="22"/>
        <v>0.14481455662251369</v>
      </c>
      <c r="Y52" s="465">
        <f t="shared" si="22"/>
        <v>0.14238208850759576</v>
      </c>
      <c r="Z52" s="465">
        <f t="shared" si="22"/>
        <v>0.152043696174188</v>
      </c>
      <c r="AA52" s="466">
        <f t="shared" si="22"/>
        <v>0.13900723409820931</v>
      </c>
      <c r="AB52" s="465">
        <f t="shared" si="22"/>
        <v>0.1664902220895334</v>
      </c>
      <c r="AC52" s="465">
        <f t="shared" si="22"/>
        <v>0.16057133271778645</v>
      </c>
      <c r="AD52" s="465">
        <f t="shared" si="22"/>
        <v>0.17140496386881238</v>
      </c>
      <c r="AE52" s="465">
        <f t="shared" si="22"/>
        <v>0.14688859824408629</v>
      </c>
      <c r="AF52" s="466">
        <f t="shared" si="22"/>
        <v>0.16090493176783366</v>
      </c>
      <c r="AG52" s="465">
        <f>IFERROR(AG49/AG$10,"")</f>
        <v>0.17183811871329494</v>
      </c>
      <c r="AH52" s="465">
        <f>IFERROR(AH49/AH$10,"")</f>
        <v>0.16152534851945063</v>
      </c>
      <c r="AI52" s="465">
        <f>IFERROR(AI49/AI$10,"")</f>
        <v>0.16257519690600952</v>
      </c>
      <c r="AJ52" s="465">
        <f>IFERROR(AJ49/AJ$10,"")</f>
        <v>0.14411496784477007</v>
      </c>
      <c r="AK52" s="466">
        <f>IFERROR(AK49/AK$10,"")</f>
        <v>0.1596577327045518</v>
      </c>
      <c r="AL52" s="248"/>
      <c r="AM52" s="248"/>
    </row>
    <row r="53" spans="1:39" s="450" customFormat="1" ht="12.75" customHeight="1">
      <c r="A53" s="416"/>
      <c r="B53" s="433" t="s">
        <v>223</v>
      </c>
      <c r="C53" s="467"/>
      <c r="D53" s="467"/>
      <c r="E53" s="467"/>
      <c r="F53" s="419"/>
      <c r="G53" s="652"/>
      <c r="H53" s="613"/>
      <c r="I53" s="613"/>
      <c r="J53" s="613"/>
      <c r="K53" s="644"/>
      <c r="L53" s="652"/>
      <c r="M53" s="613"/>
      <c r="N53" s="613"/>
      <c r="O53" s="613"/>
      <c r="P53" s="613"/>
      <c r="Q53" s="652">
        <f>(Q52-L52)*10000</f>
        <v>2324.6039002038087</v>
      </c>
      <c r="R53" s="467"/>
      <c r="S53" s="467"/>
      <c r="T53" s="467"/>
      <c r="U53" s="419"/>
      <c r="V53" s="652">
        <f>(V52-Q52)*10000</f>
        <v>-1476.1105425142157</v>
      </c>
      <c r="W53" s="467"/>
      <c r="X53" s="467"/>
      <c r="Y53" s="467"/>
      <c r="Z53" s="419"/>
      <c r="AA53" s="652">
        <f>(AA52-V52)*10000</f>
        <v>1172.7841304251906</v>
      </c>
      <c r="AB53" s="467"/>
      <c r="AC53" s="467"/>
      <c r="AD53" s="467"/>
      <c r="AE53" s="419"/>
      <c r="AF53" s="652">
        <f>(AF52-AA52)*10000</f>
        <v>218.9769766962435</v>
      </c>
      <c r="AG53" s="467"/>
      <c r="AH53" s="467"/>
      <c r="AI53" s="467"/>
      <c r="AJ53" s="419"/>
      <c r="AK53" s="652">
        <f>(AK52-AF52)*10000</f>
        <v>-12.471990632818564</v>
      </c>
      <c r="AL53" s="274"/>
      <c r="AM53" s="274"/>
    </row>
    <row r="54" spans="1:39" s="269" customFormat="1" ht="12.75" customHeight="1">
      <c r="A54" s="67"/>
      <c r="B54" s="391"/>
      <c r="C54" s="253"/>
      <c r="D54" s="102"/>
      <c r="E54" s="102"/>
      <c r="F54" s="102"/>
      <c r="G54" s="273"/>
      <c r="H54" s="253"/>
      <c r="I54" s="102"/>
      <c r="J54" s="102"/>
      <c r="K54" s="102"/>
      <c r="L54" s="273"/>
      <c r="M54" s="253"/>
      <c r="N54" s="291"/>
      <c r="O54" s="644"/>
      <c r="P54" s="644"/>
      <c r="Q54" s="449"/>
      <c r="R54" s="456"/>
      <c r="S54" s="457"/>
      <c r="T54" s="457"/>
      <c r="U54" s="457"/>
      <c r="V54" s="458"/>
      <c r="W54" s="456"/>
      <c r="X54" s="457"/>
      <c r="Y54" s="457"/>
      <c r="Z54" s="457"/>
      <c r="AA54" s="458"/>
      <c r="AB54" s="488"/>
      <c r="AC54" s="489"/>
      <c r="AD54" s="457"/>
      <c r="AE54" s="457"/>
      <c r="AF54" s="458"/>
      <c r="AG54" s="488"/>
      <c r="AH54" s="489"/>
      <c r="AI54" s="457"/>
      <c r="AJ54" s="457"/>
      <c r="AK54" s="458"/>
      <c r="AL54" s="581"/>
      <c r="AM54" s="581"/>
    </row>
    <row r="55" spans="1:39" s="1466" customFormat="1" ht="12.75" customHeight="1">
      <c r="A55" s="245"/>
      <c r="B55" s="1456" t="s">
        <v>373</v>
      </c>
      <c r="C55" s="1457"/>
      <c r="D55" s="1458"/>
      <c r="E55" s="1458"/>
      <c r="F55" s="1458"/>
      <c r="G55" s="1459"/>
      <c r="H55" s="1460"/>
      <c r="I55" s="1461"/>
      <c r="J55" s="1461"/>
      <c r="K55" s="1462"/>
      <c r="L55" s="1459"/>
      <c r="M55" s="1460">
        <v>72.832999999999998</v>
      </c>
      <c r="N55" s="1461">
        <v>107.453</v>
      </c>
      <c r="O55" s="1461">
        <v>139.447</v>
      </c>
      <c r="P55" s="1461">
        <v>200.108</v>
      </c>
      <c r="Q55" s="1463">
        <f>SUM(M55:P55)</f>
        <v>519.84100000000001</v>
      </c>
      <c r="R55" s="1462">
        <f>R57+R56</f>
        <v>250.74299999999999</v>
      </c>
      <c r="S55" s="1462">
        <f>S57+S56</f>
        <v>243.78</v>
      </c>
      <c r="T55" s="1462">
        <f>T57+T56</f>
        <v>248.791</v>
      </c>
      <c r="U55" s="1464">
        <f>'Debt Model'!U66+'Debt Model'!U67</f>
        <v>418.25762044699997</v>
      </c>
      <c r="V55" s="1465">
        <f>'Debt Model'!V66+'Debt Model'!V67</f>
        <v>1313.2486204469997</v>
      </c>
      <c r="W55" s="1464">
        <f>'Debt Model'!W66+'Debt Model'!W67</f>
        <v>532.78380889699997</v>
      </c>
      <c r="X55" s="1464">
        <f>'Debt Model'!X66+'Debt Model'!X67</f>
        <v>635.75705902062509</v>
      </c>
      <c r="Y55" s="1464">
        <f>'Debt Model'!Y66+'Debt Model'!Y67</f>
        <v>700.48071386688071</v>
      </c>
      <c r="Z55" s="1464">
        <f>'Debt Model'!Z66+'Debt Model'!Z67</f>
        <v>722.41581506964837</v>
      </c>
      <c r="AA55" s="1465">
        <f>'Debt Model'!AA66+'Debt Model'!AA67</f>
        <v>2591.437396854154</v>
      </c>
      <c r="AB55" s="1464">
        <f>'Debt Model'!AB66+'Debt Model'!AB67</f>
        <v>629.64265176800541</v>
      </c>
      <c r="AC55" s="1464">
        <f>'Debt Model'!AC66+'Debt Model'!AC67</f>
        <v>803.21130712792035</v>
      </c>
      <c r="AD55" s="1464">
        <f>'Debt Model'!AD66+'Debt Model'!AD67</f>
        <v>875.58353166596044</v>
      </c>
      <c r="AE55" s="1464">
        <f>'Debt Model'!AE66+'Debt Model'!AE67</f>
        <v>911.65575620400045</v>
      </c>
      <c r="AF55" s="1465">
        <f>'Debt Model'!AF66+'Debt Model'!AF67</f>
        <v>3220.0932467658868</v>
      </c>
      <c r="AG55" s="1464">
        <f>'Debt Model'!AG66+'Debt Model'!AG67</f>
        <v>800.85637412309973</v>
      </c>
      <c r="AH55" s="1464">
        <f>'Debt Model'!AH66+'Debt Model'!AH67</f>
        <v>1004.9830608513829</v>
      </c>
      <c r="AI55" s="1464">
        <f>'Debt Model'!AI66+'Debt Model'!AI67</f>
        <v>1064.1824230077909</v>
      </c>
      <c r="AJ55" s="1464">
        <f>'Debt Model'!AJ66+'Debt Model'!AJ67</f>
        <v>1093.3442851641992</v>
      </c>
      <c r="AK55" s="1465">
        <f>'Debt Model'!AK66+'Debt Model'!AK67</f>
        <v>3963.366143146473</v>
      </c>
    </row>
    <row r="56" spans="1:39" s="1466" customFormat="1" ht="12.75" customHeight="1">
      <c r="A56" s="245"/>
      <c r="B56" s="1456" t="s">
        <v>300</v>
      </c>
      <c r="C56" s="1457"/>
      <c r="D56" s="1458"/>
      <c r="E56" s="1458"/>
      <c r="F56" s="1458"/>
      <c r="G56" s="1459"/>
      <c r="H56" s="1460"/>
      <c r="I56" s="1461"/>
      <c r="J56" s="1461"/>
      <c r="K56" s="1462"/>
      <c r="L56" s="1459"/>
      <c r="M56" s="1460">
        <v>-32.177</v>
      </c>
      <c r="N56" s="1461">
        <v>-40.686999999999998</v>
      </c>
      <c r="O56" s="1461">
        <v>-35.072000000000003</v>
      </c>
      <c r="P56" s="1461">
        <v>-51.081000000000003</v>
      </c>
      <c r="Q56" s="1463">
        <f>SUM(M56:P56)</f>
        <v>-159.017</v>
      </c>
      <c r="R56" s="1461">
        <f>-36.278-S56</f>
        <v>-13.091999999999999</v>
      </c>
      <c r="S56" s="1461">
        <v>-23.186</v>
      </c>
      <c r="T56" s="1461">
        <v>-61.764000000000003</v>
      </c>
      <c r="U56" s="1464">
        <f>-'Revenue and CapEx Build'!U93</f>
        <v>-92.646000000000001</v>
      </c>
      <c r="V56" s="1465">
        <f>-'Revenue and CapEx Build'!V93</f>
        <v>-190.68799999999999</v>
      </c>
      <c r="W56" s="1464">
        <f>-'Revenue and CapEx Build'!W93</f>
        <v>-69.970760400000003</v>
      </c>
      <c r="X56" s="1464">
        <f>-'Revenue and CapEx Build'!X93</f>
        <v>-71.370175607999997</v>
      </c>
      <c r="Y56" s="1464">
        <f>-'Revenue and CapEx Build'!Y93</f>
        <v>-74.938684388400006</v>
      </c>
      <c r="Z56" s="1464">
        <f>-'Revenue and CapEx Build'!Z93</f>
        <v>-77.18684492005201</v>
      </c>
      <c r="AA56" s="1465">
        <f>-'Revenue and CapEx Build'!AA93</f>
        <v>-293.466465316452</v>
      </c>
      <c r="AB56" s="1464">
        <f>-'Revenue and CapEx Build'!AB93</f>
        <v>-65.351901830493617</v>
      </c>
      <c r="AC56" s="1464">
        <f>-'Revenue and CapEx Build'!AC93</f>
        <v>-78.422282196592334</v>
      </c>
      <c r="AD56" s="1464">
        <f>-'Revenue and CapEx Build'!AD93</f>
        <v>-82.343396306421965</v>
      </c>
      <c r="AE56" s="1464">
        <f>-'Revenue and CapEx Build'!AE93</f>
        <v>-88.107434047871493</v>
      </c>
      <c r="AF56" s="1465">
        <f>-'Revenue and CapEx Build'!AF93</f>
        <v>-314.22501438137942</v>
      </c>
      <c r="AG56" s="1464">
        <f>-'Revenue and CapEx Build'!AG93</f>
        <v>-88.336946801115786</v>
      </c>
      <c r="AH56" s="1464">
        <f>-'Revenue and CapEx Build'!AH93</f>
        <v>-99.820749885260824</v>
      </c>
      <c r="AI56" s="1464">
        <f>-'Revenue and CapEx Build'!AI93</f>
        <v>-112.79744737034473</v>
      </c>
      <c r="AJ56" s="1464">
        <f>-'Revenue and CapEx Build'!AJ93</f>
        <v>-125.20516658108266</v>
      </c>
      <c r="AK56" s="1465">
        <f>-'Revenue and CapEx Build'!AK93</f>
        <v>-426.160310637804</v>
      </c>
    </row>
    <row r="57" spans="1:39" s="1466" customFormat="1" ht="12.75" customHeight="1">
      <c r="A57" s="245"/>
      <c r="B57" s="1442" t="s">
        <v>257</v>
      </c>
      <c r="C57" s="1467"/>
      <c r="D57" s="1468"/>
      <c r="E57" s="1468"/>
      <c r="F57" s="1468"/>
      <c r="G57" s="1469">
        <v>9.4440000000000008</v>
      </c>
      <c r="H57" s="1437">
        <f>M57/(1+M58)</f>
        <v>4.2742473861551638</v>
      </c>
      <c r="I57" s="1437">
        <f>N57/(1+N58)</f>
        <v>8.4537894289013593</v>
      </c>
      <c r="J57" s="1437">
        <f>O57/(1+O58)</f>
        <v>-0.41398799083804422</v>
      </c>
      <c r="K57" s="1470">
        <f>L57-J57-I57-H57</f>
        <v>16.089951175781522</v>
      </c>
      <c r="L57" s="1469">
        <v>28.404</v>
      </c>
      <c r="M57" s="1471">
        <f>SUM(M55:M56)</f>
        <v>40.655999999999999</v>
      </c>
      <c r="N57" s="1472">
        <f>SUM(N55:N56)</f>
        <v>66.766000000000005</v>
      </c>
      <c r="O57" s="1472">
        <f>SUM(O55:O56)</f>
        <v>104.375</v>
      </c>
      <c r="P57" s="1472">
        <f>SUM(P55:P56)</f>
        <v>149.02699999999999</v>
      </c>
      <c r="Q57" s="1473">
        <f>SUM(M57:P57)</f>
        <v>360.82399999999996</v>
      </c>
      <c r="R57" s="1474">
        <v>263.83499999999998</v>
      </c>
      <c r="S57" s="1475">
        <v>266.96600000000001</v>
      </c>
      <c r="T57" s="1475">
        <v>310.55500000000001</v>
      </c>
      <c r="U57" s="1470">
        <f t="shared" ref="U57:AF57" si="23">U55+U56</f>
        <v>325.61162044699995</v>
      </c>
      <c r="V57" s="1476">
        <f t="shared" si="23"/>
        <v>1122.5606204469996</v>
      </c>
      <c r="W57" s="1470">
        <f t="shared" si="23"/>
        <v>462.81304849699995</v>
      </c>
      <c r="X57" s="1470">
        <f t="shared" si="23"/>
        <v>564.38688341262514</v>
      </c>
      <c r="Y57" s="1470">
        <f t="shared" si="23"/>
        <v>625.54202947848069</v>
      </c>
      <c r="Z57" s="1470">
        <f t="shared" si="23"/>
        <v>645.22897014959631</v>
      </c>
      <c r="AA57" s="1476">
        <f t="shared" si="23"/>
        <v>2297.9709315377022</v>
      </c>
      <c r="AB57" s="1470">
        <f t="shared" si="23"/>
        <v>564.29074993751181</v>
      </c>
      <c r="AC57" s="1470">
        <f t="shared" si="23"/>
        <v>724.78902493132796</v>
      </c>
      <c r="AD57" s="1470">
        <f t="shared" si="23"/>
        <v>793.2401353595385</v>
      </c>
      <c r="AE57" s="1470">
        <f t="shared" si="23"/>
        <v>823.54832215612896</v>
      </c>
      <c r="AF57" s="1476">
        <f t="shared" si="23"/>
        <v>2905.8682323845073</v>
      </c>
      <c r="AG57" s="1470">
        <f>AG55+AG56</f>
        <v>712.51942732198393</v>
      </c>
      <c r="AH57" s="1470">
        <f>AH55+AH56</f>
        <v>905.16231096612205</v>
      </c>
      <c r="AI57" s="1470">
        <f>AI55+AI56</f>
        <v>951.38497563744625</v>
      </c>
      <c r="AJ57" s="1470">
        <f>AJ55+AJ56</f>
        <v>968.13911858311644</v>
      </c>
      <c r="AK57" s="1476">
        <f>AK55+AK56</f>
        <v>3537.2058325086691</v>
      </c>
    </row>
    <row r="58" spans="1:39" s="298" customFormat="1" ht="12.75" customHeight="1">
      <c r="A58" s="1088"/>
      <c r="B58" s="433" t="s">
        <v>31</v>
      </c>
      <c r="C58" s="102"/>
      <c r="D58" s="102"/>
      <c r="E58" s="102"/>
      <c r="F58" s="102"/>
      <c r="G58" s="254"/>
      <c r="H58" s="102" t="str">
        <f>IFERROR(H57/C57-1,"")</f>
        <v/>
      </c>
      <c r="I58" s="102" t="str">
        <f>IFERROR(I57/D57-1,"")</f>
        <v/>
      </c>
      <c r="J58" s="102" t="str">
        <f>IFERROR(J57/E57-1,"")</f>
        <v/>
      </c>
      <c r="K58" s="102" t="str">
        <f>IFERROR(K57/F57-1,"")</f>
        <v/>
      </c>
      <c r="L58" s="254">
        <f>IFERROR(L57/G57-1,"")</f>
        <v>2.0076238881829731</v>
      </c>
      <c r="M58" s="107">
        <v>8.5118500000000008</v>
      </c>
      <c r="N58" s="107">
        <v>6.8977599999999999</v>
      </c>
      <c r="O58" s="107">
        <v>-253.12083999999999</v>
      </c>
      <c r="P58" s="102">
        <f t="shared" ref="P58:AF58" si="24">IFERROR(P57/K57-1,"")</f>
        <v>8.2621163589554172</v>
      </c>
      <c r="Q58" s="254">
        <f t="shared" si="24"/>
        <v>11.703281227996055</v>
      </c>
      <c r="R58" s="102">
        <f t="shared" si="24"/>
        <v>5.4894480519480515</v>
      </c>
      <c r="S58" s="102">
        <f t="shared" si="24"/>
        <v>2.9985321870413082</v>
      </c>
      <c r="T58" s="102">
        <f>IFERROR(T57/O57-1,"")</f>
        <v>1.975377245508982</v>
      </c>
      <c r="U58" s="102">
        <f t="shared" si="24"/>
        <v>1.1849169643554522</v>
      </c>
      <c r="V58" s="254">
        <f t="shared" si="24"/>
        <v>2.1111029766506655</v>
      </c>
      <c r="W58" s="102">
        <f t="shared" si="24"/>
        <v>0.75417608921105983</v>
      </c>
      <c r="X58" s="102">
        <f t="shared" si="24"/>
        <v>1.1140777605111705</v>
      </c>
      <c r="Y58" s="102">
        <f t="shared" si="24"/>
        <v>1.0142713190207231</v>
      </c>
      <c r="Z58" s="102">
        <f t="shared" si="24"/>
        <v>0.98159073458074175</v>
      </c>
      <c r="AA58" s="254">
        <f t="shared" si="24"/>
        <v>1.0470795872232346</v>
      </c>
      <c r="AB58" s="102">
        <f t="shared" si="24"/>
        <v>0.21926283576071137</v>
      </c>
      <c r="AC58" s="102">
        <f t="shared" si="24"/>
        <v>0.28420600519419281</v>
      </c>
      <c r="AD58" s="102">
        <f t="shared" si="24"/>
        <v>0.26808447390956136</v>
      </c>
      <c r="AE58" s="102">
        <f t="shared" si="24"/>
        <v>0.27636600378496534</v>
      </c>
      <c r="AF58" s="254">
        <f t="shared" si="24"/>
        <v>0.26453654939839755</v>
      </c>
      <c r="AG58" s="102">
        <f>IFERROR(AG57/AB57-1,"")</f>
        <v>0.26268138792083096</v>
      </c>
      <c r="AH58" s="102">
        <f>IFERROR(AH57/AC57-1,"")</f>
        <v>0.24886315856105035</v>
      </c>
      <c r="AI58" s="102">
        <f>IFERROR(AI57/AD57-1,"")</f>
        <v>0.19936565641150783</v>
      </c>
      <c r="AJ58" s="102">
        <f>IFERROR(AJ57/AE57-1,"")</f>
        <v>0.175570506959974</v>
      </c>
      <c r="AK58" s="254">
        <f>IFERROR(AK57/AF57-1,"")</f>
        <v>0.21726298291443746</v>
      </c>
    </row>
    <row r="59" spans="1:39" s="486" customFormat="1" ht="12.75" customHeight="1">
      <c r="A59" s="603"/>
      <c r="B59" s="556"/>
      <c r="C59" s="557"/>
      <c r="D59" s="558"/>
      <c r="E59" s="558"/>
      <c r="F59" s="558"/>
      <c r="G59" s="662"/>
      <c r="H59" s="669"/>
      <c r="I59" s="670"/>
      <c r="J59" s="670"/>
      <c r="K59" s="671"/>
      <c r="L59" s="662"/>
      <c r="M59" s="669"/>
      <c r="N59" s="670"/>
      <c r="O59" s="670"/>
      <c r="P59" s="670"/>
      <c r="Q59" s="665"/>
      <c r="R59" s="693"/>
      <c r="S59" s="693"/>
      <c r="T59" s="693"/>
      <c r="U59" s="693"/>
      <c r="V59" s="665"/>
      <c r="W59" s="693"/>
      <c r="X59" s="693"/>
      <c r="Y59" s="693"/>
      <c r="Z59" s="693"/>
      <c r="AA59" s="665"/>
      <c r="AB59" s="693"/>
      <c r="AC59" s="693"/>
      <c r="AD59" s="693"/>
      <c r="AE59" s="693"/>
      <c r="AF59" s="665"/>
      <c r="AG59" s="693"/>
      <c r="AH59" s="693"/>
      <c r="AI59" s="693"/>
      <c r="AJ59" s="693"/>
      <c r="AK59" s="665"/>
    </row>
    <row r="60" spans="1:39" s="1466" customFormat="1" ht="12.75" customHeight="1">
      <c r="A60" s="245"/>
      <c r="B60" s="1477" t="s">
        <v>256</v>
      </c>
      <c r="C60" s="1457"/>
      <c r="D60" s="1458"/>
      <c r="E60" s="1458"/>
      <c r="F60" s="1458"/>
      <c r="G60" s="1459">
        <v>-2.8839999999999999</v>
      </c>
      <c r="H60" s="1460"/>
      <c r="I60" s="1461"/>
      <c r="J60" s="1461"/>
      <c r="K60" s="1478"/>
      <c r="L60" s="1459">
        <v>-533.952</v>
      </c>
      <c r="M60" s="1460">
        <v>-97.5</v>
      </c>
      <c r="N60" s="1461">
        <v>-310.23099999999999</v>
      </c>
      <c r="O60" s="1461">
        <f>-748.864-N60-M60</f>
        <v>-341.13300000000004</v>
      </c>
      <c r="P60" s="1461">
        <v>-7.0650000000000004</v>
      </c>
      <c r="Q60" s="1463">
        <f>SUM(M60:P60)</f>
        <v>-755.92900000000009</v>
      </c>
      <c r="R60" s="1461">
        <v>26.837</v>
      </c>
      <c r="S60" s="1461">
        <v>0</v>
      </c>
      <c r="T60" s="1458">
        <v>0</v>
      </c>
      <c r="U60" s="1464">
        <f>'IS (Non-GAAP)'!U57-'IS (Non-GAAP)'!U123</f>
        <v>0</v>
      </c>
      <c r="V60" s="1463">
        <f>SUM(R60:U60)</f>
        <v>26.837</v>
      </c>
      <c r="W60" s="1464">
        <f>'IS (Non-GAAP)'!W57-'IS (Non-GAAP)'!W123</f>
        <v>0</v>
      </c>
      <c r="X60" s="1464">
        <f>'IS (Non-GAAP)'!X57-'IS (Non-GAAP)'!X123</f>
        <v>0</v>
      </c>
      <c r="Y60" s="1464">
        <f>'IS (Non-GAAP)'!Y57-'IS (Non-GAAP)'!Y123</f>
        <v>0</v>
      </c>
      <c r="Z60" s="1464">
        <f>'IS (Non-GAAP)'!Z57-'IS (Non-GAAP)'!Z123</f>
        <v>0</v>
      </c>
      <c r="AA60" s="1463">
        <f>SUM(W60:Z60)</f>
        <v>0</v>
      </c>
      <c r="AB60" s="1464">
        <f>'IS (Non-GAAP)'!AB57-'IS (Non-GAAP)'!AB123</f>
        <v>0</v>
      </c>
      <c r="AC60" s="1464">
        <f>'IS (Non-GAAP)'!AC57-'IS (Non-GAAP)'!AC123</f>
        <v>0</v>
      </c>
      <c r="AD60" s="1464">
        <f>'IS (Non-GAAP)'!AD57-'IS (Non-GAAP)'!AD123</f>
        <v>0</v>
      </c>
      <c r="AE60" s="1464">
        <f>'IS (Non-GAAP)'!AE57-'IS (Non-GAAP)'!AE123</f>
        <v>0</v>
      </c>
      <c r="AF60" s="1463">
        <f>SUM(AB60:AE60)</f>
        <v>0</v>
      </c>
      <c r="AG60" s="1464">
        <f>'IS (Non-GAAP)'!AG57-'IS (Non-GAAP)'!AG123</f>
        <v>0</v>
      </c>
      <c r="AH60" s="1464">
        <f>'IS (Non-GAAP)'!AH57-'IS (Non-GAAP)'!AH123</f>
        <v>0</v>
      </c>
      <c r="AI60" s="1464">
        <f>'IS (Non-GAAP)'!AI57-'IS (Non-GAAP)'!AI123</f>
        <v>0</v>
      </c>
      <c r="AJ60" s="1464">
        <f>'IS (Non-GAAP)'!AJ57-'IS (Non-GAAP)'!AJ123</f>
        <v>0</v>
      </c>
      <c r="AK60" s="1463">
        <f>SUM(AG60:AJ60)</f>
        <v>0</v>
      </c>
    </row>
    <row r="61" spans="1:39" s="1466" customFormat="1" ht="12.75" customHeight="1">
      <c r="A61" s="245" t="s">
        <v>184</v>
      </c>
      <c r="B61" s="1477" t="s">
        <v>258</v>
      </c>
      <c r="C61" s="1457"/>
      <c r="D61" s="1458"/>
      <c r="E61" s="1458"/>
      <c r="F61" s="1458"/>
      <c r="G61" s="1479">
        <v>0.192</v>
      </c>
      <c r="H61" s="1460"/>
      <c r="I61" s="1461"/>
      <c r="J61" s="1461"/>
      <c r="K61" s="1478"/>
      <c r="L61" s="1479">
        <v>18.760000000000002</v>
      </c>
      <c r="M61" s="1460">
        <v>7.46</v>
      </c>
      <c r="N61" s="1461">
        <v>16.405999999999999</v>
      </c>
      <c r="O61" s="1461">
        <v>10.244</v>
      </c>
      <c r="P61" s="1461">
        <v>14.084</v>
      </c>
      <c r="Q61" s="1463">
        <f>SUM(M61:P61)</f>
        <v>48.194000000000003</v>
      </c>
      <c r="R61" s="1461">
        <v>-4.1369999999999996</v>
      </c>
      <c r="S61" s="1461">
        <v>5.0229999999999997</v>
      </c>
      <c r="T61" s="1461">
        <v>21.901</v>
      </c>
      <c r="U61" s="1464">
        <f>'IS (Non-GAAP)'!U58-'IS (Non-GAAP)'!U124</f>
        <v>37.327873500000003</v>
      </c>
      <c r="V61" s="1463">
        <f>SUM(R61:U61)</f>
        <v>60.114873500000002</v>
      </c>
      <c r="W61" s="1464">
        <f>'IS (Non-GAAP)'!W58-'IS (Non-GAAP)'!W124</f>
        <v>31.666695098590544</v>
      </c>
      <c r="X61" s="1464">
        <f>'IS (Non-GAAP)'!X58-'IS (Non-GAAP)'!X124</f>
        <v>30.179712113541498</v>
      </c>
      <c r="Y61" s="1464">
        <f>'IS (Non-GAAP)'!Y58-'IS (Non-GAAP)'!Y124</f>
        <v>30.309892265461976</v>
      </c>
      <c r="Z61" s="1464">
        <f>'IS (Non-GAAP)'!Z58-'IS (Non-GAAP)'!Z124</f>
        <v>30.876922002463154</v>
      </c>
      <c r="AA61" s="1463">
        <f>SUM(W61:Z61)</f>
        <v>123.03322148005716</v>
      </c>
      <c r="AB61" s="1464">
        <f>'IS (Non-GAAP)'!AB58-'IS (Non-GAAP)'!AB124</f>
        <v>35.947752453510098</v>
      </c>
      <c r="AC61" s="1464">
        <f>'IS (Non-GAAP)'!AC58-'IS (Non-GAAP)'!AC124</f>
        <v>32.729173920595002</v>
      </c>
      <c r="AD61" s="1464">
        <f>'IS (Non-GAAP)'!AD58-'IS (Non-GAAP)'!AD124</f>
        <v>34.903457564110766</v>
      </c>
      <c r="AE61" s="1464">
        <f>'IS (Non-GAAP)'!AE58-'IS (Non-GAAP)'!AE124</f>
        <v>37.491765241202621</v>
      </c>
      <c r="AF61" s="1463">
        <f>SUM(AB61:AE61)</f>
        <v>141.07214917941849</v>
      </c>
      <c r="AG61" s="1464">
        <f>'IS (Non-GAAP)'!AG58-'IS (Non-GAAP)'!AG124</f>
        <v>39.612086134745596</v>
      </c>
      <c r="AH61" s="1464">
        <f>'IS (Non-GAAP)'!AH58-'IS (Non-GAAP)'!AH124</f>
        <v>37.242486062013576</v>
      </c>
      <c r="AI61" s="1464">
        <f>'IS (Non-GAAP)'!AI58-'IS (Non-GAAP)'!AI124</f>
        <v>38.125277215037663</v>
      </c>
      <c r="AJ61" s="1464">
        <f>'IS (Non-GAAP)'!AJ58-'IS (Non-GAAP)'!AJ124</f>
        <v>40.669664363689563</v>
      </c>
      <c r="AK61" s="1463">
        <f>SUM(AG61:AJ61)</f>
        <v>155.64951377548641</v>
      </c>
    </row>
    <row r="62" spans="1:39" s="1433" customFormat="1" ht="12.75" customHeight="1">
      <c r="A62" s="1428"/>
      <c r="B62" s="1429" t="s">
        <v>81</v>
      </c>
      <c r="C62" s="1445"/>
      <c r="D62" s="1445"/>
      <c r="E62" s="1445"/>
      <c r="F62" s="1445"/>
      <c r="G62" s="1480">
        <f>G49+SUM(G60:G61)-G57</f>
        <v>-35.016000000000005</v>
      </c>
      <c r="H62" s="1447"/>
      <c r="I62" s="1447"/>
      <c r="J62" s="1447"/>
      <c r="K62" s="1447"/>
      <c r="L62" s="1480">
        <f>L49+SUM(L60:L61)-L57</f>
        <v>-558.04700000000003</v>
      </c>
      <c r="M62" s="1445">
        <f t="shared" ref="M62:AF62" si="25">M49+SUM(M60:M61)-M57</f>
        <v>-113.84900000000002</v>
      </c>
      <c r="N62" s="1447">
        <f t="shared" si="25"/>
        <v>-282.87</v>
      </c>
      <c r="O62" s="1447">
        <f t="shared" si="25"/>
        <v>-318.14800000000002</v>
      </c>
      <c r="P62" s="1447">
        <f t="shared" si="25"/>
        <v>-29.33400000000006</v>
      </c>
      <c r="Q62" s="1480">
        <f t="shared" si="25"/>
        <v>-744.20100000000014</v>
      </c>
      <c r="R62" s="1445">
        <f t="shared" si="25"/>
        <v>-268.60500000000013</v>
      </c>
      <c r="S62" s="1447">
        <f t="shared" si="25"/>
        <v>-242.73399999999995</v>
      </c>
      <c r="T62" s="1445">
        <f t="shared" si="25"/>
        <v>-236.8040000000002</v>
      </c>
      <c r="U62" s="1445">
        <f t="shared" si="25"/>
        <v>-221.01282692535744</v>
      </c>
      <c r="V62" s="1480">
        <f t="shared" si="25"/>
        <v>-924.74882692535687</v>
      </c>
      <c r="W62" s="1445">
        <f t="shared" si="25"/>
        <v>-195.77242326178856</v>
      </c>
      <c r="X62" s="1445">
        <f t="shared" si="25"/>
        <v>-104.94897375538829</v>
      </c>
      <c r="Y62" s="1445">
        <f t="shared" si="25"/>
        <v>-126.84003908234905</v>
      </c>
      <c r="Z62" s="1445">
        <f t="shared" si="25"/>
        <v>-79.061566917797677</v>
      </c>
      <c r="AA62" s="1480">
        <f t="shared" si="25"/>
        <v>-506.62300301732489</v>
      </c>
      <c r="AB62" s="1445">
        <f t="shared" si="25"/>
        <v>106.25336915745743</v>
      </c>
      <c r="AC62" s="1445">
        <f t="shared" si="25"/>
        <v>-25.051677555628885</v>
      </c>
      <c r="AD62" s="1445">
        <f t="shared" si="25"/>
        <v>8.5004609786644778</v>
      </c>
      <c r="AE62" s="1445">
        <f t="shared" si="25"/>
        <v>-85.181175742663186</v>
      </c>
      <c r="AF62" s="1480">
        <f t="shared" si="25"/>
        <v>4.5209768378313129</v>
      </c>
      <c r="AG62" s="1445">
        <f>AG49+SUM(AG60:AG61)-AG57</f>
        <v>206.63717301408167</v>
      </c>
      <c r="AH62" s="1445">
        <f>AH49+SUM(AH60:AH61)-AH57</f>
        <v>-7.0251411712708887</v>
      </c>
      <c r="AI62" s="1445">
        <f>AI49+SUM(AI60:AI61)-AI57</f>
        <v>-15.963752182627445</v>
      </c>
      <c r="AJ62" s="1445">
        <f>AJ49+SUM(AJ60:AJ61)-AJ57</f>
        <v>-107.80215663694378</v>
      </c>
      <c r="AK62" s="1480">
        <f>AK49+SUM(AK60:AK61)-AK57</f>
        <v>75.846123023242399</v>
      </c>
    </row>
    <row r="63" spans="1:39" s="580" customFormat="1" ht="12.75" customHeight="1">
      <c r="A63" s="1098"/>
      <c r="B63" s="391"/>
      <c r="C63" s="576"/>
      <c r="D63" s="472"/>
      <c r="E63" s="472"/>
      <c r="F63" s="472"/>
      <c r="G63" s="567"/>
      <c r="H63" s="578"/>
      <c r="I63" s="579"/>
      <c r="J63" s="579"/>
      <c r="K63" s="579"/>
      <c r="L63" s="567"/>
      <c r="M63" s="576"/>
      <c r="N63" s="579"/>
      <c r="O63" s="579"/>
      <c r="P63" s="579"/>
      <c r="Q63" s="577"/>
      <c r="R63" s="576"/>
      <c r="S63" s="472"/>
      <c r="T63" s="472"/>
      <c r="U63" s="472"/>
      <c r="V63" s="577"/>
      <c r="W63" s="576"/>
      <c r="X63" s="472"/>
      <c r="Y63" s="472"/>
      <c r="Z63" s="472"/>
      <c r="AA63" s="577"/>
      <c r="AB63" s="578"/>
      <c r="AC63" s="579"/>
      <c r="AD63" s="472"/>
      <c r="AE63" s="472"/>
      <c r="AF63" s="577"/>
      <c r="AG63" s="578"/>
      <c r="AH63" s="579"/>
      <c r="AI63" s="472"/>
      <c r="AJ63" s="472"/>
      <c r="AK63" s="577"/>
    </row>
    <row r="64" spans="1:39" s="1433" customFormat="1" ht="12.75" customHeight="1">
      <c r="A64" s="1428" t="s">
        <v>185</v>
      </c>
      <c r="B64" s="1481" t="s">
        <v>259</v>
      </c>
      <c r="C64" s="1482"/>
      <c r="D64" s="1483"/>
      <c r="E64" s="1483"/>
      <c r="F64" s="1483"/>
      <c r="G64" s="1484">
        <v>-4.1500000000000004</v>
      </c>
      <c r="H64" s="1485"/>
      <c r="I64" s="1486"/>
      <c r="J64" s="1486"/>
      <c r="K64" s="1478"/>
      <c r="L64" s="1484">
        <v>35.701000000000001</v>
      </c>
      <c r="M64" s="1485">
        <v>15.398999999999999</v>
      </c>
      <c r="N64" s="1486">
        <v>40.151000000000003</v>
      </c>
      <c r="O64" s="1486">
        <v>41.658999999999999</v>
      </c>
      <c r="P64" s="1486">
        <v>22.038</v>
      </c>
      <c r="Q64" s="1463">
        <f>SUM(M64:P64)</f>
        <v>119.247</v>
      </c>
      <c r="R64" s="1486">
        <v>46.036000000000001</v>
      </c>
      <c r="S64" s="1486">
        <v>47.774999999999999</v>
      </c>
      <c r="T64" s="1486">
        <v>-126.68</v>
      </c>
      <c r="U64" s="1487">
        <f>'IS (Non-GAAP)'!U61</f>
        <v>65.470893680107821</v>
      </c>
      <c r="V64" s="1463">
        <f>SUM(R64:U64)</f>
        <v>32.601893680107821</v>
      </c>
      <c r="W64" s="1487">
        <f>'IS (Non-GAAP)'!W61</f>
        <v>32.665141422565796</v>
      </c>
      <c r="X64" s="1487">
        <f>'IS (Non-GAAP)'!X61</f>
        <v>6.6481211593834928</v>
      </c>
      <c r="Y64" s="1487">
        <f>'IS (Non-GAAP)'!Y61</f>
        <v>15.187231260475528</v>
      </c>
      <c r="Z64" s="1487">
        <f>'IS (Non-GAAP)'!Z61</f>
        <v>-8.9920715750727709</v>
      </c>
      <c r="AA64" s="1463">
        <f>SUM(W64:Z64)</f>
        <v>45.508422267352046</v>
      </c>
      <c r="AB64" s="1487">
        <f>'IS (Non-GAAP)'!AB61</f>
        <v>153.08440931773131</v>
      </c>
      <c r="AC64" s="1487">
        <f>'IS (Non-GAAP)'!AC61</f>
        <v>-30.179843101314781</v>
      </c>
      <c r="AD64" s="1487">
        <f>'IS (Non-GAAP)'!AD61</f>
        <v>-25.764934720272525</v>
      </c>
      <c r="AE64" s="1487">
        <f>'IS (Non-GAAP)'!AE61</f>
        <v>-10.411006956177982</v>
      </c>
      <c r="AF64" s="1463">
        <f>SUM(AB64:AE64)</f>
        <v>86.72862453996602</v>
      </c>
      <c r="AG64" s="1487">
        <f>'IS (Non-GAAP)'!AG61</f>
        <v>246.3739712123249</v>
      </c>
      <c r="AH64" s="1487">
        <f>'IS (Non-GAAP)'!AH61</f>
        <v>-27.870480912172216</v>
      </c>
      <c r="AI64" s="1487">
        <f>'IS (Non-GAAP)'!AI61</f>
        <v>-19.167802864421059</v>
      </c>
      <c r="AJ64" s="1487">
        <f>'IS (Non-GAAP)'!AJ61</f>
        <v>9.4910137639318908</v>
      </c>
      <c r="AK64" s="1463">
        <f>SUM(AG64:AJ64)</f>
        <v>208.82670119966355</v>
      </c>
    </row>
    <row r="65" spans="1:37" s="298" customFormat="1" ht="12.75" customHeight="1">
      <c r="A65" s="1088"/>
      <c r="B65" s="433" t="s">
        <v>96</v>
      </c>
      <c r="C65" s="259"/>
      <c r="D65" s="259"/>
      <c r="E65" s="259"/>
      <c r="F65" s="259"/>
      <c r="G65" s="109">
        <f>G64/G62</f>
        <v>0.11851724925748229</v>
      </c>
      <c r="H65" s="614"/>
      <c r="I65" s="614"/>
      <c r="J65" s="614"/>
      <c r="K65" s="614"/>
      <c r="L65" s="109">
        <f t="shared" ref="L65:AF65" si="26">L64/L62</f>
        <v>-6.397489817165937E-2</v>
      </c>
      <c r="M65" s="259">
        <f t="shared" si="26"/>
        <v>-0.1352581050338606</v>
      </c>
      <c r="N65" s="614">
        <f t="shared" si="26"/>
        <v>-0.14194152791034753</v>
      </c>
      <c r="O65" s="614">
        <f t="shared" si="26"/>
        <v>-0.13094220299986167</v>
      </c>
      <c r="P65" s="614">
        <f t="shared" si="26"/>
        <v>-0.7512783800368158</v>
      </c>
      <c r="Q65" s="109">
        <f t="shared" si="26"/>
        <v>-0.16023493652924409</v>
      </c>
      <c r="R65" s="259">
        <f t="shared" si="26"/>
        <v>-0.17138921464604151</v>
      </c>
      <c r="S65" s="614">
        <f>S64/S62</f>
        <v>-0.19682038774955304</v>
      </c>
      <c r="T65" s="259">
        <f t="shared" si="26"/>
        <v>0.53495717977736823</v>
      </c>
      <c r="U65" s="259">
        <f t="shared" si="26"/>
        <v>-0.29623119431986306</v>
      </c>
      <c r="V65" s="109">
        <f t="shared" si="26"/>
        <v>-3.5254863516295497E-2</v>
      </c>
      <c r="W65" s="259">
        <f t="shared" si="26"/>
        <v>-0.1668526183531257</v>
      </c>
      <c r="X65" s="259">
        <f t="shared" si="26"/>
        <v>-6.3346223612235797E-2</v>
      </c>
      <c r="Y65" s="259">
        <f t="shared" si="26"/>
        <v>-0.11973530890049189</v>
      </c>
      <c r="Z65" s="259">
        <f t="shared" si="26"/>
        <v>0.11373505390327081</v>
      </c>
      <c r="AA65" s="109">
        <f t="shared" si="26"/>
        <v>-8.9826995608795521E-2</v>
      </c>
      <c r="AB65" s="259">
        <f t="shared" si="26"/>
        <v>1.4407487549018301</v>
      </c>
      <c r="AC65" s="259">
        <f t="shared" si="26"/>
        <v>1.2047034788108888</v>
      </c>
      <c r="AD65" s="259">
        <f t="shared" si="26"/>
        <v>-3.0310044108126122</v>
      </c>
      <c r="AE65" s="259">
        <f t="shared" si="26"/>
        <v>0.12222192128023898</v>
      </c>
      <c r="AF65" s="109">
        <f t="shared" si="26"/>
        <v>19.183602936034781</v>
      </c>
      <c r="AG65" s="259">
        <f>AG64/AG62</f>
        <v>1.1923022736840061</v>
      </c>
      <c r="AH65" s="259">
        <f>AH64/AH62</f>
        <v>3.9672485196664433</v>
      </c>
      <c r="AI65" s="259">
        <f>AI64/AI62</f>
        <v>1.2007078689983939</v>
      </c>
      <c r="AJ65" s="259">
        <f>AJ64/AJ62</f>
        <v>-8.8041037953403262E-2</v>
      </c>
      <c r="AK65" s="109">
        <f>AK64/AK62</f>
        <v>2.7532943395889911</v>
      </c>
    </row>
    <row r="66" spans="1:37" s="269" customFormat="1" ht="12.75" customHeight="1">
      <c r="A66" s="67"/>
      <c r="B66" s="381"/>
      <c r="C66" s="253"/>
      <c r="D66" s="102"/>
      <c r="E66" s="102"/>
      <c r="F66" s="102"/>
      <c r="G66" s="271"/>
      <c r="H66" s="616"/>
      <c r="I66" s="291"/>
      <c r="J66" s="291"/>
      <c r="K66" s="616"/>
      <c r="L66" s="271"/>
      <c r="M66" s="253"/>
      <c r="N66" s="291"/>
      <c r="O66" s="291"/>
      <c r="P66" s="291"/>
      <c r="Q66" s="271"/>
      <c r="R66" s="253"/>
      <c r="S66" s="291"/>
      <c r="T66" s="102"/>
      <c r="U66" s="253"/>
      <c r="V66" s="271"/>
      <c r="W66" s="253"/>
      <c r="X66" s="102"/>
      <c r="Y66" s="102"/>
      <c r="Z66" s="253"/>
      <c r="AA66" s="271"/>
      <c r="AB66" s="253"/>
      <c r="AC66" s="102"/>
      <c r="AD66" s="102"/>
      <c r="AE66" s="253"/>
      <c r="AF66" s="271"/>
      <c r="AG66" s="253"/>
      <c r="AH66" s="102"/>
      <c r="AI66" s="102"/>
      <c r="AJ66" s="253"/>
      <c r="AK66" s="271"/>
    </row>
    <row r="67" spans="1:37" s="565" customFormat="1" ht="12.75" hidden="1" customHeight="1" outlineLevel="1">
      <c r="A67" s="1099"/>
      <c r="B67" s="468" t="s">
        <v>260</v>
      </c>
      <c r="C67" s="572"/>
      <c r="D67" s="572"/>
      <c r="E67" s="572"/>
      <c r="F67" s="572"/>
      <c r="G67" s="573">
        <f t="shared" ref="G67:AF67" si="27">G62-G64</f>
        <v>-30.866000000000007</v>
      </c>
      <c r="H67" s="615"/>
      <c r="I67" s="615"/>
      <c r="J67" s="615"/>
      <c r="K67" s="615"/>
      <c r="L67" s="573">
        <f t="shared" si="27"/>
        <v>-593.74800000000005</v>
      </c>
      <c r="M67" s="572">
        <f t="shared" si="27"/>
        <v>-129.24800000000002</v>
      </c>
      <c r="N67" s="615">
        <f t="shared" si="27"/>
        <v>-323.02100000000002</v>
      </c>
      <c r="O67" s="615">
        <f t="shared" si="27"/>
        <v>-359.80700000000002</v>
      </c>
      <c r="P67" s="615">
        <f>P62-P64</f>
        <v>-51.372000000000057</v>
      </c>
      <c r="Q67" s="573">
        <f t="shared" si="27"/>
        <v>-863.44800000000009</v>
      </c>
      <c r="R67" s="572">
        <f t="shared" si="27"/>
        <v>-314.64100000000013</v>
      </c>
      <c r="S67" s="572">
        <f t="shared" si="27"/>
        <v>-290.50899999999996</v>
      </c>
      <c r="T67" s="572">
        <f t="shared" si="27"/>
        <v>-110.12400000000019</v>
      </c>
      <c r="U67" s="572">
        <f t="shared" si="27"/>
        <v>-286.48372060546524</v>
      </c>
      <c r="V67" s="573">
        <f t="shared" si="27"/>
        <v>-957.35072060546463</v>
      </c>
      <c r="W67" s="572">
        <f t="shared" si="27"/>
        <v>-228.43756468435436</v>
      </c>
      <c r="X67" s="572">
        <f t="shared" si="27"/>
        <v>-111.59709491477179</v>
      </c>
      <c r="Y67" s="572">
        <f t="shared" si="27"/>
        <v>-142.02727034282458</v>
      </c>
      <c r="Z67" s="572">
        <f t="shared" si="27"/>
        <v>-70.069495342724906</v>
      </c>
      <c r="AA67" s="573">
        <f t="shared" si="27"/>
        <v>-552.13142528467688</v>
      </c>
      <c r="AB67" s="572">
        <f t="shared" si="27"/>
        <v>-46.831040160273886</v>
      </c>
      <c r="AC67" s="572">
        <f t="shared" si="27"/>
        <v>5.1281655456858957</v>
      </c>
      <c r="AD67" s="572">
        <f t="shared" si="27"/>
        <v>34.265395698936999</v>
      </c>
      <c r="AE67" s="572">
        <f t="shared" si="27"/>
        <v>-74.7701687864852</v>
      </c>
      <c r="AF67" s="573">
        <f t="shared" si="27"/>
        <v>-82.207647702134707</v>
      </c>
      <c r="AG67" s="572">
        <f>AG62-AG64</f>
        <v>-39.736798198243235</v>
      </c>
      <c r="AH67" s="572">
        <f>AH62-AH64</f>
        <v>20.845339740901327</v>
      </c>
      <c r="AI67" s="572">
        <f>AI62-AI64</f>
        <v>3.2040506817936141</v>
      </c>
      <c r="AJ67" s="572">
        <f>AJ62-AJ64</f>
        <v>-117.29317040087567</v>
      </c>
      <c r="AK67" s="573">
        <f>AK62-AK64</f>
        <v>-132.98057817642115</v>
      </c>
    </row>
    <row r="68" spans="1:37" s="269" customFormat="1" ht="12.75" hidden="1" customHeight="1" outlineLevel="1">
      <c r="A68" s="67"/>
      <c r="B68" s="391"/>
      <c r="C68" s="253"/>
      <c r="D68" s="253"/>
      <c r="E68" s="253"/>
      <c r="F68" s="253"/>
      <c r="G68" s="270"/>
      <c r="H68" s="616"/>
      <c r="I68" s="616"/>
      <c r="J68" s="616"/>
      <c r="K68" s="616"/>
      <c r="L68" s="270"/>
      <c r="M68" s="253"/>
      <c r="N68" s="616"/>
      <c r="O68" s="253"/>
      <c r="P68" s="253"/>
      <c r="Q68" s="270"/>
      <c r="R68" s="253"/>
      <c r="S68" s="253"/>
      <c r="T68" s="253"/>
      <c r="U68" s="253"/>
      <c r="V68" s="270"/>
      <c r="W68" s="253"/>
      <c r="X68" s="253"/>
      <c r="Y68" s="253"/>
      <c r="Z68" s="253"/>
      <c r="AA68" s="270"/>
      <c r="AB68" s="253"/>
      <c r="AC68" s="253"/>
      <c r="AD68" s="253"/>
      <c r="AE68" s="253"/>
      <c r="AF68" s="270"/>
      <c r="AG68" s="253"/>
      <c r="AH68" s="253"/>
      <c r="AI68" s="253"/>
      <c r="AJ68" s="253"/>
      <c r="AK68" s="270"/>
    </row>
    <row r="69" spans="1:37" ht="12.75" hidden="1" customHeight="1" outlineLevel="1">
      <c r="A69" s="67" t="s">
        <v>186</v>
      </c>
      <c r="B69" s="383" t="s">
        <v>263</v>
      </c>
      <c r="C69" s="260"/>
      <c r="D69" s="260"/>
      <c r="E69" s="260"/>
      <c r="F69" s="260"/>
      <c r="G69" s="265">
        <f>G67/G88</f>
        <v>-0.17087780681163917</v>
      </c>
      <c r="H69" s="617"/>
      <c r="I69" s="617"/>
      <c r="J69" s="617"/>
      <c r="K69" s="617"/>
      <c r="L69" s="265">
        <f t="shared" ref="L69:AF69" si="28">IFERROR(L67/L88,"")</f>
        <v>-3.089798297287734</v>
      </c>
      <c r="M69" s="260">
        <f t="shared" si="28"/>
        <v>-0.61773758770336673</v>
      </c>
      <c r="N69" s="617">
        <f t="shared" si="28"/>
        <v>-1.5409395781057693</v>
      </c>
      <c r="O69" s="260" t="str">
        <f t="shared" si="28"/>
        <v/>
      </c>
      <c r="P69" s="260" t="str">
        <f t="shared" si="28"/>
        <v/>
      </c>
      <c r="Q69" s="265">
        <f t="shared" si="28"/>
        <v>-3.963425046131813</v>
      </c>
      <c r="R69" s="260">
        <f t="shared" si="28"/>
        <v>-1.2810698348587999</v>
      </c>
      <c r="S69" s="260">
        <f t="shared" si="28"/>
        <v>-0.5970291271314101</v>
      </c>
      <c r="T69" s="260">
        <f t="shared" si="28"/>
        <v>-0.22118316241067271</v>
      </c>
      <c r="U69" s="260">
        <f t="shared" si="28"/>
        <v>-0.57367919581030524</v>
      </c>
      <c r="V69" s="265">
        <f t="shared" si="28"/>
        <v>-2.2142128575499682</v>
      </c>
      <c r="W69" s="260">
        <f t="shared" si="28"/>
        <v>-0.45471438486257337</v>
      </c>
      <c r="X69" s="260">
        <f t="shared" si="28"/>
        <v>-0.22081373318601222</v>
      </c>
      <c r="Y69" s="260">
        <f t="shared" si="28"/>
        <v>-0.27934889035096744</v>
      </c>
      <c r="Z69" s="260">
        <f t="shared" si="28"/>
        <v>-0.13699547393401318</v>
      </c>
      <c r="AA69" s="265">
        <f t="shared" si="28"/>
        <v>-1.0891982969817335</v>
      </c>
      <c r="AB69" s="260">
        <f t="shared" si="28"/>
        <v>-9.1015016630035014E-2</v>
      </c>
      <c r="AC69" s="260">
        <f t="shared" si="28"/>
        <v>9.9070260414426577E-3</v>
      </c>
      <c r="AD69" s="260">
        <f t="shared" si="28"/>
        <v>6.580199166049884E-2</v>
      </c>
      <c r="AE69" s="260">
        <f t="shared" si="28"/>
        <v>-0.14272947478338871</v>
      </c>
      <c r="AF69" s="265">
        <f t="shared" si="28"/>
        <v>-0.15833786544018683</v>
      </c>
      <c r="AG69" s="260">
        <f>IFERROR(AG67/AG88,"")</f>
        <v>-7.5401536657915963E-2</v>
      </c>
      <c r="AH69" s="260">
        <f>IFERROR(AH67/AH88,"")</f>
        <v>3.9318625099074828E-2</v>
      </c>
      <c r="AI69" s="260">
        <f>IFERROR(AI67/AI88,"")</f>
        <v>6.0074579784814642E-3</v>
      </c>
      <c r="AJ69" s="260">
        <f>IFERROR(AJ67/AJ88,"")</f>
        <v>-0.21860802923483577</v>
      </c>
      <c r="AK69" s="265">
        <f>IFERROR(AK67/AK88,"")</f>
        <v>-0.25007418289246319</v>
      </c>
    </row>
    <row r="70" spans="1:37" s="298" customFormat="1" ht="12.75" hidden="1" customHeight="1" outlineLevel="1">
      <c r="A70" s="1088" t="s">
        <v>187</v>
      </c>
      <c r="B70" s="433" t="s">
        <v>31</v>
      </c>
      <c r="C70" s="102"/>
      <c r="D70" s="102"/>
      <c r="E70" s="102"/>
      <c r="F70" s="102"/>
      <c r="G70" s="254"/>
      <c r="H70" s="291"/>
      <c r="I70" s="291"/>
      <c r="J70" s="291"/>
      <c r="K70" s="291"/>
      <c r="L70" s="254">
        <f t="shared" ref="L70:AF70" si="29">IFERROR(L69/G69-1,"")</f>
        <v>17.081916867610893</v>
      </c>
      <c r="M70" s="102" t="str">
        <f t="shared" si="29"/>
        <v/>
      </c>
      <c r="N70" s="102" t="str">
        <f t="shared" si="29"/>
        <v/>
      </c>
      <c r="O70" s="102" t="str">
        <f t="shared" si="29"/>
        <v/>
      </c>
      <c r="P70" s="102" t="str">
        <f t="shared" si="29"/>
        <v/>
      </c>
      <c r="Q70" s="254">
        <f t="shared" si="29"/>
        <v>0.2827455596732511</v>
      </c>
      <c r="R70" s="102">
        <f t="shared" si="29"/>
        <v>1.0738091065845272</v>
      </c>
      <c r="S70" s="102">
        <f t="shared" si="29"/>
        <v>-0.61255513479294232</v>
      </c>
      <c r="T70" s="102" t="str">
        <f t="shared" si="29"/>
        <v/>
      </c>
      <c r="U70" s="102" t="str">
        <f t="shared" si="29"/>
        <v/>
      </c>
      <c r="V70" s="254">
        <f t="shared" si="29"/>
        <v>-0.4413385312506477</v>
      </c>
      <c r="W70" s="102">
        <f t="shared" si="29"/>
        <v>-0.64505105616455938</v>
      </c>
      <c r="X70" s="102">
        <f t="shared" si="29"/>
        <v>-0.63014579498495782</v>
      </c>
      <c r="Y70" s="102">
        <f t="shared" si="29"/>
        <v>0.26297538793797481</v>
      </c>
      <c r="Z70" s="102">
        <f t="shared" si="29"/>
        <v>-0.76119846259979673</v>
      </c>
      <c r="AA70" s="254">
        <f t="shared" si="29"/>
        <v>-0.50808780950403565</v>
      </c>
      <c r="AB70" s="102">
        <f t="shared" si="29"/>
        <v>-0.79984135171456661</v>
      </c>
      <c r="AC70" s="102">
        <f t="shared" si="29"/>
        <v>-1.0448659868138592</v>
      </c>
      <c r="AD70" s="102">
        <f t="shared" si="29"/>
        <v>-1.2355548703910251</v>
      </c>
      <c r="AE70" s="102">
        <f t="shared" si="29"/>
        <v>4.1855403574408756E-2</v>
      </c>
      <c r="AF70" s="254">
        <f t="shared" si="29"/>
        <v>-0.85462898181262736</v>
      </c>
      <c r="AG70" s="102">
        <f>IFERROR(AG69/AB69-1,"")</f>
        <v>-0.17154839443238201</v>
      </c>
      <c r="AH70" s="102">
        <f>IFERROR(AH69/AC69-1,"")</f>
        <v>2.9687616580998979</v>
      </c>
      <c r="AI70" s="102">
        <f>IFERROR(AI69/AD69-1,"")</f>
        <v>-0.90870400991087685</v>
      </c>
      <c r="AJ70" s="102">
        <f>IFERROR(AJ69/AE69-1,"")</f>
        <v>0.5316249819219403</v>
      </c>
      <c r="AK70" s="254">
        <f>IFERROR(AK69/AF69-1,"")</f>
        <v>0.57937068431006722</v>
      </c>
    </row>
    <row r="71" spans="1:37" ht="12.75" hidden="1" customHeight="1" outlineLevel="1">
      <c r="B71" s="433" t="s">
        <v>33</v>
      </c>
      <c r="C71" s="253"/>
      <c r="D71" s="102"/>
      <c r="E71" s="102"/>
      <c r="F71" s="102"/>
      <c r="G71" s="255"/>
      <c r="H71" s="616"/>
      <c r="I71" s="291"/>
      <c r="J71" s="291"/>
      <c r="K71" s="291"/>
      <c r="L71" s="255"/>
      <c r="M71" s="253" t="str">
        <f>IFERROR(M69/K69-1,"")</f>
        <v/>
      </c>
      <c r="N71" s="102">
        <f>IFERROR(N69/M69-1,"")</f>
        <v>1.4944889363697222</v>
      </c>
      <c r="O71" s="102" t="str">
        <f>IFERROR(O69/N69-1,"")</f>
        <v/>
      </c>
      <c r="P71" s="102" t="str">
        <f>IFERROR(P69/O69-1,"")</f>
        <v/>
      </c>
      <c r="Q71" s="255"/>
      <c r="R71" s="253" t="str">
        <f>IFERROR(R69/P69-1,"")</f>
        <v/>
      </c>
      <c r="S71" s="102">
        <f>IFERROR(S69/R69-1,"")</f>
        <v>-0.53396051418444723</v>
      </c>
      <c r="T71" s="102">
        <f>IFERROR(T69/S69-1,"")</f>
        <v>-0.62952701575313785</v>
      </c>
      <c r="U71" s="102">
        <f>IFERROR(U69/T69-1,"")</f>
        <v>1.5936838480731641</v>
      </c>
      <c r="V71" s="255"/>
      <c r="W71" s="253">
        <f>IFERROR(W69/U69-1,"")</f>
        <v>-0.20737166663277296</v>
      </c>
      <c r="X71" s="102">
        <f>IFERROR(X69/W69-1,"")</f>
        <v>-0.51439026224616158</v>
      </c>
      <c r="Y71" s="102">
        <f>IFERROR(Y69/X69-1,"")</f>
        <v>0.26508839065569134</v>
      </c>
      <c r="Z71" s="102">
        <f>IFERROR(Z69/Y69-1,"")</f>
        <v>-0.50959005506735588</v>
      </c>
      <c r="AA71" s="255"/>
      <c r="AB71" s="253">
        <f>IFERROR(AB69/Z69-1,"")</f>
        <v>-0.33563486430307643</v>
      </c>
      <c r="AC71" s="102">
        <f>IFERROR(AC69/AB69-1,"")</f>
        <v>-1.1088504557628498</v>
      </c>
      <c r="AD71" s="102">
        <f>IFERROR(AD69/AC69-1,"")</f>
        <v>5.6419520232649738</v>
      </c>
      <c r="AE71" s="102">
        <f>IFERROR(AE69/AD69-1,"")</f>
        <v>-3.1690752997233318</v>
      </c>
      <c r="AF71" s="255"/>
      <c r="AG71" s="253">
        <f>IFERROR(AG69/AE69-1,"")</f>
        <v>-0.47171712939917987</v>
      </c>
      <c r="AH71" s="102">
        <f>IFERROR(AH69/AG69-1,"")</f>
        <v>-1.521456549054919</v>
      </c>
      <c r="AI71" s="102">
        <f>IFERROR(AI69/AH69-1,"")</f>
        <v>-0.84721088381539511</v>
      </c>
      <c r="AJ71" s="102">
        <f>IFERROR(AJ69/AI69-1,"")</f>
        <v>-37.389439596229096</v>
      </c>
      <c r="AK71" s="255"/>
    </row>
    <row r="72" spans="1:37" ht="12.75" hidden="1" customHeight="1" outlineLevel="1">
      <c r="B72" s="433"/>
      <c r="C72" s="257"/>
      <c r="D72" s="257"/>
      <c r="E72" s="257"/>
      <c r="F72" s="257"/>
      <c r="G72" s="114"/>
      <c r="H72" s="292"/>
      <c r="I72" s="292"/>
      <c r="J72" s="292"/>
      <c r="K72" s="292"/>
      <c r="L72" s="114"/>
      <c r="M72" s="257"/>
      <c r="N72" s="292"/>
      <c r="O72" s="257"/>
      <c r="P72" s="257"/>
      <c r="Q72" s="114"/>
      <c r="R72" s="257"/>
      <c r="S72" s="257"/>
      <c r="T72" s="257"/>
      <c r="U72" s="257"/>
      <c r="V72" s="114"/>
      <c r="W72" s="257"/>
      <c r="X72" s="257"/>
      <c r="Y72" s="257"/>
      <c r="Z72" s="257"/>
      <c r="AA72" s="114"/>
      <c r="AB72" s="257"/>
      <c r="AC72" s="257"/>
      <c r="AD72" s="257"/>
      <c r="AE72" s="257"/>
      <c r="AF72" s="114"/>
      <c r="AG72" s="257"/>
      <c r="AH72" s="257"/>
      <c r="AI72" s="257"/>
      <c r="AJ72" s="257"/>
      <c r="AK72" s="114"/>
    </row>
    <row r="73" spans="1:37" ht="12.75" hidden="1" customHeight="1" outlineLevel="1">
      <c r="A73" s="67" t="s">
        <v>164</v>
      </c>
      <c r="B73" s="445" t="s">
        <v>264</v>
      </c>
      <c r="C73" s="446"/>
      <c r="D73" s="446"/>
      <c r="E73" s="446"/>
      <c r="F73" s="446"/>
      <c r="G73" s="447">
        <f>G67/G89</f>
        <v>-0.17087780681163917</v>
      </c>
      <c r="H73" s="471"/>
      <c r="I73" s="471"/>
      <c r="J73" s="471"/>
      <c r="K73" s="471"/>
      <c r="L73" s="447">
        <f t="shared" ref="L73:AF73" si="30">IFERROR(L67/L89,"")</f>
        <v>-3.089798297287734</v>
      </c>
      <c r="M73" s="446">
        <f t="shared" si="30"/>
        <v>-0.61773758770336673</v>
      </c>
      <c r="N73" s="471">
        <f t="shared" si="30"/>
        <v>-1.5409395781057693</v>
      </c>
      <c r="O73" s="446" t="str">
        <f t="shared" si="30"/>
        <v/>
      </c>
      <c r="P73" s="446" t="str">
        <f t="shared" si="30"/>
        <v/>
      </c>
      <c r="Q73" s="447">
        <f t="shared" si="30"/>
        <v>-3.963425046131813</v>
      </c>
      <c r="R73" s="446">
        <f t="shared" si="30"/>
        <v>-1.2621333130091905</v>
      </c>
      <c r="S73" s="446">
        <f t="shared" si="30"/>
        <v>-0.5970291271314101</v>
      </c>
      <c r="T73" s="446">
        <f t="shared" si="30"/>
        <v>-0.22118316241067271</v>
      </c>
      <c r="U73" s="446">
        <f t="shared" si="30"/>
        <v>-0.57367919581030524</v>
      </c>
      <c r="V73" s="447">
        <f t="shared" si="30"/>
        <v>-2.2095050273043753</v>
      </c>
      <c r="W73" s="446">
        <f t="shared" si="30"/>
        <v>-0.45471438486257337</v>
      </c>
      <c r="X73" s="446">
        <f t="shared" si="30"/>
        <v>-0.22081373318601222</v>
      </c>
      <c r="Y73" s="446">
        <f t="shared" si="30"/>
        <v>-0.27934889035096744</v>
      </c>
      <c r="Z73" s="446">
        <f t="shared" si="30"/>
        <v>-0.13699547393401318</v>
      </c>
      <c r="AA73" s="447">
        <f t="shared" si="30"/>
        <v>-1.0891982969817335</v>
      </c>
      <c r="AB73" s="446">
        <f t="shared" si="30"/>
        <v>-9.1015016630035014E-2</v>
      </c>
      <c r="AC73" s="446">
        <f t="shared" si="30"/>
        <v>9.9070260414426577E-3</v>
      </c>
      <c r="AD73" s="446">
        <f t="shared" si="30"/>
        <v>6.580199166049884E-2</v>
      </c>
      <c r="AE73" s="446">
        <f t="shared" si="30"/>
        <v>-0.14272947478338871</v>
      </c>
      <c r="AF73" s="447">
        <f t="shared" si="30"/>
        <v>-0.15833786544018683</v>
      </c>
      <c r="AG73" s="446">
        <f>IFERROR(AG67/AG89,"")</f>
        <v>-7.5401536657915963E-2</v>
      </c>
      <c r="AH73" s="446">
        <f>IFERROR(AH67/AH89,"")</f>
        <v>3.9318625099074828E-2</v>
      </c>
      <c r="AI73" s="446">
        <f>IFERROR(AI67/AI89,"")</f>
        <v>6.0074579784814642E-3</v>
      </c>
      <c r="AJ73" s="446">
        <f>IFERROR(AJ67/AJ89,"")</f>
        <v>-0.21860802923483577</v>
      </c>
      <c r="AK73" s="447">
        <f>IFERROR(AK67/AK89,"")</f>
        <v>-0.25007418289246319</v>
      </c>
    </row>
    <row r="74" spans="1:37" s="298" customFormat="1" ht="12.75" hidden="1" customHeight="1" outlineLevel="1">
      <c r="A74" s="1088" t="s">
        <v>165</v>
      </c>
      <c r="B74" s="433" t="s">
        <v>31</v>
      </c>
      <c r="C74" s="102"/>
      <c r="D74" s="102"/>
      <c r="E74" s="102"/>
      <c r="F74" s="102"/>
      <c r="G74" s="254"/>
      <c r="H74" s="291"/>
      <c r="I74" s="291"/>
      <c r="J74" s="291"/>
      <c r="K74" s="291"/>
      <c r="L74" s="254">
        <f t="shared" ref="L74:AF74" si="31">IFERROR(L73/G73-1,"")</f>
        <v>17.081916867610893</v>
      </c>
      <c r="M74" s="102" t="str">
        <f t="shared" si="31"/>
        <v/>
      </c>
      <c r="N74" s="102" t="str">
        <f t="shared" si="31"/>
        <v/>
      </c>
      <c r="O74" s="102" t="str">
        <f t="shared" si="31"/>
        <v/>
      </c>
      <c r="P74" s="102" t="str">
        <f t="shared" si="31"/>
        <v/>
      </c>
      <c r="Q74" s="254">
        <f t="shared" si="31"/>
        <v>0.2827455596732511</v>
      </c>
      <c r="R74" s="102">
        <f t="shared" si="31"/>
        <v>1.0431544690384911</v>
      </c>
      <c r="S74" s="102">
        <f t="shared" si="31"/>
        <v>-0.61255513479294232</v>
      </c>
      <c r="T74" s="102" t="str">
        <f t="shared" si="31"/>
        <v/>
      </c>
      <c r="U74" s="102" t="str">
        <f t="shared" si="31"/>
        <v/>
      </c>
      <c r="V74" s="254">
        <f t="shared" si="31"/>
        <v>-0.44252634991526141</v>
      </c>
      <c r="W74" s="102">
        <f t="shared" si="31"/>
        <v>-0.6397255502444199</v>
      </c>
      <c r="X74" s="102">
        <f t="shared" si="31"/>
        <v>-0.63014579498495782</v>
      </c>
      <c r="Y74" s="102">
        <f t="shared" si="31"/>
        <v>0.26297538793797481</v>
      </c>
      <c r="Z74" s="102">
        <f t="shared" si="31"/>
        <v>-0.76119846259979673</v>
      </c>
      <c r="AA74" s="254">
        <f t="shared" si="31"/>
        <v>-0.50703968376547692</v>
      </c>
      <c r="AB74" s="102">
        <f t="shared" si="31"/>
        <v>-0.79984135171456661</v>
      </c>
      <c r="AC74" s="102">
        <f t="shared" si="31"/>
        <v>-1.0448659868138592</v>
      </c>
      <c r="AD74" s="102">
        <f t="shared" si="31"/>
        <v>-1.2355548703910251</v>
      </c>
      <c r="AE74" s="102">
        <f t="shared" si="31"/>
        <v>4.1855403574408756E-2</v>
      </c>
      <c r="AF74" s="254">
        <f t="shared" si="31"/>
        <v>-0.85462898181262736</v>
      </c>
      <c r="AG74" s="102">
        <f>IFERROR(AG73/AB73-1,"")</f>
        <v>-0.17154839443238201</v>
      </c>
      <c r="AH74" s="102">
        <f>IFERROR(AH73/AC73-1,"")</f>
        <v>2.9687616580998979</v>
      </c>
      <c r="AI74" s="102">
        <f>IFERROR(AI73/AD73-1,"")</f>
        <v>-0.90870400991087685</v>
      </c>
      <c r="AJ74" s="102">
        <f>IFERROR(AJ73/AE73-1,"")</f>
        <v>0.5316249819219403</v>
      </c>
      <c r="AK74" s="254">
        <f>IFERROR(AK73/AF73-1,"")</f>
        <v>0.57937068431006722</v>
      </c>
    </row>
    <row r="75" spans="1:37" ht="12.75" hidden="1" customHeight="1" outlineLevel="1">
      <c r="A75" s="67" t="s">
        <v>166</v>
      </c>
      <c r="B75" s="433" t="s">
        <v>33</v>
      </c>
      <c r="C75" s="253"/>
      <c r="D75" s="102"/>
      <c r="E75" s="102"/>
      <c r="F75" s="102"/>
      <c r="G75" s="255"/>
      <c r="H75" s="616"/>
      <c r="I75" s="291"/>
      <c r="J75" s="291"/>
      <c r="K75" s="291"/>
      <c r="L75" s="255"/>
      <c r="M75" s="253" t="str">
        <f>IFERROR(M73/K73-1,"")</f>
        <v/>
      </c>
      <c r="N75" s="102">
        <f>IFERROR(N73/M73-1,"")</f>
        <v>1.4944889363697222</v>
      </c>
      <c r="O75" s="102" t="str">
        <f>IFERROR(O73/N73-1,"")</f>
        <v/>
      </c>
      <c r="P75" s="102" t="str">
        <f>IFERROR(P73/O73-1,"")</f>
        <v/>
      </c>
      <c r="Q75" s="255"/>
      <c r="R75" s="253" t="str">
        <f>IFERROR(R73/P73-1,"")</f>
        <v/>
      </c>
      <c r="S75" s="102">
        <f>IFERROR(S73/R73-1,"")</f>
        <v>-0.52696825210328413</v>
      </c>
      <c r="T75" s="102">
        <f>IFERROR(T73/S73-1,"")</f>
        <v>-0.62952701575313785</v>
      </c>
      <c r="U75" s="102">
        <f>IFERROR(U73/T73-1,"")</f>
        <v>1.5936838480731641</v>
      </c>
      <c r="V75" s="255"/>
      <c r="W75" s="253">
        <f>IFERROR(W73/U73-1,"")</f>
        <v>-0.20737166663277296</v>
      </c>
      <c r="X75" s="102">
        <f>IFERROR(X73/W73-1,"")</f>
        <v>-0.51439026224616158</v>
      </c>
      <c r="Y75" s="102">
        <f>IFERROR(Y73/X73-1,"")</f>
        <v>0.26508839065569134</v>
      </c>
      <c r="Z75" s="102">
        <f>IFERROR(Z73/Y73-1,"")</f>
        <v>-0.50959005506735588</v>
      </c>
      <c r="AA75" s="255"/>
      <c r="AB75" s="253">
        <f>IFERROR(AB73/Z73-1,"")</f>
        <v>-0.33563486430307643</v>
      </c>
      <c r="AC75" s="102">
        <f>IFERROR(AC73/AB73-1,"")</f>
        <v>-1.1088504557628498</v>
      </c>
      <c r="AD75" s="102">
        <f>IFERROR(AD73/AC73-1,"")</f>
        <v>5.6419520232649738</v>
      </c>
      <c r="AE75" s="102">
        <f>IFERROR(AE73/AD73-1,"")</f>
        <v>-3.1690752997233318</v>
      </c>
      <c r="AF75" s="255"/>
      <c r="AG75" s="253">
        <f>IFERROR(AG73/AE73-1,"")</f>
        <v>-0.47171712939917987</v>
      </c>
      <c r="AH75" s="102">
        <f>IFERROR(AH73/AG73-1,"")</f>
        <v>-1.521456549054919</v>
      </c>
      <c r="AI75" s="102">
        <f>IFERROR(AI73/AH73-1,"")</f>
        <v>-0.84721088381539511</v>
      </c>
      <c r="AJ75" s="102">
        <f>IFERROR(AJ73/AI73-1,"")</f>
        <v>-37.389439596229096</v>
      </c>
      <c r="AK75" s="255"/>
    </row>
    <row r="76" spans="1:37" s="269" customFormat="1" ht="12.75" hidden="1" customHeight="1" outlineLevel="1">
      <c r="A76" s="67"/>
      <c r="B76" s="381"/>
      <c r="C76" s="262"/>
      <c r="D76" s="262"/>
      <c r="E76" s="262"/>
      <c r="F76" s="262"/>
      <c r="G76" s="266"/>
      <c r="H76" s="618"/>
      <c r="I76" s="618"/>
      <c r="J76" s="618"/>
      <c r="K76" s="618"/>
      <c r="L76" s="266"/>
      <c r="M76" s="262"/>
      <c r="N76" s="618"/>
      <c r="O76" s="459"/>
      <c r="P76" s="459"/>
      <c r="Q76" s="460"/>
      <c r="R76" s="459"/>
      <c r="S76" s="459"/>
      <c r="T76" s="459"/>
      <c r="U76" s="459"/>
      <c r="V76" s="460"/>
      <c r="W76" s="459"/>
      <c r="X76" s="459"/>
      <c r="Y76" s="459"/>
      <c r="Z76" s="459"/>
      <c r="AA76" s="460"/>
      <c r="AB76" s="459"/>
      <c r="AC76" s="459"/>
      <c r="AD76" s="459"/>
      <c r="AE76" s="459"/>
      <c r="AF76" s="460"/>
      <c r="AG76" s="459"/>
      <c r="AH76" s="459"/>
      <c r="AI76" s="459"/>
      <c r="AJ76" s="459"/>
      <c r="AK76" s="460"/>
    </row>
    <row r="77" spans="1:37" s="486" customFormat="1" ht="12.75" customHeight="1" collapsed="1">
      <c r="A77" s="603"/>
      <c r="B77" s="556" t="s">
        <v>261</v>
      </c>
      <c r="C77" s="557"/>
      <c r="D77" s="558"/>
      <c r="E77" s="558"/>
      <c r="F77" s="558"/>
      <c r="G77" s="663">
        <v>-0.189</v>
      </c>
      <c r="H77" s="669"/>
      <c r="I77" s="670"/>
      <c r="J77" s="670"/>
      <c r="K77" s="671"/>
      <c r="L77" s="663">
        <v>0</v>
      </c>
      <c r="M77" s="669">
        <v>0</v>
      </c>
      <c r="N77" s="670">
        <v>0</v>
      </c>
      <c r="O77" s="670">
        <v>0</v>
      </c>
      <c r="P77" s="670">
        <v>0</v>
      </c>
      <c r="Q77" s="559"/>
      <c r="R77" s="557"/>
      <c r="S77" s="558"/>
      <c r="T77" s="558"/>
      <c r="U77" s="558"/>
      <c r="V77" s="559"/>
      <c r="W77" s="557"/>
      <c r="X77" s="558"/>
      <c r="Y77" s="558"/>
      <c r="Z77" s="558"/>
      <c r="AA77" s="559"/>
      <c r="AB77" s="557"/>
      <c r="AC77" s="558"/>
      <c r="AD77" s="558"/>
      <c r="AE77" s="558"/>
      <c r="AF77" s="559"/>
      <c r="AG77" s="557"/>
      <c r="AH77" s="558"/>
      <c r="AI77" s="558"/>
      <c r="AJ77" s="558"/>
      <c r="AK77" s="559"/>
    </row>
    <row r="78" spans="1:37" s="1433" customFormat="1" ht="12.75" customHeight="1">
      <c r="A78" s="1488"/>
      <c r="B78" s="1429" t="s">
        <v>527</v>
      </c>
      <c r="C78" s="1489"/>
      <c r="D78" s="1489"/>
      <c r="E78" s="1489"/>
      <c r="F78" s="1489"/>
      <c r="G78" s="1490">
        <f t="shared" ref="G78:AF78" si="32">G67+G77</f>
        <v>-31.055000000000007</v>
      </c>
      <c r="H78" s="1491"/>
      <c r="I78" s="1491"/>
      <c r="J78" s="1491"/>
      <c r="K78" s="1491"/>
      <c r="L78" s="1490">
        <f t="shared" si="32"/>
        <v>-593.74800000000005</v>
      </c>
      <c r="M78" s="1489">
        <f t="shared" si="32"/>
        <v>-129.24800000000002</v>
      </c>
      <c r="N78" s="1491">
        <f t="shared" si="32"/>
        <v>-323.02100000000002</v>
      </c>
      <c r="O78" s="1489">
        <f t="shared" si="32"/>
        <v>-359.80700000000002</v>
      </c>
      <c r="P78" s="1489">
        <f>P67+P77</f>
        <v>-51.372000000000057</v>
      </c>
      <c r="Q78" s="1490">
        <f t="shared" si="32"/>
        <v>-863.44800000000009</v>
      </c>
      <c r="R78" s="1489">
        <f t="shared" si="32"/>
        <v>-314.64100000000013</v>
      </c>
      <c r="S78" s="1491">
        <f t="shared" si="32"/>
        <v>-290.50899999999996</v>
      </c>
      <c r="T78" s="1491">
        <f>T67+T77</f>
        <v>-110.12400000000019</v>
      </c>
      <c r="U78" s="1489">
        <f t="shared" si="32"/>
        <v>-286.48372060546524</v>
      </c>
      <c r="V78" s="1490">
        <f t="shared" si="32"/>
        <v>-957.35072060546463</v>
      </c>
      <c r="W78" s="1489">
        <f t="shared" si="32"/>
        <v>-228.43756468435436</v>
      </c>
      <c r="X78" s="1489">
        <f t="shared" si="32"/>
        <v>-111.59709491477179</v>
      </c>
      <c r="Y78" s="1489">
        <f t="shared" si="32"/>
        <v>-142.02727034282458</v>
      </c>
      <c r="Z78" s="1489">
        <f t="shared" si="32"/>
        <v>-70.069495342724906</v>
      </c>
      <c r="AA78" s="1490">
        <f t="shared" si="32"/>
        <v>-552.13142528467688</v>
      </c>
      <c r="AB78" s="1489">
        <f t="shared" si="32"/>
        <v>-46.831040160273886</v>
      </c>
      <c r="AC78" s="1489">
        <f t="shared" si="32"/>
        <v>5.1281655456858957</v>
      </c>
      <c r="AD78" s="1489">
        <f t="shared" si="32"/>
        <v>34.265395698936999</v>
      </c>
      <c r="AE78" s="1489">
        <f t="shared" si="32"/>
        <v>-74.7701687864852</v>
      </c>
      <c r="AF78" s="1490">
        <f t="shared" si="32"/>
        <v>-82.207647702134707</v>
      </c>
      <c r="AG78" s="1489">
        <f>AG67+AG77</f>
        <v>-39.736798198243235</v>
      </c>
      <c r="AH78" s="1489">
        <f>AH67+AH77</f>
        <v>20.845339740901327</v>
      </c>
      <c r="AI78" s="1489">
        <f>AI67+AI77</f>
        <v>3.2040506817936141</v>
      </c>
      <c r="AJ78" s="1489">
        <f>AJ67+AJ77</f>
        <v>-117.29317040087567</v>
      </c>
      <c r="AK78" s="1490">
        <f>AK67+AK77</f>
        <v>-132.98057817642115</v>
      </c>
    </row>
    <row r="79" spans="1:37" s="486" customFormat="1" ht="12.75" customHeight="1">
      <c r="A79" s="603"/>
      <c r="B79" s="556"/>
      <c r="C79" s="557"/>
      <c r="D79" s="558"/>
      <c r="E79" s="558"/>
      <c r="F79" s="558"/>
      <c r="G79" s="1125"/>
      <c r="H79" s="669"/>
      <c r="I79" s="670"/>
      <c r="J79" s="670"/>
      <c r="K79" s="671"/>
      <c r="L79" s="1125"/>
      <c r="M79" s="669"/>
      <c r="N79" s="670"/>
      <c r="O79" s="670"/>
      <c r="P79" s="670"/>
      <c r="Q79" s="1126"/>
      <c r="R79" s="557"/>
      <c r="S79" s="558"/>
      <c r="T79" s="558"/>
      <c r="U79" s="558"/>
      <c r="V79" s="1126"/>
      <c r="W79" s="557"/>
      <c r="X79" s="558"/>
      <c r="Y79" s="558"/>
      <c r="Z79" s="558"/>
      <c r="AA79" s="1126"/>
      <c r="AB79" s="557"/>
      <c r="AC79" s="558"/>
      <c r="AD79" s="558"/>
      <c r="AE79" s="558"/>
      <c r="AF79" s="1126"/>
      <c r="AG79" s="557"/>
      <c r="AH79" s="558"/>
      <c r="AI79" s="558"/>
      <c r="AJ79" s="558"/>
      <c r="AK79" s="1126"/>
    </row>
    <row r="80" spans="1:37" ht="12.75" customHeight="1">
      <c r="A80" s="67" t="s">
        <v>186</v>
      </c>
      <c r="B80" s="383" t="s">
        <v>82</v>
      </c>
      <c r="C80" s="260"/>
      <c r="D80" s="260"/>
      <c r="E80" s="260"/>
      <c r="F80" s="260"/>
      <c r="G80" s="265">
        <f>G78/G88</f>
        <v>-0.17192413304397894</v>
      </c>
      <c r="H80" s="617"/>
      <c r="I80" s="617"/>
      <c r="J80" s="617"/>
      <c r="K80" s="617"/>
      <c r="L80" s="265">
        <f t="shared" ref="L80:AF80" si="33">IFERROR(L78/L88,"")</f>
        <v>-3.089798297287734</v>
      </c>
      <c r="M80" s="260">
        <f t="shared" si="33"/>
        <v>-0.61773758770336673</v>
      </c>
      <c r="N80" s="617">
        <f t="shared" si="33"/>
        <v>-1.5409395781057693</v>
      </c>
      <c r="O80" s="260" t="str">
        <f t="shared" si="33"/>
        <v/>
      </c>
      <c r="P80" s="260" t="str">
        <f t="shared" si="33"/>
        <v/>
      </c>
      <c r="Q80" s="265">
        <f t="shared" si="33"/>
        <v>-3.963425046131813</v>
      </c>
      <c r="R80" s="260">
        <f t="shared" si="33"/>
        <v>-1.2810698348587999</v>
      </c>
      <c r="S80" s="260">
        <f t="shared" si="33"/>
        <v>-0.5970291271314101</v>
      </c>
      <c r="T80" s="260">
        <f>IFERROR(T78/T88,"")</f>
        <v>-0.22118316241067271</v>
      </c>
      <c r="U80" s="260">
        <f t="shared" si="33"/>
        <v>-0.57367919581030524</v>
      </c>
      <c r="V80" s="265">
        <f t="shared" si="33"/>
        <v>-2.2142128575499682</v>
      </c>
      <c r="W80" s="260">
        <f t="shared" si="33"/>
        <v>-0.45471438486257337</v>
      </c>
      <c r="X80" s="260">
        <f t="shared" si="33"/>
        <v>-0.22081373318601222</v>
      </c>
      <c r="Y80" s="260">
        <f t="shared" si="33"/>
        <v>-0.27934889035096744</v>
      </c>
      <c r="Z80" s="260">
        <f t="shared" si="33"/>
        <v>-0.13699547393401318</v>
      </c>
      <c r="AA80" s="265">
        <f t="shared" si="33"/>
        <v>-1.0891982969817335</v>
      </c>
      <c r="AB80" s="260">
        <f t="shared" si="33"/>
        <v>-9.1015016630035014E-2</v>
      </c>
      <c r="AC80" s="260">
        <f t="shared" si="33"/>
        <v>9.9070260414426577E-3</v>
      </c>
      <c r="AD80" s="260">
        <f t="shared" si="33"/>
        <v>6.580199166049884E-2</v>
      </c>
      <c r="AE80" s="260">
        <f t="shared" si="33"/>
        <v>-0.14272947478338871</v>
      </c>
      <c r="AF80" s="265">
        <f t="shared" si="33"/>
        <v>-0.15833786544018683</v>
      </c>
      <c r="AG80" s="260">
        <f>IFERROR(AG78/AG88,"")</f>
        <v>-7.5401536657915963E-2</v>
      </c>
      <c r="AH80" s="260">
        <f>IFERROR(AH78/AH88,"")</f>
        <v>3.9318625099074828E-2</v>
      </c>
      <c r="AI80" s="260">
        <f>IFERROR(AI78/AI88,"")</f>
        <v>6.0074579784814642E-3</v>
      </c>
      <c r="AJ80" s="260">
        <f>IFERROR(AJ78/AJ88,"")</f>
        <v>-0.21860802923483577</v>
      </c>
      <c r="AK80" s="265">
        <f>IFERROR(AK78/AK88,"")</f>
        <v>-0.25007418289246319</v>
      </c>
    </row>
    <row r="81" spans="1:37" s="298" customFormat="1" ht="12.75" customHeight="1">
      <c r="A81" s="1088" t="s">
        <v>187</v>
      </c>
      <c r="B81" s="433" t="s">
        <v>31</v>
      </c>
      <c r="C81" s="102"/>
      <c r="D81" s="102"/>
      <c r="E81" s="102"/>
      <c r="F81" s="102"/>
      <c r="G81" s="254"/>
      <c r="H81" s="291"/>
      <c r="I81" s="291"/>
      <c r="J81" s="291"/>
      <c r="K81" s="291"/>
      <c r="L81" s="254">
        <f t="shared" ref="L81:AF81" si="34">IFERROR(L80/G80-1,"")</f>
        <v>16.97187074660048</v>
      </c>
      <c r="M81" s="102" t="str">
        <f t="shared" si="34"/>
        <v/>
      </c>
      <c r="N81" s="102" t="str">
        <f t="shared" si="34"/>
        <v/>
      </c>
      <c r="O81" s="102" t="str">
        <f t="shared" si="34"/>
        <v/>
      </c>
      <c r="P81" s="102" t="str">
        <f t="shared" si="34"/>
        <v/>
      </c>
      <c r="Q81" s="254">
        <f t="shared" si="34"/>
        <v>0.2827455596732511</v>
      </c>
      <c r="R81" s="102">
        <f t="shared" si="34"/>
        <v>1.0738091065845272</v>
      </c>
      <c r="S81" s="102">
        <f t="shared" si="34"/>
        <v>-0.61255513479294232</v>
      </c>
      <c r="T81" s="102" t="str">
        <f t="shared" si="34"/>
        <v/>
      </c>
      <c r="U81" s="102" t="str">
        <f t="shared" si="34"/>
        <v/>
      </c>
      <c r="V81" s="254">
        <f t="shared" si="34"/>
        <v>-0.4413385312506477</v>
      </c>
      <c r="W81" s="102">
        <f t="shared" si="34"/>
        <v>-0.64505105616455938</v>
      </c>
      <c r="X81" s="102">
        <f t="shared" si="34"/>
        <v>-0.63014579498495782</v>
      </c>
      <c r="Y81" s="102">
        <f t="shared" si="34"/>
        <v>0.26297538793797481</v>
      </c>
      <c r="Z81" s="102">
        <f t="shared" si="34"/>
        <v>-0.76119846259979673</v>
      </c>
      <c r="AA81" s="254">
        <f t="shared" si="34"/>
        <v>-0.50808780950403565</v>
      </c>
      <c r="AB81" s="102">
        <f t="shared" si="34"/>
        <v>-0.79984135171456661</v>
      </c>
      <c r="AC81" s="102">
        <f t="shared" si="34"/>
        <v>-1.0448659868138592</v>
      </c>
      <c r="AD81" s="102">
        <f t="shared" si="34"/>
        <v>-1.2355548703910251</v>
      </c>
      <c r="AE81" s="102">
        <f t="shared" si="34"/>
        <v>4.1855403574408756E-2</v>
      </c>
      <c r="AF81" s="254">
        <f t="shared" si="34"/>
        <v>-0.85462898181262736</v>
      </c>
      <c r="AG81" s="102">
        <f>IFERROR(AG80/AB80-1,"")</f>
        <v>-0.17154839443238201</v>
      </c>
      <c r="AH81" s="102">
        <f>IFERROR(AH80/AC80-1,"")</f>
        <v>2.9687616580998979</v>
      </c>
      <c r="AI81" s="102">
        <f>IFERROR(AI80/AD80-1,"")</f>
        <v>-0.90870400991087685</v>
      </c>
      <c r="AJ81" s="102">
        <f>IFERROR(AJ80/AE80-1,"")</f>
        <v>0.5316249819219403</v>
      </c>
      <c r="AK81" s="254">
        <f>IFERROR(AK80/AF80-1,"")</f>
        <v>0.57937068431006722</v>
      </c>
    </row>
    <row r="82" spans="1:37" ht="12.75" customHeight="1">
      <c r="B82" s="433" t="s">
        <v>33</v>
      </c>
      <c r="C82" s="253"/>
      <c r="D82" s="102"/>
      <c r="E82" s="102"/>
      <c r="F82" s="102"/>
      <c r="G82" s="255"/>
      <c r="H82" s="616"/>
      <c r="I82" s="291"/>
      <c r="J82" s="291"/>
      <c r="K82" s="291"/>
      <c r="L82" s="255"/>
      <c r="M82" s="253" t="str">
        <f>IFERROR(M80/K80-1,"")</f>
        <v/>
      </c>
      <c r="N82" s="102">
        <f>IFERROR(N80/M80-1,"")</f>
        <v>1.4944889363697222</v>
      </c>
      <c r="O82" s="102" t="str">
        <f>IFERROR(O80/N80-1,"")</f>
        <v/>
      </c>
      <c r="P82" s="102" t="str">
        <f>IFERROR(P80/O80-1,"")</f>
        <v/>
      </c>
      <c r="Q82" s="255"/>
      <c r="R82" s="253" t="str">
        <f>IFERROR(R80/P80-1,"")</f>
        <v/>
      </c>
      <c r="S82" s="102">
        <f>IFERROR(S80/R80-1,"")</f>
        <v>-0.53396051418444723</v>
      </c>
      <c r="T82" s="102">
        <f>IFERROR(T80/S80-1,"")</f>
        <v>-0.62952701575313785</v>
      </c>
      <c r="U82" s="102">
        <f>IFERROR(U80/T80-1,"")</f>
        <v>1.5936838480731641</v>
      </c>
      <c r="V82" s="255"/>
      <c r="W82" s="253">
        <f>IFERROR(W80/U80-1,"")</f>
        <v>-0.20737166663277296</v>
      </c>
      <c r="X82" s="102">
        <f>IFERROR(X80/W80-1,"")</f>
        <v>-0.51439026224616158</v>
      </c>
      <c r="Y82" s="102">
        <f>IFERROR(Y80/X80-1,"")</f>
        <v>0.26508839065569134</v>
      </c>
      <c r="Z82" s="102">
        <f>IFERROR(Z80/Y80-1,"")</f>
        <v>-0.50959005506735588</v>
      </c>
      <c r="AA82" s="255"/>
      <c r="AB82" s="253">
        <f>IFERROR(AB80/Z80-1,"")</f>
        <v>-0.33563486430307643</v>
      </c>
      <c r="AC82" s="102">
        <f>IFERROR(AC80/AB80-1,"")</f>
        <v>-1.1088504557628498</v>
      </c>
      <c r="AD82" s="102">
        <f>IFERROR(AD80/AC80-1,"")</f>
        <v>5.6419520232649738</v>
      </c>
      <c r="AE82" s="102">
        <f>IFERROR(AE80/AD80-1,"")</f>
        <v>-3.1690752997233318</v>
      </c>
      <c r="AF82" s="255"/>
      <c r="AG82" s="253">
        <f>IFERROR(AG80/AE80-1,"")</f>
        <v>-0.47171712939917987</v>
      </c>
      <c r="AH82" s="102">
        <f>IFERROR(AH80/AG80-1,"")</f>
        <v>-1.521456549054919</v>
      </c>
      <c r="AI82" s="102">
        <f>IFERROR(AI80/AH80-1,"")</f>
        <v>-0.84721088381539511</v>
      </c>
      <c r="AJ82" s="102">
        <f>IFERROR(AJ80/AI80-1,"")</f>
        <v>-37.389439596229096</v>
      </c>
      <c r="AK82" s="255"/>
    </row>
    <row r="83" spans="1:37" ht="12.75" customHeight="1">
      <c r="B83" s="433"/>
      <c r="C83" s="257"/>
      <c r="D83" s="257"/>
      <c r="E83" s="257"/>
      <c r="F83" s="257"/>
      <c r="G83" s="114"/>
      <c r="H83" s="292"/>
      <c r="I83" s="292"/>
      <c r="J83" s="292"/>
      <c r="K83" s="292"/>
      <c r="L83" s="114"/>
      <c r="M83" s="257"/>
      <c r="N83" s="292"/>
      <c r="O83" s="257"/>
      <c r="P83" s="257"/>
      <c r="Q83" s="114"/>
      <c r="R83" s="257"/>
      <c r="S83" s="257"/>
      <c r="T83" s="257"/>
      <c r="U83" s="257"/>
      <c r="V83" s="114"/>
      <c r="W83" s="257"/>
      <c r="X83" s="257"/>
      <c r="Y83" s="257"/>
      <c r="Z83" s="257"/>
      <c r="AA83" s="114"/>
      <c r="AB83" s="257"/>
      <c r="AC83" s="257"/>
      <c r="AD83" s="257"/>
      <c r="AE83" s="257"/>
      <c r="AF83" s="114"/>
      <c r="AG83" s="257"/>
      <c r="AH83" s="257"/>
      <c r="AI83" s="257"/>
      <c r="AJ83" s="257"/>
      <c r="AK83" s="114"/>
    </row>
    <row r="84" spans="1:37" ht="12.75" customHeight="1">
      <c r="A84" s="67" t="s">
        <v>164</v>
      </c>
      <c r="B84" s="445" t="s">
        <v>83</v>
      </c>
      <c r="C84" s="446"/>
      <c r="D84" s="446"/>
      <c r="E84" s="446"/>
      <c r="F84" s="446"/>
      <c r="G84" s="447">
        <f>G78/G89</f>
        <v>-0.17192413304397894</v>
      </c>
      <c r="H84" s="471"/>
      <c r="I84" s="471"/>
      <c r="J84" s="471"/>
      <c r="K84" s="471"/>
      <c r="L84" s="447">
        <f t="shared" ref="L84:AF84" si="35">IFERROR(L78/L89,"")</f>
        <v>-3.089798297287734</v>
      </c>
      <c r="M84" s="446">
        <f t="shared" si="35"/>
        <v>-0.61773758770336673</v>
      </c>
      <c r="N84" s="471">
        <f t="shared" si="35"/>
        <v>-1.5409395781057693</v>
      </c>
      <c r="O84" s="446" t="str">
        <f t="shared" si="35"/>
        <v/>
      </c>
      <c r="P84" s="446" t="str">
        <f t="shared" si="35"/>
        <v/>
      </c>
      <c r="Q84" s="447">
        <f t="shared" si="35"/>
        <v>-3.963425046131813</v>
      </c>
      <c r="R84" s="446">
        <f t="shared" si="35"/>
        <v>-1.2621333130091905</v>
      </c>
      <c r="S84" s="446">
        <f t="shared" si="35"/>
        <v>-0.5970291271314101</v>
      </c>
      <c r="T84" s="446">
        <f>IFERROR(T78/T89,"")</f>
        <v>-0.22118316241067271</v>
      </c>
      <c r="U84" s="446">
        <f t="shared" si="35"/>
        <v>-0.57367919581030524</v>
      </c>
      <c r="V84" s="447">
        <f t="shared" si="35"/>
        <v>-2.2095050273043753</v>
      </c>
      <c r="W84" s="446">
        <f t="shared" si="35"/>
        <v>-0.45471438486257337</v>
      </c>
      <c r="X84" s="446">
        <f t="shared" si="35"/>
        <v>-0.22081373318601222</v>
      </c>
      <c r="Y84" s="446">
        <f t="shared" si="35"/>
        <v>-0.27934889035096744</v>
      </c>
      <c r="Z84" s="446">
        <f t="shared" si="35"/>
        <v>-0.13699547393401318</v>
      </c>
      <c r="AA84" s="447">
        <f t="shared" si="35"/>
        <v>-1.0891982969817335</v>
      </c>
      <c r="AB84" s="446">
        <f t="shared" si="35"/>
        <v>-9.1015016630035014E-2</v>
      </c>
      <c r="AC84" s="446">
        <f t="shared" si="35"/>
        <v>9.9070260414426577E-3</v>
      </c>
      <c r="AD84" s="446">
        <f t="shared" si="35"/>
        <v>6.580199166049884E-2</v>
      </c>
      <c r="AE84" s="446">
        <f t="shared" si="35"/>
        <v>-0.14272947478338871</v>
      </c>
      <c r="AF84" s="447">
        <f t="shared" si="35"/>
        <v>-0.15833786544018683</v>
      </c>
      <c r="AG84" s="446">
        <f>IFERROR(AG78/AG89,"")</f>
        <v>-7.5401536657915963E-2</v>
      </c>
      <c r="AH84" s="446">
        <f>IFERROR(AH78/AH89,"")</f>
        <v>3.9318625099074828E-2</v>
      </c>
      <c r="AI84" s="446">
        <f>IFERROR(AI78/AI89,"")</f>
        <v>6.0074579784814642E-3</v>
      </c>
      <c r="AJ84" s="446">
        <f>IFERROR(AJ78/AJ89,"")</f>
        <v>-0.21860802923483577</v>
      </c>
      <c r="AK84" s="447">
        <f>IFERROR(AK78/AK89,"")</f>
        <v>-0.25007418289246319</v>
      </c>
    </row>
    <row r="85" spans="1:37" s="298" customFormat="1" ht="12.75" customHeight="1">
      <c r="A85" s="1088" t="s">
        <v>165</v>
      </c>
      <c r="B85" s="433" t="s">
        <v>31</v>
      </c>
      <c r="C85" s="102"/>
      <c r="D85" s="102"/>
      <c r="E85" s="102"/>
      <c r="F85" s="102"/>
      <c r="G85" s="254"/>
      <c r="H85" s="291"/>
      <c r="I85" s="291"/>
      <c r="J85" s="291"/>
      <c r="K85" s="291"/>
      <c r="L85" s="254">
        <f t="shared" ref="L85:AF85" si="36">IFERROR(L84/G84-1,"")</f>
        <v>16.97187074660048</v>
      </c>
      <c r="M85" s="102" t="str">
        <f t="shared" si="36"/>
        <v/>
      </c>
      <c r="N85" s="102" t="str">
        <f t="shared" si="36"/>
        <v/>
      </c>
      <c r="O85" s="102" t="str">
        <f t="shared" si="36"/>
        <v/>
      </c>
      <c r="P85" s="102" t="str">
        <f t="shared" si="36"/>
        <v/>
      </c>
      <c r="Q85" s="254">
        <f t="shared" si="36"/>
        <v>0.2827455596732511</v>
      </c>
      <c r="R85" s="102">
        <f t="shared" si="36"/>
        <v>1.0431544690384911</v>
      </c>
      <c r="S85" s="102">
        <f t="shared" si="36"/>
        <v>-0.61255513479294232</v>
      </c>
      <c r="T85" s="102" t="str">
        <f t="shared" si="36"/>
        <v/>
      </c>
      <c r="U85" s="102" t="str">
        <f t="shared" si="36"/>
        <v/>
      </c>
      <c r="V85" s="254">
        <f t="shared" si="36"/>
        <v>-0.44252634991526141</v>
      </c>
      <c r="W85" s="102">
        <f t="shared" si="36"/>
        <v>-0.6397255502444199</v>
      </c>
      <c r="X85" s="102">
        <f t="shared" si="36"/>
        <v>-0.63014579498495782</v>
      </c>
      <c r="Y85" s="102">
        <f t="shared" si="36"/>
        <v>0.26297538793797481</v>
      </c>
      <c r="Z85" s="102">
        <f t="shared" si="36"/>
        <v>-0.76119846259979673</v>
      </c>
      <c r="AA85" s="254">
        <f t="shared" si="36"/>
        <v>-0.50703968376547692</v>
      </c>
      <c r="AB85" s="102">
        <f t="shared" si="36"/>
        <v>-0.79984135171456661</v>
      </c>
      <c r="AC85" s="102">
        <f t="shared" si="36"/>
        <v>-1.0448659868138592</v>
      </c>
      <c r="AD85" s="102">
        <f t="shared" si="36"/>
        <v>-1.2355548703910251</v>
      </c>
      <c r="AE85" s="102">
        <f t="shared" si="36"/>
        <v>4.1855403574408756E-2</v>
      </c>
      <c r="AF85" s="254">
        <f t="shared" si="36"/>
        <v>-0.85462898181262736</v>
      </c>
      <c r="AG85" s="102">
        <f>IFERROR(AG84/AB84-1,"")</f>
        <v>-0.17154839443238201</v>
      </c>
      <c r="AH85" s="102">
        <f>IFERROR(AH84/AC84-1,"")</f>
        <v>2.9687616580998979</v>
      </c>
      <c r="AI85" s="102">
        <f>IFERROR(AI84/AD84-1,"")</f>
        <v>-0.90870400991087685</v>
      </c>
      <c r="AJ85" s="102">
        <f>IFERROR(AJ84/AE84-1,"")</f>
        <v>0.5316249819219403</v>
      </c>
      <c r="AK85" s="254">
        <f>IFERROR(AK84/AF84-1,"")</f>
        <v>0.57937068431006722</v>
      </c>
    </row>
    <row r="86" spans="1:37" ht="12.75" customHeight="1">
      <c r="A86" s="67" t="s">
        <v>166</v>
      </c>
      <c r="B86" s="433" t="s">
        <v>33</v>
      </c>
      <c r="C86" s="253"/>
      <c r="D86" s="102"/>
      <c r="E86" s="102"/>
      <c r="F86" s="102"/>
      <c r="G86" s="255"/>
      <c r="H86" s="616"/>
      <c r="I86" s="291"/>
      <c r="J86" s="291"/>
      <c r="K86" s="291"/>
      <c r="L86" s="255"/>
      <c r="M86" s="253" t="str">
        <f>IFERROR(M84/K84-1,"")</f>
        <v/>
      </c>
      <c r="N86" s="102">
        <f>IFERROR(N84/M84-1,"")</f>
        <v>1.4944889363697222</v>
      </c>
      <c r="O86" s="102" t="str">
        <f>IFERROR(O84/N84-1,"")</f>
        <v/>
      </c>
      <c r="P86" s="102" t="str">
        <f>IFERROR(P84/O84-1,"")</f>
        <v/>
      </c>
      <c r="Q86" s="255"/>
      <c r="R86" s="253" t="str">
        <f>IFERROR(R84/P84-1,"")</f>
        <v/>
      </c>
      <c r="S86" s="102">
        <f>IFERROR(S84/R84-1,"")</f>
        <v>-0.52696825210328413</v>
      </c>
      <c r="T86" s="102">
        <f>IFERROR(T84/S84-1,"")</f>
        <v>-0.62952701575313785</v>
      </c>
      <c r="U86" s="102">
        <f>IFERROR(U84/T84-1,"")</f>
        <v>1.5936838480731641</v>
      </c>
      <c r="V86" s="255"/>
      <c r="W86" s="253">
        <f>IFERROR(W84/U84-1,"")</f>
        <v>-0.20737166663277296</v>
      </c>
      <c r="X86" s="102">
        <f>IFERROR(X84/W84-1,"")</f>
        <v>-0.51439026224616158</v>
      </c>
      <c r="Y86" s="102">
        <f>IFERROR(Y84/X84-1,"")</f>
        <v>0.26508839065569134</v>
      </c>
      <c r="Z86" s="102">
        <f>IFERROR(Z84/Y84-1,"")</f>
        <v>-0.50959005506735588</v>
      </c>
      <c r="AA86" s="255"/>
      <c r="AB86" s="253">
        <f>IFERROR(AB84/Z84-1,"")</f>
        <v>-0.33563486430307643</v>
      </c>
      <c r="AC86" s="102">
        <f>IFERROR(AC84/AB84-1,"")</f>
        <v>-1.1088504557628498</v>
      </c>
      <c r="AD86" s="102">
        <f>IFERROR(AD84/AC84-1,"")</f>
        <v>5.6419520232649738</v>
      </c>
      <c r="AE86" s="102">
        <f>IFERROR(AE84/AD84-1,"")</f>
        <v>-3.1690752997233318</v>
      </c>
      <c r="AF86" s="255"/>
      <c r="AG86" s="253">
        <f>IFERROR(AG84/AE84-1,"")</f>
        <v>-0.47171712939917987</v>
      </c>
      <c r="AH86" s="102">
        <f>IFERROR(AH84/AG84-1,"")</f>
        <v>-1.521456549054919</v>
      </c>
      <c r="AI86" s="102">
        <f>IFERROR(AI84/AH84-1,"")</f>
        <v>-0.84721088381539511</v>
      </c>
      <c r="AJ86" s="102">
        <f>IFERROR(AJ84/AI84-1,"")</f>
        <v>-37.389439596229096</v>
      </c>
      <c r="AK86" s="255"/>
    </row>
    <row r="87" spans="1:37" s="269" customFormat="1" ht="12.75" customHeight="1">
      <c r="A87" s="67"/>
      <c r="B87" s="381"/>
      <c r="C87" s="262"/>
      <c r="D87" s="262"/>
      <c r="E87" s="262"/>
      <c r="F87" s="262"/>
      <c r="G87" s="266"/>
      <c r="H87" s="618"/>
      <c r="I87" s="618"/>
      <c r="J87" s="618"/>
      <c r="K87" s="618"/>
      <c r="L87" s="266"/>
      <c r="M87" s="262"/>
      <c r="N87" s="618"/>
      <c r="O87" s="459"/>
      <c r="P87" s="459"/>
      <c r="Q87" s="460"/>
      <c r="R87" s="459"/>
      <c r="S87" s="459"/>
      <c r="T87" s="459"/>
      <c r="U87" s="459"/>
      <c r="V87" s="460"/>
      <c r="W87" s="459"/>
      <c r="X87" s="459"/>
      <c r="Y87" s="459"/>
      <c r="Z87" s="459"/>
      <c r="AA87" s="460"/>
      <c r="AB87" s="459"/>
      <c r="AC87" s="459"/>
      <c r="AD87" s="459"/>
      <c r="AE87" s="459"/>
      <c r="AF87" s="460"/>
      <c r="AG87" s="459"/>
      <c r="AH87" s="459"/>
      <c r="AI87" s="459"/>
      <c r="AJ87" s="459"/>
      <c r="AK87" s="460"/>
    </row>
    <row r="88" spans="1:37" s="571" customFormat="1" ht="12.75" customHeight="1">
      <c r="A88" s="1100" t="s">
        <v>158</v>
      </c>
      <c r="B88" s="384" t="s">
        <v>84</v>
      </c>
      <c r="C88" s="566"/>
      <c r="D88" s="566"/>
      <c r="E88" s="566"/>
      <c r="F88" s="566"/>
      <c r="G88" s="568">
        <v>180.63200000000001</v>
      </c>
      <c r="H88" s="619"/>
      <c r="I88" s="619"/>
      <c r="J88" s="619"/>
      <c r="K88" s="619"/>
      <c r="L88" s="568">
        <v>192.16399999999999</v>
      </c>
      <c r="M88" s="619">
        <v>209.22800000000001</v>
      </c>
      <c r="N88" s="619">
        <v>209.626</v>
      </c>
      <c r="O88" s="619"/>
      <c r="P88" s="619"/>
      <c r="Q88" s="568">
        <v>217.85400000000001</v>
      </c>
      <c r="R88" s="619">
        <v>245.608</v>
      </c>
      <c r="S88" s="619">
        <v>486.59100000000001</v>
      </c>
      <c r="T88" s="619">
        <v>497.88600000000002</v>
      </c>
      <c r="U88" s="569">
        <f>'IS (Non-GAAP)'!U86</f>
        <v>499.37965799999995</v>
      </c>
      <c r="V88" s="570">
        <f>'IS (Non-GAAP)'!V86</f>
        <v>432.36616449999997</v>
      </c>
      <c r="W88" s="569">
        <f>'IS (Non-GAAP)'!W86</f>
        <v>502.37593594799995</v>
      </c>
      <c r="X88" s="569">
        <f>'IS (Non-GAAP)'!X86</f>
        <v>505.39019156368795</v>
      </c>
      <c r="Y88" s="569">
        <f>'IS (Non-GAAP)'!Y86</f>
        <v>508.4225327130701</v>
      </c>
      <c r="Z88" s="569">
        <f>'IS (Non-GAAP)'!Z86</f>
        <v>511.47306790934852</v>
      </c>
      <c r="AA88" s="570">
        <f>'IS (Non-GAAP)'!AA86</f>
        <v>506.9154320335266</v>
      </c>
      <c r="AB88" s="569">
        <f>'IS (Non-GAAP)'!AB86</f>
        <v>514.54190631680456</v>
      </c>
      <c r="AC88" s="569">
        <f>'IS (Non-GAAP)'!AC86</f>
        <v>517.62915775470537</v>
      </c>
      <c r="AD88" s="569">
        <f>'IS (Non-GAAP)'!AD86</f>
        <v>520.73493270123356</v>
      </c>
      <c r="AE88" s="569">
        <f>'IS (Non-GAAP)'!AE86</f>
        <v>523.859342297441</v>
      </c>
      <c r="AF88" s="570">
        <f>'IS (Non-GAAP)'!AF86</f>
        <v>519.1913347675461</v>
      </c>
      <c r="AG88" s="569">
        <f>'IS (Non-GAAP)'!AG86</f>
        <v>527.00249835122565</v>
      </c>
      <c r="AH88" s="569">
        <f>'IS (Non-GAAP)'!AH86</f>
        <v>530.16451334133296</v>
      </c>
      <c r="AI88" s="569">
        <f>'IS (Non-GAAP)'!AI86</f>
        <v>533.34550042138096</v>
      </c>
      <c r="AJ88" s="569">
        <f>'IS (Non-GAAP)'!AJ86</f>
        <v>536.54557342390922</v>
      </c>
      <c r="AK88" s="570">
        <f>'IS (Non-GAAP)'!AK86</f>
        <v>531.76452138446211</v>
      </c>
    </row>
    <row r="89" spans="1:37" s="571" customFormat="1" ht="12.75" customHeight="1">
      <c r="A89" s="1100" t="s">
        <v>149</v>
      </c>
      <c r="B89" s="384" t="s">
        <v>85</v>
      </c>
      <c r="C89" s="566"/>
      <c r="D89" s="566"/>
      <c r="E89" s="566"/>
      <c r="F89" s="566"/>
      <c r="G89" s="568">
        <v>180.63200000000001</v>
      </c>
      <c r="H89" s="619"/>
      <c r="I89" s="619"/>
      <c r="J89" s="619"/>
      <c r="K89" s="619"/>
      <c r="L89" s="568">
        <v>192.16399999999999</v>
      </c>
      <c r="M89" s="619">
        <v>209.22800000000001</v>
      </c>
      <c r="N89" s="619">
        <v>209.626</v>
      </c>
      <c r="O89" s="619"/>
      <c r="P89" s="619"/>
      <c r="Q89" s="568">
        <v>217.85400000000001</v>
      </c>
      <c r="R89" s="619">
        <v>249.29300000000001</v>
      </c>
      <c r="S89" s="619">
        <v>486.59100000000001</v>
      </c>
      <c r="T89" s="619">
        <v>497.88600000000002</v>
      </c>
      <c r="U89" s="569">
        <f>'IS (Non-GAAP)'!U87</f>
        <v>499.37965799999995</v>
      </c>
      <c r="V89" s="570">
        <f>'IS (Non-GAAP)'!V87</f>
        <v>433.28741449999995</v>
      </c>
      <c r="W89" s="569">
        <f>'IS (Non-GAAP)'!W87</f>
        <v>502.37593594799995</v>
      </c>
      <c r="X89" s="569">
        <f>'IS (Non-GAAP)'!X87</f>
        <v>505.39019156368795</v>
      </c>
      <c r="Y89" s="569">
        <f>'IS (Non-GAAP)'!Y87</f>
        <v>508.4225327130701</v>
      </c>
      <c r="Z89" s="569">
        <f>'IS (Non-GAAP)'!Z87</f>
        <v>511.47306790934852</v>
      </c>
      <c r="AA89" s="570">
        <f>'IS (Non-GAAP)'!AA87</f>
        <v>506.9154320335266</v>
      </c>
      <c r="AB89" s="569">
        <f>'IS (Non-GAAP)'!AB87</f>
        <v>514.54190631680456</v>
      </c>
      <c r="AC89" s="569">
        <f>'IS (Non-GAAP)'!AC87</f>
        <v>517.62915775470537</v>
      </c>
      <c r="AD89" s="569">
        <f>'IS (Non-GAAP)'!AD87</f>
        <v>520.73493270123356</v>
      </c>
      <c r="AE89" s="569">
        <f>'IS (Non-GAAP)'!AE87</f>
        <v>523.859342297441</v>
      </c>
      <c r="AF89" s="570">
        <f>'IS (Non-GAAP)'!AF87</f>
        <v>519.1913347675461</v>
      </c>
      <c r="AG89" s="569">
        <f>'IS (Non-GAAP)'!AG87</f>
        <v>527.00249835122565</v>
      </c>
      <c r="AH89" s="569">
        <f>'IS (Non-GAAP)'!AH87</f>
        <v>530.16451334133296</v>
      </c>
      <c r="AI89" s="569">
        <f>'IS (Non-GAAP)'!AI87</f>
        <v>533.34550042138096</v>
      </c>
      <c r="AJ89" s="569">
        <f>'IS (Non-GAAP)'!AJ87</f>
        <v>536.54557342390922</v>
      </c>
      <c r="AK89" s="570">
        <f>'IS (Non-GAAP)'!AK87</f>
        <v>531.76452138446211</v>
      </c>
    </row>
    <row r="90" spans="1:37" s="571" customFormat="1" ht="12.75" customHeight="1">
      <c r="A90" s="1100"/>
      <c r="B90" s="384"/>
      <c r="C90" s="566"/>
      <c r="D90" s="566"/>
      <c r="E90" s="566"/>
      <c r="F90" s="566"/>
      <c r="G90" s="568"/>
      <c r="H90" s="619"/>
      <c r="I90" s="619"/>
      <c r="J90" s="619"/>
      <c r="K90" s="619"/>
      <c r="L90" s="568"/>
      <c r="M90" s="619"/>
      <c r="N90" s="619"/>
      <c r="O90" s="619"/>
      <c r="P90" s="619"/>
      <c r="Q90" s="568"/>
      <c r="R90" s="1194"/>
      <c r="S90" s="569"/>
      <c r="T90" s="569"/>
      <c r="U90" s="569"/>
      <c r="V90" s="570"/>
      <c r="W90" s="569"/>
      <c r="X90" s="569"/>
      <c r="Y90" s="569"/>
      <c r="Z90" s="569"/>
      <c r="AA90" s="570"/>
      <c r="AB90" s="569"/>
      <c r="AC90" s="569"/>
      <c r="AD90" s="569"/>
      <c r="AE90" s="569"/>
      <c r="AF90" s="570"/>
      <c r="AG90" s="569"/>
      <c r="AH90" s="569"/>
      <c r="AI90" s="569"/>
      <c r="AJ90" s="569"/>
      <c r="AK90" s="570"/>
    </row>
    <row r="91" spans="1:37" s="571" customFormat="1" ht="12.75" customHeight="1">
      <c r="A91" s="1100"/>
      <c r="B91" s="523" t="s">
        <v>265</v>
      </c>
      <c r="C91" s="566"/>
      <c r="D91" s="566"/>
      <c r="E91" s="566"/>
      <c r="F91" s="566"/>
      <c r="G91" s="568"/>
      <c r="H91" s="619"/>
      <c r="I91" s="619"/>
      <c r="J91" s="619"/>
      <c r="K91" s="619"/>
      <c r="L91" s="568"/>
      <c r="M91" s="566"/>
      <c r="N91" s="619"/>
      <c r="O91" s="619"/>
      <c r="P91" s="619"/>
      <c r="Q91" s="570"/>
      <c r="R91" s="569"/>
      <c r="S91" s="569"/>
      <c r="T91" s="569"/>
      <c r="U91" s="569"/>
      <c r="V91" s="570"/>
      <c r="W91" s="569"/>
      <c r="X91" s="569"/>
      <c r="Y91" s="569"/>
      <c r="Z91" s="569"/>
      <c r="AA91" s="570"/>
      <c r="AB91" s="569"/>
      <c r="AC91" s="569"/>
      <c r="AD91" s="569"/>
      <c r="AE91" s="569"/>
      <c r="AF91" s="570"/>
      <c r="AG91" s="569"/>
      <c r="AH91" s="569"/>
      <c r="AI91" s="569"/>
      <c r="AJ91" s="569"/>
      <c r="AK91" s="570"/>
    </row>
    <row r="92" spans="1:37" s="470" customFormat="1" ht="12.75" customHeight="1" outlineLevel="1">
      <c r="A92" s="548"/>
      <c r="B92" s="556" t="s">
        <v>266</v>
      </c>
      <c r="C92" s="586"/>
      <c r="D92" s="586"/>
      <c r="E92" s="586"/>
      <c r="F92" s="586"/>
      <c r="G92" s="543">
        <v>-0.156</v>
      </c>
      <c r="H92" s="587"/>
      <c r="I92" s="587"/>
      <c r="J92" s="587"/>
      <c r="K92" s="795"/>
      <c r="L92" s="543">
        <v>8.0000000000000002E-3</v>
      </c>
      <c r="M92" s="587">
        <v>5.8000000000000003E-2</v>
      </c>
      <c r="N92" s="587">
        <v>2.7E-2</v>
      </c>
      <c r="O92" s="587">
        <v>7.2999999999999995E-2</v>
      </c>
      <c r="P92" s="795"/>
      <c r="Q92" s="673"/>
      <c r="R92" s="587">
        <v>0</v>
      </c>
      <c r="S92" s="587">
        <v>0</v>
      </c>
      <c r="T92" s="587">
        <v>3.1E-2</v>
      </c>
      <c r="U92" s="672"/>
      <c r="V92" s="673"/>
      <c r="W92" s="672"/>
      <c r="X92" s="672"/>
      <c r="Y92" s="672"/>
      <c r="Z92" s="672"/>
      <c r="AA92" s="673"/>
      <c r="AB92" s="672"/>
      <c r="AC92" s="672"/>
      <c r="AD92" s="672"/>
      <c r="AE92" s="672"/>
      <c r="AF92" s="673"/>
      <c r="AG92" s="672"/>
      <c r="AH92" s="672"/>
      <c r="AI92" s="672"/>
      <c r="AJ92" s="672"/>
      <c r="AK92" s="673"/>
    </row>
    <row r="93" spans="1:37" s="470" customFormat="1" ht="12.75" customHeight="1" outlineLevel="1">
      <c r="A93" s="548"/>
      <c r="B93" s="556" t="s">
        <v>690</v>
      </c>
      <c r="C93" s="586"/>
      <c r="D93" s="586"/>
      <c r="E93" s="586"/>
      <c r="F93" s="586"/>
      <c r="G93" s="543"/>
      <c r="H93" s="587"/>
      <c r="I93" s="587"/>
      <c r="J93" s="587"/>
      <c r="K93" s="795"/>
      <c r="L93" s="543"/>
      <c r="M93" s="587">
        <v>0</v>
      </c>
      <c r="N93" s="587">
        <v>0</v>
      </c>
      <c r="O93" s="587">
        <v>0</v>
      </c>
      <c r="P93" s="587"/>
      <c r="Q93" s="673"/>
      <c r="R93" s="587">
        <v>0</v>
      </c>
      <c r="S93" s="587">
        <v>-0.27100000000000002</v>
      </c>
      <c r="T93" s="587">
        <v>-1.044</v>
      </c>
      <c r="U93" s="672"/>
      <c r="V93" s="673"/>
      <c r="W93" s="672"/>
      <c r="X93" s="672"/>
      <c r="Y93" s="672"/>
      <c r="Z93" s="672"/>
      <c r="AA93" s="673"/>
      <c r="AB93" s="672"/>
      <c r="AC93" s="672"/>
      <c r="AD93" s="672"/>
      <c r="AE93" s="672"/>
      <c r="AF93" s="673"/>
      <c r="AG93" s="672"/>
      <c r="AH93" s="672"/>
      <c r="AI93" s="672"/>
      <c r="AJ93" s="672"/>
      <c r="AK93" s="673"/>
    </row>
    <row r="94" spans="1:37" s="565" customFormat="1" ht="12.75" customHeight="1" outlineLevel="1">
      <c r="A94" s="1099"/>
      <c r="B94" s="468" t="s">
        <v>267</v>
      </c>
      <c r="C94" s="572"/>
      <c r="D94" s="572"/>
      <c r="E94" s="572"/>
      <c r="F94" s="572"/>
      <c r="G94" s="573">
        <f>G78+G92</f>
        <v>-31.211000000000006</v>
      </c>
      <c r="H94" s="615"/>
      <c r="I94" s="615"/>
      <c r="J94" s="615"/>
      <c r="K94" s="615"/>
      <c r="L94" s="573">
        <f t="shared" ref="L94:S94" si="37">L78+L92+L93</f>
        <v>-593.74</v>
      </c>
      <c r="M94" s="572">
        <f t="shared" si="37"/>
        <v>-129.19000000000003</v>
      </c>
      <c r="N94" s="615">
        <f t="shared" si="37"/>
        <v>-322.99400000000003</v>
      </c>
      <c r="O94" s="572">
        <f t="shared" si="37"/>
        <v>-359.73400000000004</v>
      </c>
      <c r="P94" s="572">
        <f t="shared" si="37"/>
        <v>-51.372000000000057</v>
      </c>
      <c r="Q94" s="573">
        <f t="shared" si="37"/>
        <v>-863.44800000000009</v>
      </c>
      <c r="R94" s="572">
        <f t="shared" si="37"/>
        <v>-314.64100000000013</v>
      </c>
      <c r="S94" s="572">
        <f t="shared" si="37"/>
        <v>-290.77999999999997</v>
      </c>
      <c r="T94" s="572">
        <f>T78+T92+T93</f>
        <v>-111.13700000000019</v>
      </c>
      <c r="U94" s="572"/>
      <c r="V94" s="573"/>
      <c r="W94" s="572"/>
      <c r="X94" s="572"/>
      <c r="Y94" s="572"/>
      <c r="Z94" s="572"/>
      <c r="AA94" s="573"/>
      <c r="AB94" s="572"/>
      <c r="AC94" s="572"/>
      <c r="AD94" s="572"/>
      <c r="AE94" s="572"/>
      <c r="AF94" s="573"/>
      <c r="AG94" s="572"/>
      <c r="AH94" s="572"/>
      <c r="AI94" s="572"/>
      <c r="AJ94" s="572"/>
      <c r="AK94" s="573"/>
    </row>
    <row r="95" spans="1:37" s="571" customFormat="1" ht="12.75" customHeight="1">
      <c r="A95" s="1100"/>
      <c r="B95" s="384"/>
      <c r="C95" s="566"/>
      <c r="D95" s="566"/>
      <c r="E95" s="566"/>
      <c r="F95" s="566"/>
      <c r="G95" s="568"/>
      <c r="H95" s="619"/>
      <c r="I95" s="619"/>
      <c r="J95" s="619"/>
      <c r="K95" s="619"/>
      <c r="L95" s="568"/>
      <c r="M95" s="566"/>
      <c r="N95" s="619"/>
      <c r="O95" s="619"/>
      <c r="P95" s="619"/>
      <c r="Q95" s="570"/>
      <c r="R95" s="569"/>
      <c r="S95" s="569"/>
      <c r="T95" s="569"/>
      <c r="U95" s="569"/>
      <c r="V95" s="570"/>
      <c r="W95" s="569"/>
      <c r="X95" s="569"/>
      <c r="Y95" s="569"/>
      <c r="Z95" s="569"/>
      <c r="AA95" s="570"/>
      <c r="AB95" s="569"/>
      <c r="AC95" s="569"/>
      <c r="AD95" s="569"/>
      <c r="AE95" s="569"/>
      <c r="AF95" s="570"/>
      <c r="AG95" s="569"/>
      <c r="AH95" s="569"/>
      <c r="AI95" s="569"/>
      <c r="AJ95" s="569"/>
      <c r="AK95" s="570"/>
    </row>
    <row r="96" spans="1:37" s="571" customFormat="1" ht="12.75" customHeight="1">
      <c r="A96" s="1100"/>
      <c r="B96" s="523" t="s">
        <v>160</v>
      </c>
      <c r="C96" s="566"/>
      <c r="D96" s="566"/>
      <c r="E96" s="566"/>
      <c r="F96" s="566"/>
      <c r="G96" s="568"/>
      <c r="H96" s="619"/>
      <c r="I96" s="619"/>
      <c r="J96" s="619"/>
      <c r="K96" s="619"/>
      <c r="L96" s="568"/>
      <c r="M96" s="619"/>
      <c r="N96" s="619"/>
      <c r="O96" s="619"/>
      <c r="P96" s="619"/>
      <c r="Q96" s="570"/>
      <c r="R96" s="569"/>
      <c r="S96" s="569"/>
      <c r="T96" s="569"/>
      <c r="U96" s="569"/>
      <c r="V96" s="570"/>
      <c r="W96" s="569"/>
      <c r="X96" s="569"/>
      <c r="Y96" s="569"/>
      <c r="Z96" s="569"/>
      <c r="AA96" s="570"/>
      <c r="AB96" s="569"/>
      <c r="AC96" s="569"/>
      <c r="AD96" s="569"/>
      <c r="AE96" s="569"/>
      <c r="AF96" s="570"/>
      <c r="AG96" s="569"/>
      <c r="AH96" s="569"/>
      <c r="AI96" s="569"/>
      <c r="AJ96" s="569"/>
      <c r="AK96" s="570"/>
    </row>
    <row r="97" spans="1:37" s="486" customFormat="1" ht="12.75" customHeight="1" outlineLevel="1">
      <c r="A97" s="603"/>
      <c r="B97" s="556" t="s">
        <v>161</v>
      </c>
      <c r="C97" s="557"/>
      <c r="D97" s="558"/>
      <c r="E97" s="558"/>
      <c r="F97" s="558"/>
      <c r="G97" s="687">
        <f>G49</f>
        <v>-22.880000000000003</v>
      </c>
      <c r="H97" s="689"/>
      <c r="I97" s="671"/>
      <c r="J97" s="671"/>
      <c r="K97" s="671"/>
      <c r="L97" s="687">
        <f t="shared" ref="L97:AF97" si="38">L49</f>
        <v>-14.450999999999965</v>
      </c>
      <c r="M97" s="689">
        <f>M49</f>
        <v>16.846999999999994</v>
      </c>
      <c r="N97" s="671">
        <f t="shared" si="38"/>
        <v>77.721000000000004</v>
      </c>
      <c r="O97" s="671">
        <f t="shared" si="38"/>
        <v>117.11599999999999</v>
      </c>
      <c r="P97" s="671">
        <f t="shared" si="38"/>
        <v>112.67399999999992</v>
      </c>
      <c r="Q97" s="687">
        <f t="shared" si="38"/>
        <v>324.35799999999995</v>
      </c>
      <c r="R97" s="689">
        <f>R49</f>
        <v>-27.470000000000141</v>
      </c>
      <c r="S97" s="671">
        <f>S49</f>
        <v>19.20900000000006</v>
      </c>
      <c r="T97" s="671">
        <f>T49</f>
        <v>51.849999999999795</v>
      </c>
      <c r="U97" s="668">
        <f t="shared" si="38"/>
        <v>67.270920021642496</v>
      </c>
      <c r="V97" s="687">
        <f t="shared" si="38"/>
        <v>110.85992002164267</v>
      </c>
      <c r="W97" s="688">
        <f t="shared" si="38"/>
        <v>235.37393013662086</v>
      </c>
      <c r="X97" s="668">
        <f t="shared" si="38"/>
        <v>429.25819754369536</v>
      </c>
      <c r="Y97" s="668">
        <f t="shared" si="38"/>
        <v>468.39209813066964</v>
      </c>
      <c r="Z97" s="668">
        <f t="shared" si="38"/>
        <v>535.29048122933546</v>
      </c>
      <c r="AA97" s="687">
        <f t="shared" si="38"/>
        <v>1668.3147070403202</v>
      </c>
      <c r="AB97" s="688">
        <f t="shared" si="38"/>
        <v>634.5963666414591</v>
      </c>
      <c r="AC97" s="668">
        <f t="shared" si="38"/>
        <v>667.00817345510404</v>
      </c>
      <c r="AD97" s="668">
        <f t="shared" si="38"/>
        <v>766.83713877409218</v>
      </c>
      <c r="AE97" s="668">
        <f t="shared" si="38"/>
        <v>700.87538117226313</v>
      </c>
      <c r="AF97" s="687">
        <f t="shared" si="38"/>
        <v>2769.3170600429203</v>
      </c>
      <c r="AG97" s="688">
        <f>AG49</f>
        <v>879.54451420132</v>
      </c>
      <c r="AH97" s="668">
        <f>AH49</f>
        <v>860.89468373283762</v>
      </c>
      <c r="AI97" s="668">
        <f>AI49</f>
        <v>897.29594623978119</v>
      </c>
      <c r="AJ97" s="668">
        <f>AJ49</f>
        <v>819.66729758248312</v>
      </c>
      <c r="AK97" s="687">
        <f>AK49</f>
        <v>3457.4024417564251</v>
      </c>
    </row>
    <row r="98" spans="1:37" s="486" customFormat="1" ht="12.75" customHeight="1" outlineLevel="1">
      <c r="A98" s="603"/>
      <c r="B98" s="556" t="s">
        <v>168</v>
      </c>
      <c r="C98" s="557"/>
      <c r="D98" s="558"/>
      <c r="E98" s="558"/>
      <c r="F98" s="558"/>
      <c r="G98" s="690">
        <f>CF!G14</f>
        <v>11.695</v>
      </c>
      <c r="H98" s="691"/>
      <c r="I98" s="692"/>
      <c r="J98" s="692"/>
      <c r="K98" s="692"/>
      <c r="L98" s="690">
        <f>CF!L14</f>
        <v>103.21</v>
      </c>
      <c r="M98" s="691">
        <f>CF!M14</f>
        <v>79.510000000000005</v>
      </c>
      <c r="N98" s="692">
        <f>CF!N14</f>
        <v>164.46</v>
      </c>
      <c r="O98" s="692">
        <f>CF!O14</f>
        <v>254.024</v>
      </c>
      <c r="P98" s="692">
        <f>CF!P14</f>
        <v>365.41899999999998</v>
      </c>
      <c r="Q98" s="690">
        <f>CF!Q14</f>
        <v>863.41300000000001</v>
      </c>
      <c r="R98" s="691">
        <f>CF!R14</f>
        <v>443.49700000000001</v>
      </c>
      <c r="S98" s="692">
        <f>CF!S14</f>
        <v>559.48099999999999</v>
      </c>
      <c r="T98" s="692">
        <f>CF!T14</f>
        <v>630.47900000000004</v>
      </c>
      <c r="U98" s="693">
        <f>CF!U14</f>
        <v>785.14887528361112</v>
      </c>
      <c r="V98" s="690">
        <f>CF!V14</f>
        <v>2123.8543615085878</v>
      </c>
      <c r="W98" s="560">
        <f>CF!W14</f>
        <v>1175.5894636081887</v>
      </c>
      <c r="X98" s="693">
        <f>CF!X14</f>
        <v>1380.6780392585222</v>
      </c>
      <c r="Y98" s="693">
        <f>CF!Y14</f>
        <v>1513.2447761080389</v>
      </c>
      <c r="Z98" s="693">
        <f>CF!Z14</f>
        <v>1646.1933827419577</v>
      </c>
      <c r="AA98" s="690">
        <f>CF!AA14</f>
        <v>5715.7056617167073</v>
      </c>
      <c r="AB98" s="560">
        <f>CF!AB14</f>
        <v>1863.3323690668949</v>
      </c>
      <c r="AC98" s="693">
        <f>CF!AC14</f>
        <v>2081.5041356817528</v>
      </c>
      <c r="AD98" s="693">
        <f>CF!AD14</f>
        <v>2299.277505421187</v>
      </c>
      <c r="AE98" s="693">
        <f>CF!AE14</f>
        <v>2518.3587441657987</v>
      </c>
      <c r="AF98" s="690">
        <f>CF!AF14</f>
        <v>8762.472754335633</v>
      </c>
      <c r="AG98" s="560">
        <f>CF!AG14</f>
        <v>2705.1133576629231</v>
      </c>
      <c r="AH98" s="693">
        <f>CF!AH14</f>
        <v>2905.0519633823087</v>
      </c>
      <c r="AI98" s="693">
        <f>CF!AI14</f>
        <v>3103.8403016294069</v>
      </c>
      <c r="AJ98" s="693">
        <f>CF!AJ14</f>
        <v>3304.1983024500328</v>
      </c>
      <c r="AK98" s="690">
        <f>CF!AK14</f>
        <v>12018.20392512467</v>
      </c>
    </row>
    <row r="99" spans="1:37" s="565" customFormat="1" ht="12.75" customHeight="1" outlineLevel="1">
      <c r="A99" s="1097"/>
      <c r="B99" s="468" t="s">
        <v>160</v>
      </c>
      <c r="C99" s="574"/>
      <c r="D99" s="574"/>
      <c r="E99" s="574"/>
      <c r="F99" s="574"/>
      <c r="G99" s="575">
        <f t="shared" ref="G99:AF99" si="39">G97+G98</f>
        <v>-11.185000000000002</v>
      </c>
      <c r="H99" s="610"/>
      <c r="I99" s="610"/>
      <c r="J99" s="610"/>
      <c r="K99" s="610"/>
      <c r="L99" s="575">
        <f t="shared" si="39"/>
        <v>88.759000000000029</v>
      </c>
      <c r="M99" s="610">
        <f t="shared" si="39"/>
        <v>96.356999999999999</v>
      </c>
      <c r="N99" s="610">
        <f t="shared" si="39"/>
        <v>242.18100000000001</v>
      </c>
      <c r="O99" s="610">
        <f t="shared" si="39"/>
        <v>371.14</v>
      </c>
      <c r="P99" s="610">
        <f>P97+P98</f>
        <v>478.0929999999999</v>
      </c>
      <c r="Q99" s="575">
        <f t="shared" si="39"/>
        <v>1187.771</v>
      </c>
      <c r="R99" s="610">
        <f>R97+R98</f>
        <v>416.02699999999987</v>
      </c>
      <c r="S99" s="610">
        <f>S97+S98</f>
        <v>578.69000000000005</v>
      </c>
      <c r="T99" s="610">
        <f>T97+T98</f>
        <v>682.32899999999984</v>
      </c>
      <c r="U99" s="574">
        <f t="shared" si="39"/>
        <v>852.41979530525361</v>
      </c>
      <c r="V99" s="575">
        <f t="shared" si="39"/>
        <v>2234.7142815302304</v>
      </c>
      <c r="W99" s="574">
        <f t="shared" si="39"/>
        <v>1410.9633937448095</v>
      </c>
      <c r="X99" s="574">
        <f t="shared" si="39"/>
        <v>1809.9362368022175</v>
      </c>
      <c r="Y99" s="574">
        <f t="shared" si="39"/>
        <v>1981.6368742387085</v>
      </c>
      <c r="Z99" s="574">
        <f t="shared" si="39"/>
        <v>2181.4838639712934</v>
      </c>
      <c r="AA99" s="575">
        <f t="shared" si="39"/>
        <v>7384.0203687570274</v>
      </c>
      <c r="AB99" s="574">
        <f t="shared" si="39"/>
        <v>2497.928735708354</v>
      </c>
      <c r="AC99" s="574">
        <f t="shared" si="39"/>
        <v>2748.5123091368569</v>
      </c>
      <c r="AD99" s="574">
        <f t="shared" si="39"/>
        <v>3066.1146441952792</v>
      </c>
      <c r="AE99" s="574">
        <f t="shared" si="39"/>
        <v>3219.2341253380619</v>
      </c>
      <c r="AF99" s="575">
        <f t="shared" si="39"/>
        <v>11531.789814378553</v>
      </c>
      <c r="AG99" s="574">
        <f>AG97+AG98</f>
        <v>3584.6578718642431</v>
      </c>
      <c r="AH99" s="574">
        <f>AH97+AH98</f>
        <v>3765.9466471151463</v>
      </c>
      <c r="AI99" s="574">
        <f>AI97+AI98</f>
        <v>4001.1362478691881</v>
      </c>
      <c r="AJ99" s="574">
        <f>AJ97+AJ98</f>
        <v>4123.8656000325154</v>
      </c>
      <c r="AK99" s="575">
        <f>AK97+AK98</f>
        <v>15475.606366881095</v>
      </c>
    </row>
    <row r="100" spans="1:37" s="298" customFormat="1" ht="12.75" customHeight="1">
      <c r="A100" s="1088"/>
      <c r="B100" s="433" t="s">
        <v>93</v>
      </c>
      <c r="C100" s="102"/>
      <c r="D100" s="102"/>
      <c r="E100" s="102"/>
      <c r="F100" s="102"/>
      <c r="G100" s="254">
        <f>IFERROR(G99/G10,"")</f>
        <v>-0.70656980416929893</v>
      </c>
      <c r="H100" s="102" t="str">
        <f>IFERROR(H99/C99-1,"")</f>
        <v/>
      </c>
      <c r="I100" s="102" t="str">
        <f>IFERROR(I99/D99-1,"")</f>
        <v/>
      </c>
      <c r="J100" s="102" t="str">
        <f>IFERROR(J99/E99-1,"")</f>
        <v/>
      </c>
      <c r="K100" s="102" t="str">
        <f>IFERROR(K99/F99-1,"")</f>
        <v/>
      </c>
      <c r="L100" s="254">
        <f t="shared" ref="L100:S100" si="40">IFERROR(L99/L10,"")</f>
        <v>0.38769038581655707</v>
      </c>
      <c r="M100" s="102">
        <f t="shared" si="40"/>
        <v>0.51067923088338174</v>
      </c>
      <c r="N100" s="102">
        <f t="shared" si="40"/>
        <v>0.61254113225299789</v>
      </c>
      <c r="O100" s="102">
        <f t="shared" si="40"/>
        <v>0.63557790941208092</v>
      </c>
      <c r="P100" s="102">
        <f t="shared" si="40"/>
        <v>0.63964919791819963</v>
      </c>
      <c r="Q100" s="254">
        <f t="shared" si="40"/>
        <v>0.62010800730490245</v>
      </c>
      <c r="R100" s="102">
        <f t="shared" si="40"/>
        <v>0.42381157093493271</v>
      </c>
      <c r="S100" s="102">
        <f t="shared" si="40"/>
        <v>0.47715676606298879</v>
      </c>
      <c r="T100" s="102">
        <f>IFERROR(T99/T10,"")</f>
        <v>0.49999340502800654</v>
      </c>
      <c r="U100" s="102">
        <f t="shared" ref="U100:AK100" si="41">IFERROR(U99/U10,"")</f>
        <v>0.5524861846823963</v>
      </c>
      <c r="V100" s="254">
        <f t="shared" si="41"/>
        <v>0.43800957753249409</v>
      </c>
      <c r="W100" s="102">
        <f t="shared" si="41"/>
        <v>0.63353516473577132</v>
      </c>
      <c r="X100" s="102">
        <f t="shared" si="41"/>
        <v>0.61060013564645721</v>
      </c>
      <c r="Y100" s="102">
        <f t="shared" si="41"/>
        <v>0.60237907074823993</v>
      </c>
      <c r="Z100" s="102">
        <f t="shared" si="41"/>
        <v>0.61962781228766584</v>
      </c>
      <c r="AA100" s="254">
        <f t="shared" si="41"/>
        <v>0.61525097372467563</v>
      </c>
      <c r="AB100" s="102">
        <f t="shared" si="41"/>
        <v>0.65534681859733979</v>
      </c>
      <c r="AC100" s="102">
        <f t="shared" si="41"/>
        <v>0.66165948489543003</v>
      </c>
      <c r="AD100" s="102">
        <f t="shared" si="41"/>
        <v>0.68534404925418324</v>
      </c>
      <c r="AE100" s="102">
        <f t="shared" si="41"/>
        <v>0.6746831188442215</v>
      </c>
      <c r="AF100" s="254">
        <f t="shared" si="41"/>
        <v>0.67002867963945678</v>
      </c>
      <c r="AG100" s="102">
        <f t="shared" si="41"/>
        <v>0.70034075022490838</v>
      </c>
      <c r="AH100" s="102">
        <f t="shared" si="41"/>
        <v>0.70658566741678674</v>
      </c>
      <c r="AI100" s="102">
        <f t="shared" si="41"/>
        <v>0.72493976605047372</v>
      </c>
      <c r="AJ100" s="102">
        <f t="shared" si="41"/>
        <v>0.72506340084286924</v>
      </c>
      <c r="AK100" s="254">
        <f t="shared" si="41"/>
        <v>0.71464062005727902</v>
      </c>
    </row>
    <row r="101" spans="1:37" ht="12.75" customHeight="1">
      <c r="B101" s="385"/>
      <c r="C101" s="228"/>
      <c r="D101" s="239"/>
      <c r="E101" s="239"/>
      <c r="F101" s="239"/>
      <c r="G101" s="267"/>
      <c r="H101" s="228"/>
      <c r="I101" s="239"/>
      <c r="J101" s="239"/>
      <c r="K101" s="239"/>
      <c r="L101" s="267"/>
      <c r="M101" s="228"/>
      <c r="N101" s="241"/>
      <c r="O101" s="239"/>
      <c r="P101" s="239"/>
      <c r="Q101" s="263"/>
      <c r="R101" s="228"/>
      <c r="S101" s="239"/>
      <c r="T101" s="239"/>
      <c r="U101" s="239"/>
      <c r="V101" s="263"/>
      <c r="W101" s="228"/>
      <c r="X101" s="239"/>
      <c r="Y101" s="239"/>
      <c r="Z101" s="239"/>
      <c r="AA101" s="263"/>
      <c r="AB101" s="228"/>
      <c r="AC101" s="239"/>
      <c r="AD101" s="239"/>
      <c r="AE101" s="239"/>
      <c r="AF101" s="263"/>
      <c r="AG101" s="228"/>
      <c r="AH101" s="239"/>
      <c r="AI101" s="239"/>
      <c r="AJ101" s="239"/>
      <c r="AK101" s="263"/>
    </row>
    <row r="102" spans="1:37" s="295" customFormat="1" ht="12.75" customHeight="1">
      <c r="A102" s="1039"/>
      <c r="B102" s="411"/>
      <c r="C102" s="412"/>
      <c r="D102" s="241"/>
      <c r="E102" s="241"/>
      <c r="F102" s="241"/>
      <c r="G102" s="414"/>
      <c r="H102" s="412"/>
      <c r="I102" s="241"/>
      <c r="J102" s="241"/>
      <c r="K102" s="241"/>
      <c r="L102" s="414"/>
      <c r="M102" s="412"/>
      <c r="N102" s="241"/>
      <c r="O102" s="241"/>
      <c r="P102" s="241"/>
      <c r="Q102" s="413"/>
      <c r="R102" s="412"/>
      <c r="S102" s="241"/>
      <c r="T102" s="241"/>
      <c r="U102" s="241"/>
      <c r="V102" s="413"/>
      <c r="W102" s="412"/>
      <c r="X102" s="241"/>
      <c r="Y102" s="241"/>
      <c r="Z102" s="241"/>
      <c r="AA102" s="413"/>
      <c r="AB102" s="412"/>
      <c r="AC102" s="241"/>
      <c r="AD102" s="241"/>
      <c r="AE102" s="241"/>
      <c r="AF102" s="413"/>
      <c r="AG102" s="412"/>
      <c r="AH102" s="241"/>
      <c r="AI102" s="241"/>
      <c r="AJ102" s="241"/>
      <c r="AK102" s="413"/>
    </row>
    <row r="103" spans="1:37" s="295" customFormat="1" ht="12.75" customHeight="1">
      <c r="A103" s="1039"/>
      <c r="B103" s="411"/>
      <c r="C103" s="412"/>
      <c r="D103" s="241"/>
      <c r="E103" s="241"/>
      <c r="F103" s="241"/>
      <c r="G103" s="414"/>
      <c r="H103" s="412"/>
      <c r="I103" s="241"/>
      <c r="J103" s="241"/>
      <c r="K103" s="241"/>
      <c r="L103" s="414"/>
      <c r="M103" s="412"/>
      <c r="N103" s="241"/>
      <c r="O103" s="241"/>
      <c r="P103" s="241"/>
      <c r="Q103" s="413"/>
      <c r="R103" s="412"/>
      <c r="S103" s="241"/>
      <c r="T103" s="241"/>
      <c r="U103" s="241"/>
      <c r="V103" s="413"/>
      <c r="W103" s="412"/>
      <c r="X103" s="241"/>
      <c r="Y103" s="241"/>
      <c r="Z103" s="241"/>
      <c r="AA103" s="413"/>
      <c r="AB103" s="412"/>
      <c r="AC103" s="241"/>
      <c r="AD103" s="241"/>
      <c r="AE103" s="241"/>
      <c r="AF103" s="413"/>
      <c r="AG103" s="412"/>
      <c r="AH103" s="241"/>
      <c r="AI103" s="241"/>
      <c r="AJ103" s="241"/>
      <c r="AK103" s="413"/>
    </row>
    <row r="104" spans="1:37" s="295" customFormat="1" ht="12.75" customHeight="1">
      <c r="A104" s="1039"/>
      <c r="B104" s="411"/>
      <c r="C104" s="412"/>
      <c r="D104" s="241"/>
      <c r="E104" s="241"/>
      <c r="F104" s="241"/>
      <c r="G104" s="414"/>
      <c r="H104" s="412"/>
      <c r="I104" s="241"/>
      <c r="J104" s="241"/>
      <c r="K104" s="241"/>
      <c r="L104" s="414"/>
      <c r="M104" s="412"/>
      <c r="N104" s="241"/>
      <c r="O104" s="241"/>
      <c r="P104" s="241"/>
      <c r="Q104" s="413"/>
      <c r="R104" s="412"/>
      <c r="S104" s="241"/>
      <c r="T104" s="241"/>
      <c r="U104" s="241"/>
      <c r="V104" s="413"/>
      <c r="W104" s="412"/>
      <c r="X104" s="241"/>
      <c r="Y104" s="241"/>
      <c r="Z104" s="241"/>
      <c r="AA104" s="413"/>
      <c r="AB104" s="412"/>
      <c r="AC104" s="241"/>
      <c r="AD104" s="241"/>
      <c r="AE104" s="241"/>
      <c r="AF104" s="413"/>
      <c r="AG104" s="412"/>
      <c r="AH104" s="241"/>
      <c r="AI104" s="241"/>
      <c r="AJ104" s="241"/>
      <c r="AK104" s="413"/>
    </row>
    <row r="105" spans="1:37" s="295" customFormat="1" ht="12.75" customHeight="1">
      <c r="A105" s="1039"/>
      <c r="B105" s="411"/>
      <c r="C105" s="412"/>
      <c r="D105" s="241"/>
      <c r="E105" s="241"/>
      <c r="F105" s="241"/>
      <c r="G105" s="414"/>
      <c r="H105" s="412"/>
      <c r="I105" s="241"/>
      <c r="J105" s="241"/>
      <c r="K105" s="241"/>
      <c r="L105" s="414"/>
      <c r="M105" s="412"/>
      <c r="N105" s="241"/>
      <c r="O105" s="241"/>
      <c r="P105" s="241"/>
      <c r="Q105" s="413"/>
      <c r="R105" s="412"/>
      <c r="S105" s="241"/>
      <c r="T105" s="241"/>
      <c r="U105" s="241"/>
      <c r="V105" s="413"/>
      <c r="W105" s="412"/>
      <c r="X105" s="241"/>
      <c r="Y105" s="241"/>
      <c r="Z105" s="241"/>
      <c r="AA105" s="413"/>
      <c r="AB105" s="412"/>
      <c r="AC105" s="241"/>
      <c r="AD105" s="241"/>
      <c r="AE105" s="241"/>
      <c r="AF105" s="413"/>
      <c r="AG105" s="412"/>
      <c r="AH105" s="241"/>
      <c r="AI105" s="241"/>
      <c r="AJ105" s="241"/>
      <c r="AK105" s="413"/>
    </row>
    <row r="106" spans="1:37" s="295" customFormat="1" ht="12.75" customHeight="1">
      <c r="A106" s="1039"/>
      <c r="B106" s="411"/>
      <c r="C106" s="412"/>
      <c r="D106" s="241"/>
      <c r="E106" s="241"/>
      <c r="F106" s="241"/>
      <c r="G106" s="414"/>
      <c r="H106" s="412"/>
      <c r="I106" s="241"/>
      <c r="J106" s="241"/>
      <c r="K106" s="241"/>
      <c r="L106" s="414"/>
      <c r="M106" s="412"/>
      <c r="N106" s="241"/>
      <c r="O106" s="241"/>
      <c r="P106" s="241"/>
      <c r="Q106" s="413"/>
      <c r="R106" s="412"/>
      <c r="S106" s="241"/>
      <c r="T106" s="241"/>
      <c r="U106" s="241"/>
      <c r="V106" s="413"/>
      <c r="W106" s="412"/>
      <c r="X106" s="241"/>
      <c r="Y106" s="241"/>
      <c r="Z106" s="241"/>
      <c r="AA106" s="413"/>
      <c r="AB106" s="412"/>
      <c r="AC106" s="241"/>
      <c r="AD106" s="241"/>
      <c r="AE106" s="241"/>
      <c r="AF106" s="413"/>
      <c r="AG106" s="412"/>
      <c r="AH106" s="241"/>
      <c r="AI106" s="241"/>
      <c r="AJ106" s="241"/>
      <c r="AK106" s="413"/>
    </row>
    <row r="107" spans="1:37" s="295" customFormat="1" ht="12.75" customHeight="1">
      <c r="A107" s="1039"/>
      <c r="B107" s="411"/>
      <c r="C107" s="412"/>
      <c r="D107" s="241"/>
      <c r="E107" s="241"/>
      <c r="F107" s="241"/>
      <c r="G107" s="414"/>
      <c r="H107" s="412"/>
      <c r="I107" s="241"/>
      <c r="J107" s="241"/>
      <c r="K107" s="241"/>
      <c r="L107" s="414"/>
      <c r="M107" s="412"/>
      <c r="N107" s="241"/>
      <c r="O107" s="241"/>
      <c r="P107" s="241"/>
      <c r="Q107" s="413"/>
      <c r="R107" s="412"/>
      <c r="S107" s="241"/>
      <c r="T107" s="241"/>
      <c r="U107" s="241"/>
      <c r="V107" s="413"/>
      <c r="W107" s="412"/>
      <c r="X107" s="241"/>
      <c r="Y107" s="241"/>
      <c r="Z107" s="241"/>
      <c r="AA107" s="413"/>
      <c r="AB107" s="412"/>
      <c r="AC107" s="241"/>
      <c r="AD107" s="241"/>
      <c r="AE107" s="241"/>
      <c r="AF107" s="413"/>
      <c r="AG107" s="412"/>
      <c r="AH107" s="241"/>
      <c r="AI107" s="241"/>
      <c r="AJ107" s="241"/>
      <c r="AK107" s="413"/>
    </row>
    <row r="108" spans="1:37" s="295" customFormat="1" ht="12.75" customHeight="1">
      <c r="A108" s="1039"/>
      <c r="B108" s="411"/>
      <c r="C108" s="412"/>
      <c r="D108" s="241"/>
      <c r="E108" s="241"/>
      <c r="F108" s="241"/>
      <c r="G108" s="414"/>
      <c r="H108" s="412"/>
      <c r="I108" s="241"/>
      <c r="J108" s="241"/>
      <c r="K108" s="241"/>
      <c r="L108" s="414"/>
      <c r="M108" s="412"/>
      <c r="N108" s="241"/>
      <c r="O108" s="241"/>
      <c r="P108" s="241"/>
      <c r="Q108" s="413"/>
      <c r="R108" s="412"/>
      <c r="S108" s="241"/>
      <c r="T108" s="241"/>
      <c r="U108" s="241"/>
      <c r="V108" s="413"/>
      <c r="W108" s="412"/>
      <c r="X108" s="241"/>
      <c r="Y108" s="241"/>
      <c r="Z108" s="241"/>
      <c r="AA108" s="413"/>
      <c r="AB108" s="412"/>
      <c r="AC108" s="241"/>
      <c r="AD108" s="241"/>
      <c r="AE108" s="241"/>
      <c r="AF108" s="413"/>
      <c r="AG108" s="412"/>
      <c r="AH108" s="241"/>
      <c r="AI108" s="241"/>
      <c r="AJ108" s="241"/>
      <c r="AK108" s="413"/>
    </row>
    <row r="109" spans="1:37" s="295" customFormat="1" ht="12.75" customHeight="1">
      <c r="A109" s="1039"/>
      <c r="B109" s="411"/>
      <c r="C109" s="412"/>
      <c r="D109" s="241"/>
      <c r="E109" s="241"/>
      <c r="F109" s="241"/>
      <c r="G109" s="414"/>
      <c r="H109" s="412"/>
      <c r="I109" s="241"/>
      <c r="J109" s="241"/>
      <c r="K109" s="241"/>
      <c r="L109" s="414"/>
      <c r="M109" s="412"/>
      <c r="N109" s="241"/>
      <c r="O109" s="241"/>
      <c r="P109" s="241"/>
      <c r="Q109" s="413"/>
      <c r="R109" s="412"/>
      <c r="S109" s="241"/>
      <c r="T109" s="241"/>
      <c r="U109" s="241"/>
      <c r="V109" s="413"/>
      <c r="W109" s="412"/>
      <c r="X109" s="241"/>
      <c r="Y109" s="241"/>
      <c r="Z109" s="241"/>
      <c r="AA109" s="413"/>
      <c r="AB109" s="412"/>
      <c r="AC109" s="241"/>
      <c r="AD109" s="241"/>
      <c r="AE109" s="241"/>
      <c r="AF109" s="413"/>
      <c r="AG109" s="412"/>
      <c r="AH109" s="241"/>
      <c r="AI109" s="241"/>
      <c r="AJ109" s="241"/>
      <c r="AK109" s="413"/>
    </row>
    <row r="110" spans="1:37" s="295" customFormat="1" ht="12.75" customHeight="1">
      <c r="A110" s="1039"/>
      <c r="B110" s="384"/>
      <c r="C110" s="249"/>
      <c r="D110" s="250"/>
      <c r="E110" s="250"/>
      <c r="F110" s="250"/>
      <c r="G110" s="414"/>
      <c r="H110" s="249"/>
      <c r="I110" s="250"/>
      <c r="J110" s="241"/>
      <c r="K110" s="241"/>
      <c r="L110" s="414"/>
      <c r="M110" s="412"/>
      <c r="N110" s="241"/>
      <c r="O110" s="241"/>
      <c r="P110" s="241"/>
      <c r="Q110" s="413"/>
      <c r="R110" s="412"/>
      <c r="S110" s="241"/>
      <c r="T110" s="241"/>
      <c r="U110" s="241"/>
      <c r="V110" s="413"/>
      <c r="W110" s="412"/>
      <c r="X110" s="241"/>
      <c r="Y110" s="241"/>
      <c r="Z110" s="241"/>
      <c r="AA110" s="413"/>
      <c r="AB110" s="412"/>
      <c r="AC110" s="241"/>
      <c r="AD110" s="241"/>
      <c r="AE110" s="241"/>
      <c r="AF110" s="413"/>
      <c r="AG110" s="412"/>
      <c r="AH110" s="241"/>
      <c r="AI110" s="241"/>
      <c r="AJ110" s="241"/>
      <c r="AK110" s="413"/>
    </row>
    <row r="111" spans="1:37" s="295" customFormat="1" ht="12.75" customHeight="1">
      <c r="A111" s="1039"/>
      <c r="B111" s="384"/>
      <c r="C111" s="249"/>
      <c r="D111" s="250"/>
      <c r="E111" s="250"/>
      <c r="F111" s="250"/>
      <c r="G111" s="414"/>
      <c r="H111" s="249"/>
      <c r="I111" s="250"/>
      <c r="J111" s="241"/>
      <c r="K111" s="241"/>
      <c r="L111" s="414"/>
      <c r="M111" s="412"/>
      <c r="N111" s="241"/>
      <c r="O111" s="241"/>
      <c r="P111" s="241"/>
      <c r="Q111" s="413"/>
      <c r="R111" s="412"/>
      <c r="S111" s="241"/>
      <c r="T111" s="241"/>
      <c r="U111" s="241"/>
      <c r="V111" s="413"/>
      <c r="W111" s="412"/>
      <c r="X111" s="241"/>
      <c r="Y111" s="241"/>
      <c r="Z111" s="241"/>
      <c r="AA111" s="413"/>
      <c r="AB111" s="412"/>
      <c r="AC111" s="241"/>
      <c r="AD111" s="241"/>
      <c r="AE111" s="241"/>
      <c r="AF111" s="413"/>
      <c r="AG111" s="412"/>
      <c r="AH111" s="241"/>
      <c r="AI111" s="241"/>
      <c r="AJ111" s="241"/>
      <c r="AK111" s="413"/>
    </row>
    <row r="112" spans="1:37" s="295" customFormat="1" ht="12.75" customHeight="1">
      <c r="A112" s="1039"/>
      <c r="B112" s="384"/>
      <c r="C112" s="249"/>
      <c r="D112" s="250"/>
      <c r="E112" s="250"/>
      <c r="F112" s="250"/>
      <c r="G112" s="414"/>
      <c r="H112" s="249"/>
      <c r="I112" s="250"/>
      <c r="J112" s="241"/>
      <c r="K112" s="241"/>
      <c r="L112" s="414"/>
      <c r="M112" s="412"/>
      <c r="N112" s="241"/>
      <c r="O112" s="241"/>
      <c r="P112" s="241"/>
      <c r="Q112" s="413"/>
      <c r="R112" s="412"/>
      <c r="S112" s="241"/>
      <c r="T112" s="241"/>
      <c r="U112" s="241"/>
      <c r="V112" s="413"/>
      <c r="W112" s="412"/>
      <c r="X112" s="241"/>
      <c r="Y112" s="241"/>
      <c r="Z112" s="241"/>
      <c r="AA112" s="413"/>
      <c r="AB112" s="412"/>
      <c r="AC112" s="241"/>
      <c r="AD112" s="241"/>
      <c r="AE112" s="241"/>
      <c r="AF112" s="413"/>
      <c r="AG112" s="412"/>
      <c r="AH112" s="241"/>
      <c r="AI112" s="241"/>
      <c r="AJ112" s="241"/>
      <c r="AK112" s="413"/>
    </row>
  </sheetData>
  <pageMargins left="0.7" right="0.7" top="0.75" bottom="0.75" header="0.3" footer="0.3"/>
  <pageSetup orientation="portrait" r:id="rId1"/>
  <customProperties>
    <customPr name="Qube.Worksheet.Visibility" r:id="rId2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FED54-DE49-4239-A598-0F1AE9A8ACF7}">
  <sheetPr codeName="Sheet8">
    <tabColor rgb="FF002060"/>
    <pageSetUpPr autoPageBreaks="0"/>
  </sheetPr>
  <dimension ref="A1:AT131"/>
  <sheetViews>
    <sheetView showGridLines="0" zoomScaleNormal="100" workbookViewId="0">
      <pane xSplit="2" ySplit="8" topLeftCell="R9" activePane="bottomRight" state="frozen"/>
      <selection activeCell="DD115" sqref="DD115"/>
      <selection pane="topRight" activeCell="DD115" sqref="DD115"/>
      <selection pane="bottomLeft" activeCell="DD115" sqref="DD115"/>
      <selection pane="bottomRight"/>
    </sheetView>
  </sheetViews>
  <sheetFormatPr defaultColWidth="9.140625" defaultRowHeight="12.75" customHeight="1" outlineLevelRow="1" outlineLevelCol="1"/>
  <cols>
    <col min="1" max="1" width="3.7109375" style="67" customWidth="1"/>
    <col min="2" max="2" width="73" style="384" customWidth="1"/>
    <col min="3" max="3" width="12.7109375" style="249" hidden="1" customWidth="1" outlineLevel="1"/>
    <col min="4" max="6" width="11.42578125" style="250" hidden="1" customWidth="1" outlineLevel="1"/>
    <col min="7" max="7" width="11.42578125" style="128" bestFit="1" customWidth="1" collapsed="1"/>
    <col min="8" max="8" width="11.42578125" style="296" hidden="1" customWidth="1" outlineLevel="1"/>
    <col min="9" max="11" width="11.42578125" style="297" hidden="1" customWidth="1" outlineLevel="1"/>
    <col min="12" max="12" width="11.42578125" style="128" bestFit="1" customWidth="1" collapsed="1"/>
    <col min="13" max="13" width="11.140625" style="296" hidden="1" customWidth="1" outlineLevel="1"/>
    <col min="14" max="15" width="11.140625" style="297" hidden="1" customWidth="1" outlineLevel="1"/>
    <col min="16" max="16" width="11.140625" style="250" hidden="1" customWidth="1" outlineLevel="1"/>
    <col min="17" max="17" width="11.42578125" style="250" bestFit="1" customWidth="1" collapsed="1"/>
    <col min="18" max="18" width="11.140625" style="249" customWidth="1" outlineLevel="1"/>
    <col min="19" max="20" width="11.140625" style="297" customWidth="1" outlineLevel="1"/>
    <col min="21" max="21" width="11.140625" style="250" customWidth="1" outlineLevel="1"/>
    <col min="22" max="22" width="11.42578125" style="250" bestFit="1" customWidth="1"/>
    <col min="23" max="23" width="11.140625" style="249" customWidth="1" outlineLevel="1"/>
    <col min="24" max="26" width="11.140625" style="250" customWidth="1" outlineLevel="1"/>
    <col min="27" max="27" width="11.42578125" style="250" bestFit="1" customWidth="1"/>
    <col min="28" max="28" width="11.140625" style="249" customWidth="1" outlineLevel="1"/>
    <col min="29" max="31" width="11.140625" style="250" customWidth="1" outlineLevel="1"/>
    <col min="32" max="32" width="11.42578125" style="250" bestFit="1" customWidth="1"/>
    <col min="33" max="33" width="11.140625" style="249" hidden="1" customWidth="1" outlineLevel="1"/>
    <col min="34" max="36" width="11.140625" style="250" hidden="1" customWidth="1" outlineLevel="1"/>
    <col min="37" max="37" width="11.42578125" style="250" bestFit="1" customWidth="1" collapsed="1"/>
    <col min="38" max="16384" width="9.140625" style="248"/>
  </cols>
  <sheetData>
    <row r="1" spans="1:37" s="384" customFormat="1" ht="12.75" customHeight="1">
      <c r="A1" s="416"/>
      <c r="C1" s="756"/>
      <c r="D1" s="755"/>
      <c r="E1" s="755"/>
      <c r="F1" s="755"/>
      <c r="G1" s="755"/>
      <c r="H1" s="753"/>
      <c r="I1" s="754"/>
      <c r="J1" s="754"/>
      <c r="K1" s="754"/>
      <c r="L1" s="755"/>
      <c r="M1" s="753"/>
      <c r="N1" s="754"/>
      <c r="O1" s="754"/>
      <c r="P1" s="755"/>
      <c r="Q1" s="755"/>
      <c r="R1" s="756"/>
      <c r="S1" s="754"/>
      <c r="T1" s="754"/>
      <c r="U1" s="755"/>
      <c r="V1" s="755"/>
      <c r="W1" s="756"/>
      <c r="X1" s="755"/>
      <c r="Y1" s="755"/>
      <c r="Z1" s="755"/>
      <c r="AA1" s="755"/>
      <c r="AB1" s="756"/>
      <c r="AC1" s="755"/>
      <c r="AD1" s="755"/>
      <c r="AE1" s="755"/>
      <c r="AF1" s="755"/>
      <c r="AG1" s="756"/>
      <c r="AH1" s="755"/>
      <c r="AI1" s="755"/>
      <c r="AJ1" s="755"/>
      <c r="AK1" s="755"/>
    </row>
    <row r="2" spans="1:37" s="384" customFormat="1" ht="12.75" customHeight="1">
      <c r="A2" s="416"/>
      <c r="B2" s="475" t="s">
        <v>231</v>
      </c>
      <c r="C2" s="756"/>
      <c r="D2" s="755"/>
      <c r="E2" s="755"/>
      <c r="F2" s="755"/>
      <c r="G2" s="755"/>
      <c r="H2" s="753"/>
      <c r="I2" s="754"/>
      <c r="J2" s="754"/>
      <c r="K2" s="754"/>
      <c r="L2" s="755"/>
      <c r="M2" s="753"/>
      <c r="N2" s="754"/>
      <c r="O2" s="754"/>
      <c r="P2" s="755"/>
      <c r="Q2" s="755"/>
      <c r="R2" s="756"/>
      <c r="S2" s="754"/>
      <c r="T2" s="754"/>
      <c r="U2" s="755"/>
      <c r="V2" s="755"/>
      <c r="W2" s="756"/>
      <c r="X2" s="755"/>
      <c r="Y2" s="755"/>
      <c r="Z2" s="755"/>
      <c r="AA2" s="755"/>
      <c r="AB2" s="756"/>
      <c r="AC2" s="755"/>
      <c r="AD2" s="755"/>
      <c r="AE2" s="755"/>
      <c r="AF2" s="755"/>
      <c r="AG2" s="756"/>
      <c r="AH2" s="755"/>
      <c r="AI2" s="755"/>
      <c r="AJ2" s="755"/>
      <c r="AK2" s="755"/>
    </row>
    <row r="3" spans="1:37" s="384" customFormat="1" ht="12.75" customHeight="1">
      <c r="A3" s="416"/>
      <c r="B3" s="475" t="s">
        <v>169</v>
      </c>
      <c r="C3" s="756"/>
      <c r="D3" s="755"/>
      <c r="E3" s="755"/>
      <c r="F3" s="755"/>
      <c r="G3" s="755"/>
      <c r="H3" s="753"/>
      <c r="I3" s="754"/>
      <c r="J3" s="754"/>
      <c r="K3" s="754"/>
      <c r="L3" s="755"/>
      <c r="M3" s="755"/>
      <c r="N3" s="755"/>
      <c r="O3" s="755"/>
      <c r="P3" s="755"/>
      <c r="Q3" s="755"/>
      <c r="R3" s="756"/>
      <c r="S3" s="754"/>
      <c r="T3" s="754"/>
      <c r="U3" s="755"/>
      <c r="V3" s="755"/>
      <c r="W3" s="756"/>
      <c r="X3" s="755"/>
      <c r="Y3" s="755"/>
      <c r="Z3" s="755"/>
      <c r="AA3" s="755"/>
      <c r="AB3" s="756"/>
      <c r="AC3" s="755"/>
      <c r="AD3" s="755"/>
      <c r="AE3" s="755"/>
      <c r="AF3" s="1065"/>
      <c r="AG3" s="756"/>
      <c r="AH3" s="755"/>
      <c r="AI3" s="755"/>
      <c r="AJ3" s="755"/>
      <c r="AK3" s="1065"/>
    </row>
    <row r="4" spans="1:37" s="384" customFormat="1" ht="12.75" customHeight="1">
      <c r="A4" s="416"/>
      <c r="B4" s="475" t="s">
        <v>24</v>
      </c>
      <c r="C4" s="756"/>
      <c r="D4" s="755"/>
      <c r="E4" s="755"/>
      <c r="F4" s="755"/>
      <c r="G4" s="755"/>
      <c r="H4" s="753"/>
      <c r="I4" s="754"/>
      <c r="J4" s="754"/>
      <c r="K4" s="754"/>
      <c r="L4" s="755"/>
      <c r="M4" s="971"/>
      <c r="N4" s="971"/>
      <c r="O4" s="971"/>
      <c r="P4" s="971"/>
      <c r="Q4" s="755"/>
      <c r="R4" s="756"/>
      <c r="S4" s="754"/>
      <c r="T4" s="754"/>
      <c r="U4" s="755"/>
      <c r="V4" s="755"/>
      <c r="W4" s="756"/>
      <c r="X4" s="755"/>
      <c r="Y4" s="755"/>
      <c r="Z4" s="755"/>
      <c r="AA4" s="755"/>
      <c r="AB4" s="756"/>
      <c r="AC4" s="755"/>
      <c r="AD4" s="755"/>
      <c r="AE4" s="755"/>
      <c r="AF4" s="755"/>
      <c r="AG4" s="756"/>
      <c r="AH4" s="755"/>
      <c r="AI4" s="755"/>
      <c r="AJ4" s="755"/>
      <c r="AK4" s="755"/>
    </row>
    <row r="5" spans="1:37" s="384" customFormat="1" ht="12.75" customHeight="1">
      <c r="A5" s="416"/>
      <c r="C5" s="761"/>
      <c r="D5" s="762"/>
      <c r="E5" s="762"/>
      <c r="F5" s="760"/>
      <c r="G5" s="755"/>
      <c r="H5" s="757"/>
      <c r="I5" s="758"/>
      <c r="J5" s="758"/>
      <c r="K5" s="759"/>
      <c r="L5" s="755"/>
      <c r="M5" s="757"/>
      <c r="N5" s="758"/>
      <c r="O5" s="758"/>
      <c r="P5" s="760"/>
      <c r="Q5" s="755"/>
      <c r="R5" s="761"/>
      <c r="S5" s="758"/>
      <c r="T5" s="758"/>
      <c r="U5" s="755"/>
      <c r="V5" s="755"/>
      <c r="W5" s="756"/>
      <c r="X5" s="755"/>
      <c r="Y5" s="755"/>
      <c r="Z5" s="755"/>
      <c r="AA5" s="755"/>
      <c r="AB5" s="756"/>
      <c r="AC5" s="755"/>
      <c r="AD5" s="755"/>
      <c r="AE5" s="755"/>
      <c r="AF5" s="755"/>
      <c r="AG5" s="756"/>
      <c r="AH5" s="755"/>
      <c r="AI5" s="755"/>
      <c r="AJ5" s="755"/>
      <c r="AK5" s="755"/>
    </row>
    <row r="6" spans="1:37" ht="12.75" customHeight="1">
      <c r="C6" s="46" t="str">
        <f>Dates!C3</f>
        <v>2022 (A)</v>
      </c>
      <c r="D6" s="46"/>
      <c r="E6" s="46"/>
      <c r="F6" s="46"/>
      <c r="G6" s="89"/>
      <c r="H6" s="427" t="str">
        <f>Dates!H3</f>
        <v>2023 (A)</v>
      </c>
      <c r="I6" s="427"/>
      <c r="J6" s="427"/>
      <c r="K6" s="427"/>
      <c r="L6" s="89"/>
      <c r="M6" s="427" t="str">
        <f>Dates!M3</f>
        <v>2024 (A)</v>
      </c>
      <c r="N6" s="427"/>
      <c r="O6" s="427"/>
      <c r="P6" s="46"/>
      <c r="Q6" s="89"/>
      <c r="R6" s="46" t="str">
        <f>Dates!R3</f>
        <v>2025 (E)</v>
      </c>
      <c r="S6" s="427"/>
      <c r="T6" s="427"/>
      <c r="U6" s="46"/>
      <c r="V6" s="89"/>
      <c r="W6" s="46" t="str">
        <f>Dates!W3</f>
        <v>2026 (E)</v>
      </c>
      <c r="X6" s="46"/>
      <c r="Y6" s="46"/>
      <c r="Z6" s="46"/>
      <c r="AA6" s="89"/>
      <c r="AB6" s="46" t="str">
        <f>Dates!AB3</f>
        <v>2027 (E)</v>
      </c>
      <c r="AC6" s="46"/>
      <c r="AD6" s="46"/>
      <c r="AE6" s="46"/>
      <c r="AF6" s="89"/>
      <c r="AG6" s="46" t="str">
        <f>Dates!AG3</f>
        <v>2028 (E)</v>
      </c>
      <c r="AH6" s="46"/>
      <c r="AI6" s="46"/>
      <c r="AJ6" s="46"/>
      <c r="AK6" s="89"/>
    </row>
    <row r="7" spans="1:37" ht="12.75" customHeight="1">
      <c r="C7" s="91" t="str">
        <f>Dates!C4</f>
        <v>1Q22 (A)</v>
      </c>
      <c r="D7" s="91" t="str">
        <f>Dates!D4</f>
        <v>2Q22 (A)</v>
      </c>
      <c r="E7" s="91" t="str">
        <f>Dates!E4</f>
        <v>3Q22 (A)</v>
      </c>
      <c r="F7" s="91" t="str">
        <f>Dates!F4</f>
        <v>4Q22 (A)</v>
      </c>
      <c r="G7" s="92" t="str">
        <f>Dates!G4</f>
        <v>FY22 (A)</v>
      </c>
      <c r="H7" s="428" t="str">
        <f>Dates!H4</f>
        <v>1Q23 (A)</v>
      </c>
      <c r="I7" s="428" t="str">
        <f>Dates!I4</f>
        <v>2Q23 (A)</v>
      </c>
      <c r="J7" s="428" t="str">
        <f>Dates!J4</f>
        <v>3Q23 (A)</v>
      </c>
      <c r="K7" s="428" t="str">
        <f>Dates!K4</f>
        <v>4Q23 (A)</v>
      </c>
      <c r="L7" s="92" t="str">
        <f>Dates!L4</f>
        <v>FY23 (A)</v>
      </c>
      <c r="M7" s="428" t="str">
        <f>Dates!M4</f>
        <v>1Q24 (A)</v>
      </c>
      <c r="N7" s="428" t="str">
        <f>Dates!N4</f>
        <v>2Q24 (A)</v>
      </c>
      <c r="O7" s="428" t="str">
        <f>Dates!O4</f>
        <v>3Q24 (A)</v>
      </c>
      <c r="P7" s="91" t="str">
        <f>Dates!P4</f>
        <v>4Q24 (A)</v>
      </c>
      <c r="Q7" s="92" t="str">
        <f>Dates!Q4</f>
        <v>FY24 (A)</v>
      </c>
      <c r="R7" s="91" t="str">
        <f>Dates!R4</f>
        <v>1Q25 (A)</v>
      </c>
      <c r="S7" s="428" t="str">
        <f>Dates!S4</f>
        <v>2Q25 (A)</v>
      </c>
      <c r="T7" s="428" t="str">
        <f>Dates!T4</f>
        <v>3Q25 (A)</v>
      </c>
      <c r="U7" s="91" t="str">
        <f>Dates!U4</f>
        <v>4Q25 (E)</v>
      </c>
      <c r="V7" s="92" t="str">
        <f>Dates!V4</f>
        <v>FY25 (E)</v>
      </c>
      <c r="W7" s="91" t="str">
        <f>Dates!W4</f>
        <v>1Q26 (E)</v>
      </c>
      <c r="X7" s="91" t="str">
        <f>Dates!X4</f>
        <v>2Q26 (E)</v>
      </c>
      <c r="Y7" s="91" t="str">
        <f>Dates!Y4</f>
        <v>3Q26 (E)</v>
      </c>
      <c r="Z7" s="91" t="str">
        <f>Dates!Z4</f>
        <v>4Q26 (E)</v>
      </c>
      <c r="AA7" s="92" t="str">
        <f>Dates!AA4</f>
        <v>FY26 (E)</v>
      </c>
      <c r="AB7" s="91" t="str">
        <f>Dates!AB4</f>
        <v>1Q27 (E)</v>
      </c>
      <c r="AC7" s="91" t="str">
        <f>Dates!AC4</f>
        <v>2Q27 (E)</v>
      </c>
      <c r="AD7" s="91" t="str">
        <f>Dates!AD4</f>
        <v>3Q27 (E)</v>
      </c>
      <c r="AE7" s="91" t="str">
        <f>Dates!AE4</f>
        <v>4Q27 (E)</v>
      </c>
      <c r="AF7" s="92" t="str">
        <f>Dates!AF4</f>
        <v>FY27 (E)</v>
      </c>
      <c r="AG7" s="91" t="str">
        <f>Dates!AG4</f>
        <v>1Q28 (E)</v>
      </c>
      <c r="AH7" s="91" t="str">
        <f>Dates!AH4</f>
        <v>2Q28 (E)</v>
      </c>
      <c r="AI7" s="91" t="str">
        <f>Dates!AI4</f>
        <v>3Q28 (E)</v>
      </c>
      <c r="AJ7" s="91" t="str">
        <f>Dates!AJ4</f>
        <v>4Q28 (E)</v>
      </c>
      <c r="AK7" s="92" t="str">
        <f>Dates!AK4</f>
        <v>FY28 (E)</v>
      </c>
    </row>
    <row r="8" spans="1:37" ht="12.75" customHeight="1">
      <c r="C8" s="93">
        <f>Dates!C5</f>
        <v>44651</v>
      </c>
      <c r="D8" s="93">
        <f>Dates!D5</f>
        <v>44742</v>
      </c>
      <c r="E8" s="93">
        <f>Dates!E5</f>
        <v>44834</v>
      </c>
      <c r="F8" s="93">
        <f>Dates!F5</f>
        <v>44926</v>
      </c>
      <c r="G8" s="94">
        <f>Dates!G5</f>
        <v>44926</v>
      </c>
      <c r="H8" s="423">
        <f>Dates!H5</f>
        <v>45016</v>
      </c>
      <c r="I8" s="423">
        <f>Dates!I5</f>
        <v>45107</v>
      </c>
      <c r="J8" s="423">
        <f>Dates!J5</f>
        <v>45199</v>
      </c>
      <c r="K8" s="423">
        <f>Dates!K5</f>
        <v>45291</v>
      </c>
      <c r="L8" s="94">
        <f>Dates!L5</f>
        <v>45291</v>
      </c>
      <c r="M8" s="423">
        <f>Dates!M5</f>
        <v>45382</v>
      </c>
      <c r="N8" s="423">
        <f>Dates!N5</f>
        <v>45473</v>
      </c>
      <c r="O8" s="423">
        <f>Dates!O5</f>
        <v>45565</v>
      </c>
      <c r="P8" s="93">
        <f>Dates!P5</f>
        <v>45657</v>
      </c>
      <c r="Q8" s="94">
        <f>Dates!Q5</f>
        <v>45657</v>
      </c>
      <c r="R8" s="93">
        <f>Dates!R5</f>
        <v>45747</v>
      </c>
      <c r="S8" s="423">
        <f>Dates!S5</f>
        <v>45838</v>
      </c>
      <c r="T8" s="423">
        <f>Dates!T5</f>
        <v>45930</v>
      </c>
      <c r="U8" s="93">
        <f>Dates!U5</f>
        <v>46022</v>
      </c>
      <c r="V8" s="94">
        <f>Dates!V5</f>
        <v>46022</v>
      </c>
      <c r="W8" s="93">
        <f>Dates!W5</f>
        <v>46112</v>
      </c>
      <c r="X8" s="93">
        <f>Dates!X5</f>
        <v>46203</v>
      </c>
      <c r="Y8" s="93">
        <f>Dates!Y5</f>
        <v>46295</v>
      </c>
      <c r="Z8" s="93">
        <f>Dates!Z5</f>
        <v>46387</v>
      </c>
      <c r="AA8" s="94">
        <f>Dates!AA5</f>
        <v>46387</v>
      </c>
      <c r="AB8" s="93">
        <f>Dates!AB5</f>
        <v>46477</v>
      </c>
      <c r="AC8" s="93">
        <f>Dates!AC5</f>
        <v>46568</v>
      </c>
      <c r="AD8" s="93">
        <f>Dates!AD5</f>
        <v>46660</v>
      </c>
      <c r="AE8" s="93">
        <f>Dates!AE5</f>
        <v>46752</v>
      </c>
      <c r="AF8" s="94">
        <f>Dates!AF5</f>
        <v>46752</v>
      </c>
      <c r="AG8" s="93">
        <f>Dates!AG5</f>
        <v>46843</v>
      </c>
      <c r="AH8" s="93">
        <f>Dates!AH5</f>
        <v>46934</v>
      </c>
      <c r="AI8" s="93">
        <f>Dates!AI5</f>
        <v>47026</v>
      </c>
      <c r="AJ8" s="93">
        <f>Dates!AJ5</f>
        <v>47118</v>
      </c>
      <c r="AK8" s="94">
        <f>Dates!AK5</f>
        <v>47118</v>
      </c>
    </row>
    <row r="9" spans="1:37" ht="12.75" customHeight="1">
      <c r="C9" s="251"/>
      <c r="D9" s="251"/>
      <c r="E9" s="251"/>
      <c r="F9" s="251"/>
      <c r="G9" s="252"/>
      <c r="H9" s="429"/>
      <c r="I9" s="429"/>
      <c r="J9" s="429"/>
      <c r="K9" s="429"/>
      <c r="L9" s="252"/>
      <c r="M9" s="429"/>
      <c r="N9" s="429"/>
      <c r="O9" s="429"/>
      <c r="P9" s="429"/>
      <c r="Q9" s="252"/>
      <c r="R9" s="251"/>
      <c r="S9" s="429"/>
      <c r="T9" s="429"/>
      <c r="U9" s="251"/>
      <c r="V9" s="252"/>
      <c r="W9" s="251"/>
      <c r="X9" s="251"/>
      <c r="Y9" s="251"/>
      <c r="Z9" s="251"/>
      <c r="AA9" s="252"/>
      <c r="AB9" s="251"/>
      <c r="AC9" s="251"/>
      <c r="AD9" s="251"/>
      <c r="AE9" s="251"/>
      <c r="AF9" s="252"/>
      <c r="AG9" s="251"/>
      <c r="AH9" s="251"/>
      <c r="AI9" s="251"/>
      <c r="AJ9" s="251"/>
      <c r="AK9" s="252"/>
    </row>
    <row r="10" spans="1:37" s="1422" customFormat="1" ht="12.75" customHeight="1">
      <c r="A10" s="1419" t="s">
        <v>28</v>
      </c>
      <c r="B10" s="1493" t="s">
        <v>29</v>
      </c>
      <c r="C10" s="1494"/>
      <c r="D10" s="1494"/>
      <c r="E10" s="1494"/>
      <c r="F10" s="1494"/>
      <c r="G10" s="1495">
        <f>'KPI Summary'!G10</f>
        <v>15.83</v>
      </c>
      <c r="H10" s="1496">
        <f>'KPI Summary'!H10</f>
        <v>7.9236842923050173</v>
      </c>
      <c r="I10" s="1496">
        <f>'KPI Summary'!I10</f>
        <v>29.843600214370358</v>
      </c>
      <c r="J10" s="1496">
        <f>'KPI Summary'!J10</f>
        <v>75.178825237918673</v>
      </c>
      <c r="K10" s="1496">
        <f>'KPI Summary'!K10</f>
        <v>115.99689025540596</v>
      </c>
      <c r="L10" s="1495">
        <f>'KPI Summary'!L10</f>
        <v>228.94300000000001</v>
      </c>
      <c r="M10" s="1496">
        <f>'KPI Summary'!M10</f>
        <v>188.684</v>
      </c>
      <c r="N10" s="1496">
        <f>'KPI Summary'!N10</f>
        <v>395.37099999999998</v>
      </c>
      <c r="O10" s="1496">
        <f>'KPI Summary'!O10</f>
        <v>583.94100000000003</v>
      </c>
      <c r="P10" s="1496">
        <f>'KPI Summary'!P10</f>
        <v>747.43</v>
      </c>
      <c r="Q10" s="1495">
        <f>'KPI Summary'!Q10</f>
        <v>1915.4259999999999</v>
      </c>
      <c r="R10" s="1496">
        <f>'KPI Summary'!R10</f>
        <v>981.63199999999995</v>
      </c>
      <c r="S10" s="1496">
        <f>'KPI Summary'!S10</f>
        <v>1212.788</v>
      </c>
      <c r="T10" s="1496">
        <f>'KPI Summary'!T10</f>
        <v>1364.6759999999999</v>
      </c>
      <c r="U10" s="1494">
        <f>'KPI Summary'!U10</f>
        <v>1542.8798383352844</v>
      </c>
      <c r="V10" s="1495">
        <f>'KPI Summary'!V10</f>
        <v>5101.9758383352846</v>
      </c>
      <c r="W10" s="1494">
        <f>'KPI Summary'!W10</f>
        <v>2227.1271940102652</v>
      </c>
      <c r="X10" s="1494">
        <f>'KPI Summary'!X10</f>
        <v>2964.1923267606126</v>
      </c>
      <c r="Y10" s="1494">
        <f>'KPI Summary'!Y10</f>
        <v>3289.6841382241842</v>
      </c>
      <c r="Z10" s="1494">
        <f>'KPI Summary'!Z10</f>
        <v>3520.6358086433452</v>
      </c>
      <c r="AA10" s="1495">
        <f>'KPI Summary'!AA10</f>
        <v>12001.639467638406</v>
      </c>
      <c r="AB10" s="1494">
        <f>'KPI Summary'!AB10</f>
        <v>3811.6134309688914</v>
      </c>
      <c r="AC10" s="1494">
        <f>'KPI Summary'!AC10</f>
        <v>4153.967972772637</v>
      </c>
      <c r="AD10" s="1494">
        <f>'KPI Summary'!AD10</f>
        <v>4473.832737778841</v>
      </c>
      <c r="AE10" s="1494">
        <f>'KPI Summary'!AE10</f>
        <v>4771.4757275279553</v>
      </c>
      <c r="AF10" s="1495">
        <f>'KPI Summary'!AF10</f>
        <v>17210.889869048326</v>
      </c>
      <c r="AG10" s="1494">
        <f>'KPI Summary'!AG10</f>
        <v>5118.4482278277555</v>
      </c>
      <c r="AH10" s="1494">
        <f>'KPI Summary'!AH10</f>
        <v>5329.7806915375268</v>
      </c>
      <c r="AI10" s="1494">
        <f>'KPI Summary'!AI10</f>
        <v>5519.2671656952671</v>
      </c>
      <c r="AJ10" s="1494">
        <f>'KPI Summary'!AJ10</f>
        <v>5687.5931059802742</v>
      </c>
      <c r="AK10" s="1495">
        <f>'KPI Summary'!AK10</f>
        <v>21655.089191040825</v>
      </c>
    </row>
    <row r="11" spans="1:37" s="298" customFormat="1" ht="12.75" customHeight="1">
      <c r="A11" s="1088" t="s">
        <v>30</v>
      </c>
      <c r="B11" s="433" t="s">
        <v>31</v>
      </c>
      <c r="C11" s="102"/>
      <c r="D11" s="102"/>
      <c r="E11" s="102"/>
      <c r="F11" s="102"/>
      <c r="G11" s="254"/>
      <c r="H11" s="291" t="str">
        <f t="shared" ref="H11:AF11" si="0">IFERROR(H10/C10-1,"")</f>
        <v/>
      </c>
      <c r="I11" s="291" t="str">
        <f t="shared" si="0"/>
        <v/>
      </c>
      <c r="J11" s="291" t="str">
        <f t="shared" si="0"/>
        <v/>
      </c>
      <c r="K11" s="291" t="str">
        <f t="shared" si="0"/>
        <v/>
      </c>
      <c r="L11" s="254">
        <f t="shared" si="0"/>
        <v>13.462602653190146</v>
      </c>
      <c r="M11" s="291">
        <f t="shared" si="0"/>
        <v>22.812660000000001</v>
      </c>
      <c r="N11" s="291">
        <f t="shared" si="0"/>
        <v>12.248100000000001</v>
      </c>
      <c r="O11" s="291">
        <f t="shared" si="0"/>
        <v>6.7673600000000009</v>
      </c>
      <c r="P11" s="291">
        <f t="shared" si="0"/>
        <v>5.4435348081684154</v>
      </c>
      <c r="Q11" s="254">
        <f t="shared" si="0"/>
        <v>7.366388140279458</v>
      </c>
      <c r="R11" s="291">
        <f t="shared" si="0"/>
        <v>4.2025184965338873</v>
      </c>
      <c r="S11" s="291">
        <f t="shared" si="0"/>
        <v>2.0674682766313159</v>
      </c>
      <c r="T11" s="291">
        <f t="shared" si="0"/>
        <v>1.3370100746479521</v>
      </c>
      <c r="U11" s="102">
        <f t="shared" si="0"/>
        <v>1.0642466028059947</v>
      </c>
      <c r="V11" s="254">
        <f t="shared" si="0"/>
        <v>1.663624613185414</v>
      </c>
      <c r="W11" s="102">
        <f t="shared" si="0"/>
        <v>1.2688005219983305</v>
      </c>
      <c r="X11" s="102">
        <f t="shared" si="0"/>
        <v>1.4441141623767817</v>
      </c>
      <c r="Y11" s="102">
        <f t="shared" si="0"/>
        <v>1.4105971953959653</v>
      </c>
      <c r="Z11" s="102">
        <f t="shared" si="0"/>
        <v>1.281860013442131</v>
      </c>
      <c r="AA11" s="254">
        <f t="shared" si="0"/>
        <v>1.3523512944652443</v>
      </c>
      <c r="AB11" s="102">
        <f t="shared" si="0"/>
        <v>0.71144847102581932</v>
      </c>
      <c r="AC11" s="102">
        <f t="shared" si="0"/>
        <v>0.40138274270221141</v>
      </c>
      <c r="AD11" s="102">
        <f t="shared" si="0"/>
        <v>0.3599581448551703</v>
      </c>
      <c r="AE11" s="102">
        <f t="shared" si="0"/>
        <v>0.35528807490219028</v>
      </c>
      <c r="AF11" s="254">
        <f t="shared" si="0"/>
        <v>0.43404489990357598</v>
      </c>
      <c r="AG11" s="102">
        <f>IFERROR(AG10/AB10-1,"")</f>
        <v>0.34285606883452346</v>
      </c>
      <c r="AH11" s="102">
        <f>IFERROR(AH10/AC10-1,"")</f>
        <v>0.28305772371665006</v>
      </c>
      <c r="AI11" s="102">
        <f>IFERROR(AI10/AD10-1,"")</f>
        <v>0.23367758456599375</v>
      </c>
      <c r="AJ11" s="102">
        <f>IFERROR(AJ10/AE10-1,"")</f>
        <v>0.19199875065212768</v>
      </c>
      <c r="AK11" s="254">
        <f>IFERROR(AK10/AF10-1,"")</f>
        <v>0.25822019406357644</v>
      </c>
    </row>
    <row r="12" spans="1:37" ht="12.75" customHeight="1">
      <c r="A12" s="67" t="s">
        <v>32</v>
      </c>
      <c r="B12" s="433" t="s">
        <v>33</v>
      </c>
      <c r="C12" s="253"/>
      <c r="D12" s="102"/>
      <c r="E12" s="102"/>
      <c r="F12" s="102"/>
      <c r="G12" s="255"/>
      <c r="H12" s="616" t="str">
        <f>IFERROR(H10/F10-1,"")</f>
        <v/>
      </c>
      <c r="I12" s="291">
        <f>IFERROR(I10/H10-1,"")</f>
        <v>2.7663792641704039</v>
      </c>
      <c r="J12" s="291">
        <f>IFERROR(J10/I10-1,"")</f>
        <v>1.5190936984110381</v>
      </c>
      <c r="K12" s="291">
        <f>IFERROR(K10/J10-1,"")</f>
        <v>0.54294630021565538</v>
      </c>
      <c r="L12" s="255"/>
      <c r="M12" s="616">
        <f>IFERROR(M10/K10-1,"")</f>
        <v>0.62662981382129335</v>
      </c>
      <c r="N12" s="291">
        <f>IFERROR(N10/M10-1,"")</f>
        <v>1.0954134955799115</v>
      </c>
      <c r="O12" s="291">
        <f>IFERROR(O10/N10-1,"")</f>
        <v>0.47694443952641974</v>
      </c>
      <c r="P12" s="291">
        <f>IFERROR(P10/O10-1,"")</f>
        <v>0.27997520297427303</v>
      </c>
      <c r="Q12" s="255"/>
      <c r="R12" s="616">
        <f>IFERROR(R10/P10-1,"")</f>
        <v>0.31334305553697339</v>
      </c>
      <c r="S12" s="291">
        <f>IFERROR(S10/R10-1,"")</f>
        <v>0.23548132090233409</v>
      </c>
      <c r="T12" s="291">
        <f>IFERROR(T10/S10-1,"")</f>
        <v>0.12523870618772603</v>
      </c>
      <c r="U12" s="102">
        <f>IFERROR(U10/T10-1,"")</f>
        <v>0.13058325810323068</v>
      </c>
      <c r="V12" s="255"/>
      <c r="W12" s="253">
        <f>IFERROR(W10/U10-1,"")</f>
        <v>0.44348713274603457</v>
      </c>
      <c r="X12" s="102">
        <f>IFERROR(X10/W10-1,"")</f>
        <v>0.33094882714047191</v>
      </c>
      <c r="Y12" s="102">
        <f>IFERROR(Y10/X10-1,"")</f>
        <v>0.10980792593147348</v>
      </c>
      <c r="Z12" s="102">
        <f>IFERROR(Z10/Y10-1,"")</f>
        <v>7.0204816242276591E-2</v>
      </c>
      <c r="AA12" s="255"/>
      <c r="AB12" s="253">
        <f>IFERROR(AB10/Z10-1,"")</f>
        <v>8.264916854256299E-2</v>
      </c>
      <c r="AC12" s="102">
        <f>IFERROR(AC10/AB10-1,"")</f>
        <v>8.9818799310065645E-2</v>
      </c>
      <c r="AD12" s="102">
        <f>IFERROR(AD10/AC10-1,"")</f>
        <v>7.700222223733344E-2</v>
      </c>
      <c r="AE12" s="102">
        <f>IFERROR(AE10/AD10-1,"")</f>
        <v>6.652975361275737E-2</v>
      </c>
      <c r="AF12" s="255"/>
      <c r="AG12" s="253">
        <f>IFERROR(AG10/AE10-1,"")</f>
        <v>7.271806881422882E-2</v>
      </c>
      <c r="AH12" s="102">
        <f>IFERROR(AH10/AG10-1,"")</f>
        <v>4.1288385522942006E-2</v>
      </c>
      <c r="AI12" s="102">
        <f>IFERROR(AI10/AH10-1,"")</f>
        <v>3.5552396078623261E-2</v>
      </c>
      <c r="AJ12" s="102">
        <f>IFERROR(AJ10/AI10-1,"")</f>
        <v>3.0497878655200594E-2</v>
      </c>
      <c r="AK12" s="255"/>
    </row>
    <row r="13" spans="1:37" ht="12.75" customHeight="1">
      <c r="C13" s="256"/>
      <c r="D13" s="257"/>
      <c r="E13" s="257"/>
      <c r="F13" s="257"/>
      <c r="G13" s="258"/>
      <c r="H13" s="685"/>
      <c r="I13" s="292"/>
      <c r="J13" s="292"/>
      <c r="K13" s="292"/>
      <c r="L13" s="258"/>
      <c r="M13" s="685"/>
      <c r="N13" s="292"/>
      <c r="O13" s="292"/>
      <c r="P13" s="292"/>
      <c r="Q13" s="258"/>
      <c r="R13" s="685"/>
      <c r="S13" s="292"/>
      <c r="T13" s="292"/>
      <c r="U13" s="257"/>
      <c r="V13" s="258"/>
      <c r="W13" s="256"/>
      <c r="X13" s="257"/>
      <c r="Y13" s="257"/>
      <c r="Z13" s="257"/>
      <c r="AA13" s="258"/>
      <c r="AB13" s="256"/>
      <c r="AC13" s="257"/>
      <c r="AD13" s="257"/>
      <c r="AE13" s="257"/>
      <c r="AF13" s="258"/>
      <c r="AG13" s="256"/>
      <c r="AH13" s="257"/>
      <c r="AI13" s="257"/>
      <c r="AJ13" s="257"/>
      <c r="AK13" s="258"/>
    </row>
    <row r="14" spans="1:37" s="1501" customFormat="1" ht="12.75" customHeight="1">
      <c r="A14" s="1291" t="s">
        <v>153</v>
      </c>
      <c r="B14" s="1497" t="s">
        <v>34</v>
      </c>
      <c r="C14" s="1498"/>
      <c r="D14" s="1498"/>
      <c r="E14" s="1498"/>
      <c r="F14" s="1498"/>
      <c r="G14" s="1421">
        <f>'IS (GAAP)'!G14-'IS (Non-GAAP)'!G102</f>
        <v>11.989000000000001</v>
      </c>
      <c r="H14" s="1420">
        <f>'IS (GAAP)'!H14-'IS (Non-GAAP)'!H102</f>
        <v>4.7868238671910994</v>
      </c>
      <c r="I14" s="1420">
        <f>'IS (GAAP)'!I14-'IS (Non-GAAP)'!I102</f>
        <v>9.7875371176054795</v>
      </c>
      <c r="J14" s="1420">
        <f>'IS (GAAP)'!J14-'IS (Non-GAAP)'!J102</f>
        <v>19.315416950616367</v>
      </c>
      <c r="K14" s="1420">
        <f>'IS (GAAP)'!K14-'IS (Non-GAAP)'!K102</f>
        <v>34.89022206458705</v>
      </c>
      <c r="L14" s="1421">
        <f>'IS (GAAP)'!L14-'IS (Non-GAAP)'!L102</f>
        <v>68.085999999999999</v>
      </c>
      <c r="M14" s="1420">
        <f>'IS (GAAP)'!M14-'IS (Non-GAAP)'!M102</f>
        <v>58.832000000000001</v>
      </c>
      <c r="N14" s="1420">
        <f>'IS (GAAP)'!N14-'IS (Non-GAAP)'!N102</f>
        <v>108.488</v>
      </c>
      <c r="O14" s="1420">
        <f>'IS (GAAP)'!O14-'IS (Non-GAAP)'!O102</f>
        <v>142.863</v>
      </c>
      <c r="P14" s="1420">
        <f>'IS (GAAP)'!P14-'IS (Non-GAAP)'!P102</f>
        <v>181.85974999999999</v>
      </c>
      <c r="Q14" s="1421">
        <f>'IS (GAAP)'!Q14-'IS (Non-GAAP)'!Q102</f>
        <v>492.04275000000001</v>
      </c>
      <c r="R14" s="1420">
        <f>'IS (GAAP)'!R14-'IS (Non-GAAP)'!R102</f>
        <v>259.70100000000002</v>
      </c>
      <c r="S14" s="1420">
        <f>'IS (GAAP)'!S14-'IS (Non-GAAP)'!S102</f>
        <v>309.96599999999995</v>
      </c>
      <c r="T14" s="1420">
        <f>'IS (GAAP)'!T14-'IS (Non-GAAP)'!T102</f>
        <v>365.291</v>
      </c>
      <c r="U14" s="1499">
        <f>U10-U18</f>
        <v>412.9918889357873</v>
      </c>
      <c r="V14" s="1500">
        <f>SUM(R14:U14)</f>
        <v>1347.9498889357872</v>
      </c>
      <c r="W14" s="1499">
        <f>W10-W18</f>
        <v>534.51052656246361</v>
      </c>
      <c r="X14" s="1499">
        <f>X10-X18</f>
        <v>711.40615842254692</v>
      </c>
      <c r="Y14" s="1499">
        <f>Y10-Y18</f>
        <v>789.52419317380418</v>
      </c>
      <c r="Z14" s="1499">
        <f>Z10-Z18</f>
        <v>844.9525940744029</v>
      </c>
      <c r="AA14" s="1500">
        <f>SUM(W14:Z14)</f>
        <v>2880.3934722332178</v>
      </c>
      <c r="AB14" s="1499">
        <f>AB10-AB18</f>
        <v>857.61302196800034</v>
      </c>
      <c r="AC14" s="1499">
        <f>AC10-AC18</f>
        <v>934.6427938738434</v>
      </c>
      <c r="AD14" s="1499">
        <f>AD10-AD18</f>
        <v>1006.612366000239</v>
      </c>
      <c r="AE14" s="1499">
        <f>AE10-AE18</f>
        <v>1073.5820386937899</v>
      </c>
      <c r="AF14" s="1500">
        <f>SUM(AB14:AE14)</f>
        <v>3872.4502205358726</v>
      </c>
      <c r="AG14" s="1499">
        <f>AG10-AG18</f>
        <v>1074.8741278438283</v>
      </c>
      <c r="AH14" s="1499">
        <f>AH10-AH18</f>
        <v>1119.2539452228802</v>
      </c>
      <c r="AI14" s="1499">
        <f>AI10-AI18</f>
        <v>1159.0461047960061</v>
      </c>
      <c r="AJ14" s="1499">
        <f>AJ10-AJ18</f>
        <v>1194.394552255857</v>
      </c>
      <c r="AK14" s="1500">
        <f>SUM(AG14:AJ14)</f>
        <v>4547.5687301185717</v>
      </c>
    </row>
    <row r="15" spans="1:37" s="298" customFormat="1" ht="12.75" customHeight="1">
      <c r="A15" s="1088" t="s">
        <v>154</v>
      </c>
      <c r="B15" s="433" t="s">
        <v>31</v>
      </c>
      <c r="C15" s="102"/>
      <c r="D15" s="102"/>
      <c r="E15" s="102"/>
      <c r="F15" s="102"/>
      <c r="G15" s="254"/>
      <c r="H15" s="291" t="str">
        <f t="shared" ref="H15:AF15" si="1">IFERROR(H14/C14-1,"")</f>
        <v/>
      </c>
      <c r="I15" s="291" t="str">
        <f t="shared" si="1"/>
        <v/>
      </c>
      <c r="J15" s="291" t="str">
        <f t="shared" si="1"/>
        <v/>
      </c>
      <c r="K15" s="291" t="str">
        <f t="shared" si="1"/>
        <v/>
      </c>
      <c r="L15" s="254">
        <f t="shared" si="1"/>
        <v>4.6790391191925931</v>
      </c>
      <c r="M15" s="291">
        <f t="shared" si="1"/>
        <v>11.290404166160082</v>
      </c>
      <c r="N15" s="291">
        <f t="shared" si="1"/>
        <v>10.084300237784598</v>
      </c>
      <c r="O15" s="291">
        <f t="shared" si="1"/>
        <v>6.3963197566615904</v>
      </c>
      <c r="P15" s="291">
        <f t="shared" si="1"/>
        <v>4.2123414308842815</v>
      </c>
      <c r="Q15" s="254">
        <f t="shared" si="1"/>
        <v>6.2267830390976124</v>
      </c>
      <c r="R15" s="291">
        <f t="shared" si="1"/>
        <v>3.4142813434865387</v>
      </c>
      <c r="S15" s="291">
        <f t="shared" si="1"/>
        <v>1.8571454907455198</v>
      </c>
      <c r="T15" s="291">
        <f t="shared" si="1"/>
        <v>1.5569321657812027</v>
      </c>
      <c r="U15" s="102">
        <f t="shared" si="1"/>
        <v>1.2709361963589378</v>
      </c>
      <c r="V15" s="254">
        <f t="shared" si="1"/>
        <v>1.7394975110105517</v>
      </c>
      <c r="W15" s="102">
        <f t="shared" si="1"/>
        <v>1.0581766206616976</v>
      </c>
      <c r="X15" s="102">
        <f t="shared" si="1"/>
        <v>1.2951102973311492</v>
      </c>
      <c r="Y15" s="102">
        <f t="shared" si="1"/>
        <v>1.1613568173697248</v>
      </c>
      <c r="Z15" s="102">
        <f t="shared" si="1"/>
        <v>1.0459302390943024</v>
      </c>
      <c r="AA15" s="254">
        <f t="shared" si="1"/>
        <v>1.1368698464801996</v>
      </c>
      <c r="AB15" s="102">
        <f t="shared" si="1"/>
        <v>0.60448294158670524</v>
      </c>
      <c r="AC15" s="102">
        <f t="shared" si="1"/>
        <v>0.31379632128332346</v>
      </c>
      <c r="AD15" s="102">
        <f t="shared" si="1"/>
        <v>0.27496076080172194</v>
      </c>
      <c r="AE15" s="102">
        <f t="shared" si="1"/>
        <v>0.27058257022080312</v>
      </c>
      <c r="AF15" s="254">
        <f t="shared" si="1"/>
        <v>0.34441709365960205</v>
      </c>
      <c r="AG15" s="102">
        <f>IFERROR(AG14/AB14-1,"")</f>
        <v>0.25333233091222174</v>
      </c>
      <c r="AH15" s="102">
        <f>IFERROR(AH14/AC14-1,"")</f>
        <v>0.19752054213553949</v>
      </c>
      <c r="AI15" s="102">
        <f>IFERROR(AI14/AD14-1,"")</f>
        <v>0.15143241226159443</v>
      </c>
      <c r="AJ15" s="102">
        <f>IFERROR(AJ14/AE14-1,"")</f>
        <v>0.11253216727531856</v>
      </c>
      <c r="AK15" s="254">
        <f>IFERROR(AK14/AF14-1,"")</f>
        <v>0.17433884779267106</v>
      </c>
    </row>
    <row r="16" spans="1:37" ht="12.75" customHeight="1">
      <c r="A16" s="67" t="s">
        <v>155</v>
      </c>
      <c r="B16" s="433" t="s">
        <v>33</v>
      </c>
      <c r="C16" s="253"/>
      <c r="D16" s="102"/>
      <c r="E16" s="102"/>
      <c r="F16" s="102"/>
      <c r="G16" s="255"/>
      <c r="H16" s="616" t="str">
        <f>IFERROR(H14/F14-1,"")</f>
        <v/>
      </c>
      <c r="I16" s="291">
        <f>IFERROR(I14/H14-1,"")</f>
        <v>1.0446829440893532</v>
      </c>
      <c r="J16" s="291">
        <f>IFERROR(J14/I14-1,"")</f>
        <v>0.97347062070114343</v>
      </c>
      <c r="K16" s="291">
        <f>IFERROR(K14/J14-1,"")</f>
        <v>0.80634061142923863</v>
      </c>
      <c r="L16" s="255"/>
      <c r="M16" s="616">
        <f>IFERROR(M14/K14-1,"")</f>
        <v>0.68620308266003915</v>
      </c>
      <c r="N16" s="291">
        <f>IFERROR(N14/M14-1,"")</f>
        <v>0.84403045961381551</v>
      </c>
      <c r="O16" s="291">
        <f>IFERROR(O14/N14-1,"")</f>
        <v>0.31685532040410003</v>
      </c>
      <c r="P16" s="291">
        <f>IFERROR(P14/O14-1,"")</f>
        <v>0.27296605839160581</v>
      </c>
      <c r="Q16" s="255"/>
      <c r="R16" s="616">
        <f>IFERROR(R14/P14-1,"")</f>
        <v>0.42802901686601924</v>
      </c>
      <c r="S16" s="291">
        <f>IFERROR(S14/R14-1,"")</f>
        <v>0.19354950500768164</v>
      </c>
      <c r="T16" s="291">
        <f>IFERROR(T14/S14-1,"")</f>
        <v>0.17848731796390593</v>
      </c>
      <c r="U16" s="102">
        <f>IFERROR(U14/T14-1,"")</f>
        <v>0.1305832581032309</v>
      </c>
      <c r="V16" s="255"/>
      <c r="W16" s="253">
        <f>IFERROR(W14/U14-1,"")</f>
        <v>0.29423976809764962</v>
      </c>
      <c r="X16" s="102">
        <f>IFERROR(X14/W14-1,"")</f>
        <v>0.33094882714047169</v>
      </c>
      <c r="Y16" s="102">
        <f>IFERROR(Y14/X14-1,"")</f>
        <v>0.1098079259314737</v>
      </c>
      <c r="Z16" s="102">
        <f>IFERROR(Z14/Y14-1,"")</f>
        <v>7.0204816242276813E-2</v>
      </c>
      <c r="AA16" s="255"/>
      <c r="AB16" s="253">
        <f>IFERROR(AB14/Z14-1,"")</f>
        <v>1.4983595508652359E-2</v>
      </c>
      <c r="AC16" s="102">
        <f>IFERROR(AC14/AB14-1,"")</f>
        <v>8.9818799310066089E-2</v>
      </c>
      <c r="AD16" s="102">
        <f>IFERROR(AD14/AC14-1,"")</f>
        <v>7.7002222237333218E-2</v>
      </c>
      <c r="AE16" s="102">
        <f>IFERROR(AE14/AD14-1,"")</f>
        <v>6.6529753612757592E-2</v>
      </c>
      <c r="AF16" s="255"/>
      <c r="AG16" s="253">
        <f>IFERROR(AG14/AE14-1,"")</f>
        <v>1.2035308932800692E-3</v>
      </c>
      <c r="AH16" s="102">
        <f>IFERROR(AH14/AG14-1,"")</f>
        <v>4.1288385522942006E-2</v>
      </c>
      <c r="AI16" s="102">
        <f>IFERROR(AI14/AH14-1,"")</f>
        <v>3.5552396078623483E-2</v>
      </c>
      <c r="AJ16" s="102">
        <f>IFERROR(AJ14/AI14-1,"")</f>
        <v>3.0497878655199928E-2</v>
      </c>
      <c r="AK16" s="255"/>
    </row>
    <row r="17" spans="1:37" ht="12.75" customHeight="1">
      <c r="B17" s="433"/>
      <c r="C17" s="293"/>
      <c r="D17" s="290"/>
      <c r="E17" s="290"/>
      <c r="F17" s="290"/>
      <c r="G17" s="255"/>
      <c r="H17" s="655"/>
      <c r="I17" s="608"/>
      <c r="J17" s="608"/>
      <c r="K17" s="608"/>
      <c r="L17" s="255"/>
      <c r="M17" s="655"/>
      <c r="N17" s="608"/>
      <c r="O17" s="608"/>
      <c r="P17" s="608"/>
      <c r="Q17" s="255"/>
      <c r="R17" s="655"/>
      <c r="S17" s="608"/>
      <c r="T17" s="608"/>
      <c r="U17" s="290"/>
      <c r="V17" s="255"/>
      <c r="W17" s="293"/>
      <c r="X17" s="290"/>
      <c r="Y17" s="290"/>
      <c r="Z17" s="290"/>
      <c r="AA17" s="255"/>
      <c r="AB17" s="293"/>
      <c r="AC17" s="290"/>
      <c r="AD17" s="290"/>
      <c r="AE17" s="290"/>
      <c r="AF17" s="255"/>
      <c r="AG17" s="293"/>
      <c r="AH17" s="290"/>
      <c r="AI17" s="290"/>
      <c r="AJ17" s="290"/>
      <c r="AK17" s="255"/>
    </row>
    <row r="18" spans="1:37" s="1505" customFormat="1" ht="12.75" customHeight="1">
      <c r="A18" s="1419" t="s">
        <v>127</v>
      </c>
      <c r="B18" s="1493" t="s">
        <v>35</v>
      </c>
      <c r="C18" s="1502"/>
      <c r="D18" s="1502"/>
      <c r="E18" s="1502"/>
      <c r="F18" s="1502"/>
      <c r="G18" s="1503">
        <f t="shared" ref="G18:S18" si="2">G10-G14</f>
        <v>3.8409999999999993</v>
      </c>
      <c r="H18" s="1504">
        <f t="shared" si="2"/>
        <v>3.1368604251139178</v>
      </c>
      <c r="I18" s="1504">
        <f t="shared" si="2"/>
        <v>20.056063096764881</v>
      </c>
      <c r="J18" s="1504">
        <f t="shared" si="2"/>
        <v>55.863408287302306</v>
      </c>
      <c r="K18" s="1504">
        <f t="shared" si="2"/>
        <v>81.106668190818908</v>
      </c>
      <c r="L18" s="1503">
        <f t="shared" si="2"/>
        <v>160.85700000000003</v>
      </c>
      <c r="M18" s="1504">
        <f t="shared" si="2"/>
        <v>129.852</v>
      </c>
      <c r="N18" s="1504">
        <f t="shared" si="2"/>
        <v>286.88299999999998</v>
      </c>
      <c r="O18" s="1504">
        <f t="shared" si="2"/>
        <v>441.07800000000003</v>
      </c>
      <c r="P18" s="1504">
        <f t="shared" si="2"/>
        <v>565.57024999999999</v>
      </c>
      <c r="Q18" s="1503">
        <f t="shared" si="2"/>
        <v>1423.3832499999999</v>
      </c>
      <c r="R18" s="1504">
        <f t="shared" si="2"/>
        <v>721.93099999999993</v>
      </c>
      <c r="S18" s="1504">
        <f t="shared" si="2"/>
        <v>902.82200000000012</v>
      </c>
      <c r="T18" s="1504">
        <f>T10-T14</f>
        <v>999.38499999999999</v>
      </c>
      <c r="U18" s="1502">
        <f>U$10*U21</f>
        <v>1129.8879493994971</v>
      </c>
      <c r="V18" s="1503">
        <f>V10-V14</f>
        <v>3754.0259493994972</v>
      </c>
      <c r="W18" s="1502">
        <f>W$10*W21</f>
        <v>1692.6166674478015</v>
      </c>
      <c r="X18" s="1502">
        <f>X$10*X21</f>
        <v>2252.7861683380656</v>
      </c>
      <c r="Y18" s="1502">
        <f>Y$10*Y21</f>
        <v>2500.15994505038</v>
      </c>
      <c r="Z18" s="1502">
        <f>Z$10*Z21</f>
        <v>2675.6832145689423</v>
      </c>
      <c r="AA18" s="1503">
        <f>AA10-AA14</f>
        <v>9121.2459954051883</v>
      </c>
      <c r="AB18" s="1502">
        <f>AB$10*AB21</f>
        <v>2954.0004090008911</v>
      </c>
      <c r="AC18" s="1502">
        <f>AC$10*AC21</f>
        <v>3219.3251788987936</v>
      </c>
      <c r="AD18" s="1502">
        <f>AD$10*AD21</f>
        <v>3467.2203717786019</v>
      </c>
      <c r="AE18" s="1502">
        <f>AE$10*AE21</f>
        <v>3697.8936888341655</v>
      </c>
      <c r="AF18" s="1503">
        <f>AF10-AF14</f>
        <v>13338.439648512453</v>
      </c>
      <c r="AG18" s="1502">
        <f>AG$10*AG21</f>
        <v>4043.5740999839272</v>
      </c>
      <c r="AH18" s="1502">
        <f>AH$10*AH21</f>
        <v>4210.5267463146465</v>
      </c>
      <c r="AI18" s="1502">
        <f>AI$10*AI21</f>
        <v>4360.2210608992609</v>
      </c>
      <c r="AJ18" s="1502">
        <f>AJ$10*AJ21</f>
        <v>4493.1985537244173</v>
      </c>
      <c r="AK18" s="1503">
        <f>AK10-AK14</f>
        <v>17107.520460922253</v>
      </c>
    </row>
    <row r="19" spans="1:37" s="298" customFormat="1" ht="12.75" customHeight="1">
      <c r="A19" s="1088" t="s">
        <v>128</v>
      </c>
      <c r="B19" s="433" t="s">
        <v>31</v>
      </c>
      <c r="C19" s="102"/>
      <c r="D19" s="102"/>
      <c r="E19" s="102"/>
      <c r="F19" s="102"/>
      <c r="G19" s="254"/>
      <c r="H19" s="291" t="str">
        <f t="shared" ref="H19:AF19" si="3">IFERROR(H18/C18-1,"")</f>
        <v/>
      </c>
      <c r="I19" s="291" t="str">
        <f t="shared" si="3"/>
        <v/>
      </c>
      <c r="J19" s="291" t="str">
        <f t="shared" si="3"/>
        <v/>
      </c>
      <c r="K19" s="291" t="str">
        <f t="shared" si="3"/>
        <v/>
      </c>
      <c r="L19" s="254">
        <f t="shared" si="3"/>
        <v>40.878937776620688</v>
      </c>
      <c r="M19" s="291">
        <f t="shared" si="3"/>
        <v>40.39553005304159</v>
      </c>
      <c r="N19" s="291">
        <f t="shared" si="3"/>
        <v>13.304053523160052</v>
      </c>
      <c r="O19" s="291">
        <f t="shared" si="3"/>
        <v>6.8956514384435899</v>
      </c>
      <c r="P19" s="291">
        <f t="shared" si="3"/>
        <v>5.9731658643576395</v>
      </c>
      <c r="Q19" s="254">
        <f t="shared" si="3"/>
        <v>7.8487491995996415</v>
      </c>
      <c r="R19" s="291">
        <f t="shared" si="3"/>
        <v>4.5596448264177676</v>
      </c>
      <c r="S19" s="291">
        <f t="shared" si="3"/>
        <v>2.1470041794041479</v>
      </c>
      <c r="T19" s="291">
        <f t="shared" si="3"/>
        <v>1.2657783884029579</v>
      </c>
      <c r="U19" s="102">
        <f t="shared" si="3"/>
        <v>0.99778533152954396</v>
      </c>
      <c r="V19" s="254">
        <f t="shared" si="3"/>
        <v>1.6373964632501457</v>
      </c>
      <c r="W19" s="102">
        <f t="shared" si="3"/>
        <v>1.3445684801564162</v>
      </c>
      <c r="X19" s="102">
        <f t="shared" si="3"/>
        <v>1.4952716796201968</v>
      </c>
      <c r="Y19" s="102">
        <f t="shared" si="3"/>
        <v>1.5016984896214973</v>
      </c>
      <c r="Z19" s="102">
        <f t="shared" si="3"/>
        <v>1.368096071819326</v>
      </c>
      <c r="AA19" s="254">
        <f t="shared" si="3"/>
        <v>1.4297237468122042</v>
      </c>
      <c r="AB19" s="102">
        <f t="shared" si="3"/>
        <v>0.74522705926975008</v>
      </c>
      <c r="AC19" s="102">
        <f t="shared" si="3"/>
        <v>0.42904161262396556</v>
      </c>
      <c r="AD19" s="102">
        <f t="shared" si="3"/>
        <v>0.38679942402994349</v>
      </c>
      <c r="AE19" s="102">
        <f t="shared" si="3"/>
        <v>0.38203718164368095</v>
      </c>
      <c r="AF19" s="254">
        <f t="shared" si="3"/>
        <v>0.46234841766483092</v>
      </c>
      <c r="AG19" s="102">
        <f>IFERROR(AG18/AB18-1,"")</f>
        <v>0.36884683145712716</v>
      </c>
      <c r="AH19" s="102">
        <f>IFERROR(AH18/AC18-1,"")</f>
        <v>0.30789109901439171</v>
      </c>
      <c r="AI19" s="102">
        <f>IFERROR(AI18/AD18-1,"")</f>
        <v>0.2575552152350129</v>
      </c>
      <c r="AJ19" s="102">
        <f>IFERROR(AJ18/AE18-1,"")</f>
        <v>0.21506969421313671</v>
      </c>
      <c r="AK19" s="254">
        <f>IFERROR(AK18/AF18-1,"")</f>
        <v>0.28257284298093599</v>
      </c>
    </row>
    <row r="20" spans="1:37" ht="12.75" customHeight="1">
      <c r="A20" s="67" t="s">
        <v>129</v>
      </c>
      <c r="B20" s="433" t="s">
        <v>33</v>
      </c>
      <c r="C20" s="253"/>
      <c r="D20" s="102"/>
      <c r="E20" s="102"/>
      <c r="F20" s="102"/>
      <c r="G20" s="255"/>
      <c r="H20" s="616" t="str">
        <f>IFERROR(H18/F18-1,"")</f>
        <v/>
      </c>
      <c r="I20" s="291">
        <f>IFERROR(I18/H18-1,"")</f>
        <v>5.3936740494395847</v>
      </c>
      <c r="J20" s="291">
        <f>IFERROR(J18/I18-1,"")</f>
        <v>1.7853626116839094</v>
      </c>
      <c r="K20" s="291">
        <f>IFERROR(K18/J18-1,"")</f>
        <v>0.45187468286381605</v>
      </c>
      <c r="L20" s="255"/>
      <c r="M20" s="616">
        <f>IFERROR(M18/K18-1,"")</f>
        <v>0.60100276458772051</v>
      </c>
      <c r="N20" s="291">
        <f>IFERROR(N18/M18-1,"")</f>
        <v>1.2093075193296983</v>
      </c>
      <c r="O20" s="291">
        <f>IFERROR(O18/N18-1,"")</f>
        <v>0.5374839220169898</v>
      </c>
      <c r="P20" s="291">
        <f>IFERROR(P18/O18-1,"")</f>
        <v>0.28224543051342388</v>
      </c>
      <c r="Q20" s="255"/>
      <c r="R20" s="616">
        <f>IFERROR(R18/P18-1,"")</f>
        <v>0.27646565568114645</v>
      </c>
      <c r="S20" s="291">
        <f>IFERROR(S18/R18-1,"")</f>
        <v>0.25056549725666333</v>
      </c>
      <c r="T20" s="291">
        <f>IFERROR(T18/S18-1,"")</f>
        <v>0.1069568530673819</v>
      </c>
      <c r="U20" s="102">
        <f>IFERROR(U18/T18-1,"")</f>
        <v>0.13058325810323068</v>
      </c>
      <c r="V20" s="255"/>
      <c r="W20" s="253">
        <f>IFERROR(W18/U18-1,"")</f>
        <v>0.49803940147107384</v>
      </c>
      <c r="X20" s="102">
        <f>IFERROR(X18/W18-1,"")</f>
        <v>0.33094882714047191</v>
      </c>
      <c r="Y20" s="102">
        <f>IFERROR(Y18/X18-1,"")</f>
        <v>0.10980792593147348</v>
      </c>
      <c r="Z20" s="102">
        <f>IFERROR(Z18/Y18-1,"")</f>
        <v>7.0204816242276591E-2</v>
      </c>
      <c r="AA20" s="255"/>
      <c r="AB20" s="253">
        <f>IFERROR(AB18/Z18-1,"")</f>
        <v>0.10401724423748204</v>
      </c>
      <c r="AC20" s="102">
        <f>IFERROR(AC18/AB18-1,"")</f>
        <v>8.9818799310065645E-2</v>
      </c>
      <c r="AD20" s="102">
        <f>IFERROR(AD18/AC18-1,"")</f>
        <v>7.700222223733344E-2</v>
      </c>
      <c r="AE20" s="102">
        <f>IFERROR(AE18/AD18-1,"")</f>
        <v>6.652975361275737E-2</v>
      </c>
      <c r="AF20" s="255"/>
      <c r="AG20" s="253">
        <f>IFERROR(AG18/AE18-1,"")</f>
        <v>9.3480354017084988E-2</v>
      </c>
      <c r="AH20" s="102">
        <f>IFERROR(AH18/AG18-1,"")</f>
        <v>4.1288385522942006E-2</v>
      </c>
      <c r="AI20" s="102">
        <f>IFERROR(AI18/AH18-1,"")</f>
        <v>3.5552396078623039E-2</v>
      </c>
      <c r="AJ20" s="102">
        <f>IFERROR(AJ18/AI18-1,"")</f>
        <v>3.0497878655200816E-2</v>
      </c>
      <c r="AK20" s="255"/>
    </row>
    <row r="21" spans="1:37" s="1103" customFormat="1" ht="12.75" customHeight="1">
      <c r="A21" s="78" t="s">
        <v>133</v>
      </c>
      <c r="B21" s="1506" t="s">
        <v>100</v>
      </c>
      <c r="C21" s="257" t="str">
        <f t="shared" ref="C21:Q21" si="4">IFERROR(C18/C$10,"")</f>
        <v/>
      </c>
      <c r="D21" s="257" t="str">
        <f t="shared" si="4"/>
        <v/>
      </c>
      <c r="E21" s="257" t="str">
        <f t="shared" si="4"/>
        <v/>
      </c>
      <c r="F21" s="257" t="str">
        <f t="shared" si="4"/>
        <v/>
      </c>
      <c r="G21" s="258">
        <f t="shared" si="4"/>
        <v>0.2426405559065066</v>
      </c>
      <c r="H21" s="292">
        <f t="shared" si="4"/>
        <v>0.39588407480598881</v>
      </c>
      <c r="I21" s="292">
        <f t="shared" si="4"/>
        <v>0.67203899505085318</v>
      </c>
      <c r="J21" s="292">
        <f t="shared" si="4"/>
        <v>0.74307370606698353</v>
      </c>
      <c r="K21" s="292">
        <f t="shared" si="4"/>
        <v>0.69921416007132131</v>
      </c>
      <c r="L21" s="258">
        <f t="shared" si="4"/>
        <v>0.70260719917184633</v>
      </c>
      <c r="M21" s="292">
        <f t="shared" si="4"/>
        <v>0.68819825740391349</v>
      </c>
      <c r="N21" s="292">
        <f t="shared" si="4"/>
        <v>0.72560455875620622</v>
      </c>
      <c r="O21" s="292">
        <f t="shared" si="4"/>
        <v>0.75534685867236584</v>
      </c>
      <c r="P21" s="292">
        <f t="shared" si="4"/>
        <v>0.75668657934522299</v>
      </c>
      <c r="Q21" s="258">
        <f t="shared" si="4"/>
        <v>0.74311576119359346</v>
      </c>
      <c r="R21" s="292">
        <f>IFERROR(R18/R$10,"")</f>
        <v>0.73543955372278003</v>
      </c>
      <c r="S21" s="292">
        <f>IFERROR(S18/S$10,"")</f>
        <v>0.74441864530321877</v>
      </c>
      <c r="T21" s="292">
        <f>IFERROR(T18/T$10,"")</f>
        <v>0.73232400950848409</v>
      </c>
      <c r="U21" s="107">
        <f>T21</f>
        <v>0.73232400950848409</v>
      </c>
      <c r="V21" s="258">
        <v>0.74655307285716821</v>
      </c>
      <c r="W21" s="107">
        <v>0.76</v>
      </c>
      <c r="X21" s="107">
        <f>W21</f>
        <v>0.76</v>
      </c>
      <c r="Y21" s="107">
        <f>X21</f>
        <v>0.76</v>
      </c>
      <c r="Z21" s="107">
        <f>Y21</f>
        <v>0.76</v>
      </c>
      <c r="AA21" s="258">
        <f>IFERROR(AA18/AA$10,"")</f>
        <v>0.76</v>
      </c>
      <c r="AB21" s="107">
        <v>0.77500000000000002</v>
      </c>
      <c r="AC21" s="107">
        <f>AB21</f>
        <v>0.77500000000000002</v>
      </c>
      <c r="AD21" s="107">
        <f>AC21</f>
        <v>0.77500000000000002</v>
      </c>
      <c r="AE21" s="107">
        <f>AD21</f>
        <v>0.77500000000000002</v>
      </c>
      <c r="AF21" s="258">
        <f>IFERROR(AF18/AF$10,"")</f>
        <v>0.77500000000000002</v>
      </c>
      <c r="AG21" s="107">
        <v>0.79</v>
      </c>
      <c r="AH21" s="107">
        <f>AG21</f>
        <v>0.79</v>
      </c>
      <c r="AI21" s="107">
        <f>AH21</f>
        <v>0.79</v>
      </c>
      <c r="AJ21" s="107">
        <f>AI21</f>
        <v>0.79</v>
      </c>
      <c r="AK21" s="258">
        <f>IFERROR(AK18/AK$10,"")</f>
        <v>0.79</v>
      </c>
    </row>
    <row r="22" spans="1:37" ht="12.75" customHeight="1">
      <c r="B22" s="477"/>
      <c r="C22" s="259"/>
      <c r="D22" s="257"/>
      <c r="E22" s="257"/>
      <c r="F22" s="257"/>
      <c r="G22" s="258"/>
      <c r="H22" s="614"/>
      <c r="I22" s="292"/>
      <c r="J22" s="292"/>
      <c r="K22" s="292"/>
      <c r="L22" s="258"/>
      <c r="M22" s="614"/>
      <c r="N22" s="292"/>
      <c r="O22" s="292"/>
      <c r="P22" s="292"/>
      <c r="Q22" s="258"/>
      <c r="R22" s="614"/>
      <c r="S22" s="292"/>
      <c r="T22" s="292"/>
      <c r="U22" s="257"/>
      <c r="V22" s="258"/>
      <c r="W22" s="259"/>
      <c r="X22" s="257"/>
      <c r="Y22" s="257"/>
      <c r="Z22" s="257"/>
      <c r="AA22" s="466"/>
      <c r="AB22" s="259"/>
      <c r="AC22" s="257"/>
      <c r="AD22" s="257"/>
      <c r="AE22" s="257"/>
      <c r="AF22" s="258"/>
      <c r="AG22" s="259"/>
      <c r="AH22" s="257"/>
      <c r="AI22" s="257"/>
      <c r="AJ22" s="257"/>
      <c r="AK22" s="258"/>
    </row>
    <row r="23" spans="1:37" s="1422" customFormat="1" ht="12.75" customHeight="1">
      <c r="A23" s="1507"/>
      <c r="B23" s="1508" t="s">
        <v>255</v>
      </c>
      <c r="C23" s="1509"/>
      <c r="D23" s="1510"/>
      <c r="E23" s="1510"/>
      <c r="F23" s="1510"/>
      <c r="G23" s="1421">
        <f>'IS (GAAP)'!G23-'IS (Non-GAAP)'!G103</f>
        <v>17.482000000000003</v>
      </c>
      <c r="H23" s="1420">
        <f>'IS (GAAP)'!H23-'IS (Non-GAAP)'!H103</f>
        <v>8.8592249215478684</v>
      </c>
      <c r="I23" s="1420">
        <f>'IS (GAAP)'!I23-'IS (Non-GAAP)'!I103</f>
        <v>17.162370896997249</v>
      </c>
      <c r="J23" s="1511">
        <f>'IS (GAAP)'!J23-'IS (Non-GAAP)'!J103</f>
        <v>39.900803161776935</v>
      </c>
      <c r="K23" s="1420">
        <f>'IS (GAAP)'!K23-'IS (Non-GAAP)'!K103</f>
        <v>65.932601019677946</v>
      </c>
      <c r="L23" s="1421">
        <f>'IS (GAAP)'!L23-'IS (Non-GAAP)'!L103</f>
        <v>124.755</v>
      </c>
      <c r="M23" s="1420">
        <f>'IS (GAAP)'!M23-'IS (Non-GAAP)'!M103</f>
        <v>90.524000000000001</v>
      </c>
      <c r="N23" s="1420">
        <f>'IS (GAAP)'!N23-'IS (Non-GAAP)'!N103</f>
        <v>180.80599999999998</v>
      </c>
      <c r="O23" s="1420">
        <f>'IS (GAAP)'!O23-'IS (Non-GAAP)'!O103</f>
        <v>283.34800000000001</v>
      </c>
      <c r="P23" s="1420">
        <f>'IS (GAAP)'!P23-'IS (Non-GAAP)'!P103</f>
        <v>396.09474999999998</v>
      </c>
      <c r="Q23" s="1421">
        <f>'IS (GAAP)'!Q23-'IS (Non-GAAP)'!Q103</f>
        <v>950.77275000000009</v>
      </c>
      <c r="R23" s="1420">
        <f>'IS (GAAP)'!R23-'IS (Non-GAAP)'!R103</f>
        <v>506.80300000000005</v>
      </c>
      <c r="S23" s="1420">
        <f>'IS (GAAP)'!S23-'IS (Non-GAAP)'!S103</f>
        <v>622.23</v>
      </c>
      <c r="T23" s="1420">
        <f>'IS (GAAP)'!T23-'IS (Non-GAAP)'!T103</f>
        <v>694.85599999999999</v>
      </c>
      <c r="U23" s="1499">
        <f>P23*(1+U24)</f>
        <v>895.17413499999986</v>
      </c>
      <c r="V23" s="1500">
        <f>SUM(R23:U23)</f>
        <v>2719.0631349999999</v>
      </c>
      <c r="W23" s="1499">
        <f>R23*(1+W24)</f>
        <v>1201.1231100000002</v>
      </c>
      <c r="X23" s="1499">
        <f>S23*(1+X24)</f>
        <v>1580.4642000000001</v>
      </c>
      <c r="Y23" s="1499">
        <f>T23*(1+Y24)</f>
        <v>1771.8827999999999</v>
      </c>
      <c r="Z23" s="1499">
        <f>U23*(1+Z24)</f>
        <v>1879.8656834999997</v>
      </c>
      <c r="AA23" s="1500">
        <f>SUM(W23:Z23)</f>
        <v>6433.3357935000004</v>
      </c>
      <c r="AB23" s="1499">
        <f>W23*(1+AB24)</f>
        <v>2065.9317492000005</v>
      </c>
      <c r="AC23" s="1499">
        <f>X23*(1+AC24)</f>
        <v>2244.2591640000001</v>
      </c>
      <c r="AD23" s="1499">
        <f>Y23*(1+AD24)</f>
        <v>2427.4794360000001</v>
      </c>
      <c r="AE23" s="1499">
        <f>Z23*(1+AE24)</f>
        <v>2669.4092705699995</v>
      </c>
      <c r="AF23" s="1500">
        <f>SUM(AB23:AE23)</f>
        <v>9407.0796197700001</v>
      </c>
      <c r="AG23" s="1499">
        <f>AB23*(1+AG24)</f>
        <v>2850.9858138960003</v>
      </c>
      <c r="AH23" s="1499">
        <f>AC23*(1+AH24)</f>
        <v>3029.7498714000003</v>
      </c>
      <c r="AI23" s="1499">
        <f>AD23*(1+AI24)</f>
        <v>3155.7232668000001</v>
      </c>
      <c r="AJ23" s="1499">
        <f>AE23*(1+AJ24)</f>
        <v>3363.4556809181995</v>
      </c>
      <c r="AK23" s="1500">
        <f>SUM(AG23:AJ23)</f>
        <v>12399.914633014199</v>
      </c>
    </row>
    <row r="24" spans="1:37" s="298" customFormat="1" ht="12.75" customHeight="1">
      <c r="A24" s="1089"/>
      <c r="B24" s="433" t="s">
        <v>31</v>
      </c>
      <c r="C24" s="102"/>
      <c r="D24" s="102"/>
      <c r="E24" s="102"/>
      <c r="F24" s="102"/>
      <c r="G24" s="254"/>
      <c r="H24" s="291" t="str">
        <f t="shared" ref="H24:T24" si="5">IFERROR(H23/C23-1,"")</f>
        <v/>
      </c>
      <c r="I24" s="291" t="str">
        <f t="shared" si="5"/>
        <v/>
      </c>
      <c r="J24" s="291" t="str">
        <f t="shared" si="5"/>
        <v/>
      </c>
      <c r="K24" s="291" t="str">
        <f t="shared" si="5"/>
        <v/>
      </c>
      <c r="L24" s="254">
        <f t="shared" si="5"/>
        <v>6.1361972314380493</v>
      </c>
      <c r="M24" s="291">
        <f t="shared" si="5"/>
        <v>9.2180496377084644</v>
      </c>
      <c r="N24" s="291">
        <f t="shared" si="5"/>
        <v>9.5350246236453291</v>
      </c>
      <c r="O24" s="291">
        <f t="shared" si="5"/>
        <v>6.1013106891901838</v>
      </c>
      <c r="P24" s="291">
        <f t="shared" si="5"/>
        <v>5.007570517076724</v>
      </c>
      <c r="Q24" s="254">
        <f t="shared" si="5"/>
        <v>6.6211193940122648</v>
      </c>
      <c r="R24" s="291">
        <f t="shared" si="5"/>
        <v>4.5985484512394512</v>
      </c>
      <c r="S24" s="291">
        <f t="shared" si="5"/>
        <v>2.4414234040905725</v>
      </c>
      <c r="T24" s="291">
        <f t="shared" si="5"/>
        <v>1.452305998277736</v>
      </c>
      <c r="U24" s="107">
        <v>1.26</v>
      </c>
      <c r="V24" s="254">
        <f>IFERROR(V23/Q23-1,"")</f>
        <v>1.8598454625461232</v>
      </c>
      <c r="W24" s="107">
        <v>1.37</v>
      </c>
      <c r="X24" s="107">
        <v>1.54</v>
      </c>
      <c r="Y24" s="107">
        <v>1.55</v>
      </c>
      <c r="Z24" s="107">
        <v>1.1000000000000001</v>
      </c>
      <c r="AA24" s="254">
        <f>IFERROR(AA23/V23-1,"")</f>
        <v>1.3660119217864355</v>
      </c>
      <c r="AB24" s="544">
        <v>0.72</v>
      </c>
      <c r="AC24" s="544">
        <v>0.42</v>
      </c>
      <c r="AD24" s="544">
        <v>0.37</v>
      </c>
      <c r="AE24" s="544">
        <v>0.42</v>
      </c>
      <c r="AF24" s="254">
        <f>IFERROR(AF23/AA23-1,"")</f>
        <v>0.46223979623052758</v>
      </c>
      <c r="AG24" s="544">
        <v>0.38</v>
      </c>
      <c r="AH24" s="544">
        <v>0.35</v>
      </c>
      <c r="AI24" s="544">
        <v>0.3</v>
      </c>
      <c r="AJ24" s="544">
        <v>0.26</v>
      </c>
      <c r="AK24" s="254">
        <f>IFERROR(AK23/AF23-1,"")</f>
        <v>0.31814709072456782</v>
      </c>
    </row>
    <row r="25" spans="1:37" ht="12.75" customHeight="1">
      <c r="A25" s="1094"/>
      <c r="B25" s="433" t="s">
        <v>33</v>
      </c>
      <c r="C25" s="253"/>
      <c r="D25" s="102"/>
      <c r="E25" s="102"/>
      <c r="F25" s="102"/>
      <c r="G25" s="255"/>
      <c r="H25" s="616" t="str">
        <f>IFERROR(H23/F23-1,"")</f>
        <v/>
      </c>
      <c r="I25" s="291">
        <f>IFERROR(I23/H23-1,"")</f>
        <v>0.93723164825108296</v>
      </c>
      <c r="J25" s="291">
        <f>IFERROR(J23/I23-1,"")</f>
        <v>1.3249004115601553</v>
      </c>
      <c r="K25" s="291">
        <f>IFERROR(K23/J23-1,"")</f>
        <v>0.65241287881739263</v>
      </c>
      <c r="L25" s="255"/>
      <c r="M25" s="616">
        <f>IFERROR(M23/K23-1,"")</f>
        <v>0.37297783797400341</v>
      </c>
      <c r="N25" s="291">
        <f>IFERROR(N23/M23-1,"")</f>
        <v>0.99732667579868295</v>
      </c>
      <c r="O25" s="291">
        <f>IFERROR(O23/N23-1,"")</f>
        <v>0.56713825868610579</v>
      </c>
      <c r="P25" s="291">
        <f>IFERROR(P23/O23-1,"")</f>
        <v>0.39790910823439707</v>
      </c>
      <c r="Q25" s="255"/>
      <c r="R25" s="616">
        <f>IFERROR(R23/P23-1,"")</f>
        <v>0.27949941270365253</v>
      </c>
      <c r="S25" s="291">
        <f>IFERROR(S23/R23-1,"")</f>
        <v>0.22775516324883616</v>
      </c>
      <c r="T25" s="291">
        <f>IFERROR(T23/S23-1,"")</f>
        <v>0.11671889815663006</v>
      </c>
      <c r="U25" s="102">
        <f>IFERROR(U23/T23-1,"")</f>
        <v>0.28828726383596015</v>
      </c>
      <c r="V25" s="255"/>
      <c r="W25" s="253">
        <f>IFERROR(W23/U23-1,"")</f>
        <v>0.3417759327909986</v>
      </c>
      <c r="X25" s="102">
        <v>1.5</v>
      </c>
      <c r="Y25" s="102">
        <f>IFERROR(Y23/X23-1,"")</f>
        <v>0.12111542925173491</v>
      </c>
      <c r="Z25" s="102">
        <f>IFERROR(Z23/Y23-1,"")</f>
        <v>6.0942452570790673E-2</v>
      </c>
      <c r="AA25" s="255"/>
      <c r="AB25" s="253">
        <f>IFERROR(AB23/Z23-1,"")</f>
        <v>9.8978383047865659E-2</v>
      </c>
      <c r="AC25" s="102">
        <f>IFERROR(AC23/AB23-1,"")</f>
        <v>8.6318153960823762E-2</v>
      </c>
      <c r="AD25" s="102">
        <f>IFERROR(AD23/AC23-1,"")</f>
        <v>8.163953385554712E-2</v>
      </c>
      <c r="AE25" s="102">
        <f>IFERROR(AE23/AD23-1,"")</f>
        <v>9.9662980036877791E-2</v>
      </c>
      <c r="AF25" s="255"/>
      <c r="AG25" s="253">
        <f>IFERROR(AG23/AE23-1,"")</f>
        <v>6.802124549722155E-2</v>
      </c>
      <c r="AH25" s="102">
        <f>IFERROR(AH23/AG23-1,"")</f>
        <v>6.2702541918197463E-2</v>
      </c>
      <c r="AI25" s="102">
        <f>IFERROR(AI23/AH23-1,"")</f>
        <v>4.1578810379415687E-2</v>
      </c>
      <c r="AJ25" s="102">
        <f>IFERROR(AJ23/AI23-1,"")</f>
        <v>6.5827196035743052E-2</v>
      </c>
      <c r="AK25" s="255"/>
    </row>
    <row r="26" spans="1:37" s="1103" customFormat="1" ht="12.75" customHeight="1">
      <c r="A26" s="1092"/>
      <c r="B26" s="433" t="s">
        <v>99</v>
      </c>
      <c r="C26" s="257" t="str">
        <f t="shared" ref="C26:AK26" si="6">IFERROR(C23/C$10,"")</f>
        <v/>
      </c>
      <c r="D26" s="257" t="str">
        <f t="shared" si="6"/>
        <v/>
      </c>
      <c r="E26" s="257" t="str">
        <f t="shared" si="6"/>
        <v/>
      </c>
      <c r="F26" s="257" t="str">
        <f t="shared" si="6"/>
        <v/>
      </c>
      <c r="G26" s="258">
        <f t="shared" si="6"/>
        <v>1.1043588123815542</v>
      </c>
      <c r="H26" s="292">
        <f t="shared" si="6"/>
        <v>1.1180688925417421</v>
      </c>
      <c r="I26" s="292">
        <f t="shared" si="6"/>
        <v>0.57507709437593879</v>
      </c>
      <c r="J26" s="292">
        <f t="shared" si="6"/>
        <v>0.53074523358808456</v>
      </c>
      <c r="K26" s="292">
        <f t="shared" si="6"/>
        <v>0.56839972929020144</v>
      </c>
      <c r="L26" s="258">
        <f t="shared" si="6"/>
        <v>0.54491729382422693</v>
      </c>
      <c r="M26" s="292">
        <f t="shared" si="6"/>
        <v>0.47976510991923005</v>
      </c>
      <c r="N26" s="292">
        <f t="shared" si="6"/>
        <v>0.45730718742649307</v>
      </c>
      <c r="O26" s="292">
        <f t="shared" si="6"/>
        <v>0.48523395343022668</v>
      </c>
      <c r="P26" s="292">
        <f t="shared" si="6"/>
        <v>0.5299422688412293</v>
      </c>
      <c r="Q26" s="258">
        <f t="shared" si="6"/>
        <v>0.49637665459276431</v>
      </c>
      <c r="R26" s="292">
        <f t="shared" si="6"/>
        <v>0.51628614389098981</v>
      </c>
      <c r="S26" s="292">
        <f t="shared" si="6"/>
        <v>0.51305751705986535</v>
      </c>
      <c r="T26" s="292">
        <f>IFERROR(T23/T$10,"")</f>
        <v>0.50917287326808713</v>
      </c>
      <c r="U26" s="292">
        <f t="shared" si="6"/>
        <v>0.58019692315498972</v>
      </c>
      <c r="V26" s="258">
        <f t="shared" si="6"/>
        <v>0.5329431618569167</v>
      </c>
      <c r="W26" s="292">
        <f t="shared" si="6"/>
        <v>0.53931500330576276</v>
      </c>
      <c r="X26" s="292">
        <f t="shared" si="6"/>
        <v>0.5331854433774863</v>
      </c>
      <c r="Y26" s="292">
        <f t="shared" si="6"/>
        <v>0.53861791149240423</v>
      </c>
      <c r="Z26" s="292">
        <f t="shared" si="6"/>
        <v>0.53395630382581205</v>
      </c>
      <c r="AA26" s="258">
        <f t="shared" si="6"/>
        <v>0.53603808136772035</v>
      </c>
      <c r="AB26" s="292">
        <f t="shared" si="6"/>
        <v>0.54200977791046656</v>
      </c>
      <c r="AC26" s="292">
        <f t="shared" si="6"/>
        <v>0.54026876921297751</v>
      </c>
      <c r="AD26" s="292">
        <f t="shared" si="6"/>
        <v>0.54259503613118754</v>
      </c>
      <c r="AE26" s="292">
        <f t="shared" si="6"/>
        <v>0.55945150368667784</v>
      </c>
      <c r="AF26" s="258">
        <f t="shared" si="6"/>
        <v>0.5465771782484925</v>
      </c>
      <c r="AG26" s="292">
        <f t="shared" si="6"/>
        <v>0.55700198321746919</v>
      </c>
      <c r="AH26" s="292">
        <f t="shared" si="6"/>
        <v>0.56845676149687552</v>
      </c>
      <c r="AI26" s="292">
        <f t="shared" si="6"/>
        <v>0.57176490502475452</v>
      </c>
      <c r="AJ26" s="292">
        <f t="shared" si="6"/>
        <v>0.59136714217155617</v>
      </c>
      <c r="AK26" s="258">
        <f t="shared" si="6"/>
        <v>0.57260972345218097</v>
      </c>
    </row>
    <row r="27" spans="1:37" s="237" customFormat="1" ht="12.75" customHeight="1">
      <c r="B27" s="946" t="s">
        <v>512</v>
      </c>
      <c r="C27" s="102" t="str">
        <f>IFERROR(C25/C$10,"")</f>
        <v/>
      </c>
      <c r="D27" s="102" t="str">
        <f>IFERROR(D25/D$10,"")</f>
        <v/>
      </c>
      <c r="E27" s="102" t="str">
        <f>IFERROR(E25/E$10,"")</f>
        <v/>
      </c>
      <c r="F27" s="102" t="str">
        <f>IFERROR(F25/F$10,"")</f>
        <v/>
      </c>
      <c r="G27" s="255">
        <f t="shared" ref="G27:AK27" si="7">(G18-G23)/G10</f>
        <v>-0.86171825647504763</v>
      </c>
      <c r="H27" s="291">
        <f t="shared" si="7"/>
        <v>-0.72218481773575338</v>
      </c>
      <c r="I27" s="291">
        <f t="shared" si="7"/>
        <v>9.696190067491435E-2</v>
      </c>
      <c r="J27" s="291">
        <f t="shared" si="7"/>
        <v>0.21232847247889899</v>
      </c>
      <c r="K27" s="291">
        <f t="shared" si="7"/>
        <v>0.13081443078111987</v>
      </c>
      <c r="L27" s="255">
        <f t="shared" si="7"/>
        <v>0.1576899053476194</v>
      </c>
      <c r="M27" s="291">
        <f t="shared" si="7"/>
        <v>0.20843314748468342</v>
      </c>
      <c r="N27" s="291">
        <f t="shared" si="7"/>
        <v>0.2682973713297131</v>
      </c>
      <c r="O27" s="291">
        <f t="shared" si="7"/>
        <v>0.27011290524213921</v>
      </c>
      <c r="P27" s="291">
        <f t="shared" si="7"/>
        <v>0.22674431050399371</v>
      </c>
      <c r="Q27" s="255">
        <f t="shared" si="7"/>
        <v>0.24673910660082915</v>
      </c>
      <c r="R27" s="291">
        <f t="shared" si="7"/>
        <v>0.21915340983179021</v>
      </c>
      <c r="S27" s="291">
        <f t="shared" si="7"/>
        <v>0.23136112824335342</v>
      </c>
      <c r="T27" s="291">
        <f>(T18-T23)/T10</f>
        <v>0.22315113624039701</v>
      </c>
      <c r="U27" s="102">
        <f t="shared" si="7"/>
        <v>0.15212708635349434</v>
      </c>
      <c r="V27" s="255">
        <f t="shared" si="7"/>
        <v>0.20285529512370126</v>
      </c>
      <c r="W27" s="102">
        <f t="shared" si="7"/>
        <v>0.22068499669423727</v>
      </c>
      <c r="X27" s="102">
        <f t="shared" si="7"/>
        <v>0.22681455662251368</v>
      </c>
      <c r="Y27" s="102">
        <f t="shared" si="7"/>
        <v>0.22138208850759572</v>
      </c>
      <c r="Z27" s="102">
        <f t="shared" si="7"/>
        <v>0.22604369617418787</v>
      </c>
      <c r="AA27" s="255">
        <f t="shared" si="7"/>
        <v>0.22396191863227957</v>
      </c>
      <c r="AB27" s="102">
        <f t="shared" si="7"/>
        <v>0.23299022208953346</v>
      </c>
      <c r="AC27" s="102">
        <f t="shared" si="7"/>
        <v>0.23473123078702243</v>
      </c>
      <c r="AD27" s="102">
        <f t="shared" si="7"/>
        <v>0.23240496386881246</v>
      </c>
      <c r="AE27" s="102">
        <f t="shared" si="7"/>
        <v>0.21554849631332221</v>
      </c>
      <c r="AF27" s="255">
        <f t="shared" si="7"/>
        <v>0.22842282175150752</v>
      </c>
      <c r="AG27" s="102">
        <f t="shared" si="7"/>
        <v>0.2329980167825309</v>
      </c>
      <c r="AH27" s="102">
        <f t="shared" si="7"/>
        <v>0.22154323850312452</v>
      </c>
      <c r="AI27" s="102">
        <f t="shared" si="7"/>
        <v>0.21823509497524551</v>
      </c>
      <c r="AJ27" s="102">
        <f t="shared" si="7"/>
        <v>0.19863285782844395</v>
      </c>
      <c r="AK27" s="255">
        <f t="shared" si="7"/>
        <v>0.21739027654781912</v>
      </c>
    </row>
    <row r="28" spans="1:37" s="237" customFormat="1" ht="12.75" customHeight="1">
      <c r="B28" s="946"/>
      <c r="C28" s="102"/>
      <c r="D28" s="102"/>
      <c r="E28" s="102"/>
      <c r="F28" s="102"/>
      <c r="G28" s="255"/>
      <c r="H28" s="291"/>
      <c r="I28" s="291"/>
      <c r="J28" s="291"/>
      <c r="K28" s="291"/>
      <c r="L28" s="255"/>
      <c r="M28" s="291"/>
      <c r="N28" s="291"/>
      <c r="O28" s="291"/>
      <c r="P28" s="291"/>
      <c r="Q28" s="255"/>
      <c r="R28" s="291"/>
      <c r="S28" s="291"/>
      <c r="T28" s="291"/>
      <c r="U28" s="102"/>
      <c r="V28" s="255"/>
      <c r="W28" s="102"/>
      <c r="X28" s="102"/>
      <c r="Y28" s="102"/>
      <c r="Z28" s="102"/>
      <c r="AA28" s="255"/>
      <c r="AB28" s="102"/>
      <c r="AC28" s="102"/>
      <c r="AD28" s="102"/>
      <c r="AE28" s="102"/>
      <c r="AF28" s="255"/>
      <c r="AG28" s="102"/>
      <c r="AH28" s="102"/>
      <c r="AI28" s="102"/>
      <c r="AJ28" s="102"/>
      <c r="AK28" s="255"/>
    </row>
    <row r="29" spans="1:37" s="237" customFormat="1" ht="12.75" customHeight="1">
      <c r="B29" s="946" t="s">
        <v>698</v>
      </c>
      <c r="C29" s="102"/>
      <c r="D29" s="102"/>
      <c r="E29" s="102"/>
      <c r="F29" s="102"/>
      <c r="G29" s="1117">
        <f>'IS (GAAP)'!G31</f>
        <v>7.1060000000000016</v>
      </c>
      <c r="H29" s="1393"/>
      <c r="I29" s="1393"/>
      <c r="J29" s="1393"/>
      <c r="K29" s="1393"/>
      <c r="L29" s="1117">
        <f>'IS (GAAP)'!L31</f>
        <v>30.85499999999999</v>
      </c>
      <c r="M29" s="1393">
        <f>'IS (GAAP)'!M31</f>
        <v>15.881</v>
      </c>
      <c r="N29" s="1393">
        <f>'IS (GAAP)'!N31</f>
        <v>24.885999999999996</v>
      </c>
      <c r="O29" s="1393">
        <f>'IS (GAAP)'!O31</f>
        <v>29.509000000000015</v>
      </c>
      <c r="P29" s="1393">
        <f>'IS (GAAP)'!P31</f>
        <v>47.408999999999992</v>
      </c>
      <c r="Q29" s="1117">
        <f>'IS (GAAP)'!Q31</f>
        <v>117.68500000000006</v>
      </c>
      <c r="R29" s="1393">
        <f>'IS (GAAP)'!R31</f>
        <v>132.40200000000004</v>
      </c>
      <c r="S29" s="1393">
        <f>'IS (GAAP)'!S31</f>
        <v>132.91300000000001</v>
      </c>
      <c r="T29" s="1393">
        <f>'IS (GAAP)'!T31</f>
        <v>398.47900000000004</v>
      </c>
      <c r="U29" s="1010">
        <f>'IS (GAAP)'!U31</f>
        <v>490.88759725014194</v>
      </c>
      <c r="V29" s="1117">
        <f>'IS (GAAP)'!V31</f>
        <v>1154.681597250142</v>
      </c>
      <c r="W29" s="1010">
        <f>'IS (GAAP)'!W31</f>
        <v>606.40087954821877</v>
      </c>
      <c r="X29" s="1010">
        <f>'IS (GAAP)'!X31</f>
        <v>859.82408399615281</v>
      </c>
      <c r="Y29" s="1010">
        <f>'IS (GAAP)'!Y31</f>
        <v>982.37312094481604</v>
      </c>
      <c r="Z29" s="1010">
        <f>'IS (GAAP)'!Z31</f>
        <v>1020.1005684949893</v>
      </c>
      <c r="AA29" s="1117">
        <f>'IS (GAAP)'!AA31</f>
        <v>3468.698652984177</v>
      </c>
      <c r="AB29" s="1010">
        <f>'IS (GAAP)'!AB31</f>
        <v>1084.9776276421828</v>
      </c>
      <c r="AC29" s="1010">
        <f>'IS (GAAP)'!AC31</f>
        <v>1159.3031372249411</v>
      </c>
      <c r="AD29" s="1010">
        <f>'IS (GAAP)'!AD31</f>
        <v>1209.4409065749849</v>
      </c>
      <c r="AE29" s="1010">
        <f>'IS (GAAP)'!AE31</f>
        <v>1348.0082424189386</v>
      </c>
      <c r="AF29" s="1117">
        <f>'IS (GAAP)'!AF31</f>
        <v>4801.7299138610479</v>
      </c>
      <c r="AG29" s="1010">
        <f>'IS (GAAP)'!AG31</f>
        <v>1419.4850721996654</v>
      </c>
      <c r="AH29" s="1010">
        <f>'IS (GAAP)'!AH31</f>
        <v>1492.2193991610764</v>
      </c>
      <c r="AI29" s="1010">
        <f>'IS (GAAP)'!AI31</f>
        <v>1506.0511972939262</v>
      </c>
      <c r="AJ29" s="1010">
        <f>'IS (GAAP)'!AJ31</f>
        <v>1607.0049289095984</v>
      </c>
      <c r="AK29" s="1117">
        <f>'IS (GAAP)'!AK31</f>
        <v>6024.7605975642664</v>
      </c>
    </row>
    <row r="30" spans="1:37" s="237" customFormat="1" ht="12.75" customHeight="1">
      <c r="B30" s="1409" t="s">
        <v>116</v>
      </c>
      <c r="C30" s="102"/>
      <c r="D30" s="102"/>
      <c r="E30" s="102"/>
      <c r="F30" s="102"/>
      <c r="G30" s="1410">
        <f>'IS (GAAP)'!G32</f>
        <v>0.44889450410612769</v>
      </c>
      <c r="H30" s="1411"/>
      <c r="I30" s="1411"/>
      <c r="J30" s="1411"/>
      <c r="K30" s="1411"/>
      <c r="L30" s="1410">
        <f>'IS (GAAP)'!L32</f>
        <v>0.13477153702013159</v>
      </c>
      <c r="M30" s="1411">
        <f>'IS (GAAP)'!M32</f>
        <v>8.416717898708953E-2</v>
      </c>
      <c r="N30" s="1411">
        <f>'IS (GAAP)'!N32</f>
        <v>6.2943412642808894E-2</v>
      </c>
      <c r="O30" s="1411">
        <f>'IS (GAAP)'!O32</f>
        <v>5.0534214929248013E-2</v>
      </c>
      <c r="P30" s="1411">
        <f>'IS (GAAP)'!P32</f>
        <v>6.3429351243594709E-2</v>
      </c>
      <c r="Q30" s="1410">
        <f>'IS (GAAP)'!Q32</f>
        <v>6.144064035885493E-2</v>
      </c>
      <c r="R30" s="1411">
        <f>'IS (GAAP)'!R32</f>
        <v>0.13487946603207723</v>
      </c>
      <c r="S30" s="1411">
        <f>'IS (GAAP)'!S32</f>
        <v>0.10959293792484755</v>
      </c>
      <c r="T30" s="1411">
        <f>'IS (GAAP)'!T32</f>
        <v>0.29199531610433543</v>
      </c>
      <c r="U30" s="1412">
        <f>'IS (GAAP)'!U32</f>
        <v>0.31816320691557753</v>
      </c>
      <c r="V30" s="1410">
        <f>'IS (GAAP)'!V32</f>
        <v>0.22632047540760231</v>
      </c>
      <c r="W30" s="1412">
        <f>'IS (GAAP)'!W32</f>
        <v>0.27227941052450899</v>
      </c>
      <c r="X30" s="1412">
        <f>'IS (GAAP)'!X32</f>
        <v>0.29007027520909984</v>
      </c>
      <c r="Y30" s="1412">
        <f>'IS (GAAP)'!Y32</f>
        <v>0.2986223235021932</v>
      </c>
      <c r="Z30" s="1412">
        <f>'IS (GAAP)'!Z32</f>
        <v>0.28974896125029148</v>
      </c>
      <c r="AA30" s="1410">
        <f>'IS (GAAP)'!AA32</f>
        <v>0.2890187346768151</v>
      </c>
      <c r="AB30" s="1412">
        <f>'IS (GAAP)'!AB32</f>
        <v>0.28465048916736224</v>
      </c>
      <c r="AC30" s="1412">
        <f>'IS (GAAP)'!AC32</f>
        <v>0.27908331138411363</v>
      </c>
      <c r="AD30" s="1412">
        <f>'IS (GAAP)'!AD32</f>
        <v>0.270336639177853</v>
      </c>
      <c r="AE30" s="1412">
        <f>'IS (GAAP)'!AE32</f>
        <v>0.28251390542383115</v>
      </c>
      <c r="AF30" s="1410">
        <f>'IS (GAAP)'!AF32</f>
        <v>0.27899370400924883</v>
      </c>
      <c r="AG30" s="1412">
        <f>'IS (GAAP)'!AG32</f>
        <v>0.2773272306403865</v>
      </c>
      <c r="AH30" s="1412">
        <f>'IS (GAAP)'!AH32</f>
        <v>0.27997763613995968</v>
      </c>
      <c r="AI30" s="1412">
        <f>'IS (GAAP)'!AI32</f>
        <v>0.27287158821640545</v>
      </c>
      <c r="AJ30" s="1412">
        <f>'IS (GAAP)'!AJ32</f>
        <v>0.28254569181819594</v>
      </c>
      <c r="AK30" s="1410">
        <f>'IS (GAAP)'!AK32</f>
        <v>0.2782145362881645</v>
      </c>
    </row>
    <row r="31" spans="1:37" ht="12.75" customHeight="1">
      <c r="A31" s="1092"/>
      <c r="B31" s="391"/>
      <c r="C31" s="101"/>
      <c r="D31" s="102"/>
      <c r="E31" s="102"/>
      <c r="F31" s="102"/>
      <c r="G31" s="255"/>
      <c r="H31" s="686"/>
      <c r="I31" s="291"/>
      <c r="J31" s="291"/>
      <c r="K31" s="291"/>
      <c r="L31" s="255"/>
      <c r="M31" s="686"/>
      <c r="N31" s="291"/>
      <c r="O31" s="291"/>
      <c r="P31" s="291"/>
      <c r="Q31" s="255"/>
      <c r="R31" s="686"/>
      <c r="S31" s="291"/>
      <c r="T31" s="291"/>
      <c r="U31" s="102"/>
      <c r="V31" s="255"/>
      <c r="W31" s="101"/>
      <c r="X31" s="102"/>
      <c r="Y31" s="102"/>
      <c r="Z31" s="102"/>
      <c r="AA31" s="255"/>
      <c r="AB31" s="101"/>
      <c r="AC31" s="102"/>
      <c r="AD31" s="102"/>
      <c r="AE31" s="102"/>
      <c r="AF31" s="255"/>
      <c r="AG31" s="101"/>
      <c r="AH31" s="102"/>
      <c r="AI31" s="102"/>
      <c r="AJ31" s="102"/>
      <c r="AK31" s="255"/>
    </row>
    <row r="32" spans="1:37" s="1422" customFormat="1" ht="12.75" customHeight="1">
      <c r="A32" s="1419"/>
      <c r="B32" s="1508" t="s">
        <v>77</v>
      </c>
      <c r="C32" s="1498"/>
      <c r="D32" s="1498"/>
      <c r="E32" s="1498"/>
      <c r="F32" s="1498"/>
      <c r="G32" s="1421">
        <f>'IS (GAAP)'!G34-'IS (Non-GAAP)'!G104</f>
        <v>2.407</v>
      </c>
      <c r="H32" s="1420">
        <f>'IS (GAAP)'!H34-'IS (Non-GAAP)'!H104</f>
        <v>1.942585797539391</v>
      </c>
      <c r="I32" s="1420">
        <f>'IS (GAAP)'!I34-'IS (Non-GAAP)'!I104</f>
        <v>2.4115328146495414</v>
      </c>
      <c r="J32" s="1420">
        <f>'IS (GAAP)'!J34-'IS (Non-GAAP)'!J104</f>
        <v>3.9969456805076491</v>
      </c>
      <c r="K32" s="1420">
        <f>'IS (GAAP)'!K34-'IS (Non-GAAP)'!K104</f>
        <v>4.5659357073034181</v>
      </c>
      <c r="L32" s="1421">
        <f>'IS (GAAP)'!L34-'IS (Non-GAAP)'!L104</f>
        <v>11.177</v>
      </c>
      <c r="M32" s="1420">
        <f>'IS (GAAP)'!M34-'IS (Non-GAAP)'!M104</f>
        <v>3.1829999999999998</v>
      </c>
      <c r="N32" s="1420">
        <f>'IS (GAAP)'!N34-'IS (Non-GAAP)'!N104</f>
        <v>3.3239999999999998</v>
      </c>
      <c r="O32" s="1420">
        <f>'IS (GAAP)'!O34-'IS (Non-GAAP)'!O104</f>
        <v>3.7070000000000003</v>
      </c>
      <c r="P32" s="1420">
        <f>'IS (GAAP)'!P34-'IS (Non-GAAP)'!P104</f>
        <v>4.76675</v>
      </c>
      <c r="Q32" s="1421">
        <f>'IS (GAAP)'!Q34-'IS (Non-GAAP)'!Q104</f>
        <v>14.98075</v>
      </c>
      <c r="R32" s="1420">
        <f>'IS (GAAP)'!R34-'IS (Non-GAAP)'!R104</f>
        <v>7.7289999999999992</v>
      </c>
      <c r="S32" s="1420">
        <f>'IS (GAAP)'!S34-'IS (Non-GAAP)'!S104</f>
        <v>28.305</v>
      </c>
      <c r="T32" s="1420">
        <f>'IS (GAAP)'!T34-'IS (Non-GAAP)'!T104</f>
        <v>34.835000000000001</v>
      </c>
      <c r="U32" s="1499">
        <f>U$10*U35</f>
        <v>39.383867796026038</v>
      </c>
      <c r="V32" s="1500">
        <f>SUM(R32:U32)</f>
        <v>110.25286779602604</v>
      </c>
      <c r="W32" s="1499">
        <f>W$10*W35</f>
        <v>35.634035104164241</v>
      </c>
      <c r="X32" s="1499">
        <f>X$10*X35</f>
        <v>47.4270772281698</v>
      </c>
      <c r="Y32" s="1499">
        <f>Y$10*Y35</f>
        <v>52.63494621158695</v>
      </c>
      <c r="Z32" s="1499">
        <f>Z$10*Z35</f>
        <v>52.809537129650174</v>
      </c>
      <c r="AA32" s="1500">
        <f>SUM(W32:Z32)</f>
        <v>188.50559567357115</v>
      </c>
      <c r="AB32" s="1499">
        <f>AB$10*AB35</f>
        <v>57.174201464533368</v>
      </c>
      <c r="AC32" s="1499">
        <f>AC$10*AC35</f>
        <v>62.309519591589556</v>
      </c>
      <c r="AD32" s="1499">
        <f>AD$10*AD35</f>
        <v>67.107491066682613</v>
      </c>
      <c r="AE32" s="1499">
        <f>AE$10*AE35</f>
        <v>71.572135912919322</v>
      </c>
      <c r="AF32" s="1500">
        <f>SUM(AB32:AE32)</f>
        <v>258.16334803572488</v>
      </c>
      <c r="AG32" s="1499">
        <f>AG$10*AG35</f>
        <v>76.776723417416335</v>
      </c>
      <c r="AH32" s="1499">
        <f>AH$10*AH35</f>
        <v>79.946710373062899</v>
      </c>
      <c r="AI32" s="1499">
        <f>AI$10*AI35</f>
        <v>82.789007485428996</v>
      </c>
      <c r="AJ32" s="1499">
        <f>AJ$10*AJ35</f>
        <v>85.313896589704115</v>
      </c>
      <c r="AK32" s="1500">
        <f>SUM(AG32:AJ32)</f>
        <v>324.82633786561235</v>
      </c>
    </row>
    <row r="33" spans="1:46" s="298" customFormat="1" ht="12.75" customHeight="1">
      <c r="A33" s="1093"/>
      <c r="B33" s="433" t="s">
        <v>31</v>
      </c>
      <c r="C33" s="102"/>
      <c r="D33" s="102"/>
      <c r="E33" s="102"/>
      <c r="F33" s="102"/>
      <c r="G33" s="254"/>
      <c r="H33" s="291" t="str">
        <f t="shared" ref="H33:AF33" si="8">IFERROR(H32/C32-1,"")</f>
        <v/>
      </c>
      <c r="I33" s="291" t="str">
        <f t="shared" si="8"/>
        <v/>
      </c>
      <c r="J33" s="291" t="str">
        <f t="shared" si="8"/>
        <v/>
      </c>
      <c r="K33" s="291" t="str">
        <f t="shared" si="8"/>
        <v/>
      </c>
      <c r="L33" s="254">
        <f t="shared" si="8"/>
        <v>3.6435396759451599</v>
      </c>
      <c r="M33" s="291">
        <f t="shared" si="8"/>
        <v>0.63853766666666689</v>
      </c>
      <c r="N33" s="291">
        <f t="shared" si="8"/>
        <v>0.37837643336529259</v>
      </c>
      <c r="O33" s="291">
        <f t="shared" si="8"/>
        <v>-7.254181159420281E-2</v>
      </c>
      <c r="P33" s="291">
        <f t="shared" si="8"/>
        <v>4.3980972481800551E-2</v>
      </c>
      <c r="Q33" s="254">
        <f t="shared" si="8"/>
        <v>0.34031940592287735</v>
      </c>
      <c r="R33" s="291">
        <f t="shared" si="8"/>
        <v>1.4282123782595035</v>
      </c>
      <c r="S33" s="291">
        <f t="shared" si="8"/>
        <v>7.5153429602888089</v>
      </c>
      <c r="T33" s="291">
        <f t="shared" si="8"/>
        <v>8.3970865929322898</v>
      </c>
      <c r="U33" s="102">
        <f t="shared" si="8"/>
        <v>7.2622054431270868</v>
      </c>
      <c r="V33" s="254">
        <f t="shared" si="8"/>
        <v>6.3596360526693276</v>
      </c>
      <c r="W33" s="102">
        <f t="shared" si="8"/>
        <v>3.6104327990896943</v>
      </c>
      <c r="X33" s="102">
        <f t="shared" si="8"/>
        <v>0.67557241576293237</v>
      </c>
      <c r="Y33" s="102">
        <f t="shared" si="8"/>
        <v>0.51097879177800909</v>
      </c>
      <c r="Z33" s="102">
        <f t="shared" si="8"/>
        <v>0.34089260615938866</v>
      </c>
      <c r="AA33" s="254">
        <f t="shared" si="8"/>
        <v>0.709756847525427</v>
      </c>
      <c r="AB33" s="102">
        <f t="shared" si="8"/>
        <v>0.60448294158670546</v>
      </c>
      <c r="AC33" s="102">
        <f t="shared" si="8"/>
        <v>0.31379632128332324</v>
      </c>
      <c r="AD33" s="102">
        <f t="shared" si="8"/>
        <v>0.27496076080172194</v>
      </c>
      <c r="AE33" s="102">
        <f t="shared" si="8"/>
        <v>0.35528807490219028</v>
      </c>
      <c r="AF33" s="254">
        <f t="shared" si="8"/>
        <v>0.36952617832511314</v>
      </c>
      <c r="AG33" s="102">
        <f>IFERROR(AG32/AB32-1,"")</f>
        <v>0.34285606883452346</v>
      </c>
      <c r="AH33" s="102">
        <f>IFERROR(AH32/AC32-1,"")</f>
        <v>0.28305772371664983</v>
      </c>
      <c r="AI33" s="102">
        <f>IFERROR(AI32/AD32-1,"")</f>
        <v>0.23367758456599352</v>
      </c>
      <c r="AJ33" s="102">
        <f>IFERROR(AJ32/AE32-1,"")</f>
        <v>0.19199875065212768</v>
      </c>
      <c r="AK33" s="254">
        <f>IFERROR(AK32/AF32-1,"")</f>
        <v>0.25822019406357621</v>
      </c>
    </row>
    <row r="34" spans="1:46" ht="12.75" customHeight="1">
      <c r="A34" s="1094"/>
      <c r="B34" s="433" t="s">
        <v>33</v>
      </c>
      <c r="C34" s="253"/>
      <c r="D34" s="102"/>
      <c r="E34" s="102"/>
      <c r="F34" s="102"/>
      <c r="G34" s="255"/>
      <c r="H34" s="616" t="str">
        <f>IFERROR(H32/F32-1,"")</f>
        <v/>
      </c>
      <c r="I34" s="291">
        <f>IFERROR(I32/H32-1,"")</f>
        <v>0.24140350336348071</v>
      </c>
      <c r="J34" s="291">
        <f>IFERROR(J32/I32-1,"")</f>
        <v>0.65742952209775729</v>
      </c>
      <c r="K34" s="291">
        <f>IFERROR(K32/J32-1,"")</f>
        <v>0.14235620703344209</v>
      </c>
      <c r="L34" s="255"/>
      <c r="M34" s="616">
        <f>IFERROR(M32/K32-1,"")</f>
        <v>-0.30288111702741471</v>
      </c>
      <c r="N34" s="291">
        <f>IFERROR(N32/M32-1,"")</f>
        <v>4.429783223374173E-2</v>
      </c>
      <c r="O34" s="291">
        <f>IFERROR(O32/N32-1,"")</f>
        <v>0.11522262334536726</v>
      </c>
      <c r="P34" s="291">
        <f>IFERROR(P32/O32-1,"")</f>
        <v>0.28587806851901809</v>
      </c>
      <c r="Q34" s="255"/>
      <c r="R34" s="616">
        <f>IFERROR(R32/P32-1,"")</f>
        <v>0.62144018461215689</v>
      </c>
      <c r="S34" s="291">
        <f>IFERROR(S32/R32-1,"")</f>
        <v>2.6621813947470567</v>
      </c>
      <c r="T34" s="291">
        <f>IFERROR(T32/S32-1,"")</f>
        <v>0.23070128952481905</v>
      </c>
      <c r="U34" s="102">
        <f>IFERROR(U32/T32-1,"")</f>
        <v>0.13058325810323068</v>
      </c>
      <c r="V34" s="255"/>
      <c r="W34" s="253">
        <f>IFERROR(W32/U32-1,"")</f>
        <v>-9.5212402989027112E-2</v>
      </c>
      <c r="X34" s="102">
        <f>IFERROR(X32/W32-1,"")</f>
        <v>0.33094882714047191</v>
      </c>
      <c r="Y34" s="102">
        <f>IFERROR(Y32/X32-1,"")</f>
        <v>0.1098079259314737</v>
      </c>
      <c r="Z34" s="102">
        <f>IFERROR(Z32/Y32-1,"")</f>
        <v>3.3170152271342346E-3</v>
      </c>
      <c r="AA34" s="255"/>
      <c r="AB34" s="253">
        <f>IFERROR(AB32/Z32-1,"")</f>
        <v>8.264916854256299E-2</v>
      </c>
      <c r="AC34" s="102">
        <f>IFERROR(AC32/AB32-1,"")</f>
        <v>8.9818799310065645E-2</v>
      </c>
      <c r="AD34" s="102">
        <f>IFERROR(AD32/AC32-1,"")</f>
        <v>7.700222223733344E-2</v>
      </c>
      <c r="AE34" s="102">
        <f>IFERROR(AE32/AD32-1,"")</f>
        <v>6.652975361275737E-2</v>
      </c>
      <c r="AF34" s="255"/>
      <c r="AG34" s="253">
        <f>IFERROR(AG32/AE32-1,"")</f>
        <v>7.2718068814229042E-2</v>
      </c>
      <c r="AH34" s="102">
        <f>IFERROR(AH32/AG32-1,"")</f>
        <v>4.1288385522941784E-2</v>
      </c>
      <c r="AI34" s="102">
        <f>IFERROR(AI32/AH32-1,"")</f>
        <v>3.5552396078623039E-2</v>
      </c>
      <c r="AJ34" s="102">
        <f>IFERROR(AJ32/AI32-1,"")</f>
        <v>3.0497878655200816E-2</v>
      </c>
      <c r="AK34" s="255"/>
    </row>
    <row r="35" spans="1:46" s="964" customFormat="1" ht="12.75" customHeight="1">
      <c r="A35" s="1095"/>
      <c r="B35" s="433" t="s">
        <v>99</v>
      </c>
      <c r="C35" s="960" t="str">
        <f t="shared" ref="C35:S35" si="9">IFERROR(C32/C$10,"")</f>
        <v/>
      </c>
      <c r="D35" s="960" t="str">
        <f t="shared" si="9"/>
        <v/>
      </c>
      <c r="E35" s="960" t="str">
        <f t="shared" si="9"/>
        <v/>
      </c>
      <c r="F35" s="960" t="str">
        <f t="shared" si="9"/>
        <v/>
      </c>
      <c r="G35" s="961">
        <f t="shared" si="9"/>
        <v>0.15205306380290587</v>
      </c>
      <c r="H35" s="962">
        <f t="shared" si="9"/>
        <v>0.2451619380426234</v>
      </c>
      <c r="I35" s="962">
        <f t="shared" si="9"/>
        <v>8.0805693593507352E-2</v>
      </c>
      <c r="J35" s="962">
        <f t="shared" si="9"/>
        <v>5.316584381118622E-2</v>
      </c>
      <c r="K35" s="962">
        <f t="shared" si="9"/>
        <v>3.9362569955539183E-2</v>
      </c>
      <c r="L35" s="961">
        <f t="shared" si="9"/>
        <v>4.8820011968044447E-2</v>
      </c>
      <c r="M35" s="962">
        <f t="shared" si="9"/>
        <v>1.686947488923279E-2</v>
      </c>
      <c r="N35" s="962">
        <f t="shared" si="9"/>
        <v>8.4072934029051187E-3</v>
      </c>
      <c r="O35" s="962">
        <f t="shared" si="9"/>
        <v>6.34824408630324E-3</v>
      </c>
      <c r="P35" s="962">
        <f t="shared" si="9"/>
        <v>6.37752030290462E-3</v>
      </c>
      <c r="Q35" s="961">
        <f t="shared" si="9"/>
        <v>7.8211061142534361E-3</v>
      </c>
      <c r="R35" s="962">
        <f t="shared" si="9"/>
        <v>7.8736227017864122E-3</v>
      </c>
      <c r="S35" s="962">
        <f t="shared" si="9"/>
        <v>2.3338786333637864E-2</v>
      </c>
      <c r="T35" s="962">
        <f>IFERROR(T32/T$10,"")</f>
        <v>2.552620548760292E-2</v>
      </c>
      <c r="U35" s="963">
        <f>T35</f>
        <v>2.552620548760292E-2</v>
      </c>
      <c r="V35" s="961">
        <f>IFERROR(V32/V$10,"")</f>
        <v>2.1609837304129662E-2</v>
      </c>
      <c r="W35" s="963">
        <v>1.6E-2</v>
      </c>
      <c r="X35" s="963">
        <f>W35</f>
        <v>1.6E-2</v>
      </c>
      <c r="Y35" s="963">
        <f>X35</f>
        <v>1.6E-2</v>
      </c>
      <c r="Z35" s="963">
        <v>1.4999999999999999E-2</v>
      </c>
      <c r="AA35" s="961">
        <f>IFERROR(AA32/AA$10,"")</f>
        <v>1.5706653760251963E-2</v>
      </c>
      <c r="AB35" s="963">
        <v>1.4999999999999999E-2</v>
      </c>
      <c r="AC35" s="963">
        <f>AB35</f>
        <v>1.4999999999999999E-2</v>
      </c>
      <c r="AD35" s="963">
        <f>AC35</f>
        <v>1.4999999999999999E-2</v>
      </c>
      <c r="AE35" s="963">
        <f>AD35</f>
        <v>1.4999999999999999E-2</v>
      </c>
      <c r="AF35" s="961">
        <f>IFERROR(AF32/AF$10,"")</f>
        <v>1.4999999999999999E-2</v>
      </c>
      <c r="AG35" s="963">
        <v>1.4999999999999999E-2</v>
      </c>
      <c r="AH35" s="963">
        <f>AG35</f>
        <v>1.4999999999999999E-2</v>
      </c>
      <c r="AI35" s="963">
        <f>AH35</f>
        <v>1.4999999999999999E-2</v>
      </c>
      <c r="AJ35" s="963">
        <f>AI35</f>
        <v>1.4999999999999999E-2</v>
      </c>
      <c r="AK35" s="961">
        <f>IFERROR(AK32/AK$10,"")</f>
        <v>1.4999999999999999E-2</v>
      </c>
      <c r="AL35" s="965"/>
      <c r="AM35" s="965"/>
      <c r="AN35" s="965"/>
    </row>
    <row r="36" spans="1:46" s="906" customFormat="1">
      <c r="A36" s="1096"/>
      <c r="B36" s="966" t="s">
        <v>491</v>
      </c>
      <c r="C36" s="907"/>
      <c r="D36" s="907"/>
      <c r="E36" s="907"/>
      <c r="F36" s="907"/>
      <c r="G36" s="908"/>
      <c r="H36" s="907"/>
      <c r="I36" s="907"/>
      <c r="J36" s="907"/>
      <c r="K36" s="907"/>
      <c r="L36" s="908"/>
      <c r="M36" s="907">
        <f t="shared" ref="M36:AK36" si="10">M32/(M10-H10)</f>
        <v>1.7608953533513324E-2</v>
      </c>
      <c r="N36" s="907">
        <f t="shared" si="10"/>
        <v>9.0937095329910213E-3</v>
      </c>
      <c r="O36" s="907">
        <f t="shared" si="10"/>
        <v>7.2863121196727132E-3</v>
      </c>
      <c r="P36" s="907">
        <f t="shared" si="10"/>
        <v>7.5490973254919817E-3</v>
      </c>
      <c r="Q36" s="908">
        <f t="shared" si="10"/>
        <v>8.8828348699631129E-3</v>
      </c>
      <c r="R36" s="907">
        <f t="shared" si="10"/>
        <v>9.7471713151429853E-3</v>
      </c>
      <c r="S36" s="907">
        <f t="shared" si="10"/>
        <v>3.4627368894945908E-2</v>
      </c>
      <c r="T36" s="907">
        <f t="shared" si="10"/>
        <v>4.4618212325565017E-2</v>
      </c>
      <c r="U36" s="907">
        <f t="shared" si="10"/>
        <v>4.9511441071442674E-2</v>
      </c>
      <c r="V36" s="908">
        <f t="shared" si="10"/>
        <v>3.4599448742224682E-2</v>
      </c>
      <c r="W36" s="907">
        <f t="shared" si="10"/>
        <v>2.8610335291161752E-2</v>
      </c>
      <c r="X36" s="907">
        <f t="shared" si="10"/>
        <v>2.7079456470163375E-2</v>
      </c>
      <c r="Y36" s="907">
        <f t="shared" si="10"/>
        <v>2.7342713605430558E-2</v>
      </c>
      <c r="Z36" s="907">
        <f t="shared" si="10"/>
        <v>2.6701745777778851E-2</v>
      </c>
      <c r="AA36" s="908">
        <f t="shared" si="10"/>
        <v>2.7320983427797995E-2</v>
      </c>
      <c r="AB36" s="907">
        <f t="shared" si="10"/>
        <v>3.6083747609116208E-2</v>
      </c>
      <c r="AC36" s="907">
        <f t="shared" si="10"/>
        <v>5.2370814447617146E-2</v>
      </c>
      <c r="AD36" s="907">
        <f t="shared" si="10"/>
        <v>5.6671511575422953E-2</v>
      </c>
      <c r="AE36" s="907">
        <f t="shared" si="10"/>
        <v>5.7219261099966418E-2</v>
      </c>
      <c r="AF36" s="908">
        <f t="shared" si="10"/>
        <v>4.955863668328387E-2</v>
      </c>
      <c r="AG36" s="907">
        <f t="shared" si="10"/>
        <v>5.8750137050190658E-2</v>
      </c>
      <c r="AH36" s="907">
        <f t="shared" si="10"/>
        <v>6.7992724604171162E-2</v>
      </c>
      <c r="AI36" s="907">
        <f t="shared" si="10"/>
        <v>7.9191009282551864E-2</v>
      </c>
      <c r="AJ36" s="907">
        <f t="shared" si="10"/>
        <v>9.3125508364258633E-2</v>
      </c>
      <c r="AK36" s="908">
        <f t="shared" si="10"/>
        <v>7.3089957117400545E-2</v>
      </c>
      <c r="AL36" s="909"/>
      <c r="AM36" s="909"/>
      <c r="AN36" s="909"/>
      <c r="AO36" s="909"/>
      <c r="AP36" s="909"/>
      <c r="AQ36" s="909"/>
      <c r="AR36" s="909"/>
      <c r="AS36" s="909"/>
      <c r="AT36" s="909"/>
    </row>
    <row r="37" spans="1:46" s="274" customFormat="1" ht="12.75" customHeight="1">
      <c r="A37" s="405"/>
      <c r="B37" s="478"/>
      <c r="C37" s="275"/>
      <c r="D37" s="275"/>
      <c r="E37" s="275"/>
      <c r="F37" s="275"/>
      <c r="G37" s="1190">
        <f>G38*19</f>
        <v>101.498</v>
      </c>
      <c r="H37" s="612"/>
      <c r="I37" s="612"/>
      <c r="J37" s="612"/>
      <c r="K37" s="612"/>
      <c r="L37" s="276"/>
      <c r="M37" s="612"/>
      <c r="N37" s="612"/>
      <c r="O37" s="612"/>
      <c r="P37" s="612"/>
      <c r="Q37" s="276"/>
      <c r="R37" s="612"/>
      <c r="S37" s="612"/>
      <c r="T37" s="612"/>
      <c r="U37" s="275"/>
      <c r="V37" s="276"/>
      <c r="W37" s="275"/>
      <c r="X37" s="275"/>
      <c r="Y37" s="275"/>
      <c r="Z37" s="275"/>
      <c r="AA37" s="276"/>
      <c r="AB37" s="275"/>
      <c r="AC37" s="275"/>
      <c r="AD37" s="275"/>
      <c r="AE37" s="275"/>
      <c r="AF37" s="276"/>
      <c r="AG37" s="275"/>
      <c r="AH37" s="275"/>
      <c r="AI37" s="275"/>
      <c r="AJ37" s="275"/>
      <c r="AK37" s="276"/>
    </row>
    <row r="38" spans="1:46" s="1422" customFormat="1" ht="12.75" customHeight="1">
      <c r="A38" s="1419"/>
      <c r="B38" s="1508" t="s">
        <v>78</v>
      </c>
      <c r="C38" s="1498"/>
      <c r="D38" s="1498"/>
      <c r="E38" s="1498"/>
      <c r="F38" s="1498"/>
      <c r="G38" s="1421">
        <f>'IS (GAAP)'!G40-'IS (Non-GAAP)'!G105</f>
        <v>5.3420000000000005</v>
      </c>
      <c r="H38" s="1420">
        <f>'IS (GAAP)'!H40-'IS (Non-GAAP)'!H105</f>
        <v>4.1810156408260744</v>
      </c>
      <c r="I38" s="1420">
        <f>'IS (GAAP)'!I40-'IS (Non-GAAP)'!I105</f>
        <v>5.1185159738921344</v>
      </c>
      <c r="J38" s="1420">
        <f>'IS (GAAP)'!J40-'IS (Non-GAAP)'!J105</f>
        <v>8.1593435256380697</v>
      </c>
      <c r="K38" s="1420">
        <f>'IS (GAAP)'!K40-'IS (Non-GAAP)'!K105</f>
        <v>12.383124859643718</v>
      </c>
      <c r="L38" s="1421">
        <f>'IS (GAAP)'!L40-'IS (Non-GAAP)'!L105</f>
        <v>24.221999999999998</v>
      </c>
      <c r="M38" s="1420">
        <f>'IS (GAAP)'!M40-'IS (Non-GAAP)'!M105-M120-M121</f>
        <v>11.109</v>
      </c>
      <c r="N38" s="1420">
        <f>'IS (GAAP)'!N40-'IS (Non-GAAP)'!N105-N120-N121</f>
        <v>17.372</v>
      </c>
      <c r="O38" s="1420">
        <f>'IS (GAAP)'!O40-'IS (Non-GAAP)'!O105-O120-O121</f>
        <v>29.29</v>
      </c>
      <c r="P38" s="1420">
        <f>'IS (GAAP)'!P40-'IS (Non-GAAP)'!P105-P120-P121</f>
        <v>44.012749999999997</v>
      </c>
      <c r="Q38" s="1421">
        <f>'IS (GAAP)'!Q40-'IS (Non-GAAP)'!Q105</f>
        <v>101.78375</v>
      </c>
      <c r="R38" s="1420">
        <f>'IS (GAAP)'!R40-'IS (Non-GAAP)'!R105-R120-R121</f>
        <v>44.765999999999998</v>
      </c>
      <c r="S38" s="1420">
        <f>'IS (GAAP)'!S40-'IS (Non-GAAP)'!S105-S120-S121</f>
        <v>52.498999999999988</v>
      </c>
      <c r="T38" s="1420">
        <f>'IS (GAAP)'!T40-'IS (Non-GAAP)'!T105-T120-T121</f>
        <v>52.539999999999978</v>
      </c>
      <c r="U38" s="1499">
        <f>U$10*U41</f>
        <v>58.629433856740803</v>
      </c>
      <c r="V38" s="1500">
        <f>SUM(R38:U38)</f>
        <v>208.43443385674075</v>
      </c>
      <c r="W38" s="1499">
        <f>W$10*W41</f>
        <v>77.949451790359277</v>
      </c>
      <c r="X38" s="1499">
        <f>X$10*X41</f>
        <v>91.889962129578976</v>
      </c>
      <c r="Y38" s="1499">
        <f>Y$10*Y41</f>
        <v>98.690524146725508</v>
      </c>
      <c r="Z38" s="1499">
        <f>Z$10*Z41</f>
        <v>98.577802642013651</v>
      </c>
      <c r="AA38" s="1500">
        <f>SUM(W38:Z38)</f>
        <v>367.1077407086774</v>
      </c>
      <c r="AB38" s="1499">
        <f>AB$10*AB41</f>
        <v>99.101949205191161</v>
      </c>
      <c r="AC38" s="1499">
        <f>AC$10*AC41</f>
        <v>108.00316729208855</v>
      </c>
      <c r="AD38" s="1499">
        <f>AD$10*AD41</f>
        <v>116.31965118224984</v>
      </c>
      <c r="AE38" s="1499">
        <f>AE$10*AE41</f>
        <v>124.05836891572682</v>
      </c>
      <c r="AF38" s="1500">
        <f>SUM(AB38:AE38)</f>
        <v>447.48313659525638</v>
      </c>
      <c r="AG38" s="1499">
        <f>AG$10*AG41</f>
        <v>122.84275746786609</v>
      </c>
      <c r="AH38" s="1499">
        <f>AH$10*AH41</f>
        <v>127.91473659690061</v>
      </c>
      <c r="AI38" s="1499">
        <f>AI$10*AI41</f>
        <v>132.46241197668638</v>
      </c>
      <c r="AJ38" s="1499">
        <f>AJ$10*AJ41</f>
        <v>136.50223454352655</v>
      </c>
      <c r="AK38" s="1500">
        <f>SUM(AG38:AJ38)</f>
        <v>519.72214058497968</v>
      </c>
    </row>
    <row r="39" spans="1:46" s="298" customFormat="1" ht="12.75" customHeight="1">
      <c r="A39" s="1093"/>
      <c r="B39" s="433" t="s">
        <v>31</v>
      </c>
      <c r="C39" s="102"/>
      <c r="D39" s="102"/>
      <c r="E39" s="102"/>
      <c r="F39" s="102"/>
      <c r="G39" s="254"/>
      <c r="H39" s="291" t="str">
        <f t="shared" ref="H39:AF39" si="11">IFERROR(H38/C38-1,"")</f>
        <v/>
      </c>
      <c r="I39" s="291" t="str">
        <f t="shared" si="11"/>
        <v/>
      </c>
      <c r="J39" s="291" t="str">
        <f t="shared" si="11"/>
        <v/>
      </c>
      <c r="K39" s="291" t="str">
        <f t="shared" si="11"/>
        <v/>
      </c>
      <c r="L39" s="254">
        <f t="shared" si="11"/>
        <v>3.5342568326469479</v>
      </c>
      <c r="M39" s="291">
        <f t="shared" si="11"/>
        <v>1.6570099120234603</v>
      </c>
      <c r="N39" s="291">
        <f t="shared" si="11"/>
        <v>2.3939524832214758</v>
      </c>
      <c r="O39" s="291">
        <f t="shared" si="11"/>
        <v>2.5897495807065543</v>
      </c>
      <c r="P39" s="291">
        <f t="shared" si="11"/>
        <v>2.55425229890368</v>
      </c>
      <c r="Q39" s="254">
        <f t="shared" si="11"/>
        <v>3.2021199735777399</v>
      </c>
      <c r="R39" s="291">
        <f t="shared" si="11"/>
        <v>3.029705644072374</v>
      </c>
      <c r="S39" s="291">
        <f t="shared" si="11"/>
        <v>2.0220469721390737</v>
      </c>
      <c r="T39" s="291">
        <f t="shared" si="11"/>
        <v>0.79378627517924127</v>
      </c>
      <c r="U39" s="102">
        <f t="shared" si="11"/>
        <v>0.33210112653130763</v>
      </c>
      <c r="V39" s="254">
        <f t="shared" si="11"/>
        <v>1.0478164132952537</v>
      </c>
      <c r="W39" s="102">
        <f t="shared" si="11"/>
        <v>0.74126461578785863</v>
      </c>
      <c r="X39" s="102">
        <f t="shared" si="11"/>
        <v>0.7503183323411684</v>
      </c>
      <c r="Y39" s="102">
        <f t="shared" si="11"/>
        <v>0.87838835452465824</v>
      </c>
      <c r="Z39" s="102">
        <f t="shared" si="11"/>
        <v>0.68137053622051758</v>
      </c>
      <c r="AA39" s="254">
        <f t="shared" si="11"/>
        <v>0.76126244553716371</v>
      </c>
      <c r="AB39" s="102">
        <f t="shared" si="11"/>
        <v>0.27136172133346559</v>
      </c>
      <c r="AC39" s="102">
        <f t="shared" si="11"/>
        <v>0.17535326807282248</v>
      </c>
      <c r="AD39" s="102">
        <f t="shared" si="11"/>
        <v>0.17863039220781429</v>
      </c>
      <c r="AE39" s="102">
        <f t="shared" si="11"/>
        <v>0.258481783837748</v>
      </c>
      <c r="AF39" s="254">
        <f t="shared" si="11"/>
        <v>0.21894225311462945</v>
      </c>
      <c r="AG39" s="102">
        <f>IFERROR(AG38/AB38-1,"")</f>
        <v>0.23955944815494457</v>
      </c>
      <c r="AH39" s="102">
        <f>IFERROR(AH38/AC38-1,"")</f>
        <v>0.1843609757384459</v>
      </c>
      <c r="AI39" s="102">
        <f>IFERROR(AI38/AD38-1,"")</f>
        <v>0.13877930883014811</v>
      </c>
      <c r="AJ39" s="102">
        <f>IFERROR(AJ38/AE38-1,"")</f>
        <v>0.10030653906350229</v>
      </c>
      <c r="AK39" s="254">
        <f>IFERROR(AK38/AF38-1,"")</f>
        <v>0.16143402528945505</v>
      </c>
    </row>
    <row r="40" spans="1:46" ht="12.75" customHeight="1">
      <c r="A40" s="1094"/>
      <c r="B40" s="433" t="s">
        <v>33</v>
      </c>
      <c r="C40" s="253"/>
      <c r="D40" s="102"/>
      <c r="E40" s="102"/>
      <c r="F40" s="102"/>
      <c r="G40" s="255"/>
      <c r="H40" s="616" t="str">
        <f>IFERROR(H38/F38-1,"")</f>
        <v/>
      </c>
      <c r="I40" s="291">
        <f>IFERROR(I38/H38-1,"")</f>
        <v>0.22422789427327539</v>
      </c>
      <c r="J40" s="291">
        <f>IFERROR(J38/I38-1,"")</f>
        <v>0.59408382571358498</v>
      </c>
      <c r="K40" s="291">
        <f>IFERROR(K38/J38-1,"")</f>
        <v>0.5176619075706026</v>
      </c>
      <c r="L40" s="255"/>
      <c r="M40" s="616">
        <f>IFERROR(M38/K38-1,"")</f>
        <v>-0.10289203041116535</v>
      </c>
      <c r="N40" s="291">
        <f>IFERROR(N38/M38-1,"")</f>
        <v>0.56377711765235383</v>
      </c>
      <c r="O40" s="291">
        <f>IFERROR(O38/N38-1,"")</f>
        <v>0.68604651162790686</v>
      </c>
      <c r="P40" s="291">
        <f>IFERROR(P38/O38-1,"")</f>
        <v>0.50265448958688963</v>
      </c>
      <c r="Q40" s="255"/>
      <c r="R40" s="616">
        <f>IFERROR(R38/P38-1,"")</f>
        <v>1.7114358907362126E-2</v>
      </c>
      <c r="S40" s="291">
        <f>IFERROR(S38/R38-1,"")</f>
        <v>0.17274270651833956</v>
      </c>
      <c r="T40" s="291">
        <f>IFERROR(T38/S38-1,"")</f>
        <v>7.8096725651888299E-4</v>
      </c>
      <c r="U40" s="102">
        <f>IFERROR(U38/T38-1,"")</f>
        <v>0.11590091086297738</v>
      </c>
      <c r="V40" s="255"/>
      <c r="W40" s="253">
        <f>IFERROR(W38/U38-1,"")</f>
        <v>0.32952762226608456</v>
      </c>
      <c r="X40" s="102">
        <f>IFERROR(X38/W38-1,"")</f>
        <v>0.17884038975298933</v>
      </c>
      <c r="Y40" s="102">
        <f>IFERROR(Y38/X38-1,"")</f>
        <v>7.4007670256264646E-2</v>
      </c>
      <c r="Z40" s="102">
        <f>IFERROR(Z38/Y38-1,"")</f>
        <v>-1.1421715072084115E-3</v>
      </c>
      <c r="AA40" s="255"/>
      <c r="AB40" s="253">
        <f>IFERROR(AB38/Z38-1,"")</f>
        <v>5.3170850752370935E-3</v>
      </c>
      <c r="AC40" s="102">
        <f>IFERROR(AC38/AB38-1,"")</f>
        <v>8.9818799310065645E-2</v>
      </c>
      <c r="AD40" s="102">
        <f>IFERROR(AD38/AC38-1,"")</f>
        <v>7.700222223733344E-2</v>
      </c>
      <c r="AE40" s="102">
        <f>IFERROR(AE38/AD38-1,"")</f>
        <v>6.652975361275737E-2</v>
      </c>
      <c r="AF40" s="255"/>
      <c r="AG40" s="253">
        <f>IFERROR(AG38/AE38-1,"")</f>
        <v>-9.7987057099427899E-3</v>
      </c>
      <c r="AH40" s="102">
        <f>IFERROR(AH38/AG38-1,"")</f>
        <v>4.1288385522942006E-2</v>
      </c>
      <c r="AI40" s="102">
        <f>IFERROR(AI38/AH38-1,"")</f>
        <v>3.5552396078623261E-2</v>
      </c>
      <c r="AJ40" s="102">
        <f>IFERROR(AJ38/AI38-1,"")</f>
        <v>3.0497878655200594E-2</v>
      </c>
      <c r="AK40" s="255"/>
    </row>
    <row r="41" spans="1:46" s="450" customFormat="1" ht="12.75" customHeight="1">
      <c r="A41" s="1091"/>
      <c r="B41" s="433" t="s">
        <v>99</v>
      </c>
      <c r="C41" s="465" t="str">
        <f t="shared" ref="C41:S41" si="12">IFERROR(C38/C$10,"")</f>
        <v/>
      </c>
      <c r="D41" s="465" t="str">
        <f t="shared" si="12"/>
        <v/>
      </c>
      <c r="E41" s="465" t="str">
        <f t="shared" si="12"/>
        <v/>
      </c>
      <c r="F41" s="465" t="str">
        <f t="shared" si="12"/>
        <v/>
      </c>
      <c r="G41" s="466">
        <f t="shared" si="12"/>
        <v>0.33746051800379029</v>
      </c>
      <c r="H41" s="611">
        <f t="shared" si="12"/>
        <v>0.52766055367531661</v>
      </c>
      <c r="I41" s="611">
        <f t="shared" si="12"/>
        <v>0.17151134370937776</v>
      </c>
      <c r="J41" s="611">
        <f t="shared" si="12"/>
        <v>0.10853246908043812</v>
      </c>
      <c r="K41" s="611">
        <f t="shared" si="12"/>
        <v>0.10675393825108696</v>
      </c>
      <c r="L41" s="466">
        <f t="shared" si="12"/>
        <v>0.10579926007783595</v>
      </c>
      <c r="M41" s="611">
        <f t="shared" si="12"/>
        <v>5.8876216319348751E-2</v>
      </c>
      <c r="N41" s="611">
        <f t="shared" si="12"/>
        <v>4.3938478037084158E-2</v>
      </c>
      <c r="O41" s="611">
        <f t="shared" si="12"/>
        <v>5.0159177040146177E-2</v>
      </c>
      <c r="P41" s="611">
        <f t="shared" si="12"/>
        <v>5.8885447466652398E-2</v>
      </c>
      <c r="Q41" s="466">
        <f t="shared" si="12"/>
        <v>5.3138962298726236E-2</v>
      </c>
      <c r="R41" s="611">
        <f t="shared" si="12"/>
        <v>4.5603647802842616E-2</v>
      </c>
      <c r="S41" s="611">
        <f t="shared" si="12"/>
        <v>4.3287862346922945E-2</v>
      </c>
      <c r="T41" s="611">
        <f>IFERROR(T38/T$10,"")</f>
        <v>3.849998094785867E-2</v>
      </c>
      <c r="U41" s="438">
        <v>3.7999999999999999E-2</v>
      </c>
      <c r="V41" s="466">
        <f>IFERROR(V38/V$10,"")</f>
        <v>4.0853669335437402E-2</v>
      </c>
      <c r="W41" s="438">
        <f>U41-0.3%</f>
        <v>3.4999999999999996E-2</v>
      </c>
      <c r="X41" s="438">
        <f>W41-0.4%</f>
        <v>3.0999999999999996E-2</v>
      </c>
      <c r="Y41" s="438">
        <f>X41-0.1%</f>
        <v>2.9999999999999995E-2</v>
      </c>
      <c r="Z41" s="438">
        <f>Y41-0.2%</f>
        <v>2.7999999999999997E-2</v>
      </c>
      <c r="AA41" s="466">
        <f>IFERROR(AA38/AA$10,"")</f>
        <v>3.0588132704582414E-2</v>
      </c>
      <c r="AB41" s="438">
        <f>Z41-0.2%</f>
        <v>2.5999999999999995E-2</v>
      </c>
      <c r="AC41" s="438">
        <f>AB41</f>
        <v>2.5999999999999995E-2</v>
      </c>
      <c r="AD41" s="438">
        <f>AC41</f>
        <v>2.5999999999999995E-2</v>
      </c>
      <c r="AE41" s="438">
        <f>AD41</f>
        <v>2.5999999999999995E-2</v>
      </c>
      <c r="AF41" s="466">
        <f>IFERROR(AF38/AF$10,"")</f>
        <v>2.5999999999999995E-2</v>
      </c>
      <c r="AG41" s="438">
        <f>AE41-0.2%</f>
        <v>2.3999999999999994E-2</v>
      </c>
      <c r="AH41" s="438">
        <f>AG41</f>
        <v>2.3999999999999994E-2</v>
      </c>
      <c r="AI41" s="438">
        <f>AH41</f>
        <v>2.3999999999999994E-2</v>
      </c>
      <c r="AJ41" s="438">
        <f>AI41</f>
        <v>2.3999999999999994E-2</v>
      </c>
      <c r="AK41" s="466">
        <f>IFERROR(AK38/AK$10,"")</f>
        <v>2.3999999999999994E-2</v>
      </c>
    </row>
    <row r="42" spans="1:46" s="274" customFormat="1" ht="12.75" customHeight="1">
      <c r="A42" s="405"/>
      <c r="B42" s="478"/>
      <c r="C42" s="275"/>
      <c r="D42" s="275"/>
      <c r="E42" s="275"/>
      <c r="F42" s="275"/>
      <c r="G42" s="276"/>
      <c r="H42" s="612"/>
      <c r="I42" s="612"/>
      <c r="J42" s="612"/>
      <c r="K42" s="612"/>
      <c r="L42" s="276"/>
      <c r="M42" s="612"/>
      <c r="N42" s="612"/>
      <c r="O42" s="612"/>
      <c r="P42" s="612"/>
      <c r="Q42" s="276"/>
      <c r="R42" s="612"/>
      <c r="S42" s="612"/>
      <c r="T42" s="612"/>
      <c r="U42" s="275"/>
      <c r="V42" s="276"/>
      <c r="W42" s="968"/>
      <c r="X42" s="968"/>
      <c r="Y42" s="968"/>
      <c r="Z42" s="968"/>
      <c r="AA42" s="276"/>
      <c r="AB42" s="968"/>
      <c r="AC42" s="968"/>
      <c r="AD42" s="968"/>
      <c r="AE42" s="968"/>
      <c r="AF42" s="276"/>
      <c r="AG42" s="968"/>
      <c r="AH42" s="968"/>
      <c r="AI42" s="968"/>
      <c r="AJ42" s="968"/>
      <c r="AK42" s="276"/>
    </row>
    <row r="43" spans="1:46" s="1505" customFormat="1" ht="12.75" customHeight="1">
      <c r="A43" s="1419" t="s">
        <v>145</v>
      </c>
      <c r="B43" s="1512" t="s">
        <v>79</v>
      </c>
      <c r="C43" s="1502"/>
      <c r="D43" s="1502"/>
      <c r="E43" s="1502"/>
      <c r="F43" s="1502"/>
      <c r="G43" s="1503">
        <f t="shared" ref="G43:AK43" si="13">G38+G32+G23</f>
        <v>25.231000000000002</v>
      </c>
      <c r="H43" s="1504">
        <f t="shared" si="13"/>
        <v>14.982826359913334</v>
      </c>
      <c r="I43" s="1504">
        <f t="shared" si="13"/>
        <v>24.692419685538923</v>
      </c>
      <c r="J43" s="1504">
        <f t="shared" si="13"/>
        <v>52.05709236792265</v>
      </c>
      <c r="K43" s="1504">
        <f t="shared" si="13"/>
        <v>82.881661586625086</v>
      </c>
      <c r="L43" s="1503">
        <f t="shared" si="13"/>
        <v>160.154</v>
      </c>
      <c r="M43" s="1504">
        <f t="shared" si="13"/>
        <v>104.816</v>
      </c>
      <c r="N43" s="1504">
        <f t="shared" si="13"/>
        <v>201.50199999999998</v>
      </c>
      <c r="O43" s="1504">
        <f t="shared" si="13"/>
        <v>316.34500000000003</v>
      </c>
      <c r="P43" s="1504">
        <f t="shared" si="13"/>
        <v>444.87424999999996</v>
      </c>
      <c r="Q43" s="1503">
        <f t="shared" si="13"/>
        <v>1067.5372500000001</v>
      </c>
      <c r="R43" s="1504">
        <f t="shared" si="13"/>
        <v>559.298</v>
      </c>
      <c r="S43" s="1504">
        <f t="shared" si="13"/>
        <v>703.03399999999999</v>
      </c>
      <c r="T43" s="1504">
        <f>T38+T32+T23</f>
        <v>782.23099999999999</v>
      </c>
      <c r="U43" s="1502">
        <f t="shared" si="13"/>
        <v>993.18743665276668</v>
      </c>
      <c r="V43" s="1503">
        <f t="shared" si="13"/>
        <v>3037.7504366527664</v>
      </c>
      <c r="W43" s="1502">
        <f t="shared" si="13"/>
        <v>1314.7065968945237</v>
      </c>
      <c r="X43" s="1502">
        <f t="shared" si="13"/>
        <v>1719.781239357749</v>
      </c>
      <c r="Y43" s="1502">
        <f t="shared" si="13"/>
        <v>1923.2082703583123</v>
      </c>
      <c r="Z43" s="1502">
        <f t="shared" si="13"/>
        <v>2031.2530232716636</v>
      </c>
      <c r="AA43" s="1503">
        <f t="shared" si="13"/>
        <v>6988.9491298822486</v>
      </c>
      <c r="AB43" s="1502">
        <f t="shared" si="13"/>
        <v>2222.2078998697252</v>
      </c>
      <c r="AC43" s="1502">
        <f t="shared" si="13"/>
        <v>2414.5718508836781</v>
      </c>
      <c r="AD43" s="1502">
        <f t="shared" si="13"/>
        <v>2610.9065782489324</v>
      </c>
      <c r="AE43" s="1502">
        <f t="shared" si="13"/>
        <v>2865.0397753986458</v>
      </c>
      <c r="AF43" s="1503">
        <f t="shared" si="13"/>
        <v>10112.726104400981</v>
      </c>
      <c r="AG43" s="1502">
        <f t="shared" si="13"/>
        <v>3050.6052947812827</v>
      </c>
      <c r="AH43" s="1502">
        <f t="shared" si="13"/>
        <v>3237.611318369964</v>
      </c>
      <c r="AI43" s="1502">
        <f t="shared" si="13"/>
        <v>3370.9746862621155</v>
      </c>
      <c r="AJ43" s="1502">
        <f t="shared" si="13"/>
        <v>3585.2718120514301</v>
      </c>
      <c r="AK43" s="1503">
        <f t="shared" si="13"/>
        <v>13244.463111464791</v>
      </c>
    </row>
    <row r="44" spans="1:46" s="298" customFormat="1" ht="12.75" customHeight="1">
      <c r="A44" s="1088" t="s">
        <v>147</v>
      </c>
      <c r="B44" s="433" t="s">
        <v>31</v>
      </c>
      <c r="C44" s="102"/>
      <c r="D44" s="102"/>
      <c r="E44" s="102"/>
      <c r="F44" s="102"/>
      <c r="G44" s="254"/>
      <c r="H44" s="291" t="str">
        <f t="shared" ref="H44:AF44" si="14">IFERROR(H43/C43-1,"")</f>
        <v/>
      </c>
      <c r="I44" s="291" t="str">
        <f t="shared" si="14"/>
        <v/>
      </c>
      <c r="J44" s="291" t="str">
        <f t="shared" si="14"/>
        <v/>
      </c>
      <c r="K44" s="291" t="str">
        <f t="shared" si="14"/>
        <v/>
      </c>
      <c r="L44" s="254">
        <f t="shared" si="14"/>
        <v>5.3475090166858221</v>
      </c>
      <c r="M44" s="291">
        <f t="shared" si="14"/>
        <v>5.9957428246272686</v>
      </c>
      <c r="N44" s="291">
        <f t="shared" si="14"/>
        <v>7.1604801216791767</v>
      </c>
      <c r="O44" s="291">
        <f t="shared" si="14"/>
        <v>5.0768856962693221</v>
      </c>
      <c r="P44" s="291">
        <f t="shared" si="14"/>
        <v>4.3675836304878199</v>
      </c>
      <c r="Q44" s="254">
        <f t="shared" si="14"/>
        <v>5.6656920838692768</v>
      </c>
      <c r="R44" s="291">
        <f t="shared" si="14"/>
        <v>4.3359983208670432</v>
      </c>
      <c r="S44" s="291">
        <f t="shared" si="14"/>
        <v>2.4889678514357181</v>
      </c>
      <c r="T44" s="291">
        <f t="shared" si="14"/>
        <v>1.4727149156775039</v>
      </c>
      <c r="U44" s="102">
        <f t="shared" si="14"/>
        <v>1.2325127531044262</v>
      </c>
      <c r="V44" s="254">
        <f t="shared" si="14"/>
        <v>1.8455685613338235</v>
      </c>
      <c r="W44" s="102">
        <f t="shared" si="14"/>
        <v>1.3506370430334522</v>
      </c>
      <c r="X44" s="102">
        <f t="shared" si="14"/>
        <v>1.446227692199451</v>
      </c>
      <c r="Y44" s="102">
        <f t="shared" si="14"/>
        <v>1.4586193469171032</v>
      </c>
      <c r="Z44" s="102">
        <f t="shared" si="14"/>
        <v>1.0451859823331819</v>
      </c>
      <c r="AA44" s="254">
        <f t="shared" si="14"/>
        <v>1.3006989137604159</v>
      </c>
      <c r="AB44" s="102">
        <f t="shared" si="14"/>
        <v>0.69026907229249157</v>
      </c>
      <c r="AC44" s="102">
        <f t="shared" si="14"/>
        <v>0.40399941319594701</v>
      </c>
      <c r="AD44" s="102">
        <f t="shared" si="14"/>
        <v>0.35757869726844249</v>
      </c>
      <c r="AE44" s="102">
        <f t="shared" si="14"/>
        <v>0.4104790208676381</v>
      </c>
      <c r="AF44" s="254">
        <f t="shared" si="14"/>
        <v>0.44695946650442453</v>
      </c>
      <c r="AG44" s="102">
        <f>IFERROR(AG43/AB43-1,"")</f>
        <v>0.3727812303070841</v>
      </c>
      <c r="AH44" s="102">
        <f>IFERROR(AH43/AC43-1,"")</f>
        <v>0.34086352294096045</v>
      </c>
      <c r="AI44" s="102">
        <f>IFERROR(AI43/AD43-1,"")</f>
        <v>0.29111271707122555</v>
      </c>
      <c r="AJ44" s="102">
        <f>IFERROR(AJ43/AE43-1,"")</f>
        <v>0.25138640057887862</v>
      </c>
      <c r="AK44" s="254">
        <f>IFERROR(AK43/AF43-1,"")</f>
        <v>0.30968276750824897</v>
      </c>
    </row>
    <row r="45" spans="1:46" ht="12.75" customHeight="1">
      <c r="A45" s="67" t="s">
        <v>146</v>
      </c>
      <c r="B45" s="433" t="s">
        <v>33</v>
      </c>
      <c r="C45" s="253"/>
      <c r="D45" s="102"/>
      <c r="E45" s="102"/>
      <c r="F45" s="102"/>
      <c r="G45" s="255"/>
      <c r="H45" s="616" t="str">
        <f>IFERROR(H43/F43-1,"")</f>
        <v/>
      </c>
      <c r="I45" s="291">
        <f>IFERROR(I43/H43-1,"")</f>
        <v>0.64804817811969562</v>
      </c>
      <c r="J45" s="291">
        <f>IFERROR(J43/I43-1,"")</f>
        <v>1.1082215931397683</v>
      </c>
      <c r="K45" s="291">
        <f>IFERROR(K43/J43-1,"")</f>
        <v>0.59213005983592737</v>
      </c>
      <c r="L45" s="255"/>
      <c r="M45" s="616">
        <f>IFERROR(M43/K43-1,"")</f>
        <v>0.26464646091162036</v>
      </c>
      <c r="N45" s="291">
        <f>IFERROR(N43/M43-1,"")</f>
        <v>0.92243550602961366</v>
      </c>
      <c r="O45" s="291">
        <f>IFERROR(O43/N43-1,"")</f>
        <v>0.56993478972913447</v>
      </c>
      <c r="P45" s="291">
        <f>IFERROR(P43/O43-1,"")</f>
        <v>0.40629455183423135</v>
      </c>
      <c r="Q45" s="255"/>
      <c r="R45" s="616">
        <f>IFERROR(R43/P43-1,"")</f>
        <v>0.25720470447547839</v>
      </c>
      <c r="S45" s="291">
        <f>IFERROR(S43/R43-1,"")</f>
        <v>0.25699358839116182</v>
      </c>
      <c r="T45" s="291">
        <f>IFERROR(T43/S43-1,"")</f>
        <v>0.11265031278714832</v>
      </c>
      <c r="U45" s="102">
        <f>IFERROR(U43/T43-1,"")</f>
        <v>0.26968560010120624</v>
      </c>
      <c r="V45" s="255"/>
      <c r="W45" s="253">
        <f>IFERROR(W43/U43-1,"")</f>
        <v>0.32372455427480906</v>
      </c>
      <c r="X45" s="102">
        <f>IFERROR(X43/W43-1,"")</f>
        <v>0.30811029884542629</v>
      </c>
      <c r="Y45" s="102">
        <f>IFERROR(Y43/X43-1,"")</f>
        <v>0.11828657409737353</v>
      </c>
      <c r="Z45" s="102">
        <f>IFERROR(Z43/Y43-1,"")</f>
        <v>5.617943442663198E-2</v>
      </c>
      <c r="AA45" s="255"/>
      <c r="AB45" s="253">
        <f>IFERROR(AB43/Z43-1,"")</f>
        <v>9.4008414712657418E-2</v>
      </c>
      <c r="AC45" s="102">
        <f>IFERROR(AC43/AB43-1,"")</f>
        <v>8.656433586849821E-2</v>
      </c>
      <c r="AD45" s="102">
        <f>IFERROR(AD43/AC43-1,"")</f>
        <v>8.1312439426228122E-2</v>
      </c>
      <c r="AE45" s="102">
        <f>IFERROR(AE43/AD43-1,"")</f>
        <v>9.7335231856573667E-2</v>
      </c>
      <c r="AF45" s="255"/>
      <c r="AG45" s="253">
        <f>IFERROR(AG43/AE43-1,"")</f>
        <v>6.4768915592739784E-2</v>
      </c>
      <c r="AH45" s="102">
        <f>IFERROR(AH43/AG43-1,"")</f>
        <v>6.1301284669175393E-2</v>
      </c>
      <c r="AI45" s="102">
        <f>IFERROR(AI43/AH43-1,"")</f>
        <v>4.1191901923327778E-2</v>
      </c>
      <c r="AJ45" s="102">
        <f>IFERROR(AJ43/AI43-1,"")</f>
        <v>6.3571265207849059E-2</v>
      </c>
      <c r="AK45" s="255"/>
    </row>
    <row r="46" spans="1:46" s="274" customFormat="1" ht="12.75" customHeight="1">
      <c r="A46" s="405"/>
      <c r="B46" s="478"/>
      <c r="C46" s="275"/>
      <c r="D46" s="275"/>
      <c r="E46" s="275"/>
      <c r="F46" s="275"/>
      <c r="G46" s="276"/>
      <c r="H46" s="612"/>
      <c r="I46" s="612"/>
      <c r="J46" s="612"/>
      <c r="K46" s="612"/>
      <c r="L46" s="276"/>
      <c r="M46" s="612"/>
      <c r="N46" s="612"/>
      <c r="O46" s="612"/>
      <c r="P46" s="612"/>
      <c r="Q46" s="276"/>
      <c r="R46" s="612"/>
      <c r="S46" s="612"/>
      <c r="T46" s="612"/>
      <c r="U46" s="1031"/>
      <c r="V46" s="276"/>
      <c r="W46" s="275"/>
      <c r="X46" s="275"/>
      <c r="Y46" s="275"/>
      <c r="Z46" s="275"/>
      <c r="AA46" s="276"/>
      <c r="AB46" s="275"/>
      <c r="AC46" s="275"/>
      <c r="AD46" s="275"/>
      <c r="AE46" s="275"/>
      <c r="AF46" s="276"/>
      <c r="AG46" s="275"/>
      <c r="AH46" s="275"/>
      <c r="AI46" s="275"/>
      <c r="AJ46" s="275"/>
      <c r="AK46" s="276"/>
    </row>
    <row r="47" spans="1:46" s="1505" customFormat="1" ht="12.75" customHeight="1">
      <c r="A47" s="1291" t="s">
        <v>130</v>
      </c>
      <c r="B47" s="1493" t="s">
        <v>374</v>
      </c>
      <c r="C47" s="1502"/>
      <c r="D47" s="1502"/>
      <c r="E47" s="1502"/>
      <c r="F47" s="1502"/>
      <c r="G47" s="1503">
        <f t="shared" ref="G47:AK47" si="15">G18-G43</f>
        <v>-21.39</v>
      </c>
      <c r="H47" s="1504">
        <f t="shared" si="15"/>
        <v>-11.845965934799416</v>
      </c>
      <c r="I47" s="1504">
        <f t="shared" si="15"/>
        <v>-4.6363565887740421</v>
      </c>
      <c r="J47" s="1504">
        <f t="shared" si="15"/>
        <v>3.8063159193796565</v>
      </c>
      <c r="K47" s="1504">
        <f t="shared" si="15"/>
        <v>-1.7749933958061774</v>
      </c>
      <c r="L47" s="1503">
        <f t="shared" si="15"/>
        <v>0.70300000000003138</v>
      </c>
      <c r="M47" s="1504">
        <f t="shared" si="15"/>
        <v>25.036000000000001</v>
      </c>
      <c r="N47" s="1504">
        <f t="shared" si="15"/>
        <v>85.381</v>
      </c>
      <c r="O47" s="1504">
        <f t="shared" si="15"/>
        <v>124.733</v>
      </c>
      <c r="P47" s="1504">
        <f t="shared" si="15"/>
        <v>120.69600000000003</v>
      </c>
      <c r="Q47" s="1503">
        <f t="shared" si="15"/>
        <v>355.84599999999978</v>
      </c>
      <c r="R47" s="1504">
        <f t="shared" si="15"/>
        <v>162.63299999999992</v>
      </c>
      <c r="S47" s="1504">
        <f t="shared" si="15"/>
        <v>199.78800000000012</v>
      </c>
      <c r="T47" s="1504">
        <f>T18-T43</f>
        <v>217.154</v>
      </c>
      <c r="U47" s="1502">
        <f t="shared" si="15"/>
        <v>136.7005127467304</v>
      </c>
      <c r="V47" s="1503">
        <f t="shared" si="15"/>
        <v>716.27551274673078</v>
      </c>
      <c r="W47" s="1502">
        <f t="shared" si="15"/>
        <v>377.91007055327782</v>
      </c>
      <c r="X47" s="1502">
        <f t="shared" si="15"/>
        <v>533.00492898031666</v>
      </c>
      <c r="Y47" s="1502">
        <f t="shared" si="15"/>
        <v>576.95167469206763</v>
      </c>
      <c r="Z47" s="1502">
        <f t="shared" si="15"/>
        <v>644.43019129727872</v>
      </c>
      <c r="AA47" s="1503">
        <f t="shared" si="15"/>
        <v>2132.2968655229397</v>
      </c>
      <c r="AB47" s="1502">
        <f t="shared" si="15"/>
        <v>731.79250913116584</v>
      </c>
      <c r="AC47" s="1502">
        <f t="shared" si="15"/>
        <v>804.75332801511559</v>
      </c>
      <c r="AD47" s="1502">
        <f t="shared" si="15"/>
        <v>856.31379352966951</v>
      </c>
      <c r="AE47" s="1502">
        <f t="shared" si="15"/>
        <v>832.85391343551964</v>
      </c>
      <c r="AF47" s="1503">
        <f t="shared" si="15"/>
        <v>3225.7135441114715</v>
      </c>
      <c r="AG47" s="1502">
        <f t="shared" si="15"/>
        <v>992.96880520264449</v>
      </c>
      <c r="AH47" s="1502">
        <f t="shared" si="15"/>
        <v>972.91542794468251</v>
      </c>
      <c r="AI47" s="1502">
        <f t="shared" si="15"/>
        <v>989.24637463714544</v>
      </c>
      <c r="AJ47" s="1502">
        <f t="shared" si="15"/>
        <v>907.92674167298719</v>
      </c>
      <c r="AK47" s="1503">
        <f t="shared" si="15"/>
        <v>3863.0573494574619</v>
      </c>
    </row>
    <row r="48" spans="1:46" s="298" customFormat="1" ht="12.75" customHeight="1">
      <c r="A48" s="1088" t="s">
        <v>132</v>
      </c>
      <c r="B48" s="433" t="s">
        <v>31</v>
      </c>
      <c r="C48" s="102"/>
      <c r="D48" s="102"/>
      <c r="E48" s="102"/>
      <c r="F48" s="102"/>
      <c r="G48" s="254"/>
      <c r="H48" s="291" t="str">
        <f t="shared" ref="H48:AF48" si="16">IFERROR(H47/C47-1,"")</f>
        <v/>
      </c>
      <c r="I48" s="291" t="str">
        <f t="shared" si="16"/>
        <v/>
      </c>
      <c r="J48" s="291" t="str">
        <f t="shared" si="16"/>
        <v/>
      </c>
      <c r="K48" s="291" t="str">
        <f t="shared" si="16"/>
        <v/>
      </c>
      <c r="L48" s="254">
        <f t="shared" si="16"/>
        <v>-1.0328658251519416</v>
      </c>
      <c r="M48" s="291">
        <f t="shared" si="16"/>
        <v>-3.1134620965313395</v>
      </c>
      <c r="N48" s="291">
        <f t="shared" si="16"/>
        <v>-19.415537796797608</v>
      </c>
      <c r="O48" s="291">
        <f t="shared" si="16"/>
        <v>31.770007178050705</v>
      </c>
      <c r="P48" s="291">
        <f t="shared" si="16"/>
        <v>-68.997999477165138</v>
      </c>
      <c r="Q48" s="254">
        <f t="shared" si="16"/>
        <v>505.18207681363288</v>
      </c>
      <c r="R48" s="291">
        <f t="shared" si="16"/>
        <v>5.4959658092346988</v>
      </c>
      <c r="S48" s="291">
        <f t="shared" si="16"/>
        <v>1.3399585387849768</v>
      </c>
      <c r="T48" s="291">
        <f t="shared" si="16"/>
        <v>0.74095067063247089</v>
      </c>
      <c r="U48" s="102">
        <f t="shared" si="16"/>
        <v>0.13260184883285575</v>
      </c>
      <c r="V48" s="254">
        <f t="shared" si="16"/>
        <v>1.0128806077537229</v>
      </c>
      <c r="W48" s="102">
        <f t="shared" si="16"/>
        <v>1.3236985762623696</v>
      </c>
      <c r="X48" s="102">
        <f t="shared" si="16"/>
        <v>1.6678525686243235</v>
      </c>
      <c r="Y48" s="102">
        <f t="shared" si="16"/>
        <v>1.6568779515554288</v>
      </c>
      <c r="Z48" s="102">
        <f t="shared" si="16"/>
        <v>3.7141753776098563</v>
      </c>
      <c r="AA48" s="254">
        <f t="shared" si="16"/>
        <v>1.9769227449171538</v>
      </c>
      <c r="AB48" s="102">
        <f t="shared" si="16"/>
        <v>0.93641970974678657</v>
      </c>
      <c r="AC48" s="102">
        <f t="shared" si="16"/>
        <v>0.50984218767859524</v>
      </c>
      <c r="AD48" s="102">
        <f t="shared" si="16"/>
        <v>0.48420367093431849</v>
      </c>
      <c r="AE48" s="102">
        <f t="shared" si="16"/>
        <v>0.29238810453453778</v>
      </c>
      <c r="AF48" s="254">
        <f t="shared" si="16"/>
        <v>0.51278820330694175</v>
      </c>
      <c r="AG48" s="102">
        <f>IFERROR(AG47/AB47-1,"")</f>
        <v>0.35689938447383818</v>
      </c>
      <c r="AH48" s="102">
        <f>IFERROR(AH47/AC47-1,"")</f>
        <v>0.20896104939923688</v>
      </c>
      <c r="AI48" s="102">
        <f>IFERROR(AI47/AD47-1,"")</f>
        <v>0.15523816399072188</v>
      </c>
      <c r="AJ48" s="102">
        <f>IFERROR(AJ47/AE47-1,"")</f>
        <v>9.0139251345764171E-2</v>
      </c>
      <c r="AK48" s="254">
        <f>IFERROR(AK47/AF47-1,"")</f>
        <v>0.19758227028852549</v>
      </c>
    </row>
    <row r="49" spans="1:41" ht="12.75" customHeight="1">
      <c r="A49" s="67" t="s">
        <v>131</v>
      </c>
      <c r="B49" s="433" t="s">
        <v>33</v>
      </c>
      <c r="C49" s="253"/>
      <c r="D49" s="102"/>
      <c r="E49" s="102"/>
      <c r="F49" s="102"/>
      <c r="G49" s="255"/>
      <c r="H49" s="616" t="str">
        <f>IFERROR(H47/F47-1,"")</f>
        <v/>
      </c>
      <c r="I49" s="291">
        <f>IFERROR(I47/H47-1,"")</f>
        <v>-0.60861304056649324</v>
      </c>
      <c r="J49" s="291">
        <f>IFERROR(J47/I47-1,"")</f>
        <v>-1.8209713481909149</v>
      </c>
      <c r="K49" s="291">
        <f>IFERROR(K47/J47-1,"")</f>
        <v>-1.4663284481377103</v>
      </c>
      <c r="L49" s="255"/>
      <c r="M49" s="616">
        <f>IFERROR(M47/K47-1,"")</f>
        <v>-15.104841211890255</v>
      </c>
      <c r="N49" s="291">
        <f>IFERROR(N47/M47-1,"")</f>
        <v>2.4103291260584756</v>
      </c>
      <c r="O49" s="291">
        <f>IFERROR(O47/N47-1,"")</f>
        <v>0.46089879481383456</v>
      </c>
      <c r="P49" s="291">
        <f>IFERROR(P47/O47-1,"")</f>
        <v>-3.2365131921784807E-2</v>
      </c>
      <c r="Q49" s="255"/>
      <c r="R49" s="616">
        <f>IFERROR(R47/P47-1,"")</f>
        <v>0.34745973354543547</v>
      </c>
      <c r="S49" s="291">
        <f>IFERROR(S47/R47-1,"")</f>
        <v>0.2284591688033808</v>
      </c>
      <c r="T49" s="291">
        <f>IFERROR(T47/S47-1,"")</f>
        <v>8.6922137465712979E-2</v>
      </c>
      <c r="U49" s="102">
        <f>IFERROR(U47/T47-1,"")</f>
        <v>-0.37049046876073943</v>
      </c>
      <c r="V49" s="255"/>
      <c r="W49" s="253">
        <f>IFERROR(W47/U47-1,"")</f>
        <v>1.7645109953131222</v>
      </c>
      <c r="X49" s="102">
        <f>IFERROR(X47/W47-1,"")</f>
        <v>0.41040149631358802</v>
      </c>
      <c r="Y49" s="102">
        <f>IFERROR(Y47/X47-1,"")</f>
        <v>8.2450918035269938E-2</v>
      </c>
      <c r="Z49" s="102">
        <f>IFERROR(Z47/Y47-1,"")</f>
        <v>0.1169569646213886</v>
      </c>
      <c r="AA49" s="255"/>
      <c r="AB49" s="253">
        <f>IFERROR(AB47/Z47-1,"")</f>
        <v>0.13556521561787971</v>
      </c>
      <c r="AC49" s="102">
        <f>IFERROR(AC47/AB47-1,"")</f>
        <v>9.9701510979627095E-2</v>
      </c>
      <c r="AD49" s="102">
        <f>IFERROR(AD47/AC47-1,"")</f>
        <v>6.4069900327998974E-2</v>
      </c>
      <c r="AE49" s="102">
        <f>IFERROR(AE47/AD47-1,"")</f>
        <v>-2.7396358988274305E-2</v>
      </c>
      <c r="AF49" s="255"/>
      <c r="AG49" s="253">
        <f>IFERROR(AG47/AE47-1,"")</f>
        <v>0.19224847141157264</v>
      </c>
      <c r="AH49" s="102">
        <f>IFERROR(AH47/AG47-1,"")</f>
        <v>-2.0195374872697514E-2</v>
      </c>
      <c r="AI49" s="102">
        <f>IFERROR(AI47/AH47-1,"")</f>
        <v>1.6785576858373563E-2</v>
      </c>
      <c r="AJ49" s="102">
        <f>IFERROR(AJ47/AI47-1,"")</f>
        <v>-8.2203619895990232E-2</v>
      </c>
      <c r="AK49" s="255"/>
      <c r="AL49" s="298"/>
      <c r="AM49" s="298"/>
    </row>
    <row r="50" spans="1:41" s="450" customFormat="1" ht="12.75" customHeight="1">
      <c r="A50" s="448" t="s">
        <v>134</v>
      </c>
      <c r="B50" s="433" t="s">
        <v>101</v>
      </c>
      <c r="C50" s="465" t="str">
        <f t="shared" ref="C50:AF50" si="17">IFERROR(C47/C$10,"")</f>
        <v/>
      </c>
      <c r="D50" s="465" t="str">
        <f t="shared" si="17"/>
        <v/>
      </c>
      <c r="E50" s="465" t="str">
        <f t="shared" si="17"/>
        <v/>
      </c>
      <c r="F50" s="465" t="str">
        <f t="shared" si="17"/>
        <v/>
      </c>
      <c r="G50" s="466">
        <f t="shared" si="17"/>
        <v>-1.3512318382817436</v>
      </c>
      <c r="H50" s="611">
        <f t="shared" si="17"/>
        <v>-1.4950073094536933</v>
      </c>
      <c r="I50" s="611">
        <f t="shared" si="17"/>
        <v>-0.15535513662797068</v>
      </c>
      <c r="J50" s="611">
        <f t="shared" si="17"/>
        <v>5.0630159587274688E-2</v>
      </c>
      <c r="K50" s="611">
        <f t="shared" si="17"/>
        <v>-1.5302077425506284E-2</v>
      </c>
      <c r="L50" s="466">
        <f t="shared" si="17"/>
        <v>3.0706333017389976E-3</v>
      </c>
      <c r="M50" s="611">
        <f t="shared" si="17"/>
        <v>0.13268745627610185</v>
      </c>
      <c r="N50" s="611">
        <f t="shared" si="17"/>
        <v>0.21595159988972384</v>
      </c>
      <c r="O50" s="611">
        <f t="shared" si="17"/>
        <v>0.21360548411568978</v>
      </c>
      <c r="P50" s="611">
        <f t="shared" si="17"/>
        <v>0.16148134273443671</v>
      </c>
      <c r="Q50" s="466">
        <f t="shared" si="17"/>
        <v>0.18577903818784949</v>
      </c>
      <c r="R50" s="611">
        <f>IFERROR(R47/R$10,"")</f>
        <v>0.16567613932716124</v>
      </c>
      <c r="S50" s="611">
        <f>IFERROR(S47/S$10,"")</f>
        <v>0.16473447956279261</v>
      </c>
      <c r="T50" s="611">
        <f>IFERROR(T47/T$10,"")</f>
        <v>0.15912494980493538</v>
      </c>
      <c r="U50" s="465">
        <f t="shared" si="17"/>
        <v>8.8600880865891449E-2</v>
      </c>
      <c r="V50" s="466">
        <f t="shared" si="17"/>
        <v>0.14039178848413425</v>
      </c>
      <c r="W50" s="465">
        <f t="shared" si="17"/>
        <v>0.16968499669423728</v>
      </c>
      <c r="X50" s="465">
        <f t="shared" si="17"/>
        <v>0.17981455662251367</v>
      </c>
      <c r="Y50" s="465">
        <f t="shared" si="17"/>
        <v>0.17538208850759573</v>
      </c>
      <c r="Z50" s="465">
        <f t="shared" si="17"/>
        <v>0.18304369617418786</v>
      </c>
      <c r="AA50" s="466">
        <f t="shared" si="17"/>
        <v>0.17766713216744523</v>
      </c>
      <c r="AB50" s="465">
        <f t="shared" si="17"/>
        <v>0.1919902220895334</v>
      </c>
      <c r="AC50" s="465">
        <f t="shared" si="17"/>
        <v>0.19373123078702245</v>
      </c>
      <c r="AD50" s="465">
        <f t="shared" si="17"/>
        <v>0.19140496386881248</v>
      </c>
      <c r="AE50" s="465">
        <f t="shared" si="17"/>
        <v>0.1745484963133222</v>
      </c>
      <c r="AF50" s="466">
        <f t="shared" si="17"/>
        <v>0.18742282175150754</v>
      </c>
      <c r="AG50" s="465">
        <f>IFERROR(AG47/AG$10,"")</f>
        <v>0.1939980167825309</v>
      </c>
      <c r="AH50" s="465">
        <f>IFERROR(AH47/AH$10,"")</f>
        <v>0.18254323850312448</v>
      </c>
      <c r="AI50" s="465">
        <f>IFERROR(AI47/AI$10,"")</f>
        <v>0.17923509497524553</v>
      </c>
      <c r="AJ50" s="465">
        <f>IFERROR(AJ47/AJ$10,"")</f>
        <v>0.15963285782844397</v>
      </c>
      <c r="AK50" s="466">
        <f>IFERROR(AK47/AK$10,"")</f>
        <v>0.17839027654781914</v>
      </c>
      <c r="AL50" s="248"/>
      <c r="AM50" s="248"/>
    </row>
    <row r="51" spans="1:41" s="269" customFormat="1" ht="12.75" customHeight="1">
      <c r="A51" s="67"/>
      <c r="B51" s="391"/>
      <c r="C51" s="253"/>
      <c r="D51" s="102"/>
      <c r="E51" s="102"/>
      <c r="F51" s="102"/>
      <c r="G51" s="273"/>
      <c r="H51" s="616"/>
      <c r="I51" s="291"/>
      <c r="J51" s="291"/>
      <c r="K51" s="291"/>
      <c r="L51" s="273"/>
      <c r="M51" s="616"/>
      <c r="N51" s="291"/>
      <c r="O51" s="644"/>
      <c r="P51" s="644"/>
      <c r="Q51" s="273"/>
      <c r="R51" s="616"/>
      <c r="S51" s="291"/>
      <c r="T51" s="291"/>
      <c r="U51" s="457"/>
      <c r="V51" s="458"/>
      <c r="W51" s="456"/>
      <c r="X51" s="457"/>
      <c r="Y51" s="457"/>
      <c r="Z51" s="457"/>
      <c r="AA51" s="458"/>
      <c r="AB51" s="488"/>
      <c r="AC51" s="489"/>
      <c r="AD51" s="457"/>
      <c r="AE51" s="457"/>
      <c r="AF51" s="458"/>
      <c r="AG51" s="488"/>
      <c r="AH51" s="489"/>
      <c r="AI51" s="457"/>
      <c r="AJ51" s="457"/>
      <c r="AK51" s="458"/>
      <c r="AL51" s="581"/>
      <c r="AM51" s="581"/>
    </row>
    <row r="52" spans="1:41" s="1521" customFormat="1" ht="12.75" customHeight="1">
      <c r="A52" s="1291"/>
      <c r="B52" s="1513" t="s">
        <v>373</v>
      </c>
      <c r="C52" s="1514"/>
      <c r="D52" s="1515"/>
      <c r="E52" s="1515"/>
      <c r="F52" s="1515"/>
      <c r="G52" s="1516">
        <f>'IS (GAAP)'!G55</f>
        <v>0</v>
      </c>
      <c r="H52" s="1517">
        <f>'IS (GAAP)'!H55</f>
        <v>0</v>
      </c>
      <c r="I52" s="1518">
        <f>'IS (GAAP)'!I55</f>
        <v>0</v>
      </c>
      <c r="J52" s="1518">
        <f>'IS (GAAP)'!J55</f>
        <v>0</v>
      </c>
      <c r="K52" s="1518">
        <f>'IS (GAAP)'!K55</f>
        <v>0</v>
      </c>
      <c r="L52" s="1516">
        <f>'IS (GAAP)'!L55</f>
        <v>0</v>
      </c>
      <c r="M52" s="1517">
        <f>'IS (GAAP)'!M55</f>
        <v>72.832999999999998</v>
      </c>
      <c r="N52" s="1518">
        <f>'IS (GAAP)'!N55</f>
        <v>107.453</v>
      </c>
      <c r="O52" s="1518">
        <f>'IS (GAAP)'!O55</f>
        <v>139.447</v>
      </c>
      <c r="P52" s="1518">
        <f>'IS (GAAP)'!P55</f>
        <v>200.108</v>
      </c>
      <c r="Q52" s="1516">
        <f>'IS (GAAP)'!Q55</f>
        <v>519.84100000000001</v>
      </c>
      <c r="R52" s="1517">
        <f>'IS (GAAP)'!R55</f>
        <v>250.74299999999999</v>
      </c>
      <c r="S52" s="1518">
        <f>'IS (GAAP)'!S55</f>
        <v>243.78</v>
      </c>
      <c r="T52" s="1518">
        <f>'IS (GAAP)'!T55</f>
        <v>248.791</v>
      </c>
      <c r="U52" s="1519">
        <f>'Debt Model'!U66+'Debt Model'!U67</f>
        <v>418.25762044699997</v>
      </c>
      <c r="V52" s="1520">
        <f>'Debt Model'!V66+'Debt Model'!V67</f>
        <v>1313.2486204469997</v>
      </c>
      <c r="W52" s="1519">
        <f>'Debt Model'!W66+'Debt Model'!W67</f>
        <v>532.78380889699997</v>
      </c>
      <c r="X52" s="1519">
        <f>'Debt Model'!X66+'Debt Model'!X67</f>
        <v>635.75705902062509</v>
      </c>
      <c r="Y52" s="1519">
        <f>'Debt Model'!Y66+'Debt Model'!Y67</f>
        <v>700.48071386688071</v>
      </c>
      <c r="Z52" s="1519">
        <f>'Debt Model'!Z66+'Debt Model'!Z67</f>
        <v>722.41581506964837</v>
      </c>
      <c r="AA52" s="1520">
        <f>'Debt Model'!AA66+'Debt Model'!AA67</f>
        <v>2591.437396854154</v>
      </c>
      <c r="AB52" s="1519">
        <f>'Debt Model'!AB66+'Debt Model'!AB67</f>
        <v>629.64265176800541</v>
      </c>
      <c r="AC52" s="1519">
        <f>'Debt Model'!AC66+'Debt Model'!AC67</f>
        <v>803.21130712792035</v>
      </c>
      <c r="AD52" s="1519">
        <f>'Debt Model'!AD66+'Debt Model'!AD67</f>
        <v>875.58353166596044</v>
      </c>
      <c r="AE52" s="1519">
        <f>'Debt Model'!AE66+'Debt Model'!AE67</f>
        <v>911.65575620400045</v>
      </c>
      <c r="AF52" s="1520">
        <f>'Debt Model'!AF66+'Debt Model'!AF67</f>
        <v>3220.0932467658868</v>
      </c>
      <c r="AG52" s="1519">
        <f>'Debt Model'!AG66+'Debt Model'!AG67</f>
        <v>800.85637412309973</v>
      </c>
      <c r="AH52" s="1519">
        <f>'Debt Model'!AH66+'Debt Model'!AH67</f>
        <v>1004.9830608513829</v>
      </c>
      <c r="AI52" s="1519">
        <f>'Debt Model'!AI66+'Debt Model'!AI67</f>
        <v>1064.1824230077909</v>
      </c>
      <c r="AJ52" s="1519">
        <f>'Debt Model'!AJ66+'Debt Model'!AJ67</f>
        <v>1093.3442851641992</v>
      </c>
      <c r="AK52" s="1520">
        <f>'Debt Model'!AK66+'Debt Model'!AK67</f>
        <v>3963.366143146473</v>
      </c>
    </row>
    <row r="53" spans="1:41" s="1521" customFormat="1" ht="12.75" customHeight="1">
      <c r="A53" s="1419"/>
      <c r="B53" s="1513" t="s">
        <v>300</v>
      </c>
      <c r="C53" s="1522"/>
      <c r="D53" s="1523"/>
      <c r="E53" s="1523"/>
      <c r="F53" s="1523"/>
      <c r="G53" s="1516">
        <f>'IS (GAAP)'!G56</f>
        <v>0</v>
      </c>
      <c r="H53" s="1517">
        <f>'IS (GAAP)'!H56</f>
        <v>0</v>
      </c>
      <c r="I53" s="1518">
        <f>'IS (GAAP)'!I56</f>
        <v>0</v>
      </c>
      <c r="J53" s="1518">
        <f>'IS (GAAP)'!J56</f>
        <v>0</v>
      </c>
      <c r="K53" s="1518">
        <f>'IS (GAAP)'!K56</f>
        <v>0</v>
      </c>
      <c r="L53" s="1516">
        <f>'IS (GAAP)'!L56</f>
        <v>0</v>
      </c>
      <c r="M53" s="1517">
        <f>'IS (GAAP)'!M56</f>
        <v>-32.177</v>
      </c>
      <c r="N53" s="1518">
        <f>'IS (GAAP)'!N56</f>
        <v>-40.686999999999998</v>
      </c>
      <c r="O53" s="1518">
        <f>'IS (GAAP)'!O56</f>
        <v>-35.072000000000003</v>
      </c>
      <c r="P53" s="1518">
        <f>'IS (GAAP)'!P56</f>
        <v>-51.081000000000003</v>
      </c>
      <c r="Q53" s="1516">
        <f>'IS (GAAP)'!Q56</f>
        <v>-159.017</v>
      </c>
      <c r="R53" s="1517">
        <f>'IS (GAAP)'!R56</f>
        <v>-13.091999999999999</v>
      </c>
      <c r="S53" s="1518">
        <f>'IS (GAAP)'!S56</f>
        <v>-23.186</v>
      </c>
      <c r="T53" s="1518">
        <f>'IS (GAAP)'!T56</f>
        <v>-61.764000000000003</v>
      </c>
      <c r="U53" s="1524">
        <f>-'Revenue and CapEx Build'!U93</f>
        <v>-92.646000000000001</v>
      </c>
      <c r="V53" s="1525">
        <f>-'Revenue and CapEx Build'!V93</f>
        <v>-190.68799999999999</v>
      </c>
      <c r="W53" s="1524">
        <f>-'Revenue and CapEx Build'!W93</f>
        <v>-69.970760400000003</v>
      </c>
      <c r="X53" s="1524">
        <f>-'Revenue and CapEx Build'!X93</f>
        <v>-71.370175607999997</v>
      </c>
      <c r="Y53" s="1524">
        <f>-'Revenue and CapEx Build'!Y93</f>
        <v>-74.938684388400006</v>
      </c>
      <c r="Z53" s="1524">
        <f>-'Revenue and CapEx Build'!Z93</f>
        <v>-77.18684492005201</v>
      </c>
      <c r="AA53" s="1525">
        <f>-'Revenue and CapEx Build'!AA93</f>
        <v>-293.466465316452</v>
      </c>
      <c r="AB53" s="1524">
        <f>-'Revenue and CapEx Build'!AB93</f>
        <v>-65.351901830493617</v>
      </c>
      <c r="AC53" s="1524">
        <f>-'Revenue and CapEx Build'!AC93</f>
        <v>-78.422282196592334</v>
      </c>
      <c r="AD53" s="1524">
        <f>-'Revenue and CapEx Build'!AD93</f>
        <v>-82.343396306421965</v>
      </c>
      <c r="AE53" s="1524">
        <f>-'Revenue and CapEx Build'!AE93</f>
        <v>-88.107434047871493</v>
      </c>
      <c r="AF53" s="1525">
        <f>-'Revenue and CapEx Build'!AF93</f>
        <v>-314.22501438137942</v>
      </c>
      <c r="AG53" s="1524">
        <f>-'Revenue and CapEx Build'!AG93</f>
        <v>-88.336946801115786</v>
      </c>
      <c r="AH53" s="1524">
        <f>-'Revenue and CapEx Build'!AH93</f>
        <v>-99.820749885260824</v>
      </c>
      <c r="AI53" s="1524">
        <f>-'Revenue and CapEx Build'!AI93</f>
        <v>-112.79744737034473</v>
      </c>
      <c r="AJ53" s="1524">
        <f>-'Revenue and CapEx Build'!AJ93</f>
        <v>-125.20516658108266</v>
      </c>
      <c r="AK53" s="1525">
        <f>-'Revenue and CapEx Build'!AK93</f>
        <v>-426.160310637804</v>
      </c>
    </row>
    <row r="54" spans="1:41" s="1534" customFormat="1" ht="12.75" customHeight="1">
      <c r="A54" s="1291"/>
      <c r="B54" s="1508" t="s">
        <v>257</v>
      </c>
      <c r="C54" s="1526"/>
      <c r="D54" s="1527"/>
      <c r="E54" s="1527"/>
      <c r="F54" s="1527"/>
      <c r="G54" s="1528">
        <f>'IS (GAAP)'!G57</f>
        <v>9.4440000000000008</v>
      </c>
      <c r="H54" s="1529">
        <f>'IS (GAAP)'!H57</f>
        <v>4.2742473861551638</v>
      </c>
      <c r="I54" s="1530">
        <f>'IS (GAAP)'!I57</f>
        <v>8.4537894289013593</v>
      </c>
      <c r="J54" s="1530">
        <f>'IS (GAAP)'!J57</f>
        <v>-0.41398799083804422</v>
      </c>
      <c r="K54" s="1530">
        <f>'IS (GAAP)'!K57</f>
        <v>16.089951175781522</v>
      </c>
      <c r="L54" s="1528">
        <f>'IS (GAAP)'!L57</f>
        <v>28.404</v>
      </c>
      <c r="M54" s="1529">
        <f>'IS (GAAP)'!M57</f>
        <v>40.655999999999999</v>
      </c>
      <c r="N54" s="1530">
        <f>'IS (GAAP)'!N57</f>
        <v>66.766000000000005</v>
      </c>
      <c r="O54" s="1530">
        <f>'IS (GAAP)'!O57</f>
        <v>104.375</v>
      </c>
      <c r="P54" s="1530">
        <f>'IS (GAAP)'!P57</f>
        <v>149.02699999999999</v>
      </c>
      <c r="Q54" s="1528">
        <f>'IS (GAAP)'!Q57</f>
        <v>360.82399999999996</v>
      </c>
      <c r="R54" s="1529">
        <f>'IS (GAAP)'!R57</f>
        <v>263.83499999999998</v>
      </c>
      <c r="S54" s="1530">
        <f>'IS (GAAP)'!S57</f>
        <v>266.96600000000001</v>
      </c>
      <c r="T54" s="1530">
        <f>'IS (GAAP)'!T57</f>
        <v>310.55500000000001</v>
      </c>
      <c r="U54" s="1531">
        <f t="shared" ref="U54:AF54" si="18">SUM(U52:U53)</f>
        <v>325.61162044699995</v>
      </c>
      <c r="V54" s="1532">
        <f t="shared" si="18"/>
        <v>1122.5606204469996</v>
      </c>
      <c r="W54" s="1533">
        <f t="shared" si="18"/>
        <v>462.81304849699995</v>
      </c>
      <c r="X54" s="1531">
        <f t="shared" si="18"/>
        <v>564.38688341262514</v>
      </c>
      <c r="Y54" s="1531">
        <f t="shared" si="18"/>
        <v>625.54202947848069</v>
      </c>
      <c r="Z54" s="1531">
        <f t="shared" si="18"/>
        <v>645.22897014959631</v>
      </c>
      <c r="AA54" s="1532">
        <f t="shared" si="18"/>
        <v>2297.9709315377022</v>
      </c>
      <c r="AB54" s="1533">
        <f t="shared" si="18"/>
        <v>564.29074993751181</v>
      </c>
      <c r="AC54" s="1531">
        <f t="shared" si="18"/>
        <v>724.78902493132796</v>
      </c>
      <c r="AD54" s="1531">
        <f t="shared" si="18"/>
        <v>793.2401353595385</v>
      </c>
      <c r="AE54" s="1531">
        <f t="shared" si="18"/>
        <v>823.54832215612896</v>
      </c>
      <c r="AF54" s="1532">
        <f t="shared" si="18"/>
        <v>2905.8682323845073</v>
      </c>
      <c r="AG54" s="1533">
        <f>SUM(AG52:AG53)</f>
        <v>712.51942732198393</v>
      </c>
      <c r="AH54" s="1531">
        <f>SUM(AH52:AH53)</f>
        <v>905.16231096612205</v>
      </c>
      <c r="AI54" s="1531">
        <f>SUM(AI52:AI53)</f>
        <v>951.38497563744625</v>
      </c>
      <c r="AJ54" s="1531">
        <f>SUM(AJ52:AJ53)</f>
        <v>968.13911858311644</v>
      </c>
      <c r="AK54" s="1532">
        <f>SUM(AK52:AK53)</f>
        <v>3537.2058325086691</v>
      </c>
    </row>
    <row r="55" spans="1:41" s="298" customFormat="1" ht="12.75" customHeight="1">
      <c r="A55" s="1088"/>
      <c r="B55" s="433" t="s">
        <v>31</v>
      </c>
      <c r="C55" s="102"/>
      <c r="D55" s="102"/>
      <c r="E55" s="102"/>
      <c r="F55" s="102"/>
      <c r="G55" s="254"/>
      <c r="H55" s="291" t="str">
        <f t="shared" ref="H55:AF55" si="19">IFERROR(H54/C54-1,"")</f>
        <v/>
      </c>
      <c r="I55" s="291" t="str">
        <f t="shared" si="19"/>
        <v/>
      </c>
      <c r="J55" s="291" t="str">
        <f t="shared" si="19"/>
        <v/>
      </c>
      <c r="K55" s="291" t="str">
        <f t="shared" si="19"/>
        <v/>
      </c>
      <c r="L55" s="254">
        <f t="shared" si="19"/>
        <v>2.0076238881829731</v>
      </c>
      <c r="M55" s="291">
        <f t="shared" si="19"/>
        <v>8.5118500000000008</v>
      </c>
      <c r="N55" s="291">
        <f t="shared" si="19"/>
        <v>6.8977600000000008</v>
      </c>
      <c r="O55" s="291">
        <f t="shared" si="19"/>
        <v>-253.12083999999996</v>
      </c>
      <c r="P55" s="291">
        <f t="shared" si="19"/>
        <v>8.2621163589554172</v>
      </c>
      <c r="Q55" s="254">
        <f t="shared" si="19"/>
        <v>11.703281227996055</v>
      </c>
      <c r="R55" s="291">
        <f t="shared" si="19"/>
        <v>5.4894480519480515</v>
      </c>
      <c r="S55" s="291">
        <f t="shared" si="19"/>
        <v>2.9985321870413082</v>
      </c>
      <c r="T55" s="291">
        <f t="shared" si="19"/>
        <v>1.975377245508982</v>
      </c>
      <c r="U55" s="102">
        <f t="shared" si="19"/>
        <v>1.1849169643554522</v>
      </c>
      <c r="V55" s="254">
        <f t="shared" si="19"/>
        <v>2.1111029766506655</v>
      </c>
      <c r="W55" s="102">
        <f t="shared" si="19"/>
        <v>0.75417608921105983</v>
      </c>
      <c r="X55" s="102">
        <f t="shared" si="19"/>
        <v>1.1140777605111705</v>
      </c>
      <c r="Y55" s="102">
        <f t="shared" si="19"/>
        <v>1.0142713190207231</v>
      </c>
      <c r="Z55" s="102">
        <f t="shared" si="19"/>
        <v>0.98159073458074175</v>
      </c>
      <c r="AA55" s="254">
        <f t="shared" si="19"/>
        <v>1.0470795872232346</v>
      </c>
      <c r="AB55" s="102">
        <f t="shared" si="19"/>
        <v>0.21926283576071137</v>
      </c>
      <c r="AC55" s="102">
        <f t="shared" si="19"/>
        <v>0.28420600519419281</v>
      </c>
      <c r="AD55" s="102">
        <f t="shared" si="19"/>
        <v>0.26808447390956136</v>
      </c>
      <c r="AE55" s="102">
        <f t="shared" si="19"/>
        <v>0.27636600378496534</v>
      </c>
      <c r="AF55" s="254">
        <f t="shared" si="19"/>
        <v>0.26453654939839755</v>
      </c>
      <c r="AG55" s="102">
        <f>IFERROR(AG54/AB54-1,"")</f>
        <v>0.26268138792083096</v>
      </c>
      <c r="AH55" s="102">
        <f>IFERROR(AH54/AC54-1,"")</f>
        <v>0.24886315856105035</v>
      </c>
      <c r="AI55" s="102">
        <f>IFERROR(AI54/AD54-1,"")</f>
        <v>0.19936565641150783</v>
      </c>
      <c r="AJ55" s="102">
        <f>IFERROR(AJ54/AE54-1,"")</f>
        <v>0.175570506959974</v>
      </c>
      <c r="AK55" s="254">
        <f>IFERROR(AK54/AF54-1,"")</f>
        <v>0.21726298291443746</v>
      </c>
      <c r="AO55" s="965"/>
    </row>
    <row r="56" spans="1:41" s="486" customFormat="1" ht="12.75" customHeight="1">
      <c r="A56" s="603"/>
      <c r="B56" s="825"/>
      <c r="C56" s="557"/>
      <c r="D56" s="558"/>
      <c r="E56" s="558"/>
      <c r="F56" s="558"/>
      <c r="G56" s="690"/>
      <c r="H56" s="691"/>
      <c r="I56" s="692"/>
      <c r="J56" s="692"/>
      <c r="K56" s="692"/>
      <c r="L56" s="690"/>
      <c r="M56" s="691"/>
      <c r="N56" s="692"/>
      <c r="O56" s="692"/>
      <c r="P56" s="692"/>
      <c r="Q56" s="690"/>
      <c r="R56" s="691"/>
      <c r="S56" s="692"/>
      <c r="T56" s="692"/>
      <c r="V56" s="687"/>
      <c r="W56" s="557"/>
      <c r="X56" s="558"/>
      <c r="Y56" s="558"/>
      <c r="Z56" s="558"/>
      <c r="AA56" s="687"/>
      <c r="AB56" s="557"/>
      <c r="AC56" s="558"/>
      <c r="AD56" s="558"/>
      <c r="AE56" s="558"/>
      <c r="AF56" s="687"/>
      <c r="AG56" s="557"/>
      <c r="AH56" s="558"/>
      <c r="AI56" s="558"/>
      <c r="AJ56" s="558"/>
      <c r="AK56" s="687"/>
    </row>
    <row r="57" spans="1:41" s="1534" customFormat="1" ht="12.75" customHeight="1">
      <c r="A57" s="1291"/>
      <c r="B57" s="1535" t="s">
        <v>256</v>
      </c>
      <c r="C57" s="1536"/>
      <c r="D57" s="1537"/>
      <c r="E57" s="1537"/>
      <c r="F57" s="1537"/>
      <c r="G57" s="1520">
        <f>'IS (GAAP)'!G60+G123</f>
        <v>0</v>
      </c>
      <c r="H57" s="1538">
        <f>'IS (GAAP)'!H60+H123</f>
        <v>0</v>
      </c>
      <c r="I57" s="1539">
        <f>'IS (GAAP)'!I60+I123</f>
        <v>0</v>
      </c>
      <c r="J57" s="1539">
        <f>'IS (GAAP)'!J60+J123</f>
        <v>390.48500000000001</v>
      </c>
      <c r="K57" s="1539">
        <f>'IS (GAAP)'!K60+K123</f>
        <v>143.46699999999998</v>
      </c>
      <c r="L57" s="1520">
        <f>'IS (GAAP)'!L60+L123</f>
        <v>0</v>
      </c>
      <c r="M57" s="1538">
        <f>'IS (GAAP)'!M60+M123</f>
        <v>0</v>
      </c>
      <c r="N57" s="1539">
        <f>'IS (GAAP)'!N60+N123</f>
        <v>0</v>
      </c>
      <c r="O57" s="1539">
        <f>'IS (GAAP)'!O60+O123</f>
        <v>0</v>
      </c>
      <c r="P57" s="1539">
        <f>'IS (GAAP)'!P60+P123</f>
        <v>0</v>
      </c>
      <c r="Q57" s="1520">
        <f>'IS (GAAP)'!Q60+Q123</f>
        <v>0</v>
      </c>
      <c r="R57" s="1538">
        <f>'IS (GAAP)'!R60+R123</f>
        <v>0</v>
      </c>
      <c r="S57" s="1539">
        <f>'IS (GAAP)'!S60+S123</f>
        <v>0</v>
      </c>
      <c r="T57" s="1539">
        <f>'IS (GAAP)'!T60+T123</f>
        <v>0</v>
      </c>
      <c r="U57" s="1537">
        <f>T57</f>
        <v>0</v>
      </c>
      <c r="V57" s="1540">
        <f>SUM(R57:U57)</f>
        <v>0</v>
      </c>
      <c r="W57" s="1536">
        <f>U57</f>
        <v>0</v>
      </c>
      <c r="X57" s="1537">
        <f>W57</f>
        <v>0</v>
      </c>
      <c r="Y57" s="1537">
        <f>X57</f>
        <v>0</v>
      </c>
      <c r="Z57" s="1537">
        <f>Y57</f>
        <v>0</v>
      </c>
      <c r="AA57" s="1540">
        <f>SUM(W57:Z57)</f>
        <v>0</v>
      </c>
      <c r="AB57" s="1536">
        <f>Z57</f>
        <v>0</v>
      </c>
      <c r="AC57" s="1537">
        <f>AB57</f>
        <v>0</v>
      </c>
      <c r="AD57" s="1537">
        <f>AC57</f>
        <v>0</v>
      </c>
      <c r="AE57" s="1537">
        <f>AD57</f>
        <v>0</v>
      </c>
      <c r="AF57" s="1540">
        <f>SUM(AB57:AE57)</f>
        <v>0</v>
      </c>
      <c r="AG57" s="1536">
        <f>AE57</f>
        <v>0</v>
      </c>
      <c r="AH57" s="1537">
        <f>AG57</f>
        <v>0</v>
      </c>
      <c r="AI57" s="1537">
        <f>AH57</f>
        <v>0</v>
      </c>
      <c r="AJ57" s="1537">
        <f>AI57</f>
        <v>0</v>
      </c>
      <c r="AK57" s="1540">
        <f>SUM(AG57:AJ57)</f>
        <v>0</v>
      </c>
    </row>
    <row r="58" spans="1:41" s="1534" customFormat="1" ht="12.75" customHeight="1">
      <c r="A58" s="1291" t="s">
        <v>152</v>
      </c>
      <c r="B58" s="1535" t="s">
        <v>258</v>
      </c>
      <c r="C58" s="1536"/>
      <c r="D58" s="1537"/>
      <c r="E58" s="1537"/>
      <c r="F58" s="1537"/>
      <c r="G58" s="1520">
        <f>'IS (GAAP)'!G61+G124</f>
        <v>0.192</v>
      </c>
      <c r="H58" s="1538">
        <f>'IS (GAAP)'!H61+H124</f>
        <v>0</v>
      </c>
      <c r="I58" s="1539">
        <f>'IS (GAAP)'!I61+I124</f>
        <v>0</v>
      </c>
      <c r="J58" s="1539">
        <f>'IS (GAAP)'!J61+J124</f>
        <v>0</v>
      </c>
      <c r="K58" s="1539">
        <f>'IS (GAAP)'!K61+K124</f>
        <v>0</v>
      </c>
      <c r="L58" s="1520">
        <f>'IS (GAAP)'!L61+L124</f>
        <v>18.760000000000002</v>
      </c>
      <c r="M58" s="1539">
        <f>'IS (GAAP)'!M61+M122+M124</f>
        <v>7.46</v>
      </c>
      <c r="N58" s="1539">
        <f>'IS (GAAP)'!N61+N122+N124</f>
        <v>16.405999999999999</v>
      </c>
      <c r="O58" s="1539">
        <f>'IS (GAAP)'!O61+O122+O124</f>
        <v>21.368000000000002</v>
      </c>
      <c r="P58" s="1539">
        <f>'IS (GAAP)'!P61+P122+P124</f>
        <v>14.084</v>
      </c>
      <c r="Q58" s="1520">
        <f>'IS (GAAP)'!Q61+Q124</f>
        <v>59.318000000000005</v>
      </c>
      <c r="R58" s="1539">
        <f>'IS (GAAP)'!R61+R122+R124</f>
        <v>-2.3179999999999996</v>
      </c>
      <c r="S58" s="1539">
        <f>'IS (GAAP)'!S61+S122+S124</f>
        <v>2.8200000000000003</v>
      </c>
      <c r="T58" s="1539">
        <f>'IS (GAAP)'!T61+T122+T124</f>
        <v>24.292999999999999</v>
      </c>
      <c r="U58" s="1541">
        <f t="shared" ref="U58:AE58" si="20">U128</f>
        <v>25.233873500000001</v>
      </c>
      <c r="V58" s="1540">
        <f t="shared" si="20"/>
        <v>50.028873500000003</v>
      </c>
      <c r="W58" s="1542">
        <f>W128</f>
        <v>19.572695098590547</v>
      </c>
      <c r="X58" s="1541">
        <f t="shared" si="20"/>
        <v>18.085712113541497</v>
      </c>
      <c r="Y58" s="1541">
        <f t="shared" si="20"/>
        <v>18.215892265461978</v>
      </c>
      <c r="Z58" s="1541">
        <f t="shared" si="20"/>
        <v>18.782922002463156</v>
      </c>
      <c r="AA58" s="1540">
        <f>AA128</f>
        <v>74.657221480057174</v>
      </c>
      <c r="AB58" s="1541">
        <f t="shared" si="20"/>
        <v>23.853752453510097</v>
      </c>
      <c r="AC58" s="1541">
        <f t="shared" si="20"/>
        <v>20.635173920595005</v>
      </c>
      <c r="AD58" s="1541">
        <f>AD128</f>
        <v>22.809457564110769</v>
      </c>
      <c r="AE58" s="1541">
        <f t="shared" si="20"/>
        <v>25.39776524120262</v>
      </c>
      <c r="AF58" s="1540">
        <f t="shared" ref="AF58:AK58" si="21">AF128</f>
        <v>92.696149179418498</v>
      </c>
      <c r="AG58" s="1541">
        <f t="shared" si="21"/>
        <v>27.518086134745595</v>
      </c>
      <c r="AH58" s="1541">
        <f t="shared" si="21"/>
        <v>25.148486062013575</v>
      </c>
      <c r="AI58" s="1541">
        <f t="shared" si="21"/>
        <v>26.031277215037665</v>
      </c>
      <c r="AJ58" s="1541">
        <f t="shared" si="21"/>
        <v>28.575664363689565</v>
      </c>
      <c r="AK58" s="1540">
        <f t="shared" si="21"/>
        <v>107.27351377548641</v>
      </c>
    </row>
    <row r="59" spans="1:41" s="1422" customFormat="1" ht="12.75" customHeight="1">
      <c r="A59" s="1419"/>
      <c r="B59" s="1493" t="s">
        <v>375</v>
      </c>
      <c r="C59" s="1502"/>
      <c r="D59" s="1502"/>
      <c r="E59" s="1502"/>
      <c r="F59" s="1502"/>
      <c r="G59" s="1543">
        <f t="shared" ref="G59:AK59" si="22">G47+SUM(G57:G58)-G54</f>
        <v>-30.642000000000003</v>
      </c>
      <c r="H59" s="1504">
        <f t="shared" si="22"/>
        <v>-16.12021332095458</v>
      </c>
      <c r="I59" s="1504">
        <f t="shared" si="22"/>
        <v>-13.090146017675401</v>
      </c>
      <c r="J59" s="1504">
        <f t="shared" si="22"/>
        <v>394.70530391021771</v>
      </c>
      <c r="K59" s="1504">
        <f t="shared" si="22"/>
        <v>125.60205542841229</v>
      </c>
      <c r="L59" s="1543">
        <f t="shared" si="22"/>
        <v>-8.940999999999967</v>
      </c>
      <c r="M59" s="1504">
        <f t="shared" si="22"/>
        <v>-8.1599999999999966</v>
      </c>
      <c r="N59" s="1504">
        <f t="shared" si="22"/>
        <v>35.021000000000001</v>
      </c>
      <c r="O59" s="1504">
        <f t="shared" si="22"/>
        <v>41.725999999999999</v>
      </c>
      <c r="P59" s="1504">
        <f t="shared" si="22"/>
        <v>-14.246999999999957</v>
      </c>
      <c r="Q59" s="1543">
        <f t="shared" si="22"/>
        <v>54.339999999999804</v>
      </c>
      <c r="R59" s="1504">
        <f t="shared" si="22"/>
        <v>-103.52000000000007</v>
      </c>
      <c r="S59" s="1504">
        <f t="shared" si="22"/>
        <v>-64.35799999999989</v>
      </c>
      <c r="T59" s="1504">
        <f t="shared" si="22"/>
        <v>-69.108000000000004</v>
      </c>
      <c r="U59" s="1502">
        <f t="shared" si="22"/>
        <v>-163.67723420026954</v>
      </c>
      <c r="V59" s="1543">
        <f t="shared" si="22"/>
        <v>-356.25623420026875</v>
      </c>
      <c r="W59" s="1502">
        <f t="shared" si="22"/>
        <v>-65.330282845131592</v>
      </c>
      <c r="X59" s="1502">
        <f t="shared" si="22"/>
        <v>-13.296242318766986</v>
      </c>
      <c r="Y59" s="1502">
        <f t="shared" si="22"/>
        <v>-30.374462520951056</v>
      </c>
      <c r="Z59" s="1502">
        <f t="shared" si="22"/>
        <v>17.984143150145542</v>
      </c>
      <c r="AA59" s="1543">
        <f t="shared" si="22"/>
        <v>-91.016844534705342</v>
      </c>
      <c r="AB59" s="1502">
        <f t="shared" si="22"/>
        <v>191.35551164716412</v>
      </c>
      <c r="AC59" s="1502">
        <f t="shared" si="22"/>
        <v>100.59947700438261</v>
      </c>
      <c r="AD59" s="1502">
        <f t="shared" si="22"/>
        <v>85.883115734241755</v>
      </c>
      <c r="AE59" s="1502">
        <f t="shared" si="22"/>
        <v>34.703356520593275</v>
      </c>
      <c r="AF59" s="1543">
        <f t="shared" si="22"/>
        <v>412.54146090638278</v>
      </c>
      <c r="AG59" s="1502">
        <f t="shared" si="22"/>
        <v>307.96746401540611</v>
      </c>
      <c r="AH59" s="1502">
        <f t="shared" si="22"/>
        <v>92.901603040574059</v>
      </c>
      <c r="AI59" s="1502">
        <f t="shared" si="22"/>
        <v>63.892676214736866</v>
      </c>
      <c r="AJ59" s="1502">
        <f t="shared" si="22"/>
        <v>-31.636712546439639</v>
      </c>
      <c r="AK59" s="1543">
        <f t="shared" si="22"/>
        <v>433.12503072427899</v>
      </c>
    </row>
    <row r="60" spans="1:41" s="580" customFormat="1" ht="12.75" customHeight="1">
      <c r="A60" s="1098"/>
      <c r="B60" s="391"/>
      <c r="C60" s="576"/>
      <c r="D60" s="472"/>
      <c r="E60" s="472"/>
      <c r="F60" s="472"/>
      <c r="G60" s="567"/>
      <c r="H60" s="578"/>
      <c r="I60" s="579"/>
      <c r="J60" s="579"/>
      <c r="K60" s="579"/>
      <c r="L60" s="567"/>
      <c r="M60" s="578"/>
      <c r="N60" s="579"/>
      <c r="O60" s="579"/>
      <c r="P60" s="579"/>
      <c r="Q60" s="567"/>
      <c r="R60" s="578"/>
      <c r="S60" s="579"/>
      <c r="T60" s="579"/>
      <c r="U60" s="472"/>
      <c r="V60" s="577"/>
      <c r="W60" s="576"/>
      <c r="X60" s="472"/>
      <c r="Y60" s="472"/>
      <c r="Z60" s="472"/>
      <c r="AA60" s="577"/>
      <c r="AB60" s="578"/>
      <c r="AC60" s="579"/>
      <c r="AD60" s="472"/>
      <c r="AE60" s="472"/>
      <c r="AF60" s="577"/>
      <c r="AG60" s="578"/>
      <c r="AH60" s="579"/>
      <c r="AI60" s="472"/>
      <c r="AJ60" s="472"/>
      <c r="AK60" s="577"/>
    </row>
    <row r="61" spans="1:41" s="470" customFormat="1" ht="12.75" customHeight="1">
      <c r="A61" s="548" t="s">
        <v>151</v>
      </c>
      <c r="B61" s="967" t="s">
        <v>259</v>
      </c>
      <c r="C61" s="542"/>
      <c r="D61" s="549"/>
      <c r="E61" s="549"/>
      <c r="F61" s="549"/>
      <c r="G61" s="690">
        <f>'IS (GAAP)'!G64</f>
        <v>-4.1500000000000004</v>
      </c>
      <c r="H61" s="691">
        <f>'IS (GAAP)'!H64</f>
        <v>0</v>
      </c>
      <c r="I61" s="692">
        <f>'IS (GAAP)'!I64</f>
        <v>0</v>
      </c>
      <c r="J61" s="692">
        <f>'IS (GAAP)'!J64</f>
        <v>0</v>
      </c>
      <c r="K61" s="692">
        <f>'IS (GAAP)'!K64</f>
        <v>0</v>
      </c>
      <c r="L61" s="690">
        <f>'IS (GAAP)'!L64</f>
        <v>35.701000000000001</v>
      </c>
      <c r="M61" s="692">
        <f>'IS (GAAP)'!M64-M125</f>
        <v>15.398999999999999</v>
      </c>
      <c r="N61" s="692">
        <f>'IS (GAAP)'!N64-N125</f>
        <v>40.151000000000003</v>
      </c>
      <c r="O61" s="692">
        <f>'IS (GAAP)'!O64-O125</f>
        <v>41.658999999999999</v>
      </c>
      <c r="P61" s="692">
        <f>'IS (GAAP)'!P64-P125</f>
        <v>22.038</v>
      </c>
      <c r="Q61" s="690">
        <f>'IS (GAAP)'!Q64</f>
        <v>119.247</v>
      </c>
      <c r="R61" s="692">
        <f>'IS (GAAP)'!R64-R125</f>
        <v>46.036000000000001</v>
      </c>
      <c r="S61" s="692">
        <f>'IS (GAAP)'!S64-S125</f>
        <v>66.447999999999993</v>
      </c>
      <c r="T61" s="692">
        <f>'IS (GAAP)'!T64-T125</f>
        <v>-28.138000000000005</v>
      </c>
      <c r="U61" s="553">
        <f>U59*U62</f>
        <v>65.470893680107821</v>
      </c>
      <c r="V61" s="699">
        <f>SUM(R61:U61)</f>
        <v>149.8168936801078</v>
      </c>
      <c r="W61" s="553">
        <f>W59*W62</f>
        <v>32.665141422565796</v>
      </c>
      <c r="X61" s="553">
        <f>X59*X62</f>
        <v>6.6481211593834928</v>
      </c>
      <c r="Y61" s="553">
        <f>Y59*Y62</f>
        <v>15.187231260475528</v>
      </c>
      <c r="Z61" s="553">
        <f>Z59*Z62</f>
        <v>-8.9920715750727709</v>
      </c>
      <c r="AA61" s="699">
        <f>SUM(W61:Z61)</f>
        <v>45.508422267352046</v>
      </c>
      <c r="AB61" s="553">
        <f>AB59*AB62</f>
        <v>153.08440931773131</v>
      </c>
      <c r="AC61" s="553">
        <f>AC59*AC62</f>
        <v>-30.179843101314781</v>
      </c>
      <c r="AD61" s="553">
        <f>AD59*AD62</f>
        <v>-25.764934720272525</v>
      </c>
      <c r="AE61" s="553">
        <f>AE59*AE62</f>
        <v>-10.411006956177982</v>
      </c>
      <c r="AF61" s="699">
        <f>SUM(AB61:AE61)</f>
        <v>86.72862453996602</v>
      </c>
      <c r="AG61" s="553">
        <f>AG59*AG62</f>
        <v>246.3739712123249</v>
      </c>
      <c r="AH61" s="553">
        <f>AH59*AH62</f>
        <v>-27.870480912172216</v>
      </c>
      <c r="AI61" s="553">
        <f>AI59*AI62</f>
        <v>-19.167802864421059</v>
      </c>
      <c r="AJ61" s="553">
        <f>AJ59*AJ62</f>
        <v>9.4910137639318908</v>
      </c>
      <c r="AK61" s="699">
        <f>SUM(AG61:AJ61)</f>
        <v>208.82670119966355</v>
      </c>
    </row>
    <row r="62" spans="1:41" s="298" customFormat="1" ht="12.75" customHeight="1">
      <c r="A62" s="1088"/>
      <c r="B62" s="433" t="s">
        <v>96</v>
      </c>
      <c r="C62" s="259"/>
      <c r="D62" s="259"/>
      <c r="E62" s="259"/>
      <c r="F62" s="259"/>
      <c r="G62" s="109">
        <f t="shared" ref="G62:Q62" si="23">G61/G59</f>
        <v>0.13543502382351022</v>
      </c>
      <c r="H62" s="614">
        <f t="shared" si="23"/>
        <v>0</v>
      </c>
      <c r="I62" s="614">
        <f t="shared" si="23"/>
        <v>0</v>
      </c>
      <c r="J62" s="614">
        <f t="shared" si="23"/>
        <v>0</v>
      </c>
      <c r="K62" s="614">
        <f t="shared" si="23"/>
        <v>0</v>
      </c>
      <c r="L62" s="109">
        <f t="shared" si="23"/>
        <v>-3.9929538082988629</v>
      </c>
      <c r="M62" s="614">
        <f t="shared" si="23"/>
        <v>-1.8871323529411772</v>
      </c>
      <c r="N62" s="614">
        <f t="shared" si="23"/>
        <v>1.1464835384483596</v>
      </c>
      <c r="O62" s="614">
        <f t="shared" si="23"/>
        <v>0.99839428653597273</v>
      </c>
      <c r="P62" s="614">
        <f t="shared" si="23"/>
        <v>-1.5468519688355489</v>
      </c>
      <c r="Q62" s="109">
        <f t="shared" si="23"/>
        <v>2.1944608023555472</v>
      </c>
      <c r="R62" s="614">
        <f>R61/R59</f>
        <v>-0.4447063369397215</v>
      </c>
      <c r="S62" s="614">
        <f>S61/S59</f>
        <v>-1.0324745952329175</v>
      </c>
      <c r="T62" s="614">
        <f>T61/T59</f>
        <v>0.40715980783700878</v>
      </c>
      <c r="U62" s="300">
        <v>-0.4</v>
      </c>
      <c r="V62" s="109">
        <f>V61/V59</f>
        <v>-0.4205312898353058</v>
      </c>
      <c r="W62" s="545">
        <v>-0.5</v>
      </c>
      <c r="X62" s="300">
        <v>-0.5</v>
      </c>
      <c r="Y62" s="300">
        <v>-0.5</v>
      </c>
      <c r="Z62" s="300">
        <v>-0.5</v>
      </c>
      <c r="AA62" s="109">
        <f>AA61/AA59</f>
        <v>-0.49999999999999312</v>
      </c>
      <c r="AB62" s="300">
        <v>0.8</v>
      </c>
      <c r="AC62" s="300">
        <v>-0.3</v>
      </c>
      <c r="AD62" s="300">
        <f>AC62</f>
        <v>-0.3</v>
      </c>
      <c r="AE62" s="300">
        <f>AD62</f>
        <v>-0.3</v>
      </c>
      <c r="AF62" s="109">
        <f>AF61/AF59</f>
        <v>0.21023008050976766</v>
      </c>
      <c r="AG62" s="300">
        <v>0.8</v>
      </c>
      <c r="AH62" s="300">
        <v>-0.3</v>
      </c>
      <c r="AI62" s="300">
        <f>AH62</f>
        <v>-0.3</v>
      </c>
      <c r="AJ62" s="300">
        <f>AI62</f>
        <v>-0.3</v>
      </c>
      <c r="AK62" s="109">
        <f>AK61/AK59</f>
        <v>0.48213953566816492</v>
      </c>
    </row>
    <row r="63" spans="1:41" s="269" customFormat="1" ht="12.75" customHeight="1">
      <c r="A63" s="67"/>
      <c r="B63" s="381"/>
      <c r="C63" s="253"/>
      <c r="D63" s="102"/>
      <c r="E63" s="102"/>
      <c r="F63" s="102"/>
      <c r="G63" s="271"/>
      <c r="H63" s="616"/>
      <c r="I63" s="291"/>
      <c r="J63" s="291"/>
      <c r="K63" s="616"/>
      <c r="L63" s="271"/>
      <c r="M63" s="616"/>
      <c r="N63" s="291"/>
      <c r="O63" s="291"/>
      <c r="P63" s="291"/>
      <c r="Q63" s="271"/>
      <c r="R63" s="616"/>
      <c r="S63" s="291"/>
      <c r="T63" s="291"/>
      <c r="U63" s="253"/>
      <c r="V63" s="271"/>
      <c r="W63" s="1030"/>
      <c r="X63" s="1030"/>
      <c r="Y63" s="1030"/>
      <c r="Z63" s="1030"/>
      <c r="AA63" s="271"/>
      <c r="AB63" s="253"/>
      <c r="AC63" s="102"/>
      <c r="AD63" s="102"/>
      <c r="AE63" s="253"/>
      <c r="AF63" s="271"/>
      <c r="AG63" s="253"/>
      <c r="AH63" s="102"/>
      <c r="AI63" s="102"/>
      <c r="AJ63" s="253"/>
      <c r="AK63" s="271"/>
    </row>
    <row r="64" spans="1:41" s="565" customFormat="1" ht="12.75" hidden="1" customHeight="1" outlineLevel="1">
      <c r="A64" s="1099"/>
      <c r="B64" s="468" t="s">
        <v>533</v>
      </c>
      <c r="C64" s="572"/>
      <c r="D64" s="572"/>
      <c r="E64" s="572"/>
      <c r="F64" s="572"/>
      <c r="G64" s="573">
        <f t="shared" ref="G64:AF64" si="24">G59-G61</f>
        <v>-26.492000000000004</v>
      </c>
      <c r="H64" s="615">
        <f t="shared" si="24"/>
        <v>-16.12021332095458</v>
      </c>
      <c r="I64" s="615">
        <f t="shared" si="24"/>
        <v>-13.090146017675401</v>
      </c>
      <c r="J64" s="615">
        <f t="shared" si="24"/>
        <v>394.70530391021771</v>
      </c>
      <c r="K64" s="615">
        <f t="shared" si="24"/>
        <v>125.60205542841229</v>
      </c>
      <c r="L64" s="573">
        <f t="shared" si="24"/>
        <v>-44.641999999999967</v>
      </c>
      <c r="M64" s="615">
        <f t="shared" si="24"/>
        <v>-23.558999999999997</v>
      </c>
      <c r="N64" s="615">
        <f t="shared" si="24"/>
        <v>-5.1300000000000026</v>
      </c>
      <c r="O64" s="615">
        <f t="shared" si="24"/>
        <v>6.7000000000000171E-2</v>
      </c>
      <c r="P64" s="615">
        <f t="shared" si="24"/>
        <v>-36.284999999999954</v>
      </c>
      <c r="Q64" s="573">
        <f t="shared" si="24"/>
        <v>-64.907000000000195</v>
      </c>
      <c r="R64" s="615">
        <f>R59-R61</f>
        <v>-149.55600000000007</v>
      </c>
      <c r="S64" s="615">
        <f>S59-S61</f>
        <v>-130.80599999999987</v>
      </c>
      <c r="T64" s="615">
        <f>T59-T61</f>
        <v>-40.97</v>
      </c>
      <c r="U64" s="572">
        <f t="shared" si="24"/>
        <v>-229.14812788037736</v>
      </c>
      <c r="V64" s="573">
        <f t="shared" si="24"/>
        <v>-506.07312788037655</v>
      </c>
      <c r="W64" s="572">
        <f t="shared" si="24"/>
        <v>-97.995424267697388</v>
      </c>
      <c r="X64" s="572">
        <f t="shared" si="24"/>
        <v>-19.944363478150478</v>
      </c>
      <c r="Y64" s="572">
        <f t="shared" si="24"/>
        <v>-45.561693781426584</v>
      </c>
      <c r="Z64" s="572">
        <f t="shared" si="24"/>
        <v>26.976214725218313</v>
      </c>
      <c r="AA64" s="573">
        <f t="shared" si="24"/>
        <v>-136.52526680205739</v>
      </c>
      <c r="AB64" s="572">
        <f t="shared" si="24"/>
        <v>38.271102329432807</v>
      </c>
      <c r="AC64" s="572">
        <f t="shared" si="24"/>
        <v>130.77932010569739</v>
      </c>
      <c r="AD64" s="572">
        <f t="shared" si="24"/>
        <v>111.64805045451428</v>
      </c>
      <c r="AE64" s="572">
        <f t="shared" si="24"/>
        <v>45.11436347677126</v>
      </c>
      <c r="AF64" s="573">
        <f t="shared" si="24"/>
        <v>325.81283636641678</v>
      </c>
      <c r="AG64" s="572">
        <f>AG59-AG61</f>
        <v>61.593492803081205</v>
      </c>
      <c r="AH64" s="572">
        <f>AH59-AH61</f>
        <v>120.77208395274627</v>
      </c>
      <c r="AI64" s="572">
        <f>AI59-AI61</f>
        <v>83.060479079157929</v>
      </c>
      <c r="AJ64" s="572">
        <f>AJ59-AJ61</f>
        <v>-41.127726310371528</v>
      </c>
      <c r="AK64" s="573">
        <f>AK59-AK61</f>
        <v>224.29832952461544</v>
      </c>
    </row>
    <row r="65" spans="1:37" s="269" customFormat="1" ht="12.75" hidden="1" customHeight="1" outlineLevel="1">
      <c r="A65" s="67"/>
      <c r="B65" s="391"/>
      <c r="C65" s="253"/>
      <c r="D65" s="253"/>
      <c r="E65" s="253"/>
      <c r="F65" s="253"/>
      <c r="G65" s="270"/>
      <c r="H65" s="616"/>
      <c r="I65" s="616"/>
      <c r="J65" s="616"/>
      <c r="K65" s="616"/>
      <c r="L65" s="270"/>
      <c r="M65" s="616"/>
      <c r="N65" s="616"/>
      <c r="O65" s="616"/>
      <c r="P65" s="616"/>
      <c r="Q65" s="270"/>
      <c r="R65" s="253"/>
      <c r="S65" s="616"/>
      <c r="T65" s="616"/>
      <c r="U65" s="253"/>
      <c r="V65" s="270"/>
      <c r="W65" s="253"/>
      <c r="X65" s="253"/>
      <c r="Y65" s="253"/>
      <c r="Z65" s="253"/>
      <c r="AA65" s="270"/>
      <c r="AB65" s="253"/>
      <c r="AC65" s="253"/>
      <c r="AD65" s="253"/>
      <c r="AE65" s="253"/>
      <c r="AF65" s="270"/>
      <c r="AG65" s="253"/>
      <c r="AH65" s="253"/>
      <c r="AI65" s="253"/>
      <c r="AJ65" s="253"/>
      <c r="AK65" s="270"/>
    </row>
    <row r="66" spans="1:37" ht="12.75" hidden="1" customHeight="1" outlineLevel="1">
      <c r="A66" s="67" t="s">
        <v>156</v>
      </c>
      <c r="B66" s="383" t="s">
        <v>377</v>
      </c>
      <c r="C66" s="260"/>
      <c r="D66" s="260"/>
      <c r="E66" s="260"/>
      <c r="F66" s="260"/>
      <c r="G66" s="265">
        <f t="shared" ref="G66:AF66" si="25">IFERROR(G64/G86,"")</f>
        <v>-0.14666282829177557</v>
      </c>
      <c r="H66" s="617" t="str">
        <f t="shared" si="25"/>
        <v/>
      </c>
      <c r="I66" s="617" t="str">
        <f t="shared" si="25"/>
        <v/>
      </c>
      <c r="J66" s="617" t="str">
        <f t="shared" si="25"/>
        <v/>
      </c>
      <c r="K66" s="617" t="str">
        <f t="shared" si="25"/>
        <v/>
      </c>
      <c r="L66" s="265">
        <f>IFERROR(L64/L86,"")</f>
        <v>-0.23231198351408155</v>
      </c>
      <c r="M66" s="617">
        <f t="shared" si="25"/>
        <v>-0.11259965205421835</v>
      </c>
      <c r="N66" s="617" t="str">
        <f t="shared" si="25"/>
        <v/>
      </c>
      <c r="O66" s="617" t="str">
        <f t="shared" si="25"/>
        <v/>
      </c>
      <c r="P66" s="617" t="str">
        <f t="shared" si="25"/>
        <v/>
      </c>
      <c r="Q66" s="265">
        <f>IFERROR(Q64/Q86,"")</f>
        <v>-0.29793806861476124</v>
      </c>
      <c r="R66" s="260">
        <f t="shared" si="25"/>
        <v>-0.60892153350053768</v>
      </c>
      <c r="S66" s="617">
        <f>IFERROR(S64/S86,"")</f>
        <v>-0.26882124823517056</v>
      </c>
      <c r="T66" s="617">
        <f>IFERROR(T64/T86,"")</f>
        <v>-8.2287913297421494E-2</v>
      </c>
      <c r="U66" s="260">
        <f t="shared" si="25"/>
        <v>-0.4588655629228241</v>
      </c>
      <c r="V66" s="265">
        <f t="shared" si="25"/>
        <v>-1.170473476955842</v>
      </c>
      <c r="W66" s="260">
        <f t="shared" si="25"/>
        <v>-0.1950639297297885</v>
      </c>
      <c r="X66" s="260">
        <f t="shared" si="25"/>
        <v>-3.9463297489890324E-2</v>
      </c>
      <c r="Y66" s="260">
        <f t="shared" si="25"/>
        <v>-8.9613836621870321E-2</v>
      </c>
      <c r="Z66" s="260">
        <f t="shared" si="25"/>
        <v>5.2742199771111845E-2</v>
      </c>
      <c r="AA66" s="265">
        <f t="shared" si="25"/>
        <v>-0.26932552882514693</v>
      </c>
      <c r="AB66" s="260">
        <f t="shared" si="25"/>
        <v>7.4378980331038791E-2</v>
      </c>
      <c r="AC66" s="260">
        <f t="shared" si="25"/>
        <v>0.25265060545076795</v>
      </c>
      <c r="AD66" s="260">
        <f t="shared" si="25"/>
        <v>0.21440476419616586</v>
      </c>
      <c r="AE66" s="260">
        <f t="shared" si="25"/>
        <v>8.6119230553219517E-2</v>
      </c>
      <c r="AF66" s="265">
        <f t="shared" si="25"/>
        <v>0.62753904880228917</v>
      </c>
      <c r="AG66" s="260">
        <f>IFERROR(AG64/AG86,"")</f>
        <v>0.11687514384804995</v>
      </c>
      <c r="AH66" s="260">
        <f>IFERROR(AH64/AH86,"")</f>
        <v>0.22780114646223074</v>
      </c>
      <c r="AI66" s="260">
        <f>IFERROR(AI64/AI86,"")</f>
        <v>0.15573484544921487</v>
      </c>
      <c r="AJ66" s="260">
        <f>IFERROR(AJ64/AJ86,"")</f>
        <v>-7.6652810772287736E-2</v>
      </c>
      <c r="AK66" s="265">
        <f>IFERROR(AK64/AK86,"")</f>
        <v>0.42180010230966364</v>
      </c>
    </row>
    <row r="67" spans="1:37" s="298" customFormat="1" ht="12.75" hidden="1" customHeight="1" outlineLevel="1">
      <c r="A67" s="1088" t="s">
        <v>157</v>
      </c>
      <c r="B67" s="433" t="s">
        <v>31</v>
      </c>
      <c r="C67" s="102"/>
      <c r="D67" s="102"/>
      <c r="E67" s="102"/>
      <c r="F67" s="102"/>
      <c r="G67" s="254"/>
      <c r="H67" s="291" t="str">
        <f t="shared" ref="H67:AF67" si="26">IFERROR(H66/C66-1,"")</f>
        <v/>
      </c>
      <c r="I67" s="291" t="str">
        <f t="shared" si="26"/>
        <v/>
      </c>
      <c r="J67" s="291" t="str">
        <f t="shared" si="26"/>
        <v/>
      </c>
      <c r="K67" s="291" t="str">
        <f t="shared" si="26"/>
        <v/>
      </c>
      <c r="L67" s="254">
        <f t="shared" si="26"/>
        <v>0.58398679624473693</v>
      </c>
      <c r="M67" s="291" t="str">
        <f t="shared" si="26"/>
        <v/>
      </c>
      <c r="N67" s="291" t="str">
        <f t="shared" si="26"/>
        <v/>
      </c>
      <c r="O67" s="291" t="str">
        <f t="shared" si="26"/>
        <v/>
      </c>
      <c r="P67" s="291" t="str">
        <f t="shared" si="26"/>
        <v/>
      </c>
      <c r="Q67" s="254">
        <f t="shared" si="26"/>
        <v>0.28249117461778184</v>
      </c>
      <c r="R67" s="102">
        <f t="shared" si="26"/>
        <v>4.4078456051296966</v>
      </c>
      <c r="S67" s="291" t="str">
        <f t="shared" si="26"/>
        <v/>
      </c>
      <c r="T67" s="291" t="str">
        <f t="shared" si="26"/>
        <v/>
      </c>
      <c r="U67" s="102" t="str">
        <f t="shared" si="26"/>
        <v/>
      </c>
      <c r="V67" s="254">
        <f t="shared" si="26"/>
        <v>2.9285797964585831</v>
      </c>
      <c r="W67" s="102">
        <f t="shared" si="26"/>
        <v>-0.6796567061630836</v>
      </c>
      <c r="X67" s="102">
        <f t="shared" si="26"/>
        <v>-0.85319874173277033</v>
      </c>
      <c r="Y67" s="102">
        <f t="shared" si="26"/>
        <v>8.9027938987467081E-2</v>
      </c>
      <c r="Z67" s="102">
        <f t="shared" si="26"/>
        <v>-1.1149404183551304</v>
      </c>
      <c r="AA67" s="254">
        <f t="shared" si="26"/>
        <v>-0.76990035731043938</v>
      </c>
      <c r="AB67" s="102">
        <f t="shared" si="26"/>
        <v>-1.3813056592988358</v>
      </c>
      <c r="AC67" s="102">
        <f t="shared" si="26"/>
        <v>-7.4021666084921511</v>
      </c>
      <c r="AD67" s="102">
        <f t="shared" si="26"/>
        <v>-3.3925408427814174</v>
      </c>
      <c r="AE67" s="102">
        <f t="shared" si="26"/>
        <v>0.63283349816571488</v>
      </c>
      <c r="AF67" s="254">
        <f t="shared" si="26"/>
        <v>-3.3300392337100124</v>
      </c>
      <c r="AG67" s="102">
        <f>IFERROR(AG66/AB66-1,"")</f>
        <v>0.57134641168611533</v>
      </c>
      <c r="AH67" s="102">
        <f>IFERROR(AH66/AC66-1,"")</f>
        <v>-9.8355034393058038E-2</v>
      </c>
      <c r="AI67" s="102">
        <f>IFERROR(AI66/AD66-1,"")</f>
        <v>-0.27364092848828669</v>
      </c>
      <c r="AJ67" s="102">
        <f>IFERROR(AJ66/AE66-1,"")</f>
        <v>-1.8900777477908171</v>
      </c>
      <c r="AK67" s="254">
        <f>IFERROR(AK66/AF66-1,"")</f>
        <v>-0.32785042920483676</v>
      </c>
    </row>
    <row r="68" spans="1:37" ht="12.75" hidden="1" customHeight="1" outlineLevel="1">
      <c r="B68" s="433" t="s">
        <v>33</v>
      </c>
      <c r="C68" s="253"/>
      <c r="D68" s="102"/>
      <c r="E68" s="102"/>
      <c r="F68" s="102"/>
      <c r="G68" s="255"/>
      <c r="H68" s="616" t="str">
        <f>IFERROR(H66/F66-1,"")</f>
        <v/>
      </c>
      <c r="I68" s="291" t="str">
        <f>IFERROR(I66/H66-1,"")</f>
        <v/>
      </c>
      <c r="J68" s="291" t="str">
        <f>IFERROR(J66/I66-1,"")</f>
        <v/>
      </c>
      <c r="K68" s="291" t="str">
        <f>IFERROR(K66/J66-1,"")</f>
        <v/>
      </c>
      <c r="L68" s="255"/>
      <c r="M68" s="616" t="str">
        <f>IFERROR(M66/K66-1,"")</f>
        <v/>
      </c>
      <c r="N68" s="291" t="str">
        <f>IFERROR(N66/M66-1,"")</f>
        <v/>
      </c>
      <c r="O68" s="291" t="str">
        <f>IFERROR(O66/N66-1,"")</f>
        <v/>
      </c>
      <c r="P68" s="291" t="str">
        <f>IFERROR(P66/O66-1,"")</f>
        <v/>
      </c>
      <c r="Q68" s="255"/>
      <c r="R68" s="253" t="str">
        <f>IFERROR(R66/P66-1,"")</f>
        <v/>
      </c>
      <c r="S68" s="291">
        <f>IFERROR(S66/R66-1,"")</f>
        <v>-0.55852891802038207</v>
      </c>
      <c r="T68" s="291">
        <f>IFERROR(T66/S66-1,"")</f>
        <v>-0.69389356742576291</v>
      </c>
      <c r="U68" s="102">
        <f>IFERROR(U66/T66-1,"")</f>
        <v>4.5763421933461856</v>
      </c>
      <c r="V68" s="255"/>
      <c r="W68" s="253">
        <f>IFERROR(W66/U66-1,"")</f>
        <v>-0.57489961005725765</v>
      </c>
      <c r="X68" s="102">
        <f>IFERROR(X66/W66-1,"")</f>
        <v>-0.79769044156673818</v>
      </c>
      <c r="Y68" s="102">
        <f>IFERROR(Y66/X66-1,"")</f>
        <v>1.2708147144781177</v>
      </c>
      <c r="Z68" s="102">
        <f>IFERROR(Z66/Y66-1,"")</f>
        <v>-1.588549734720766</v>
      </c>
      <c r="AA68" s="255"/>
      <c r="AB68" s="253">
        <f>IFERROR(AB66/Z66-1,"")</f>
        <v>0.4102365971428048</v>
      </c>
      <c r="AC68" s="102">
        <f>IFERROR(AC66/AB66-1,"")</f>
        <v>2.3968011436335241</v>
      </c>
      <c r="AD68" s="102">
        <f>IFERROR(AD66/AC66-1,"")</f>
        <v>-0.15137838750224075</v>
      </c>
      <c r="AE68" s="102">
        <f>IFERROR(AE66/AD66-1,"")</f>
        <v>-0.59833340981907357</v>
      </c>
      <c r="AF68" s="255"/>
      <c r="AG68" s="253">
        <f>IFERROR(AG66/AE66-1,"")</f>
        <v>0.35713177065398938</v>
      </c>
      <c r="AH68" s="102">
        <f>IFERROR(AH66/AG66-1,"")</f>
        <v>0.94909831947155787</v>
      </c>
      <c r="AI68" s="102">
        <f>IFERROR(AI66/AH66-1,"")</f>
        <v>-0.31635618227656459</v>
      </c>
      <c r="AJ68" s="102">
        <f>IFERROR(AJ66/AI66-1,"")</f>
        <v>-1.4922007695271011</v>
      </c>
      <c r="AK68" s="255"/>
    </row>
    <row r="69" spans="1:37" ht="12.75" hidden="1" customHeight="1" outlineLevel="1">
      <c r="B69" s="433"/>
      <c r="C69" s="257"/>
      <c r="D69" s="257"/>
      <c r="E69" s="257"/>
      <c r="F69" s="257"/>
      <c r="G69" s="114"/>
      <c r="H69" s="292"/>
      <c r="I69" s="292"/>
      <c r="J69" s="292"/>
      <c r="K69" s="292"/>
      <c r="L69" s="114"/>
      <c r="M69" s="292"/>
      <c r="N69" s="292"/>
      <c r="O69" s="292"/>
      <c r="P69" s="292"/>
      <c r="Q69" s="114"/>
      <c r="R69" s="257"/>
      <c r="S69" s="292"/>
      <c r="T69" s="292"/>
      <c r="U69" s="257"/>
      <c r="V69" s="114"/>
      <c r="W69" s="257"/>
      <c r="X69" s="257"/>
      <c r="Y69" s="257"/>
      <c r="Z69" s="257"/>
      <c r="AA69" s="114"/>
      <c r="AB69" s="257"/>
      <c r="AC69" s="257"/>
      <c r="AD69" s="257"/>
      <c r="AE69" s="257"/>
      <c r="AF69" s="114"/>
      <c r="AG69" s="257"/>
      <c r="AH69" s="257"/>
      <c r="AI69" s="257"/>
      <c r="AJ69" s="257"/>
      <c r="AK69" s="114"/>
    </row>
    <row r="70" spans="1:37" ht="12.75" hidden="1" customHeight="1" outlineLevel="1">
      <c r="A70" s="67" t="s">
        <v>121</v>
      </c>
      <c r="B70" s="445" t="s">
        <v>376</v>
      </c>
      <c r="C70" s="446"/>
      <c r="D70" s="446"/>
      <c r="E70" s="446"/>
      <c r="F70" s="446"/>
      <c r="G70" s="447">
        <f t="shared" ref="G70:AF70" si="27">IFERROR(G64/G87,"")</f>
        <v>-0.14666282829177557</v>
      </c>
      <c r="H70" s="471" t="str">
        <f t="shared" si="27"/>
        <v/>
      </c>
      <c r="I70" s="471" t="str">
        <f t="shared" si="27"/>
        <v/>
      </c>
      <c r="J70" s="471" t="str">
        <f t="shared" si="27"/>
        <v/>
      </c>
      <c r="K70" s="471" t="str">
        <f t="shared" si="27"/>
        <v/>
      </c>
      <c r="L70" s="447">
        <f>IFERROR(L64/L87,"")</f>
        <v>-0.23231198351408155</v>
      </c>
      <c r="M70" s="471">
        <f t="shared" si="27"/>
        <v>-0.11259965205421835</v>
      </c>
      <c r="N70" s="471" t="str">
        <f t="shared" si="27"/>
        <v/>
      </c>
      <c r="O70" s="471" t="str">
        <f t="shared" si="27"/>
        <v/>
      </c>
      <c r="P70" s="471" t="str">
        <f t="shared" si="27"/>
        <v/>
      </c>
      <c r="Q70" s="447">
        <f>IFERROR(Q64/Q87,"")</f>
        <v>-0.29793806861476124</v>
      </c>
      <c r="R70" s="446">
        <f t="shared" si="27"/>
        <v>-0.59992057538719523</v>
      </c>
      <c r="S70" s="471">
        <f>IFERROR(S64/S87,"")</f>
        <v>-0.26882124823517056</v>
      </c>
      <c r="T70" s="471">
        <f>IFERROR(T64/T87,"")</f>
        <v>-8.2287913297421494E-2</v>
      </c>
      <c r="U70" s="446">
        <f t="shared" si="27"/>
        <v>-0.4588655629228241</v>
      </c>
      <c r="V70" s="447">
        <f t="shared" si="27"/>
        <v>-1.1679848316489161</v>
      </c>
      <c r="W70" s="446">
        <f t="shared" si="27"/>
        <v>-0.1950639297297885</v>
      </c>
      <c r="X70" s="446">
        <f t="shared" si="27"/>
        <v>-3.9463297489890324E-2</v>
      </c>
      <c r="Y70" s="446">
        <f t="shared" si="27"/>
        <v>-8.9613836621870321E-2</v>
      </c>
      <c r="Z70" s="446">
        <f t="shared" si="27"/>
        <v>5.2742199771111845E-2</v>
      </c>
      <c r="AA70" s="447">
        <f t="shared" si="27"/>
        <v>-0.26932552882514693</v>
      </c>
      <c r="AB70" s="446">
        <f t="shared" si="27"/>
        <v>7.4378980331038791E-2</v>
      </c>
      <c r="AC70" s="446">
        <f t="shared" si="27"/>
        <v>0.25265060545076795</v>
      </c>
      <c r="AD70" s="446">
        <f t="shared" si="27"/>
        <v>0.21440476419616586</v>
      </c>
      <c r="AE70" s="446">
        <f t="shared" si="27"/>
        <v>8.6119230553219517E-2</v>
      </c>
      <c r="AF70" s="447">
        <f t="shared" si="27"/>
        <v>0.62753904880228917</v>
      </c>
      <c r="AG70" s="446">
        <f>IFERROR(AG64/AG87,"")</f>
        <v>0.11687514384804995</v>
      </c>
      <c r="AH70" s="446">
        <f>IFERROR(AH64/AH87,"")</f>
        <v>0.22780114646223074</v>
      </c>
      <c r="AI70" s="446">
        <f>IFERROR(AI64/AI87,"")</f>
        <v>0.15573484544921487</v>
      </c>
      <c r="AJ70" s="446">
        <f>IFERROR(AJ64/AJ87,"")</f>
        <v>-7.6652810772287736E-2</v>
      </c>
      <c r="AK70" s="447">
        <f>IFERROR(AK64/AK87,"")</f>
        <v>0.42180010230966364</v>
      </c>
    </row>
    <row r="71" spans="1:37" s="298" customFormat="1" ht="12.75" hidden="1" customHeight="1" outlineLevel="1">
      <c r="A71" s="1088" t="s">
        <v>135</v>
      </c>
      <c r="B71" s="433" t="s">
        <v>31</v>
      </c>
      <c r="C71" s="102"/>
      <c r="D71" s="102"/>
      <c r="E71" s="102"/>
      <c r="F71" s="102"/>
      <c r="G71" s="254"/>
      <c r="H71" s="291" t="str">
        <f t="shared" ref="H71:AF71" si="28">IFERROR(H70/C70-1,"")</f>
        <v/>
      </c>
      <c r="I71" s="291" t="str">
        <f t="shared" si="28"/>
        <v/>
      </c>
      <c r="J71" s="291" t="str">
        <f t="shared" si="28"/>
        <v/>
      </c>
      <c r="K71" s="291" t="str">
        <f t="shared" si="28"/>
        <v/>
      </c>
      <c r="L71" s="254">
        <f t="shared" si="28"/>
        <v>0.58398679624473693</v>
      </c>
      <c r="M71" s="291" t="str">
        <f t="shared" si="28"/>
        <v/>
      </c>
      <c r="N71" s="291" t="str">
        <f t="shared" si="28"/>
        <v/>
      </c>
      <c r="O71" s="291" t="str">
        <f t="shared" si="28"/>
        <v/>
      </c>
      <c r="P71" s="291" t="str">
        <f t="shared" si="28"/>
        <v/>
      </c>
      <c r="Q71" s="254">
        <f t="shared" si="28"/>
        <v>0.28249117461778184</v>
      </c>
      <c r="R71" s="102">
        <f t="shared" si="28"/>
        <v>4.3279078970716967</v>
      </c>
      <c r="S71" s="291" t="str">
        <f t="shared" si="28"/>
        <v/>
      </c>
      <c r="T71" s="291" t="str">
        <f t="shared" si="28"/>
        <v/>
      </c>
      <c r="U71" s="102" t="str">
        <f t="shared" si="28"/>
        <v/>
      </c>
      <c r="V71" s="254">
        <f t="shared" si="28"/>
        <v>2.9202269017832005</v>
      </c>
      <c r="W71" s="102">
        <f t="shared" si="28"/>
        <v>-0.67485040898306892</v>
      </c>
      <c r="X71" s="102">
        <f t="shared" si="28"/>
        <v>-0.85319874173277033</v>
      </c>
      <c r="Y71" s="102">
        <f t="shared" si="28"/>
        <v>8.9027938987467081E-2</v>
      </c>
      <c r="Z71" s="102">
        <f t="shared" si="28"/>
        <v>-1.1149404183551304</v>
      </c>
      <c r="AA71" s="254">
        <f t="shared" si="28"/>
        <v>-0.76941008005649913</v>
      </c>
      <c r="AB71" s="102">
        <f t="shared" si="28"/>
        <v>-1.3813056592988358</v>
      </c>
      <c r="AC71" s="102">
        <f t="shared" si="28"/>
        <v>-7.4021666084921511</v>
      </c>
      <c r="AD71" s="102">
        <f t="shared" si="28"/>
        <v>-3.3925408427814174</v>
      </c>
      <c r="AE71" s="102">
        <f t="shared" si="28"/>
        <v>0.63283349816571488</v>
      </c>
      <c r="AF71" s="254">
        <f t="shared" si="28"/>
        <v>-3.3300392337100124</v>
      </c>
      <c r="AG71" s="102">
        <f>IFERROR(AG70/AB70-1,"")</f>
        <v>0.57134641168611533</v>
      </c>
      <c r="AH71" s="102">
        <f>IFERROR(AH70/AC70-1,"")</f>
        <v>-9.8355034393058038E-2</v>
      </c>
      <c r="AI71" s="102">
        <f>IFERROR(AI70/AD70-1,"")</f>
        <v>-0.27364092848828669</v>
      </c>
      <c r="AJ71" s="102">
        <f>IFERROR(AJ70/AE70-1,"")</f>
        <v>-1.8900777477908171</v>
      </c>
      <c r="AK71" s="254">
        <f>IFERROR(AK70/AF70-1,"")</f>
        <v>-0.32785042920483676</v>
      </c>
    </row>
    <row r="72" spans="1:37" ht="12.75" hidden="1" customHeight="1" outlineLevel="1">
      <c r="A72" s="67" t="s">
        <v>139</v>
      </c>
      <c r="B72" s="433" t="s">
        <v>33</v>
      </c>
      <c r="C72" s="253"/>
      <c r="D72" s="102"/>
      <c r="E72" s="102"/>
      <c r="F72" s="102"/>
      <c r="G72" s="255"/>
      <c r="H72" s="616" t="str">
        <f>IFERROR(H70/F70-1,"")</f>
        <v/>
      </c>
      <c r="I72" s="291" t="str">
        <f>IFERROR(I70/H70-1,"")</f>
        <v/>
      </c>
      <c r="J72" s="291" t="str">
        <f>IFERROR(J70/I70-1,"")</f>
        <v/>
      </c>
      <c r="K72" s="291" t="str">
        <f>IFERROR(K70/J70-1,"")</f>
        <v/>
      </c>
      <c r="L72" s="255"/>
      <c r="M72" s="616" t="str">
        <f>IFERROR(M70/K70-1,"")</f>
        <v/>
      </c>
      <c r="N72" s="291" t="str">
        <f>IFERROR(N70/M70-1,"")</f>
        <v/>
      </c>
      <c r="O72" s="291" t="str">
        <f>IFERROR(O70/N70-1,"")</f>
        <v/>
      </c>
      <c r="P72" s="291" t="str">
        <f>IFERROR(P70/O70-1,"")</f>
        <v/>
      </c>
      <c r="Q72" s="255"/>
      <c r="R72" s="253" t="str">
        <f>IFERROR(R70/P70-1,"")</f>
        <v/>
      </c>
      <c r="S72" s="291">
        <f>IFERROR(S70/R70-1,"")</f>
        <v>-0.55190527002400214</v>
      </c>
      <c r="T72" s="291">
        <f>IFERROR(T70/S70-1,"")</f>
        <v>-0.69389356742576291</v>
      </c>
      <c r="U72" s="102">
        <f>IFERROR(U70/T70-1,"")</f>
        <v>4.5763421933461856</v>
      </c>
      <c r="V72" s="255"/>
      <c r="W72" s="253">
        <f>IFERROR(W70/U70-1,"")</f>
        <v>-0.57489961005725765</v>
      </c>
      <c r="X72" s="102">
        <f>IFERROR(X70/W70-1,"")</f>
        <v>-0.79769044156673818</v>
      </c>
      <c r="Y72" s="102">
        <f>IFERROR(Y70/X70-1,"")</f>
        <v>1.2708147144781177</v>
      </c>
      <c r="Z72" s="102">
        <f>IFERROR(Z70/Y70-1,"")</f>
        <v>-1.588549734720766</v>
      </c>
      <c r="AA72" s="255"/>
      <c r="AB72" s="253">
        <f>IFERROR(AB70/Z70-1,"")</f>
        <v>0.4102365971428048</v>
      </c>
      <c r="AC72" s="102">
        <f>IFERROR(AC70/AB70-1,"")</f>
        <v>2.3968011436335241</v>
      </c>
      <c r="AD72" s="102">
        <f>IFERROR(AD70/AC70-1,"")</f>
        <v>-0.15137838750224075</v>
      </c>
      <c r="AE72" s="102">
        <f>IFERROR(AE70/AD70-1,"")</f>
        <v>-0.59833340981907357</v>
      </c>
      <c r="AF72" s="255"/>
      <c r="AG72" s="253">
        <f>IFERROR(AG70/AE70-1,"")</f>
        <v>0.35713177065398938</v>
      </c>
      <c r="AH72" s="102">
        <f>IFERROR(AH70/AG70-1,"")</f>
        <v>0.94909831947155787</v>
      </c>
      <c r="AI72" s="102">
        <f>IFERROR(AI70/AH70-1,"")</f>
        <v>-0.31635618227656459</v>
      </c>
      <c r="AJ72" s="102">
        <f>IFERROR(AJ70/AI70-1,"")</f>
        <v>-1.4922007695271011</v>
      </c>
      <c r="AK72" s="255"/>
    </row>
    <row r="73" spans="1:37" s="269" customFormat="1" ht="12.75" hidden="1" customHeight="1" outlineLevel="1">
      <c r="A73" s="67"/>
      <c r="B73" s="381"/>
      <c r="C73" s="262"/>
      <c r="D73" s="262"/>
      <c r="E73" s="262"/>
      <c r="F73" s="262"/>
      <c r="G73" s="266"/>
      <c r="H73" s="618"/>
      <c r="I73" s="618"/>
      <c r="J73" s="618"/>
      <c r="K73" s="618"/>
      <c r="L73" s="266"/>
      <c r="M73" s="618"/>
      <c r="N73" s="618"/>
      <c r="O73" s="654"/>
      <c r="P73" s="654"/>
      <c r="Q73" s="266"/>
      <c r="R73" s="459"/>
      <c r="S73" s="618"/>
      <c r="T73" s="618"/>
      <c r="U73" s="459"/>
      <c r="V73" s="460"/>
      <c r="W73" s="459"/>
      <c r="X73" s="459"/>
      <c r="Y73" s="459"/>
      <c r="Z73" s="459"/>
      <c r="AA73" s="460"/>
      <c r="AB73" s="459"/>
      <c r="AC73" s="459"/>
      <c r="AD73" s="459"/>
      <c r="AE73" s="459"/>
      <c r="AF73" s="460"/>
      <c r="AG73" s="459"/>
      <c r="AH73" s="459"/>
      <c r="AI73" s="459"/>
      <c r="AJ73" s="459"/>
      <c r="AK73" s="460"/>
    </row>
    <row r="74" spans="1:37" s="486" customFormat="1" ht="12.75" customHeight="1" collapsed="1">
      <c r="A74" s="603"/>
      <c r="B74" s="825" t="s">
        <v>261</v>
      </c>
      <c r="C74" s="557"/>
      <c r="D74" s="558"/>
      <c r="E74" s="558"/>
      <c r="F74" s="558"/>
      <c r="G74" s="690">
        <f>'IS (GAAP)'!G77</f>
        <v>-0.189</v>
      </c>
      <c r="H74" s="691">
        <f>'IS (GAAP)'!H77</f>
        <v>0</v>
      </c>
      <c r="I74" s="692">
        <f>'IS (GAAP)'!I77</f>
        <v>0</v>
      </c>
      <c r="J74" s="692">
        <f>'IS (GAAP)'!J77</f>
        <v>0</v>
      </c>
      <c r="K74" s="692">
        <f>'IS (GAAP)'!K77</f>
        <v>0</v>
      </c>
      <c r="L74" s="690">
        <f>'IS (GAAP)'!L77</f>
        <v>0</v>
      </c>
      <c r="M74" s="691">
        <f>'IS (GAAP)'!M77</f>
        <v>0</v>
      </c>
      <c r="N74" s="692">
        <f>'IS (GAAP)'!N77</f>
        <v>0</v>
      </c>
      <c r="O74" s="692">
        <f>'IS (GAAP)'!O77</f>
        <v>0</v>
      </c>
      <c r="P74" s="692">
        <f>'IS (GAAP)'!P77</f>
        <v>0</v>
      </c>
      <c r="Q74" s="690">
        <f>'IS (GAAP)'!Q77</f>
        <v>0</v>
      </c>
      <c r="R74" s="692">
        <f>'IS (GAAP)'!R77</f>
        <v>0</v>
      </c>
      <c r="S74" s="692">
        <f>'IS (GAAP)'!S77</f>
        <v>0</v>
      </c>
      <c r="T74" s="692">
        <f>'IS (GAAP)'!T77</f>
        <v>0</v>
      </c>
      <c r="U74" s="558"/>
      <c r="V74" s="559"/>
      <c r="W74" s="557"/>
      <c r="X74" s="558"/>
      <c r="Y74" s="558"/>
      <c r="Z74" s="558"/>
      <c r="AA74" s="559"/>
      <c r="AB74" s="557"/>
      <c r="AC74" s="558"/>
      <c r="AD74" s="558"/>
      <c r="AE74" s="558"/>
      <c r="AF74" s="559"/>
      <c r="AG74" s="557"/>
      <c r="AH74" s="558"/>
      <c r="AI74" s="558"/>
      <c r="AJ74" s="558"/>
      <c r="AK74" s="559"/>
    </row>
    <row r="75" spans="1:37" s="1427" customFormat="1" ht="12.75" customHeight="1">
      <c r="A75" s="1544"/>
      <c r="B75" s="1426" t="s">
        <v>532</v>
      </c>
      <c r="C75" s="1545"/>
      <c r="D75" s="1545"/>
      <c r="E75" s="1545"/>
      <c r="F75" s="1545"/>
      <c r="G75" s="1546">
        <f t="shared" ref="G75:AF75" si="29">G64+G74</f>
        <v>-26.681000000000004</v>
      </c>
      <c r="H75" s="1547">
        <f t="shared" si="29"/>
        <v>-16.12021332095458</v>
      </c>
      <c r="I75" s="1547">
        <f t="shared" si="29"/>
        <v>-13.090146017675401</v>
      </c>
      <c r="J75" s="1547">
        <f t="shared" si="29"/>
        <v>394.70530391021771</v>
      </c>
      <c r="K75" s="1547">
        <f t="shared" si="29"/>
        <v>125.60205542841229</v>
      </c>
      <c r="L75" s="1546">
        <f t="shared" si="29"/>
        <v>-44.641999999999967</v>
      </c>
      <c r="M75" s="1547">
        <f t="shared" si="29"/>
        <v>-23.558999999999997</v>
      </c>
      <c r="N75" s="1547">
        <f t="shared" si="29"/>
        <v>-5.1300000000000026</v>
      </c>
      <c r="O75" s="1547">
        <f t="shared" si="29"/>
        <v>6.7000000000000171E-2</v>
      </c>
      <c r="P75" s="1547">
        <f t="shared" si="29"/>
        <v>-36.284999999999954</v>
      </c>
      <c r="Q75" s="1546">
        <f t="shared" si="29"/>
        <v>-64.907000000000195</v>
      </c>
      <c r="R75" s="1545">
        <f t="shared" si="29"/>
        <v>-149.55600000000007</v>
      </c>
      <c r="S75" s="1547">
        <f>S64+S74</f>
        <v>-130.80599999999987</v>
      </c>
      <c r="T75" s="1547">
        <f>T64+T74</f>
        <v>-40.97</v>
      </c>
      <c r="U75" s="1545">
        <f t="shared" si="29"/>
        <v>-229.14812788037736</v>
      </c>
      <c r="V75" s="1546">
        <f t="shared" si="29"/>
        <v>-506.07312788037655</v>
      </c>
      <c r="W75" s="1545">
        <f t="shared" si="29"/>
        <v>-97.995424267697388</v>
      </c>
      <c r="X75" s="1545">
        <f t="shared" si="29"/>
        <v>-19.944363478150478</v>
      </c>
      <c r="Y75" s="1545">
        <f t="shared" si="29"/>
        <v>-45.561693781426584</v>
      </c>
      <c r="Z75" s="1545">
        <f t="shared" si="29"/>
        <v>26.976214725218313</v>
      </c>
      <c r="AA75" s="1546">
        <f t="shared" si="29"/>
        <v>-136.52526680205739</v>
      </c>
      <c r="AB75" s="1545">
        <f t="shared" si="29"/>
        <v>38.271102329432807</v>
      </c>
      <c r="AC75" s="1545">
        <f t="shared" si="29"/>
        <v>130.77932010569739</v>
      </c>
      <c r="AD75" s="1545">
        <f t="shared" si="29"/>
        <v>111.64805045451428</v>
      </c>
      <c r="AE75" s="1545">
        <f t="shared" si="29"/>
        <v>45.11436347677126</v>
      </c>
      <c r="AF75" s="1546">
        <f t="shared" si="29"/>
        <v>325.81283636641678</v>
      </c>
      <c r="AG75" s="1545">
        <f>AG64+AG74</f>
        <v>61.593492803081205</v>
      </c>
      <c r="AH75" s="1545">
        <f>AH64+AH74</f>
        <v>120.77208395274627</v>
      </c>
      <c r="AI75" s="1545">
        <f>AI64+AI74</f>
        <v>83.060479079157929</v>
      </c>
      <c r="AJ75" s="1545">
        <f>AJ64+AJ74</f>
        <v>-41.127726310371528</v>
      </c>
      <c r="AK75" s="1546">
        <f>AK64+AK74</f>
        <v>224.29832952461544</v>
      </c>
    </row>
    <row r="76" spans="1:37" s="565" customFormat="1" ht="12.75" customHeight="1">
      <c r="A76" s="1099"/>
      <c r="B76" s="694"/>
      <c r="C76" s="1072"/>
      <c r="D76" s="1072"/>
      <c r="E76" s="1072"/>
      <c r="F76" s="1072"/>
      <c r="G76" s="1073"/>
      <c r="H76" s="1074"/>
      <c r="I76" s="1074"/>
      <c r="J76" s="1074"/>
      <c r="K76" s="1074"/>
      <c r="L76" s="1073"/>
      <c r="M76" s="1074"/>
      <c r="N76" s="1074"/>
      <c r="O76" s="1074"/>
      <c r="P76" s="1074"/>
      <c r="Q76" s="1073"/>
      <c r="R76" s="1072"/>
      <c r="S76" s="1074"/>
      <c r="T76" s="1074"/>
      <c r="U76" s="1072"/>
      <c r="V76" s="1073"/>
      <c r="W76" s="253">
        <f t="shared" ref="W76:AK76" si="30">W75/W10</f>
        <v>-4.4000820667652318E-2</v>
      </c>
      <c r="X76" s="253">
        <f t="shared" si="30"/>
        <v>-6.7284309786829763E-3</v>
      </c>
      <c r="Y76" s="253">
        <f t="shared" si="30"/>
        <v>-1.3849868822367061E-2</v>
      </c>
      <c r="Z76" s="253">
        <f t="shared" si="30"/>
        <v>7.66231334095685E-3</v>
      </c>
      <c r="AA76" s="1075">
        <f t="shared" si="30"/>
        <v>-1.1375551412803922E-2</v>
      </c>
      <c r="AB76" s="253">
        <f t="shared" si="30"/>
        <v>1.0040656803883835E-2</v>
      </c>
      <c r="AC76" s="253">
        <f t="shared" si="30"/>
        <v>3.1482987101223721E-2</v>
      </c>
      <c r="AD76" s="253">
        <f t="shared" si="30"/>
        <v>2.4955794505170763E-2</v>
      </c>
      <c r="AE76" s="253">
        <f t="shared" si="30"/>
        <v>9.4550126738556159E-3</v>
      </c>
      <c r="AF76" s="1075">
        <f t="shared" si="30"/>
        <v>1.8930621184924969E-2</v>
      </c>
      <c r="AG76" s="253">
        <f t="shared" si="30"/>
        <v>1.2033626220582324E-2</v>
      </c>
      <c r="AH76" s="253">
        <f t="shared" si="30"/>
        <v>2.2659859934669496E-2</v>
      </c>
      <c r="AI76" s="253">
        <f t="shared" si="30"/>
        <v>1.5049186166492581E-2</v>
      </c>
      <c r="AJ76" s="253">
        <f t="shared" si="30"/>
        <v>-7.2311302064009091E-3</v>
      </c>
      <c r="AK76" s="1075">
        <f t="shared" si="30"/>
        <v>1.035776521379614E-2</v>
      </c>
    </row>
    <row r="77" spans="1:37" s="269" customFormat="1" ht="12.75" customHeight="1">
      <c r="A77" s="67"/>
      <c r="B77" s="391"/>
      <c r="C77" s="253"/>
      <c r="D77" s="253"/>
      <c r="E77" s="253"/>
      <c r="F77" s="253"/>
      <c r="G77" s="270"/>
      <c r="H77" s="616"/>
      <c r="I77" s="616"/>
      <c r="J77" s="616"/>
      <c r="K77" s="616"/>
      <c r="L77" s="270"/>
      <c r="M77" s="616"/>
      <c r="N77" s="616"/>
      <c r="O77" s="616"/>
      <c r="P77" s="616"/>
      <c r="Q77" s="270"/>
      <c r="R77" s="253"/>
      <c r="S77" s="616"/>
      <c r="T77" s="616"/>
      <c r="U77" s="253"/>
      <c r="V77" s="270"/>
      <c r="W77" s="253"/>
      <c r="X77" s="253"/>
      <c r="Y77" s="253"/>
      <c r="Z77" s="253"/>
      <c r="AA77" s="270"/>
      <c r="AB77" s="253"/>
      <c r="AC77" s="253"/>
      <c r="AD77" s="253"/>
      <c r="AE77" s="253"/>
      <c r="AF77" s="270"/>
      <c r="AG77" s="253"/>
      <c r="AH77" s="253"/>
      <c r="AI77" s="253"/>
      <c r="AJ77" s="253"/>
      <c r="AK77" s="270"/>
    </row>
    <row r="78" spans="1:37" ht="12.75" customHeight="1">
      <c r="A78" s="67" t="s">
        <v>156</v>
      </c>
      <c r="B78" s="383" t="s">
        <v>379</v>
      </c>
      <c r="C78" s="260"/>
      <c r="D78" s="260"/>
      <c r="E78" s="260"/>
      <c r="F78" s="260"/>
      <c r="G78" s="265">
        <f t="shared" ref="G78:AF78" si="31">IFERROR(G75/G86,"")</f>
        <v>-0.14770915452411534</v>
      </c>
      <c r="H78" s="617" t="str">
        <f t="shared" si="31"/>
        <v/>
      </c>
      <c r="I78" s="617" t="str">
        <f t="shared" si="31"/>
        <v/>
      </c>
      <c r="J78" s="617" t="str">
        <f t="shared" si="31"/>
        <v/>
      </c>
      <c r="K78" s="617" t="str">
        <f t="shared" si="31"/>
        <v/>
      </c>
      <c r="L78" s="265">
        <f>IFERROR(L75/L86,"")</f>
        <v>-0.23231198351408155</v>
      </c>
      <c r="M78" s="617">
        <f t="shared" si="31"/>
        <v>-0.11259965205421835</v>
      </c>
      <c r="N78" s="617" t="str">
        <f t="shared" si="31"/>
        <v/>
      </c>
      <c r="O78" s="617" t="str">
        <f t="shared" si="31"/>
        <v/>
      </c>
      <c r="P78" s="617" t="str">
        <f t="shared" si="31"/>
        <v/>
      </c>
      <c r="Q78" s="265">
        <f>IFERROR(Q75/Q86,"")</f>
        <v>-0.29793806861476124</v>
      </c>
      <c r="R78" s="260">
        <f t="shared" si="31"/>
        <v>-0.60892153350053768</v>
      </c>
      <c r="S78" s="617">
        <f t="shared" si="31"/>
        <v>-0.26882124823517056</v>
      </c>
      <c r="T78" s="617">
        <f>IFERROR(T75/T86,"")</f>
        <v>-8.2287913297421494E-2</v>
      </c>
      <c r="U78" s="260">
        <f t="shared" si="31"/>
        <v>-0.4588655629228241</v>
      </c>
      <c r="V78" s="265">
        <f t="shared" si="31"/>
        <v>-1.170473476955842</v>
      </c>
      <c r="W78" s="260">
        <f t="shared" si="31"/>
        <v>-0.1950639297297885</v>
      </c>
      <c r="X78" s="260">
        <f t="shared" si="31"/>
        <v>-3.9463297489890324E-2</v>
      </c>
      <c r="Y78" s="260">
        <f t="shared" si="31"/>
        <v>-8.9613836621870321E-2</v>
      </c>
      <c r="Z78" s="260">
        <f t="shared" si="31"/>
        <v>5.2742199771111845E-2</v>
      </c>
      <c r="AA78" s="265">
        <f t="shared" si="31"/>
        <v>-0.26932552882514693</v>
      </c>
      <c r="AB78" s="260">
        <f t="shared" si="31"/>
        <v>7.4378980331038791E-2</v>
      </c>
      <c r="AC78" s="260">
        <f t="shared" si="31"/>
        <v>0.25265060545076795</v>
      </c>
      <c r="AD78" s="260">
        <f t="shared" si="31"/>
        <v>0.21440476419616586</v>
      </c>
      <c r="AE78" s="260">
        <f t="shared" si="31"/>
        <v>8.6119230553219517E-2</v>
      </c>
      <c r="AF78" s="265">
        <f t="shared" si="31"/>
        <v>0.62753904880228917</v>
      </c>
      <c r="AG78" s="260">
        <f>IFERROR(AG75/AG86,"")</f>
        <v>0.11687514384804995</v>
      </c>
      <c r="AH78" s="260">
        <f>IFERROR(AH75/AH86,"")</f>
        <v>0.22780114646223074</v>
      </c>
      <c r="AI78" s="260">
        <f>IFERROR(AI75/AI86,"")</f>
        <v>0.15573484544921487</v>
      </c>
      <c r="AJ78" s="260">
        <f>IFERROR(AJ75/AJ86,"")</f>
        <v>-7.6652810772287736E-2</v>
      </c>
      <c r="AK78" s="265">
        <f>IFERROR(AK75/AK86,"")</f>
        <v>0.42180010230966364</v>
      </c>
    </row>
    <row r="79" spans="1:37" s="298" customFormat="1" ht="12.75" customHeight="1">
      <c r="A79" s="1088" t="s">
        <v>157</v>
      </c>
      <c r="B79" s="433" t="s">
        <v>31</v>
      </c>
      <c r="C79" s="102"/>
      <c r="D79" s="102"/>
      <c r="E79" s="102"/>
      <c r="F79" s="102"/>
      <c r="G79" s="254"/>
      <c r="H79" s="291" t="str">
        <f t="shared" ref="H79:AF79" si="32">IFERROR(H78/C78-1,"")</f>
        <v/>
      </c>
      <c r="I79" s="291" t="str">
        <f t="shared" si="32"/>
        <v/>
      </c>
      <c r="J79" s="291" t="str">
        <f t="shared" si="32"/>
        <v/>
      </c>
      <c r="K79" s="291" t="str">
        <f t="shared" si="32"/>
        <v/>
      </c>
      <c r="L79" s="254">
        <f t="shared" si="32"/>
        <v>0.57276632083188694</v>
      </c>
      <c r="M79" s="291" t="str">
        <f t="shared" si="32"/>
        <v/>
      </c>
      <c r="N79" s="291" t="str">
        <f t="shared" si="32"/>
        <v/>
      </c>
      <c r="O79" s="291" t="str">
        <f t="shared" si="32"/>
        <v/>
      </c>
      <c r="P79" s="291" t="str">
        <f t="shared" si="32"/>
        <v/>
      </c>
      <c r="Q79" s="254">
        <f t="shared" si="32"/>
        <v>0.28249117461778184</v>
      </c>
      <c r="R79" s="102">
        <f t="shared" si="32"/>
        <v>4.4078456051296966</v>
      </c>
      <c r="S79" s="291" t="str">
        <f t="shared" si="32"/>
        <v/>
      </c>
      <c r="T79" s="291" t="str">
        <f t="shared" si="32"/>
        <v/>
      </c>
      <c r="U79" s="102" t="str">
        <f t="shared" si="32"/>
        <v/>
      </c>
      <c r="V79" s="254">
        <f t="shared" si="32"/>
        <v>2.9285797964585831</v>
      </c>
      <c r="W79" s="102">
        <f t="shared" si="32"/>
        <v>-0.6796567061630836</v>
      </c>
      <c r="X79" s="102">
        <f t="shared" si="32"/>
        <v>-0.85319874173277033</v>
      </c>
      <c r="Y79" s="102">
        <f t="shared" si="32"/>
        <v>8.9027938987467081E-2</v>
      </c>
      <c r="Z79" s="102">
        <f t="shared" si="32"/>
        <v>-1.1149404183551304</v>
      </c>
      <c r="AA79" s="254">
        <f t="shared" si="32"/>
        <v>-0.76990035731043938</v>
      </c>
      <c r="AB79" s="102">
        <f t="shared" si="32"/>
        <v>-1.3813056592988358</v>
      </c>
      <c r="AC79" s="102">
        <f t="shared" si="32"/>
        <v>-7.4021666084921511</v>
      </c>
      <c r="AD79" s="102">
        <f t="shared" si="32"/>
        <v>-3.3925408427814174</v>
      </c>
      <c r="AE79" s="102">
        <f t="shared" si="32"/>
        <v>0.63283349816571488</v>
      </c>
      <c r="AF79" s="254">
        <f t="shared" si="32"/>
        <v>-3.3300392337100124</v>
      </c>
      <c r="AG79" s="102">
        <f>IFERROR(AG78/AB78-1,"")</f>
        <v>0.57134641168611533</v>
      </c>
      <c r="AH79" s="102">
        <f>IFERROR(AH78/AC78-1,"")</f>
        <v>-9.8355034393058038E-2</v>
      </c>
      <c r="AI79" s="102">
        <f>IFERROR(AI78/AD78-1,"")</f>
        <v>-0.27364092848828669</v>
      </c>
      <c r="AJ79" s="102">
        <f>IFERROR(AJ78/AE78-1,"")</f>
        <v>-1.8900777477908171</v>
      </c>
      <c r="AK79" s="254">
        <f>IFERROR(AK78/AF78-1,"")</f>
        <v>-0.32785042920483676</v>
      </c>
    </row>
    <row r="80" spans="1:37" ht="12.75" customHeight="1">
      <c r="B80" s="433" t="s">
        <v>33</v>
      </c>
      <c r="C80" s="253"/>
      <c r="D80" s="102"/>
      <c r="E80" s="102"/>
      <c r="F80" s="102"/>
      <c r="G80" s="255"/>
      <c r="H80" s="616" t="str">
        <f>IFERROR(H78/F78-1,"")</f>
        <v/>
      </c>
      <c r="I80" s="291" t="str">
        <f>IFERROR(I78/H78-1,"")</f>
        <v/>
      </c>
      <c r="J80" s="291" t="str">
        <f>IFERROR(J78/I78-1,"")</f>
        <v/>
      </c>
      <c r="K80" s="291" t="str">
        <f>IFERROR(K78/J78-1,"")</f>
        <v/>
      </c>
      <c r="L80" s="255"/>
      <c r="M80" s="616" t="str">
        <f>IFERROR(M78/K78-1,"")</f>
        <v/>
      </c>
      <c r="N80" s="291" t="str">
        <f>IFERROR(N78/M78-1,"")</f>
        <v/>
      </c>
      <c r="O80" s="291" t="str">
        <f>IFERROR(O78/N78-1,"")</f>
        <v/>
      </c>
      <c r="P80" s="291" t="str">
        <f>IFERROR(P78/O78-1,"")</f>
        <v/>
      </c>
      <c r="Q80" s="255"/>
      <c r="R80" s="253" t="str">
        <f>IFERROR(R78/P78-1,"")</f>
        <v/>
      </c>
      <c r="S80" s="291">
        <f>IFERROR(S78/R78-1,"")</f>
        <v>-0.55852891802038207</v>
      </c>
      <c r="T80" s="291">
        <f>IFERROR(T78/S78-1,"")</f>
        <v>-0.69389356742576291</v>
      </c>
      <c r="U80" s="102">
        <f>IFERROR(U78/T78-1,"")</f>
        <v>4.5763421933461856</v>
      </c>
      <c r="V80" s="255"/>
      <c r="W80" s="253">
        <f>IFERROR(W78/U78-1,"")</f>
        <v>-0.57489961005725765</v>
      </c>
      <c r="X80" s="102">
        <f>IFERROR(X78/W78-1,"")</f>
        <v>-0.79769044156673818</v>
      </c>
      <c r="Y80" s="102">
        <f>IFERROR(Y78/X78-1,"")</f>
        <v>1.2708147144781177</v>
      </c>
      <c r="Z80" s="102">
        <f>IFERROR(Z78/Y78-1,"")</f>
        <v>-1.588549734720766</v>
      </c>
      <c r="AA80" s="255"/>
      <c r="AB80" s="253">
        <f>IFERROR(AB78/Z78-1,"")</f>
        <v>0.4102365971428048</v>
      </c>
      <c r="AC80" s="102">
        <f>IFERROR(AC78/AB78-1,"")</f>
        <v>2.3968011436335241</v>
      </c>
      <c r="AD80" s="102">
        <f>IFERROR(AD78/AC78-1,"")</f>
        <v>-0.15137838750224075</v>
      </c>
      <c r="AE80" s="102">
        <f>IFERROR(AE78/AD78-1,"")</f>
        <v>-0.59833340981907357</v>
      </c>
      <c r="AF80" s="255"/>
      <c r="AG80" s="253">
        <f>IFERROR(AG78/AE78-1,"")</f>
        <v>0.35713177065398938</v>
      </c>
      <c r="AH80" s="102">
        <f>IFERROR(AH78/AG78-1,"")</f>
        <v>0.94909831947155787</v>
      </c>
      <c r="AI80" s="102">
        <f>IFERROR(AI78/AH78-1,"")</f>
        <v>-0.31635618227656459</v>
      </c>
      <c r="AJ80" s="102">
        <f>IFERROR(AJ78/AI78-1,"")</f>
        <v>-1.4922007695271011</v>
      </c>
      <c r="AK80" s="255"/>
    </row>
    <row r="81" spans="1:37" ht="12.75" customHeight="1">
      <c r="B81" s="433"/>
      <c r="C81" s="257"/>
      <c r="D81" s="257"/>
      <c r="E81" s="257"/>
      <c r="F81" s="257"/>
      <c r="G81" s="114"/>
      <c r="H81" s="292"/>
      <c r="I81" s="292"/>
      <c r="J81" s="292"/>
      <c r="K81" s="292"/>
      <c r="L81" s="114"/>
      <c r="M81" s="292"/>
      <c r="N81" s="292"/>
      <c r="O81" s="292"/>
      <c r="P81" s="292"/>
      <c r="Q81" s="114"/>
      <c r="R81" s="257"/>
      <c r="S81" s="292"/>
      <c r="T81" s="292"/>
      <c r="U81" s="257"/>
      <c r="V81" s="114"/>
      <c r="W81" s="257"/>
      <c r="X81" s="257"/>
      <c r="Y81" s="257"/>
      <c r="Z81" s="257"/>
      <c r="AA81" s="114"/>
      <c r="AB81" s="257"/>
      <c r="AC81" s="257"/>
      <c r="AD81" s="257"/>
      <c r="AE81" s="257"/>
      <c r="AF81" s="114"/>
      <c r="AG81" s="257"/>
      <c r="AH81" s="257"/>
      <c r="AI81" s="257"/>
      <c r="AJ81" s="257"/>
      <c r="AK81" s="114"/>
    </row>
    <row r="82" spans="1:37" ht="12.75" customHeight="1">
      <c r="A82" s="67" t="s">
        <v>121</v>
      </c>
      <c r="B82" s="445" t="s">
        <v>378</v>
      </c>
      <c r="C82" s="446"/>
      <c r="D82" s="446"/>
      <c r="E82" s="446"/>
      <c r="F82" s="446"/>
      <c r="G82" s="447">
        <f t="shared" ref="G82:AF82" si="33">IFERROR(G75/G87,"")</f>
        <v>-0.14770915452411534</v>
      </c>
      <c r="H82" s="471" t="str">
        <f t="shared" si="33"/>
        <v/>
      </c>
      <c r="I82" s="471" t="str">
        <f t="shared" si="33"/>
        <v/>
      </c>
      <c r="J82" s="471" t="str">
        <f t="shared" si="33"/>
        <v/>
      </c>
      <c r="K82" s="471" t="str">
        <f t="shared" si="33"/>
        <v/>
      </c>
      <c r="L82" s="447">
        <f>IFERROR(L75/L87,"")</f>
        <v>-0.23231198351408155</v>
      </c>
      <c r="M82" s="471">
        <f t="shared" si="33"/>
        <v>-0.11259965205421835</v>
      </c>
      <c r="N82" s="471" t="str">
        <f t="shared" si="33"/>
        <v/>
      </c>
      <c r="O82" s="471" t="str">
        <f t="shared" si="33"/>
        <v/>
      </c>
      <c r="P82" s="471" t="str">
        <f t="shared" si="33"/>
        <v/>
      </c>
      <c r="Q82" s="447">
        <f>IFERROR(Q75/Q87,"")</f>
        <v>-0.29793806861476124</v>
      </c>
      <c r="R82" s="446">
        <f t="shared" si="33"/>
        <v>-0.59992057538719523</v>
      </c>
      <c r="S82" s="471">
        <f t="shared" si="33"/>
        <v>-0.26882124823517056</v>
      </c>
      <c r="T82" s="471">
        <f>IFERROR(T75/T87,"")</f>
        <v>-8.2287913297421494E-2</v>
      </c>
      <c r="U82" s="446">
        <f t="shared" si="33"/>
        <v>-0.4588655629228241</v>
      </c>
      <c r="V82" s="447">
        <f t="shared" si="33"/>
        <v>-1.1679848316489161</v>
      </c>
      <c r="W82" s="446">
        <f t="shared" si="33"/>
        <v>-0.1950639297297885</v>
      </c>
      <c r="X82" s="446">
        <f t="shared" si="33"/>
        <v>-3.9463297489890324E-2</v>
      </c>
      <c r="Y82" s="446">
        <f t="shared" si="33"/>
        <v>-8.9613836621870321E-2</v>
      </c>
      <c r="Z82" s="446">
        <f t="shared" si="33"/>
        <v>5.2742199771111845E-2</v>
      </c>
      <c r="AA82" s="447">
        <f t="shared" si="33"/>
        <v>-0.26932552882514693</v>
      </c>
      <c r="AB82" s="446">
        <f t="shared" si="33"/>
        <v>7.4378980331038791E-2</v>
      </c>
      <c r="AC82" s="446">
        <f t="shared" si="33"/>
        <v>0.25265060545076795</v>
      </c>
      <c r="AD82" s="446">
        <f t="shared" si="33"/>
        <v>0.21440476419616586</v>
      </c>
      <c r="AE82" s="446">
        <f t="shared" si="33"/>
        <v>8.6119230553219517E-2</v>
      </c>
      <c r="AF82" s="447">
        <f t="shared" si="33"/>
        <v>0.62753904880228917</v>
      </c>
      <c r="AG82" s="446">
        <f>IFERROR(AG75/AG87,"")</f>
        <v>0.11687514384804995</v>
      </c>
      <c r="AH82" s="446">
        <f>IFERROR(AH75/AH87,"")</f>
        <v>0.22780114646223074</v>
      </c>
      <c r="AI82" s="446">
        <f>IFERROR(AI75/AI87,"")</f>
        <v>0.15573484544921487</v>
      </c>
      <c r="AJ82" s="446">
        <f>IFERROR(AJ75/AJ87,"")</f>
        <v>-7.6652810772287736E-2</v>
      </c>
      <c r="AK82" s="447">
        <f>IFERROR(AK75/AK87,"")</f>
        <v>0.42180010230966364</v>
      </c>
    </row>
    <row r="83" spans="1:37" s="298" customFormat="1" ht="12.75" customHeight="1">
      <c r="A83" s="1088" t="s">
        <v>135</v>
      </c>
      <c r="B83" s="433" t="s">
        <v>31</v>
      </c>
      <c r="C83" s="102"/>
      <c r="D83" s="102"/>
      <c r="E83" s="102"/>
      <c r="F83" s="102"/>
      <c r="G83" s="254"/>
      <c r="H83" s="291" t="str">
        <f t="shared" ref="H83:AF83" si="34">IFERROR(H82/C82-1,"")</f>
        <v/>
      </c>
      <c r="I83" s="291" t="str">
        <f t="shared" si="34"/>
        <v/>
      </c>
      <c r="J83" s="291" t="str">
        <f t="shared" si="34"/>
        <v/>
      </c>
      <c r="K83" s="291" t="str">
        <f t="shared" si="34"/>
        <v/>
      </c>
      <c r="L83" s="254">
        <f t="shared" si="34"/>
        <v>0.57276632083188694</v>
      </c>
      <c r="M83" s="291" t="str">
        <f t="shared" si="34"/>
        <v/>
      </c>
      <c r="N83" s="291" t="str">
        <f t="shared" si="34"/>
        <v/>
      </c>
      <c r="O83" s="291" t="str">
        <f t="shared" si="34"/>
        <v/>
      </c>
      <c r="P83" s="291" t="str">
        <f t="shared" si="34"/>
        <v/>
      </c>
      <c r="Q83" s="254">
        <f t="shared" si="34"/>
        <v>0.28249117461778184</v>
      </c>
      <c r="R83" s="102">
        <f t="shared" si="34"/>
        <v>4.3279078970716967</v>
      </c>
      <c r="S83" s="291" t="str">
        <f t="shared" si="34"/>
        <v/>
      </c>
      <c r="T83" s="291" t="str">
        <f t="shared" si="34"/>
        <v/>
      </c>
      <c r="U83" s="102" t="str">
        <f t="shared" si="34"/>
        <v/>
      </c>
      <c r="V83" s="254">
        <f t="shared" si="34"/>
        <v>2.9202269017832005</v>
      </c>
      <c r="W83" s="102">
        <f t="shared" si="34"/>
        <v>-0.67485040898306892</v>
      </c>
      <c r="X83" s="102">
        <f t="shared" si="34"/>
        <v>-0.85319874173277033</v>
      </c>
      <c r="Y83" s="102">
        <f t="shared" si="34"/>
        <v>8.9027938987467081E-2</v>
      </c>
      <c r="Z83" s="102">
        <f t="shared" si="34"/>
        <v>-1.1149404183551304</v>
      </c>
      <c r="AA83" s="254">
        <f t="shared" si="34"/>
        <v>-0.76941008005649913</v>
      </c>
      <c r="AB83" s="102">
        <f t="shared" si="34"/>
        <v>-1.3813056592988358</v>
      </c>
      <c r="AC83" s="102">
        <f t="shared" si="34"/>
        <v>-7.4021666084921511</v>
      </c>
      <c r="AD83" s="102">
        <f t="shared" si="34"/>
        <v>-3.3925408427814174</v>
      </c>
      <c r="AE83" s="102">
        <f t="shared" si="34"/>
        <v>0.63283349816571488</v>
      </c>
      <c r="AF83" s="254">
        <f t="shared" si="34"/>
        <v>-3.3300392337100124</v>
      </c>
      <c r="AG83" s="102">
        <f>IFERROR(AG82/AB82-1,"")</f>
        <v>0.57134641168611533</v>
      </c>
      <c r="AH83" s="102">
        <f>IFERROR(AH82/AC82-1,"")</f>
        <v>-9.8355034393058038E-2</v>
      </c>
      <c r="AI83" s="102">
        <f>IFERROR(AI82/AD82-1,"")</f>
        <v>-0.27364092848828669</v>
      </c>
      <c r="AJ83" s="102">
        <f>IFERROR(AJ82/AE82-1,"")</f>
        <v>-1.8900777477908171</v>
      </c>
      <c r="AK83" s="254">
        <f>IFERROR(AK82/AF82-1,"")</f>
        <v>-0.32785042920483676</v>
      </c>
    </row>
    <row r="84" spans="1:37" ht="12.75" customHeight="1">
      <c r="A84" s="67" t="s">
        <v>139</v>
      </c>
      <c r="B84" s="433" t="s">
        <v>33</v>
      </c>
      <c r="C84" s="253"/>
      <c r="D84" s="102"/>
      <c r="E84" s="102"/>
      <c r="F84" s="102"/>
      <c r="G84" s="255"/>
      <c r="H84" s="616" t="str">
        <f>IFERROR(H82/F82-1,"")</f>
        <v/>
      </c>
      <c r="I84" s="291" t="str">
        <f>IFERROR(I82/H82-1,"")</f>
        <v/>
      </c>
      <c r="J84" s="291" t="str">
        <f>IFERROR(J82/I82-1,"")</f>
        <v/>
      </c>
      <c r="K84" s="291" t="str">
        <f>IFERROR(K82/J82-1,"")</f>
        <v/>
      </c>
      <c r="L84" s="255"/>
      <c r="M84" s="616" t="str">
        <f>IFERROR(M82/K82-1,"")</f>
        <v/>
      </c>
      <c r="N84" s="291" t="str">
        <f>IFERROR(N82/M82-1,"")</f>
        <v/>
      </c>
      <c r="O84" s="291" t="str">
        <f>IFERROR(O82/N82-1,"")</f>
        <v/>
      </c>
      <c r="P84" s="291" t="str">
        <f>IFERROR(P82/O82-1,"")</f>
        <v/>
      </c>
      <c r="Q84" s="255"/>
      <c r="R84" s="253" t="str">
        <f>IFERROR(R82/P82-1,"")</f>
        <v/>
      </c>
      <c r="S84" s="291">
        <f>IFERROR(S82/R82-1,"")</f>
        <v>-0.55190527002400214</v>
      </c>
      <c r="T84" s="291">
        <f>IFERROR(T82/S82-1,"")</f>
        <v>-0.69389356742576291</v>
      </c>
      <c r="U84" s="102">
        <f>IFERROR(U82/T82-1,"")</f>
        <v>4.5763421933461856</v>
      </c>
      <c r="V84" s="255"/>
      <c r="W84" s="253">
        <f>IFERROR(W82/U82-1,"")</f>
        <v>-0.57489961005725765</v>
      </c>
      <c r="X84" s="102">
        <f>IFERROR(X82/W82-1,"")</f>
        <v>-0.79769044156673818</v>
      </c>
      <c r="Y84" s="102">
        <f>IFERROR(Y82/X82-1,"")</f>
        <v>1.2708147144781177</v>
      </c>
      <c r="Z84" s="102">
        <f>IFERROR(Z82/Y82-1,"")</f>
        <v>-1.588549734720766</v>
      </c>
      <c r="AA84" s="255"/>
      <c r="AB84" s="253">
        <f>IFERROR(AB82/Z82-1,"")</f>
        <v>0.4102365971428048</v>
      </c>
      <c r="AC84" s="102">
        <f>IFERROR(AC82/AB82-1,"")</f>
        <v>2.3968011436335241</v>
      </c>
      <c r="AD84" s="102">
        <f>IFERROR(AD82/AC82-1,"")</f>
        <v>-0.15137838750224075</v>
      </c>
      <c r="AE84" s="102">
        <f>IFERROR(AE82/AD82-1,"")</f>
        <v>-0.59833340981907357</v>
      </c>
      <c r="AF84" s="255"/>
      <c r="AG84" s="253">
        <f>IFERROR(AG82/AE82-1,"")</f>
        <v>0.35713177065398938</v>
      </c>
      <c r="AH84" s="102">
        <f>IFERROR(AH82/AG82-1,"")</f>
        <v>0.94909831947155787</v>
      </c>
      <c r="AI84" s="102">
        <f>IFERROR(AI82/AH82-1,"")</f>
        <v>-0.31635618227656459</v>
      </c>
      <c r="AJ84" s="102">
        <f>IFERROR(AJ82/AI82-1,"")</f>
        <v>-1.4922007695271011</v>
      </c>
      <c r="AK84" s="255"/>
    </row>
    <row r="85" spans="1:37" s="269" customFormat="1" ht="12.75" customHeight="1">
      <c r="A85" s="67"/>
      <c r="B85" s="381"/>
      <c r="C85" s="262"/>
      <c r="D85" s="262"/>
      <c r="E85" s="262"/>
      <c r="F85" s="262"/>
      <c r="G85" s="266"/>
      <c r="H85" s="618"/>
      <c r="I85" s="618"/>
      <c r="J85" s="618"/>
      <c r="K85" s="618"/>
      <c r="L85" s="266"/>
      <c r="M85" s="618"/>
      <c r="N85" s="618"/>
      <c r="O85" s="654"/>
      <c r="P85" s="654"/>
      <c r="Q85" s="266"/>
      <c r="R85" s="459"/>
      <c r="S85" s="654"/>
      <c r="T85" s="654"/>
      <c r="U85" s="459"/>
      <c r="V85" s="460"/>
      <c r="W85" s="459"/>
      <c r="X85" s="459"/>
      <c r="Y85" s="459"/>
      <c r="Z85" s="459"/>
      <c r="AA85" s="460"/>
      <c r="AB85" s="459"/>
      <c r="AC85" s="459"/>
      <c r="AD85" s="459"/>
      <c r="AE85" s="459"/>
      <c r="AF85" s="460"/>
      <c r="AG85" s="459"/>
      <c r="AH85" s="459"/>
      <c r="AI85" s="459"/>
      <c r="AJ85" s="459"/>
      <c r="AK85" s="460"/>
    </row>
    <row r="86" spans="1:37" s="384" customFormat="1" ht="12.75" customHeight="1">
      <c r="A86" s="416" t="s">
        <v>158</v>
      </c>
      <c r="B86" s="384" t="s">
        <v>84</v>
      </c>
      <c r="C86" s="1140"/>
      <c r="D86" s="1140"/>
      <c r="E86" s="1140"/>
      <c r="F86" s="1140"/>
      <c r="G86" s="1141">
        <f>'IS (GAAP)'!G88</f>
        <v>180.63200000000001</v>
      </c>
      <c r="H86" s="1142"/>
      <c r="I86" s="1143"/>
      <c r="J86" s="1143"/>
      <c r="K86" s="1143"/>
      <c r="L86" s="1141">
        <f>'IS (GAAP)'!L88</f>
        <v>192.16399999999999</v>
      </c>
      <c r="M86" s="1187">
        <f>'IS (GAAP)'!M88</f>
        <v>209.22800000000001</v>
      </c>
      <c r="N86" s="1143"/>
      <c r="O86" s="1143"/>
      <c r="P86" s="1143"/>
      <c r="Q86" s="1141">
        <f>'IS (GAAP)'!Q88</f>
        <v>217.85400000000001</v>
      </c>
      <c r="R86" s="1187">
        <f>'IS (GAAP)'!R88</f>
        <v>245.608</v>
      </c>
      <c r="S86" s="1492">
        <f>'IS (GAAP)'!S88</f>
        <v>486.59100000000001</v>
      </c>
      <c r="T86" s="1492">
        <f>'IS (GAAP)'!T88</f>
        <v>497.88600000000002</v>
      </c>
      <c r="U86" s="1001">
        <f>T86*(1+U88)</f>
        <v>499.37965799999995</v>
      </c>
      <c r="V86" s="999">
        <f>AVERAGE(R86:U86)</f>
        <v>432.36616449999997</v>
      </c>
      <c r="W86" s="1001">
        <f>U86*(1+W88)</f>
        <v>502.37593594799995</v>
      </c>
      <c r="X86" s="1001">
        <f>W86*(1+X88)</f>
        <v>505.39019156368795</v>
      </c>
      <c r="Y86" s="1001">
        <f>X86*(1+Y88)</f>
        <v>508.4225327130701</v>
      </c>
      <c r="Z86" s="1001">
        <f>Y86*(1+Z88)</f>
        <v>511.47306790934852</v>
      </c>
      <c r="AA86" s="999">
        <f>AVERAGE(W86:Z86)</f>
        <v>506.9154320335266</v>
      </c>
      <c r="AB86" s="1001">
        <f>Z86*(1+AB88)</f>
        <v>514.54190631680456</v>
      </c>
      <c r="AC86" s="1001">
        <f>AB86*(1+AC88)</f>
        <v>517.62915775470537</v>
      </c>
      <c r="AD86" s="1001">
        <f>AC86*(1+AD88)</f>
        <v>520.73493270123356</v>
      </c>
      <c r="AE86" s="1001">
        <f>AD86*(1+AE88)</f>
        <v>523.859342297441</v>
      </c>
      <c r="AF86" s="999">
        <f>AVERAGE(AB86:AE86)</f>
        <v>519.1913347675461</v>
      </c>
      <c r="AG86" s="1001">
        <f>AE86*(1+AG88)</f>
        <v>527.00249835122565</v>
      </c>
      <c r="AH86" s="1001">
        <f>AG86*(1+AH88)</f>
        <v>530.16451334133296</v>
      </c>
      <c r="AI86" s="1001">
        <f>AH86*(1+AI88)</f>
        <v>533.34550042138096</v>
      </c>
      <c r="AJ86" s="1001">
        <f>AI86*(1+AJ88)</f>
        <v>536.54557342390922</v>
      </c>
      <c r="AK86" s="999">
        <f>AVERAGE(AG86:AJ86)</f>
        <v>531.76452138446211</v>
      </c>
    </row>
    <row r="87" spans="1:37" s="384" customFormat="1" ht="12.75" customHeight="1">
      <c r="A87" s="416" t="s">
        <v>149</v>
      </c>
      <c r="B87" s="384" t="s">
        <v>85</v>
      </c>
      <c r="C87" s="1140"/>
      <c r="D87" s="1140"/>
      <c r="E87" s="1140"/>
      <c r="F87" s="1140"/>
      <c r="G87" s="1141">
        <f>'IS (GAAP)'!G89</f>
        <v>180.63200000000001</v>
      </c>
      <c r="H87" s="1142"/>
      <c r="I87" s="1143"/>
      <c r="J87" s="1143"/>
      <c r="K87" s="1143"/>
      <c r="L87" s="1141">
        <f>'IS (GAAP)'!L89</f>
        <v>192.16399999999999</v>
      </c>
      <c r="M87" s="1187">
        <f>'IS (GAAP)'!M89</f>
        <v>209.22800000000001</v>
      </c>
      <c r="N87" s="1143"/>
      <c r="O87" s="1143"/>
      <c r="P87" s="1143"/>
      <c r="Q87" s="1141">
        <f>'IS (GAAP)'!Q89</f>
        <v>217.85400000000001</v>
      </c>
      <c r="R87" s="1187">
        <f>'IS (GAAP)'!R89</f>
        <v>249.29300000000001</v>
      </c>
      <c r="S87" s="1492">
        <f>'IS (GAAP)'!S89</f>
        <v>486.59100000000001</v>
      </c>
      <c r="T87" s="1492">
        <f>'IS (GAAP)'!T89</f>
        <v>497.88600000000002</v>
      </c>
      <c r="U87" s="1001">
        <f>T87*(1+U88)</f>
        <v>499.37965799999995</v>
      </c>
      <c r="V87" s="999">
        <f>AVERAGE(R87:U87)</f>
        <v>433.28741449999995</v>
      </c>
      <c r="W87" s="1001">
        <f>U87*(1+W88)</f>
        <v>502.37593594799995</v>
      </c>
      <c r="X87" s="1001">
        <f>W87*(1+X88)</f>
        <v>505.39019156368795</v>
      </c>
      <c r="Y87" s="1001">
        <f>X87*(1+Y88)</f>
        <v>508.4225327130701</v>
      </c>
      <c r="Z87" s="1001">
        <f>Y87*(1+Z88)</f>
        <v>511.47306790934852</v>
      </c>
      <c r="AA87" s="999">
        <f>AVERAGE(W87:Z87)</f>
        <v>506.9154320335266</v>
      </c>
      <c r="AB87" s="1001">
        <f>Z87*(1+AB88)</f>
        <v>514.54190631680456</v>
      </c>
      <c r="AC87" s="1001">
        <f>AB87*(1+AC88)</f>
        <v>517.62915775470537</v>
      </c>
      <c r="AD87" s="1001">
        <f>AC87*(1+AD88)</f>
        <v>520.73493270123356</v>
      </c>
      <c r="AE87" s="1001">
        <f>AD87*(1+AE88)</f>
        <v>523.859342297441</v>
      </c>
      <c r="AF87" s="999">
        <f>AVERAGE(AB87:AE87)</f>
        <v>519.1913347675461</v>
      </c>
      <c r="AG87" s="1001">
        <f>AE87*(1+AG88)</f>
        <v>527.00249835122565</v>
      </c>
      <c r="AH87" s="1001">
        <f>AG87*(1+AH88)</f>
        <v>530.16451334133296</v>
      </c>
      <c r="AI87" s="1001">
        <f>AH87*(1+AI88)</f>
        <v>533.34550042138096</v>
      </c>
      <c r="AJ87" s="1001">
        <f>AI87*(1+AJ88)</f>
        <v>536.54557342390922</v>
      </c>
      <c r="AK87" s="999">
        <f>AVERAGE(AG87:AJ87)</f>
        <v>531.76452138446211</v>
      </c>
    </row>
    <row r="88" spans="1:37" s="815" customFormat="1" ht="12.75" customHeight="1">
      <c r="A88" s="1101"/>
      <c r="B88" s="825" t="s">
        <v>581</v>
      </c>
      <c r="C88" s="1183"/>
      <c r="D88" s="1183"/>
      <c r="E88" s="1183"/>
      <c r="F88" s="1183"/>
      <c r="G88" s="1184"/>
      <c r="H88" s="1185"/>
      <c r="I88" s="1186"/>
      <c r="J88" s="1186"/>
      <c r="K88" s="1186"/>
      <c r="L88" s="1184"/>
      <c r="M88" s="1185"/>
      <c r="N88" s="1186"/>
      <c r="O88" s="1186"/>
      <c r="P88" s="1186"/>
      <c r="Q88" s="1184"/>
      <c r="R88" s="1183"/>
      <c r="S88" s="1014">
        <f>S87/R87-1</f>
        <v>0.9518839277476705</v>
      </c>
      <c r="T88" s="1014">
        <f>T87/S87-1</f>
        <v>2.3212513178418881E-2</v>
      </c>
      <c r="U88" s="1183">
        <v>3.0000000000000001E-3</v>
      </c>
      <c r="V88" s="867"/>
      <c r="W88" s="1183">
        <v>6.0000000000000001E-3</v>
      </c>
      <c r="X88" s="1183">
        <f>W88</f>
        <v>6.0000000000000001E-3</v>
      </c>
      <c r="Y88" s="1183">
        <f>X88</f>
        <v>6.0000000000000001E-3</v>
      </c>
      <c r="Z88" s="1183">
        <f>Y88</f>
        <v>6.0000000000000001E-3</v>
      </c>
      <c r="AA88" s="867"/>
      <c r="AB88" s="1183">
        <f>Z88</f>
        <v>6.0000000000000001E-3</v>
      </c>
      <c r="AC88" s="1183">
        <f>AB88</f>
        <v>6.0000000000000001E-3</v>
      </c>
      <c r="AD88" s="1183">
        <f>AC88</f>
        <v>6.0000000000000001E-3</v>
      </c>
      <c r="AE88" s="1183">
        <f>AD88</f>
        <v>6.0000000000000001E-3</v>
      </c>
      <c r="AF88" s="867"/>
      <c r="AG88" s="1183">
        <f>AE88</f>
        <v>6.0000000000000001E-3</v>
      </c>
      <c r="AH88" s="1183">
        <f>AG88</f>
        <v>6.0000000000000001E-3</v>
      </c>
      <c r="AI88" s="1183">
        <f>AH88</f>
        <v>6.0000000000000001E-3</v>
      </c>
      <c r="AJ88" s="1183">
        <f>AI88</f>
        <v>6.0000000000000001E-3</v>
      </c>
      <c r="AK88" s="867"/>
    </row>
    <row r="89" spans="1:37" s="571" customFormat="1" ht="12.75" customHeight="1">
      <c r="A89" s="1100"/>
      <c r="B89" s="384"/>
      <c r="C89" s="566"/>
      <c r="D89" s="566"/>
      <c r="E89" s="566"/>
      <c r="F89" s="566"/>
      <c r="G89" s="568"/>
      <c r="H89" s="619"/>
      <c r="I89" s="619"/>
      <c r="J89" s="619"/>
      <c r="K89" s="619"/>
      <c r="L89" s="568"/>
      <c r="M89" s="619"/>
      <c r="N89" s="619"/>
      <c r="O89" s="619"/>
      <c r="P89" s="619"/>
      <c r="Q89" s="568"/>
      <c r="R89" s="569"/>
      <c r="S89" s="1194"/>
      <c r="T89" s="1194"/>
      <c r="U89" s="569"/>
      <c r="V89" s="570"/>
      <c r="W89" s="569"/>
      <c r="X89" s="569"/>
      <c r="Y89" s="569"/>
      <c r="Z89" s="569"/>
      <c r="AA89" s="570"/>
      <c r="AB89" s="569"/>
      <c r="AC89" s="569"/>
      <c r="AD89" s="569"/>
      <c r="AE89" s="569"/>
      <c r="AF89" s="570"/>
      <c r="AG89" s="569"/>
      <c r="AH89" s="569"/>
      <c r="AI89" s="569"/>
      <c r="AJ89" s="569"/>
      <c r="AK89" s="570"/>
    </row>
    <row r="90" spans="1:37" s="571" customFormat="1" ht="12.75" customHeight="1">
      <c r="A90" s="1100"/>
      <c r="B90" s="523" t="s">
        <v>265</v>
      </c>
      <c r="C90" s="566"/>
      <c r="D90" s="566"/>
      <c r="E90" s="566"/>
      <c r="F90" s="566"/>
      <c r="G90" s="568"/>
      <c r="H90" s="619"/>
      <c r="I90" s="619"/>
      <c r="J90" s="619"/>
      <c r="K90" s="619"/>
      <c r="L90" s="568"/>
      <c r="M90" s="619"/>
      <c r="N90" s="619"/>
      <c r="O90" s="619"/>
      <c r="P90" s="619"/>
      <c r="Q90" s="568"/>
      <c r="R90" s="569"/>
      <c r="S90" s="1194"/>
      <c r="T90" s="1194"/>
      <c r="U90" s="569"/>
      <c r="V90" s="570"/>
      <c r="W90" s="569"/>
      <c r="X90" s="569"/>
      <c r="Y90" s="569"/>
      <c r="Z90" s="569"/>
      <c r="AA90" s="570"/>
      <c r="AB90" s="569"/>
      <c r="AC90" s="569"/>
      <c r="AD90" s="569"/>
      <c r="AE90" s="569"/>
      <c r="AF90" s="570"/>
      <c r="AG90" s="569"/>
      <c r="AH90" s="569"/>
      <c r="AI90" s="569"/>
      <c r="AJ90" s="569"/>
      <c r="AK90" s="570"/>
    </row>
    <row r="91" spans="1:37" s="470" customFormat="1" ht="12.75" hidden="1" customHeight="1" outlineLevel="1">
      <c r="A91" s="548"/>
      <c r="B91" s="825" t="s">
        <v>266</v>
      </c>
      <c r="C91" s="586"/>
      <c r="D91" s="586"/>
      <c r="E91" s="586"/>
      <c r="F91" s="586"/>
      <c r="G91" s="555">
        <f>'IS (GAAP)'!G92</f>
        <v>-0.156</v>
      </c>
      <c r="H91" s="703">
        <f>'IS (GAAP)'!H92</f>
        <v>0</v>
      </c>
      <c r="I91" s="703">
        <f>'IS (GAAP)'!I92</f>
        <v>0</v>
      </c>
      <c r="J91" s="703">
        <f>'IS (GAAP)'!J92</f>
        <v>0</v>
      </c>
      <c r="K91" s="664">
        <f>'IS (GAAP)'!K92</f>
        <v>0</v>
      </c>
      <c r="L91" s="555">
        <f>'IS (GAAP)'!L92</f>
        <v>8.0000000000000002E-3</v>
      </c>
      <c r="M91" s="703">
        <f>'IS (GAAP)'!M92</f>
        <v>5.8000000000000003E-2</v>
      </c>
      <c r="N91" s="703">
        <f>'IS (GAAP)'!N92</f>
        <v>2.7E-2</v>
      </c>
      <c r="O91" s="703">
        <f>'IS (GAAP)'!O92</f>
        <v>7.2999999999999995E-2</v>
      </c>
      <c r="P91" s="703">
        <f>'IS (GAAP)'!P92</f>
        <v>0</v>
      </c>
      <c r="Q91" s="555">
        <f>'IS (GAAP)'!Q92</f>
        <v>0</v>
      </c>
      <c r="R91" s="703">
        <f>'IS (GAAP)'!R92</f>
        <v>0</v>
      </c>
      <c r="S91" s="703">
        <f>'IS (GAAP)'!S92</f>
        <v>0</v>
      </c>
      <c r="T91" s="703">
        <f>'IS (GAAP)'!T92</f>
        <v>3.1E-2</v>
      </c>
      <c r="U91" s="703">
        <f>'IS (GAAP)'!U92</f>
        <v>0</v>
      </c>
      <c r="V91" s="555">
        <f>'IS (GAAP)'!V92</f>
        <v>0</v>
      </c>
      <c r="W91" s="703">
        <f>'IS (GAAP)'!W92</f>
        <v>0</v>
      </c>
      <c r="X91" s="703">
        <f>'IS (GAAP)'!X92</f>
        <v>0</v>
      </c>
      <c r="Y91" s="703">
        <f>'IS (GAAP)'!Y92</f>
        <v>0</v>
      </c>
      <c r="Z91" s="703">
        <f>'IS (GAAP)'!Z92</f>
        <v>0</v>
      </c>
      <c r="AA91" s="555">
        <f>'IS (GAAP)'!AA92</f>
        <v>0</v>
      </c>
      <c r="AB91" s="703">
        <f>'IS (GAAP)'!AB92</f>
        <v>0</v>
      </c>
      <c r="AC91" s="703">
        <f>'IS (GAAP)'!AC92</f>
        <v>0</v>
      </c>
      <c r="AD91" s="703">
        <f>'IS (GAAP)'!AD92</f>
        <v>0</v>
      </c>
      <c r="AE91" s="703">
        <f>'IS (GAAP)'!AE92</f>
        <v>0</v>
      </c>
      <c r="AF91" s="555">
        <f>'IS (GAAP)'!AF92</f>
        <v>0</v>
      </c>
      <c r="AG91" s="703">
        <f>'IS (GAAP)'!AG92</f>
        <v>0</v>
      </c>
      <c r="AH91" s="703">
        <f>'IS (GAAP)'!AH92</f>
        <v>0</v>
      </c>
      <c r="AI91" s="703">
        <f>'IS (GAAP)'!AI92</f>
        <v>0</v>
      </c>
      <c r="AJ91" s="703">
        <f>'IS (GAAP)'!AJ92</f>
        <v>0</v>
      </c>
      <c r="AK91" s="555">
        <f>'IS (GAAP)'!AK92</f>
        <v>0</v>
      </c>
    </row>
    <row r="92" spans="1:37" s="565" customFormat="1" ht="12.75" hidden="1" customHeight="1" outlineLevel="1">
      <c r="A92" s="1099"/>
      <c r="B92" s="468" t="s">
        <v>267</v>
      </c>
      <c r="C92" s="572"/>
      <c r="D92" s="572"/>
      <c r="E92" s="572"/>
      <c r="F92" s="572"/>
      <c r="G92" s="573">
        <f t="shared" ref="G92:Q92" si="35">G75+G91</f>
        <v>-26.837000000000003</v>
      </c>
      <c r="H92" s="615">
        <f t="shared" si="35"/>
        <v>-16.12021332095458</v>
      </c>
      <c r="I92" s="615">
        <f t="shared" si="35"/>
        <v>-13.090146017675401</v>
      </c>
      <c r="J92" s="615">
        <f t="shared" si="35"/>
        <v>394.70530391021771</v>
      </c>
      <c r="K92" s="615">
        <f t="shared" si="35"/>
        <v>125.60205542841229</v>
      </c>
      <c r="L92" s="573">
        <f t="shared" si="35"/>
        <v>-44.633999999999965</v>
      </c>
      <c r="M92" s="615">
        <f t="shared" si="35"/>
        <v>-23.500999999999998</v>
      </c>
      <c r="N92" s="615">
        <f t="shared" si="35"/>
        <v>-5.1030000000000024</v>
      </c>
      <c r="O92" s="615">
        <f t="shared" si="35"/>
        <v>0.14000000000000018</v>
      </c>
      <c r="P92" s="615">
        <f t="shared" si="35"/>
        <v>-36.284999999999954</v>
      </c>
      <c r="Q92" s="573">
        <f t="shared" si="35"/>
        <v>-64.907000000000195</v>
      </c>
      <c r="R92" s="615">
        <f t="shared" ref="R92:AK92" si="36">R75+R91</f>
        <v>-149.55600000000007</v>
      </c>
      <c r="S92" s="615">
        <f t="shared" si="36"/>
        <v>-130.80599999999987</v>
      </c>
      <c r="T92" s="615">
        <f>T75+T91</f>
        <v>-40.939</v>
      </c>
      <c r="U92" s="615">
        <f t="shared" si="36"/>
        <v>-229.14812788037736</v>
      </c>
      <c r="V92" s="573">
        <f t="shared" si="36"/>
        <v>-506.07312788037655</v>
      </c>
      <c r="W92" s="615">
        <f t="shared" si="36"/>
        <v>-97.995424267697388</v>
      </c>
      <c r="X92" s="615">
        <f t="shared" si="36"/>
        <v>-19.944363478150478</v>
      </c>
      <c r="Y92" s="615">
        <f t="shared" si="36"/>
        <v>-45.561693781426584</v>
      </c>
      <c r="Z92" s="615">
        <f t="shared" si="36"/>
        <v>26.976214725218313</v>
      </c>
      <c r="AA92" s="573">
        <f t="shared" si="36"/>
        <v>-136.52526680205739</v>
      </c>
      <c r="AB92" s="615">
        <f t="shared" si="36"/>
        <v>38.271102329432807</v>
      </c>
      <c r="AC92" s="615">
        <f t="shared" si="36"/>
        <v>130.77932010569739</v>
      </c>
      <c r="AD92" s="615">
        <f t="shared" si="36"/>
        <v>111.64805045451428</v>
      </c>
      <c r="AE92" s="615">
        <f t="shared" si="36"/>
        <v>45.11436347677126</v>
      </c>
      <c r="AF92" s="573">
        <f t="shared" si="36"/>
        <v>325.81283636641678</v>
      </c>
      <c r="AG92" s="615">
        <f t="shared" si="36"/>
        <v>61.593492803081205</v>
      </c>
      <c r="AH92" s="615">
        <f t="shared" si="36"/>
        <v>120.77208395274627</v>
      </c>
      <c r="AI92" s="615">
        <f t="shared" si="36"/>
        <v>83.060479079157929</v>
      </c>
      <c r="AJ92" s="615">
        <f t="shared" si="36"/>
        <v>-41.127726310371528</v>
      </c>
      <c r="AK92" s="573">
        <f t="shared" si="36"/>
        <v>224.29832952461544</v>
      </c>
    </row>
    <row r="93" spans="1:37" s="571" customFormat="1" ht="12.75" customHeight="1" collapsed="1">
      <c r="A93" s="1100"/>
      <c r="B93" s="384"/>
      <c r="C93" s="566"/>
      <c r="D93" s="566"/>
      <c r="E93" s="566"/>
      <c r="F93" s="566"/>
      <c r="G93" s="568"/>
      <c r="H93" s="619"/>
      <c r="I93" s="619"/>
      <c r="J93" s="619"/>
      <c r="K93" s="619"/>
      <c r="L93" s="568"/>
      <c r="M93" s="619"/>
      <c r="N93" s="619"/>
      <c r="O93" s="619"/>
      <c r="P93" s="619"/>
      <c r="Q93" s="568"/>
      <c r="R93" s="569"/>
      <c r="S93" s="1194"/>
      <c r="T93" s="1194"/>
      <c r="U93" s="569"/>
      <c r="V93" s="570"/>
      <c r="W93" s="569"/>
      <c r="X93" s="569"/>
      <c r="Y93" s="569"/>
      <c r="Z93" s="569"/>
      <c r="AA93" s="570"/>
      <c r="AB93" s="569"/>
      <c r="AC93" s="569"/>
      <c r="AD93" s="569"/>
      <c r="AE93" s="569"/>
      <c r="AF93" s="570"/>
      <c r="AG93" s="569"/>
      <c r="AH93" s="569"/>
      <c r="AI93" s="569"/>
      <c r="AJ93" s="569"/>
      <c r="AK93" s="570"/>
    </row>
    <row r="94" spans="1:37" s="571" customFormat="1" ht="12.75" customHeight="1">
      <c r="A94" s="1100"/>
      <c r="B94" s="523" t="s">
        <v>309</v>
      </c>
      <c r="C94" s="566"/>
      <c r="D94" s="566"/>
      <c r="E94" s="566"/>
      <c r="F94" s="566"/>
      <c r="G94" s="568"/>
      <c r="H94" s="619"/>
      <c r="I94" s="619"/>
      <c r="J94" s="619"/>
      <c r="K94" s="619"/>
      <c r="L94" s="568"/>
      <c r="M94" s="619"/>
      <c r="N94" s="619"/>
      <c r="O94" s="619"/>
      <c r="P94" s="619"/>
      <c r="Q94" s="568"/>
      <c r="R94" s="569"/>
      <c r="S94" s="1194"/>
      <c r="T94" s="1194"/>
      <c r="U94" s="569"/>
      <c r="V94" s="570"/>
      <c r="W94" s="569"/>
      <c r="X94" s="569"/>
      <c r="Y94" s="569"/>
      <c r="Z94" s="569"/>
      <c r="AA94" s="570"/>
      <c r="AB94" s="569"/>
      <c r="AC94" s="569"/>
      <c r="AD94" s="569"/>
      <c r="AE94" s="569"/>
      <c r="AF94" s="570"/>
      <c r="AG94" s="569"/>
      <c r="AH94" s="569"/>
      <c r="AI94" s="569"/>
      <c r="AJ94" s="569"/>
      <c r="AK94" s="570"/>
    </row>
    <row r="95" spans="1:37" s="486" customFormat="1" ht="12.75" hidden="1" customHeight="1" outlineLevel="1">
      <c r="A95" s="603"/>
      <c r="B95" s="1104" t="s">
        <v>160</v>
      </c>
      <c r="C95" s="557"/>
      <c r="D95" s="558"/>
      <c r="E95" s="558"/>
      <c r="F95" s="558"/>
      <c r="G95" s="690">
        <f>'IS (GAAP)'!G99</f>
        <v>-11.185000000000002</v>
      </c>
      <c r="H95" s="691"/>
      <c r="I95" s="692"/>
      <c r="J95" s="692"/>
      <c r="K95" s="692"/>
      <c r="L95" s="690">
        <f>'IS (GAAP)'!L99</f>
        <v>88.759000000000029</v>
      </c>
      <c r="M95" s="691">
        <f>'IS (GAAP)'!M99</f>
        <v>96.356999999999999</v>
      </c>
      <c r="N95" s="692">
        <f>'IS (GAAP)'!N99</f>
        <v>242.18100000000001</v>
      </c>
      <c r="O95" s="692">
        <f>'IS (GAAP)'!O99</f>
        <v>371.14</v>
      </c>
      <c r="P95" s="692">
        <f>'IS (GAAP)'!P99</f>
        <v>478.0929999999999</v>
      </c>
      <c r="Q95" s="690">
        <f>'IS (GAAP)'!Q99</f>
        <v>1187.771</v>
      </c>
      <c r="R95" s="691">
        <f>'IS (GAAP)'!R99</f>
        <v>416.02699999999987</v>
      </c>
      <c r="S95" s="691">
        <f>'IS (GAAP)'!S99</f>
        <v>578.69000000000005</v>
      </c>
      <c r="T95" s="691">
        <f>'IS (GAAP)'!T99</f>
        <v>682.32899999999984</v>
      </c>
      <c r="U95" s="693">
        <f>'IS (GAAP)'!U99</f>
        <v>852.41979530525361</v>
      </c>
      <c r="V95" s="690">
        <f>'IS (GAAP)'!V99</f>
        <v>2234.7142815302304</v>
      </c>
      <c r="W95" s="560">
        <f>'IS (GAAP)'!W99</f>
        <v>1410.9633937448095</v>
      </c>
      <c r="X95" s="693">
        <f>'IS (GAAP)'!X99</f>
        <v>1809.9362368022175</v>
      </c>
      <c r="Y95" s="693">
        <f>'IS (GAAP)'!Y99</f>
        <v>1981.6368742387085</v>
      </c>
      <c r="Z95" s="693">
        <f>'IS (GAAP)'!Z99</f>
        <v>2181.4838639712934</v>
      </c>
      <c r="AA95" s="690">
        <f>'IS (GAAP)'!AA99</f>
        <v>7384.0203687570274</v>
      </c>
      <c r="AB95" s="560">
        <f>'IS (GAAP)'!AB99</f>
        <v>2497.928735708354</v>
      </c>
      <c r="AC95" s="693">
        <f>'IS (GAAP)'!AC99</f>
        <v>2748.5123091368569</v>
      </c>
      <c r="AD95" s="693">
        <f>'IS (GAAP)'!AD99</f>
        <v>3066.1146441952792</v>
      </c>
      <c r="AE95" s="693">
        <f>'IS (GAAP)'!AE99</f>
        <v>3219.2341253380619</v>
      </c>
      <c r="AF95" s="690">
        <f>'IS (GAAP)'!AF99</f>
        <v>11531.789814378553</v>
      </c>
      <c r="AG95" s="560">
        <f>'IS (GAAP)'!AG99</f>
        <v>3584.6578718642431</v>
      </c>
      <c r="AH95" s="693">
        <f>'IS (GAAP)'!AH99</f>
        <v>3765.9466471151463</v>
      </c>
      <c r="AI95" s="693">
        <f>'IS (GAAP)'!AI99</f>
        <v>4001.1362478691881</v>
      </c>
      <c r="AJ95" s="693">
        <f>'IS (GAAP)'!AJ99</f>
        <v>4123.8656000325154</v>
      </c>
      <c r="AK95" s="690">
        <f>'IS (GAAP)'!AK99</f>
        <v>15475.606366881095</v>
      </c>
    </row>
    <row r="96" spans="1:37" s="486" customFormat="1" ht="12.75" hidden="1" customHeight="1" outlineLevel="1">
      <c r="A96" s="603"/>
      <c r="B96" s="1104" t="s">
        <v>70</v>
      </c>
      <c r="C96" s="557"/>
      <c r="D96" s="558"/>
      <c r="E96" s="558"/>
      <c r="F96" s="558"/>
      <c r="G96" s="687">
        <f t="shared" ref="G96:AF96" si="37">G106</f>
        <v>1.49</v>
      </c>
      <c r="H96" s="689"/>
      <c r="I96" s="671"/>
      <c r="J96" s="671"/>
      <c r="K96" s="671"/>
      <c r="L96" s="687">
        <f t="shared" si="37"/>
        <v>15.154</v>
      </c>
      <c r="M96" s="689">
        <f t="shared" si="37"/>
        <v>8.1890000000000001</v>
      </c>
      <c r="N96" s="671">
        <f t="shared" si="37"/>
        <v>7.66</v>
      </c>
      <c r="O96" s="671">
        <f t="shared" si="37"/>
        <v>7.617</v>
      </c>
      <c r="P96" s="671">
        <f t="shared" si="37"/>
        <v>8.0220000000000002</v>
      </c>
      <c r="Q96" s="687">
        <f t="shared" si="37"/>
        <v>31.488</v>
      </c>
      <c r="R96" s="689">
        <f>R106</f>
        <v>183.97300000000001</v>
      </c>
      <c r="S96" s="689">
        <f>S106</f>
        <v>145.005</v>
      </c>
      <c r="T96" s="689">
        <f>T106</f>
        <v>144.43099999999998</v>
      </c>
      <c r="U96" s="668">
        <f t="shared" si="37"/>
        <v>69.429592725087801</v>
      </c>
      <c r="V96" s="687">
        <f t="shared" si="37"/>
        <v>542.83859272508778</v>
      </c>
      <c r="W96" s="688">
        <f t="shared" si="37"/>
        <v>142.53614041665696</v>
      </c>
      <c r="X96" s="668">
        <f t="shared" si="37"/>
        <v>103.74673143662145</v>
      </c>
      <c r="Y96" s="668">
        <f t="shared" si="37"/>
        <v>108.55957656139807</v>
      </c>
      <c r="Z96" s="668">
        <f t="shared" si="37"/>
        <v>109.1397100679437</v>
      </c>
      <c r="AA96" s="687">
        <f t="shared" si="37"/>
        <v>463.98215848262021</v>
      </c>
      <c r="AB96" s="688">
        <f t="shared" si="37"/>
        <v>97.196142489706745</v>
      </c>
      <c r="AC96" s="668">
        <f t="shared" si="37"/>
        <v>137.74515456001143</v>
      </c>
      <c r="AD96" s="668">
        <f t="shared" si="37"/>
        <v>89.476654755576817</v>
      </c>
      <c r="AE96" s="668">
        <f t="shared" si="37"/>
        <v>131.9785322632568</v>
      </c>
      <c r="AF96" s="687">
        <f t="shared" si="37"/>
        <v>456.39648406855179</v>
      </c>
      <c r="AG96" s="688">
        <f>AG106</f>
        <v>113.42429100132455</v>
      </c>
      <c r="AH96" s="668">
        <f>AH106</f>
        <v>112.02074421184531</v>
      </c>
      <c r="AI96" s="668">
        <f>AI106</f>
        <v>91.95042839736405</v>
      </c>
      <c r="AJ96" s="668">
        <f>AJ106</f>
        <v>88.259444090504218</v>
      </c>
      <c r="AK96" s="687">
        <f>AK106</f>
        <v>405.6549077010381</v>
      </c>
    </row>
    <row r="97" spans="1:37" s="565" customFormat="1" ht="12.75" hidden="1" customHeight="1" outlineLevel="1">
      <c r="A97" s="1097"/>
      <c r="B97" s="852" t="s">
        <v>309</v>
      </c>
      <c r="C97" s="574"/>
      <c r="D97" s="574"/>
      <c r="E97" s="574"/>
      <c r="F97" s="574"/>
      <c r="G97" s="575">
        <f t="shared" ref="G97:AF97" si="38">G95+G96</f>
        <v>-9.6950000000000021</v>
      </c>
      <c r="H97" s="610"/>
      <c r="I97" s="610"/>
      <c r="J97" s="610"/>
      <c r="K97" s="610"/>
      <c r="L97" s="575">
        <f t="shared" si="38"/>
        <v>103.91300000000003</v>
      </c>
      <c r="M97" s="610">
        <f t="shared" si="38"/>
        <v>104.54599999999999</v>
      </c>
      <c r="N97" s="610">
        <f t="shared" si="38"/>
        <v>249.84100000000001</v>
      </c>
      <c r="O97" s="610">
        <f t="shared" si="38"/>
        <v>378.75700000000001</v>
      </c>
      <c r="P97" s="610">
        <f t="shared" si="38"/>
        <v>486.1149999999999</v>
      </c>
      <c r="Q97" s="575">
        <f t="shared" si="38"/>
        <v>1219.259</v>
      </c>
      <c r="R97" s="610">
        <f>R95+R96</f>
        <v>599.99999999999989</v>
      </c>
      <c r="S97" s="610">
        <f>S95+S96</f>
        <v>723.69500000000005</v>
      </c>
      <c r="T97" s="610">
        <f>T95+T96</f>
        <v>826.75999999999976</v>
      </c>
      <c r="U97" s="574">
        <f t="shared" si="38"/>
        <v>921.8493880303414</v>
      </c>
      <c r="V97" s="575">
        <f t="shared" si="38"/>
        <v>2777.5528742553183</v>
      </c>
      <c r="W97" s="574">
        <f t="shared" si="38"/>
        <v>1553.4995341614665</v>
      </c>
      <c r="X97" s="574">
        <f t="shared" si="38"/>
        <v>1913.6829682388391</v>
      </c>
      <c r="Y97" s="574">
        <f t="shared" si="38"/>
        <v>2090.1964508001065</v>
      </c>
      <c r="Z97" s="574">
        <f t="shared" si="38"/>
        <v>2290.6235740392372</v>
      </c>
      <c r="AA97" s="575">
        <f t="shared" si="38"/>
        <v>7848.0025272396479</v>
      </c>
      <c r="AB97" s="574">
        <f t="shared" si="38"/>
        <v>2595.1248781980607</v>
      </c>
      <c r="AC97" s="574">
        <f t="shared" si="38"/>
        <v>2886.2574636968684</v>
      </c>
      <c r="AD97" s="574">
        <f t="shared" si="38"/>
        <v>3155.5912989508561</v>
      </c>
      <c r="AE97" s="574">
        <f t="shared" si="38"/>
        <v>3351.2126576013188</v>
      </c>
      <c r="AF97" s="575">
        <f t="shared" si="38"/>
        <v>11988.186298447104</v>
      </c>
      <c r="AG97" s="574">
        <f>AG95+AG96</f>
        <v>3698.0821628655676</v>
      </c>
      <c r="AH97" s="574">
        <f>AH95+AH96</f>
        <v>3877.9673913269917</v>
      </c>
      <c r="AI97" s="574">
        <f>AI95+AI96</f>
        <v>4093.0866762665523</v>
      </c>
      <c r="AJ97" s="574">
        <f>AJ95+AJ96</f>
        <v>4212.1250441230195</v>
      </c>
      <c r="AK97" s="575">
        <f>AK95+AK96</f>
        <v>15881.261274582133</v>
      </c>
    </row>
    <row r="98" spans="1:37" s="298" customFormat="1" ht="12.75" hidden="1" customHeight="1" outlineLevel="1">
      <c r="A98" s="1088"/>
      <c r="B98" s="866" t="s">
        <v>31</v>
      </c>
      <c r="C98" s="102"/>
      <c r="D98" s="102"/>
      <c r="E98" s="102"/>
      <c r="F98" s="102"/>
      <c r="G98" s="254"/>
      <c r="H98" s="291"/>
      <c r="I98" s="291"/>
      <c r="J98" s="291"/>
      <c r="K98" s="291"/>
      <c r="L98" s="254">
        <f t="shared" ref="L98:AF98" si="39">IFERROR(L97/G97-1,"")</f>
        <v>-11.718205260443527</v>
      </c>
      <c r="M98" s="291" t="str">
        <f t="shared" si="39"/>
        <v/>
      </c>
      <c r="N98" s="291" t="str">
        <f t="shared" si="39"/>
        <v/>
      </c>
      <c r="O98" s="291" t="str">
        <f t="shared" si="39"/>
        <v/>
      </c>
      <c r="P98" s="291" t="str">
        <f t="shared" si="39"/>
        <v/>
      </c>
      <c r="Q98" s="254">
        <f t="shared" si="39"/>
        <v>10.733459721112851</v>
      </c>
      <c r="R98" s="102">
        <f t="shared" si="39"/>
        <v>4.7391004916496078</v>
      </c>
      <c r="S98" s="291">
        <f t="shared" si="39"/>
        <v>1.8966222517521145</v>
      </c>
      <c r="T98" s="291">
        <f t="shared" si="39"/>
        <v>1.1828243438405091</v>
      </c>
      <c r="U98" s="102">
        <f t="shared" si="39"/>
        <v>0.89636071306242671</v>
      </c>
      <c r="V98" s="254">
        <f t="shared" si="39"/>
        <v>1.2780663290205925</v>
      </c>
      <c r="W98" s="102">
        <f t="shared" si="39"/>
        <v>1.5891658902691113</v>
      </c>
      <c r="X98" s="102">
        <f t="shared" si="39"/>
        <v>1.6443224953037383</v>
      </c>
      <c r="Y98" s="102">
        <f t="shared" si="39"/>
        <v>1.528178009095877</v>
      </c>
      <c r="Z98" s="102">
        <f t="shared" si="39"/>
        <v>1.4848132501703679</v>
      </c>
      <c r="AA98" s="254">
        <f t="shared" si="39"/>
        <v>1.8255096779548268</v>
      </c>
      <c r="AB98" s="102">
        <f t="shared" si="39"/>
        <v>0.67050251456871734</v>
      </c>
      <c r="AC98" s="102">
        <f t="shared" si="39"/>
        <v>0.50822132589343627</v>
      </c>
      <c r="AD98" s="102">
        <f t="shared" si="39"/>
        <v>0.50971039001761143</v>
      </c>
      <c r="AE98" s="102">
        <f t="shared" si="39"/>
        <v>0.46301325786666081</v>
      </c>
      <c r="AF98" s="254">
        <f t="shared" si="39"/>
        <v>0.52754618220843885</v>
      </c>
      <c r="AG98" s="102">
        <f>IFERROR(AG97/AB97-1,"")</f>
        <v>0.42501125627270442</v>
      </c>
      <c r="AH98" s="102">
        <f>IFERROR(AH97/AC97-1,"")</f>
        <v>0.34359718081417778</v>
      </c>
      <c r="AI98" s="102">
        <f>IFERROR(AI97/AD97-1,"")</f>
        <v>0.29709024030690756</v>
      </c>
      <c r="AJ98" s="102">
        <f>IFERROR(AJ97/AE97-1,"")</f>
        <v>0.25689577907536076</v>
      </c>
      <c r="AK98" s="254">
        <f>IFERROR(AK97/AF97-1,"")</f>
        <v>0.32474261570654095</v>
      </c>
    </row>
    <row r="99" spans="1:37" s="565" customFormat="1" ht="12.75" hidden="1" customHeight="1" outlineLevel="1">
      <c r="A99" s="1097"/>
      <c r="B99" s="866" t="s">
        <v>310</v>
      </c>
      <c r="C99" s="695"/>
      <c r="D99" s="695"/>
      <c r="E99" s="695"/>
      <c r="F99" s="695"/>
      <c r="G99" s="700">
        <f t="shared" ref="G99:AF99" si="40">G97/G$10</f>
        <v>-0.61244472520530646</v>
      </c>
      <c r="H99" s="701"/>
      <c r="I99" s="701"/>
      <c r="J99" s="701"/>
      <c r="K99" s="701"/>
      <c r="L99" s="700">
        <f t="shared" si="40"/>
        <v>0.45388153383156515</v>
      </c>
      <c r="M99" s="701">
        <f t="shared" si="40"/>
        <v>0.55407983718810283</v>
      </c>
      <c r="N99" s="701">
        <f t="shared" si="40"/>
        <v>0.63191534027533636</v>
      </c>
      <c r="O99" s="701">
        <f t="shared" si="40"/>
        <v>0.64862203544536179</v>
      </c>
      <c r="P99" s="701">
        <f t="shared" si="40"/>
        <v>0.65038197556961841</v>
      </c>
      <c r="Q99" s="700">
        <f t="shared" si="40"/>
        <v>0.63654717018564022</v>
      </c>
      <c r="R99" s="702">
        <f t="shared" si="40"/>
        <v>0.61122701786412825</v>
      </c>
      <c r="S99" s="701">
        <f>S97/S$10</f>
        <v>0.59672011926239377</v>
      </c>
      <c r="T99" s="701">
        <f>T97/T$10</f>
        <v>0.60582878280265773</v>
      </c>
      <c r="U99" s="702">
        <f t="shared" si="40"/>
        <v>0.59748618468239623</v>
      </c>
      <c r="V99" s="700">
        <f t="shared" si="40"/>
        <v>0.54440729675458466</v>
      </c>
      <c r="W99" s="702">
        <f t="shared" si="40"/>
        <v>0.69753516473577137</v>
      </c>
      <c r="X99" s="702">
        <f t="shared" si="40"/>
        <v>0.64560013564645724</v>
      </c>
      <c r="Y99" s="702">
        <f t="shared" si="40"/>
        <v>0.63537907074823985</v>
      </c>
      <c r="Z99" s="702">
        <f t="shared" si="40"/>
        <v>0.65062781228766586</v>
      </c>
      <c r="AA99" s="700">
        <f t="shared" si="40"/>
        <v>0.65391087179391161</v>
      </c>
      <c r="AB99" s="702">
        <f t="shared" si="40"/>
        <v>0.68084681859733975</v>
      </c>
      <c r="AC99" s="702">
        <f t="shared" si="40"/>
        <v>0.69481938296466605</v>
      </c>
      <c r="AD99" s="702">
        <f t="shared" si="40"/>
        <v>0.70534404925418315</v>
      </c>
      <c r="AE99" s="702">
        <f t="shared" si="40"/>
        <v>0.70234301691345757</v>
      </c>
      <c r="AF99" s="700">
        <f t="shared" si="40"/>
        <v>0.69654656962313066</v>
      </c>
      <c r="AG99" s="702">
        <f>AG97/AG$10</f>
        <v>0.7225006482941444</v>
      </c>
      <c r="AH99" s="702">
        <f>AH97/AH$10</f>
        <v>0.72760355740046068</v>
      </c>
      <c r="AI99" s="702">
        <f>AI97/AI$10</f>
        <v>0.74159966411970968</v>
      </c>
      <c r="AJ99" s="702">
        <f>AJ97/AJ$10</f>
        <v>0.74058129082654323</v>
      </c>
      <c r="AK99" s="700">
        <f>AK97/AK$10</f>
        <v>0.73337316390054641</v>
      </c>
    </row>
    <row r="100" spans="1:37" s="565" customFormat="1" ht="12.75" customHeight="1" collapsed="1">
      <c r="A100" s="1097"/>
      <c r="B100" s="694"/>
      <c r="C100" s="695"/>
      <c r="D100" s="695"/>
      <c r="E100" s="695"/>
      <c r="F100" s="695"/>
      <c r="G100" s="696"/>
      <c r="H100" s="697"/>
      <c r="I100" s="697"/>
      <c r="J100" s="697"/>
      <c r="K100" s="697"/>
      <c r="L100" s="696"/>
      <c r="M100" s="697"/>
      <c r="N100" s="697"/>
      <c r="O100" s="697"/>
      <c r="P100" s="697"/>
      <c r="Q100" s="696"/>
      <c r="R100" s="695"/>
      <c r="S100" s="697"/>
      <c r="T100" s="697"/>
      <c r="U100" s="695"/>
      <c r="V100" s="696"/>
      <c r="W100" s="695"/>
      <c r="X100" s="695"/>
      <c r="Y100" s="695"/>
      <c r="Z100" s="695"/>
      <c r="AA100" s="696"/>
      <c r="AB100" s="695"/>
      <c r="AC100" s="695"/>
      <c r="AD100" s="695"/>
      <c r="AE100" s="695"/>
      <c r="AF100" s="696"/>
      <c r="AG100" s="695"/>
      <c r="AH100" s="695"/>
      <c r="AI100" s="695"/>
      <c r="AJ100" s="695"/>
      <c r="AK100" s="696"/>
    </row>
    <row r="101" spans="1:37" s="571" customFormat="1" ht="12.75" customHeight="1">
      <c r="A101" s="1100"/>
      <c r="B101" s="523" t="s">
        <v>70</v>
      </c>
      <c r="C101" s="566"/>
      <c r="D101" s="566"/>
      <c r="E101" s="566"/>
      <c r="F101" s="566"/>
      <c r="G101" s="568"/>
      <c r="H101" s="619"/>
      <c r="I101" s="619"/>
      <c r="J101" s="619"/>
      <c r="K101" s="619"/>
      <c r="L101" s="568"/>
      <c r="M101" s="619"/>
      <c r="N101" s="619"/>
      <c r="O101" s="619"/>
      <c r="P101" s="619"/>
      <c r="Q101" s="570"/>
      <c r="R101" s="569"/>
      <c r="S101" s="1194"/>
      <c r="T101" s="1194"/>
      <c r="U101" s="569"/>
      <c r="V101" s="570"/>
      <c r="W101" s="569"/>
      <c r="X101" s="569"/>
      <c r="Y101" s="569"/>
      <c r="Z101" s="569"/>
      <c r="AA101" s="570"/>
      <c r="AB101" s="569"/>
      <c r="AC101" s="569"/>
      <c r="AD101" s="569"/>
      <c r="AE101" s="569"/>
      <c r="AF101" s="570"/>
      <c r="AG101" s="569"/>
      <c r="AH101" s="569"/>
      <c r="AI101" s="569"/>
      <c r="AJ101" s="569"/>
      <c r="AK101" s="570"/>
    </row>
    <row r="102" spans="1:37" s="486" customFormat="1" ht="12.75" hidden="1" customHeight="1" outlineLevel="1">
      <c r="A102" s="603"/>
      <c r="B102" s="825" t="s">
        <v>34</v>
      </c>
      <c r="C102" s="557"/>
      <c r="D102" s="558"/>
      <c r="E102" s="558"/>
      <c r="F102" s="558"/>
      <c r="G102" s="662">
        <v>0.13300000000000001</v>
      </c>
      <c r="H102" s="669"/>
      <c r="I102" s="670"/>
      <c r="J102" s="670"/>
      <c r="K102" s="671"/>
      <c r="L102" s="662">
        <v>0.69399999999999995</v>
      </c>
      <c r="M102" s="669">
        <v>0.38800000000000001</v>
      </c>
      <c r="N102" s="670">
        <v>0.35</v>
      </c>
      <c r="O102" s="670">
        <f>0.271</f>
        <v>0.27100000000000002</v>
      </c>
      <c r="P102" s="670">
        <f>0.298+0.00025</f>
        <v>0.29824999999999996</v>
      </c>
      <c r="Q102" s="665">
        <f>SUM(M102:P102)</f>
        <v>1.3072499999999998</v>
      </c>
      <c r="R102" s="669">
        <v>2.6930000000000001</v>
      </c>
      <c r="S102" s="670">
        <v>2.7010000000000001</v>
      </c>
      <c r="T102" s="670">
        <v>3.5329999999999999</v>
      </c>
      <c r="U102" s="668">
        <f>U$10*U$117*U108</f>
        <v>13.88591854501756</v>
      </c>
      <c r="V102" s="665">
        <f>SUM(R102:U102)</f>
        <v>22.81291854501756</v>
      </c>
      <c r="W102" s="688">
        <f t="shared" ref="W102:Z105" si="41">W$10*W$117*W108</f>
        <v>18.529698254165407</v>
      </c>
      <c r="X102" s="668">
        <f t="shared" si="41"/>
        <v>24.899215544789147</v>
      </c>
      <c r="Y102" s="668">
        <f t="shared" si="41"/>
        <v>26.054298374735541</v>
      </c>
      <c r="Z102" s="668">
        <f t="shared" si="41"/>
        <v>26.193530416306487</v>
      </c>
      <c r="AA102" s="665">
        <f>SUM(W102:Z102)</f>
        <v>95.676742589996579</v>
      </c>
      <c r="AB102" s="688">
        <f t="shared" ref="AB102:AE105" si="42">AB$10*AB$117*AB108</f>
        <v>23.327074197529615</v>
      </c>
      <c r="AC102" s="668">
        <f t="shared" si="42"/>
        <v>33.05883709440274</v>
      </c>
      <c r="AD102" s="668">
        <f t="shared" si="42"/>
        <v>21.474397141338432</v>
      </c>
      <c r="AE102" s="668">
        <f t="shared" si="42"/>
        <v>31.67484774318163</v>
      </c>
      <c r="AF102" s="665">
        <f>SUM(AB102:AE102)</f>
        <v>109.53515617645242</v>
      </c>
      <c r="AG102" s="688">
        <f t="shared" ref="AG102:AJ105" si="43">AG$10*AG$117*AG108</f>
        <v>27.221829840317891</v>
      </c>
      <c r="AH102" s="668">
        <f t="shared" si="43"/>
        <v>26.884978610842875</v>
      </c>
      <c r="AI102" s="668">
        <f t="shared" si="43"/>
        <v>22.068102815367372</v>
      </c>
      <c r="AJ102" s="668">
        <f t="shared" si="43"/>
        <v>21.182266581721009</v>
      </c>
      <c r="AK102" s="665">
        <f>SUM(AG102:AJ102)</f>
        <v>97.357177848249151</v>
      </c>
    </row>
    <row r="103" spans="1:37" s="486" customFormat="1" ht="12.75" hidden="1" customHeight="1" outlineLevel="1">
      <c r="A103" s="603"/>
      <c r="B103" s="825" t="s">
        <v>255</v>
      </c>
      <c r="C103" s="557"/>
      <c r="D103" s="558"/>
      <c r="E103" s="558"/>
      <c r="F103" s="558"/>
      <c r="G103" s="662">
        <v>0.624</v>
      </c>
      <c r="H103" s="669"/>
      <c r="I103" s="670"/>
      <c r="J103" s="670"/>
      <c r="K103" s="671"/>
      <c r="L103" s="662">
        <v>7.1</v>
      </c>
      <c r="M103" s="669">
        <v>2.3570000000000002</v>
      </c>
      <c r="N103" s="670">
        <v>2.08</v>
      </c>
      <c r="O103" s="670">
        <f>2.161</f>
        <v>2.161</v>
      </c>
      <c r="P103" s="670">
        <f>0.00025+3.314</f>
        <v>3.3142499999999999</v>
      </c>
      <c r="Q103" s="665">
        <f>SUM(M103:P103)</f>
        <v>9.9122500000000002</v>
      </c>
      <c r="R103" s="669">
        <v>54.598999999999997</v>
      </c>
      <c r="S103" s="670">
        <v>47.683</v>
      </c>
      <c r="T103" s="670">
        <v>52.622999999999998</v>
      </c>
      <c r="U103" s="668">
        <f>U$10*U$117*U109</f>
        <v>22.831014585085768</v>
      </c>
      <c r="V103" s="665">
        <f>SUM(R103:U103)</f>
        <v>177.73601458508577</v>
      </c>
      <c r="W103" s="688">
        <f t="shared" si="41"/>
        <v>48.462287741663374</v>
      </c>
      <c r="X103" s="668">
        <f t="shared" si="41"/>
        <v>33.968717071508479</v>
      </c>
      <c r="Y103" s="668">
        <f t="shared" si="41"/>
        <v>35.544537071701924</v>
      </c>
      <c r="Z103" s="668">
        <f t="shared" si="41"/>
        <v>35.734484173404965</v>
      </c>
      <c r="AA103" s="665">
        <f>SUM(W103:Z103)</f>
        <v>153.71002605827874</v>
      </c>
      <c r="AB103" s="688">
        <f t="shared" si="42"/>
        <v>31.823925621134638</v>
      </c>
      <c r="AC103" s="668">
        <f t="shared" si="42"/>
        <v>45.100468404430039</v>
      </c>
      <c r="AD103" s="668">
        <f t="shared" si="42"/>
        <v>29.296413755010647</v>
      </c>
      <c r="AE103" s="668">
        <f t="shared" si="42"/>
        <v>43.212363029501901</v>
      </c>
      <c r="AF103" s="665">
        <f>SUM(AB103:AE103)</f>
        <v>149.43317081007723</v>
      </c>
      <c r="AG103" s="688">
        <f t="shared" si="43"/>
        <v>37.137340104195466</v>
      </c>
      <c r="AH103" s="668">
        <f t="shared" si="43"/>
        <v>36.677791324891807</v>
      </c>
      <c r="AI103" s="668">
        <f t="shared" si="43"/>
        <v>30.106375821026774</v>
      </c>
      <c r="AJ103" s="668">
        <f t="shared" si="43"/>
        <v>28.897875081784758</v>
      </c>
      <c r="AK103" s="665">
        <f>SUM(AG103:AJ103)</f>
        <v>132.81938233189879</v>
      </c>
    </row>
    <row r="104" spans="1:37" s="486" customFormat="1" ht="12.75" hidden="1" customHeight="1" outlineLevel="1">
      <c r="A104" s="603"/>
      <c r="B104" s="825" t="s">
        <v>201</v>
      </c>
      <c r="C104" s="557"/>
      <c r="D104" s="558"/>
      <c r="E104" s="558"/>
      <c r="F104" s="558"/>
      <c r="G104" s="662">
        <v>7.3999999999999996E-2</v>
      </c>
      <c r="H104" s="669"/>
      <c r="I104" s="670"/>
      <c r="J104" s="670"/>
      <c r="K104" s="671"/>
      <c r="L104" s="662">
        <v>1.74</v>
      </c>
      <c r="M104" s="669">
        <v>0.86699999999999999</v>
      </c>
      <c r="N104" s="670">
        <v>0.84799999999999998</v>
      </c>
      <c r="O104" s="670">
        <f>0.847</f>
        <v>0.84699999999999998</v>
      </c>
      <c r="P104" s="670">
        <f>0.846+0.00025</f>
        <v>0.84624999999999995</v>
      </c>
      <c r="Q104" s="665">
        <f>SUM(M104:P104)</f>
        <v>3.4082499999999998</v>
      </c>
      <c r="R104" s="669">
        <v>2.82</v>
      </c>
      <c r="S104" s="670">
        <v>8.4939999999999998</v>
      </c>
      <c r="T104" s="670">
        <v>9.81</v>
      </c>
      <c r="U104" s="668">
        <f>U$10*U$117*U110</f>
        <v>8.3315511270105365</v>
      </c>
      <c r="V104" s="665">
        <f>SUM(R104:U104)</f>
        <v>29.455551127010537</v>
      </c>
      <c r="W104" s="688">
        <f t="shared" si="41"/>
        <v>41.335480720830517</v>
      </c>
      <c r="X104" s="668">
        <f t="shared" si="41"/>
        <v>16.599477029859433</v>
      </c>
      <c r="Y104" s="668">
        <f t="shared" si="41"/>
        <v>17.369532249823695</v>
      </c>
      <c r="Z104" s="668">
        <f t="shared" si="41"/>
        <v>17.462353610870991</v>
      </c>
      <c r="AA104" s="665">
        <f>SUM(W104:Z104)</f>
        <v>92.76684361138463</v>
      </c>
      <c r="AB104" s="688">
        <f t="shared" si="42"/>
        <v>15.551382798353076</v>
      </c>
      <c r="AC104" s="668">
        <f t="shared" si="42"/>
        <v>22.03922472960183</v>
      </c>
      <c r="AD104" s="668">
        <f t="shared" si="42"/>
        <v>14.316264760892288</v>
      </c>
      <c r="AE104" s="668">
        <f t="shared" si="42"/>
        <v>21.116565162121088</v>
      </c>
      <c r="AF104" s="665">
        <f>SUM(AB104:AE104)</f>
        <v>73.023437450968288</v>
      </c>
      <c r="AG104" s="688">
        <f t="shared" si="43"/>
        <v>18.147886560211926</v>
      </c>
      <c r="AH104" s="668">
        <f t="shared" si="43"/>
        <v>17.92331907389525</v>
      </c>
      <c r="AI104" s="668">
        <f t="shared" si="43"/>
        <v>14.712068543578248</v>
      </c>
      <c r="AJ104" s="668">
        <f t="shared" si="43"/>
        <v>14.121511054480672</v>
      </c>
      <c r="AK104" s="665">
        <f>SUM(AG104:AJ104)</f>
        <v>64.904785232166091</v>
      </c>
    </row>
    <row r="105" spans="1:37" s="486" customFormat="1" ht="12.75" hidden="1" customHeight="1" outlineLevel="1">
      <c r="A105" s="603"/>
      <c r="B105" s="825" t="s">
        <v>202</v>
      </c>
      <c r="C105" s="557"/>
      <c r="D105" s="558"/>
      <c r="E105" s="558"/>
      <c r="F105" s="558"/>
      <c r="G105" s="662">
        <v>0.65900000000000003</v>
      </c>
      <c r="H105" s="669"/>
      <c r="I105" s="670"/>
      <c r="J105" s="670"/>
      <c r="K105" s="671"/>
      <c r="L105" s="662">
        <v>5.62</v>
      </c>
      <c r="M105" s="669">
        <v>4.577</v>
      </c>
      <c r="N105" s="670">
        <v>4.3819999999999997</v>
      </c>
      <c r="O105" s="670">
        <f>4.338</f>
        <v>4.3380000000000001</v>
      </c>
      <c r="P105" s="670">
        <f>3.563+0.00025</f>
        <v>3.56325</v>
      </c>
      <c r="Q105" s="665">
        <f>SUM(M105:P105)</f>
        <v>16.860250000000001</v>
      </c>
      <c r="R105" s="669">
        <v>123.861</v>
      </c>
      <c r="S105" s="670">
        <v>86.126999999999995</v>
      </c>
      <c r="T105" s="670">
        <v>78.465000000000003</v>
      </c>
      <c r="U105" s="668">
        <f>U$10*U$117*U111</f>
        <v>24.381108467973942</v>
      </c>
      <c r="V105" s="665">
        <f>SUM(R105:U105)</f>
        <v>312.83410846797392</v>
      </c>
      <c r="W105" s="688">
        <f t="shared" si="41"/>
        <v>34.208673699997675</v>
      </c>
      <c r="X105" s="668">
        <f t="shared" si="41"/>
        <v>28.279321790464394</v>
      </c>
      <c r="Y105" s="668">
        <f t="shared" si="41"/>
        <v>29.591208865136927</v>
      </c>
      <c r="Z105" s="668">
        <f t="shared" si="41"/>
        <v>29.749341867361252</v>
      </c>
      <c r="AA105" s="665">
        <f>SUM(W105:Z105)</f>
        <v>121.82854622296024</v>
      </c>
      <c r="AB105" s="688">
        <f t="shared" si="42"/>
        <v>26.493759872689406</v>
      </c>
      <c r="AC105" s="668">
        <f t="shared" si="42"/>
        <v>37.546624331576822</v>
      </c>
      <c r="AD105" s="668">
        <f t="shared" si="42"/>
        <v>24.389579098335439</v>
      </c>
      <c r="AE105" s="668">
        <f t="shared" si="42"/>
        <v>35.97475632845218</v>
      </c>
      <c r="AF105" s="665">
        <f>SUM(AB105:AE105)</f>
        <v>124.40471963105384</v>
      </c>
      <c r="AG105" s="688">
        <f t="shared" si="43"/>
        <v>30.917234496599264</v>
      </c>
      <c r="AH105" s="668">
        <f t="shared" si="43"/>
        <v>30.534655202215383</v>
      </c>
      <c r="AI105" s="668">
        <f t="shared" si="43"/>
        <v>25.063881217391661</v>
      </c>
      <c r="AJ105" s="668">
        <f t="shared" si="43"/>
        <v>24.057791372517769</v>
      </c>
      <c r="AK105" s="665">
        <f>SUM(AG105:AJ105)</f>
        <v>110.57356228872408</v>
      </c>
    </row>
    <row r="106" spans="1:37" s="565" customFormat="1" ht="12.75" hidden="1" customHeight="1" outlineLevel="1">
      <c r="A106" s="1097"/>
      <c r="B106" s="468" t="s">
        <v>203</v>
      </c>
      <c r="C106" s="574"/>
      <c r="D106" s="574"/>
      <c r="E106" s="574"/>
      <c r="F106" s="574"/>
      <c r="G106" s="575">
        <f t="shared" ref="G106:AF106" si="44">SUM(G102:G105)</f>
        <v>1.49</v>
      </c>
      <c r="H106" s="610"/>
      <c r="I106" s="610"/>
      <c r="J106" s="610"/>
      <c r="K106" s="610"/>
      <c r="L106" s="575">
        <f t="shared" si="44"/>
        <v>15.154</v>
      </c>
      <c r="M106" s="610">
        <f t="shared" si="44"/>
        <v>8.1890000000000001</v>
      </c>
      <c r="N106" s="610">
        <f t="shared" si="44"/>
        <v>7.66</v>
      </c>
      <c r="O106" s="610">
        <f t="shared" si="44"/>
        <v>7.617</v>
      </c>
      <c r="P106" s="610">
        <f t="shared" si="44"/>
        <v>8.0220000000000002</v>
      </c>
      <c r="Q106" s="575">
        <f t="shared" si="44"/>
        <v>31.488</v>
      </c>
      <c r="R106" s="610">
        <f>SUM(R102:R105)</f>
        <v>183.97300000000001</v>
      </c>
      <c r="S106" s="610">
        <f t="shared" si="44"/>
        <v>145.005</v>
      </c>
      <c r="T106" s="610">
        <f t="shared" si="44"/>
        <v>144.43099999999998</v>
      </c>
      <c r="U106" s="574">
        <f t="shared" si="44"/>
        <v>69.429592725087801</v>
      </c>
      <c r="V106" s="575">
        <f t="shared" si="44"/>
        <v>542.83859272508778</v>
      </c>
      <c r="W106" s="574">
        <f t="shared" si="44"/>
        <v>142.53614041665696</v>
      </c>
      <c r="X106" s="574">
        <f t="shared" si="44"/>
        <v>103.74673143662145</v>
      </c>
      <c r="Y106" s="574">
        <f t="shared" si="44"/>
        <v>108.55957656139807</v>
      </c>
      <c r="Z106" s="574">
        <f t="shared" si="44"/>
        <v>109.1397100679437</v>
      </c>
      <c r="AA106" s="575">
        <f t="shared" si="44"/>
        <v>463.98215848262021</v>
      </c>
      <c r="AB106" s="574">
        <f t="shared" si="44"/>
        <v>97.196142489706745</v>
      </c>
      <c r="AC106" s="574">
        <f t="shared" si="44"/>
        <v>137.74515456001143</v>
      </c>
      <c r="AD106" s="574">
        <f t="shared" si="44"/>
        <v>89.476654755576817</v>
      </c>
      <c r="AE106" s="574">
        <f t="shared" si="44"/>
        <v>131.9785322632568</v>
      </c>
      <c r="AF106" s="575">
        <f t="shared" si="44"/>
        <v>456.39648406855179</v>
      </c>
      <c r="AG106" s="574">
        <f>SUM(AG102:AG105)</f>
        <v>113.42429100132455</v>
      </c>
      <c r="AH106" s="574">
        <f>SUM(AH102:AH105)</f>
        <v>112.02074421184531</v>
      </c>
      <c r="AI106" s="574">
        <f>SUM(AI102:AI105)</f>
        <v>91.95042839736405</v>
      </c>
      <c r="AJ106" s="574">
        <f>SUM(AJ102:AJ105)</f>
        <v>88.259444090504218</v>
      </c>
      <c r="AK106" s="575">
        <f>SUM(AK102:AK105)</f>
        <v>405.6549077010381</v>
      </c>
    </row>
    <row r="107" spans="1:37" s="565" customFormat="1" ht="12.75" hidden="1" customHeight="1" outlineLevel="1">
      <c r="A107" s="1097"/>
      <c r="B107" s="694"/>
      <c r="C107" s="695"/>
      <c r="D107" s="695"/>
      <c r="E107" s="695"/>
      <c r="F107" s="695"/>
      <c r="G107" s="696"/>
      <c r="H107" s="697"/>
      <c r="I107" s="697"/>
      <c r="J107" s="697"/>
      <c r="K107" s="697"/>
      <c r="L107" s="696"/>
      <c r="M107" s="697"/>
      <c r="N107" s="697"/>
      <c r="O107" s="697"/>
      <c r="P107" s="697"/>
      <c r="Q107" s="696"/>
      <c r="R107" s="697"/>
      <c r="S107" s="697"/>
      <c r="T107" s="697"/>
      <c r="U107" s="695"/>
      <c r="V107" s="696"/>
      <c r="W107" s="695"/>
      <c r="X107" s="695"/>
      <c r="Y107" s="695"/>
      <c r="Z107" s="695"/>
      <c r="AA107" s="696"/>
      <c r="AB107" s="695"/>
      <c r="AC107" s="695"/>
      <c r="AD107" s="695"/>
      <c r="AE107" s="695"/>
      <c r="AF107" s="696"/>
      <c r="AG107" s="695"/>
      <c r="AH107" s="695"/>
      <c r="AI107" s="695"/>
      <c r="AJ107" s="695"/>
      <c r="AK107" s="696"/>
    </row>
    <row r="108" spans="1:37" s="565" customFormat="1" ht="12.75" hidden="1" customHeight="1" outlineLevel="1">
      <c r="A108" s="1097"/>
      <c r="B108" s="825" t="s">
        <v>400</v>
      </c>
      <c r="C108" s="816"/>
      <c r="D108" s="816"/>
      <c r="E108" s="816"/>
      <c r="F108" s="816"/>
      <c r="G108" s="700">
        <f>G102/G$106</f>
        <v>8.9261744966442957E-2</v>
      </c>
      <c r="H108" s="818"/>
      <c r="I108" s="818"/>
      <c r="J108" s="818"/>
      <c r="K108" s="818"/>
      <c r="L108" s="700">
        <f>L102/L$106</f>
        <v>4.5796489375742377E-2</v>
      </c>
      <c r="M108" s="701">
        <f t="shared" ref="M108:Q111" si="45">M102/M$106</f>
        <v>4.7380632555867629E-2</v>
      </c>
      <c r="N108" s="701">
        <f t="shared" si="45"/>
        <v>4.5691906005221931E-2</v>
      </c>
      <c r="O108" s="701">
        <f t="shared" si="45"/>
        <v>3.5578311671261652E-2</v>
      </c>
      <c r="P108" s="701">
        <f t="shared" si="45"/>
        <v>3.7179007728745946E-2</v>
      </c>
      <c r="Q108" s="700">
        <f t="shared" si="45"/>
        <v>4.1515815548780484E-2</v>
      </c>
      <c r="R108" s="701">
        <f t="shared" ref="R108:S111" si="46">R102/R$106</f>
        <v>1.4638017535181793E-2</v>
      </c>
      <c r="S108" s="701">
        <f t="shared" si="46"/>
        <v>1.8626943898486261E-2</v>
      </c>
      <c r="T108" s="701">
        <f>T102/T$106</f>
        <v>2.4461507571089312E-2</v>
      </c>
      <c r="U108" s="823">
        <v>0.2</v>
      </c>
      <c r="V108" s="700">
        <f>V102/V$106</f>
        <v>4.202523337645378E-2</v>
      </c>
      <c r="W108" s="823">
        <v>0.13</v>
      </c>
      <c r="X108" s="823">
        <v>0.24</v>
      </c>
      <c r="Y108" s="823">
        <v>0.24</v>
      </c>
      <c r="Z108" s="823">
        <f>X108</f>
        <v>0.24</v>
      </c>
      <c r="AA108" s="700">
        <f>AA102/AA$106</f>
        <v>0.20620780528047056</v>
      </c>
      <c r="AB108" s="823">
        <f>Z108</f>
        <v>0.24</v>
      </c>
      <c r="AC108" s="823">
        <f t="shared" ref="AC108:AE110" si="47">AB108</f>
        <v>0.24</v>
      </c>
      <c r="AD108" s="823">
        <f t="shared" si="47"/>
        <v>0.24</v>
      </c>
      <c r="AE108" s="823">
        <f t="shared" si="47"/>
        <v>0.24</v>
      </c>
      <c r="AF108" s="700">
        <f>AF102/AF$106</f>
        <v>0.23999999999999996</v>
      </c>
      <c r="AG108" s="823">
        <f>AE108</f>
        <v>0.24</v>
      </c>
      <c r="AH108" s="823">
        <f t="shared" ref="AH108:AJ110" si="48">AG108</f>
        <v>0.24</v>
      </c>
      <c r="AI108" s="823">
        <f t="shared" si="48"/>
        <v>0.24</v>
      </c>
      <c r="AJ108" s="823">
        <f t="shared" si="48"/>
        <v>0.24</v>
      </c>
      <c r="AK108" s="700">
        <f>AK102/AK$106</f>
        <v>0.24000000000000002</v>
      </c>
    </row>
    <row r="109" spans="1:37" s="565" customFormat="1" ht="12.75" hidden="1" customHeight="1" outlineLevel="1">
      <c r="A109" s="1097"/>
      <c r="B109" s="825" t="s">
        <v>401</v>
      </c>
      <c r="C109" s="816"/>
      <c r="D109" s="816"/>
      <c r="E109" s="816"/>
      <c r="F109" s="816"/>
      <c r="G109" s="700">
        <f>G103/G$106</f>
        <v>0.41879194630872485</v>
      </c>
      <c r="H109" s="818"/>
      <c r="I109" s="818"/>
      <c r="J109" s="818"/>
      <c r="K109" s="818"/>
      <c r="L109" s="700">
        <f>L103/L$106</f>
        <v>0.46852316220139895</v>
      </c>
      <c r="M109" s="701">
        <f t="shared" si="45"/>
        <v>0.28782513127365983</v>
      </c>
      <c r="N109" s="701">
        <f t="shared" si="45"/>
        <v>0.27154046997389036</v>
      </c>
      <c r="O109" s="701">
        <f t="shared" si="45"/>
        <v>0.2837074963896547</v>
      </c>
      <c r="P109" s="701">
        <f t="shared" si="45"/>
        <v>0.4131451009723261</v>
      </c>
      <c r="Q109" s="700">
        <f t="shared" si="45"/>
        <v>0.31479452489837401</v>
      </c>
      <c r="R109" s="701">
        <f t="shared" si="46"/>
        <v>0.29677724448696274</v>
      </c>
      <c r="S109" s="701">
        <f t="shared" si="46"/>
        <v>0.32883693665735664</v>
      </c>
      <c r="T109" s="701">
        <f>T103/T$106</f>
        <v>0.36434698921976588</v>
      </c>
      <c r="U109" s="823">
        <f>S109</f>
        <v>0.32883693665735664</v>
      </c>
      <c r="V109" s="700">
        <f>V103/V$106</f>
        <v>0.32741963627316645</v>
      </c>
      <c r="W109" s="823">
        <v>0.34</v>
      </c>
      <c r="X109" s="823">
        <f>V109</f>
        <v>0.32741963627316645</v>
      </c>
      <c r="Y109" s="823">
        <f>X109</f>
        <v>0.32741963627316645</v>
      </c>
      <c r="Z109" s="823">
        <f>Y109</f>
        <v>0.32741963627316645</v>
      </c>
      <c r="AA109" s="700">
        <f>AA103/AA$106</f>
        <v>0.33128434627952702</v>
      </c>
      <c r="AB109" s="823">
        <f>Z109</f>
        <v>0.32741963627316645</v>
      </c>
      <c r="AC109" s="823">
        <f t="shared" si="47"/>
        <v>0.32741963627316645</v>
      </c>
      <c r="AD109" s="823">
        <f t="shared" si="47"/>
        <v>0.32741963627316645</v>
      </c>
      <c r="AE109" s="823">
        <f t="shared" si="47"/>
        <v>0.32741963627316645</v>
      </c>
      <c r="AF109" s="700">
        <f>AF103/AF$106</f>
        <v>0.32741963627316645</v>
      </c>
      <c r="AG109" s="823">
        <f>AE109</f>
        <v>0.32741963627316645</v>
      </c>
      <c r="AH109" s="823">
        <f t="shared" si="48"/>
        <v>0.32741963627316645</v>
      </c>
      <c r="AI109" s="823">
        <f t="shared" si="48"/>
        <v>0.32741963627316645</v>
      </c>
      <c r="AJ109" s="823">
        <f t="shared" si="48"/>
        <v>0.32741963627316645</v>
      </c>
      <c r="AK109" s="700">
        <f>AK103/AK$106</f>
        <v>0.32741963627316645</v>
      </c>
    </row>
    <row r="110" spans="1:37" s="565" customFormat="1" ht="12.75" hidden="1" customHeight="1" outlineLevel="1">
      <c r="A110" s="1097"/>
      <c r="B110" s="825" t="s">
        <v>402</v>
      </c>
      <c r="C110" s="816"/>
      <c r="D110" s="816"/>
      <c r="E110" s="816"/>
      <c r="F110" s="816"/>
      <c r="G110" s="700">
        <f>G104/G$106</f>
        <v>4.9664429530201337E-2</v>
      </c>
      <c r="H110" s="818"/>
      <c r="I110" s="818"/>
      <c r="J110" s="818"/>
      <c r="K110" s="818"/>
      <c r="L110" s="700">
        <f>L104/L$106</f>
        <v>0.11482116932823017</v>
      </c>
      <c r="M110" s="701">
        <f t="shared" si="45"/>
        <v>0.10587373305653926</v>
      </c>
      <c r="N110" s="701">
        <f t="shared" si="45"/>
        <v>0.11070496083550914</v>
      </c>
      <c r="O110" s="701">
        <f t="shared" si="45"/>
        <v>0.11119863463305762</v>
      </c>
      <c r="P110" s="701">
        <f t="shared" si="45"/>
        <v>0.10549114933931687</v>
      </c>
      <c r="Q110" s="700">
        <f t="shared" si="45"/>
        <v>0.10823964684959349</v>
      </c>
      <c r="R110" s="701">
        <f t="shared" si="46"/>
        <v>1.5328336223250149E-2</v>
      </c>
      <c r="S110" s="701">
        <f t="shared" si="46"/>
        <v>5.8577290438260751E-2</v>
      </c>
      <c r="T110" s="701">
        <f>T104/T$106</f>
        <v>6.7921706558841263E-2</v>
      </c>
      <c r="U110" s="823">
        <v>0.12</v>
      </c>
      <c r="V110" s="700">
        <f>V104/V$106</f>
        <v>5.4262079965872741E-2</v>
      </c>
      <c r="W110" s="823">
        <v>0.28999999999999998</v>
      </c>
      <c r="X110" s="823">
        <v>0.16</v>
      </c>
      <c r="Y110" s="823">
        <f>X110</f>
        <v>0.16</v>
      </c>
      <c r="Z110" s="823">
        <f>Y110</f>
        <v>0.16</v>
      </c>
      <c r="AA110" s="700">
        <f>AA104/AA$106</f>
        <v>0.19993623012308021</v>
      </c>
      <c r="AB110" s="823">
        <f>Z110</f>
        <v>0.16</v>
      </c>
      <c r="AC110" s="823">
        <f t="shared" si="47"/>
        <v>0.16</v>
      </c>
      <c r="AD110" s="823">
        <f t="shared" si="47"/>
        <v>0.16</v>
      </c>
      <c r="AE110" s="823">
        <f t="shared" si="47"/>
        <v>0.16</v>
      </c>
      <c r="AF110" s="700">
        <f>AF104/AF$106</f>
        <v>0.16</v>
      </c>
      <c r="AG110" s="823">
        <f>AE110</f>
        <v>0.16</v>
      </c>
      <c r="AH110" s="823">
        <f t="shared" si="48"/>
        <v>0.16</v>
      </c>
      <c r="AI110" s="823">
        <f t="shared" si="48"/>
        <v>0.16</v>
      </c>
      <c r="AJ110" s="823">
        <f t="shared" si="48"/>
        <v>0.16</v>
      </c>
      <c r="AK110" s="700">
        <f>AK104/AK$106</f>
        <v>0.15999999999999998</v>
      </c>
    </row>
    <row r="111" spans="1:37" s="565" customFormat="1" ht="12.75" hidden="1" customHeight="1" outlineLevel="1">
      <c r="A111" s="1097"/>
      <c r="B111" s="825" t="s">
        <v>403</v>
      </c>
      <c r="C111" s="816"/>
      <c r="D111" s="816"/>
      <c r="E111" s="816"/>
      <c r="F111" s="816"/>
      <c r="G111" s="700">
        <f>G105/G$106</f>
        <v>0.44228187919463091</v>
      </c>
      <c r="H111" s="818"/>
      <c r="I111" s="818"/>
      <c r="J111" s="818"/>
      <c r="K111" s="818"/>
      <c r="L111" s="700">
        <f>L105/L$106</f>
        <v>0.37085917909462851</v>
      </c>
      <c r="M111" s="701">
        <f t="shared" si="45"/>
        <v>0.55892050311393326</v>
      </c>
      <c r="N111" s="701">
        <f t="shared" si="45"/>
        <v>0.57206266318537857</v>
      </c>
      <c r="O111" s="701">
        <f t="shared" si="45"/>
        <v>0.56951555730602599</v>
      </c>
      <c r="P111" s="701">
        <f t="shared" si="45"/>
        <v>0.44418474195961105</v>
      </c>
      <c r="Q111" s="700">
        <f t="shared" si="45"/>
        <v>0.5354500127032521</v>
      </c>
      <c r="R111" s="701">
        <f t="shared" si="46"/>
        <v>0.67325640175460522</v>
      </c>
      <c r="S111" s="701">
        <f t="shared" si="46"/>
        <v>0.59395882900589636</v>
      </c>
      <c r="T111" s="701">
        <f>T105/T$106</f>
        <v>0.54326979665030373</v>
      </c>
      <c r="U111" s="702">
        <f>1-U108-U109-U110</f>
        <v>0.35116306334264341</v>
      </c>
      <c r="V111" s="700">
        <f>V105/V$106</f>
        <v>0.57629305038450707</v>
      </c>
      <c r="W111" s="702">
        <f>1-W108-W109-W110</f>
        <v>0.24000000000000005</v>
      </c>
      <c r="X111" s="702">
        <f>1-X108-X109-X110</f>
        <v>0.27258036372683359</v>
      </c>
      <c r="Y111" s="702">
        <f>1-Y108-Y109-Y110</f>
        <v>0.27258036372683359</v>
      </c>
      <c r="Z111" s="702">
        <f>1-Z108-Z109-Z110</f>
        <v>0.27258036372683359</v>
      </c>
      <c r="AA111" s="700">
        <f>AA105/AA$106</f>
        <v>0.26257161831692216</v>
      </c>
      <c r="AB111" s="702">
        <f>1-AB108-AB109-AB110</f>
        <v>0.27258036372683359</v>
      </c>
      <c r="AC111" s="702">
        <f>1-AC108-AC109-AC110</f>
        <v>0.27258036372683359</v>
      </c>
      <c r="AD111" s="702">
        <f>1-AD108-AD109-AD110</f>
        <v>0.27258036372683359</v>
      </c>
      <c r="AE111" s="702">
        <f>1-AE108-AE109-AE110</f>
        <v>0.27258036372683359</v>
      </c>
      <c r="AF111" s="700">
        <f>AF105/AF$106</f>
        <v>0.27258036372683353</v>
      </c>
      <c r="AG111" s="702">
        <f>1-AG108-AG109-AG110</f>
        <v>0.27258036372683359</v>
      </c>
      <c r="AH111" s="702">
        <f>1-AH108-AH109-AH110</f>
        <v>0.27258036372683359</v>
      </c>
      <c r="AI111" s="702">
        <f>1-AI108-AI109-AI110</f>
        <v>0.27258036372683359</v>
      </c>
      <c r="AJ111" s="702">
        <f>1-AJ108-AJ109-AJ110</f>
        <v>0.27258036372683359</v>
      </c>
      <c r="AK111" s="700">
        <f>AK105/AK$106</f>
        <v>0.27258036372683359</v>
      </c>
    </row>
    <row r="112" spans="1:37" s="565" customFormat="1" ht="12.75" hidden="1" customHeight="1" outlineLevel="1">
      <c r="A112" s="1097"/>
      <c r="B112" s="820"/>
      <c r="C112" s="816"/>
      <c r="D112" s="816"/>
      <c r="E112" s="816"/>
      <c r="F112" s="816"/>
      <c r="G112" s="817"/>
      <c r="H112" s="818"/>
      <c r="I112" s="818"/>
      <c r="J112" s="818"/>
      <c r="K112" s="818"/>
      <c r="L112" s="817"/>
      <c r="M112" s="818"/>
      <c r="N112" s="818"/>
      <c r="O112" s="818"/>
      <c r="P112" s="818"/>
      <c r="Q112" s="817"/>
      <c r="R112" s="818"/>
      <c r="S112" s="818"/>
      <c r="T112" s="818"/>
      <c r="U112" s="816"/>
      <c r="V112" s="817"/>
      <c r="W112" s="816"/>
      <c r="X112" s="816"/>
      <c r="Y112" s="816"/>
      <c r="Z112" s="816"/>
      <c r="AA112" s="817"/>
      <c r="AB112" s="816"/>
      <c r="AC112" s="816"/>
      <c r="AD112" s="816"/>
      <c r="AE112" s="816"/>
      <c r="AF112" s="817"/>
      <c r="AG112" s="816"/>
      <c r="AH112" s="816"/>
      <c r="AI112" s="816"/>
      <c r="AJ112" s="816"/>
      <c r="AK112" s="817"/>
    </row>
    <row r="113" spans="1:37" s="565" customFormat="1" ht="12.75" hidden="1" customHeight="1" outlineLevel="1">
      <c r="A113" s="1097"/>
      <c r="B113" s="825" t="s">
        <v>404</v>
      </c>
      <c r="C113" s="816"/>
      <c r="D113" s="816"/>
      <c r="E113" s="816"/>
      <c r="F113" s="816"/>
      <c r="G113" s="821">
        <f>G102/G$10</f>
        <v>8.401768793430197E-3</v>
      </c>
      <c r="H113" s="818"/>
      <c r="I113" s="818"/>
      <c r="J113" s="818"/>
      <c r="K113" s="818"/>
      <c r="L113" s="821">
        <f>L102/L$10</f>
        <v>3.0313222068375093E-3</v>
      </c>
      <c r="M113" s="819">
        <f t="shared" ref="M113:AF113" si="49">M102/M$10</f>
        <v>2.0563481800258635E-3</v>
      </c>
      <c r="N113" s="819">
        <f t="shared" si="49"/>
        <v>8.8524449188230798E-4</v>
      </c>
      <c r="O113" s="819">
        <f t="shared" si="49"/>
        <v>4.6408798149128079E-4</v>
      </c>
      <c r="P113" s="819">
        <f t="shared" si="49"/>
        <v>3.9903402325301365E-4</v>
      </c>
      <c r="Q113" s="821">
        <f t="shared" si="49"/>
        <v>6.8248525393306753E-4</v>
      </c>
      <c r="R113" s="819">
        <f t="shared" ref="R113:S117" si="50">R102/R$10</f>
        <v>2.7433905985134962E-3</v>
      </c>
      <c r="S113" s="819">
        <f t="shared" si="50"/>
        <v>2.2270998723602146E-3</v>
      </c>
      <c r="T113" s="819">
        <f>T102/T$10</f>
        <v>2.5888928947237293E-3</v>
      </c>
      <c r="U113" s="819">
        <f t="shared" si="49"/>
        <v>9.0000000000000011E-3</v>
      </c>
      <c r="V113" s="821">
        <f t="shared" si="49"/>
        <v>4.471388981030759E-3</v>
      </c>
      <c r="W113" s="819">
        <f t="shared" si="49"/>
        <v>8.320000000000001E-3</v>
      </c>
      <c r="X113" s="819">
        <f t="shared" si="49"/>
        <v>8.4000000000000012E-3</v>
      </c>
      <c r="Y113" s="819">
        <f t="shared" si="49"/>
        <v>7.9200000000000017E-3</v>
      </c>
      <c r="Z113" s="819">
        <f t="shared" si="49"/>
        <v>7.4399999999999996E-3</v>
      </c>
      <c r="AA113" s="821">
        <f t="shared" si="49"/>
        <v>7.9719727332238505E-3</v>
      </c>
      <c r="AB113" s="819">
        <f t="shared" si="49"/>
        <v>6.1199999999999996E-3</v>
      </c>
      <c r="AC113" s="819">
        <f t="shared" si="49"/>
        <v>7.9583755366166332E-3</v>
      </c>
      <c r="AD113" s="819">
        <f t="shared" si="49"/>
        <v>4.7999999999999987E-3</v>
      </c>
      <c r="AE113" s="819">
        <f t="shared" si="49"/>
        <v>6.6383755366166333E-3</v>
      </c>
      <c r="AF113" s="821">
        <f t="shared" si="49"/>
        <v>6.3642935960817439E-3</v>
      </c>
      <c r="AG113" s="819">
        <f t="shared" ref="AG113:AK116" si="51">AG102/AG$10</f>
        <v>5.3183755366166324E-3</v>
      </c>
      <c r="AH113" s="819">
        <f t="shared" si="51"/>
        <v>5.0442935960817439E-3</v>
      </c>
      <c r="AI113" s="819">
        <f t="shared" si="51"/>
        <v>3.9983755366166324E-3</v>
      </c>
      <c r="AJ113" s="819">
        <f t="shared" si="51"/>
        <v>3.7242935960817435E-3</v>
      </c>
      <c r="AK113" s="821">
        <f t="shared" si="51"/>
        <v>4.4958105223841752E-3</v>
      </c>
    </row>
    <row r="114" spans="1:37" s="565" customFormat="1" ht="12.75" hidden="1" customHeight="1" outlineLevel="1">
      <c r="A114" s="1097"/>
      <c r="B114" s="825" t="s">
        <v>405</v>
      </c>
      <c r="C114" s="816"/>
      <c r="D114" s="816"/>
      <c r="E114" s="816"/>
      <c r="F114" s="816"/>
      <c r="G114" s="821">
        <f>G103/G$10</f>
        <v>3.9418825015792795E-2</v>
      </c>
      <c r="H114" s="818"/>
      <c r="I114" s="818"/>
      <c r="J114" s="818"/>
      <c r="K114" s="818"/>
      <c r="L114" s="821">
        <f>L103/L$10</f>
        <v>3.1012085977732445E-2</v>
      </c>
      <c r="M114" s="819">
        <f t="shared" ref="M114:AF114" si="52">M103/M$10</f>
        <v>1.2491785207012784E-2</v>
      </c>
      <c r="N114" s="819">
        <f t="shared" si="52"/>
        <v>5.260881551757717E-3</v>
      </c>
      <c r="O114" s="819">
        <f t="shared" si="52"/>
        <v>3.7007163394932019E-3</v>
      </c>
      <c r="P114" s="819">
        <f t="shared" si="52"/>
        <v>4.4341945065089709E-3</v>
      </c>
      <c r="Q114" s="821">
        <f t="shared" si="52"/>
        <v>5.1749584687688279E-3</v>
      </c>
      <c r="R114" s="819">
        <f t="shared" si="50"/>
        <v>5.5620639913939236E-2</v>
      </c>
      <c r="S114" s="819">
        <f t="shared" si="50"/>
        <v>3.9316846802573906E-2</v>
      </c>
      <c r="T114" s="819">
        <f>T103/T$10</f>
        <v>3.8560801245130713E-2</v>
      </c>
      <c r="U114" s="819">
        <f t="shared" si="52"/>
        <v>1.479766214958105E-2</v>
      </c>
      <c r="V114" s="821">
        <f t="shared" si="52"/>
        <v>3.4836702527991384E-2</v>
      </c>
      <c r="W114" s="819">
        <f t="shared" si="52"/>
        <v>2.1760000000000002E-2</v>
      </c>
      <c r="X114" s="819">
        <f t="shared" si="52"/>
        <v>1.1459687269560826E-2</v>
      </c>
      <c r="Y114" s="819">
        <f t="shared" si="52"/>
        <v>1.0804847997014493E-2</v>
      </c>
      <c r="Z114" s="819">
        <f t="shared" si="52"/>
        <v>1.0150008724468159E-2</v>
      </c>
      <c r="AA114" s="821">
        <f t="shared" si="52"/>
        <v>1.2807419059099987E-2</v>
      </c>
      <c r="AB114" s="819">
        <f t="shared" si="52"/>
        <v>8.3492007249657448E-3</v>
      </c>
      <c r="AC114" s="819">
        <f t="shared" si="52"/>
        <v>1.0857201764684517E-2</v>
      </c>
      <c r="AD114" s="819">
        <f t="shared" si="52"/>
        <v>6.5483927254633284E-3</v>
      </c>
      <c r="AE114" s="819">
        <f t="shared" si="52"/>
        <v>9.0563937651821011E-3</v>
      </c>
      <c r="AF114" s="821">
        <f t="shared" si="52"/>
        <v>8.6824778931863626E-3</v>
      </c>
      <c r="AG114" s="819">
        <f t="shared" si="51"/>
        <v>7.2555857656796839E-3</v>
      </c>
      <c r="AH114" s="819">
        <f t="shared" si="51"/>
        <v>6.8816698936839471E-3</v>
      </c>
      <c r="AI114" s="819">
        <f t="shared" si="51"/>
        <v>5.4547777661772684E-3</v>
      </c>
      <c r="AJ114" s="819">
        <f t="shared" si="51"/>
        <v>5.0808618941815317E-3</v>
      </c>
      <c r="AK114" s="821">
        <f t="shared" si="51"/>
        <v>6.1334026916337533E-3</v>
      </c>
    </row>
    <row r="115" spans="1:37" s="565" customFormat="1" ht="12.75" hidden="1" customHeight="1" outlineLevel="1">
      <c r="A115" s="1097"/>
      <c r="B115" s="825" t="s">
        <v>406</v>
      </c>
      <c r="C115" s="816"/>
      <c r="D115" s="816"/>
      <c r="E115" s="816"/>
      <c r="F115" s="816"/>
      <c r="G115" s="821">
        <f>G104/G$10</f>
        <v>4.6746683512318378E-3</v>
      </c>
      <c r="H115" s="818"/>
      <c r="I115" s="818"/>
      <c r="J115" s="818"/>
      <c r="K115" s="818"/>
      <c r="L115" s="821">
        <f>L104/L$10</f>
        <v>7.6001450142611912E-3</v>
      </c>
      <c r="M115" s="819">
        <f t="shared" ref="M115:AF115" si="53">M104/M$10</f>
        <v>4.5949842063979984E-3</v>
      </c>
      <c r="N115" s="819">
        <f t="shared" si="53"/>
        <v>2.1448209403319919E-3</v>
      </c>
      <c r="O115" s="819">
        <f t="shared" si="53"/>
        <v>1.4504890048823425E-3</v>
      </c>
      <c r="P115" s="819">
        <f t="shared" si="53"/>
        <v>1.1322130500515098E-3</v>
      </c>
      <c r="Q115" s="821">
        <f t="shared" si="53"/>
        <v>1.7793691847140009E-3</v>
      </c>
      <c r="R115" s="819">
        <f t="shared" si="50"/>
        <v>2.8727669839614029E-3</v>
      </c>
      <c r="S115" s="819">
        <f t="shared" si="50"/>
        <v>7.0036972661338993E-3</v>
      </c>
      <c r="T115" s="819">
        <f>T104/T$10</f>
        <v>7.1885194727539731E-3</v>
      </c>
      <c r="U115" s="819">
        <f t="shared" si="53"/>
        <v>5.4000000000000003E-3</v>
      </c>
      <c r="V115" s="821">
        <f t="shared" si="53"/>
        <v>5.7733615486155535E-3</v>
      </c>
      <c r="W115" s="819">
        <f t="shared" si="53"/>
        <v>1.8559999999999997E-2</v>
      </c>
      <c r="X115" s="819">
        <f t="shared" si="53"/>
        <v>5.6000000000000008E-3</v>
      </c>
      <c r="Y115" s="819">
        <f t="shared" si="53"/>
        <v>5.2800000000000008E-3</v>
      </c>
      <c r="Z115" s="819">
        <f t="shared" si="53"/>
        <v>4.96E-3</v>
      </c>
      <c r="AA115" s="821">
        <f t="shared" si="53"/>
        <v>7.7295142769055868E-3</v>
      </c>
      <c r="AB115" s="819">
        <f t="shared" si="53"/>
        <v>4.0799999999999994E-3</v>
      </c>
      <c r="AC115" s="819">
        <f t="shared" si="53"/>
        <v>5.3055836910777558E-3</v>
      </c>
      <c r="AD115" s="819">
        <f t="shared" si="53"/>
        <v>3.1999999999999993E-3</v>
      </c>
      <c r="AE115" s="819">
        <f t="shared" si="53"/>
        <v>4.4255836910777552E-3</v>
      </c>
      <c r="AF115" s="821">
        <f t="shared" si="53"/>
        <v>4.2428623973878293E-3</v>
      </c>
      <c r="AG115" s="819">
        <f t="shared" si="51"/>
        <v>3.5455836910777546E-3</v>
      </c>
      <c r="AH115" s="819">
        <f t="shared" si="51"/>
        <v>3.3628623973878291E-3</v>
      </c>
      <c r="AI115" s="819">
        <f t="shared" si="51"/>
        <v>2.6655836910777549E-3</v>
      </c>
      <c r="AJ115" s="819">
        <f t="shared" si="51"/>
        <v>2.482862397387829E-3</v>
      </c>
      <c r="AK115" s="821">
        <f t="shared" si="51"/>
        <v>2.9972070149227831E-3</v>
      </c>
    </row>
    <row r="116" spans="1:37" s="565" customFormat="1" ht="12.75" hidden="1" customHeight="1" outlineLevel="1">
      <c r="A116" s="1097"/>
      <c r="B116" s="825" t="s">
        <v>407</v>
      </c>
      <c r="C116" s="816"/>
      <c r="D116" s="816"/>
      <c r="E116" s="816"/>
      <c r="F116" s="816"/>
      <c r="G116" s="821">
        <f>G105/G$10</f>
        <v>4.1629816803537591E-2</v>
      </c>
      <c r="H116" s="818"/>
      <c r="I116" s="818"/>
      <c r="J116" s="818"/>
      <c r="K116" s="818"/>
      <c r="L116" s="821">
        <f>L105/L$10</f>
        <v>2.4547594816176951E-2</v>
      </c>
      <c r="M116" s="819">
        <f t="shared" ref="M116:AF116" si="54">M105/M$10</f>
        <v>2.4257488711284476E-2</v>
      </c>
      <c r="N116" s="819">
        <f t="shared" si="54"/>
        <v>1.1083261038366496E-2</v>
      </c>
      <c r="O116" s="819">
        <f t="shared" si="54"/>
        <v>7.4288327074139337E-3</v>
      </c>
      <c r="P116" s="819">
        <f t="shared" si="54"/>
        <v>4.767336071605368E-3</v>
      </c>
      <c r="Q116" s="821">
        <f t="shared" si="54"/>
        <v>8.8023499733218616E-3</v>
      </c>
      <c r="R116" s="819">
        <f t="shared" si="50"/>
        <v>0.12617864943278134</v>
      </c>
      <c r="S116" s="819">
        <f t="shared" si="50"/>
        <v>7.1015709258336987E-2</v>
      </c>
      <c r="T116" s="819">
        <f>T105/T$10</f>
        <v>5.7497164162042862E-2</v>
      </c>
      <c r="U116" s="819">
        <f t="shared" si="54"/>
        <v>1.5802337850418954E-2</v>
      </c>
      <c r="V116" s="821">
        <f t="shared" si="54"/>
        <v>6.1316266164452876E-2</v>
      </c>
      <c r="W116" s="819">
        <f t="shared" si="54"/>
        <v>1.536E-2</v>
      </c>
      <c r="X116" s="819">
        <f t="shared" si="54"/>
        <v>9.5403127304391766E-3</v>
      </c>
      <c r="Y116" s="819">
        <f t="shared" si="54"/>
        <v>8.9951520029855087E-3</v>
      </c>
      <c r="Z116" s="819">
        <f t="shared" si="54"/>
        <v>8.4499912755318408E-3</v>
      </c>
      <c r="AA116" s="821">
        <f t="shared" si="54"/>
        <v>1.0150992000006543E-2</v>
      </c>
      <c r="AB116" s="819">
        <f t="shared" si="54"/>
        <v>6.9507992750342563E-3</v>
      </c>
      <c r="AC116" s="819">
        <f t="shared" si="54"/>
        <v>9.0387370768570674E-3</v>
      </c>
      <c r="AD116" s="819">
        <f t="shared" si="54"/>
        <v>5.451607274536671E-3</v>
      </c>
      <c r="AE116" s="819">
        <f t="shared" si="54"/>
        <v>7.5395450763594838E-3</v>
      </c>
      <c r="AF116" s="821">
        <f t="shared" si="54"/>
        <v>7.2282560970179967E-3</v>
      </c>
      <c r="AG116" s="819">
        <f t="shared" si="51"/>
        <v>6.0403530758618975E-3</v>
      </c>
      <c r="AH116" s="819">
        <f t="shared" si="51"/>
        <v>5.729064096520413E-3</v>
      </c>
      <c r="AI116" s="819">
        <f t="shared" si="51"/>
        <v>4.5411610753643122E-3</v>
      </c>
      <c r="AJ116" s="819">
        <f t="shared" si="51"/>
        <v>4.2298720960228277E-3</v>
      </c>
      <c r="AK116" s="821">
        <f t="shared" si="51"/>
        <v>5.1061236143266839E-3</v>
      </c>
    </row>
    <row r="117" spans="1:37" s="815" customFormat="1" ht="12.75" hidden="1" customHeight="1" outlineLevel="1">
      <c r="A117" s="1101"/>
      <c r="B117" s="476" t="s">
        <v>408</v>
      </c>
      <c r="C117" s="812"/>
      <c r="D117" s="812"/>
      <c r="E117" s="812"/>
      <c r="F117" s="812"/>
      <c r="G117" s="813">
        <f>G106/G$10</f>
        <v>9.4125078963992415E-2</v>
      </c>
      <c r="H117" s="814"/>
      <c r="I117" s="814"/>
      <c r="J117" s="814"/>
      <c r="K117" s="814"/>
      <c r="L117" s="813">
        <f>L106/L$10</f>
        <v>6.6191148015008097E-2</v>
      </c>
      <c r="M117" s="814">
        <f>M106/M$10</f>
        <v>4.3400606304721125E-2</v>
      </c>
      <c r="N117" s="814">
        <f>N106/N$10</f>
        <v>1.9374208022338513E-2</v>
      </c>
      <c r="O117" s="814">
        <f>O106/O$10</f>
        <v>1.3044126033280758E-2</v>
      </c>
      <c r="P117" s="814">
        <f>P106/P$10</f>
        <v>1.0732777651418862E-2</v>
      </c>
      <c r="Q117" s="813">
        <f>Q106/Q$10</f>
        <v>1.6439162880737757E-2</v>
      </c>
      <c r="R117" s="814">
        <f t="shared" si="50"/>
        <v>0.18741544692919548</v>
      </c>
      <c r="S117" s="814">
        <f t="shared" si="50"/>
        <v>0.119563353199405</v>
      </c>
      <c r="T117" s="814">
        <f>T106/T$10</f>
        <v>0.10583537777465127</v>
      </c>
      <c r="U117" s="822">
        <v>4.4999999999999998E-2</v>
      </c>
      <c r="V117" s="813">
        <f>V106/V$10</f>
        <v>0.10639771922209057</v>
      </c>
      <c r="W117" s="822">
        <v>6.4000000000000001E-2</v>
      </c>
      <c r="X117" s="822">
        <v>3.5000000000000003E-2</v>
      </c>
      <c r="Y117" s="822">
        <f>X117-0.2%</f>
        <v>3.3000000000000002E-2</v>
      </c>
      <c r="Z117" s="822">
        <f>Y117-0.2%</f>
        <v>3.1E-2</v>
      </c>
      <c r="AA117" s="813">
        <f>SUM(AA113:AA116)</f>
        <v>3.8659898069235969E-2</v>
      </c>
      <c r="AB117" s="822">
        <f>Z117-0.55%</f>
        <v>2.5499999999999998E-2</v>
      </c>
      <c r="AC117" s="822">
        <f>AA117-0.55%</f>
        <v>3.3159898069235971E-2</v>
      </c>
      <c r="AD117" s="822">
        <f>AB117-0.55%</f>
        <v>1.9999999999999997E-2</v>
      </c>
      <c r="AE117" s="822">
        <f>AC117-0.55%</f>
        <v>2.765989806923597E-2</v>
      </c>
      <c r="AF117" s="813">
        <f>SUM(AF113:AF116)</f>
        <v>2.6517889983673933E-2</v>
      </c>
      <c r="AG117" s="822">
        <f>AE117-0.55%</f>
        <v>2.2159898069235968E-2</v>
      </c>
      <c r="AH117" s="822">
        <f>AF117-0.55%</f>
        <v>2.1017889983673932E-2</v>
      </c>
      <c r="AI117" s="822">
        <f>AG117-0.55%</f>
        <v>1.6659898069235967E-2</v>
      </c>
      <c r="AJ117" s="822">
        <f>AH117-0.55%</f>
        <v>1.551788998367393E-2</v>
      </c>
      <c r="AK117" s="813">
        <f>SUM(AK113:AK116)</f>
        <v>1.8732543843267398E-2</v>
      </c>
    </row>
    <row r="118" spans="1:37" s="571" customFormat="1" ht="12.75" customHeight="1" collapsed="1">
      <c r="A118" s="1100"/>
      <c r="B118" s="384"/>
      <c r="C118" s="566"/>
      <c r="D118" s="566"/>
      <c r="E118" s="566"/>
      <c r="F118" s="566"/>
      <c r="G118" s="568"/>
      <c r="H118" s="619"/>
      <c r="I118" s="619"/>
      <c r="J118" s="619"/>
      <c r="K118" s="619"/>
      <c r="L118" s="568"/>
      <c r="M118" s="619"/>
      <c r="N118" s="619"/>
      <c r="O118" s="619"/>
      <c r="P118" s="619"/>
      <c r="Q118" s="570"/>
      <c r="R118" s="569"/>
      <c r="S118" s="1194"/>
      <c r="T118" s="1194"/>
      <c r="U118" s="569"/>
      <c r="V118" s="570"/>
      <c r="W118" s="569"/>
      <c r="X118" s="569"/>
      <c r="Y118" s="569"/>
      <c r="Z118" s="569"/>
      <c r="AA118" s="570"/>
      <c r="AB118" s="569"/>
      <c r="AC118" s="569"/>
      <c r="AD118" s="569"/>
      <c r="AE118" s="569"/>
      <c r="AF118" s="570"/>
      <c r="AG118" s="569"/>
      <c r="AH118" s="569"/>
      <c r="AI118" s="569"/>
      <c r="AJ118" s="569"/>
      <c r="AK118" s="570"/>
    </row>
    <row r="119" spans="1:37" s="571" customFormat="1" ht="12.75" customHeight="1">
      <c r="A119" s="1100"/>
      <c r="B119" s="523" t="s">
        <v>308</v>
      </c>
      <c r="C119" s="566"/>
      <c r="D119" s="566"/>
      <c r="E119" s="566"/>
      <c r="F119" s="566"/>
      <c r="G119" s="568"/>
      <c r="H119" s="619"/>
      <c r="I119" s="619"/>
      <c r="J119" s="619"/>
      <c r="K119" s="619"/>
      <c r="L119" s="568"/>
      <c r="M119" s="619"/>
      <c r="N119" s="619"/>
      <c r="O119" s="619"/>
      <c r="P119" s="619"/>
      <c r="Q119" s="570"/>
      <c r="R119" s="569"/>
      <c r="S119" s="1194"/>
      <c r="T119" s="1194"/>
      <c r="U119" s="569"/>
      <c r="V119" s="570"/>
      <c r="W119" s="569"/>
      <c r="X119" s="569"/>
      <c r="Y119" s="569"/>
      <c r="Z119" s="569"/>
      <c r="AA119" s="570"/>
      <c r="AB119" s="569"/>
      <c r="AC119" s="569"/>
      <c r="AD119" s="569"/>
      <c r="AE119" s="569"/>
      <c r="AF119" s="570"/>
      <c r="AG119" s="569"/>
      <c r="AH119" s="569"/>
      <c r="AI119" s="569"/>
      <c r="AJ119" s="569"/>
      <c r="AK119" s="570"/>
    </row>
    <row r="120" spans="1:37" s="486" customFormat="1" ht="12.75" hidden="1" customHeight="1" outlineLevel="1">
      <c r="A120" s="603"/>
      <c r="B120" s="825" t="s">
        <v>602</v>
      </c>
      <c r="C120" s="557"/>
      <c r="D120" s="558"/>
      <c r="E120" s="558"/>
      <c r="F120" s="558"/>
      <c r="G120" s="662">
        <v>0</v>
      </c>
      <c r="H120" s="669">
        <v>0</v>
      </c>
      <c r="I120" s="669">
        <v>0</v>
      </c>
      <c r="J120" s="670">
        <v>0</v>
      </c>
      <c r="K120" s="670">
        <v>0</v>
      </c>
      <c r="L120" s="687">
        <f>SUM(H120:K120)</f>
        <v>0</v>
      </c>
      <c r="M120" s="669">
        <v>0</v>
      </c>
      <c r="N120" s="669">
        <v>0</v>
      </c>
      <c r="O120" s="670">
        <v>0</v>
      </c>
      <c r="P120" s="670">
        <v>0</v>
      </c>
      <c r="Q120" s="687">
        <f t="shared" ref="Q120:Q125" si="55">SUM(M120:P120)</f>
        <v>0</v>
      </c>
      <c r="R120" s="669">
        <v>6.13</v>
      </c>
      <c r="S120" s="670">
        <v>29.474</v>
      </c>
      <c r="T120" s="670">
        <v>11.364000000000001</v>
      </c>
      <c r="U120" s="558"/>
      <c r="V120" s="665"/>
      <c r="W120" s="557"/>
      <c r="X120" s="558"/>
      <c r="Y120" s="558"/>
      <c r="Z120" s="558"/>
      <c r="AA120" s="665"/>
      <c r="AB120" s="557"/>
      <c r="AC120" s="558"/>
      <c r="AD120" s="558"/>
      <c r="AE120" s="558"/>
      <c r="AF120" s="665"/>
      <c r="AG120" s="557"/>
      <c r="AH120" s="558"/>
      <c r="AI120" s="558"/>
      <c r="AJ120" s="558"/>
      <c r="AK120" s="665"/>
    </row>
    <row r="121" spans="1:37" s="486" customFormat="1" ht="12.75" hidden="1" customHeight="1" outlineLevel="1">
      <c r="A121" s="603"/>
      <c r="B121" s="825" t="s">
        <v>688</v>
      </c>
      <c r="C121" s="557"/>
      <c r="D121" s="558"/>
      <c r="E121" s="558"/>
      <c r="F121" s="558"/>
      <c r="G121" s="662"/>
      <c r="H121" s="669"/>
      <c r="I121" s="669"/>
      <c r="J121" s="670"/>
      <c r="K121" s="670"/>
      <c r="L121" s="687"/>
      <c r="M121" s="669">
        <v>0</v>
      </c>
      <c r="N121" s="669">
        <v>0</v>
      </c>
      <c r="O121" s="670">
        <v>0</v>
      </c>
      <c r="P121" s="670">
        <v>0</v>
      </c>
      <c r="Q121" s="687">
        <f t="shared" si="55"/>
        <v>0</v>
      </c>
      <c r="R121" s="669">
        <v>0</v>
      </c>
      <c r="S121" s="670">
        <v>6.1</v>
      </c>
      <c r="T121" s="670">
        <v>9.5090000000000003</v>
      </c>
      <c r="U121" s="558"/>
      <c r="V121" s="665"/>
      <c r="W121" s="557"/>
      <c r="X121" s="558"/>
      <c r="Y121" s="558"/>
      <c r="Z121" s="558"/>
      <c r="AA121" s="665"/>
      <c r="AB121" s="557"/>
      <c r="AC121" s="558"/>
      <c r="AD121" s="558"/>
      <c r="AE121" s="558"/>
      <c r="AF121" s="665"/>
      <c r="AG121" s="557"/>
      <c r="AH121" s="558"/>
      <c r="AI121" s="558"/>
      <c r="AJ121" s="558"/>
      <c r="AK121" s="665"/>
    </row>
    <row r="122" spans="1:37" s="486" customFormat="1" ht="12.75" hidden="1" customHeight="1" outlineLevel="1">
      <c r="A122" s="603"/>
      <c r="B122" s="825" t="s">
        <v>687</v>
      </c>
      <c r="C122" s="557"/>
      <c r="D122" s="558"/>
      <c r="E122" s="558"/>
      <c r="F122" s="558"/>
      <c r="G122" s="662"/>
      <c r="H122" s="669"/>
      <c r="I122" s="669"/>
      <c r="J122" s="670"/>
      <c r="K122" s="671"/>
      <c r="L122" s="662"/>
      <c r="M122" s="669">
        <v>0</v>
      </c>
      <c r="N122" s="669">
        <v>0</v>
      </c>
      <c r="O122" s="670">
        <v>0</v>
      </c>
      <c r="P122" s="670">
        <v>0</v>
      </c>
      <c r="Q122" s="687">
        <f t="shared" si="55"/>
        <v>0</v>
      </c>
      <c r="R122" s="669">
        <v>1.819</v>
      </c>
      <c r="S122" s="670">
        <v>8.4870000000000001</v>
      </c>
      <c r="T122" s="670">
        <v>14.486000000000001</v>
      </c>
      <c r="U122" s="558"/>
      <c r="V122" s="665"/>
      <c r="W122" s="557"/>
      <c r="X122" s="558"/>
      <c r="Y122" s="558"/>
      <c r="Z122" s="558"/>
      <c r="AA122" s="665"/>
      <c r="AB122" s="557"/>
      <c r="AC122" s="558"/>
      <c r="AD122" s="558"/>
      <c r="AE122" s="558"/>
      <c r="AF122" s="665"/>
      <c r="AG122" s="557"/>
      <c r="AH122" s="558"/>
      <c r="AI122" s="558"/>
      <c r="AJ122" s="558"/>
      <c r="AK122" s="665"/>
    </row>
    <row r="123" spans="1:37" s="486" customFormat="1" ht="12.75" hidden="1" customHeight="1" outlineLevel="1">
      <c r="A123" s="603"/>
      <c r="B123" s="825" t="s">
        <v>256</v>
      </c>
      <c r="C123" s="557"/>
      <c r="D123" s="558"/>
      <c r="E123" s="558"/>
      <c r="F123" s="558"/>
      <c r="G123" s="662">
        <v>2.8839999999999999</v>
      </c>
      <c r="H123" s="669">
        <f>-'IS (GAAP)'!H60</f>
        <v>0</v>
      </c>
      <c r="I123" s="669">
        <f>-'IS (GAAP)'!I60</f>
        <v>0</v>
      </c>
      <c r="J123" s="670">
        <f>390.485-I123-H123</f>
        <v>390.48500000000001</v>
      </c>
      <c r="K123" s="671">
        <f>L123-J123-I123-H123</f>
        <v>143.46699999999998</v>
      </c>
      <c r="L123" s="662">
        <v>533.952</v>
      </c>
      <c r="M123" s="669">
        <f>-'IS (GAAP)'!M60</f>
        <v>97.5</v>
      </c>
      <c r="N123" s="669">
        <f>-'IS (GAAP)'!N60</f>
        <v>310.23099999999999</v>
      </c>
      <c r="O123" s="670">
        <f>748.864-N123-M123</f>
        <v>341.13300000000004</v>
      </c>
      <c r="P123" s="670">
        <v>7.0650000000000004</v>
      </c>
      <c r="Q123" s="665">
        <f t="shared" si="55"/>
        <v>755.92900000000009</v>
      </c>
      <c r="R123" s="669">
        <v>-26.837</v>
      </c>
      <c r="S123" s="670">
        <v>0</v>
      </c>
      <c r="T123" s="670">
        <v>0</v>
      </c>
      <c r="U123" s="558">
        <f>T123</f>
        <v>0</v>
      </c>
      <c r="V123" s="665">
        <f>SUM(R123:U123)</f>
        <v>-26.837</v>
      </c>
      <c r="W123" s="557">
        <f>U123</f>
        <v>0</v>
      </c>
      <c r="X123" s="558">
        <f t="shared" ref="X123:Z124" si="56">W123</f>
        <v>0</v>
      </c>
      <c r="Y123" s="558">
        <f t="shared" si="56"/>
        <v>0</v>
      </c>
      <c r="Z123" s="558">
        <f t="shared" si="56"/>
        <v>0</v>
      </c>
      <c r="AA123" s="665">
        <f>SUM(W123:Z123)</f>
        <v>0</v>
      </c>
      <c r="AB123" s="557">
        <f>Z123</f>
        <v>0</v>
      </c>
      <c r="AC123" s="558">
        <f t="shared" ref="AC123:AE124" si="57">AB123</f>
        <v>0</v>
      </c>
      <c r="AD123" s="558">
        <f t="shared" si="57"/>
        <v>0</v>
      </c>
      <c r="AE123" s="558">
        <f t="shared" si="57"/>
        <v>0</v>
      </c>
      <c r="AF123" s="665">
        <f>SUM(AB123:AE123)</f>
        <v>0</v>
      </c>
      <c r="AG123" s="557">
        <f>AE123</f>
        <v>0</v>
      </c>
      <c r="AH123" s="558">
        <f t="shared" ref="AH123:AJ124" si="58">AG123</f>
        <v>0</v>
      </c>
      <c r="AI123" s="558">
        <f t="shared" si="58"/>
        <v>0</v>
      </c>
      <c r="AJ123" s="558">
        <f t="shared" si="58"/>
        <v>0</v>
      </c>
      <c r="AK123" s="665">
        <f>SUM(AG123:AJ123)</f>
        <v>0</v>
      </c>
    </row>
    <row r="124" spans="1:37" s="486" customFormat="1" ht="12.75" hidden="1" customHeight="1" outlineLevel="1">
      <c r="A124" s="603"/>
      <c r="B124" s="825" t="s">
        <v>311</v>
      </c>
      <c r="C124" s="557"/>
      <c r="D124" s="558"/>
      <c r="E124" s="558"/>
      <c r="F124" s="558"/>
      <c r="G124" s="662">
        <v>0</v>
      </c>
      <c r="H124" s="669"/>
      <c r="I124" s="670"/>
      <c r="J124" s="670">
        <v>0</v>
      </c>
      <c r="K124" s="671">
        <f>L124-J124-I124-H124</f>
        <v>0</v>
      </c>
      <c r="L124" s="662">
        <v>0</v>
      </c>
      <c r="M124" s="669">
        <v>0</v>
      </c>
      <c r="N124" s="670">
        <v>0</v>
      </c>
      <c r="O124" s="670">
        <v>11.124000000000001</v>
      </c>
      <c r="P124" s="670">
        <v>0</v>
      </c>
      <c r="Q124" s="665">
        <f t="shared" si="55"/>
        <v>11.124000000000001</v>
      </c>
      <c r="R124" s="669">
        <v>0</v>
      </c>
      <c r="S124" s="669">
        <v>-10.69</v>
      </c>
      <c r="T124" s="669">
        <v>-12.093999999999999</v>
      </c>
      <c r="U124" s="557">
        <f>T124</f>
        <v>-12.093999999999999</v>
      </c>
      <c r="V124" s="665">
        <f>SUM(R124:U124)</f>
        <v>-34.878</v>
      </c>
      <c r="W124" s="557">
        <f>U124</f>
        <v>-12.093999999999999</v>
      </c>
      <c r="X124" s="557">
        <f t="shared" si="56"/>
        <v>-12.093999999999999</v>
      </c>
      <c r="Y124" s="557">
        <f t="shared" si="56"/>
        <v>-12.093999999999999</v>
      </c>
      <c r="Z124" s="557">
        <f t="shared" si="56"/>
        <v>-12.093999999999999</v>
      </c>
      <c r="AA124" s="665">
        <f>SUM(W124:Z124)</f>
        <v>-48.375999999999998</v>
      </c>
      <c r="AB124" s="557">
        <f>Z124</f>
        <v>-12.093999999999999</v>
      </c>
      <c r="AC124" s="557">
        <f t="shared" si="57"/>
        <v>-12.093999999999999</v>
      </c>
      <c r="AD124" s="557">
        <f t="shared" si="57"/>
        <v>-12.093999999999999</v>
      </c>
      <c r="AE124" s="557">
        <f t="shared" si="57"/>
        <v>-12.093999999999999</v>
      </c>
      <c r="AF124" s="665">
        <f>SUM(AB124:AE124)</f>
        <v>-48.375999999999998</v>
      </c>
      <c r="AG124" s="557">
        <f>AE124</f>
        <v>-12.093999999999999</v>
      </c>
      <c r="AH124" s="557">
        <f t="shared" si="58"/>
        <v>-12.093999999999999</v>
      </c>
      <c r="AI124" s="557">
        <f t="shared" si="58"/>
        <v>-12.093999999999999</v>
      </c>
      <c r="AJ124" s="557">
        <f t="shared" si="58"/>
        <v>-12.093999999999999</v>
      </c>
      <c r="AK124" s="665">
        <f>SUM(AG124:AJ124)</f>
        <v>-48.375999999999998</v>
      </c>
    </row>
    <row r="125" spans="1:37" s="486" customFormat="1" ht="12.75" hidden="1" customHeight="1" outlineLevel="1">
      <c r="A125" s="603"/>
      <c r="B125" s="825" t="s">
        <v>689</v>
      </c>
      <c r="C125" s="557"/>
      <c r="D125" s="558"/>
      <c r="E125" s="558"/>
      <c r="F125" s="558"/>
      <c r="G125" s="662"/>
      <c r="H125" s="669"/>
      <c r="I125" s="670"/>
      <c r="J125" s="670"/>
      <c r="K125" s="671"/>
      <c r="L125" s="662"/>
      <c r="M125" s="669">
        <v>0</v>
      </c>
      <c r="N125" s="669">
        <v>0</v>
      </c>
      <c r="O125" s="670">
        <v>0</v>
      </c>
      <c r="P125" s="670">
        <v>0</v>
      </c>
      <c r="Q125" s="687">
        <f t="shared" si="55"/>
        <v>0</v>
      </c>
      <c r="R125" s="669">
        <v>0</v>
      </c>
      <c r="S125" s="669">
        <v>-18.672999999999998</v>
      </c>
      <c r="T125" s="669">
        <v>-98.542000000000002</v>
      </c>
      <c r="U125" s="557"/>
      <c r="V125" s="665"/>
      <c r="W125" s="557"/>
      <c r="X125" s="557"/>
      <c r="Y125" s="557"/>
      <c r="Z125" s="557"/>
      <c r="AA125" s="665"/>
      <c r="AB125" s="557"/>
      <c r="AC125" s="557"/>
      <c r="AD125" s="557"/>
      <c r="AE125" s="557"/>
      <c r="AF125" s="665"/>
      <c r="AG125" s="557"/>
      <c r="AH125" s="557"/>
      <c r="AI125" s="557"/>
      <c r="AJ125" s="557"/>
      <c r="AK125" s="665"/>
    </row>
    <row r="126" spans="1:37" s="486" customFormat="1" ht="12.75" customHeight="1" collapsed="1">
      <c r="A126" s="603"/>
      <c r="B126" s="825"/>
      <c r="C126" s="557"/>
      <c r="D126" s="558"/>
      <c r="E126" s="558"/>
      <c r="F126" s="558"/>
      <c r="G126" s="662"/>
      <c r="H126" s="669"/>
      <c r="I126" s="670"/>
      <c r="J126" s="670"/>
      <c r="K126" s="671"/>
      <c r="L126" s="662"/>
      <c r="M126" s="669"/>
      <c r="N126" s="670"/>
      <c r="O126" s="670"/>
      <c r="P126" s="670"/>
      <c r="Q126" s="665"/>
      <c r="R126" s="557"/>
      <c r="S126" s="669"/>
      <c r="T126" s="669"/>
      <c r="U126" s="557"/>
      <c r="V126" s="665"/>
      <c r="W126" s="557"/>
      <c r="X126" s="557"/>
      <c r="Y126" s="557"/>
      <c r="Z126" s="557"/>
      <c r="AA126" s="665"/>
      <c r="AB126" s="557"/>
      <c r="AC126" s="557"/>
      <c r="AD126" s="557"/>
      <c r="AE126" s="557"/>
      <c r="AF126" s="665"/>
      <c r="AG126" s="557"/>
      <c r="AH126" s="557"/>
      <c r="AI126" s="557"/>
      <c r="AJ126" s="557"/>
      <c r="AK126" s="665"/>
    </row>
    <row r="127" spans="1:37" s="571" customFormat="1" ht="12.75" customHeight="1">
      <c r="A127" s="1100"/>
      <c r="B127" s="523" t="s">
        <v>468</v>
      </c>
      <c r="C127" s="566"/>
      <c r="D127" s="566"/>
      <c r="E127" s="566"/>
      <c r="F127" s="566"/>
      <c r="G127" s="568"/>
      <c r="H127" s="619"/>
      <c r="I127" s="619"/>
      <c r="J127" s="619"/>
      <c r="K127" s="619"/>
      <c r="L127" s="568"/>
      <c r="M127" s="619"/>
      <c r="N127" s="619"/>
      <c r="O127" s="619"/>
      <c r="P127" s="619"/>
      <c r="Q127" s="570"/>
      <c r="R127" s="569"/>
      <c r="S127" s="1194"/>
      <c r="T127" s="1194"/>
      <c r="U127" s="569"/>
      <c r="V127" s="570"/>
      <c r="W127" s="569"/>
      <c r="X127" s="569"/>
      <c r="Y127" s="569"/>
      <c r="Z127" s="569"/>
      <c r="AA127" s="570"/>
      <c r="AB127" s="569"/>
      <c r="AC127" s="569"/>
      <c r="AD127" s="569"/>
      <c r="AE127" s="569"/>
      <c r="AF127" s="570"/>
      <c r="AG127" s="569"/>
      <c r="AH127" s="569"/>
      <c r="AI127" s="569"/>
      <c r="AJ127" s="569"/>
      <c r="AK127" s="570"/>
    </row>
    <row r="128" spans="1:37" s="486" customFormat="1" ht="12.75" hidden="1" customHeight="1" outlineLevel="1">
      <c r="A128" s="603"/>
      <c r="B128" s="1198" t="s">
        <v>468</v>
      </c>
      <c r="C128" s="788"/>
      <c r="D128" s="789"/>
      <c r="E128" s="789"/>
      <c r="F128" s="789"/>
      <c r="G128" s="790"/>
      <c r="H128" s="806"/>
      <c r="I128" s="806"/>
      <c r="J128" s="807"/>
      <c r="K128" s="793"/>
      <c r="L128" s="796">
        <f t="shared" ref="L128:S128" si="59">L58</f>
        <v>18.760000000000002</v>
      </c>
      <c r="M128" s="792">
        <f t="shared" si="59"/>
        <v>7.46</v>
      </c>
      <c r="N128" s="792">
        <f t="shared" si="59"/>
        <v>16.405999999999999</v>
      </c>
      <c r="O128" s="793">
        <f t="shared" si="59"/>
        <v>21.368000000000002</v>
      </c>
      <c r="P128" s="793">
        <f t="shared" si="59"/>
        <v>14.084</v>
      </c>
      <c r="Q128" s="796">
        <f t="shared" si="59"/>
        <v>59.318000000000005</v>
      </c>
      <c r="R128" s="792">
        <f t="shared" si="59"/>
        <v>-2.3179999999999996</v>
      </c>
      <c r="S128" s="792">
        <f t="shared" si="59"/>
        <v>2.8200000000000003</v>
      </c>
      <c r="T128" s="792">
        <f>T58</f>
        <v>24.292999999999999</v>
      </c>
      <c r="U128" s="791">
        <f t="shared" ref="U128:AE128" si="60">U129*U130</f>
        <v>25.233873500000001</v>
      </c>
      <c r="V128" s="794">
        <f>SUM(R128:U128)</f>
        <v>50.028873500000003</v>
      </c>
      <c r="W128" s="808">
        <f t="shared" si="60"/>
        <v>19.572695098590547</v>
      </c>
      <c r="X128" s="791">
        <f t="shared" si="60"/>
        <v>18.085712113541497</v>
      </c>
      <c r="Y128" s="791">
        <f t="shared" si="60"/>
        <v>18.215892265461978</v>
      </c>
      <c r="Z128" s="791">
        <f t="shared" si="60"/>
        <v>18.782922002463156</v>
      </c>
      <c r="AA128" s="794">
        <f>SUM(W128:Z128)</f>
        <v>74.657221480057174</v>
      </c>
      <c r="AB128" s="808">
        <f t="shared" si="60"/>
        <v>23.853752453510097</v>
      </c>
      <c r="AC128" s="791">
        <f t="shared" si="60"/>
        <v>20.635173920595005</v>
      </c>
      <c r="AD128" s="791">
        <f t="shared" si="60"/>
        <v>22.809457564110769</v>
      </c>
      <c r="AE128" s="791">
        <f t="shared" si="60"/>
        <v>25.39776524120262</v>
      </c>
      <c r="AF128" s="794">
        <f>SUM(AB128:AE128)</f>
        <v>92.696149179418498</v>
      </c>
      <c r="AG128" s="808">
        <f>AG129*AG130</f>
        <v>27.518086134745595</v>
      </c>
      <c r="AH128" s="791">
        <f>AH129*AH130</f>
        <v>25.148486062013575</v>
      </c>
      <c r="AI128" s="791">
        <f>AI129*AI130</f>
        <v>26.031277215037665</v>
      </c>
      <c r="AJ128" s="791">
        <f>AJ129*AJ130</f>
        <v>28.575664363689565</v>
      </c>
      <c r="AK128" s="794">
        <f>SUM(AG128:AJ128)</f>
        <v>107.27351377548641</v>
      </c>
    </row>
    <row r="129" spans="1:37" s="486" customFormat="1" ht="12.75" hidden="1" customHeight="1" outlineLevel="1">
      <c r="A129" s="603"/>
      <c r="B129" s="1199" t="s">
        <v>569</v>
      </c>
      <c r="C129" s="557"/>
      <c r="D129" s="558"/>
      <c r="E129" s="558"/>
      <c r="F129" s="558"/>
      <c r="G129" s="662"/>
      <c r="H129" s="669"/>
      <c r="I129" s="669"/>
      <c r="J129" s="670"/>
      <c r="K129" s="671"/>
      <c r="L129" s="687"/>
      <c r="M129" s="691">
        <f>BS!L10+BS!L11+BS!L18</f>
        <v>480.07499999999999</v>
      </c>
      <c r="N129" s="691">
        <f>BS!M10+BS!M11+BS!M18</f>
        <v>1667.365</v>
      </c>
      <c r="O129" s="691">
        <f>BS!N10+BS!N11+BS!N18</f>
        <v>1239.8982000000001</v>
      </c>
      <c r="P129" s="691">
        <f>BS!O10+BS!O11+BS!O18</f>
        <v>1922.05</v>
      </c>
      <c r="Q129" s="687">
        <f>CF!L82</f>
        <v>480.07499999999999</v>
      </c>
      <c r="R129" s="691">
        <f>BS!Q10+BS!Q11+BS!Q18</f>
        <v>2035.8330000000001</v>
      </c>
      <c r="S129" s="691">
        <f>BS!R10+BS!R11+BS!R18</f>
        <v>2517.8159999999998</v>
      </c>
      <c r="T129" s="691">
        <f>BS!S10+BS!S11+BS!S18</f>
        <v>2053.5830000000001</v>
      </c>
      <c r="U129" s="691">
        <f>BS!T10+BS!T11+BS!T18</f>
        <v>2968.6909999999998</v>
      </c>
      <c r="V129" s="687">
        <f>CF!Q82</f>
        <v>2035.8330000000001</v>
      </c>
      <c r="W129" s="691">
        <f>BS!V10+BS!V11+BS!V18</f>
        <v>2302.6700115988879</v>
      </c>
      <c r="X129" s="691">
        <f>BS!W10+BS!W11+BS!W18</f>
        <v>2127.730836887235</v>
      </c>
      <c r="Y129" s="691">
        <f>BS!X10+BS!X11+BS!X18</f>
        <v>2143.0461488778797</v>
      </c>
      <c r="Z129" s="691">
        <f>BS!Y10+BS!Y11+BS!Y18</f>
        <v>2209.7555297015474</v>
      </c>
      <c r="AA129" s="687">
        <f>CF!V82</f>
        <v>2302.6700115988879</v>
      </c>
      <c r="AB129" s="691">
        <f>BS!AA10+BS!AA11+BS!AA18</f>
        <v>2650.4169392788995</v>
      </c>
      <c r="AC129" s="691">
        <f>BS!AB10+BS!AB11+BS!AB18</f>
        <v>2292.7971022883335</v>
      </c>
      <c r="AD129" s="691">
        <f>BS!AC10+BS!AC11+BS!AC18</f>
        <v>2534.3841737900852</v>
      </c>
      <c r="AE129" s="691">
        <f>BS!AD10+BS!AD11+BS!AD18</f>
        <v>2821.9739156891796</v>
      </c>
      <c r="AF129" s="687">
        <f>CF!AA82</f>
        <v>2650.4169392788995</v>
      </c>
      <c r="AG129" s="691">
        <f>BS!AF10+BS!AF11+BS!AF18</f>
        <v>2896.6406457626936</v>
      </c>
      <c r="AH129" s="691">
        <f>BS!AG10+BS!AG11+BS!AG18</f>
        <v>2647.2090591593233</v>
      </c>
      <c r="AI129" s="691">
        <f>BS!AH10+BS!AH11+BS!AH18</f>
        <v>2740.134443688175</v>
      </c>
      <c r="AJ129" s="691">
        <f>BS!AI10+BS!AI11+BS!AI18</f>
        <v>3007.9646698620591</v>
      </c>
      <c r="AK129" s="687">
        <f>CF!AF82</f>
        <v>2896.6406457626936</v>
      </c>
    </row>
    <row r="130" spans="1:37" s="444" customFormat="1" ht="12.75" hidden="1" customHeight="1" outlineLevel="1">
      <c r="A130" s="1102"/>
      <c r="B130" s="824" t="s">
        <v>469</v>
      </c>
      <c r="C130" s="799"/>
      <c r="D130" s="800"/>
      <c r="E130" s="800"/>
      <c r="F130" s="800"/>
      <c r="G130" s="901"/>
      <c r="H130" s="902"/>
      <c r="I130" s="903"/>
      <c r="J130" s="903"/>
      <c r="K130" s="798"/>
      <c r="L130" s="901"/>
      <c r="M130" s="797">
        <f t="shared" ref="M130:R130" si="61">M128/M129</f>
        <v>1.5539238660625945E-2</v>
      </c>
      <c r="N130" s="798">
        <f t="shared" si="61"/>
        <v>9.8394772590284663E-3</v>
      </c>
      <c r="O130" s="798">
        <f t="shared" si="61"/>
        <v>1.723367289346819E-2</v>
      </c>
      <c r="P130" s="798">
        <f t="shared" si="61"/>
        <v>7.327592934627091E-3</v>
      </c>
      <c r="Q130" s="888">
        <f t="shared" si="61"/>
        <v>0.12355986043847317</v>
      </c>
      <c r="R130" s="797">
        <f t="shared" si="61"/>
        <v>-1.138600268293126E-3</v>
      </c>
      <c r="S130" s="798">
        <f>S128/S129</f>
        <v>1.1200183015756516E-3</v>
      </c>
      <c r="T130" s="798">
        <f>T128/T129</f>
        <v>1.1829568125563952E-2</v>
      </c>
      <c r="U130" s="799">
        <v>8.5000000000000006E-3</v>
      </c>
      <c r="V130" s="888">
        <f>V128/V129</f>
        <v>2.4574153921269576E-2</v>
      </c>
      <c r="W130" s="799">
        <v>8.5000000000000006E-3</v>
      </c>
      <c r="X130" s="799">
        <f>W130</f>
        <v>8.5000000000000006E-3</v>
      </c>
      <c r="Y130" s="799">
        <f>X130</f>
        <v>8.5000000000000006E-3</v>
      </c>
      <c r="Z130" s="799">
        <f>Y130</f>
        <v>8.5000000000000006E-3</v>
      </c>
      <c r="AA130" s="888">
        <f>AA128/AA129</f>
        <v>3.2422023609113663E-2</v>
      </c>
      <c r="AB130" s="799">
        <f>Z130+0.05%</f>
        <v>9.0000000000000011E-3</v>
      </c>
      <c r="AC130" s="799">
        <f>AB130</f>
        <v>9.0000000000000011E-3</v>
      </c>
      <c r="AD130" s="799">
        <f>AC130</f>
        <v>9.0000000000000011E-3</v>
      </c>
      <c r="AE130" s="799">
        <f>AD130</f>
        <v>9.0000000000000011E-3</v>
      </c>
      <c r="AF130" s="888">
        <f>AF128/AF129</f>
        <v>3.4974176253430675E-2</v>
      </c>
      <c r="AG130" s="799">
        <f>AE130+0.05%</f>
        <v>9.5000000000000015E-3</v>
      </c>
      <c r="AH130" s="799">
        <f>AG130</f>
        <v>9.5000000000000015E-3</v>
      </c>
      <c r="AI130" s="799">
        <f>AH130</f>
        <v>9.5000000000000015E-3</v>
      </c>
      <c r="AJ130" s="799">
        <f>AI130</f>
        <v>9.5000000000000015E-3</v>
      </c>
      <c r="AK130" s="888">
        <f>AK128/AK129</f>
        <v>3.7033766660842043E-2</v>
      </c>
    </row>
    <row r="131" spans="1:37" s="89" customFormat="1" ht="12.75" customHeight="1" collapsed="1">
      <c r="A131" s="67"/>
      <c r="B131" s="378"/>
      <c r="C131" s="90"/>
      <c r="D131" s="128"/>
      <c r="E131" s="128"/>
      <c r="F131" s="128"/>
      <c r="G131" s="132"/>
      <c r="H131" s="90"/>
      <c r="I131" s="128"/>
      <c r="J131" s="128"/>
      <c r="K131" s="128"/>
      <c r="L131" s="132"/>
      <c r="M131" s="90"/>
      <c r="N131" s="128"/>
      <c r="O131" s="128"/>
      <c r="P131" s="128"/>
      <c r="Q131" s="132"/>
      <c r="R131" s="90"/>
      <c r="S131" s="1041"/>
      <c r="T131" s="1041"/>
      <c r="U131" s="128"/>
      <c r="V131" s="132"/>
      <c r="W131" s="90"/>
      <c r="X131" s="128"/>
      <c r="Y131" s="128"/>
      <c r="Z131" s="128"/>
      <c r="AA131" s="132"/>
      <c r="AB131" s="90"/>
      <c r="AC131" s="128"/>
      <c r="AD131" s="128"/>
      <c r="AE131" s="128"/>
      <c r="AF131" s="132"/>
      <c r="AG131" s="90"/>
      <c r="AH131" s="128"/>
      <c r="AI131" s="128"/>
      <c r="AJ131" s="128"/>
      <c r="AK131" s="132"/>
    </row>
  </sheetData>
  <pageMargins left="0.7" right="0.7" top="0.75" bottom="0.75" header="0.3" footer="0.3"/>
  <pageSetup orientation="portrait" r:id="rId1"/>
  <customProperties>
    <customPr name="Qube.Worksheet.Visibility" r:id="rId2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EE7EA-1C84-4A7C-9F34-F29F2E395DDF}">
  <sheetPr codeName="Sheet13">
    <tabColor rgb="FF002060"/>
    <pageSetUpPr autoPageBreaks="0"/>
  </sheetPr>
  <dimension ref="A1:AM588"/>
  <sheetViews>
    <sheetView showGridLines="0" zoomScaleNormal="100" workbookViewId="0">
      <pane xSplit="2" ySplit="8" topLeftCell="R9" activePane="bottomRight" state="frozen"/>
      <selection activeCell="DD115" sqref="DD115"/>
      <selection pane="topRight" activeCell="DD115" sqref="DD115"/>
      <selection pane="bottomLeft" activeCell="DD115" sqref="DD115"/>
      <selection pane="bottomRight"/>
    </sheetView>
  </sheetViews>
  <sheetFormatPr defaultRowHeight="12.75" customHeight="1" outlineLevelRow="1" outlineLevelCol="1"/>
  <cols>
    <col min="1" max="1" width="3.7109375" style="67" customWidth="1"/>
    <col min="2" max="2" width="50.5703125" style="378" bestFit="1" customWidth="1"/>
    <col min="3" max="6" width="10.7109375" hidden="1" customWidth="1" outlineLevel="1"/>
    <col min="7" max="7" width="10.7109375" customWidth="1" collapsed="1"/>
    <col min="8" max="11" width="10.7109375" hidden="1" customWidth="1" outlineLevel="1"/>
    <col min="12" max="12" width="10.7109375" customWidth="1" collapsed="1"/>
    <col min="13" max="13" width="11.28515625" hidden="1" customWidth="1" outlineLevel="1"/>
    <col min="14" max="16" width="12.28515625" hidden="1" customWidth="1" outlineLevel="1"/>
    <col min="17" max="17" width="11.42578125" bestFit="1" customWidth="1" collapsed="1"/>
    <col min="18" max="18" width="11.85546875" customWidth="1" outlineLevel="1"/>
    <col min="19" max="19" width="11.85546875" style="522" customWidth="1" outlineLevel="1"/>
    <col min="20" max="21" width="11.85546875" customWidth="1" outlineLevel="1"/>
    <col min="22" max="22" width="11.85546875" bestFit="1" customWidth="1"/>
    <col min="23" max="26" width="11.85546875" customWidth="1" outlineLevel="1"/>
    <col min="27" max="27" width="11.85546875" bestFit="1" customWidth="1"/>
    <col min="28" max="29" width="11.85546875" customWidth="1" outlineLevel="1"/>
    <col min="30" max="31" width="12.85546875" customWidth="1" outlineLevel="1"/>
    <col min="32" max="32" width="12.85546875" bestFit="1" customWidth="1"/>
    <col min="33" max="34" width="11.85546875" hidden="1" customWidth="1" outlineLevel="1"/>
    <col min="35" max="36" width="12.85546875" hidden="1" customWidth="1" outlineLevel="1"/>
    <col min="37" max="37" width="12.85546875" bestFit="1" customWidth="1" collapsed="1"/>
  </cols>
  <sheetData>
    <row r="1" spans="1:37" s="378" customFormat="1" ht="12.75" customHeight="1">
      <c r="A1" s="416"/>
      <c r="C1" s="744"/>
      <c r="D1" s="745"/>
      <c r="E1" s="745"/>
      <c r="F1" s="745"/>
      <c r="G1" s="745"/>
      <c r="H1" s="744"/>
      <c r="I1" s="745"/>
      <c r="J1" s="745"/>
      <c r="K1" s="745"/>
      <c r="L1" s="745"/>
      <c r="M1" s="744"/>
      <c r="N1" s="745"/>
      <c r="O1" s="745"/>
      <c r="P1" s="745"/>
      <c r="Q1" s="745"/>
      <c r="R1" s="744"/>
      <c r="S1" s="746"/>
      <c r="T1" s="745"/>
      <c r="U1" s="745"/>
      <c r="V1" s="745"/>
      <c r="W1" s="744"/>
      <c r="X1" s="745"/>
      <c r="Y1" s="745"/>
      <c r="Z1" s="745"/>
      <c r="AA1" s="745"/>
      <c r="AB1" s="744"/>
      <c r="AC1" s="745"/>
      <c r="AD1" s="745"/>
      <c r="AE1" s="745"/>
      <c r="AF1" s="745"/>
      <c r="AG1" s="744"/>
      <c r="AH1" s="745"/>
      <c r="AI1" s="745"/>
      <c r="AJ1" s="745"/>
      <c r="AK1" s="745"/>
    </row>
    <row r="2" spans="1:37" s="378" customFormat="1" ht="12.75" customHeight="1">
      <c r="A2" s="416"/>
      <c r="B2" s="475" t="s">
        <v>231</v>
      </c>
      <c r="C2" s="744"/>
      <c r="D2" s="745"/>
      <c r="E2" s="745"/>
      <c r="F2" s="745"/>
      <c r="G2" s="745"/>
      <c r="H2" s="744"/>
      <c r="I2" s="745"/>
      <c r="J2" s="745"/>
      <c r="K2" s="745"/>
      <c r="L2" s="745"/>
      <c r="M2" s="744"/>
      <c r="N2" s="745"/>
      <c r="O2" s="745"/>
      <c r="P2" s="745"/>
      <c r="Q2" s="745"/>
      <c r="R2" s="745"/>
      <c r="S2" s="746"/>
      <c r="T2" s="745"/>
      <c r="U2" s="1191"/>
      <c r="V2" s="1191"/>
      <c r="W2" s="745"/>
      <c r="X2" s="745"/>
      <c r="Y2" s="745"/>
      <c r="Z2" s="745"/>
      <c r="AA2" s="745"/>
      <c r="AB2" s="744"/>
      <c r="AC2" s="745"/>
      <c r="AD2" s="745"/>
      <c r="AE2" s="745"/>
      <c r="AF2" s="745"/>
      <c r="AG2" s="744"/>
      <c r="AH2" s="745"/>
      <c r="AI2" s="745"/>
      <c r="AJ2" s="745"/>
      <c r="AK2" s="745"/>
    </row>
    <row r="3" spans="1:37" s="378" customFormat="1" ht="12.75" customHeight="1">
      <c r="A3" s="416"/>
      <c r="B3" s="475" t="s">
        <v>169</v>
      </c>
      <c r="C3" s="744"/>
      <c r="D3" s="745"/>
      <c r="E3" s="745"/>
      <c r="F3" s="745"/>
      <c r="G3" s="745"/>
      <c r="H3" s="744"/>
      <c r="I3" s="745"/>
      <c r="J3" s="745"/>
      <c r="K3" s="745"/>
      <c r="L3" s="745"/>
      <c r="M3" s="744"/>
      <c r="N3" s="745"/>
      <c r="O3" s="745"/>
      <c r="P3" s="745"/>
      <c r="Q3" s="745"/>
      <c r="R3" s="745"/>
      <c r="S3" s="746"/>
      <c r="T3" s="745"/>
      <c r="U3" s="745"/>
      <c r="V3" s="745"/>
      <c r="W3" s="1191"/>
      <c r="X3" s="745"/>
      <c r="Y3" s="745"/>
      <c r="Z3" s="745"/>
      <c r="AA3" s="745"/>
      <c r="AB3" s="744"/>
      <c r="AC3" s="745"/>
      <c r="AD3" s="745"/>
      <c r="AE3" s="745"/>
      <c r="AF3" s="745"/>
      <c r="AG3" s="744"/>
      <c r="AH3" s="745"/>
      <c r="AI3" s="745"/>
      <c r="AJ3" s="745"/>
      <c r="AK3" s="745"/>
    </row>
    <row r="4" spans="1:37" s="378" customFormat="1" ht="12.75" customHeight="1">
      <c r="A4" s="416"/>
      <c r="B4" s="475" t="s">
        <v>24</v>
      </c>
      <c r="C4" s="744"/>
      <c r="D4" s="745"/>
      <c r="E4" s="745"/>
      <c r="F4" s="745"/>
      <c r="G4" s="745"/>
      <c r="H4" s="744"/>
      <c r="I4" s="745"/>
      <c r="J4" s="745"/>
      <c r="K4" s="745"/>
      <c r="L4" s="745"/>
      <c r="M4" s="744"/>
      <c r="N4" s="745"/>
      <c r="O4" s="745"/>
      <c r="P4" s="745"/>
      <c r="Q4" s="745"/>
      <c r="R4" s="745"/>
      <c r="S4" s="746"/>
      <c r="T4" s="745"/>
      <c r="U4" s="745"/>
      <c r="V4" s="745"/>
      <c r="W4" s="1191"/>
      <c r="X4" s="1191"/>
      <c r="Y4" s="745"/>
      <c r="Z4" s="745"/>
      <c r="AA4" s="745"/>
      <c r="AB4" s="744"/>
      <c r="AC4" s="745"/>
      <c r="AD4" s="745"/>
      <c r="AE4" s="745"/>
      <c r="AF4" s="745"/>
      <c r="AG4" s="744"/>
      <c r="AH4" s="745"/>
      <c r="AI4" s="745"/>
      <c r="AJ4" s="745"/>
      <c r="AK4" s="745"/>
    </row>
    <row r="5" spans="1:37" s="378" customFormat="1" ht="12.75" customHeight="1">
      <c r="A5" s="416"/>
      <c r="C5" s="744"/>
      <c r="D5" s="745"/>
      <c r="E5" s="745"/>
      <c r="F5" s="745"/>
      <c r="G5" s="745"/>
      <c r="H5" s="744"/>
      <c r="I5" s="745"/>
      <c r="J5" s="745"/>
      <c r="K5" s="745"/>
      <c r="L5" s="745"/>
      <c r="M5" s="744"/>
      <c r="N5" s="745"/>
      <c r="O5" s="745"/>
      <c r="P5" s="745"/>
      <c r="Q5" s="745"/>
      <c r="R5" s="744"/>
      <c r="S5" s="746"/>
      <c r="T5" s="745"/>
      <c r="U5" s="745"/>
      <c r="V5" s="1191"/>
      <c r="W5" s="744"/>
      <c r="X5" s="745"/>
      <c r="Y5" s="745"/>
      <c r="Z5" s="745"/>
      <c r="AA5" s="745"/>
      <c r="AB5" s="744"/>
      <c r="AC5" s="745"/>
      <c r="AD5" s="745"/>
      <c r="AE5" s="745"/>
      <c r="AF5" s="745"/>
      <c r="AG5" s="744"/>
      <c r="AH5" s="745"/>
      <c r="AI5" s="745"/>
      <c r="AJ5" s="745"/>
      <c r="AK5" s="745"/>
    </row>
    <row r="6" spans="1:37" s="89" customFormat="1" ht="12.75" customHeight="1">
      <c r="A6" s="67"/>
      <c r="B6" s="378"/>
      <c r="C6" s="46" t="str">
        <f>Dates!C3</f>
        <v>2022 (A)</v>
      </c>
      <c r="D6" s="46"/>
      <c r="E6" s="46"/>
      <c r="F6" s="46"/>
      <c r="H6" s="46" t="str">
        <f>Dates!H3</f>
        <v>2023 (A)</v>
      </c>
      <c r="I6" s="46"/>
      <c r="J6" s="46"/>
      <c r="K6" s="46"/>
      <c r="M6" s="46" t="str">
        <f>Dates!M3</f>
        <v>2024 (A)</v>
      </c>
      <c r="N6" s="46"/>
      <c r="O6" s="46"/>
      <c r="P6" s="46"/>
      <c r="R6" s="46" t="str">
        <f>Dates!R3</f>
        <v>2025 (E)</v>
      </c>
      <c r="S6" s="427"/>
      <c r="T6" s="46"/>
      <c r="U6" s="46"/>
      <c r="W6" s="46" t="str">
        <f>Dates!W3</f>
        <v>2026 (E)</v>
      </c>
      <c r="X6" s="46"/>
      <c r="Y6" s="46"/>
      <c r="Z6" s="46"/>
      <c r="AB6" s="46" t="str">
        <f>Dates!AB3</f>
        <v>2027 (E)</v>
      </c>
      <c r="AC6" s="46"/>
      <c r="AD6" s="46"/>
      <c r="AE6" s="46"/>
      <c r="AG6" s="46" t="str">
        <f>Dates!AG3</f>
        <v>2028 (E)</v>
      </c>
      <c r="AH6" s="46"/>
      <c r="AI6" s="46"/>
      <c r="AJ6" s="46"/>
    </row>
    <row r="7" spans="1:37" s="89" customFormat="1" ht="12.75" customHeight="1">
      <c r="A7" s="67"/>
      <c r="B7" s="378"/>
      <c r="C7" s="91" t="str">
        <f>Dates!C4</f>
        <v>1Q22 (A)</v>
      </c>
      <c r="D7" s="91" t="str">
        <f>Dates!D4</f>
        <v>2Q22 (A)</v>
      </c>
      <c r="E7" s="91" t="str">
        <f>Dates!E4</f>
        <v>3Q22 (A)</v>
      </c>
      <c r="F7" s="91" t="str">
        <f>Dates!F4</f>
        <v>4Q22 (A)</v>
      </c>
      <c r="G7" s="92" t="str">
        <f>Dates!G4</f>
        <v>FY22 (A)</v>
      </c>
      <c r="H7" s="91" t="str">
        <f>Dates!H4</f>
        <v>1Q23 (A)</v>
      </c>
      <c r="I7" s="91" t="str">
        <f>Dates!I4</f>
        <v>2Q23 (A)</v>
      </c>
      <c r="J7" s="91" t="str">
        <f>Dates!J4</f>
        <v>3Q23 (A)</v>
      </c>
      <c r="K7" s="91" t="str">
        <f>Dates!K4</f>
        <v>4Q23 (A)</v>
      </c>
      <c r="L7" s="92" t="str">
        <f>Dates!L4</f>
        <v>FY23 (A)</v>
      </c>
      <c r="M7" s="91" t="str">
        <f>Dates!M4</f>
        <v>1Q24 (A)</v>
      </c>
      <c r="N7" s="91" t="str">
        <f>Dates!N4</f>
        <v>2Q24 (A)</v>
      </c>
      <c r="O7" s="91" t="str">
        <f>Dates!O4</f>
        <v>3Q24 (A)</v>
      </c>
      <c r="P7" s="91" t="str">
        <f>Dates!P4</f>
        <v>4Q24 (A)</v>
      </c>
      <c r="Q7" s="92" t="str">
        <f>Dates!Q4</f>
        <v>FY24 (A)</v>
      </c>
      <c r="R7" s="91" t="str">
        <f>Dates!R4</f>
        <v>1Q25 (A)</v>
      </c>
      <c r="S7" s="428" t="str">
        <f>Dates!S4</f>
        <v>2Q25 (A)</v>
      </c>
      <c r="T7" s="91" t="str">
        <f>Dates!T4</f>
        <v>3Q25 (A)</v>
      </c>
      <c r="U7" s="91" t="str">
        <f>Dates!U4</f>
        <v>4Q25 (E)</v>
      </c>
      <c r="V7" s="92" t="str">
        <f>Dates!V4</f>
        <v>FY25 (E)</v>
      </c>
      <c r="W7" s="91" t="str">
        <f>Dates!W4</f>
        <v>1Q26 (E)</v>
      </c>
      <c r="X7" s="91" t="str">
        <f>Dates!X4</f>
        <v>2Q26 (E)</v>
      </c>
      <c r="Y7" s="91" t="str">
        <f>Dates!Y4</f>
        <v>3Q26 (E)</v>
      </c>
      <c r="Z7" s="91" t="str">
        <f>Dates!Z4</f>
        <v>4Q26 (E)</v>
      </c>
      <c r="AA7" s="92" t="str">
        <f>Dates!AA4</f>
        <v>FY26 (E)</v>
      </c>
      <c r="AB7" s="91" t="str">
        <f>Dates!AB4</f>
        <v>1Q27 (E)</v>
      </c>
      <c r="AC7" s="91" t="str">
        <f>Dates!AC4</f>
        <v>2Q27 (E)</v>
      </c>
      <c r="AD7" s="91" t="str">
        <f>Dates!AD4</f>
        <v>3Q27 (E)</v>
      </c>
      <c r="AE7" s="91" t="str">
        <f>Dates!AE4</f>
        <v>4Q27 (E)</v>
      </c>
      <c r="AF7" s="92" t="str">
        <f>Dates!AF4</f>
        <v>FY27 (E)</v>
      </c>
      <c r="AG7" s="91" t="str">
        <f>Dates!AG4</f>
        <v>1Q28 (E)</v>
      </c>
      <c r="AH7" s="91" t="str">
        <f>Dates!AH4</f>
        <v>2Q28 (E)</v>
      </c>
      <c r="AI7" s="91" t="str">
        <f>Dates!AI4</f>
        <v>3Q28 (E)</v>
      </c>
      <c r="AJ7" s="91" t="str">
        <f>Dates!AJ4</f>
        <v>4Q28 (E)</v>
      </c>
      <c r="AK7" s="92" t="str">
        <f>Dates!AK4</f>
        <v>FY28 (E)</v>
      </c>
    </row>
    <row r="8" spans="1:37" s="89" customFormat="1" ht="12.75" customHeight="1">
      <c r="A8" s="67"/>
      <c r="B8" s="378"/>
      <c r="C8" s="93">
        <f>Dates!C5</f>
        <v>44651</v>
      </c>
      <c r="D8" s="93">
        <f>Dates!D5</f>
        <v>44742</v>
      </c>
      <c r="E8" s="93">
        <f>Dates!E5</f>
        <v>44834</v>
      </c>
      <c r="F8" s="93">
        <f>Dates!F5</f>
        <v>44926</v>
      </c>
      <c r="G8" s="94">
        <f>Dates!G5</f>
        <v>44926</v>
      </c>
      <c r="H8" s="93">
        <f>Dates!H5</f>
        <v>45016</v>
      </c>
      <c r="I8" s="93">
        <f>Dates!I5</f>
        <v>45107</v>
      </c>
      <c r="J8" s="93">
        <f>Dates!J5</f>
        <v>45199</v>
      </c>
      <c r="K8" s="93">
        <f>Dates!K5</f>
        <v>45291</v>
      </c>
      <c r="L8" s="94">
        <f>Dates!L5</f>
        <v>45291</v>
      </c>
      <c r="M8" s="93">
        <f>Dates!M5</f>
        <v>45382</v>
      </c>
      <c r="N8" s="423">
        <f>Dates!N5</f>
        <v>45473</v>
      </c>
      <c r="O8" s="93">
        <f>Dates!O5</f>
        <v>45565</v>
      </c>
      <c r="P8" s="93">
        <f>Dates!P5</f>
        <v>45657</v>
      </c>
      <c r="Q8" s="94">
        <f>Dates!Q5</f>
        <v>45657</v>
      </c>
      <c r="R8" s="93">
        <f>Dates!R5</f>
        <v>45747</v>
      </c>
      <c r="S8" s="423">
        <f>Dates!S5</f>
        <v>45838</v>
      </c>
      <c r="T8" s="93">
        <f>Dates!T5</f>
        <v>45930</v>
      </c>
      <c r="U8" s="93">
        <f>Dates!U5</f>
        <v>46022</v>
      </c>
      <c r="V8" s="94">
        <f>Dates!V5</f>
        <v>46022</v>
      </c>
      <c r="W8" s="93">
        <f>Dates!W5</f>
        <v>46112</v>
      </c>
      <c r="X8" s="93">
        <f>Dates!X5</f>
        <v>46203</v>
      </c>
      <c r="Y8" s="93">
        <f>Dates!Y5</f>
        <v>46295</v>
      </c>
      <c r="Z8" s="93">
        <f>Dates!Z5</f>
        <v>46387</v>
      </c>
      <c r="AA8" s="94">
        <f>Dates!AA5</f>
        <v>46387</v>
      </c>
      <c r="AB8" s="93">
        <f>Dates!AB5</f>
        <v>46477</v>
      </c>
      <c r="AC8" s="93">
        <f>Dates!AC5</f>
        <v>46568</v>
      </c>
      <c r="AD8" s="93">
        <f>Dates!AD5</f>
        <v>46660</v>
      </c>
      <c r="AE8" s="93">
        <f>Dates!AE5</f>
        <v>46752</v>
      </c>
      <c r="AF8" s="94">
        <f>Dates!AF5</f>
        <v>46752</v>
      </c>
      <c r="AG8" s="93">
        <f>Dates!AG5</f>
        <v>46843</v>
      </c>
      <c r="AH8" s="93">
        <f>Dates!AH5</f>
        <v>46934</v>
      </c>
      <c r="AI8" s="93">
        <f>Dates!AI5</f>
        <v>47026</v>
      </c>
      <c r="AJ8" s="93">
        <f>Dates!AJ5</f>
        <v>47118</v>
      </c>
      <c r="AK8" s="94">
        <f>Dates!AK5</f>
        <v>47118</v>
      </c>
    </row>
    <row r="9" spans="1:37" s="89" customFormat="1" ht="12.75" customHeight="1">
      <c r="A9" s="67"/>
      <c r="B9" s="386" t="s">
        <v>60</v>
      </c>
      <c r="C9" s="93"/>
      <c r="D9" s="93"/>
      <c r="E9" s="93"/>
      <c r="F9" s="93"/>
      <c r="G9" s="94"/>
      <c r="H9" s="93"/>
      <c r="I9" s="93"/>
      <c r="J9" s="93"/>
      <c r="K9" s="93"/>
      <c r="L9" s="94"/>
      <c r="M9" s="93"/>
      <c r="N9" s="423"/>
      <c r="O9" s="93"/>
      <c r="P9" s="93"/>
      <c r="Q9" s="94"/>
      <c r="R9" s="93"/>
      <c r="S9" s="423"/>
      <c r="T9" s="93"/>
      <c r="U9" s="93"/>
      <c r="V9" s="94"/>
      <c r="W9" s="93"/>
      <c r="X9" s="93"/>
      <c r="Y9" s="93"/>
      <c r="Z9" s="93"/>
      <c r="AA9" s="94"/>
      <c r="AB9" s="93"/>
      <c r="AC9" s="93"/>
      <c r="AD9" s="93"/>
      <c r="AE9" s="423"/>
      <c r="AF9" s="94"/>
      <c r="AG9" s="93"/>
      <c r="AH9" s="93"/>
      <c r="AI9" s="93"/>
      <c r="AJ9" s="423"/>
      <c r="AK9" s="94"/>
    </row>
    <row r="10" spans="1:37" s="605" customFormat="1" ht="12.75" customHeight="1">
      <c r="A10" s="603"/>
      <c r="B10" s="387" t="s">
        <v>61</v>
      </c>
      <c r="C10" s="542"/>
      <c r="D10" s="542"/>
      <c r="E10" s="542"/>
      <c r="F10" s="542"/>
      <c r="G10" s="555">
        <f>CF!G77-CF!G80-CF!G81</f>
        <v>7.3839999999999835</v>
      </c>
      <c r="H10" s="562">
        <f>CF!H77-CF!H80-CF!H81</f>
        <v>0</v>
      </c>
      <c r="I10" s="562">
        <f>CF!I77-CF!I80-CF!I81</f>
        <v>0</v>
      </c>
      <c r="J10" s="542">
        <v>426.38499999999999</v>
      </c>
      <c r="K10" s="542">
        <v>217.14699999999999</v>
      </c>
      <c r="L10" s="550">
        <f>K10</f>
        <v>217.14699999999999</v>
      </c>
      <c r="M10" s="620">
        <v>1306.8720000000001</v>
      </c>
      <c r="N10" s="620">
        <v>1028.0440000000001</v>
      </c>
      <c r="O10" s="620">
        <v>1355.2159999999999</v>
      </c>
      <c r="P10" s="620">
        <v>1361.0830000000001</v>
      </c>
      <c r="Q10" s="550">
        <f>P10</f>
        <v>1361.0830000000001</v>
      </c>
      <c r="R10" s="620">
        <v>1276.4559999999999</v>
      </c>
      <c r="S10" s="620">
        <v>1152.883</v>
      </c>
      <c r="T10" s="620">
        <v>1894.3989999999999</v>
      </c>
      <c r="U10" s="562">
        <f>CF!U77-BS!U11-BS!U18</f>
        <v>1228.378011598888</v>
      </c>
      <c r="V10" s="550">
        <f>U10</f>
        <v>1228.378011598888</v>
      </c>
      <c r="W10" s="621">
        <f>CF!W77-BS!W11-BS!W18</f>
        <v>1053.4388368872351</v>
      </c>
      <c r="X10" s="562">
        <f>CF!X77-BS!X11-BS!X18</f>
        <v>1068.7541488778797</v>
      </c>
      <c r="Y10" s="562">
        <f>CF!Y77-BS!Y11-BS!Y18</f>
        <v>1135.4635297015475</v>
      </c>
      <c r="Z10" s="562">
        <f>CF!Z77-BS!Z11-BS!Z18</f>
        <v>1576.1249392788995</v>
      </c>
      <c r="AA10" s="550">
        <f>Z10</f>
        <v>1576.1249392788995</v>
      </c>
      <c r="AB10" s="621">
        <f>CF!AB77-BS!AB11-BS!AB18</f>
        <v>1218.5051022883335</v>
      </c>
      <c r="AC10" s="562">
        <f>CF!AC77-BS!AC11-BS!AC18</f>
        <v>1460.0921737900853</v>
      </c>
      <c r="AD10" s="562">
        <f>CF!AD77-BS!AD11-BS!AD18</f>
        <v>1747.6819156891797</v>
      </c>
      <c r="AE10" s="562">
        <f>CF!AE77-BS!AE11-BS!AE18</f>
        <v>1822.3486457626936</v>
      </c>
      <c r="AF10" s="550">
        <f>AE10</f>
        <v>1822.3486457626936</v>
      </c>
      <c r="AG10" s="621">
        <f>CF!AG77-BS!AG11-BS!AG18</f>
        <v>1572.9170591593233</v>
      </c>
      <c r="AH10" s="562">
        <f>CF!AH77-BS!AH11-BS!AH18</f>
        <v>1665.8424436881751</v>
      </c>
      <c r="AI10" s="562">
        <f>CF!AI77-BS!AI11-BS!AI18</f>
        <v>1933.6726698620591</v>
      </c>
      <c r="AJ10" s="562">
        <f>CF!AJ77-BS!AJ11-BS!AJ18</f>
        <v>2439.1501098676817</v>
      </c>
      <c r="AK10" s="550">
        <f>AJ10</f>
        <v>2439.1501098676817</v>
      </c>
    </row>
    <row r="11" spans="1:37" s="605" customFormat="1" ht="12.75" customHeight="1">
      <c r="A11" s="603"/>
      <c r="B11" s="387" t="s">
        <v>232</v>
      </c>
      <c r="C11" s="542"/>
      <c r="D11" s="542"/>
      <c r="E11" s="542"/>
      <c r="F11" s="542"/>
      <c r="G11" s="550"/>
      <c r="H11" s="542"/>
      <c r="I11" s="542"/>
      <c r="J11" s="542"/>
      <c r="K11" s="542">
        <v>42.94</v>
      </c>
      <c r="L11" s="550">
        <f>K11</f>
        <v>42.94</v>
      </c>
      <c r="M11" s="620">
        <v>35.493000000000002</v>
      </c>
      <c r="N11" s="620">
        <v>79.724999999999994</v>
      </c>
      <c r="O11" s="620">
        <v>69.575999999999993</v>
      </c>
      <c r="P11" s="620">
        <v>37.393999999999998</v>
      </c>
      <c r="Q11" s="555">
        <f>CF!Q80</f>
        <v>37.393999999999998</v>
      </c>
      <c r="R11" s="620">
        <v>624.25</v>
      </c>
      <c r="S11" s="620">
        <v>560.173</v>
      </c>
      <c r="T11" s="620">
        <v>596.77700000000004</v>
      </c>
      <c r="U11" s="562">
        <f>CF!U80</f>
        <v>596.77700000000004</v>
      </c>
      <c r="V11" s="555">
        <f>CF!V80</f>
        <v>596.77700000000004</v>
      </c>
      <c r="W11" s="562">
        <f>CF!W80</f>
        <v>596.77700000000004</v>
      </c>
      <c r="X11" s="562">
        <f>CF!X80</f>
        <v>596.77700000000004</v>
      </c>
      <c r="Y11" s="562">
        <f>CF!Y80</f>
        <v>596.77700000000004</v>
      </c>
      <c r="Z11" s="562">
        <f>CF!Z80</f>
        <v>596.77700000000004</v>
      </c>
      <c r="AA11" s="555">
        <f>CF!AA80</f>
        <v>596.77700000000004</v>
      </c>
      <c r="AB11" s="562">
        <f>CF!AB80</f>
        <v>596.77700000000004</v>
      </c>
      <c r="AC11" s="562">
        <f>CF!AC80</f>
        <v>596.77700000000004</v>
      </c>
      <c r="AD11" s="562">
        <f>CF!AD80</f>
        <v>596.77700000000004</v>
      </c>
      <c r="AE11" s="562">
        <f>CF!AE80</f>
        <v>596.77700000000004</v>
      </c>
      <c r="AF11" s="555">
        <f>CF!AF80</f>
        <v>596.77700000000004</v>
      </c>
      <c r="AG11" s="562">
        <f>CF!AG80</f>
        <v>596.77700000000004</v>
      </c>
      <c r="AH11" s="562">
        <f>CF!AH80</f>
        <v>596.77700000000004</v>
      </c>
      <c r="AI11" s="562">
        <f>CF!AI80</f>
        <v>596.77700000000004</v>
      </c>
      <c r="AJ11" s="562">
        <f>CF!AJ80</f>
        <v>596.77700000000004</v>
      </c>
      <c r="AK11" s="555">
        <f>CF!AK80</f>
        <v>596.77700000000004</v>
      </c>
    </row>
    <row r="12" spans="1:37" s="605" customFormat="1" ht="12.75" customHeight="1">
      <c r="A12" s="603"/>
      <c r="B12" s="850" t="s">
        <v>699</v>
      </c>
      <c r="C12" s="542"/>
      <c r="D12" s="542"/>
      <c r="E12" s="542"/>
      <c r="F12" s="542"/>
      <c r="G12" s="550"/>
      <c r="H12" s="542"/>
      <c r="I12" s="542"/>
      <c r="J12" s="542"/>
      <c r="K12" s="542"/>
      <c r="L12" s="550"/>
      <c r="M12" s="620"/>
      <c r="N12" s="620"/>
      <c r="O12" s="620"/>
      <c r="P12" s="620"/>
      <c r="Q12" s="555"/>
      <c r="R12" s="620"/>
      <c r="S12" s="620"/>
      <c r="T12" s="620">
        <v>47.448999999999998</v>
      </c>
      <c r="U12" s="552">
        <f t="shared" ref="U12:AK12" si="0">T12</f>
        <v>47.448999999999998</v>
      </c>
      <c r="V12" s="1413">
        <f t="shared" si="0"/>
        <v>47.448999999999998</v>
      </c>
      <c r="W12" s="552">
        <f t="shared" si="0"/>
        <v>47.448999999999998</v>
      </c>
      <c r="X12" s="552">
        <f t="shared" si="0"/>
        <v>47.448999999999998</v>
      </c>
      <c r="Y12" s="552">
        <f t="shared" si="0"/>
        <v>47.448999999999998</v>
      </c>
      <c r="Z12" s="552">
        <f t="shared" si="0"/>
        <v>47.448999999999998</v>
      </c>
      <c r="AA12" s="1413">
        <f t="shared" si="0"/>
        <v>47.448999999999998</v>
      </c>
      <c r="AB12" s="552">
        <f t="shared" si="0"/>
        <v>47.448999999999998</v>
      </c>
      <c r="AC12" s="552">
        <f t="shared" si="0"/>
        <v>47.448999999999998</v>
      </c>
      <c r="AD12" s="552">
        <f t="shared" si="0"/>
        <v>47.448999999999998</v>
      </c>
      <c r="AE12" s="552">
        <f t="shared" si="0"/>
        <v>47.448999999999998</v>
      </c>
      <c r="AF12" s="1413">
        <f t="shared" si="0"/>
        <v>47.448999999999998</v>
      </c>
      <c r="AG12" s="552">
        <f t="shared" si="0"/>
        <v>47.448999999999998</v>
      </c>
      <c r="AH12" s="552">
        <f t="shared" si="0"/>
        <v>47.448999999999998</v>
      </c>
      <c r="AI12" s="552">
        <f t="shared" si="0"/>
        <v>47.448999999999998</v>
      </c>
      <c r="AJ12" s="552">
        <f t="shared" si="0"/>
        <v>47.448999999999998</v>
      </c>
      <c r="AK12" s="1413">
        <f t="shared" si="0"/>
        <v>47.448999999999998</v>
      </c>
    </row>
    <row r="13" spans="1:37" s="605" customFormat="1" ht="12.75" customHeight="1">
      <c r="A13" s="603"/>
      <c r="B13" s="387" t="s">
        <v>233</v>
      </c>
      <c r="C13" s="542"/>
      <c r="D13" s="542"/>
      <c r="E13" s="542"/>
      <c r="F13" s="542"/>
      <c r="G13" s="550"/>
      <c r="H13" s="542"/>
      <c r="I13" s="542"/>
      <c r="J13" s="542"/>
      <c r="K13" s="542">
        <v>165.37899999999999</v>
      </c>
      <c r="L13" s="550">
        <f>K13</f>
        <v>165.37899999999999</v>
      </c>
      <c r="M13" s="620">
        <v>111.102</v>
      </c>
      <c r="N13" s="622">
        <v>346.245</v>
      </c>
      <c r="O13" s="622">
        <v>498.14499999999998</v>
      </c>
      <c r="P13" s="620">
        <v>416.52600000000001</v>
      </c>
      <c r="Q13" s="550">
        <f>P13</f>
        <v>416.52600000000001</v>
      </c>
      <c r="R13" s="622">
        <v>1055.2080000000001</v>
      </c>
      <c r="S13" s="622">
        <v>1933.6980000000001</v>
      </c>
      <c r="T13" s="622">
        <v>1659.229</v>
      </c>
      <c r="U13" s="602">
        <f>(U74/U75)*U63</f>
        <v>1027.9054173444986</v>
      </c>
      <c r="V13" s="550">
        <f>U13</f>
        <v>1027.9054173444986</v>
      </c>
      <c r="W13" s="602">
        <f>(W74/W75)*W63</f>
        <v>1644.7895760101203</v>
      </c>
      <c r="X13" s="602">
        <f>(X74/X75)*X63</f>
        <v>3620.0402002541537</v>
      </c>
      <c r="Y13" s="602">
        <f>(Y74/Y75)*Y63</f>
        <v>4294.7924384461749</v>
      </c>
      <c r="Z13" s="602">
        <f>(Z74/Z75)*Z63</f>
        <v>2307.2684889102247</v>
      </c>
      <c r="AA13" s="550">
        <f>Z13</f>
        <v>2307.2684889102247</v>
      </c>
      <c r="AB13" s="602">
        <f>(AB74/AB75)*AB63</f>
        <v>2772.6213446776273</v>
      </c>
      <c r="AC13" s="602">
        <f>(AC74/AC75)*AC63</f>
        <v>5027.4138648236303</v>
      </c>
      <c r="AD13" s="602">
        <f>(AD74/AD75)*AD63</f>
        <v>5792.1093404122848</v>
      </c>
      <c r="AE13" s="602">
        <f>(AE74/AE75)*AE63</f>
        <v>3075.1496020140598</v>
      </c>
      <c r="AF13" s="550">
        <f>AE13</f>
        <v>3075.1496020140598</v>
      </c>
      <c r="AG13" s="602">
        <f>(AG74/AG75)*AG63</f>
        <v>3626.0700846968816</v>
      </c>
      <c r="AH13" s="602">
        <f>(AH74/AH75)*AH63</f>
        <v>6391.8931709938088</v>
      </c>
      <c r="AI13" s="602">
        <f>(AI74/AI75)*AI63</f>
        <v>7085.6034262122284</v>
      </c>
      <c r="AJ13" s="602">
        <f>(AJ74/AJ75)*AJ63</f>
        <v>3603.7528194737083</v>
      </c>
      <c r="AK13" s="550">
        <f>AJ13</f>
        <v>3603.7528194737083</v>
      </c>
    </row>
    <row r="14" spans="1:37" s="605" customFormat="1" ht="12.75" customHeight="1">
      <c r="A14" s="603"/>
      <c r="B14" s="388" t="s">
        <v>188</v>
      </c>
      <c r="C14" s="542"/>
      <c r="D14" s="542"/>
      <c r="E14" s="542"/>
      <c r="F14" s="542"/>
      <c r="G14" s="550"/>
      <c r="H14" s="542"/>
      <c r="I14" s="542"/>
      <c r="J14" s="542"/>
      <c r="K14" s="542">
        <v>76.525999999999996</v>
      </c>
      <c r="L14" s="550">
        <f>K14</f>
        <v>76.525999999999996</v>
      </c>
      <c r="M14" s="620">
        <v>51.348999999999997</v>
      </c>
      <c r="N14" s="620">
        <v>72.908000000000001</v>
      </c>
      <c r="O14" s="620">
        <v>128.697</v>
      </c>
      <c r="P14" s="620">
        <v>101.246</v>
      </c>
      <c r="Q14" s="550">
        <f>P14</f>
        <v>101.246</v>
      </c>
      <c r="R14" s="620">
        <v>146.733</v>
      </c>
      <c r="S14" s="620">
        <v>299.22899999999998</v>
      </c>
      <c r="T14" s="620">
        <v>533.42899999999997</v>
      </c>
      <c r="U14" s="552">
        <f>U$64*U80</f>
        <v>499.9870682345566</v>
      </c>
      <c r="V14" s="550">
        <f>U14</f>
        <v>499.9870682345566</v>
      </c>
      <c r="W14" s="740">
        <f>W$64*W80</f>
        <v>542.33269651129899</v>
      </c>
      <c r="X14" s="552">
        <f>X$64*X80</f>
        <v>845.75739251168557</v>
      </c>
      <c r="Y14" s="552">
        <f>Y$64*Y80</f>
        <v>965.69875426258045</v>
      </c>
      <c r="Z14" s="552">
        <f>Z$64*Z80</f>
        <v>990.27384369054198</v>
      </c>
      <c r="AA14" s="550">
        <f>Z14</f>
        <v>990.27384369054198</v>
      </c>
      <c r="AB14" s="740">
        <f>AB$64*AB80</f>
        <v>979.38602646960294</v>
      </c>
      <c r="AC14" s="552">
        <f>AC$64*AC80</f>
        <v>1020.6244484335649</v>
      </c>
      <c r="AD14" s="552">
        <f>AD$64*AD80</f>
        <v>1061.3065299797613</v>
      </c>
      <c r="AE14" s="552">
        <f>AE$64*AE80</f>
        <v>1143.4433981550264</v>
      </c>
      <c r="AF14" s="550">
        <f>AE14</f>
        <v>1143.4433981550264</v>
      </c>
      <c r="AG14" s="740">
        <f>AG$64*AG80</f>
        <v>1143.5263187039984</v>
      </c>
      <c r="AH14" s="552">
        <f>AH$64*AH80</f>
        <v>1168.8442575396605</v>
      </c>
      <c r="AI14" s="552">
        <f>AI$64*AI80</f>
        <v>1148.2074692676504</v>
      </c>
      <c r="AJ14" s="552">
        <f>AJ$64*AJ80</f>
        <v>1187.8885329366599</v>
      </c>
      <c r="AK14" s="550">
        <f>AJ14</f>
        <v>1187.8885329366599</v>
      </c>
    </row>
    <row r="15" spans="1:37" s="605" customFormat="1" ht="12.75" customHeight="1">
      <c r="A15" s="603"/>
      <c r="B15" s="388" t="s">
        <v>444</v>
      </c>
      <c r="C15" s="542"/>
      <c r="D15" s="542"/>
      <c r="E15" s="542"/>
      <c r="F15" s="542"/>
      <c r="G15" s="550"/>
      <c r="H15" s="542"/>
      <c r="I15" s="542"/>
      <c r="J15" s="542"/>
      <c r="K15" s="542">
        <v>0</v>
      </c>
      <c r="L15" s="550">
        <f>K15</f>
        <v>0</v>
      </c>
      <c r="M15" s="620">
        <v>2.4260000000000002</v>
      </c>
      <c r="N15" s="620">
        <v>1.597</v>
      </c>
      <c r="O15" s="620">
        <v>1.2110000000000001</v>
      </c>
      <c r="P15" s="620">
        <v>0</v>
      </c>
      <c r="Q15" s="550">
        <f>P15</f>
        <v>0</v>
      </c>
      <c r="R15" s="620">
        <v>0</v>
      </c>
      <c r="S15" s="620">
        <v>0</v>
      </c>
      <c r="T15" s="620">
        <v>0</v>
      </c>
      <c r="U15" s="552">
        <f>T15</f>
        <v>0</v>
      </c>
      <c r="V15" s="550">
        <f>U15</f>
        <v>0</v>
      </c>
      <c r="W15" s="552">
        <f>V15</f>
        <v>0</v>
      </c>
      <c r="X15" s="552">
        <f>W15</f>
        <v>0</v>
      </c>
      <c r="Y15" s="552">
        <f>X15</f>
        <v>0</v>
      </c>
      <c r="Z15" s="552">
        <f>Y15</f>
        <v>0</v>
      </c>
      <c r="AA15" s="550">
        <f>Z15</f>
        <v>0</v>
      </c>
      <c r="AB15" s="552">
        <f>AA15</f>
        <v>0</v>
      </c>
      <c r="AC15" s="552">
        <f>AB15</f>
        <v>0</v>
      </c>
      <c r="AD15" s="552">
        <f>AC15</f>
        <v>0</v>
      </c>
      <c r="AE15" s="552">
        <f>AD15</f>
        <v>0</v>
      </c>
      <c r="AF15" s="550">
        <f>AE15</f>
        <v>0</v>
      </c>
      <c r="AG15" s="552">
        <f>AF15</f>
        <v>0</v>
      </c>
      <c r="AH15" s="552">
        <f>AG15</f>
        <v>0</v>
      </c>
      <c r="AI15" s="552">
        <f>AH15</f>
        <v>0</v>
      </c>
      <c r="AJ15" s="552">
        <f>AI15</f>
        <v>0</v>
      </c>
      <c r="AK15" s="550">
        <f>AJ15</f>
        <v>0</v>
      </c>
    </row>
    <row r="16" spans="1:37" s="605" customFormat="1" ht="12.75" customHeight="1">
      <c r="A16" s="606"/>
      <c r="B16" s="389" t="s">
        <v>62</v>
      </c>
      <c r="C16" s="588"/>
      <c r="D16" s="588"/>
      <c r="E16" s="588"/>
      <c r="F16" s="588"/>
      <c r="G16" s="469"/>
      <c r="H16" s="588"/>
      <c r="I16" s="588"/>
      <c r="J16" s="588"/>
      <c r="K16" s="588">
        <f t="shared" ref="K16:AF16" si="1">SUM(K10:K15)</f>
        <v>501.99200000000002</v>
      </c>
      <c r="L16" s="469">
        <f t="shared" si="1"/>
        <v>501.99200000000002</v>
      </c>
      <c r="M16" s="741">
        <f t="shared" si="1"/>
        <v>1507.242</v>
      </c>
      <c r="N16" s="741">
        <f t="shared" si="1"/>
        <v>1528.519</v>
      </c>
      <c r="O16" s="741">
        <f t="shared" si="1"/>
        <v>2052.8449999999998</v>
      </c>
      <c r="P16" s="741">
        <f t="shared" si="1"/>
        <v>1916.2490000000003</v>
      </c>
      <c r="Q16" s="469">
        <f t="shared" si="1"/>
        <v>1916.2490000000003</v>
      </c>
      <c r="R16" s="741">
        <f t="shared" si="1"/>
        <v>3102.6469999999999</v>
      </c>
      <c r="S16" s="741">
        <f t="shared" si="1"/>
        <v>3945.9829999999997</v>
      </c>
      <c r="T16" s="741">
        <f t="shared" si="1"/>
        <v>4731.2830000000004</v>
      </c>
      <c r="U16" s="588">
        <f t="shared" si="1"/>
        <v>3400.4964971779432</v>
      </c>
      <c r="V16" s="469">
        <f t="shared" si="1"/>
        <v>3400.4964971779432</v>
      </c>
      <c r="W16" s="588">
        <f>SUM(W10:W15)</f>
        <v>3884.7871094086549</v>
      </c>
      <c r="X16" s="588">
        <f>SUM(X10:X15)</f>
        <v>6178.7777416437193</v>
      </c>
      <c r="Y16" s="588">
        <f>SUM(Y10:Y15)</f>
        <v>7040.1807224103022</v>
      </c>
      <c r="Z16" s="588">
        <f>SUM(Z10:Z15)</f>
        <v>5517.8932718796659</v>
      </c>
      <c r="AA16" s="469">
        <f t="shared" si="1"/>
        <v>5517.8932718796659</v>
      </c>
      <c r="AB16" s="588">
        <f>SUM(AB10:AB15)</f>
        <v>5614.7384734355637</v>
      </c>
      <c r="AC16" s="588">
        <f>SUM(AC10:AC15)</f>
        <v>8152.356487047281</v>
      </c>
      <c r="AD16" s="588">
        <f>SUM(AD10:AD15)</f>
        <v>9245.323786081226</v>
      </c>
      <c r="AE16" s="588">
        <f>SUM(AE10:AE15)</f>
        <v>6685.1676459317805</v>
      </c>
      <c r="AF16" s="469">
        <f t="shared" si="1"/>
        <v>6685.1676459317805</v>
      </c>
      <c r="AG16" s="588">
        <f>SUM(AG10:AG15)</f>
        <v>6986.7394625602028</v>
      </c>
      <c r="AH16" s="588">
        <f>SUM(AH10:AH15)</f>
        <v>9870.8058722216447</v>
      </c>
      <c r="AI16" s="588">
        <f>SUM(AI10:AI15)</f>
        <v>10811.709565341938</v>
      </c>
      <c r="AJ16" s="588">
        <f>SUM(AJ10:AJ15)</f>
        <v>7875.0174622780505</v>
      </c>
      <c r="AK16" s="469">
        <f>SUM(AK10:AK15)</f>
        <v>7875.0174622780505</v>
      </c>
    </row>
    <row r="17" spans="1:37" s="246" customFormat="1" ht="12.75" customHeight="1">
      <c r="A17" s="1280"/>
      <c r="B17" s="390"/>
      <c r="C17" s="420"/>
      <c r="D17" s="420"/>
      <c r="E17" s="420"/>
      <c r="F17" s="420"/>
      <c r="G17" s="382"/>
      <c r="H17" s="420"/>
      <c r="I17" s="420"/>
      <c r="J17" s="420"/>
      <c r="K17" s="420"/>
      <c r="L17" s="382"/>
      <c r="M17" s="595"/>
      <c r="N17" s="595"/>
      <c r="O17" s="595"/>
      <c r="P17" s="595"/>
      <c r="Q17" s="382"/>
      <c r="R17" s="520"/>
      <c r="S17" s="520"/>
      <c r="T17" s="420"/>
      <c r="U17" s="420"/>
      <c r="V17" s="382"/>
      <c r="W17" s="420"/>
      <c r="X17" s="420"/>
      <c r="Y17" s="420"/>
      <c r="Z17" s="420"/>
      <c r="AA17" s="382"/>
      <c r="AB17" s="420"/>
      <c r="AC17" s="420"/>
      <c r="AD17" s="420"/>
      <c r="AE17" s="420"/>
      <c r="AF17" s="382"/>
      <c r="AG17" s="420"/>
      <c r="AH17" s="420"/>
      <c r="AI17" s="420"/>
      <c r="AJ17" s="420"/>
      <c r="AK17" s="382"/>
    </row>
    <row r="18" spans="1:37" s="605" customFormat="1" ht="12.75" customHeight="1">
      <c r="A18" s="603"/>
      <c r="B18" s="387" t="s">
        <v>234</v>
      </c>
      <c r="C18" s="542"/>
      <c r="D18" s="542"/>
      <c r="E18" s="542"/>
      <c r="F18" s="542"/>
      <c r="G18" s="550"/>
      <c r="H18" s="542"/>
      <c r="I18" s="542"/>
      <c r="J18" s="542">
        <v>50</v>
      </c>
      <c r="K18" s="542">
        <v>219.988</v>
      </c>
      <c r="L18" s="550">
        <f t="shared" ref="L18:L26" si="2">K18</f>
        <v>219.988</v>
      </c>
      <c r="M18" s="620">
        <v>325</v>
      </c>
      <c r="N18" s="620">
        <v>132.1292</v>
      </c>
      <c r="O18" s="620">
        <v>497.25799999999998</v>
      </c>
      <c r="P18" s="620">
        <v>637.35599999999999</v>
      </c>
      <c r="Q18" s="550">
        <f t="shared" ref="Q18:Q26" si="3">P18</f>
        <v>637.35599999999999</v>
      </c>
      <c r="R18" s="620">
        <v>617.11</v>
      </c>
      <c r="S18" s="620">
        <v>340.52699999999999</v>
      </c>
      <c r="T18" s="620">
        <v>477.51499999999999</v>
      </c>
      <c r="U18" s="562">
        <f>CF!U81</f>
        <v>477.51499999999999</v>
      </c>
      <c r="V18" s="555">
        <f>CF!V81</f>
        <v>477.51499999999999</v>
      </c>
      <c r="W18" s="562">
        <f>CF!W81</f>
        <v>477.51499999999999</v>
      </c>
      <c r="X18" s="562">
        <f>CF!X81</f>
        <v>477.51499999999999</v>
      </c>
      <c r="Y18" s="562">
        <f>CF!Y81</f>
        <v>477.51499999999999</v>
      </c>
      <c r="Z18" s="562">
        <f>CF!Z81</f>
        <v>477.51499999999999</v>
      </c>
      <c r="AA18" s="555">
        <f>CF!AA81</f>
        <v>477.51499999999999</v>
      </c>
      <c r="AB18" s="562">
        <f>CF!AB81</f>
        <v>477.51499999999999</v>
      </c>
      <c r="AC18" s="562">
        <f>CF!AC81</f>
        <v>477.51499999999999</v>
      </c>
      <c r="AD18" s="562">
        <f>CF!AD81</f>
        <v>477.51499999999999</v>
      </c>
      <c r="AE18" s="562">
        <f>CF!AE81</f>
        <v>477.51499999999999</v>
      </c>
      <c r="AF18" s="555">
        <f>CF!AF81</f>
        <v>477.51499999999999</v>
      </c>
      <c r="AG18" s="562">
        <f>CF!AG81</f>
        <v>477.51499999999999</v>
      </c>
      <c r="AH18" s="562">
        <f>CF!AH81</f>
        <v>477.51499999999999</v>
      </c>
      <c r="AI18" s="562">
        <f>CF!AI81</f>
        <v>477.51499999999999</v>
      </c>
      <c r="AJ18" s="562">
        <f>CF!AJ81</f>
        <v>477.51499999999999</v>
      </c>
      <c r="AK18" s="555">
        <f>CF!AK81</f>
        <v>477.51499999999999</v>
      </c>
    </row>
    <row r="19" spans="1:37" s="605" customFormat="1" ht="12.75" customHeight="1">
      <c r="A19" s="603"/>
      <c r="B19" s="387" t="s">
        <v>235</v>
      </c>
      <c r="C19" s="542"/>
      <c r="D19" s="542"/>
      <c r="E19" s="542"/>
      <c r="F19" s="542"/>
      <c r="G19" s="550"/>
      <c r="H19" s="542"/>
      <c r="I19" s="542"/>
      <c r="J19" s="542"/>
      <c r="K19" s="542">
        <v>171.73400000000001</v>
      </c>
      <c r="L19" s="550">
        <f t="shared" si="2"/>
        <v>171.73400000000001</v>
      </c>
      <c r="M19" s="620">
        <v>201.04300000000001</v>
      </c>
      <c r="N19" s="622">
        <v>155.1062</v>
      </c>
      <c r="O19" s="620">
        <v>103.65</v>
      </c>
      <c r="P19" s="620">
        <v>29.308</v>
      </c>
      <c r="Q19" s="550">
        <f t="shared" si="3"/>
        <v>29.308</v>
      </c>
      <c r="R19" s="620">
        <v>0</v>
      </c>
      <c r="S19" s="620">
        <v>0</v>
      </c>
      <c r="T19" s="620">
        <v>0</v>
      </c>
      <c r="U19" s="552">
        <f t="shared" ref="U19:AF19" si="4">T19</f>
        <v>0</v>
      </c>
      <c r="V19" s="550">
        <f t="shared" si="4"/>
        <v>0</v>
      </c>
      <c r="W19" s="552">
        <f t="shared" si="4"/>
        <v>0</v>
      </c>
      <c r="X19" s="552">
        <f t="shared" si="4"/>
        <v>0</v>
      </c>
      <c r="Y19" s="552">
        <f t="shared" si="4"/>
        <v>0</v>
      </c>
      <c r="Z19" s="552">
        <f t="shared" si="4"/>
        <v>0</v>
      </c>
      <c r="AA19" s="550">
        <f t="shared" si="4"/>
        <v>0</v>
      </c>
      <c r="AB19" s="552">
        <f t="shared" si="4"/>
        <v>0</v>
      </c>
      <c r="AC19" s="552">
        <f t="shared" si="4"/>
        <v>0</v>
      </c>
      <c r="AD19" s="552">
        <f t="shared" si="4"/>
        <v>0</v>
      </c>
      <c r="AE19" s="552">
        <f t="shared" si="4"/>
        <v>0</v>
      </c>
      <c r="AF19" s="550">
        <f t="shared" si="4"/>
        <v>0</v>
      </c>
      <c r="AG19" s="552">
        <f>AF19</f>
        <v>0</v>
      </c>
      <c r="AH19" s="552">
        <f>AG19</f>
        <v>0</v>
      </c>
      <c r="AI19" s="552">
        <f>AH19</f>
        <v>0</v>
      </c>
      <c r="AJ19" s="552">
        <f>AI19</f>
        <v>0</v>
      </c>
      <c r="AK19" s="550">
        <f>AJ19</f>
        <v>0</v>
      </c>
    </row>
    <row r="20" spans="1:37" s="605" customFormat="1" ht="12.75" customHeight="1">
      <c r="A20" s="603"/>
      <c r="B20" s="851" t="s">
        <v>440</v>
      </c>
      <c r="C20" s="542"/>
      <c r="D20" s="542"/>
      <c r="E20" s="542"/>
      <c r="F20" s="542"/>
      <c r="G20" s="550"/>
      <c r="H20" s="542"/>
      <c r="I20" s="542"/>
      <c r="J20" s="542"/>
      <c r="K20" s="542">
        <v>3610.7860000000001</v>
      </c>
      <c r="L20" s="550">
        <f t="shared" si="2"/>
        <v>3610.7860000000001</v>
      </c>
      <c r="M20" s="620">
        <v>5268.2150000000001</v>
      </c>
      <c r="N20" s="622">
        <v>7385.5522000000001</v>
      </c>
      <c r="O20" s="620">
        <v>9728.8070000000007</v>
      </c>
      <c r="P20" s="620">
        <v>12880.004999999999</v>
      </c>
      <c r="Q20" s="550">
        <f t="shared" si="3"/>
        <v>12880.004999999999</v>
      </c>
      <c r="R20" s="620">
        <v>15610.549000000001</v>
      </c>
      <c r="S20" s="620">
        <v>18585.116999999998</v>
      </c>
      <c r="T20" s="620">
        <f>20659.181-T21</f>
        <v>23233.759000000002</v>
      </c>
      <c r="U20" s="562">
        <f>T20+'Revenue and CapEx Build'!U46</f>
        <v>31592.101005105003</v>
      </c>
      <c r="V20" s="555">
        <f>U20</f>
        <v>31592.101005105003</v>
      </c>
      <c r="W20" s="562">
        <f>V20+'Revenue and CapEx Build'!W46</f>
        <v>40411.695797035005</v>
      </c>
      <c r="X20" s="562">
        <f>W20+'Revenue and CapEx Build'!X46</f>
        <v>45486.492661643002</v>
      </c>
      <c r="Y20" s="562">
        <f>X20+'Revenue and CapEx Build'!Y46</f>
        <v>49074.8403852314</v>
      </c>
      <c r="Z20" s="562">
        <f>Y20+'Revenue and CapEx Build'!Z46</f>
        <v>52517.619145567951</v>
      </c>
      <c r="AA20" s="555">
        <f>Z20</f>
        <v>52517.619145567951</v>
      </c>
      <c r="AB20" s="562">
        <f>AA20+'Revenue and CapEx Build'!AB46</f>
        <v>56793.571367084849</v>
      </c>
      <c r="AC20" s="562">
        <f>AB20+'Revenue and CapEx Build'!AC46</f>
        <v>63653.754613222722</v>
      </c>
      <c r="AD20" s="562">
        <f>AC20+'Revenue and CapEx Build'!AD46</f>
        <v>69349.991724315536</v>
      </c>
      <c r="AE20" s="562">
        <f>AD20+'Revenue and CapEx Build'!AE46</f>
        <v>75307.355378088891</v>
      </c>
      <c r="AF20" s="555">
        <f>AE20</f>
        <v>75307.355378088891</v>
      </c>
      <c r="AG20" s="562">
        <f>AF20+'Revenue and CapEx Build'!AG46</f>
        <v>80834.741798008385</v>
      </c>
      <c r="AH20" s="562">
        <f>AG20+'Revenue and CapEx Build'!AH46</f>
        <v>87151.902403506392</v>
      </c>
      <c r="AI20" s="562">
        <f>AH20+'Revenue and CapEx Build'!AI46</f>
        <v>93641.111469272088</v>
      </c>
      <c r="AJ20" s="562">
        <f>AI20+'Revenue and CapEx Build'!AJ46</f>
        <v>100089.76791906044</v>
      </c>
      <c r="AK20" s="555">
        <f>AJ20</f>
        <v>100089.76791906044</v>
      </c>
    </row>
    <row r="21" spans="1:37" s="605" customFormat="1" ht="12.75" customHeight="1">
      <c r="A21" s="603"/>
      <c r="B21" s="851" t="s">
        <v>439</v>
      </c>
      <c r="C21" s="542"/>
      <c r="D21" s="542"/>
      <c r="E21" s="542"/>
      <c r="F21" s="542"/>
      <c r="G21" s="550"/>
      <c r="H21" s="542"/>
      <c r="I21" s="542"/>
      <c r="J21" s="542"/>
      <c r="K21" s="542">
        <v>-116.79600000000001</v>
      </c>
      <c r="L21" s="550">
        <f t="shared" si="2"/>
        <v>-116.79600000000001</v>
      </c>
      <c r="M21" s="620">
        <v>-195.78200000000001</v>
      </c>
      <c r="N21" s="622">
        <v>-359.72199999999998</v>
      </c>
      <c r="O21" s="620">
        <v>-612.21699999999998</v>
      </c>
      <c r="P21" s="620">
        <v>-965.23099999999999</v>
      </c>
      <c r="Q21" s="550">
        <f t="shared" si="3"/>
        <v>-965.23099999999999</v>
      </c>
      <c r="R21" s="620">
        <v>-1399.557</v>
      </c>
      <c r="S21" s="620">
        <v>-1953.607</v>
      </c>
      <c r="T21" s="620">
        <v>-2574.578</v>
      </c>
      <c r="U21" s="562">
        <f>'Revenue and CapEx Build'!U115</f>
        <v>-3359.7268752836112</v>
      </c>
      <c r="V21" s="555">
        <f>'Revenue and CapEx Build'!V115</f>
        <v>-3359.7268752836112</v>
      </c>
      <c r="W21" s="562">
        <f>'Revenue and CapEx Build'!W115</f>
        <v>-4535.3163388918001</v>
      </c>
      <c r="X21" s="562">
        <f>'Revenue and CapEx Build'!X115</f>
        <v>-5915.9943781503225</v>
      </c>
      <c r="Y21" s="562">
        <f>'Revenue and CapEx Build'!Y115</f>
        <v>-7429.2391542583609</v>
      </c>
      <c r="Z21" s="562">
        <f>'Revenue and CapEx Build'!Z115</f>
        <v>-9075.4325370003189</v>
      </c>
      <c r="AA21" s="555">
        <f>'Revenue and CapEx Build'!AA115</f>
        <v>-9075.4325370003189</v>
      </c>
      <c r="AB21" s="562">
        <f>'Revenue and CapEx Build'!AB115</f>
        <v>-10938.764906067214</v>
      </c>
      <c r="AC21" s="562">
        <f>'Revenue and CapEx Build'!AC115</f>
        <v>-13020.269041748967</v>
      </c>
      <c r="AD21" s="562">
        <f>'Revenue and CapEx Build'!AD115</f>
        <v>-15319.546547170154</v>
      </c>
      <c r="AE21" s="562">
        <f>'Revenue and CapEx Build'!AE115</f>
        <v>-17837.905291335952</v>
      </c>
      <c r="AF21" s="555">
        <f>'Revenue and CapEx Build'!AF115</f>
        <v>-17837.905291335952</v>
      </c>
      <c r="AG21" s="562">
        <f>'Revenue and CapEx Build'!AG115</f>
        <v>-20543.018648998874</v>
      </c>
      <c r="AH21" s="562">
        <f>'Revenue and CapEx Build'!AH115</f>
        <v>-23448.070612381183</v>
      </c>
      <c r="AI21" s="562">
        <f>'Revenue and CapEx Build'!AI115</f>
        <v>-26551.91091401059</v>
      </c>
      <c r="AJ21" s="562">
        <f>'Revenue and CapEx Build'!AJ115</f>
        <v>-29856.109216460623</v>
      </c>
      <c r="AK21" s="555">
        <f>'Revenue and CapEx Build'!AK115</f>
        <v>-29856.109216460623</v>
      </c>
    </row>
    <row r="22" spans="1:37" s="605" customFormat="1" ht="12.75" customHeight="1">
      <c r="A22" s="603"/>
      <c r="B22" s="387" t="s">
        <v>94</v>
      </c>
      <c r="C22" s="542"/>
      <c r="D22" s="542"/>
      <c r="E22" s="542"/>
      <c r="F22" s="542"/>
      <c r="G22" s="550"/>
      <c r="H22" s="542"/>
      <c r="I22" s="542"/>
      <c r="J22" s="542"/>
      <c r="K22" s="542">
        <v>3483.99</v>
      </c>
      <c r="L22" s="550">
        <f t="shared" si="2"/>
        <v>3483.99</v>
      </c>
      <c r="M22" s="740">
        <f>M20+M21</f>
        <v>5072.433</v>
      </c>
      <c r="N22" s="740">
        <f>N20+N21</f>
        <v>7025.8302000000003</v>
      </c>
      <c r="O22" s="740">
        <f>O20+O21</f>
        <v>9116.59</v>
      </c>
      <c r="P22" s="740">
        <f>P20+P21</f>
        <v>11914.773999999999</v>
      </c>
      <c r="Q22" s="550">
        <f t="shared" si="3"/>
        <v>11914.773999999999</v>
      </c>
      <c r="R22" s="740">
        <f>R20+R21</f>
        <v>14210.992</v>
      </c>
      <c r="S22" s="740">
        <f>S20+S21</f>
        <v>16631.509999999998</v>
      </c>
      <c r="T22" s="740">
        <f>T20+T21</f>
        <v>20659.181</v>
      </c>
      <c r="U22" s="552">
        <f t="shared" ref="U22:AF22" si="5">U20+U21</f>
        <v>28232.374129821394</v>
      </c>
      <c r="V22" s="550">
        <f t="shared" si="5"/>
        <v>28232.374129821394</v>
      </c>
      <c r="W22" s="552">
        <f t="shared" si="5"/>
        <v>35876.379458143201</v>
      </c>
      <c r="X22" s="552">
        <f t="shared" si="5"/>
        <v>39570.498283492678</v>
      </c>
      <c r="Y22" s="552">
        <f t="shared" si="5"/>
        <v>41645.601230973043</v>
      </c>
      <c r="Z22" s="552">
        <f t="shared" si="5"/>
        <v>43442.18660856763</v>
      </c>
      <c r="AA22" s="550">
        <f t="shared" si="5"/>
        <v>43442.18660856763</v>
      </c>
      <c r="AB22" s="552">
        <f t="shared" si="5"/>
        <v>45854.806461017637</v>
      </c>
      <c r="AC22" s="552">
        <f t="shared" si="5"/>
        <v>50633.485571473757</v>
      </c>
      <c r="AD22" s="552">
        <f t="shared" si="5"/>
        <v>54030.445177145382</v>
      </c>
      <c r="AE22" s="552">
        <f t="shared" si="5"/>
        <v>57469.450086752942</v>
      </c>
      <c r="AF22" s="550">
        <f t="shared" si="5"/>
        <v>57469.450086752942</v>
      </c>
      <c r="AG22" s="552">
        <f>AG20+AG21</f>
        <v>60291.723149009515</v>
      </c>
      <c r="AH22" s="552">
        <f>AH20+AH21</f>
        <v>63703.831791125209</v>
      </c>
      <c r="AI22" s="552">
        <f>AI20+AI21</f>
        <v>67089.200555261501</v>
      </c>
      <c r="AJ22" s="552">
        <f>AJ20+AJ21</f>
        <v>70233.658702599816</v>
      </c>
      <c r="AK22" s="550">
        <f>AK20+AK21</f>
        <v>70233.658702599816</v>
      </c>
    </row>
    <row r="23" spans="1:37" s="605" customFormat="1" ht="12.75" customHeight="1">
      <c r="A23" s="603"/>
      <c r="B23" s="387" t="s">
        <v>68</v>
      </c>
      <c r="C23" s="542"/>
      <c r="D23" s="542"/>
      <c r="E23" s="542"/>
      <c r="F23" s="542"/>
      <c r="G23" s="550"/>
      <c r="H23" s="542"/>
      <c r="I23" s="542"/>
      <c r="J23" s="542"/>
      <c r="K23" s="542">
        <v>461.96600000000001</v>
      </c>
      <c r="L23" s="550">
        <f t="shared" si="2"/>
        <v>461.96600000000001</v>
      </c>
      <c r="M23" s="620">
        <v>905.61</v>
      </c>
      <c r="N23" s="620">
        <v>1352.7842000000001</v>
      </c>
      <c r="O23" s="620">
        <v>1792.8844999999999</v>
      </c>
      <c r="P23" s="620">
        <v>2589.547</v>
      </c>
      <c r="Q23" s="550">
        <f t="shared" si="3"/>
        <v>2589.547</v>
      </c>
      <c r="R23" s="620">
        <v>3063.22</v>
      </c>
      <c r="S23" s="620">
        <v>3380.201</v>
      </c>
      <c r="T23" s="620">
        <v>4677.0569999999998</v>
      </c>
      <c r="U23" s="552">
        <f>U83*(U34+U42)</f>
        <v>5287.802341394522</v>
      </c>
      <c r="V23" s="550">
        <f>U23</f>
        <v>5287.802341394522</v>
      </c>
      <c r="W23" s="552">
        <f>W83*(W34+W42)</f>
        <v>6843.6840760726545</v>
      </c>
      <c r="X23" s="552">
        <f>X83*(X34+X42)</f>
        <v>9108.593294368824</v>
      </c>
      <c r="Y23" s="552">
        <f>Y83*(Y34+Y42)</f>
        <v>10108.789032176792</v>
      </c>
      <c r="Z23" s="552">
        <f>Z83*(Z34+Z42)</f>
        <v>10818.474708612706</v>
      </c>
      <c r="AA23" s="550">
        <f>Z23</f>
        <v>10818.474708612706</v>
      </c>
      <c r="AB23" s="552">
        <f>AB83*(AB34+AB42)</f>
        <v>10188.354280996882</v>
      </c>
      <c r="AC23" s="552">
        <f>AC83*(AC34+AC42)</f>
        <v>11103.46002946159</v>
      </c>
      <c r="AD23" s="552">
        <f>AD83*(AD34+AD42)</f>
        <v>11958.451126253538</v>
      </c>
      <c r="AE23" s="552">
        <f>AE83*(AE34+AE42)</f>
        <v>12754.043933273388</v>
      </c>
      <c r="AF23" s="550">
        <f>AE23</f>
        <v>12754.043933273388</v>
      </c>
      <c r="AG23" s="552">
        <f>AG83*(AG34+AG42)</f>
        <v>12769.393819161332</v>
      </c>
      <c r="AH23" s="552">
        <f>AH83*(AH34+AH42)</f>
        <v>13296.621474061138</v>
      </c>
      <c r="AI23" s="552">
        <f>AI83*(AI34+AI42)</f>
        <v>13769.34822721449</v>
      </c>
      <c r="AJ23" s="552">
        <f>AJ83*(AJ34+AJ42)</f>
        <v>14189.284138609271</v>
      </c>
      <c r="AK23" s="550">
        <f>AJ23</f>
        <v>14189.284138609271</v>
      </c>
    </row>
    <row r="24" spans="1:37" s="605" customFormat="1" ht="12.75" customHeight="1">
      <c r="A24" s="603"/>
      <c r="B24" s="387" t="s">
        <v>236</v>
      </c>
      <c r="C24" s="542"/>
      <c r="D24" s="542"/>
      <c r="E24" s="542"/>
      <c r="F24" s="542"/>
      <c r="G24" s="550"/>
      <c r="H24" s="542"/>
      <c r="I24" s="542"/>
      <c r="J24" s="542"/>
      <c r="K24" s="542">
        <v>7.0030000000000001</v>
      </c>
      <c r="L24" s="550">
        <f t="shared" si="2"/>
        <v>7.0030000000000001</v>
      </c>
      <c r="M24" s="620">
        <v>6.4779999999999998</v>
      </c>
      <c r="N24" s="620">
        <v>5.9542000000000002</v>
      </c>
      <c r="O24" s="620">
        <v>5.4295</v>
      </c>
      <c r="P24" s="620">
        <v>4.9089999999999998</v>
      </c>
      <c r="Q24" s="550">
        <f t="shared" si="3"/>
        <v>4.9089999999999998</v>
      </c>
      <c r="R24" s="620">
        <v>4.3949999999999996</v>
      </c>
      <c r="S24" s="620">
        <v>205.89500000000001</v>
      </c>
      <c r="T24" s="620">
        <v>200.001</v>
      </c>
      <c r="U24" s="552">
        <f>T24</f>
        <v>200.001</v>
      </c>
      <c r="V24" s="550">
        <f>U24</f>
        <v>200.001</v>
      </c>
      <c r="W24" s="552">
        <f t="shared" ref="W24:Z25" si="6">V24</f>
        <v>200.001</v>
      </c>
      <c r="X24" s="552">
        <f t="shared" si="6"/>
        <v>200.001</v>
      </c>
      <c r="Y24" s="552">
        <f t="shared" si="6"/>
        <v>200.001</v>
      </c>
      <c r="Z24" s="552">
        <f t="shared" si="6"/>
        <v>200.001</v>
      </c>
      <c r="AA24" s="550">
        <f>Z24</f>
        <v>200.001</v>
      </c>
      <c r="AB24" s="552">
        <f t="shared" ref="AB24:AE25" si="7">AA24</f>
        <v>200.001</v>
      </c>
      <c r="AC24" s="552">
        <f t="shared" si="7"/>
        <v>200.001</v>
      </c>
      <c r="AD24" s="552">
        <f t="shared" si="7"/>
        <v>200.001</v>
      </c>
      <c r="AE24" s="552">
        <f t="shared" si="7"/>
        <v>200.001</v>
      </c>
      <c r="AF24" s="550">
        <f>AE24</f>
        <v>200.001</v>
      </c>
      <c r="AG24" s="552">
        <f t="shared" ref="AG24:AJ25" si="8">AF24</f>
        <v>200.001</v>
      </c>
      <c r="AH24" s="552">
        <f t="shared" si="8"/>
        <v>200.001</v>
      </c>
      <c r="AI24" s="552">
        <f t="shared" si="8"/>
        <v>200.001</v>
      </c>
      <c r="AJ24" s="552">
        <f t="shared" si="8"/>
        <v>200.001</v>
      </c>
      <c r="AK24" s="550">
        <f>AJ24</f>
        <v>200.001</v>
      </c>
    </row>
    <row r="25" spans="1:37" s="624" customFormat="1" ht="12.75" customHeight="1">
      <c r="A25" s="623"/>
      <c r="B25" s="387" t="s">
        <v>237</v>
      </c>
      <c r="C25" s="585"/>
      <c r="D25" s="585"/>
      <c r="E25" s="585"/>
      <c r="F25" s="585"/>
      <c r="G25" s="550"/>
      <c r="H25" s="585"/>
      <c r="I25" s="585"/>
      <c r="J25" s="585"/>
      <c r="K25" s="585">
        <v>19.544</v>
      </c>
      <c r="L25" s="550">
        <f t="shared" si="2"/>
        <v>19.544</v>
      </c>
      <c r="M25" s="620">
        <v>19.544</v>
      </c>
      <c r="N25" s="620">
        <v>19.544</v>
      </c>
      <c r="O25" s="622">
        <v>19.543500000000002</v>
      </c>
      <c r="P25" s="622">
        <v>19.544</v>
      </c>
      <c r="Q25" s="550">
        <f t="shared" si="3"/>
        <v>19.544</v>
      </c>
      <c r="R25" s="622">
        <v>19.544</v>
      </c>
      <c r="S25" s="622">
        <v>812.97</v>
      </c>
      <c r="T25" s="622">
        <v>829.97900000000004</v>
      </c>
      <c r="U25" s="602">
        <f>T25</f>
        <v>829.97900000000004</v>
      </c>
      <c r="V25" s="550">
        <f>U25</f>
        <v>829.97900000000004</v>
      </c>
      <c r="W25" s="602">
        <f t="shared" si="6"/>
        <v>829.97900000000004</v>
      </c>
      <c r="X25" s="602">
        <f t="shared" si="6"/>
        <v>829.97900000000004</v>
      </c>
      <c r="Y25" s="602">
        <f t="shared" si="6"/>
        <v>829.97900000000004</v>
      </c>
      <c r="Z25" s="602">
        <f t="shared" si="6"/>
        <v>829.97900000000004</v>
      </c>
      <c r="AA25" s="550">
        <f>Z25</f>
        <v>829.97900000000004</v>
      </c>
      <c r="AB25" s="602">
        <f t="shared" si="7"/>
        <v>829.97900000000004</v>
      </c>
      <c r="AC25" s="602">
        <f t="shared" si="7"/>
        <v>829.97900000000004</v>
      </c>
      <c r="AD25" s="602">
        <f t="shared" si="7"/>
        <v>829.97900000000004</v>
      </c>
      <c r="AE25" s="602">
        <f t="shared" si="7"/>
        <v>829.97900000000004</v>
      </c>
      <c r="AF25" s="550">
        <f>AE25</f>
        <v>829.97900000000004</v>
      </c>
      <c r="AG25" s="602">
        <f t="shared" si="8"/>
        <v>829.97900000000004</v>
      </c>
      <c r="AH25" s="602">
        <f t="shared" si="8"/>
        <v>829.97900000000004</v>
      </c>
      <c r="AI25" s="602">
        <f t="shared" si="8"/>
        <v>829.97900000000004</v>
      </c>
      <c r="AJ25" s="602">
        <f t="shared" si="8"/>
        <v>829.97900000000004</v>
      </c>
      <c r="AK25" s="550">
        <f>AJ25</f>
        <v>829.97900000000004</v>
      </c>
    </row>
    <row r="26" spans="1:37" s="605" customFormat="1" ht="12.75" customHeight="1">
      <c r="A26" s="1281"/>
      <c r="B26" s="387" t="s">
        <v>238</v>
      </c>
      <c r="C26" s="542"/>
      <c r="D26" s="542"/>
      <c r="E26" s="542"/>
      <c r="F26" s="542"/>
      <c r="G26" s="550"/>
      <c r="H26" s="542"/>
      <c r="I26" s="542"/>
      <c r="J26" s="542"/>
      <c r="K26" s="542">
        <v>110.758</v>
      </c>
      <c r="L26" s="550">
        <f t="shared" si="2"/>
        <v>110.758</v>
      </c>
      <c r="M26" s="620">
        <v>165.44200000000001</v>
      </c>
      <c r="N26" s="620">
        <v>559.53099999999995</v>
      </c>
      <c r="O26" s="620">
        <v>548.17150000000004</v>
      </c>
      <c r="P26" s="620">
        <v>720.91200000000003</v>
      </c>
      <c r="Q26" s="550">
        <f t="shared" si="3"/>
        <v>720.91200000000003</v>
      </c>
      <c r="R26" s="620">
        <v>842.47500000000002</v>
      </c>
      <c r="S26" s="620">
        <v>924.27700000000004</v>
      </c>
      <c r="T26" s="620">
        <v>1335.482</v>
      </c>
      <c r="U26" s="552">
        <f>T26-CF!U31-CF!U17</f>
        <v>1327.2760000000001</v>
      </c>
      <c r="V26" s="550">
        <f>U26</f>
        <v>1327.2760000000001</v>
      </c>
      <c r="W26" s="740">
        <f>V26-CF!W31-CF!W17</f>
        <v>1310.422</v>
      </c>
      <c r="X26" s="552">
        <f>W26-CF!X31-CF!X17</f>
        <v>1293.222</v>
      </c>
      <c r="Y26" s="552">
        <f>X26-CF!Y31-CF!Y17</f>
        <v>1275.8330000000001</v>
      </c>
      <c r="Z26" s="552">
        <f>Y26-CF!Z31-CF!Z17</f>
        <v>1258.4440000000002</v>
      </c>
      <c r="AA26" s="550">
        <f>Z26</f>
        <v>1258.4440000000002</v>
      </c>
      <c r="AB26" s="740">
        <f>AA26-CF!AB31-CF!AB17</f>
        <v>1241.1962500000002</v>
      </c>
      <c r="AC26" s="552">
        <f>AB26-CF!AC31-CF!AC17</f>
        <v>1223.9485000000002</v>
      </c>
      <c r="AD26" s="552">
        <f>AC26-CF!AD31-CF!AD17</f>
        <v>1206.7007500000002</v>
      </c>
      <c r="AE26" s="552">
        <f>AD26-CF!AE31-CF!AE17</f>
        <v>1189.4530000000002</v>
      </c>
      <c r="AF26" s="550">
        <f>AE26</f>
        <v>1189.4530000000002</v>
      </c>
      <c r="AG26" s="740">
        <f>AF26-CF!AG31-CF!AG17</f>
        <v>1172.2052500000002</v>
      </c>
      <c r="AH26" s="552">
        <f>AG26-CF!AH31-CF!AH17</f>
        <v>1154.9575000000002</v>
      </c>
      <c r="AI26" s="552">
        <f>AH26-CF!AI31-CF!AI17</f>
        <v>1137.7097500000002</v>
      </c>
      <c r="AJ26" s="552">
        <f>AI26-CF!AJ31-CF!AJ17</f>
        <v>1120.4620000000002</v>
      </c>
      <c r="AK26" s="550">
        <f>AJ26</f>
        <v>1120.4620000000002</v>
      </c>
    </row>
    <row r="27" spans="1:37" s="605" customFormat="1" ht="12.75" customHeight="1">
      <c r="A27" s="606"/>
      <c r="B27" s="389" t="s">
        <v>63</v>
      </c>
      <c r="C27" s="588"/>
      <c r="D27" s="588"/>
      <c r="E27" s="588"/>
      <c r="F27" s="588"/>
      <c r="G27" s="469"/>
      <c r="H27" s="588"/>
      <c r="I27" s="588"/>
      <c r="J27" s="588"/>
      <c r="K27" s="588">
        <f t="shared" ref="K27:AF27" si="9">SUM(K16:K19,K22:K26)</f>
        <v>4976.9749999999995</v>
      </c>
      <c r="L27" s="469">
        <f t="shared" si="9"/>
        <v>4976.9749999999995</v>
      </c>
      <c r="M27" s="741">
        <f t="shared" si="9"/>
        <v>8202.7919999999995</v>
      </c>
      <c r="N27" s="741">
        <f t="shared" si="9"/>
        <v>10779.398000000001</v>
      </c>
      <c r="O27" s="741">
        <f t="shared" si="9"/>
        <v>14136.372000000001</v>
      </c>
      <c r="P27" s="741">
        <f t="shared" si="9"/>
        <v>17832.599000000002</v>
      </c>
      <c r="Q27" s="469">
        <f t="shared" si="9"/>
        <v>17832.599000000002</v>
      </c>
      <c r="R27" s="741">
        <f t="shared" si="9"/>
        <v>21860.383000000002</v>
      </c>
      <c r="S27" s="741">
        <f t="shared" si="9"/>
        <v>26241.362999999998</v>
      </c>
      <c r="T27" s="741">
        <f t="shared" si="9"/>
        <v>32910.498</v>
      </c>
      <c r="U27" s="588">
        <f t="shared" si="9"/>
        <v>39755.443968393854</v>
      </c>
      <c r="V27" s="469">
        <f t="shared" si="9"/>
        <v>39755.443968393854</v>
      </c>
      <c r="W27" s="588">
        <f>SUM(W16:W19,W22:W26)</f>
        <v>49422.767643624509</v>
      </c>
      <c r="X27" s="588">
        <f>SUM(X16:X19,X22:X26)</f>
        <v>57658.586319505215</v>
      </c>
      <c r="Y27" s="588">
        <f>SUM(Y16:Y19,Y22:Y26)</f>
        <v>61577.898985560132</v>
      </c>
      <c r="Z27" s="588">
        <f>SUM(Z16:Z19,Z22:Z26)</f>
        <v>62544.493589060003</v>
      </c>
      <c r="AA27" s="469">
        <f t="shared" si="9"/>
        <v>62544.493589060003</v>
      </c>
      <c r="AB27" s="588">
        <f>SUM(AB16:AB19,AB22:AB26)</f>
        <v>64406.590465450085</v>
      </c>
      <c r="AC27" s="588">
        <f>SUM(AC16:AC19,AC22:AC26)</f>
        <v>72620.745587982645</v>
      </c>
      <c r="AD27" s="588">
        <f>SUM(AD16:AD19,AD22:AD26)</f>
        <v>77948.415839480163</v>
      </c>
      <c r="AE27" s="588">
        <f>SUM(AE16:AE19,AE22:AE26)</f>
        <v>79605.609665958109</v>
      </c>
      <c r="AF27" s="469">
        <f t="shared" si="9"/>
        <v>79605.609665958109</v>
      </c>
      <c r="AG27" s="588">
        <f>SUM(AG16:AG19,AG22:AG26)</f>
        <v>82727.556680731053</v>
      </c>
      <c r="AH27" s="588">
        <f>SUM(AH16:AH19,AH22:AH26)</f>
        <v>89533.711637407992</v>
      </c>
      <c r="AI27" s="588">
        <f>SUM(AI16:AI19,AI22:AI26)</f>
        <v>94315.463097817934</v>
      </c>
      <c r="AJ27" s="588">
        <f>SUM(AJ16:AJ19,AJ22:AJ26)</f>
        <v>94925.917303487149</v>
      </c>
      <c r="AK27" s="469">
        <f>SUM(AK16:AK19,AK22:AK26)</f>
        <v>94925.917303487149</v>
      </c>
    </row>
    <row r="28" spans="1:37" s="605" customFormat="1" ht="12.75" customHeight="1">
      <c r="A28" s="603"/>
      <c r="B28" s="378"/>
      <c r="C28" s="596"/>
      <c r="D28" s="597"/>
      <c r="E28" s="597"/>
      <c r="F28" s="597"/>
      <c r="G28" s="625"/>
      <c r="H28" s="596"/>
      <c r="I28" s="597"/>
      <c r="J28" s="597"/>
      <c r="K28" s="597"/>
      <c r="L28" s="625"/>
      <c r="M28" s="849"/>
      <c r="N28" s="598"/>
      <c r="O28" s="598"/>
      <c r="P28" s="598"/>
      <c r="Q28" s="625"/>
      <c r="R28" s="849"/>
      <c r="S28" s="598"/>
      <c r="T28" s="597"/>
      <c r="U28" s="597"/>
      <c r="V28" s="625"/>
      <c r="W28" s="596"/>
      <c r="X28" s="597"/>
      <c r="Y28" s="597"/>
      <c r="Z28" s="597"/>
      <c r="AA28" s="625"/>
      <c r="AB28" s="596"/>
      <c r="AC28" s="597"/>
      <c r="AD28" s="597"/>
      <c r="AE28" s="597"/>
      <c r="AF28" s="625"/>
      <c r="AG28" s="596"/>
      <c r="AH28" s="597"/>
      <c r="AI28" s="597"/>
      <c r="AJ28" s="597"/>
      <c r="AK28" s="625"/>
    </row>
    <row r="29" spans="1:37" s="605" customFormat="1" ht="12.75" customHeight="1">
      <c r="A29" s="603"/>
      <c r="B29" s="386" t="s">
        <v>64</v>
      </c>
      <c r="C29" s="599"/>
      <c r="D29" s="599"/>
      <c r="E29" s="599"/>
      <c r="F29" s="599"/>
      <c r="G29" s="625"/>
      <c r="H29" s="599"/>
      <c r="I29" s="599"/>
      <c r="J29" s="599"/>
      <c r="K29" s="599"/>
      <c r="L29" s="625"/>
      <c r="M29" s="626"/>
      <c r="N29" s="626"/>
      <c r="O29" s="626"/>
      <c r="P29" s="626"/>
      <c r="Q29" s="625"/>
      <c r="R29" s="626"/>
      <c r="S29" s="626"/>
      <c r="T29" s="599"/>
      <c r="U29" s="599"/>
      <c r="V29" s="625"/>
      <c r="W29" s="599"/>
      <c r="X29" s="599"/>
      <c r="Y29" s="585"/>
      <c r="Z29" s="585"/>
      <c r="AA29" s="1170"/>
      <c r="AB29" s="585"/>
      <c r="AC29" s="585"/>
      <c r="AD29" s="585"/>
      <c r="AE29" s="585"/>
      <c r="AF29" s="1170"/>
      <c r="AG29" s="585"/>
      <c r="AH29" s="585"/>
      <c r="AI29" s="585"/>
      <c r="AJ29" s="585"/>
      <c r="AK29" s="1170"/>
    </row>
    <row r="30" spans="1:37" s="605" customFormat="1" ht="12.75" customHeight="1">
      <c r="A30" s="603"/>
      <c r="B30" s="387" t="s">
        <v>65</v>
      </c>
      <c r="C30" s="585"/>
      <c r="D30" s="585"/>
      <c r="E30" s="585"/>
      <c r="F30" s="585"/>
      <c r="G30" s="550"/>
      <c r="H30" s="585"/>
      <c r="I30" s="585"/>
      <c r="J30" s="585"/>
      <c r="K30" s="585">
        <v>455.56299999999999</v>
      </c>
      <c r="L30" s="550">
        <f t="shared" ref="L30:L37" si="10">K30</f>
        <v>455.56299999999999</v>
      </c>
      <c r="M30" s="622">
        <v>724.97019999999998</v>
      </c>
      <c r="N30" s="622">
        <v>568.35599999999999</v>
      </c>
      <c r="O30" s="622">
        <v>1009.375</v>
      </c>
      <c r="P30" s="622">
        <v>868.25900000000001</v>
      </c>
      <c r="Q30" s="550">
        <f t="shared" ref="Q30:Q37" si="11">P30</f>
        <v>868.25900000000001</v>
      </c>
      <c r="R30" s="622">
        <v>1242.0999999999999</v>
      </c>
      <c r="S30" s="622">
        <v>1226.579</v>
      </c>
      <c r="T30" s="622">
        <v>1156.9780000000001</v>
      </c>
      <c r="U30" s="727">
        <f>(U64+U89-U90+(-U91+U92)/3)*U86/U88</f>
        <v>2507.1572383959219</v>
      </c>
      <c r="V30" s="550">
        <f>U30</f>
        <v>2507.1572383959219</v>
      </c>
      <c r="W30" s="727">
        <f>(W64+W89-W90+(-W91+W92)/3)*W86/W88</f>
        <v>3139.8357480433297</v>
      </c>
      <c r="X30" s="602">
        <f>(X64+X89-X90+(-X91+X92)/3)*X86/X88</f>
        <v>1995.5678395005361</v>
      </c>
      <c r="Y30" s="602">
        <f>(Y64+Y89-Y90+(-Y91+Y92)/3)*Y86/Y88</f>
        <v>1454.9841518680932</v>
      </c>
      <c r="Z30" s="602">
        <f>(Z64+Z89-Z90+(-Z91+Z92)/3)*Z86/Z88</f>
        <v>1454.9419731739722</v>
      </c>
      <c r="AA30" s="550">
        <f>Z30</f>
        <v>1454.9419731739722</v>
      </c>
      <c r="AB30" s="602">
        <f>(AB64+AB89-AB90+(-AB91+AB92)/3)*AB86/AB88</f>
        <v>1007.4627591993202</v>
      </c>
      <c r="AC30" s="602">
        <f>(AC64+AC89-AC90+(-AC91+AC92)/3)*AC86/AC88</f>
        <v>1522.7728967501018</v>
      </c>
      <c r="AD30" s="602">
        <f>(AD64+AD89-AD90+(-AD91+AD92)/3)*AD86/AD88</f>
        <v>1285.0023850865139</v>
      </c>
      <c r="AE30" s="602">
        <f>(AE64+AE89-AE90+(-AE91+AE92)/3)*AE86/AE88</f>
        <v>1352.5848585063145</v>
      </c>
      <c r="AF30" s="550">
        <f>AE30</f>
        <v>1352.5848585063145</v>
      </c>
      <c r="AG30" s="602">
        <f>(AG64+AG89-AG90+(-AG91+AG92)/3)*AG86/AG88</f>
        <v>1298.5976366394293</v>
      </c>
      <c r="AH30" s="602">
        <f>(AH64+AH89-AH90+(-AH91+AH92)/3)*AH86/AH88</f>
        <v>1456.4817166441267</v>
      </c>
      <c r="AI30" s="602">
        <f>(AI64+AI89-AI90+(-AI91+AI92)/3)*AI86/AI88</f>
        <v>1476.0253766618343</v>
      </c>
      <c r="AJ30" s="602">
        <f>(AJ64+AJ89-AJ90+(-AJ91+AJ92)/3)*AJ86/AJ88</f>
        <v>1470.7249548376508</v>
      </c>
      <c r="AK30" s="550">
        <f>AJ30</f>
        <v>1470.7249548376508</v>
      </c>
    </row>
    <row r="31" spans="1:37" s="605" customFormat="1" ht="12.75" customHeight="1">
      <c r="A31" s="603"/>
      <c r="B31" s="387" t="s">
        <v>239</v>
      </c>
      <c r="C31" s="585"/>
      <c r="D31" s="585"/>
      <c r="E31" s="585"/>
      <c r="F31" s="585"/>
      <c r="G31" s="550"/>
      <c r="H31" s="585"/>
      <c r="I31" s="585"/>
      <c r="J31" s="585"/>
      <c r="K31" s="585">
        <v>77.781999999999996</v>
      </c>
      <c r="L31" s="550">
        <f t="shared" si="10"/>
        <v>77.781999999999996</v>
      </c>
      <c r="M31" s="622">
        <v>134.29519999999999</v>
      </c>
      <c r="N31" s="622">
        <v>311.11700000000002</v>
      </c>
      <c r="O31" s="622">
        <v>423.91800000000001</v>
      </c>
      <c r="P31" s="622">
        <v>355.82100000000003</v>
      </c>
      <c r="Q31" s="550">
        <f t="shared" si="11"/>
        <v>355.82100000000003</v>
      </c>
      <c r="R31" s="620">
        <v>1377.0129999999999</v>
      </c>
      <c r="S31" s="620">
        <v>1411.2370000000001</v>
      </c>
      <c r="T31" s="620">
        <v>3172.2739999999999</v>
      </c>
      <c r="U31" s="740">
        <f>T31</f>
        <v>3172.2739999999999</v>
      </c>
      <c r="V31" s="550">
        <f>U31</f>
        <v>3172.2739999999999</v>
      </c>
      <c r="W31" s="552">
        <f>V31</f>
        <v>3172.2739999999999</v>
      </c>
      <c r="X31" s="552">
        <f>W31</f>
        <v>3172.2739999999999</v>
      </c>
      <c r="Y31" s="552">
        <f>X31</f>
        <v>3172.2739999999999</v>
      </c>
      <c r="Z31" s="552">
        <f>Y31</f>
        <v>3172.2739999999999</v>
      </c>
      <c r="AA31" s="550">
        <f>Z31</f>
        <v>3172.2739999999999</v>
      </c>
      <c r="AB31" s="552">
        <f>AA31</f>
        <v>3172.2739999999999</v>
      </c>
      <c r="AC31" s="552">
        <f>AB31</f>
        <v>3172.2739999999999</v>
      </c>
      <c r="AD31" s="552">
        <f>AC31</f>
        <v>3172.2739999999999</v>
      </c>
      <c r="AE31" s="552">
        <f>AD31</f>
        <v>3172.2739999999999</v>
      </c>
      <c r="AF31" s="550">
        <f>AE31</f>
        <v>3172.2739999999999</v>
      </c>
      <c r="AG31" s="552">
        <f>AF31</f>
        <v>3172.2739999999999</v>
      </c>
      <c r="AH31" s="552">
        <f>AG31</f>
        <v>3172.2739999999999</v>
      </c>
      <c r="AI31" s="552">
        <f>AH31</f>
        <v>3172.2739999999999</v>
      </c>
      <c r="AJ31" s="552">
        <f>AI31</f>
        <v>3172.2739999999999</v>
      </c>
      <c r="AK31" s="550">
        <f>AJ31</f>
        <v>3172.2739999999999</v>
      </c>
    </row>
    <row r="32" spans="1:37" s="605" customFormat="1" ht="12.75" customHeight="1">
      <c r="A32" s="603"/>
      <c r="B32" s="387" t="s">
        <v>253</v>
      </c>
      <c r="C32" s="585"/>
      <c r="D32" s="585"/>
      <c r="E32" s="585"/>
      <c r="F32" s="585"/>
      <c r="G32" s="550"/>
      <c r="H32" s="585"/>
      <c r="I32" s="585"/>
      <c r="J32" s="585"/>
      <c r="K32" s="585">
        <v>171.86500000000001</v>
      </c>
      <c r="L32" s="550">
        <f t="shared" si="10"/>
        <v>171.86500000000001</v>
      </c>
      <c r="M32" s="622">
        <v>32.730200000000004</v>
      </c>
      <c r="N32" s="622">
        <v>290.81099999999998</v>
      </c>
      <c r="O32" s="622">
        <v>1005.352</v>
      </c>
      <c r="P32" s="622">
        <v>2468.4250000000002</v>
      </c>
      <c r="Q32" s="550">
        <f t="shared" si="11"/>
        <v>2468.4250000000002</v>
      </c>
      <c r="R32" s="620">
        <v>3776.5949999999998</v>
      </c>
      <c r="S32" s="620">
        <v>3627.6640000000002</v>
      </c>
      <c r="T32" s="620">
        <v>3712.1770000000001</v>
      </c>
      <c r="U32" s="621">
        <f>'Debt Model'!U30</f>
        <v>3229.8766538771602</v>
      </c>
      <c r="V32" s="555">
        <f>'Debt Model'!V30</f>
        <v>3229.8766538771602</v>
      </c>
      <c r="W32" s="562">
        <f>'Debt Model'!W30</f>
        <v>3386.1798750282155</v>
      </c>
      <c r="X32" s="562">
        <f>'Debt Model'!X30</f>
        <v>3483.7465995792713</v>
      </c>
      <c r="Y32" s="562">
        <f>'Debt Model'!Y30</f>
        <v>3495.098900507327</v>
      </c>
      <c r="Z32" s="562">
        <f>'Debt Model'!Z30</f>
        <v>3485.6730446042225</v>
      </c>
      <c r="AA32" s="555">
        <f>'Debt Model'!AA30</f>
        <v>3485.6730446042225</v>
      </c>
      <c r="AB32" s="562">
        <f>'Debt Model'!AB30</f>
        <v>3586.0998037398426</v>
      </c>
      <c r="AC32" s="562">
        <f>'Debt Model'!AC30</f>
        <v>3491.0265628754623</v>
      </c>
      <c r="AD32" s="562">
        <f>'Debt Model'!AD30</f>
        <v>3395.9533220110825</v>
      </c>
      <c r="AE32" s="562">
        <f>'Debt Model'!AE30</f>
        <v>3300.8800811467027</v>
      </c>
      <c r="AF32" s="555">
        <f>'Debt Model'!AF30</f>
        <v>3300.8800811467027</v>
      </c>
      <c r="AG32" s="562" t="e">
        <f>'Debt Model'!AG30</f>
        <v>#REF!</v>
      </c>
      <c r="AH32" s="562" t="e">
        <f>'Debt Model'!AH30</f>
        <v>#REF!</v>
      </c>
      <c r="AI32" s="562" t="e">
        <f>'Debt Model'!AI30</f>
        <v>#REF!</v>
      </c>
      <c r="AJ32" s="562" t="e">
        <f>'Debt Model'!AJ30</f>
        <v>#REF!</v>
      </c>
      <c r="AK32" s="555" t="e">
        <f>'Debt Model'!AK30</f>
        <v>#REF!</v>
      </c>
    </row>
    <row r="33" spans="1:37" s="605" customFormat="1" ht="12.75" customHeight="1">
      <c r="A33" s="603"/>
      <c r="B33" s="387" t="s">
        <v>189</v>
      </c>
      <c r="C33" s="585"/>
      <c r="D33" s="585"/>
      <c r="E33" s="585"/>
      <c r="F33" s="585"/>
      <c r="G33" s="550"/>
      <c r="H33" s="585"/>
      <c r="I33" s="585"/>
      <c r="J33" s="585"/>
      <c r="K33" s="585">
        <v>249.83099999999999</v>
      </c>
      <c r="L33" s="550">
        <f t="shared" si="10"/>
        <v>249.83099999999999</v>
      </c>
      <c r="M33" s="622">
        <v>195.28120000000001</v>
      </c>
      <c r="N33" s="622">
        <v>143.95599999999999</v>
      </c>
      <c r="O33" s="622">
        <v>1079.1110000000001</v>
      </c>
      <c r="P33" s="622">
        <v>768.92700000000002</v>
      </c>
      <c r="Q33" s="550">
        <f t="shared" si="11"/>
        <v>768.92700000000002</v>
      </c>
      <c r="R33" s="622">
        <v>436.53</v>
      </c>
      <c r="S33" s="622">
        <v>951.346</v>
      </c>
      <c r="T33" s="622">
        <v>1107.58</v>
      </c>
      <c r="U33" s="890">
        <f>'Def. Revenue &amp; Billings'!U15</f>
        <v>1020.7143253642471</v>
      </c>
      <c r="V33" s="555">
        <f>'Def. Revenue &amp; Billings'!V15</f>
        <v>1020.7143253642471</v>
      </c>
      <c r="W33" s="627">
        <f>'Def. Revenue &amp; Billings'!W15</f>
        <v>1117.5512198763374</v>
      </c>
      <c r="X33" s="627">
        <f>'Def. Revenue &amp; Billings'!X15</f>
        <v>1353.3720519346296</v>
      </c>
      <c r="Y33" s="627">
        <f>'Def. Revenue &amp; Billings'!Y15</f>
        <v>1511.8467000000001</v>
      </c>
      <c r="Z33" s="627">
        <f>'Def. Revenue &amp; Billings'!Z15</f>
        <v>1429.8360843370647</v>
      </c>
      <c r="AA33" s="555">
        <f>'Def. Revenue &amp; Billings'!AA15</f>
        <v>1429.8360843370647</v>
      </c>
      <c r="AB33" s="562">
        <f>'Def. Revenue &amp; Billings'!AB15</f>
        <v>1430.4655614417118</v>
      </c>
      <c r="AC33" s="562">
        <f>'Def. Revenue &amp; Billings'!AC15</f>
        <v>1732.3162264763259</v>
      </c>
      <c r="AD33" s="562">
        <f>'Def. Revenue &amp; Billings'!AD15</f>
        <v>1935.1637760000001</v>
      </c>
      <c r="AE33" s="562">
        <f>'Def. Revenue &amp; Billings'!AE15</f>
        <v>1830.190187951443</v>
      </c>
      <c r="AF33" s="555">
        <f>'Def. Revenue &amp; Billings'!AF15</f>
        <v>1830.190187951443</v>
      </c>
      <c r="AG33" s="562">
        <f>'Def. Revenue &amp; Billings'!AG15</f>
        <v>1830.9959186453914</v>
      </c>
      <c r="AH33" s="562">
        <f>'Def. Revenue &amp; Billings'!AH15</f>
        <v>2217.3647698896975</v>
      </c>
      <c r="AI33" s="562">
        <f>'Def. Revenue &amp; Billings'!AI15</f>
        <v>2477.0096332800003</v>
      </c>
      <c r="AJ33" s="562">
        <f>'Def. Revenue &amp; Billings'!AJ15</f>
        <v>2342.6434405778468</v>
      </c>
      <c r="AK33" s="555">
        <f>'Def. Revenue &amp; Billings'!AK15</f>
        <v>2342.6434405778468</v>
      </c>
    </row>
    <row r="34" spans="1:37" s="605" customFormat="1" ht="12.75" customHeight="1">
      <c r="A34" s="603"/>
      <c r="B34" s="387" t="s">
        <v>190</v>
      </c>
      <c r="C34" s="585"/>
      <c r="D34" s="585"/>
      <c r="E34" s="585"/>
      <c r="F34" s="585"/>
      <c r="G34" s="550"/>
      <c r="H34" s="585"/>
      <c r="I34" s="585"/>
      <c r="J34" s="585"/>
      <c r="K34" s="585">
        <v>39.789000000000001</v>
      </c>
      <c r="L34" s="550">
        <f t="shared" si="10"/>
        <v>39.789000000000001</v>
      </c>
      <c r="M34" s="622">
        <v>64.952200000000005</v>
      </c>
      <c r="N34" s="622">
        <v>101.36799999999999</v>
      </c>
      <c r="O34" s="622">
        <v>151.42099999999999</v>
      </c>
      <c r="P34" s="622">
        <v>213.10400000000001</v>
      </c>
      <c r="Q34" s="550">
        <f t="shared" si="11"/>
        <v>213.10400000000001</v>
      </c>
      <c r="R34" s="622">
        <v>239.54900000000001</v>
      </c>
      <c r="S34" s="622">
        <v>279.08</v>
      </c>
      <c r="T34" s="622">
        <v>345.47199999999998</v>
      </c>
      <c r="U34" s="727">
        <f>U65*U96*U98</f>
        <v>390.58485934343929</v>
      </c>
      <c r="V34" s="550">
        <f>U34</f>
        <v>390.58485934343929</v>
      </c>
      <c r="W34" s="602">
        <f>W65*W96*W98</f>
        <v>505.51045777910599</v>
      </c>
      <c r="X34" s="602">
        <f>X65*X96*X98</f>
        <v>672.80855088834414</v>
      </c>
      <c r="Y34" s="602">
        <f>Y65*Y96*Y98</f>
        <v>746.68826241035345</v>
      </c>
      <c r="Z34" s="602">
        <f>Z65*Z96*Z98</f>
        <v>799.10937466313726</v>
      </c>
      <c r="AA34" s="550">
        <f>Z34</f>
        <v>799.10937466313726</v>
      </c>
      <c r="AB34" s="602">
        <f>AB65*AB96*AB98</f>
        <v>752.56536966826661</v>
      </c>
      <c r="AC34" s="602">
        <f>AC65*AC96*AC98</f>
        <v>820.15988757420621</v>
      </c>
      <c r="AD34" s="602">
        <f>AD65*AD96*AD98</f>
        <v>883.31402150734141</v>
      </c>
      <c r="AE34" s="602">
        <f>AE65*AE96*AE98</f>
        <v>942.08068572091884</v>
      </c>
      <c r="AF34" s="550">
        <f>AE34</f>
        <v>942.08068572091884</v>
      </c>
      <c r="AG34" s="602">
        <f>AG65*AG96*AG98</f>
        <v>943.21450893014639</v>
      </c>
      <c r="AH34" s="602">
        <f>AH65*AH96*AH98</f>
        <v>982.15831320568657</v>
      </c>
      <c r="AI34" s="602">
        <f>AI65*AI96*AI98</f>
        <v>1017.076394568688</v>
      </c>
      <c r="AJ34" s="602">
        <f>AJ65*AJ96*AJ98</f>
        <v>1048.0950670333123</v>
      </c>
      <c r="AK34" s="550">
        <f>AJ34</f>
        <v>1048.0950670333123</v>
      </c>
    </row>
    <row r="35" spans="1:37" s="605" customFormat="1" ht="12.75" customHeight="1">
      <c r="A35" s="603"/>
      <c r="B35" s="387" t="s">
        <v>240</v>
      </c>
      <c r="C35" s="585"/>
      <c r="D35" s="585"/>
      <c r="E35" s="585"/>
      <c r="F35" s="585"/>
      <c r="G35" s="550"/>
      <c r="H35" s="585"/>
      <c r="I35" s="585"/>
      <c r="J35" s="585"/>
      <c r="K35" s="585">
        <v>3.5339999999999998</v>
      </c>
      <c r="L35" s="550">
        <f t="shared" si="10"/>
        <v>3.5339999999999998</v>
      </c>
      <c r="M35" s="622">
        <v>40.119</v>
      </c>
      <c r="N35" s="622">
        <v>32.841999999999999</v>
      </c>
      <c r="O35" s="622">
        <v>16.446000000000002</v>
      </c>
      <c r="P35" s="622">
        <v>57.801000000000002</v>
      </c>
      <c r="Q35" s="550">
        <f t="shared" si="11"/>
        <v>57.801000000000002</v>
      </c>
      <c r="R35" s="622">
        <v>59.01</v>
      </c>
      <c r="S35" s="622">
        <v>60.396000000000001</v>
      </c>
      <c r="T35" s="622">
        <v>48.99</v>
      </c>
      <c r="U35" s="727">
        <f>U66*U102*U105</f>
        <v>36.711213646931427</v>
      </c>
      <c r="V35" s="550">
        <f>U35</f>
        <v>36.711213646931427</v>
      </c>
      <c r="W35" s="602">
        <f>W66*W102*W105</f>
        <v>18.739190839771062</v>
      </c>
      <c r="X35" s="602">
        <f>X66*X102*X105</f>
        <v>4.0350939047045635</v>
      </c>
      <c r="Y35" s="602">
        <f>Y66*Y102*Y105</f>
        <v>0</v>
      </c>
      <c r="Z35" s="602">
        <f>Z66*Z102*Z105</f>
        <v>0</v>
      </c>
      <c r="AA35" s="550">
        <f>Z35</f>
        <v>0</v>
      </c>
      <c r="AB35" s="602">
        <f>AB66*AB102*AB105</f>
        <v>0</v>
      </c>
      <c r="AC35" s="602">
        <f>AC66*AC102*AC105</f>
        <v>0</v>
      </c>
      <c r="AD35" s="602">
        <f>AD66*AD102*AD105</f>
        <v>0</v>
      </c>
      <c r="AE35" s="602">
        <f>AE66*AE102*AE105</f>
        <v>0</v>
      </c>
      <c r="AF35" s="550">
        <f>AE35</f>
        <v>0</v>
      </c>
      <c r="AG35" s="602">
        <f>AG66*AG102*AG105</f>
        <v>0</v>
      </c>
      <c r="AH35" s="602">
        <f>AH66*AH102*AH105</f>
        <v>0</v>
      </c>
      <c r="AI35" s="602">
        <f>AI66*AI102*AI105</f>
        <v>0</v>
      </c>
      <c r="AJ35" s="602">
        <f>AJ66*AJ102*AJ105</f>
        <v>0</v>
      </c>
      <c r="AK35" s="550">
        <f>AJ35</f>
        <v>0</v>
      </c>
    </row>
    <row r="36" spans="1:37" s="605" customFormat="1" ht="12.75" customHeight="1">
      <c r="A36" s="603"/>
      <c r="B36" s="387" t="s">
        <v>241</v>
      </c>
      <c r="C36" s="585"/>
      <c r="D36" s="585"/>
      <c r="E36" s="585"/>
      <c r="F36" s="585"/>
      <c r="G36" s="550"/>
      <c r="H36" s="585"/>
      <c r="I36" s="585"/>
      <c r="J36" s="585"/>
      <c r="K36" s="585">
        <v>9.7000000000000003E-2</v>
      </c>
      <c r="L36" s="550">
        <f t="shared" si="10"/>
        <v>9.7000000000000003E-2</v>
      </c>
      <c r="M36" s="622">
        <v>2.3570000000000002</v>
      </c>
      <c r="N36" s="622">
        <v>2.3570000000000002</v>
      </c>
      <c r="O36" s="622">
        <v>282.601</v>
      </c>
      <c r="P36" s="622">
        <v>230.244</v>
      </c>
      <c r="Q36" s="550">
        <f t="shared" si="11"/>
        <v>230.244</v>
      </c>
      <c r="R36" s="622">
        <v>0</v>
      </c>
      <c r="S36" s="622">
        <v>5.2999999999999999E-2</v>
      </c>
      <c r="T36" s="622">
        <v>171.40100000000001</v>
      </c>
      <c r="U36" s="727">
        <f>T36</f>
        <v>171.40100000000001</v>
      </c>
      <c r="V36" s="550">
        <f>U36</f>
        <v>171.40100000000001</v>
      </c>
      <c r="W36" s="602">
        <f>V36</f>
        <v>171.40100000000001</v>
      </c>
      <c r="X36" s="602">
        <f>W36</f>
        <v>171.40100000000001</v>
      </c>
      <c r="Y36" s="602">
        <f>X36</f>
        <v>171.40100000000001</v>
      </c>
      <c r="Z36" s="602">
        <f>Y36</f>
        <v>171.40100000000001</v>
      </c>
      <c r="AA36" s="550">
        <f>Z36</f>
        <v>171.40100000000001</v>
      </c>
      <c r="AB36" s="602">
        <f>AA36</f>
        <v>171.40100000000001</v>
      </c>
      <c r="AC36" s="602">
        <f>AB36</f>
        <v>171.40100000000001</v>
      </c>
      <c r="AD36" s="602">
        <f>AC36</f>
        <v>171.40100000000001</v>
      </c>
      <c r="AE36" s="602">
        <f>AD36</f>
        <v>171.40100000000001</v>
      </c>
      <c r="AF36" s="550">
        <f>AE36</f>
        <v>171.40100000000001</v>
      </c>
      <c r="AG36" s="602">
        <f>AF36</f>
        <v>171.40100000000001</v>
      </c>
      <c r="AH36" s="602">
        <f>AG36</f>
        <v>171.40100000000001</v>
      </c>
      <c r="AI36" s="602">
        <f>AH36</f>
        <v>171.40100000000001</v>
      </c>
      <c r="AJ36" s="602">
        <f>AI36</f>
        <v>171.40100000000001</v>
      </c>
      <c r="AK36" s="550">
        <f>AJ36</f>
        <v>171.40100000000001</v>
      </c>
    </row>
    <row r="37" spans="1:37" s="605" customFormat="1" ht="12.75" customHeight="1">
      <c r="A37" s="606"/>
      <c r="B37" s="389" t="s">
        <v>66</v>
      </c>
      <c r="C37" s="588"/>
      <c r="D37" s="588"/>
      <c r="E37" s="588"/>
      <c r="F37" s="588"/>
      <c r="G37" s="469"/>
      <c r="H37" s="588"/>
      <c r="I37" s="588"/>
      <c r="J37" s="588"/>
      <c r="K37" s="588">
        <f>SUM(K30:K36)</f>
        <v>998.46100000000001</v>
      </c>
      <c r="L37" s="469">
        <f t="shared" si="10"/>
        <v>998.46100000000001</v>
      </c>
      <c r="M37" s="741">
        <f>SUM(M30:M36)</f>
        <v>1194.7049999999999</v>
      </c>
      <c r="N37" s="741">
        <f>SUM(N30:N36)</f>
        <v>1450.8069999999998</v>
      </c>
      <c r="O37" s="741">
        <f>SUM(O30:O36)</f>
        <v>3968.2240000000002</v>
      </c>
      <c r="P37" s="741">
        <f>SUM(P30:P36)</f>
        <v>4962.5810000000001</v>
      </c>
      <c r="Q37" s="469">
        <f t="shared" si="11"/>
        <v>4962.5810000000001</v>
      </c>
      <c r="R37" s="741">
        <f>SUM(R30:R36)</f>
        <v>7130.7969999999996</v>
      </c>
      <c r="S37" s="741">
        <f>SUM(S30:S36)</f>
        <v>7556.3549999999987</v>
      </c>
      <c r="T37" s="741">
        <f>SUM(T30:T36)</f>
        <v>9714.8719999999994</v>
      </c>
      <c r="U37" s="741">
        <f>SUM(U30:U36)</f>
        <v>10528.719290627698</v>
      </c>
      <c r="V37" s="469">
        <f>U37</f>
        <v>10528.719290627698</v>
      </c>
      <c r="W37" s="588">
        <f>SUM(W30:W36)</f>
        <v>11511.49149156676</v>
      </c>
      <c r="X37" s="588">
        <f>SUM(X30:X36)</f>
        <v>10853.205135807486</v>
      </c>
      <c r="Y37" s="588">
        <f>SUM(Y30:Y36)</f>
        <v>10552.293014785771</v>
      </c>
      <c r="Z37" s="588">
        <f>SUM(Z30:Z36)</f>
        <v>10513.235476778396</v>
      </c>
      <c r="AA37" s="469">
        <f>Z37</f>
        <v>10513.235476778396</v>
      </c>
      <c r="AB37" s="588">
        <f>SUM(AB30:AB36)</f>
        <v>10120.26849404914</v>
      </c>
      <c r="AC37" s="588">
        <f>SUM(AC30:AC36)</f>
        <v>10909.950573676097</v>
      </c>
      <c r="AD37" s="588">
        <f>SUM(AD30:AD36)</f>
        <v>10843.108504604937</v>
      </c>
      <c r="AE37" s="588">
        <f>SUM(AE30:AE36)</f>
        <v>10769.410813325379</v>
      </c>
      <c r="AF37" s="469">
        <f>AE37</f>
        <v>10769.410813325379</v>
      </c>
      <c r="AG37" s="588" t="e">
        <f>SUM(AG30:AG36)</f>
        <v>#REF!</v>
      </c>
      <c r="AH37" s="588" t="e">
        <f>SUM(AH30:AH36)</f>
        <v>#REF!</v>
      </c>
      <c r="AI37" s="588" t="e">
        <f>SUM(AI30:AI36)</f>
        <v>#REF!</v>
      </c>
      <c r="AJ37" s="588" t="e">
        <f>SUM(AJ30:AJ36)</f>
        <v>#REF!</v>
      </c>
      <c r="AK37" s="469" t="e">
        <f>AJ37</f>
        <v>#REF!</v>
      </c>
    </row>
    <row r="38" spans="1:37" s="605" customFormat="1" ht="12.75" customHeight="1">
      <c r="A38" s="606"/>
      <c r="B38" s="390"/>
      <c r="C38" s="593"/>
      <c r="D38" s="593"/>
      <c r="E38" s="593"/>
      <c r="F38" s="593"/>
      <c r="G38" s="625"/>
      <c r="H38" s="593"/>
      <c r="I38" s="593"/>
      <c r="J38" s="593"/>
      <c r="K38" s="593"/>
      <c r="L38" s="625"/>
      <c r="M38" s="595"/>
      <c r="N38" s="595"/>
      <c r="O38" s="595"/>
      <c r="P38" s="595"/>
      <c r="Q38" s="625"/>
      <c r="R38" s="595"/>
      <c r="S38" s="595"/>
      <c r="T38" s="595"/>
      <c r="U38" s="595"/>
      <c r="V38" s="625"/>
      <c r="W38" s="593"/>
      <c r="X38" s="593"/>
      <c r="Y38" s="593"/>
      <c r="Z38" s="593"/>
      <c r="AA38" s="625"/>
      <c r="AB38" s="593"/>
      <c r="AC38" s="593"/>
      <c r="AD38" s="593"/>
      <c r="AE38" s="593"/>
      <c r="AF38" s="625"/>
      <c r="AG38" s="593"/>
      <c r="AH38" s="593"/>
      <c r="AI38" s="593"/>
      <c r="AJ38" s="593"/>
      <c r="AK38" s="625"/>
    </row>
    <row r="39" spans="1:37" s="605" customFormat="1" ht="12.75" customHeight="1">
      <c r="A39" s="603"/>
      <c r="B39" s="387" t="s">
        <v>242</v>
      </c>
      <c r="C39" s="585"/>
      <c r="D39" s="585"/>
      <c r="E39" s="585"/>
      <c r="F39" s="585"/>
      <c r="G39" s="550"/>
      <c r="H39" s="585"/>
      <c r="I39" s="585"/>
      <c r="J39" s="585"/>
      <c r="K39" s="585">
        <v>1351.3889999999999</v>
      </c>
      <c r="L39" s="550">
        <f t="shared" ref="L39:L46" si="12">K39</f>
        <v>1351.3889999999999</v>
      </c>
      <c r="M39" s="622">
        <v>2425.3510000000001</v>
      </c>
      <c r="N39" s="622">
        <v>2991.768</v>
      </c>
      <c r="O39" s="622">
        <v>3445.72</v>
      </c>
      <c r="P39" s="622">
        <v>5457.915</v>
      </c>
      <c r="Q39" s="550">
        <f t="shared" ref="Q39:Q46" si="13">P39</f>
        <v>5457.915</v>
      </c>
      <c r="R39" s="620">
        <v>4935.0709999999999</v>
      </c>
      <c r="S39" s="620">
        <v>7423.8370000000004</v>
      </c>
      <c r="T39" s="620">
        <v>10322.757</v>
      </c>
      <c r="U39" s="621">
        <f>'Debt Model'!U46</f>
        <v>16245.66859612284</v>
      </c>
      <c r="V39" s="555">
        <f>'Debt Model'!V46</f>
        <v>16245.66859612284</v>
      </c>
      <c r="W39" s="621">
        <f>'Debt Model'!W46</f>
        <v>23050.472584971783</v>
      </c>
      <c r="X39" s="621">
        <f>'Debt Model'!X46</f>
        <v>28701.689573820731</v>
      </c>
      <c r="Y39" s="621">
        <f>'Debt Model'!Y46</f>
        <v>31231.57356266967</v>
      </c>
      <c r="Z39" s="621">
        <f>'Debt Model'!Z46</f>
        <v>31656.066551518616</v>
      </c>
      <c r="AA39" s="555">
        <f>'Debt Model'!AA46</f>
        <v>31656.066551518616</v>
      </c>
      <c r="AB39" s="562">
        <f>'Debt Model'!AB46</f>
        <v>34384.470686231936</v>
      </c>
      <c r="AC39" s="562">
        <f>'Debt Model'!AC46</f>
        <v>39504.466625945264</v>
      </c>
      <c r="AD39" s="562">
        <f>'Debt Model'!AD46</f>
        <v>43051.312565658591</v>
      </c>
      <c r="AE39" s="562">
        <f>'Debt Model'!AE46</f>
        <v>44235.20850537192</v>
      </c>
      <c r="AF39" s="555">
        <f>'Debt Model'!AF46</f>
        <v>44235.20850537192</v>
      </c>
      <c r="AG39" s="562" t="e">
        <f>'Debt Model'!AG46</f>
        <v>#REF!</v>
      </c>
      <c r="AH39" s="562" t="e">
        <f>'Debt Model'!AH46</f>
        <v>#REF!</v>
      </c>
      <c r="AI39" s="562" t="e">
        <f>'Debt Model'!AI46</f>
        <v>#REF!</v>
      </c>
      <c r="AJ39" s="562" t="e">
        <f>'Debt Model'!AJ46</f>
        <v>#REF!</v>
      </c>
      <c r="AK39" s="555" t="e">
        <f>'Debt Model'!AK46</f>
        <v>#REF!</v>
      </c>
    </row>
    <row r="40" spans="1:37" s="605" customFormat="1" ht="12.75" customHeight="1">
      <c r="A40" s="603"/>
      <c r="B40" s="387" t="s">
        <v>254</v>
      </c>
      <c r="C40" s="585"/>
      <c r="D40" s="585"/>
      <c r="E40" s="585"/>
      <c r="F40" s="585"/>
      <c r="G40" s="550"/>
      <c r="H40" s="585"/>
      <c r="I40" s="585"/>
      <c r="J40" s="585"/>
      <c r="K40" s="585">
        <v>527.04700000000003</v>
      </c>
      <c r="L40" s="550">
        <f t="shared" si="12"/>
        <v>527.04700000000003</v>
      </c>
      <c r="M40" s="622">
        <v>554.94799999999998</v>
      </c>
      <c r="N40" s="622">
        <v>865.94799999999998</v>
      </c>
      <c r="O40" s="622">
        <v>194.33</v>
      </c>
      <c r="P40" s="622">
        <v>200.089</v>
      </c>
      <c r="Q40" s="550">
        <f t="shared" si="13"/>
        <v>200.089</v>
      </c>
      <c r="R40" s="620">
        <v>0.49099999999999999</v>
      </c>
      <c r="S40" s="620">
        <v>0.69799999999999995</v>
      </c>
      <c r="T40" s="620">
        <v>1.71</v>
      </c>
      <c r="U40" s="740">
        <f t="shared" ref="U40:AF40" si="14">T40</f>
        <v>1.71</v>
      </c>
      <c r="V40" s="550">
        <f t="shared" si="14"/>
        <v>1.71</v>
      </c>
      <c r="W40" s="552">
        <f t="shared" si="14"/>
        <v>1.71</v>
      </c>
      <c r="X40" s="552">
        <f t="shared" si="14"/>
        <v>1.71</v>
      </c>
      <c r="Y40" s="552">
        <f t="shared" si="14"/>
        <v>1.71</v>
      </c>
      <c r="Z40" s="552">
        <f t="shared" si="14"/>
        <v>1.71</v>
      </c>
      <c r="AA40" s="550">
        <f t="shared" si="14"/>
        <v>1.71</v>
      </c>
      <c r="AB40" s="552">
        <f t="shared" si="14"/>
        <v>1.71</v>
      </c>
      <c r="AC40" s="552">
        <f t="shared" si="14"/>
        <v>1.71</v>
      </c>
      <c r="AD40" s="552">
        <f t="shared" si="14"/>
        <v>1.71</v>
      </c>
      <c r="AE40" s="552">
        <f t="shared" si="14"/>
        <v>1.71</v>
      </c>
      <c r="AF40" s="550">
        <f t="shared" si="14"/>
        <v>1.71</v>
      </c>
      <c r="AG40" s="552">
        <f>AF40</f>
        <v>1.71</v>
      </c>
      <c r="AH40" s="552">
        <f>AG40</f>
        <v>1.71</v>
      </c>
      <c r="AI40" s="552">
        <f>AH40</f>
        <v>1.71</v>
      </c>
      <c r="AJ40" s="552">
        <f>AI40</f>
        <v>1.71</v>
      </c>
      <c r="AK40" s="550">
        <f>AJ40</f>
        <v>1.71</v>
      </c>
    </row>
    <row r="41" spans="1:37" s="605" customFormat="1" ht="12.75" customHeight="1">
      <c r="A41" s="603"/>
      <c r="B41" s="387" t="s">
        <v>192</v>
      </c>
      <c r="C41" s="585"/>
      <c r="D41" s="585"/>
      <c r="E41" s="585"/>
      <c r="F41" s="585"/>
      <c r="G41" s="550"/>
      <c r="H41" s="585"/>
      <c r="I41" s="585"/>
      <c r="J41" s="585"/>
      <c r="K41" s="585">
        <v>1754.873</v>
      </c>
      <c r="L41" s="550">
        <f t="shared" si="12"/>
        <v>1754.873</v>
      </c>
      <c r="M41" s="622">
        <v>3248.9929999999999</v>
      </c>
      <c r="N41" s="622">
        <v>3392.8679999999999</v>
      </c>
      <c r="O41" s="622">
        <v>3350.2359999999999</v>
      </c>
      <c r="P41" s="622">
        <v>3294.9769999999999</v>
      </c>
      <c r="Q41" s="550">
        <f t="shared" si="13"/>
        <v>3294.9769999999999</v>
      </c>
      <c r="R41" s="622">
        <v>3611.4690000000001</v>
      </c>
      <c r="S41" s="622">
        <v>3896.1729999999998</v>
      </c>
      <c r="T41" s="622">
        <v>4228.2219999999998</v>
      </c>
      <c r="U41" s="890">
        <f>'Def. Revenue &amp; Billings'!U23</f>
        <v>3896.6095146357529</v>
      </c>
      <c r="V41" s="555">
        <f>'Def. Revenue &amp; Billings'!V23</f>
        <v>3896.6095146357529</v>
      </c>
      <c r="W41" s="627">
        <f>'Def. Revenue &amp; Billings'!W23</f>
        <v>4266.2874501236629</v>
      </c>
      <c r="X41" s="627">
        <f>'Def. Revenue &amp; Billings'!X23</f>
        <v>5166.5410030653702</v>
      </c>
      <c r="Y41" s="627">
        <f>'Def. Revenue &amp; Billings'!Y23</f>
        <v>5771.5230299999994</v>
      </c>
      <c r="Z41" s="627">
        <f>'Def. Revenue &amp; Billings'!Z23</f>
        <v>5458.4448872206358</v>
      </c>
      <c r="AA41" s="555">
        <f>'Def. Revenue &amp; Billings'!AA23</f>
        <v>5458.4448872206358</v>
      </c>
      <c r="AB41" s="627">
        <f>'Def. Revenue &amp; Billings'!AB23</f>
        <v>5460.8479361582886</v>
      </c>
      <c r="AC41" s="627">
        <f>'Def. Revenue &amp; Billings'!AC23</f>
        <v>6613.1724839236749</v>
      </c>
      <c r="AD41" s="627">
        <f>'Def. Revenue &amp; Billings'!AD23</f>
        <v>7387.5494784000002</v>
      </c>
      <c r="AE41" s="627">
        <f>'Def. Revenue &amp; Billings'!AE23</f>
        <v>6986.8094556424148</v>
      </c>
      <c r="AF41" s="555">
        <f>'Def. Revenue &amp; Billings'!AF23</f>
        <v>6986.8094556424148</v>
      </c>
      <c r="AG41" s="627">
        <f>'Def. Revenue &amp; Billings'!AG23</f>
        <v>6989.8853582826105</v>
      </c>
      <c r="AH41" s="627">
        <f>'Def. Revenue &amp; Billings'!AH23</f>
        <v>8464.8607794223044</v>
      </c>
      <c r="AI41" s="627">
        <f>'Def. Revenue &amp; Billings'!AI23</f>
        <v>9456.0633323519996</v>
      </c>
      <c r="AJ41" s="627">
        <f>'Def. Revenue &amp; Billings'!AJ23</f>
        <v>8943.1161032222899</v>
      </c>
      <c r="AK41" s="555">
        <f>'Def. Revenue &amp; Billings'!AK23</f>
        <v>8943.1161032222899</v>
      </c>
    </row>
    <row r="42" spans="1:37" s="605" customFormat="1" ht="12.75" customHeight="1">
      <c r="A42" s="603"/>
      <c r="B42" s="387" t="s">
        <v>191</v>
      </c>
      <c r="C42" s="585"/>
      <c r="D42" s="585"/>
      <c r="E42" s="585"/>
      <c r="F42" s="585"/>
      <c r="G42" s="550"/>
      <c r="H42" s="585"/>
      <c r="I42" s="585"/>
      <c r="J42" s="585"/>
      <c r="K42" s="585">
        <v>432.65300000000002</v>
      </c>
      <c r="L42" s="550">
        <f t="shared" si="12"/>
        <v>432.65300000000002</v>
      </c>
      <c r="M42" s="622">
        <v>833.84900000000005</v>
      </c>
      <c r="N42" s="622">
        <v>1256.6310000000001</v>
      </c>
      <c r="O42" s="622">
        <v>1642.41</v>
      </c>
      <c r="P42" s="622">
        <v>2388.9119999999998</v>
      </c>
      <c r="Q42" s="550">
        <f t="shared" si="13"/>
        <v>2388.9119999999998</v>
      </c>
      <c r="R42" s="622">
        <v>2867.8380000000002</v>
      </c>
      <c r="S42" s="622">
        <v>3168.3919999999998</v>
      </c>
      <c r="T42" s="622">
        <v>4378.8689999999997</v>
      </c>
      <c r="U42" s="727">
        <f>U65*U96*U99</f>
        <v>4950.6759808272354</v>
      </c>
      <c r="V42" s="550">
        <f>U42</f>
        <v>4950.6759808272354</v>
      </c>
      <c r="W42" s="602">
        <f>W65*W96*W99</f>
        <v>6407.3617333524453</v>
      </c>
      <c r="X42" s="602">
        <f>X65*X96*X99</f>
        <v>8527.8705840701787</v>
      </c>
      <c r="Y42" s="602">
        <f>Y65*Y96*Y99</f>
        <v>9464.2983655189491</v>
      </c>
      <c r="Z42" s="602">
        <f>Z65*Z96*Z99</f>
        <v>10128.737693132285</v>
      </c>
      <c r="AA42" s="550">
        <f>Z42</f>
        <v>10128.737693132285</v>
      </c>
      <c r="AB42" s="602">
        <f>AB65*AB96*AB99</f>
        <v>9538.7908939477384</v>
      </c>
      <c r="AC42" s="602">
        <f>AC65*AC96*AC99</f>
        <v>10395.553638911915</v>
      </c>
      <c r="AD42" s="602">
        <f>AD65*AD96*AD99</f>
        <v>11196.034370495527</v>
      </c>
      <c r="AE42" s="602">
        <f>AE65*AE96*AE99</f>
        <v>11940.903778604559</v>
      </c>
      <c r="AF42" s="550">
        <f>AE42</f>
        <v>11940.903778604559</v>
      </c>
      <c r="AG42" s="602">
        <f>AG65*AG96*AG99</f>
        <v>11955.275025195793</v>
      </c>
      <c r="AH42" s="602">
        <f>AH65*AH96*AH99</f>
        <v>12448.889029468877</v>
      </c>
      <c r="AI42" s="602">
        <f>AI65*AI96*AI99</f>
        <v>12891.476862983385</v>
      </c>
      <c r="AJ42" s="602">
        <f>AJ65*AJ96*AJ99</f>
        <v>13284.639560036972</v>
      </c>
      <c r="AK42" s="550">
        <f>AJ42</f>
        <v>13284.639560036972</v>
      </c>
    </row>
    <row r="43" spans="1:37" s="605" customFormat="1" ht="12.75" customHeight="1">
      <c r="A43" s="603"/>
      <c r="B43" s="387" t="s">
        <v>243</v>
      </c>
      <c r="C43" s="585"/>
      <c r="D43" s="585"/>
      <c r="E43" s="585"/>
      <c r="F43" s="585"/>
      <c r="G43" s="550"/>
      <c r="H43" s="585"/>
      <c r="I43" s="585"/>
      <c r="J43" s="585"/>
      <c r="K43" s="585">
        <v>0.51</v>
      </c>
      <c r="L43" s="550">
        <f t="shared" si="12"/>
        <v>0.51</v>
      </c>
      <c r="M43" s="622">
        <v>38.747</v>
      </c>
      <c r="N43" s="622">
        <v>43.311</v>
      </c>
      <c r="O43" s="622">
        <v>16.25</v>
      </c>
      <c r="P43" s="622">
        <v>34.119999999999997</v>
      </c>
      <c r="Q43" s="550">
        <f t="shared" si="13"/>
        <v>34.119999999999997</v>
      </c>
      <c r="R43" s="622">
        <v>18.814</v>
      </c>
      <c r="S43" s="622">
        <v>3.1120000000000001</v>
      </c>
      <c r="T43" s="622">
        <v>1.2E-2</v>
      </c>
      <c r="U43" s="727">
        <f>U66*U102*U106</f>
        <v>8.9923364719965999E-3</v>
      </c>
      <c r="V43" s="550">
        <f>U43</f>
        <v>8.9923364719965999E-3</v>
      </c>
      <c r="W43" s="602">
        <f>W66*W102*W106</f>
        <v>4.5901263538930441E-3</v>
      </c>
      <c r="X43" s="602">
        <f>X66*X102*X106</f>
        <v>9.8838797420795592E-4</v>
      </c>
      <c r="Y43" s="602">
        <f>Y66*Y102*Y106</f>
        <v>0</v>
      </c>
      <c r="Z43" s="602">
        <f>Z66*Z102*Z106</f>
        <v>0</v>
      </c>
      <c r="AA43" s="550">
        <f>Z43</f>
        <v>0</v>
      </c>
      <c r="AB43" s="602">
        <f>AB66*AB102*AB106</f>
        <v>0</v>
      </c>
      <c r="AC43" s="602">
        <f>AC66*AC102*AC106</f>
        <v>0</v>
      </c>
      <c r="AD43" s="602">
        <f>AD66*AD102*AD106</f>
        <v>0</v>
      </c>
      <c r="AE43" s="602">
        <f>AE66*AE102*AE106</f>
        <v>0</v>
      </c>
      <c r="AF43" s="550">
        <f>AE43</f>
        <v>0</v>
      </c>
      <c r="AG43" s="602">
        <f>AG66*AG102*AG106</f>
        <v>0</v>
      </c>
      <c r="AH43" s="602">
        <f>AH66*AH102*AH106</f>
        <v>0</v>
      </c>
      <c r="AI43" s="602">
        <f>AI66*AI102*AI106</f>
        <v>0</v>
      </c>
      <c r="AJ43" s="602">
        <f>AJ66*AJ102*AJ106</f>
        <v>0</v>
      </c>
      <c r="AK43" s="550">
        <f>AJ43</f>
        <v>0</v>
      </c>
    </row>
    <row r="44" spans="1:37" s="605" customFormat="1" ht="12.75" customHeight="1">
      <c r="A44" s="603"/>
      <c r="B44" s="387" t="s">
        <v>244</v>
      </c>
      <c r="C44" s="585"/>
      <c r="D44" s="585"/>
      <c r="E44" s="585"/>
      <c r="F44" s="585"/>
      <c r="G44" s="550"/>
      <c r="H44" s="585"/>
      <c r="I44" s="585"/>
      <c r="J44" s="585"/>
      <c r="K44" s="585">
        <v>36.447000000000003</v>
      </c>
      <c r="L44" s="550">
        <f t="shared" si="12"/>
        <v>36.447000000000003</v>
      </c>
      <c r="M44" s="622">
        <v>51.133000000000003</v>
      </c>
      <c r="N44" s="622">
        <v>79.653999999999996</v>
      </c>
      <c r="O44" s="622">
        <v>116.699</v>
      </c>
      <c r="P44" s="622">
        <v>149.232</v>
      </c>
      <c r="Q44" s="550">
        <f t="shared" si="13"/>
        <v>149.232</v>
      </c>
      <c r="R44" s="620">
        <v>193.84899999999999</v>
      </c>
      <c r="S44" s="620">
        <v>245.65899999999999</v>
      </c>
      <c r="T44" s="620">
        <v>117.633</v>
      </c>
      <c r="U44" s="552">
        <f>T44+U108</f>
        <v>167.63299999999998</v>
      </c>
      <c r="V44" s="550">
        <f>U44</f>
        <v>167.63299999999998</v>
      </c>
      <c r="W44" s="552">
        <f>V44+W108</f>
        <v>217.63299999999998</v>
      </c>
      <c r="X44" s="552">
        <f>W44+X108</f>
        <v>317.63299999999998</v>
      </c>
      <c r="Y44" s="552">
        <f>X44+Y108</f>
        <v>442.63299999999998</v>
      </c>
      <c r="Z44" s="552">
        <f>Y44+Z108</f>
        <v>592.63300000000004</v>
      </c>
      <c r="AA44" s="550">
        <f>Z44</f>
        <v>592.63300000000004</v>
      </c>
      <c r="AB44" s="552">
        <f>AA44+AB108</f>
        <v>692.63300000000004</v>
      </c>
      <c r="AC44" s="552">
        <f>AB44+AC108</f>
        <v>792.63300000000004</v>
      </c>
      <c r="AD44" s="552">
        <f>AC44+AD108</f>
        <v>892.63300000000004</v>
      </c>
      <c r="AE44" s="552">
        <f>AD44+AE108</f>
        <v>992.63300000000004</v>
      </c>
      <c r="AF44" s="550">
        <f>AE44</f>
        <v>992.63300000000004</v>
      </c>
      <c r="AG44" s="552">
        <f>AF44+AG108</f>
        <v>1092.633</v>
      </c>
      <c r="AH44" s="552">
        <f>AG44+AH108</f>
        <v>1192.633</v>
      </c>
      <c r="AI44" s="552">
        <f>AH44+AI108</f>
        <v>1292.633</v>
      </c>
      <c r="AJ44" s="552">
        <f>AI44+AJ108</f>
        <v>1392.633</v>
      </c>
      <c r="AK44" s="550">
        <f>AJ44</f>
        <v>1392.633</v>
      </c>
    </row>
    <row r="45" spans="1:37" s="605" customFormat="1" ht="12.75" customHeight="1">
      <c r="A45" s="603"/>
      <c r="B45" s="387" t="s">
        <v>245</v>
      </c>
      <c r="C45" s="585"/>
      <c r="D45" s="585"/>
      <c r="E45" s="585"/>
      <c r="F45" s="585"/>
      <c r="G45" s="550"/>
      <c r="H45" s="585"/>
      <c r="I45" s="585"/>
      <c r="J45" s="585"/>
      <c r="K45" s="585">
        <v>7.4960000000000004</v>
      </c>
      <c r="L45" s="550">
        <f t="shared" si="12"/>
        <v>7.4960000000000004</v>
      </c>
      <c r="M45" s="622">
        <v>11.332000000000001</v>
      </c>
      <c r="N45" s="622">
        <v>19.986000000000001</v>
      </c>
      <c r="O45" s="622">
        <v>24.141999999999999</v>
      </c>
      <c r="P45" s="622">
        <v>36.26</v>
      </c>
      <c r="Q45" s="550">
        <f t="shared" si="13"/>
        <v>36.26</v>
      </c>
      <c r="R45" s="622">
        <v>32.771999999999998</v>
      </c>
      <c r="S45" s="622">
        <v>126.331</v>
      </c>
      <c r="T45" s="622">
        <v>268.40899999999999</v>
      </c>
      <c r="U45" s="602">
        <f>U68*U112</f>
        <v>303.45872172423009</v>
      </c>
      <c r="V45" s="550">
        <f>U45</f>
        <v>303.45872172423009</v>
      </c>
      <c r="W45" s="602">
        <f>W68*W112</f>
        <v>392.74834563157674</v>
      </c>
      <c r="X45" s="602">
        <f>X68*X112</f>
        <v>522.72794997970766</v>
      </c>
      <c r="Y45" s="602">
        <f>Y68*Y112</f>
        <v>580.12762199339045</v>
      </c>
      <c r="Z45" s="602">
        <f>Z68*Z112</f>
        <v>620.85537509250537</v>
      </c>
      <c r="AA45" s="550">
        <f>Z45</f>
        <v>620.85537509250537</v>
      </c>
      <c r="AB45" s="602">
        <f>AB68*AB112</f>
        <v>584.69374741596948</v>
      </c>
      <c r="AC45" s="602">
        <f>AC68*AC112</f>
        <v>637.21023777297478</v>
      </c>
      <c r="AD45" s="602">
        <f>AD68*AD112</f>
        <v>686.27684211387327</v>
      </c>
      <c r="AE45" s="602">
        <f>AE68*AE112</f>
        <v>731.93467132985063</v>
      </c>
      <c r="AF45" s="550">
        <f>AE45</f>
        <v>731.93467132985063</v>
      </c>
      <c r="AG45" s="602">
        <f>AG68*AG112</f>
        <v>732.81557731865882</v>
      </c>
      <c r="AH45" s="602">
        <f>AH68*AH112</f>
        <v>763.07234939220882</v>
      </c>
      <c r="AI45" s="602">
        <f>AI68*AI112</f>
        <v>790.2013997944465</v>
      </c>
      <c r="AJ45" s="602">
        <f>AJ68*AJ112</f>
        <v>814.30086619854671</v>
      </c>
      <c r="AK45" s="550">
        <f>AJ45</f>
        <v>814.30086619854671</v>
      </c>
    </row>
    <row r="46" spans="1:37" s="605" customFormat="1" ht="12.75" customHeight="1">
      <c r="A46" s="606"/>
      <c r="B46" s="389" t="s">
        <v>95</v>
      </c>
      <c r="C46" s="588"/>
      <c r="D46" s="588"/>
      <c r="E46" s="588"/>
      <c r="F46" s="588"/>
      <c r="G46" s="469"/>
      <c r="H46" s="588"/>
      <c r="I46" s="588"/>
      <c r="J46" s="588"/>
      <c r="K46" s="588">
        <f>SUM(K37:K45)</f>
        <v>5108.8760000000011</v>
      </c>
      <c r="L46" s="469">
        <f t="shared" si="12"/>
        <v>5108.8760000000011</v>
      </c>
      <c r="M46" s="741">
        <f>SUM(M37:M45)</f>
        <v>8359.0579999999991</v>
      </c>
      <c r="N46" s="741">
        <f>SUM(N37:N45)</f>
        <v>10100.973</v>
      </c>
      <c r="O46" s="741">
        <f>SUM(O37:O45)</f>
        <v>12758.010999999999</v>
      </c>
      <c r="P46" s="588">
        <f>SUM(P37:P45)</f>
        <v>16524.085999999999</v>
      </c>
      <c r="Q46" s="469">
        <f t="shared" si="13"/>
        <v>16524.085999999999</v>
      </c>
      <c r="R46" s="741">
        <f>SUM(R37:R45)</f>
        <v>18791.100999999995</v>
      </c>
      <c r="S46" s="741">
        <f>SUM(S37:S45)</f>
        <v>22420.556999999997</v>
      </c>
      <c r="T46" s="741">
        <f>SUM(T37:T45)</f>
        <v>29032.484</v>
      </c>
      <c r="U46" s="588">
        <f>SUM(U37:U45)</f>
        <v>36094.484096274224</v>
      </c>
      <c r="V46" s="469">
        <f>U46</f>
        <v>36094.484096274224</v>
      </c>
      <c r="W46" s="588">
        <f>SUM(W37:W45)</f>
        <v>45847.709195772579</v>
      </c>
      <c r="X46" s="588">
        <f>SUM(X37:X45)</f>
        <v>54091.378235131458</v>
      </c>
      <c r="Y46" s="588">
        <f>SUM(Y37:Y45)</f>
        <v>58044.158594967783</v>
      </c>
      <c r="Z46" s="588">
        <f>SUM(Z37:Z45)</f>
        <v>58971.682983742438</v>
      </c>
      <c r="AA46" s="469">
        <f>Z46</f>
        <v>58971.682983742438</v>
      </c>
      <c r="AB46" s="588">
        <f>SUM(AB37:AB45)</f>
        <v>60783.414757803075</v>
      </c>
      <c r="AC46" s="588">
        <f>SUM(AC37:AC45)</f>
        <v>68854.696560229931</v>
      </c>
      <c r="AD46" s="588">
        <f>SUM(AD37:AD45)</f>
        <v>74058.624761272935</v>
      </c>
      <c r="AE46" s="588">
        <f>SUM(AE37:AE45)</f>
        <v>75658.610224274118</v>
      </c>
      <c r="AF46" s="469">
        <f>AE46</f>
        <v>75658.610224274118</v>
      </c>
      <c r="AG46" s="588" t="e">
        <f>SUM(AG37:AG45)</f>
        <v>#REF!</v>
      </c>
      <c r="AH46" s="588" t="e">
        <f>SUM(AH37:AH45)</f>
        <v>#REF!</v>
      </c>
      <c r="AI46" s="588" t="e">
        <f>SUM(AI37:AI45)</f>
        <v>#REF!</v>
      </c>
      <c r="AJ46" s="588" t="e">
        <f>SUM(AJ37:AJ45)</f>
        <v>#REF!</v>
      </c>
      <c r="AK46" s="469" t="e">
        <f>AJ46</f>
        <v>#REF!</v>
      </c>
    </row>
    <row r="47" spans="1:37" s="605" customFormat="1" ht="12.75" customHeight="1">
      <c r="A47" s="603"/>
      <c r="B47" s="653"/>
      <c r="C47" s="628"/>
      <c r="D47" s="628"/>
      <c r="E47" s="628"/>
      <c r="F47" s="628"/>
      <c r="G47" s="550"/>
      <c r="H47" s="628"/>
      <c r="I47" s="628"/>
      <c r="J47" s="628"/>
      <c r="K47" s="628"/>
      <c r="L47" s="550"/>
      <c r="M47" s="629"/>
      <c r="N47" s="629"/>
      <c r="O47" s="629"/>
      <c r="P47" s="628"/>
      <c r="Q47" s="550"/>
      <c r="R47" s="629"/>
      <c r="S47" s="629"/>
      <c r="T47" s="628"/>
      <c r="U47" s="628"/>
      <c r="V47" s="550"/>
      <c r="W47" s="628"/>
      <c r="X47" s="628"/>
      <c r="Y47" s="628"/>
      <c r="Z47" s="628"/>
      <c r="AA47" s="550"/>
      <c r="AB47" s="628"/>
      <c r="AC47" s="628"/>
      <c r="AD47" s="628"/>
      <c r="AE47" s="628"/>
      <c r="AF47" s="550"/>
      <c r="AG47" s="628"/>
      <c r="AH47" s="628"/>
      <c r="AI47" s="628"/>
      <c r="AJ47" s="628"/>
      <c r="AK47" s="550"/>
    </row>
    <row r="48" spans="1:37" s="605" customFormat="1" ht="12.75" customHeight="1">
      <c r="A48" s="603"/>
      <c r="B48" s="386" t="s">
        <v>247</v>
      </c>
      <c r="C48" s="585"/>
      <c r="D48" s="585"/>
      <c r="E48" s="585"/>
      <c r="F48" s="585"/>
      <c r="G48" s="550"/>
      <c r="H48" s="585"/>
      <c r="I48" s="585"/>
      <c r="J48" s="585"/>
      <c r="K48" s="585"/>
      <c r="L48" s="550"/>
      <c r="M48" s="622"/>
      <c r="N48" s="622"/>
      <c r="O48" s="622"/>
      <c r="P48" s="622"/>
      <c r="Q48" s="550"/>
      <c r="R48" s="622"/>
      <c r="S48" s="622"/>
      <c r="T48" s="585"/>
      <c r="U48" s="585"/>
      <c r="V48" s="550"/>
      <c r="W48" s="585"/>
      <c r="X48" s="585"/>
      <c r="Y48" s="585"/>
      <c r="Z48" s="585"/>
      <c r="AA48" s="550"/>
      <c r="AB48" s="585"/>
      <c r="AC48" s="585"/>
      <c r="AD48" s="585"/>
      <c r="AE48" s="585"/>
      <c r="AF48" s="550"/>
      <c r="AG48" s="585"/>
      <c r="AH48" s="585"/>
      <c r="AI48" s="585"/>
      <c r="AJ48" s="585"/>
      <c r="AK48" s="550"/>
    </row>
    <row r="49" spans="1:37" s="605" customFormat="1" ht="12.75" customHeight="1">
      <c r="A49" s="603"/>
      <c r="B49" s="387" t="s">
        <v>246</v>
      </c>
      <c r="C49" s="585"/>
      <c r="D49" s="585"/>
      <c r="E49" s="585"/>
      <c r="F49" s="585"/>
      <c r="G49" s="550"/>
      <c r="H49" s="585"/>
      <c r="I49" s="585"/>
      <c r="J49" s="585"/>
      <c r="K49" s="585">
        <v>464.69</v>
      </c>
      <c r="L49" s="550">
        <f t="shared" ref="L49:L56" si="15">K49</f>
        <v>464.69</v>
      </c>
      <c r="M49" s="622">
        <v>559.28899999999999</v>
      </c>
      <c r="N49" s="622">
        <v>1722.3610000000001</v>
      </c>
      <c r="O49" s="622">
        <v>1722.3889999999999</v>
      </c>
      <c r="P49" s="622">
        <v>1722.1110000000001</v>
      </c>
      <c r="Q49" s="550">
        <f t="shared" ref="Q49:Q56" si="16">P49</f>
        <v>1722.1110000000001</v>
      </c>
      <c r="R49" s="620">
        <v>0</v>
      </c>
      <c r="S49" s="620">
        <v>0</v>
      </c>
      <c r="T49" s="620">
        <v>0</v>
      </c>
      <c r="U49" s="552">
        <f>T49</f>
        <v>0</v>
      </c>
      <c r="V49" s="550">
        <f>U49</f>
        <v>0</v>
      </c>
      <c r="W49" s="552">
        <f>V49</f>
        <v>0</v>
      </c>
      <c r="X49" s="552">
        <v>0</v>
      </c>
      <c r="Y49" s="552">
        <f t="shared" ref="Y49:Z53" si="17">X49</f>
        <v>0</v>
      </c>
      <c r="Z49" s="552">
        <f t="shared" si="17"/>
        <v>0</v>
      </c>
      <c r="AA49" s="550">
        <f t="shared" ref="AA49:AK49" si="18">Z49</f>
        <v>0</v>
      </c>
      <c r="AB49" s="552">
        <f t="shared" si="18"/>
        <v>0</v>
      </c>
      <c r="AC49" s="552">
        <f t="shared" si="18"/>
        <v>0</v>
      </c>
      <c r="AD49" s="552">
        <f t="shared" si="18"/>
        <v>0</v>
      </c>
      <c r="AE49" s="552">
        <f t="shared" si="18"/>
        <v>0</v>
      </c>
      <c r="AF49" s="550">
        <f t="shared" si="18"/>
        <v>0</v>
      </c>
      <c r="AG49" s="552">
        <f t="shared" si="18"/>
        <v>0</v>
      </c>
      <c r="AH49" s="552">
        <f t="shared" si="18"/>
        <v>0</v>
      </c>
      <c r="AI49" s="552">
        <f t="shared" si="18"/>
        <v>0</v>
      </c>
      <c r="AJ49" s="552">
        <f t="shared" si="18"/>
        <v>0</v>
      </c>
      <c r="AK49" s="550">
        <f t="shared" si="18"/>
        <v>0</v>
      </c>
    </row>
    <row r="50" spans="1:37" s="605" customFormat="1" ht="12.75" customHeight="1">
      <c r="A50" s="603"/>
      <c r="B50" s="850" t="s">
        <v>597</v>
      </c>
      <c r="C50" s="585"/>
      <c r="D50" s="585"/>
      <c r="E50" s="585"/>
      <c r="F50" s="585"/>
      <c r="G50" s="550"/>
      <c r="H50" s="585"/>
      <c r="I50" s="585"/>
      <c r="J50" s="585"/>
      <c r="K50" s="622">
        <v>0</v>
      </c>
      <c r="L50" s="550">
        <f t="shared" si="15"/>
        <v>0</v>
      </c>
      <c r="M50" s="622">
        <v>0</v>
      </c>
      <c r="N50" s="622">
        <v>0</v>
      </c>
      <c r="O50" s="622">
        <v>0</v>
      </c>
      <c r="P50" s="622">
        <v>0</v>
      </c>
      <c r="Q50" s="550">
        <f t="shared" si="16"/>
        <v>0</v>
      </c>
      <c r="R50" s="620">
        <v>1163.1590000000001</v>
      </c>
      <c r="S50" s="620">
        <v>1163.1590000000001</v>
      </c>
      <c r="T50" s="620">
        <v>0</v>
      </c>
      <c r="U50" s="552">
        <f>T50</f>
        <v>0</v>
      </c>
      <c r="V50" s="550">
        <f>U50</f>
        <v>0</v>
      </c>
      <c r="W50" s="552">
        <f t="shared" ref="W50:AE50" si="19">V50</f>
        <v>0</v>
      </c>
      <c r="X50" s="552">
        <f t="shared" si="19"/>
        <v>0</v>
      </c>
      <c r="Y50" s="552">
        <f t="shared" si="19"/>
        <v>0</v>
      </c>
      <c r="Z50" s="552">
        <f t="shared" si="19"/>
        <v>0</v>
      </c>
      <c r="AA50" s="550">
        <f>Z50</f>
        <v>0</v>
      </c>
      <c r="AB50" s="552">
        <f t="shared" si="19"/>
        <v>0</v>
      </c>
      <c r="AC50" s="552">
        <f t="shared" si="19"/>
        <v>0</v>
      </c>
      <c r="AD50" s="552">
        <f t="shared" si="19"/>
        <v>0</v>
      </c>
      <c r="AE50" s="552">
        <f t="shared" si="19"/>
        <v>0</v>
      </c>
      <c r="AF50" s="550">
        <f>AE50</f>
        <v>0</v>
      </c>
      <c r="AG50" s="552">
        <f>AF50</f>
        <v>0</v>
      </c>
      <c r="AH50" s="552">
        <f>AG50</f>
        <v>0</v>
      </c>
      <c r="AI50" s="552">
        <f>AH50</f>
        <v>0</v>
      </c>
      <c r="AJ50" s="552">
        <f>AI50</f>
        <v>0</v>
      </c>
      <c r="AK50" s="550">
        <f t="shared" ref="AK50:AK56" si="20">AJ50</f>
        <v>0</v>
      </c>
    </row>
    <row r="51" spans="1:37" s="605" customFormat="1" ht="12.75" customHeight="1">
      <c r="A51" s="603"/>
      <c r="B51" s="850" t="s">
        <v>598</v>
      </c>
      <c r="C51" s="585"/>
      <c r="D51" s="585"/>
      <c r="E51" s="585"/>
      <c r="F51" s="585"/>
      <c r="G51" s="550"/>
      <c r="H51" s="585"/>
      <c r="I51" s="585"/>
      <c r="J51" s="585"/>
      <c r="K51" s="585">
        <v>1E-3</v>
      </c>
      <c r="L51" s="550">
        <f t="shared" si="15"/>
        <v>1E-3</v>
      </c>
      <c r="M51" s="622">
        <v>1E-3</v>
      </c>
      <c r="N51" s="622">
        <v>1E-3</v>
      </c>
      <c r="O51" s="622">
        <v>0.109</v>
      </c>
      <c r="P51" s="585">
        <v>1E-3</v>
      </c>
      <c r="Q51" s="550">
        <f t="shared" si="16"/>
        <v>1E-3</v>
      </c>
      <c r="R51" s="622">
        <v>2E-3</v>
      </c>
      <c r="S51" s="622">
        <v>2E-3</v>
      </c>
      <c r="T51" s="622">
        <v>2E-3</v>
      </c>
      <c r="U51" s="602">
        <f t="shared" ref="U51:AF51" si="21">T51</f>
        <v>2E-3</v>
      </c>
      <c r="V51" s="550">
        <f t="shared" si="21"/>
        <v>2E-3</v>
      </c>
      <c r="W51" s="602">
        <f t="shared" ref="W51:X53" si="22">V51</f>
        <v>2E-3</v>
      </c>
      <c r="X51" s="602">
        <f t="shared" si="22"/>
        <v>2E-3</v>
      </c>
      <c r="Y51" s="602">
        <f t="shared" si="17"/>
        <v>2E-3</v>
      </c>
      <c r="Z51" s="602">
        <f t="shared" si="17"/>
        <v>2E-3</v>
      </c>
      <c r="AA51" s="550">
        <f t="shared" si="21"/>
        <v>2E-3</v>
      </c>
      <c r="AB51" s="602">
        <f t="shared" si="21"/>
        <v>2E-3</v>
      </c>
      <c r="AC51" s="602">
        <f t="shared" si="21"/>
        <v>2E-3</v>
      </c>
      <c r="AD51" s="602">
        <f t="shared" si="21"/>
        <v>2E-3</v>
      </c>
      <c r="AE51" s="602">
        <f t="shared" si="21"/>
        <v>2E-3</v>
      </c>
      <c r="AF51" s="550">
        <f t="shared" si="21"/>
        <v>2E-3</v>
      </c>
      <c r="AG51" s="602">
        <f t="shared" ref="AG51:AI53" si="23">AF51</f>
        <v>2E-3</v>
      </c>
      <c r="AH51" s="602">
        <f t="shared" si="23"/>
        <v>2E-3</v>
      </c>
      <c r="AI51" s="602">
        <f t="shared" si="23"/>
        <v>2E-3</v>
      </c>
      <c r="AJ51" s="602">
        <f>AI51</f>
        <v>2E-3</v>
      </c>
      <c r="AK51" s="550">
        <f t="shared" si="20"/>
        <v>2E-3</v>
      </c>
    </row>
    <row r="52" spans="1:37" s="605" customFormat="1" ht="12.75" customHeight="1">
      <c r="A52" s="603"/>
      <c r="B52" s="850" t="s">
        <v>599</v>
      </c>
      <c r="C52" s="585"/>
      <c r="D52" s="585"/>
      <c r="E52" s="585"/>
      <c r="F52" s="585"/>
      <c r="G52" s="550"/>
      <c r="H52" s="585"/>
      <c r="I52" s="585"/>
      <c r="J52" s="585"/>
      <c r="K52" s="585"/>
      <c r="L52" s="550"/>
      <c r="M52" s="622"/>
      <c r="N52" s="622"/>
      <c r="O52" s="622"/>
      <c r="P52" s="585"/>
      <c r="Q52" s="550"/>
      <c r="R52" s="622">
        <v>0</v>
      </c>
      <c r="S52" s="622">
        <v>0</v>
      </c>
      <c r="T52" s="622">
        <v>0</v>
      </c>
      <c r="U52" s="602">
        <f>T52</f>
        <v>0</v>
      </c>
      <c r="V52" s="550">
        <f>U52</f>
        <v>0</v>
      </c>
      <c r="W52" s="602">
        <f t="shared" si="22"/>
        <v>0</v>
      </c>
      <c r="X52" s="602">
        <f t="shared" si="22"/>
        <v>0</v>
      </c>
      <c r="Y52" s="602">
        <f t="shared" ref="Y52:AF52" si="24">X52</f>
        <v>0</v>
      </c>
      <c r="Z52" s="602">
        <f t="shared" si="24"/>
        <v>0</v>
      </c>
      <c r="AA52" s="550">
        <f t="shared" si="24"/>
        <v>0</v>
      </c>
      <c r="AB52" s="602">
        <f t="shared" si="24"/>
        <v>0</v>
      </c>
      <c r="AC52" s="602">
        <f t="shared" si="24"/>
        <v>0</v>
      </c>
      <c r="AD52" s="602">
        <f t="shared" si="24"/>
        <v>0</v>
      </c>
      <c r="AE52" s="602">
        <f t="shared" si="24"/>
        <v>0</v>
      </c>
      <c r="AF52" s="550">
        <f t="shared" si="24"/>
        <v>0</v>
      </c>
      <c r="AG52" s="602">
        <f t="shared" si="23"/>
        <v>0</v>
      </c>
      <c r="AH52" s="602">
        <f t="shared" si="23"/>
        <v>0</v>
      </c>
      <c r="AI52" s="602">
        <f t="shared" si="23"/>
        <v>0</v>
      </c>
      <c r="AJ52" s="602">
        <f>AI52</f>
        <v>0</v>
      </c>
      <c r="AK52" s="550">
        <f t="shared" si="20"/>
        <v>0</v>
      </c>
    </row>
    <row r="53" spans="1:37" s="605" customFormat="1" ht="12.75" customHeight="1">
      <c r="A53" s="603"/>
      <c r="B53" s="387" t="s">
        <v>248</v>
      </c>
      <c r="C53" s="585"/>
      <c r="D53" s="585"/>
      <c r="E53" s="585"/>
      <c r="F53" s="585"/>
      <c r="G53" s="550"/>
      <c r="H53" s="585"/>
      <c r="I53" s="585"/>
      <c r="J53" s="585"/>
      <c r="K53" s="585">
        <v>-32.054000000000002</v>
      </c>
      <c r="L53" s="550">
        <f t="shared" si="15"/>
        <v>-32.054000000000002</v>
      </c>
      <c r="M53" s="622">
        <v>-32.054000000000002</v>
      </c>
      <c r="N53" s="622">
        <v>-32.054000000000002</v>
      </c>
      <c r="O53" s="622">
        <v>-33.524000000000001</v>
      </c>
      <c r="P53" s="585">
        <v>-33.524000000000001</v>
      </c>
      <c r="Q53" s="550">
        <f t="shared" si="16"/>
        <v>-33.524000000000001</v>
      </c>
      <c r="R53" s="620">
        <v>-33.524000000000001</v>
      </c>
      <c r="S53" s="620">
        <v>-33.524000000000001</v>
      </c>
      <c r="T53" s="620">
        <v>-33.524000000000001</v>
      </c>
      <c r="U53" s="552">
        <f t="shared" ref="U53:AF53" si="25">T53</f>
        <v>-33.524000000000001</v>
      </c>
      <c r="V53" s="550">
        <f t="shared" si="25"/>
        <v>-33.524000000000001</v>
      </c>
      <c r="W53" s="552">
        <f t="shared" si="22"/>
        <v>-33.524000000000001</v>
      </c>
      <c r="X53" s="552">
        <f t="shared" si="22"/>
        <v>-33.524000000000001</v>
      </c>
      <c r="Y53" s="552">
        <f t="shared" si="17"/>
        <v>-33.524000000000001</v>
      </c>
      <c r="Z53" s="552">
        <f t="shared" si="17"/>
        <v>-33.524000000000001</v>
      </c>
      <c r="AA53" s="550">
        <f t="shared" si="25"/>
        <v>-33.524000000000001</v>
      </c>
      <c r="AB53" s="552">
        <f t="shared" si="25"/>
        <v>-33.524000000000001</v>
      </c>
      <c r="AC53" s="552">
        <f t="shared" si="25"/>
        <v>-33.524000000000001</v>
      </c>
      <c r="AD53" s="552">
        <f t="shared" si="25"/>
        <v>-33.524000000000001</v>
      </c>
      <c r="AE53" s="552">
        <f t="shared" si="25"/>
        <v>-33.524000000000001</v>
      </c>
      <c r="AF53" s="550">
        <f t="shared" si="25"/>
        <v>-33.524000000000001</v>
      </c>
      <c r="AG53" s="552">
        <f t="shared" si="23"/>
        <v>-33.524000000000001</v>
      </c>
      <c r="AH53" s="552">
        <f t="shared" si="23"/>
        <v>-33.524000000000001</v>
      </c>
      <c r="AI53" s="552">
        <f t="shared" si="23"/>
        <v>-33.524000000000001</v>
      </c>
      <c r="AJ53" s="552">
        <f>AI53</f>
        <v>-33.524000000000001</v>
      </c>
      <c r="AK53" s="550">
        <f t="shared" si="20"/>
        <v>-33.524000000000001</v>
      </c>
    </row>
    <row r="54" spans="1:37" s="605" customFormat="1" ht="12.75" customHeight="1">
      <c r="A54" s="603"/>
      <c r="B54" s="387" t="s">
        <v>249</v>
      </c>
      <c r="C54" s="585"/>
      <c r="D54" s="585"/>
      <c r="E54" s="585"/>
      <c r="F54" s="585"/>
      <c r="G54" s="550"/>
      <c r="H54" s="585"/>
      <c r="I54" s="585"/>
      <c r="J54" s="585"/>
      <c r="K54" s="585">
        <v>48.396999999999998</v>
      </c>
      <c r="L54" s="550">
        <f t="shared" si="15"/>
        <v>48.396999999999998</v>
      </c>
      <c r="M54" s="622">
        <v>58.622999999999998</v>
      </c>
      <c r="N54" s="622">
        <v>53.231000000000002</v>
      </c>
      <c r="O54" s="622">
        <v>1114.242</v>
      </c>
      <c r="P54" s="585">
        <v>1096.1600000000001</v>
      </c>
      <c r="Q54" s="550">
        <f t="shared" si="16"/>
        <v>1096.1600000000001</v>
      </c>
      <c r="R54" s="620">
        <v>3730.5210000000002</v>
      </c>
      <c r="S54" s="620">
        <v>4772.8249999999998</v>
      </c>
      <c r="T54" s="620">
        <v>6104.3289999999997</v>
      </c>
      <c r="U54" s="552">
        <f>T54+'IS (Non-GAAP)'!U106+CF!U62+U110</f>
        <v>6173.7585927250875</v>
      </c>
      <c r="V54" s="550">
        <f>U54</f>
        <v>6173.7585927250875</v>
      </c>
      <c r="W54" s="552">
        <f>V54+'IS (Non-GAAP)'!W106+CF!W62+W110</f>
        <v>6316.2947331417445</v>
      </c>
      <c r="X54" s="552">
        <f>W54+'IS (Non-GAAP)'!X106+CF!X62+X110</f>
        <v>6420.0414645783658</v>
      </c>
      <c r="Y54" s="552">
        <f>X54+'IS (Non-GAAP)'!Y106+CF!Y62+Y110</f>
        <v>6528.6010411397638</v>
      </c>
      <c r="Z54" s="552">
        <f>Y54+'IS (Non-GAAP)'!Z106+CF!Z62+Z110</f>
        <v>6637.740751207707</v>
      </c>
      <c r="AA54" s="550">
        <f>Z54</f>
        <v>6637.740751207707</v>
      </c>
      <c r="AB54" s="552">
        <f>AA54+'IS (Non-GAAP)'!AB106+CF!AB62+AB110</f>
        <v>6734.9368936974133</v>
      </c>
      <c r="AC54" s="552">
        <f>AB54+'IS (Non-GAAP)'!AC106+CF!AC62+AC110</f>
        <v>6872.6820482574249</v>
      </c>
      <c r="AD54" s="552">
        <f>AC54+'IS (Non-GAAP)'!AD106+CF!AD62+AD110</f>
        <v>6962.1587030130013</v>
      </c>
      <c r="AE54" s="552">
        <f>AD54+'IS (Non-GAAP)'!AE106+CF!AE62+AE110</f>
        <v>7094.1372352762583</v>
      </c>
      <c r="AF54" s="550">
        <f>AE54</f>
        <v>7094.1372352762583</v>
      </c>
      <c r="AG54" s="552">
        <f>AF54+'IS (Non-GAAP)'!AG106+CF!AG62+AG110</f>
        <v>7207.5615262775827</v>
      </c>
      <c r="AH54" s="552">
        <f>AG54+'IS (Non-GAAP)'!AH106+CF!AH62+AH110</f>
        <v>7319.5822704894281</v>
      </c>
      <c r="AI54" s="552">
        <f>AH54+'IS (Non-GAAP)'!AI106+CF!AI62+AI110</f>
        <v>7411.5326988867919</v>
      </c>
      <c r="AJ54" s="552">
        <f>AI54+'IS (Non-GAAP)'!AJ106+CF!AJ62+AJ110</f>
        <v>7499.792142977296</v>
      </c>
      <c r="AK54" s="550">
        <f t="shared" si="20"/>
        <v>7499.792142977296</v>
      </c>
    </row>
    <row r="55" spans="1:37" s="605" customFormat="1" ht="12.75" customHeight="1">
      <c r="A55" s="603"/>
      <c r="B55" s="387" t="s">
        <v>250</v>
      </c>
      <c r="C55" s="585"/>
      <c r="D55" s="585"/>
      <c r="E55" s="585"/>
      <c r="F55" s="585"/>
      <c r="G55" s="550"/>
      <c r="H55" s="585"/>
      <c r="I55" s="585"/>
      <c r="J55" s="585"/>
      <c r="K55" s="585">
        <v>-0.14799999999999999</v>
      </c>
      <c r="L55" s="550">
        <f t="shared" si="15"/>
        <v>-0.14799999999999999</v>
      </c>
      <c r="M55" s="622">
        <v>-0.09</v>
      </c>
      <c r="N55" s="622">
        <v>-8.2000000000000003E-2</v>
      </c>
      <c r="O55" s="622">
        <v>0.01</v>
      </c>
      <c r="P55" s="585">
        <v>0</v>
      </c>
      <c r="Q55" s="550">
        <f t="shared" si="16"/>
        <v>0</v>
      </c>
      <c r="R55" s="620">
        <v>0</v>
      </c>
      <c r="S55" s="620">
        <v>-0.27100000000000002</v>
      </c>
      <c r="T55" s="620">
        <v>-1.284</v>
      </c>
      <c r="U55" s="552">
        <f>T55</f>
        <v>-1.284</v>
      </c>
      <c r="V55" s="550">
        <f>U55</f>
        <v>-1.284</v>
      </c>
      <c r="W55" s="552">
        <f>V55</f>
        <v>-1.284</v>
      </c>
      <c r="X55" s="552">
        <f>W55</f>
        <v>-1.284</v>
      </c>
      <c r="Y55" s="552">
        <f>X55</f>
        <v>-1.284</v>
      </c>
      <c r="Z55" s="552">
        <f>Y55</f>
        <v>-1.284</v>
      </c>
      <c r="AA55" s="550">
        <f>Z55</f>
        <v>-1.284</v>
      </c>
      <c r="AB55" s="552">
        <f>AA55</f>
        <v>-1.284</v>
      </c>
      <c r="AC55" s="552">
        <f>AB55</f>
        <v>-1.284</v>
      </c>
      <c r="AD55" s="552">
        <f>AC55</f>
        <v>-1.284</v>
      </c>
      <c r="AE55" s="552">
        <f>AD55</f>
        <v>-1.284</v>
      </c>
      <c r="AF55" s="550">
        <f>AE55</f>
        <v>-1.284</v>
      </c>
      <c r="AG55" s="552">
        <f>AF55</f>
        <v>-1.284</v>
      </c>
      <c r="AH55" s="552">
        <f>AG55</f>
        <v>-1.284</v>
      </c>
      <c r="AI55" s="552">
        <f>AH55</f>
        <v>-1.284</v>
      </c>
      <c r="AJ55" s="552">
        <f>AI55</f>
        <v>-1.284</v>
      </c>
      <c r="AK55" s="550">
        <f t="shared" si="20"/>
        <v>-1.284</v>
      </c>
    </row>
    <row r="56" spans="1:37" s="605" customFormat="1" ht="12.75" customHeight="1">
      <c r="A56" s="603"/>
      <c r="B56" s="387" t="s">
        <v>193</v>
      </c>
      <c r="C56" s="585"/>
      <c r="D56" s="585"/>
      <c r="E56" s="585"/>
      <c r="F56" s="585"/>
      <c r="G56" s="550"/>
      <c r="H56" s="585"/>
      <c r="I56" s="585"/>
      <c r="J56" s="585"/>
      <c r="K56" s="585">
        <v>-612.78700000000003</v>
      </c>
      <c r="L56" s="550">
        <f t="shared" si="15"/>
        <v>-612.78700000000003</v>
      </c>
      <c r="M56" s="622">
        <v>-742.03499999999997</v>
      </c>
      <c r="N56" s="622">
        <v>-1065.0319999999999</v>
      </c>
      <c r="O56" s="622">
        <v>-1424.865</v>
      </c>
      <c r="P56" s="585">
        <v>-1476.2349999999999</v>
      </c>
      <c r="Q56" s="550">
        <f t="shared" si="16"/>
        <v>-1476.2349999999999</v>
      </c>
      <c r="R56" s="620">
        <v>-1790.876</v>
      </c>
      <c r="S56" s="620">
        <v>-2081.3850000000002</v>
      </c>
      <c r="T56" s="620">
        <v>-2191.509</v>
      </c>
      <c r="U56" s="552">
        <f>T56+'IS (GAAP)'!U78</f>
        <v>-2477.9927206054654</v>
      </c>
      <c r="V56" s="550">
        <f>U56</f>
        <v>-2477.9927206054654</v>
      </c>
      <c r="W56" s="552">
        <f>V56+'IS (GAAP)'!W78</f>
        <v>-2706.4302852898199</v>
      </c>
      <c r="X56" s="552">
        <f>W56+'IS (GAAP)'!X78</f>
        <v>-2818.0273802045917</v>
      </c>
      <c r="Y56" s="552">
        <f>X56+'IS (GAAP)'!Y78</f>
        <v>-2960.0546505474163</v>
      </c>
      <c r="Z56" s="552">
        <f>Y56+'IS (GAAP)'!Z78</f>
        <v>-3030.1241458901413</v>
      </c>
      <c r="AA56" s="550">
        <f>Z56</f>
        <v>-3030.1241458901413</v>
      </c>
      <c r="AB56" s="552">
        <f>AA56+'IS (GAAP)'!AB78</f>
        <v>-3076.9551860504153</v>
      </c>
      <c r="AC56" s="552">
        <f>AB56+'IS (GAAP)'!AC78</f>
        <v>-3071.8270205047293</v>
      </c>
      <c r="AD56" s="552">
        <f>AC56+'IS (GAAP)'!AD78</f>
        <v>-3037.5616248057922</v>
      </c>
      <c r="AE56" s="552">
        <f>AD56+'IS (GAAP)'!AE78</f>
        <v>-3112.3317935922773</v>
      </c>
      <c r="AF56" s="550">
        <f>AE56</f>
        <v>-3112.3317935922773</v>
      </c>
      <c r="AG56" s="552">
        <f>AF56+'IS (GAAP)'!AG78</f>
        <v>-3152.0685917905207</v>
      </c>
      <c r="AH56" s="552">
        <f>AG56+'IS (GAAP)'!AH78</f>
        <v>-3131.2232520496195</v>
      </c>
      <c r="AI56" s="552">
        <f>AH56+'IS (GAAP)'!AI78</f>
        <v>-3128.0192013678261</v>
      </c>
      <c r="AJ56" s="552">
        <f>AI56+'IS (GAAP)'!AJ78</f>
        <v>-3245.3123717687017</v>
      </c>
      <c r="AK56" s="550">
        <f t="shared" si="20"/>
        <v>-3245.3123717687017</v>
      </c>
    </row>
    <row r="57" spans="1:37" s="605" customFormat="1" ht="12.75" customHeight="1">
      <c r="A57" s="606"/>
      <c r="B57" s="389" t="s">
        <v>251</v>
      </c>
      <c r="C57" s="588"/>
      <c r="D57" s="588"/>
      <c r="E57" s="588"/>
      <c r="F57" s="588"/>
      <c r="G57" s="469"/>
      <c r="H57" s="588"/>
      <c r="I57" s="588"/>
      <c r="J57" s="588"/>
      <c r="K57" s="588">
        <f t="shared" ref="K57:AK57" si="26">SUM(K49:K56)</f>
        <v>-131.90100000000012</v>
      </c>
      <c r="L57" s="469">
        <f t="shared" si="26"/>
        <v>-131.90100000000012</v>
      </c>
      <c r="M57" s="741">
        <f t="shared" si="26"/>
        <v>-156.26599999999996</v>
      </c>
      <c r="N57" s="741">
        <f t="shared" si="26"/>
        <v>678.42499999999995</v>
      </c>
      <c r="O57" s="741">
        <f t="shared" si="26"/>
        <v>1378.3609999999996</v>
      </c>
      <c r="P57" s="588">
        <f t="shared" si="26"/>
        <v>1308.5130000000006</v>
      </c>
      <c r="Q57" s="469">
        <f t="shared" si="26"/>
        <v>1308.5130000000006</v>
      </c>
      <c r="R57" s="588">
        <f t="shared" si="26"/>
        <v>3069.2820000000002</v>
      </c>
      <c r="S57" s="741">
        <f t="shared" si="26"/>
        <v>3820.8059999999996</v>
      </c>
      <c r="T57" s="588">
        <f t="shared" si="26"/>
        <v>3878.0140000000001</v>
      </c>
      <c r="U57" s="588">
        <f t="shared" si="26"/>
        <v>3660.9598721196226</v>
      </c>
      <c r="V57" s="469">
        <f t="shared" si="26"/>
        <v>3660.9598721196226</v>
      </c>
      <c r="W57" s="588">
        <f t="shared" si="26"/>
        <v>3575.0584478519249</v>
      </c>
      <c r="X57" s="588">
        <f t="shared" si="26"/>
        <v>3567.2080843737745</v>
      </c>
      <c r="Y57" s="588">
        <f t="shared" si="26"/>
        <v>3533.7403905923479</v>
      </c>
      <c r="Z57" s="588">
        <f t="shared" si="26"/>
        <v>3572.8106053175661</v>
      </c>
      <c r="AA57" s="469">
        <f t="shared" si="26"/>
        <v>3572.8106053175661</v>
      </c>
      <c r="AB57" s="588">
        <f t="shared" si="26"/>
        <v>3623.1757076469985</v>
      </c>
      <c r="AC57" s="588">
        <f t="shared" si="26"/>
        <v>3766.049027752696</v>
      </c>
      <c r="AD57" s="588">
        <f t="shared" si="26"/>
        <v>3889.7910782072095</v>
      </c>
      <c r="AE57" s="588">
        <f t="shared" si="26"/>
        <v>3946.9994416839813</v>
      </c>
      <c r="AF57" s="469">
        <f t="shared" si="26"/>
        <v>3946.9994416839813</v>
      </c>
      <c r="AG57" s="588">
        <f t="shared" si="26"/>
        <v>4020.6869344870624</v>
      </c>
      <c r="AH57" s="588">
        <f t="shared" si="26"/>
        <v>4153.5530184398085</v>
      </c>
      <c r="AI57" s="588">
        <f t="shared" si="26"/>
        <v>4248.7074975189662</v>
      </c>
      <c r="AJ57" s="588">
        <f t="shared" si="26"/>
        <v>4219.6737712085942</v>
      </c>
      <c r="AK57" s="469">
        <f t="shared" si="26"/>
        <v>4219.6737712085942</v>
      </c>
    </row>
    <row r="58" spans="1:37" s="605" customFormat="1" ht="12.75" customHeight="1">
      <c r="A58" s="606"/>
      <c r="B58" s="389" t="s">
        <v>252</v>
      </c>
      <c r="C58" s="588"/>
      <c r="D58" s="588"/>
      <c r="E58" s="588"/>
      <c r="F58" s="588"/>
      <c r="G58" s="469"/>
      <c r="H58" s="588"/>
      <c r="I58" s="588"/>
      <c r="J58" s="588"/>
      <c r="K58" s="588">
        <f t="shared" ref="K58:AK58" si="27">K57+K46</f>
        <v>4976.9750000000013</v>
      </c>
      <c r="L58" s="469">
        <f t="shared" si="27"/>
        <v>4976.9750000000013</v>
      </c>
      <c r="M58" s="741">
        <f t="shared" si="27"/>
        <v>8202.7919999999995</v>
      </c>
      <c r="N58" s="741">
        <f t="shared" si="27"/>
        <v>10779.397999999999</v>
      </c>
      <c r="O58" s="741">
        <f t="shared" si="27"/>
        <v>14136.371999999998</v>
      </c>
      <c r="P58" s="588">
        <f t="shared" si="27"/>
        <v>17832.598999999998</v>
      </c>
      <c r="Q58" s="469">
        <f t="shared" si="27"/>
        <v>17832.598999999998</v>
      </c>
      <c r="R58" s="588">
        <f t="shared" si="27"/>
        <v>21860.382999999994</v>
      </c>
      <c r="S58" s="741">
        <f>S57+S46</f>
        <v>26241.362999999998</v>
      </c>
      <c r="T58" s="588">
        <f t="shared" si="27"/>
        <v>32910.498</v>
      </c>
      <c r="U58" s="588">
        <f t="shared" si="27"/>
        <v>39755.443968393847</v>
      </c>
      <c r="V58" s="469">
        <f t="shared" si="27"/>
        <v>39755.443968393847</v>
      </c>
      <c r="W58" s="588">
        <f t="shared" si="27"/>
        <v>49422.767643624502</v>
      </c>
      <c r="X58" s="588">
        <f t="shared" si="27"/>
        <v>57658.58631950523</v>
      </c>
      <c r="Y58" s="588">
        <f t="shared" si="27"/>
        <v>61577.898985560132</v>
      </c>
      <c r="Z58" s="588">
        <f t="shared" si="27"/>
        <v>62544.493589060003</v>
      </c>
      <c r="AA58" s="469">
        <f t="shared" si="27"/>
        <v>62544.493589060003</v>
      </c>
      <c r="AB58" s="588">
        <f t="shared" si="27"/>
        <v>64406.590465450077</v>
      </c>
      <c r="AC58" s="588">
        <f t="shared" si="27"/>
        <v>72620.74558798263</v>
      </c>
      <c r="AD58" s="588">
        <f t="shared" si="27"/>
        <v>77948.415839480149</v>
      </c>
      <c r="AE58" s="588">
        <f t="shared" si="27"/>
        <v>79605.609665958094</v>
      </c>
      <c r="AF58" s="469">
        <f t="shared" si="27"/>
        <v>79605.609665958094</v>
      </c>
      <c r="AG58" s="588" t="e">
        <f t="shared" si="27"/>
        <v>#REF!</v>
      </c>
      <c r="AH58" s="588" t="e">
        <f t="shared" si="27"/>
        <v>#REF!</v>
      </c>
      <c r="AI58" s="588" t="e">
        <f t="shared" si="27"/>
        <v>#REF!</v>
      </c>
      <c r="AJ58" s="588" t="e">
        <f t="shared" si="27"/>
        <v>#REF!</v>
      </c>
      <c r="AK58" s="469" t="e">
        <f t="shared" si="27"/>
        <v>#REF!</v>
      </c>
    </row>
    <row r="59" spans="1:37" s="246" customFormat="1" ht="12.75" customHeight="1">
      <c r="A59" s="1280"/>
      <c r="B59" s="390"/>
      <c r="C59" s="420"/>
      <c r="D59" s="420"/>
      <c r="E59" s="420"/>
      <c r="F59" s="420"/>
      <c r="G59" s="382"/>
      <c r="H59" s="420"/>
      <c r="I59" s="420"/>
      <c r="J59" s="420"/>
      <c r="K59" s="420"/>
      <c r="L59" s="382"/>
      <c r="M59" s="520"/>
      <c r="N59" s="520"/>
      <c r="O59" s="520"/>
      <c r="P59" s="420"/>
      <c r="Q59" s="382"/>
      <c r="R59" s="420"/>
      <c r="S59" s="520"/>
      <c r="T59" s="420"/>
      <c r="U59" s="420"/>
      <c r="V59" s="382"/>
      <c r="W59" s="420"/>
      <c r="X59" s="420"/>
      <c r="Y59" s="420"/>
      <c r="Z59" s="420"/>
      <c r="AA59" s="382"/>
      <c r="AB59" s="420"/>
      <c r="AC59" s="420"/>
      <c r="AD59" s="420"/>
      <c r="AE59" s="420"/>
      <c r="AF59" s="382"/>
      <c r="AG59" s="420"/>
      <c r="AH59" s="420"/>
      <c r="AI59" s="420"/>
      <c r="AJ59" s="420"/>
      <c r="AK59" s="382"/>
    </row>
    <row r="60" spans="1:37" s="474" customFormat="1" ht="12.75" customHeight="1">
      <c r="A60" s="1282"/>
      <c r="B60" s="742" t="s">
        <v>67</v>
      </c>
      <c r="C60" s="473"/>
      <c r="D60" s="473"/>
      <c r="E60" s="473"/>
      <c r="F60" s="473"/>
      <c r="G60" s="683"/>
      <c r="H60" s="684"/>
      <c r="I60" s="684"/>
      <c r="J60" s="684"/>
      <c r="K60" s="684" t="str">
        <f t="shared" ref="K60:AK60" si="28">IF(AND(K27-K58&lt;0.0005,K27-K58&gt;-0.0005),"OK",K27-K58)</f>
        <v>OK</v>
      </c>
      <c r="L60" s="683" t="str">
        <f t="shared" si="28"/>
        <v>OK</v>
      </c>
      <c r="M60" s="684" t="str">
        <f t="shared" si="28"/>
        <v>OK</v>
      </c>
      <c r="N60" s="684" t="str">
        <f t="shared" si="28"/>
        <v>OK</v>
      </c>
      <c r="O60" s="684" t="str">
        <f t="shared" si="28"/>
        <v>OK</v>
      </c>
      <c r="P60" s="684" t="str">
        <f t="shared" si="28"/>
        <v>OK</v>
      </c>
      <c r="Q60" s="683" t="str">
        <f t="shared" si="28"/>
        <v>OK</v>
      </c>
      <c r="R60" s="684" t="str">
        <f t="shared" si="28"/>
        <v>OK</v>
      </c>
      <c r="S60" s="684" t="str">
        <f>IF(AND(S27-S58&lt;0.0005,S27-S58&gt;-0.0005),"OK",S27-S58)</f>
        <v>OK</v>
      </c>
      <c r="T60" s="684" t="str">
        <f>IF(AND(T27-T58&lt;0.0005,T27-T58&gt;-0.0005),"OK",T27-T58)</f>
        <v>OK</v>
      </c>
      <c r="U60" s="684" t="str">
        <f t="shared" si="28"/>
        <v>OK</v>
      </c>
      <c r="V60" s="683" t="str">
        <f t="shared" si="28"/>
        <v>OK</v>
      </c>
      <c r="W60" s="684" t="str">
        <f t="shared" si="28"/>
        <v>OK</v>
      </c>
      <c r="X60" s="684" t="str">
        <f t="shared" si="28"/>
        <v>OK</v>
      </c>
      <c r="Y60" s="684" t="str">
        <f t="shared" si="28"/>
        <v>OK</v>
      </c>
      <c r="Z60" s="684" t="str">
        <f t="shared" si="28"/>
        <v>OK</v>
      </c>
      <c r="AA60" s="683" t="str">
        <f t="shared" si="28"/>
        <v>OK</v>
      </c>
      <c r="AB60" s="684" t="str">
        <f t="shared" si="28"/>
        <v>OK</v>
      </c>
      <c r="AC60" s="684" t="str">
        <f t="shared" si="28"/>
        <v>OK</v>
      </c>
      <c r="AD60" s="684" t="str">
        <f t="shared" si="28"/>
        <v>OK</v>
      </c>
      <c r="AE60" s="684" t="str">
        <f t="shared" si="28"/>
        <v>OK</v>
      </c>
      <c r="AF60" s="683" t="str">
        <f t="shared" si="28"/>
        <v>OK</v>
      </c>
      <c r="AG60" s="684" t="e">
        <f t="shared" si="28"/>
        <v>#REF!</v>
      </c>
      <c r="AH60" s="684" t="e">
        <f t="shared" si="28"/>
        <v>#REF!</v>
      </c>
      <c r="AI60" s="684" t="e">
        <f t="shared" si="28"/>
        <v>#REF!</v>
      </c>
      <c r="AJ60" s="684" t="e">
        <f t="shared" si="28"/>
        <v>#REF!</v>
      </c>
      <c r="AK60" s="683" t="e">
        <f t="shared" si="28"/>
        <v>#REF!</v>
      </c>
    </row>
    <row r="61" spans="1:37" s="89" customFormat="1" ht="12.75" customHeight="1">
      <c r="A61" s="103"/>
      <c r="B61" s="484"/>
      <c r="C61" s="105"/>
      <c r="D61" s="105"/>
      <c r="E61" s="105"/>
      <c r="F61" s="105"/>
      <c r="G61" s="96"/>
      <c r="H61" s="105"/>
      <c r="I61" s="105"/>
      <c r="J61" s="105"/>
      <c r="K61" s="105"/>
      <c r="L61" s="96"/>
      <c r="M61" s="1024"/>
      <c r="N61" s="1024"/>
      <c r="O61" s="1024"/>
      <c r="P61" s="1024"/>
      <c r="Q61" s="96"/>
      <c r="R61" s="1024"/>
      <c r="S61" s="1024"/>
      <c r="T61" s="1024"/>
      <c r="U61" s="105"/>
      <c r="V61" s="96"/>
      <c r="W61" s="105"/>
      <c r="X61" s="105"/>
      <c r="Y61" s="105"/>
      <c r="Z61" s="105"/>
      <c r="AA61" s="96"/>
      <c r="AB61" s="105"/>
      <c r="AC61" s="105"/>
      <c r="AD61" s="105"/>
      <c r="AE61" s="105"/>
      <c r="AF61" s="96"/>
      <c r="AG61" s="105"/>
      <c r="AH61" s="105"/>
      <c r="AI61" s="105"/>
      <c r="AJ61" s="105"/>
      <c r="AK61" s="96"/>
    </row>
    <row r="62" spans="1:37" s="89" customFormat="1" ht="12.75" customHeight="1">
      <c r="A62" s="103"/>
      <c r="B62" s="386" t="s">
        <v>86</v>
      </c>
      <c r="C62" s="105"/>
      <c r="D62" s="105"/>
      <c r="E62" s="105"/>
      <c r="F62" s="105"/>
      <c r="G62" s="96"/>
      <c r="H62" s="105"/>
      <c r="I62" s="105"/>
      <c r="J62" s="105"/>
      <c r="K62" s="105"/>
      <c r="L62" s="96"/>
      <c r="M62" s="105"/>
      <c r="N62" s="105"/>
      <c r="O62" s="105"/>
      <c r="P62" s="105"/>
      <c r="Q62" s="96"/>
      <c r="R62" s="105"/>
      <c r="S62" s="105"/>
      <c r="T62" s="105"/>
      <c r="U62" s="105"/>
      <c r="V62" s="96"/>
      <c r="W62" s="105"/>
      <c r="X62" s="105"/>
      <c r="Y62" s="105"/>
      <c r="Z62" s="105"/>
      <c r="AA62" s="96"/>
      <c r="AB62" s="105"/>
      <c r="AC62" s="105"/>
      <c r="AD62" s="105"/>
      <c r="AE62" s="105"/>
      <c r="AF62" s="96"/>
      <c r="AG62" s="105"/>
      <c r="AH62" s="105"/>
      <c r="AI62" s="105"/>
      <c r="AJ62" s="105"/>
      <c r="AK62" s="96"/>
    </row>
    <row r="63" spans="1:37" s="246" customFormat="1" ht="12.75" hidden="1" customHeight="1" outlineLevel="1">
      <c r="A63" s="1283"/>
      <c r="B63" s="392" t="s">
        <v>29</v>
      </c>
      <c r="C63" s="496"/>
      <c r="D63" s="496"/>
      <c r="E63" s="496"/>
      <c r="F63" s="496"/>
      <c r="G63" s="497">
        <f>'KPI Summary'!G10</f>
        <v>15.83</v>
      </c>
      <c r="H63" s="498">
        <f>'KPI Summary'!H10</f>
        <v>7.9236842923050173</v>
      </c>
      <c r="I63" s="496">
        <f>'KPI Summary'!I10</f>
        <v>29.843600214370358</v>
      </c>
      <c r="J63" s="496">
        <f>'KPI Summary'!J10</f>
        <v>75.178825237918673</v>
      </c>
      <c r="K63" s="496">
        <f>'KPI Summary'!K10</f>
        <v>115.99689025540596</v>
      </c>
      <c r="L63" s="497">
        <f>'KPI Summary'!L10</f>
        <v>228.94300000000001</v>
      </c>
      <c r="M63" s="496">
        <f>'KPI Summary'!M10</f>
        <v>188.684</v>
      </c>
      <c r="N63" s="496">
        <f>'KPI Summary'!N10</f>
        <v>395.37099999999998</v>
      </c>
      <c r="O63" s="496">
        <f>'KPI Summary'!O10</f>
        <v>583.94100000000003</v>
      </c>
      <c r="P63" s="496">
        <f>'KPI Summary'!P10</f>
        <v>747.43</v>
      </c>
      <c r="Q63" s="497">
        <f>'KPI Summary'!Q10</f>
        <v>1915.4259999999999</v>
      </c>
      <c r="R63" s="496">
        <f>'KPI Summary'!R10</f>
        <v>981.63199999999995</v>
      </c>
      <c r="S63" s="496">
        <f>'KPI Summary'!S10</f>
        <v>1212.788</v>
      </c>
      <c r="T63" s="496">
        <f>'KPI Summary'!T10</f>
        <v>1364.6759999999999</v>
      </c>
      <c r="U63" s="496">
        <f>'KPI Summary'!U10</f>
        <v>1542.8798383352844</v>
      </c>
      <c r="V63" s="497">
        <f>'KPI Summary'!V10</f>
        <v>5101.9758383352846</v>
      </c>
      <c r="W63" s="496">
        <f>'KPI Summary'!W10</f>
        <v>2227.1271940102652</v>
      </c>
      <c r="X63" s="496">
        <f>'KPI Summary'!X10</f>
        <v>2964.1923267606126</v>
      </c>
      <c r="Y63" s="496">
        <f>'KPI Summary'!Y10</f>
        <v>3289.6841382241842</v>
      </c>
      <c r="Z63" s="496">
        <f>'KPI Summary'!Z10</f>
        <v>3520.6358086433452</v>
      </c>
      <c r="AA63" s="497">
        <f>'KPI Summary'!AA10</f>
        <v>12001.639467638406</v>
      </c>
      <c r="AB63" s="496">
        <f>'KPI Summary'!AB10</f>
        <v>3811.6134309688914</v>
      </c>
      <c r="AC63" s="496">
        <f>'KPI Summary'!AC10</f>
        <v>4153.967972772637</v>
      </c>
      <c r="AD63" s="496">
        <f>'KPI Summary'!AD10</f>
        <v>4473.832737778841</v>
      </c>
      <c r="AE63" s="496">
        <f>'KPI Summary'!AE10</f>
        <v>4771.4757275279553</v>
      </c>
      <c r="AF63" s="497">
        <f>'KPI Summary'!AF10</f>
        <v>17210.889869048326</v>
      </c>
      <c r="AG63" s="496">
        <f>'KPI Summary'!AG10</f>
        <v>5118.4482278277555</v>
      </c>
      <c r="AH63" s="496">
        <f>'KPI Summary'!AH10</f>
        <v>5329.7806915375268</v>
      </c>
      <c r="AI63" s="496">
        <f>'KPI Summary'!AI10</f>
        <v>5519.2671656952671</v>
      </c>
      <c r="AJ63" s="496">
        <f>'KPI Summary'!AJ10</f>
        <v>5687.5931059802742</v>
      </c>
      <c r="AK63" s="497">
        <f>'KPI Summary'!AK10</f>
        <v>21655.089191040825</v>
      </c>
    </row>
    <row r="64" spans="1:37" s="246" customFormat="1" ht="12.75" hidden="1" customHeight="1" outlineLevel="1">
      <c r="A64" s="1283"/>
      <c r="B64" s="392" t="s">
        <v>452</v>
      </c>
      <c r="C64" s="496"/>
      <c r="D64" s="496"/>
      <c r="E64" s="496"/>
      <c r="F64" s="496"/>
      <c r="G64" s="497"/>
      <c r="H64" s="498"/>
      <c r="I64" s="496"/>
      <c r="J64" s="496"/>
      <c r="K64" s="496">
        <f>'IS (Non-GAAP)'!K14+'IS (Non-GAAP)'!K43-'Revenue and CapEx Build'!K101</f>
        <v>117.77188365121214</v>
      </c>
      <c r="L64" s="497">
        <f>'IS (Non-GAAP)'!L14+'IS (Non-GAAP)'!L43-'Revenue and CapEx Build'!L101</f>
        <v>125.03000000000002</v>
      </c>
      <c r="M64" s="496">
        <f>'IS (Non-GAAP)'!M14+'IS (Non-GAAP)'!M43-'Revenue and CapEx Build'!M101</f>
        <v>82.828000000000003</v>
      </c>
      <c r="N64" s="496">
        <f>'IS (Non-GAAP)'!N14+'IS (Non-GAAP)'!N43-'Revenue and CapEx Build'!N101</f>
        <v>142.15100000000001</v>
      </c>
      <c r="O64" s="496">
        <f>'IS (Non-GAAP)'!O14+'IS (Non-GAAP)'!O43-'Revenue and CapEx Build'!O101</f>
        <v>199.536</v>
      </c>
      <c r="P64" s="496">
        <f>'IS (Non-GAAP)'!P14+'IS (Non-GAAP)'!P43-'Revenue and CapEx Build'!P101</f>
        <v>260.79499999999996</v>
      </c>
      <c r="Q64" s="497">
        <f>'IS (Non-GAAP)'!Q14+'IS (Non-GAAP)'!Q43-'Revenue and CapEx Build'!Q101</f>
        <v>685.31000000000006</v>
      </c>
      <c r="R64" s="496">
        <f>'IS (Non-GAAP)'!R14+'IS (Non-GAAP)'!R43-'Revenue and CapEx Build'!R101</f>
        <v>361.01022222222224</v>
      </c>
      <c r="S64" s="496">
        <f>'IS (Non-GAAP)'!S14+'IS (Non-GAAP)'!S43-'Revenue and CapEx Build'!S101</f>
        <v>445.50776388888892</v>
      </c>
      <c r="T64" s="496">
        <f>'IS (Non-GAAP)'!T14+'IS (Non-GAAP)'!T43-'Revenue and CapEx Build'!T101</f>
        <v>517.11934722222213</v>
      </c>
      <c r="U64" s="496">
        <f>'IS (Non-GAAP)'!U14+'IS (Non-GAAP)'!U43-'Revenue and CapEx Build'!U101</f>
        <v>621.03045030494297</v>
      </c>
      <c r="V64" s="497">
        <f>'IS (Non-GAAP)'!V14+'IS (Non-GAAP)'!V43-'Revenue and CapEx Build'!V101</f>
        <v>2261.8459640799661</v>
      </c>
      <c r="W64" s="496">
        <f>'IS (Non-GAAP)'!W14+'IS (Non-GAAP)'!W43-'Revenue and CapEx Build'!W101</f>
        <v>673.62765984879866</v>
      </c>
      <c r="X64" s="496">
        <f>'IS (Non-GAAP)'!X14+'IS (Non-GAAP)'!X43-'Revenue and CapEx Build'!X101</f>
        <v>1050.5093585217739</v>
      </c>
      <c r="Y64" s="496">
        <f>'IS (Non-GAAP)'!Y14+'IS (Non-GAAP)'!Y43-'Revenue and CapEx Build'!Y101</f>
        <v>1199.4876874240776</v>
      </c>
      <c r="Z64" s="496">
        <f>'IS (Non-GAAP)'!Z14+'IS (Non-GAAP)'!Z43-'Revenue and CapEx Build'!Z101</f>
        <v>1230.0122346041087</v>
      </c>
      <c r="AA64" s="497">
        <f>'IS (Non-GAAP)'!AA14+'IS (Non-GAAP)'!AA43-'Revenue and CapEx Build'!AA101</f>
        <v>4153.6369403987592</v>
      </c>
      <c r="AB64" s="496">
        <f>'IS (Non-GAAP)'!AB14+'IS (Non-GAAP)'!AB43-'Revenue and CapEx Build'!AB101</f>
        <v>1216.4885527708307</v>
      </c>
      <c r="AC64" s="496">
        <f>'IS (Non-GAAP)'!AC14+'IS (Non-GAAP)'!AC43-'Revenue and CapEx Build'!AC101</f>
        <v>1267.7105090757686</v>
      </c>
      <c r="AD64" s="496">
        <f>'IS (Non-GAAP)'!AD14+'IS (Non-GAAP)'!AD43-'Revenue and CapEx Build'!AD101</f>
        <v>1318.2414388279844</v>
      </c>
      <c r="AE64" s="496">
        <f>'IS (Non-GAAP)'!AE14+'IS (Non-GAAP)'!AE43-'Revenue and CapEx Build'!AE101</f>
        <v>1420.2630699266369</v>
      </c>
      <c r="AF64" s="497">
        <f>'IS (Non-GAAP)'!AF14+'IS (Non-GAAP)'!AF43-'Revenue and CapEx Build'!AF101</f>
        <v>5222.7035706012211</v>
      </c>
      <c r="AG64" s="496">
        <f>'IS (Non-GAAP)'!AG14+'IS (Non-GAAP)'!AG43-'Revenue and CapEx Build'!AG101</f>
        <v>1420.3660649621875</v>
      </c>
      <c r="AH64" s="496">
        <f>'IS (Non-GAAP)'!AH14+'IS (Non-GAAP)'!AH43-'Revenue and CapEx Build'!AH101</f>
        <v>1451.813300210536</v>
      </c>
      <c r="AI64" s="496">
        <f>'IS (Non-GAAP)'!AI14+'IS (Non-GAAP)'!AI43-'Revenue and CapEx Build'!AI101</f>
        <v>1426.1804894287143</v>
      </c>
      <c r="AJ64" s="496">
        <f>'IS (Non-GAAP)'!AJ14+'IS (Non-GAAP)'!AJ43-'Revenue and CapEx Build'!AJ101</f>
        <v>1475.4680618572543</v>
      </c>
      <c r="AK64" s="497">
        <f>'IS (Non-GAAP)'!AK14+'IS (Non-GAAP)'!AK43-'Revenue and CapEx Build'!AK101</f>
        <v>5773.8279164586911</v>
      </c>
    </row>
    <row r="65" spans="1:37" s="246" customFormat="1" ht="12.75" hidden="1" customHeight="1" outlineLevel="1">
      <c r="A65" s="1283"/>
      <c r="B65" s="392" t="s">
        <v>458</v>
      </c>
      <c r="C65" s="496"/>
      <c r="D65" s="496"/>
      <c r="E65" s="496"/>
      <c r="F65" s="496"/>
      <c r="G65" s="497"/>
      <c r="H65" s="496">
        <f>'IS (Non-GAAP)'!H14</f>
        <v>4.7868238671910994</v>
      </c>
      <c r="I65" s="496">
        <f>'IS (Non-GAAP)'!I14</f>
        <v>9.7875371176054795</v>
      </c>
      <c r="J65" s="496">
        <f>'IS (Non-GAAP)'!J14</f>
        <v>19.315416950616367</v>
      </c>
      <c r="K65" s="496">
        <f>'IS (Non-GAAP)'!K14</f>
        <v>34.89022206458705</v>
      </c>
      <c r="L65" s="497">
        <f>'IS (Non-GAAP)'!L14</f>
        <v>68.085999999999999</v>
      </c>
      <c r="M65" s="496">
        <f>'IS (Non-GAAP)'!M14</f>
        <v>58.832000000000001</v>
      </c>
      <c r="N65" s="496">
        <f>'IS (Non-GAAP)'!N14</f>
        <v>108.488</v>
      </c>
      <c r="O65" s="496">
        <f>'IS (Non-GAAP)'!O14</f>
        <v>142.863</v>
      </c>
      <c r="P65" s="496">
        <f>'IS (Non-GAAP)'!P14</f>
        <v>181.85974999999999</v>
      </c>
      <c r="Q65" s="497">
        <f>'IS (Non-GAAP)'!Q14</f>
        <v>492.04275000000001</v>
      </c>
      <c r="R65" s="496">
        <f>'IS (Non-GAAP)'!R14</f>
        <v>259.70100000000002</v>
      </c>
      <c r="S65" s="496">
        <f>'IS (Non-GAAP)'!S14</f>
        <v>309.96599999999995</v>
      </c>
      <c r="T65" s="496">
        <f>'IS (Non-GAAP)'!T14</f>
        <v>365.291</v>
      </c>
      <c r="U65" s="496">
        <f>'IS (Non-GAAP)'!U14</f>
        <v>412.9918889357873</v>
      </c>
      <c r="V65" s="497">
        <f>'IS (Non-GAAP)'!V14</f>
        <v>1347.9498889357872</v>
      </c>
      <c r="W65" s="496">
        <f>'IS (Non-GAAP)'!W14</f>
        <v>534.51052656246361</v>
      </c>
      <c r="X65" s="496">
        <f>'IS (Non-GAAP)'!X14</f>
        <v>711.40615842254692</v>
      </c>
      <c r="Y65" s="496">
        <f>'IS (Non-GAAP)'!Y14</f>
        <v>789.52419317380418</v>
      </c>
      <c r="Z65" s="496">
        <f>'IS (Non-GAAP)'!Z14</f>
        <v>844.9525940744029</v>
      </c>
      <c r="AA65" s="497">
        <f>'IS (Non-GAAP)'!AA14</f>
        <v>2880.3934722332178</v>
      </c>
      <c r="AB65" s="496">
        <f>'IS (Non-GAAP)'!AB14</f>
        <v>857.61302196800034</v>
      </c>
      <c r="AC65" s="496">
        <f>'IS (Non-GAAP)'!AC14</f>
        <v>934.6427938738434</v>
      </c>
      <c r="AD65" s="496">
        <f>'IS (Non-GAAP)'!AD14</f>
        <v>1006.612366000239</v>
      </c>
      <c r="AE65" s="496">
        <f>'IS (Non-GAAP)'!AE14</f>
        <v>1073.5820386937899</v>
      </c>
      <c r="AF65" s="497">
        <f>'IS (Non-GAAP)'!AF14</f>
        <v>3872.4502205358726</v>
      </c>
      <c r="AG65" s="496">
        <f>'IS (Non-GAAP)'!AG14</f>
        <v>1074.8741278438283</v>
      </c>
      <c r="AH65" s="496">
        <f>'IS (Non-GAAP)'!AH14</f>
        <v>1119.2539452228802</v>
      </c>
      <c r="AI65" s="496">
        <f>'IS (Non-GAAP)'!AI14</f>
        <v>1159.0461047960061</v>
      </c>
      <c r="AJ65" s="496">
        <f>'IS (Non-GAAP)'!AJ14</f>
        <v>1194.394552255857</v>
      </c>
      <c r="AK65" s="497">
        <f>'IS (Non-GAAP)'!AK14</f>
        <v>4547.5687301185717</v>
      </c>
    </row>
    <row r="66" spans="1:37" s="246" customFormat="1" ht="12.75" hidden="1" customHeight="1" outlineLevel="1">
      <c r="A66" s="1283"/>
      <c r="B66" s="392" t="s">
        <v>463</v>
      </c>
      <c r="C66" s="496"/>
      <c r="D66" s="496"/>
      <c r="E66" s="496"/>
      <c r="F66" s="496"/>
      <c r="G66" s="497"/>
      <c r="H66" s="496">
        <f>'IS (GAAP)'!H23</f>
        <v>8.8592249215478684</v>
      </c>
      <c r="I66" s="496">
        <f>'IS (GAAP)'!I23</f>
        <v>17.162370896997249</v>
      </c>
      <c r="J66" s="496">
        <f>'IS (GAAP)'!J23</f>
        <v>39.900803161776935</v>
      </c>
      <c r="K66" s="496">
        <f>'IS (GAAP)'!K23</f>
        <v>65.932601019677946</v>
      </c>
      <c r="L66" s="497">
        <f>'IS (GAAP)'!L23</f>
        <v>131.85499999999999</v>
      </c>
      <c r="M66" s="496">
        <f>'IS (GAAP)'!M23</f>
        <v>92.881</v>
      </c>
      <c r="N66" s="496">
        <f>'IS (GAAP)'!N23</f>
        <v>182.886</v>
      </c>
      <c r="O66" s="496">
        <f>'IS (GAAP)'!O23</f>
        <v>285.50900000000001</v>
      </c>
      <c r="P66" s="496">
        <f>'IS (GAAP)'!P23</f>
        <v>399.40899999999999</v>
      </c>
      <c r="Q66" s="497">
        <f>'IS (GAAP)'!Q23</f>
        <v>960.68500000000006</v>
      </c>
      <c r="R66" s="496">
        <f>'IS (GAAP)'!R23</f>
        <v>561.40200000000004</v>
      </c>
      <c r="S66" s="496">
        <f>'IS (GAAP)'!S23</f>
        <v>669.91300000000001</v>
      </c>
      <c r="T66" s="496">
        <f>'IS (GAAP)'!T23</f>
        <v>747.47900000000004</v>
      </c>
      <c r="U66" s="496">
        <f>'IS (GAAP)'!U23</f>
        <v>918.00514958508563</v>
      </c>
      <c r="V66" s="497">
        <f>'IS (GAAP)'!V23</f>
        <v>2896.7991495850856</v>
      </c>
      <c r="W66" s="496">
        <f>'IS (GAAP)'!W23</f>
        <v>1249.5853977416637</v>
      </c>
      <c r="X66" s="496">
        <f>'IS (GAAP)'!X23</f>
        <v>1614.4329170715087</v>
      </c>
      <c r="Y66" s="496">
        <f>'IS (GAAP)'!Y23</f>
        <v>1807.4273370717017</v>
      </c>
      <c r="Z66" s="496">
        <f>'IS (GAAP)'!Z23</f>
        <v>1915.6001676734047</v>
      </c>
      <c r="AA66" s="497">
        <f>'IS (GAAP)'!AA23</f>
        <v>6587.0458195582787</v>
      </c>
      <c r="AB66" s="496">
        <f>'IS (GAAP)'!AB23</f>
        <v>2097.755674821135</v>
      </c>
      <c r="AC66" s="496">
        <f>'IS (GAAP)'!AC23</f>
        <v>2289.3596324044302</v>
      </c>
      <c r="AD66" s="496">
        <f>'IS (GAAP)'!AD23</f>
        <v>2456.7758497550108</v>
      </c>
      <c r="AE66" s="496">
        <f>'IS (GAAP)'!AE23</f>
        <v>2712.6216335995014</v>
      </c>
      <c r="AF66" s="497">
        <f>'IS (GAAP)'!AF23</f>
        <v>9556.5127905800782</v>
      </c>
      <c r="AG66" s="496">
        <f>'IS (GAAP)'!AG23</f>
        <v>2888.1231540001959</v>
      </c>
      <c r="AH66" s="496">
        <f>'IS (GAAP)'!AH23</f>
        <v>3066.4276627248919</v>
      </c>
      <c r="AI66" s="496">
        <f>'IS (GAAP)'!AI23</f>
        <v>3185.8296426210268</v>
      </c>
      <c r="AJ66" s="496">
        <f>'IS (GAAP)'!AJ23</f>
        <v>3392.3535559999841</v>
      </c>
      <c r="AK66" s="497">
        <f>'IS (GAAP)'!AK23</f>
        <v>12532.734015346099</v>
      </c>
    </row>
    <row r="67" spans="1:37" s="246" customFormat="1" ht="12.75" hidden="1" customHeight="1" outlineLevel="1">
      <c r="A67" s="1283"/>
      <c r="B67" s="910" t="s">
        <v>682</v>
      </c>
      <c r="C67" s="496"/>
      <c r="D67" s="496"/>
      <c r="E67" s="496"/>
      <c r="F67" s="496"/>
      <c r="G67" s="497"/>
      <c r="H67" s="496">
        <f>'IS (Non-GAAP)'!H23</f>
        <v>8.8592249215478684</v>
      </c>
      <c r="I67" s="496">
        <f>'IS (Non-GAAP)'!I23</f>
        <v>17.162370896997249</v>
      </c>
      <c r="J67" s="496">
        <f>'IS (Non-GAAP)'!J23</f>
        <v>39.900803161776935</v>
      </c>
      <c r="K67" s="496">
        <f>'IS (Non-GAAP)'!K23</f>
        <v>65.932601019677946</v>
      </c>
      <c r="L67" s="497">
        <f>'IS (Non-GAAP)'!L23</f>
        <v>124.755</v>
      </c>
      <c r="M67" s="496">
        <f>'IS (Non-GAAP)'!M23</f>
        <v>90.524000000000001</v>
      </c>
      <c r="N67" s="496">
        <f>'IS (Non-GAAP)'!N23</f>
        <v>180.80599999999998</v>
      </c>
      <c r="O67" s="496">
        <f>'IS (Non-GAAP)'!O23</f>
        <v>283.34800000000001</v>
      </c>
      <c r="P67" s="496">
        <f>'IS (Non-GAAP)'!P23</f>
        <v>396.09474999999998</v>
      </c>
      <c r="Q67" s="497">
        <f>'IS (Non-GAAP)'!Q23</f>
        <v>950.77275000000009</v>
      </c>
      <c r="R67" s="496">
        <f>'IS (Non-GAAP)'!R23</f>
        <v>506.80300000000005</v>
      </c>
      <c r="S67" s="496">
        <f>'IS (Non-GAAP)'!S23</f>
        <v>622.23</v>
      </c>
      <c r="T67" s="496">
        <f>'IS (Non-GAAP)'!T23</f>
        <v>694.85599999999999</v>
      </c>
      <c r="U67" s="496">
        <f>'IS (Non-GAAP)'!U23</f>
        <v>895.17413499999986</v>
      </c>
      <c r="V67" s="497">
        <f>'IS (Non-GAAP)'!V23</f>
        <v>2719.0631349999999</v>
      </c>
      <c r="W67" s="496">
        <f>'IS (Non-GAAP)'!W23</f>
        <v>1201.1231100000002</v>
      </c>
      <c r="X67" s="496">
        <f>'IS (Non-GAAP)'!X23</f>
        <v>1580.4642000000001</v>
      </c>
      <c r="Y67" s="496">
        <f>'IS (Non-GAAP)'!Y23</f>
        <v>1771.8827999999999</v>
      </c>
      <c r="Z67" s="496">
        <f>'IS (Non-GAAP)'!Z23</f>
        <v>1879.8656834999997</v>
      </c>
      <c r="AA67" s="497">
        <f>'IS (Non-GAAP)'!AA23</f>
        <v>6433.3357935000004</v>
      </c>
      <c r="AB67" s="496">
        <f>'IS (Non-GAAP)'!AB23</f>
        <v>2065.9317492000005</v>
      </c>
      <c r="AC67" s="496">
        <f>'IS (Non-GAAP)'!AC23</f>
        <v>2244.2591640000001</v>
      </c>
      <c r="AD67" s="496">
        <f>'IS (Non-GAAP)'!AD23</f>
        <v>2427.4794360000001</v>
      </c>
      <c r="AE67" s="496">
        <f>'IS (Non-GAAP)'!AE23</f>
        <v>2669.4092705699995</v>
      </c>
      <c r="AF67" s="497">
        <f>'IS (Non-GAAP)'!AF23</f>
        <v>9407.0796197700001</v>
      </c>
      <c r="AG67" s="496">
        <f>'IS (Non-GAAP)'!AG23</f>
        <v>2850.9858138960003</v>
      </c>
      <c r="AH67" s="496">
        <f>'IS (Non-GAAP)'!AH23</f>
        <v>3029.7498714000003</v>
      </c>
      <c r="AI67" s="496">
        <f>'IS (Non-GAAP)'!AI23</f>
        <v>3155.7232668000001</v>
      </c>
      <c r="AJ67" s="496">
        <f>'IS (Non-GAAP)'!AJ23</f>
        <v>3363.4556809181995</v>
      </c>
      <c r="AK67" s="497">
        <f>'IS (Non-GAAP)'!AK23</f>
        <v>12399.914633014199</v>
      </c>
    </row>
    <row r="68" spans="1:37" s="246" customFormat="1" ht="12.75" hidden="1" customHeight="1" outlineLevel="1">
      <c r="A68" s="1283"/>
      <c r="B68" s="392" t="s">
        <v>465</v>
      </c>
      <c r="C68" s="496"/>
      <c r="D68" s="496"/>
      <c r="E68" s="496"/>
      <c r="F68" s="496"/>
      <c r="G68" s="497"/>
      <c r="H68" s="496"/>
      <c r="I68" s="496"/>
      <c r="J68" s="496"/>
      <c r="K68" s="501">
        <f t="shared" ref="K68:AK68" si="29">K34+K42</f>
        <v>472.44200000000001</v>
      </c>
      <c r="L68" s="704">
        <f t="shared" si="29"/>
        <v>472.44200000000001</v>
      </c>
      <c r="M68" s="501">
        <f t="shared" si="29"/>
        <v>898.80120000000011</v>
      </c>
      <c r="N68" s="501">
        <f t="shared" si="29"/>
        <v>1357.999</v>
      </c>
      <c r="O68" s="501">
        <f t="shared" si="29"/>
        <v>1793.8310000000001</v>
      </c>
      <c r="P68" s="501">
        <f t="shared" si="29"/>
        <v>2602.0159999999996</v>
      </c>
      <c r="Q68" s="704">
        <f t="shared" si="29"/>
        <v>2602.0159999999996</v>
      </c>
      <c r="R68" s="501">
        <f t="shared" si="29"/>
        <v>3107.3870000000002</v>
      </c>
      <c r="S68" s="501">
        <f>S34+S42</f>
        <v>3447.4719999999998</v>
      </c>
      <c r="T68" s="501">
        <f>T34+T42</f>
        <v>4724.3409999999994</v>
      </c>
      <c r="U68" s="501">
        <f t="shared" si="29"/>
        <v>5341.2608401706748</v>
      </c>
      <c r="V68" s="704">
        <f t="shared" si="29"/>
        <v>5341.2608401706748</v>
      </c>
      <c r="W68" s="501">
        <f t="shared" si="29"/>
        <v>6912.8721911315515</v>
      </c>
      <c r="X68" s="501">
        <f t="shared" si="29"/>
        <v>9200.6791349585219</v>
      </c>
      <c r="Y68" s="501">
        <f t="shared" si="29"/>
        <v>10210.986627929302</v>
      </c>
      <c r="Z68" s="501">
        <f t="shared" si="29"/>
        <v>10927.847067795423</v>
      </c>
      <c r="AA68" s="704">
        <f t="shared" si="29"/>
        <v>10927.847067795423</v>
      </c>
      <c r="AB68" s="501">
        <f t="shared" si="29"/>
        <v>10291.356263616006</v>
      </c>
      <c r="AC68" s="501">
        <f t="shared" si="29"/>
        <v>11215.713526486121</v>
      </c>
      <c r="AD68" s="501">
        <f t="shared" si="29"/>
        <v>12079.348392002868</v>
      </c>
      <c r="AE68" s="501">
        <f t="shared" si="29"/>
        <v>12882.984464325478</v>
      </c>
      <c r="AF68" s="704">
        <f t="shared" si="29"/>
        <v>12882.984464325478</v>
      </c>
      <c r="AG68" s="501">
        <f t="shared" si="29"/>
        <v>12898.48953412594</v>
      </c>
      <c r="AH68" s="501">
        <f t="shared" si="29"/>
        <v>13431.047342674563</v>
      </c>
      <c r="AI68" s="501">
        <f t="shared" si="29"/>
        <v>13908.553257552074</v>
      </c>
      <c r="AJ68" s="501">
        <f t="shared" si="29"/>
        <v>14332.734627070284</v>
      </c>
      <c r="AK68" s="704">
        <f t="shared" si="29"/>
        <v>14332.734627070284</v>
      </c>
    </row>
    <row r="69" spans="1:37" s="246" customFormat="1" ht="12.75" hidden="1" customHeight="1" outlineLevel="1">
      <c r="A69" s="1283" t="s">
        <v>210</v>
      </c>
      <c r="B69" s="392" t="s">
        <v>326</v>
      </c>
      <c r="C69" s="496"/>
      <c r="D69" s="496"/>
      <c r="E69" s="496"/>
      <c r="F69" s="496"/>
      <c r="G69" s="500"/>
      <c r="H69" s="498"/>
      <c r="I69" s="496"/>
      <c r="J69" s="496"/>
      <c r="K69" s="501">
        <f t="shared" ref="K69:AK69" si="30">K10+K11+K18</f>
        <v>480.07499999999999</v>
      </c>
      <c r="L69" s="704">
        <f t="shared" si="30"/>
        <v>480.07499999999999</v>
      </c>
      <c r="M69" s="501">
        <f t="shared" si="30"/>
        <v>1667.365</v>
      </c>
      <c r="N69" s="501">
        <f t="shared" si="30"/>
        <v>1239.8982000000001</v>
      </c>
      <c r="O69" s="501">
        <f t="shared" si="30"/>
        <v>1922.05</v>
      </c>
      <c r="P69" s="501">
        <f t="shared" si="30"/>
        <v>2035.8330000000001</v>
      </c>
      <c r="Q69" s="704">
        <f t="shared" si="30"/>
        <v>2035.8330000000001</v>
      </c>
      <c r="R69" s="501">
        <f t="shared" si="30"/>
        <v>2517.8159999999998</v>
      </c>
      <c r="S69" s="501">
        <f>S10+S11+S18</f>
        <v>2053.5830000000001</v>
      </c>
      <c r="T69" s="501">
        <f>T10+T11+T18</f>
        <v>2968.6909999999998</v>
      </c>
      <c r="U69" s="501">
        <f t="shared" si="30"/>
        <v>2302.6700115988879</v>
      </c>
      <c r="V69" s="704">
        <f t="shared" si="30"/>
        <v>2302.6700115988879</v>
      </c>
      <c r="W69" s="501">
        <f t="shared" si="30"/>
        <v>2127.730836887235</v>
      </c>
      <c r="X69" s="501">
        <f t="shared" si="30"/>
        <v>2143.0461488778797</v>
      </c>
      <c r="Y69" s="501">
        <f t="shared" si="30"/>
        <v>2209.7555297015474</v>
      </c>
      <c r="Z69" s="501">
        <f t="shared" si="30"/>
        <v>2650.4169392788995</v>
      </c>
      <c r="AA69" s="704">
        <f t="shared" si="30"/>
        <v>2650.4169392788995</v>
      </c>
      <c r="AB69" s="501">
        <f t="shared" si="30"/>
        <v>2292.7971022883335</v>
      </c>
      <c r="AC69" s="501">
        <f t="shared" si="30"/>
        <v>2534.3841737900852</v>
      </c>
      <c r="AD69" s="501">
        <f t="shared" si="30"/>
        <v>2821.9739156891796</v>
      </c>
      <c r="AE69" s="501">
        <f t="shared" si="30"/>
        <v>2896.6406457626936</v>
      </c>
      <c r="AF69" s="704">
        <f t="shared" si="30"/>
        <v>2896.6406457626936</v>
      </c>
      <c r="AG69" s="501">
        <f t="shared" si="30"/>
        <v>2647.2090591593233</v>
      </c>
      <c r="AH69" s="501">
        <f t="shared" si="30"/>
        <v>2740.134443688175</v>
      </c>
      <c r="AI69" s="501">
        <f t="shared" si="30"/>
        <v>3007.9646698620591</v>
      </c>
      <c r="AJ69" s="501">
        <f t="shared" si="30"/>
        <v>3513.4421098676817</v>
      </c>
      <c r="AK69" s="704">
        <f t="shared" si="30"/>
        <v>3513.4421098676817</v>
      </c>
    </row>
    <row r="70" spans="1:37" s="246" customFormat="1" ht="12.75" hidden="1" customHeight="1" outlineLevel="1">
      <c r="A70" s="1284" t="s">
        <v>150</v>
      </c>
      <c r="B70" s="392" t="s">
        <v>87</v>
      </c>
      <c r="C70" s="499"/>
      <c r="D70" s="499"/>
      <c r="E70" s="499"/>
      <c r="F70" s="499"/>
      <c r="G70" s="500"/>
      <c r="H70" s="499"/>
      <c r="I70" s="499"/>
      <c r="J70" s="499"/>
      <c r="K70" s="501">
        <f t="shared" ref="K70:AK70" si="31">K32+K39</f>
        <v>1523.2539999999999</v>
      </c>
      <c r="L70" s="502">
        <f t="shared" si="31"/>
        <v>1523.2539999999999</v>
      </c>
      <c r="M70" s="501">
        <f t="shared" si="31"/>
        <v>2458.0812000000001</v>
      </c>
      <c r="N70" s="501">
        <f t="shared" si="31"/>
        <v>3282.5790000000002</v>
      </c>
      <c r="O70" s="501">
        <f t="shared" si="31"/>
        <v>4451.0720000000001</v>
      </c>
      <c r="P70" s="501">
        <f t="shared" si="31"/>
        <v>7926.34</v>
      </c>
      <c r="Q70" s="502">
        <f t="shared" si="31"/>
        <v>7926.34</v>
      </c>
      <c r="R70" s="501">
        <f t="shared" si="31"/>
        <v>8711.6659999999993</v>
      </c>
      <c r="S70" s="501">
        <f>S32+S39</f>
        <v>11051.501</v>
      </c>
      <c r="T70" s="501">
        <f>T32+T39</f>
        <v>14034.933999999999</v>
      </c>
      <c r="U70" s="501">
        <f t="shared" si="31"/>
        <v>19475.545249999999</v>
      </c>
      <c r="V70" s="502">
        <f t="shared" si="31"/>
        <v>19475.545249999999</v>
      </c>
      <c r="W70" s="501">
        <f t="shared" si="31"/>
        <v>26436.652459999998</v>
      </c>
      <c r="X70" s="501">
        <f t="shared" si="31"/>
        <v>32185.436173400001</v>
      </c>
      <c r="Y70" s="501">
        <f t="shared" si="31"/>
        <v>34726.672463176998</v>
      </c>
      <c r="Z70" s="501">
        <f t="shared" si="31"/>
        <v>35141.739596122839</v>
      </c>
      <c r="AA70" s="502">
        <f t="shared" si="31"/>
        <v>35141.739596122839</v>
      </c>
      <c r="AB70" s="501">
        <f t="shared" si="31"/>
        <v>37970.570489971782</v>
      </c>
      <c r="AC70" s="501">
        <f t="shared" si="31"/>
        <v>42995.493188820728</v>
      </c>
      <c r="AD70" s="501">
        <f t="shared" si="31"/>
        <v>46447.265887669673</v>
      </c>
      <c r="AE70" s="501">
        <f t="shared" si="31"/>
        <v>47536.088586518621</v>
      </c>
      <c r="AF70" s="502">
        <f t="shared" si="31"/>
        <v>47536.088586518621</v>
      </c>
      <c r="AG70" s="501" t="e">
        <f t="shared" si="31"/>
        <v>#REF!</v>
      </c>
      <c r="AH70" s="501" t="e">
        <f t="shared" si="31"/>
        <v>#REF!</v>
      </c>
      <c r="AI70" s="501" t="e">
        <f t="shared" si="31"/>
        <v>#REF!</v>
      </c>
      <c r="AJ70" s="501" t="e">
        <f t="shared" si="31"/>
        <v>#REF!</v>
      </c>
      <c r="AK70" s="502" t="e">
        <f t="shared" si="31"/>
        <v>#REF!</v>
      </c>
    </row>
    <row r="71" spans="1:37" s="246" customFormat="1" ht="12.75" hidden="1" customHeight="1" outlineLevel="1">
      <c r="A71" s="1284" t="s">
        <v>148</v>
      </c>
      <c r="B71" s="392" t="s">
        <v>88</v>
      </c>
      <c r="C71" s="501"/>
      <c r="D71" s="501"/>
      <c r="E71" s="501"/>
      <c r="F71" s="501"/>
      <c r="G71" s="502"/>
      <c r="H71" s="501"/>
      <c r="I71" s="501"/>
      <c r="J71" s="501"/>
      <c r="K71" s="501">
        <f t="shared" ref="K71:AK71" si="32">K70-K69</f>
        <v>1043.1789999999999</v>
      </c>
      <c r="L71" s="502">
        <f t="shared" si="32"/>
        <v>1043.1789999999999</v>
      </c>
      <c r="M71" s="501">
        <f t="shared" si="32"/>
        <v>790.71620000000007</v>
      </c>
      <c r="N71" s="501">
        <f t="shared" si="32"/>
        <v>2042.6808000000001</v>
      </c>
      <c r="O71" s="501">
        <f t="shared" si="32"/>
        <v>2529.0219999999999</v>
      </c>
      <c r="P71" s="501">
        <f t="shared" si="32"/>
        <v>5890.5069999999996</v>
      </c>
      <c r="Q71" s="502">
        <f t="shared" si="32"/>
        <v>5890.5069999999996</v>
      </c>
      <c r="R71" s="501">
        <f t="shared" si="32"/>
        <v>6193.8499999999995</v>
      </c>
      <c r="S71" s="501">
        <f t="shared" si="32"/>
        <v>8997.9179999999997</v>
      </c>
      <c r="T71" s="501">
        <f>T70-T69</f>
        <v>11066.242999999999</v>
      </c>
      <c r="U71" s="501">
        <f t="shared" si="32"/>
        <v>17172.87523840111</v>
      </c>
      <c r="V71" s="502">
        <f t="shared" si="32"/>
        <v>17172.87523840111</v>
      </c>
      <c r="W71" s="501">
        <f t="shared" si="32"/>
        <v>24308.921623112761</v>
      </c>
      <c r="X71" s="501">
        <f t="shared" si="32"/>
        <v>30042.390024522123</v>
      </c>
      <c r="Y71" s="501">
        <f t="shared" si="32"/>
        <v>32516.916933475452</v>
      </c>
      <c r="Z71" s="501">
        <f t="shared" si="32"/>
        <v>32491.322656843939</v>
      </c>
      <c r="AA71" s="502">
        <f t="shared" si="32"/>
        <v>32491.322656843939</v>
      </c>
      <c r="AB71" s="501">
        <f t="shared" si="32"/>
        <v>35677.773387683446</v>
      </c>
      <c r="AC71" s="501">
        <f t="shared" si="32"/>
        <v>40461.109015030641</v>
      </c>
      <c r="AD71" s="501">
        <f t="shared" si="32"/>
        <v>43625.291971980492</v>
      </c>
      <c r="AE71" s="501">
        <f t="shared" si="32"/>
        <v>44639.447940755927</v>
      </c>
      <c r="AF71" s="502">
        <f t="shared" si="32"/>
        <v>44639.447940755927</v>
      </c>
      <c r="AG71" s="501" t="e">
        <f t="shared" si="32"/>
        <v>#REF!</v>
      </c>
      <c r="AH71" s="501" t="e">
        <f t="shared" si="32"/>
        <v>#REF!</v>
      </c>
      <c r="AI71" s="501" t="e">
        <f t="shared" si="32"/>
        <v>#REF!</v>
      </c>
      <c r="AJ71" s="501" t="e">
        <f t="shared" si="32"/>
        <v>#REF!</v>
      </c>
      <c r="AK71" s="502" t="e">
        <f t="shared" si="32"/>
        <v>#REF!</v>
      </c>
    </row>
    <row r="72" spans="1:37" s="89" customFormat="1" ht="12.75" customHeight="1" collapsed="1">
      <c r="A72" s="78"/>
      <c r="B72" s="393"/>
      <c r="C72" s="106"/>
      <c r="D72" s="107"/>
      <c r="E72" s="107"/>
      <c r="F72" s="107"/>
      <c r="G72" s="108"/>
      <c r="H72" s="106"/>
      <c r="I72" s="107"/>
      <c r="J72" s="107"/>
      <c r="K72" s="107"/>
      <c r="L72" s="108"/>
      <c r="M72" s="106"/>
      <c r="N72" s="107"/>
      <c r="O72" s="107"/>
      <c r="P72" s="107"/>
      <c r="Q72" s="108"/>
      <c r="R72" s="106"/>
      <c r="S72" s="107"/>
      <c r="T72" s="107"/>
      <c r="U72" s="107"/>
      <c r="V72" s="108"/>
      <c r="W72" s="106"/>
      <c r="X72" s="107"/>
      <c r="Y72" s="107"/>
      <c r="Z72" s="107"/>
      <c r="AA72" s="108"/>
      <c r="AB72" s="106"/>
      <c r="AC72" s="107"/>
      <c r="AD72" s="107"/>
      <c r="AE72" s="107"/>
      <c r="AF72" s="108"/>
      <c r="AG72" s="106"/>
      <c r="AH72" s="107"/>
      <c r="AI72" s="107"/>
      <c r="AJ72" s="107"/>
      <c r="AK72" s="108"/>
    </row>
    <row r="73" spans="1:37" s="89" customFormat="1" ht="12.75" customHeight="1">
      <c r="A73" s="78"/>
      <c r="B73" s="380" t="s">
        <v>119</v>
      </c>
      <c r="C73" s="99"/>
      <c r="D73" s="100"/>
      <c r="E73" s="100"/>
      <c r="F73" s="100"/>
      <c r="G73" s="109"/>
      <c r="H73" s="99"/>
      <c r="I73" s="100"/>
      <c r="J73" s="100"/>
      <c r="K73" s="100"/>
      <c r="L73" s="109"/>
      <c r="M73" s="99"/>
      <c r="N73" s="100"/>
      <c r="O73" s="100"/>
      <c r="P73" s="100"/>
      <c r="Q73" s="109"/>
      <c r="R73" s="99"/>
      <c r="S73" s="100"/>
      <c r="T73" s="100"/>
      <c r="U73" s="100"/>
      <c r="V73" s="109"/>
      <c r="W73" s="99"/>
      <c r="X73" s="100"/>
      <c r="Y73" s="100"/>
      <c r="Z73" s="100"/>
      <c r="AA73" s="109"/>
      <c r="AB73" s="99"/>
      <c r="AC73" s="100"/>
      <c r="AD73" s="100"/>
      <c r="AE73" s="100"/>
      <c r="AF73" s="109"/>
      <c r="AG73" s="99"/>
      <c r="AH73" s="100"/>
      <c r="AI73" s="100"/>
      <c r="AJ73" s="100"/>
      <c r="AK73" s="109"/>
    </row>
    <row r="74" spans="1:37" s="89" customFormat="1" ht="12.75" hidden="1" customHeight="1" outlineLevel="1">
      <c r="A74" s="1285"/>
      <c r="B74" s="394" t="s">
        <v>89</v>
      </c>
      <c r="C74" s="110"/>
      <c r="D74" s="110"/>
      <c r="E74" s="110"/>
      <c r="F74" s="110"/>
      <c r="G74" s="111"/>
      <c r="H74" s="110"/>
      <c r="I74" s="110"/>
      <c r="J74" s="110"/>
      <c r="K74" s="110">
        <f>IFERROR((K13/K63)*K75,"")</f>
        <v>131.16617149390279</v>
      </c>
      <c r="L74" s="111">
        <f>IFERROR((L13/L63)*L75,"")</f>
        <v>263.66097674967125</v>
      </c>
      <c r="M74" s="110">
        <f>IFERROR((AVERAGE(M13,L13)/M63)*M75,"")</f>
        <v>66.671713022831824</v>
      </c>
      <c r="N74" s="110">
        <f>IFERROR((AVERAGE(N13,M13)/N63)*N75,"")</f>
        <v>52.63230864175673</v>
      </c>
      <c r="O74" s="110">
        <f>IFERROR((AVERAGE(O13,N13)/O63)*O75,"")</f>
        <v>66.516891261274679</v>
      </c>
      <c r="P74" s="110">
        <f>IFERROR((AVERAGE(P13,O13)/P63)*P75,"")</f>
        <v>56.292717712695506</v>
      </c>
      <c r="Q74" s="111">
        <f>IFERROR((Q13/Q63)*Q75,"")</f>
        <v>79.589875046073303</v>
      </c>
      <c r="R74" s="110">
        <f>IFERROR((AVERAGE(R13,Q13)/R63)*R75,"")</f>
        <v>67.467268793193384</v>
      </c>
      <c r="S74" s="110">
        <f>IFERROR((AVERAGE(S13,R13)/S63)*S75,"")</f>
        <v>112.13437385594183</v>
      </c>
      <c r="T74" s="110">
        <f>IFERROR((AVERAGE(T13,S13)/T63)*T75,"")</f>
        <v>121.10907057792474</v>
      </c>
      <c r="U74" s="509">
        <f>P74+5</f>
        <v>61.292717712695506</v>
      </c>
      <c r="V74" s="111">
        <f>IFERROR((V13/V63)*V75,"")</f>
        <v>73.537290104682398</v>
      </c>
      <c r="W74" s="1127">
        <f>R74-1</f>
        <v>66.467268793193384</v>
      </c>
      <c r="X74" s="1127">
        <f>S74-1</f>
        <v>111.13437385594183</v>
      </c>
      <c r="Y74" s="1127">
        <f>T74-1</f>
        <v>120.10907057792474</v>
      </c>
      <c r="Z74" s="1127">
        <f>U74-1</f>
        <v>60.292717712695506</v>
      </c>
      <c r="AA74" s="111">
        <f>IFERROR((AA13/AA63)*AA75,"")</f>
        <v>70.169829773927106</v>
      </c>
      <c r="AB74" s="1127">
        <f>W74-1</f>
        <v>65.467268793193384</v>
      </c>
      <c r="AC74" s="1127">
        <f>X74-1</f>
        <v>110.13437385594183</v>
      </c>
      <c r="AD74" s="1127">
        <f>Y74-1</f>
        <v>119.10907057792474</v>
      </c>
      <c r="AE74" s="1127">
        <f>Z74-1</f>
        <v>59.292717712695506</v>
      </c>
      <c r="AF74" s="111">
        <f>IFERROR((AF13/AF63)*AF75,"")</f>
        <v>65.216244672722226</v>
      </c>
      <c r="AG74" s="1127">
        <f>AB74-1</f>
        <v>64.467268793193384</v>
      </c>
      <c r="AH74" s="1127">
        <f>AC74-1</f>
        <v>109.13437385594183</v>
      </c>
      <c r="AI74" s="1127">
        <f>AD74-1</f>
        <v>118.10907057792474</v>
      </c>
      <c r="AJ74" s="1127">
        <f>AE74-1</f>
        <v>58.292717712695506</v>
      </c>
      <c r="AK74" s="111">
        <f>IFERROR((AK13/AK63)*AK75,"")</f>
        <v>60.908247492837155</v>
      </c>
    </row>
    <row r="75" spans="1:37" s="89" customFormat="1" ht="12.75" hidden="1" customHeight="1" outlineLevel="1">
      <c r="A75" s="1285"/>
      <c r="B75" s="485" t="s">
        <v>90</v>
      </c>
      <c r="C75" s="404">
        <f>Dates!C$14</f>
        <v>90</v>
      </c>
      <c r="D75" s="404">
        <f>Dates!D$14</f>
        <v>91</v>
      </c>
      <c r="E75" s="404">
        <f>Dates!E$14</f>
        <v>92</v>
      </c>
      <c r="F75" s="404">
        <f>Dates!F$14</f>
        <v>92</v>
      </c>
      <c r="G75" s="426">
        <f>Dates!G$14</f>
        <v>365</v>
      </c>
      <c r="H75" s="404">
        <f>Dates!H$14</f>
        <v>90</v>
      </c>
      <c r="I75" s="404">
        <f>Dates!I$14</f>
        <v>91</v>
      </c>
      <c r="J75" s="404">
        <f>Dates!J$14</f>
        <v>92</v>
      </c>
      <c r="K75" s="404">
        <f>Dates!K$14</f>
        <v>92</v>
      </c>
      <c r="L75" s="426">
        <f>Dates!L$14</f>
        <v>365</v>
      </c>
      <c r="M75" s="404">
        <f>Dates!M$14</f>
        <v>91</v>
      </c>
      <c r="N75" s="404">
        <f>Dates!N$14</f>
        <v>91</v>
      </c>
      <c r="O75" s="404">
        <f>Dates!O$14</f>
        <v>92</v>
      </c>
      <c r="P75" s="404">
        <f>Dates!P$14</f>
        <v>92</v>
      </c>
      <c r="Q75" s="426">
        <f>Dates!Q$14</f>
        <v>366</v>
      </c>
      <c r="R75" s="404">
        <f>Dates!R$14</f>
        <v>90</v>
      </c>
      <c r="S75" s="404">
        <f>Dates!S$14</f>
        <v>91</v>
      </c>
      <c r="T75" s="404">
        <f>Dates!T$14</f>
        <v>92</v>
      </c>
      <c r="U75" s="404">
        <f>Dates!U$14</f>
        <v>92</v>
      </c>
      <c r="V75" s="426">
        <f>Dates!V$14</f>
        <v>365</v>
      </c>
      <c r="W75" s="404">
        <f>Dates!W$14</f>
        <v>90</v>
      </c>
      <c r="X75" s="404">
        <f>Dates!X$14</f>
        <v>91</v>
      </c>
      <c r="Y75" s="404">
        <f>Dates!Y$14</f>
        <v>92</v>
      </c>
      <c r="Z75" s="404">
        <f>Dates!Z$14</f>
        <v>92</v>
      </c>
      <c r="AA75" s="426">
        <f>Dates!AA$14</f>
        <v>365</v>
      </c>
      <c r="AB75" s="404">
        <f>Dates!AB$14</f>
        <v>90</v>
      </c>
      <c r="AC75" s="404">
        <f>Dates!AC$14</f>
        <v>91</v>
      </c>
      <c r="AD75" s="404">
        <f>Dates!AD$14</f>
        <v>92</v>
      </c>
      <c r="AE75" s="404">
        <f>Dates!AE$14</f>
        <v>92</v>
      </c>
      <c r="AF75" s="426">
        <f>Dates!AF$14</f>
        <v>365</v>
      </c>
      <c r="AG75" s="404">
        <f>Dates!AG$14</f>
        <v>91</v>
      </c>
      <c r="AH75" s="404">
        <f>Dates!AH$14</f>
        <v>91</v>
      </c>
      <c r="AI75" s="404">
        <f>Dates!AI$14</f>
        <v>92</v>
      </c>
      <c r="AJ75" s="404">
        <f>Dates!AJ$14</f>
        <v>92</v>
      </c>
      <c r="AK75" s="426">
        <f>Dates!AK$14</f>
        <v>366</v>
      </c>
    </row>
    <row r="76" spans="1:37" s="89" customFormat="1" ht="12.75" hidden="1" customHeight="1" outlineLevel="1">
      <c r="A76" s="1285"/>
      <c r="B76" s="485" t="s">
        <v>114</v>
      </c>
      <c r="C76" s="112" t="str">
        <f>IFERROR(C74-#REF!,"")</f>
        <v/>
      </c>
      <c r="D76" s="112" t="str">
        <f>IFERROR(D74-#REF!,"")</f>
        <v/>
      </c>
      <c r="E76" s="112" t="str">
        <f>IFERROR(E74-#REF!,"")</f>
        <v/>
      </c>
      <c r="F76" s="112">
        <f t="shared" ref="F76:L76" si="33">IFERROR(F74-A74,"")</f>
        <v>0</v>
      </c>
      <c r="G76" s="113" t="str">
        <f t="shared" si="33"/>
        <v/>
      </c>
      <c r="H76" s="112">
        <f t="shared" si="33"/>
        <v>0</v>
      </c>
      <c r="I76" s="112">
        <f t="shared" si="33"/>
        <v>0</v>
      </c>
      <c r="J76" s="112">
        <f t="shared" si="33"/>
        <v>0</v>
      </c>
      <c r="K76" s="112">
        <f t="shared" si="33"/>
        <v>131.16617149390279</v>
      </c>
      <c r="L76" s="113">
        <f t="shared" si="33"/>
        <v>263.66097674967125</v>
      </c>
      <c r="M76" s="112">
        <f t="shared" ref="M76:AF76" si="34">IFERROR(M74-H74,"")</f>
        <v>66.671713022831824</v>
      </c>
      <c r="N76" s="112">
        <f t="shared" si="34"/>
        <v>52.63230864175673</v>
      </c>
      <c r="O76" s="112">
        <f t="shared" si="34"/>
        <v>66.516891261274679</v>
      </c>
      <c r="P76" s="112">
        <f t="shared" si="34"/>
        <v>-74.873453781207289</v>
      </c>
      <c r="Q76" s="113">
        <f t="shared" si="34"/>
        <v>-184.07110170359795</v>
      </c>
      <c r="R76" s="112">
        <f t="shared" si="34"/>
        <v>0.79555577036155967</v>
      </c>
      <c r="S76" s="112">
        <f t="shared" si="34"/>
        <v>59.502065214185102</v>
      </c>
      <c r="T76" s="112">
        <f t="shared" si="34"/>
        <v>54.592179316650061</v>
      </c>
      <c r="U76" s="112">
        <f t="shared" si="34"/>
        <v>5</v>
      </c>
      <c r="V76" s="113">
        <f t="shared" si="34"/>
        <v>-6.0525849413909043</v>
      </c>
      <c r="W76" s="112">
        <f t="shared" si="34"/>
        <v>-1</v>
      </c>
      <c r="X76" s="112">
        <f t="shared" si="34"/>
        <v>-1</v>
      </c>
      <c r="Y76" s="112">
        <f t="shared" si="34"/>
        <v>-1</v>
      </c>
      <c r="Z76" s="112">
        <f t="shared" si="34"/>
        <v>-1</v>
      </c>
      <c r="AA76" s="113">
        <f t="shared" si="34"/>
        <v>-3.3674603307552928</v>
      </c>
      <c r="AB76" s="112">
        <f t="shared" si="34"/>
        <v>-1</v>
      </c>
      <c r="AC76" s="112">
        <f t="shared" si="34"/>
        <v>-1</v>
      </c>
      <c r="AD76" s="112">
        <f t="shared" si="34"/>
        <v>-1</v>
      </c>
      <c r="AE76" s="112">
        <f t="shared" si="34"/>
        <v>-1</v>
      </c>
      <c r="AF76" s="113">
        <f t="shared" si="34"/>
        <v>-4.9535851012048795</v>
      </c>
      <c r="AG76" s="112">
        <f>IFERROR(AG74-AB74,"")</f>
        <v>-1</v>
      </c>
      <c r="AH76" s="112">
        <f>IFERROR(AH74-AC74,"")</f>
        <v>-1</v>
      </c>
      <c r="AI76" s="112">
        <f>IFERROR(AI74-AD74,"")</f>
        <v>-1</v>
      </c>
      <c r="AJ76" s="112">
        <f>IFERROR(AJ74-AE74,"")</f>
        <v>-1</v>
      </c>
      <c r="AK76" s="113">
        <f>IFERROR(AK74-AF74,"")</f>
        <v>-4.3079971798850707</v>
      </c>
    </row>
    <row r="77" spans="1:37" s="89" customFormat="1" ht="12.75" hidden="1" customHeight="1" outlineLevel="1">
      <c r="A77" s="78"/>
      <c r="B77" s="1119" t="s">
        <v>115</v>
      </c>
      <c r="C77" s="102" t="str">
        <f>IFERROR(C74/#REF!-1,"")</f>
        <v/>
      </c>
      <c r="D77" s="100" t="str">
        <f>IFERROR(D74/#REF!-1,"")</f>
        <v/>
      </c>
      <c r="E77" s="100" t="str">
        <f>IFERROR(E74/#REF!-1,"")</f>
        <v/>
      </c>
      <c r="F77" s="100" t="str">
        <f t="shared" ref="F77:L77" si="35">IFERROR(F74/A74-1,"")</f>
        <v/>
      </c>
      <c r="G77" s="114" t="str">
        <f t="shared" si="35"/>
        <v/>
      </c>
      <c r="H77" s="100" t="str">
        <f t="shared" si="35"/>
        <v/>
      </c>
      <c r="I77" s="100" t="str">
        <f t="shared" si="35"/>
        <v/>
      </c>
      <c r="J77" s="100" t="str">
        <f t="shared" si="35"/>
        <v/>
      </c>
      <c r="K77" s="100" t="str">
        <f t="shared" si="35"/>
        <v/>
      </c>
      <c r="L77" s="114" t="str">
        <f t="shared" si="35"/>
        <v/>
      </c>
      <c r="M77" s="100" t="str">
        <f t="shared" ref="M77:AF77" si="36">IFERROR(M74/H74-1,"")</f>
        <v/>
      </c>
      <c r="N77" s="100" t="str">
        <f t="shared" si="36"/>
        <v/>
      </c>
      <c r="O77" s="100" t="str">
        <f t="shared" si="36"/>
        <v/>
      </c>
      <c r="P77" s="100">
        <f t="shared" si="36"/>
        <v>-0.57082899446133295</v>
      </c>
      <c r="Q77" s="114">
        <f t="shared" si="36"/>
        <v>-0.69813555260534943</v>
      </c>
      <c r="R77" s="100">
        <f t="shared" si="36"/>
        <v>1.1932433325796188E-2</v>
      </c>
      <c r="S77" s="100">
        <f t="shared" si="36"/>
        <v>1.1305235652721897</v>
      </c>
      <c r="T77" s="100">
        <f t="shared" si="36"/>
        <v>0.82072655954733342</v>
      </c>
      <c r="U77" s="100">
        <f t="shared" si="36"/>
        <v>8.8821435581042607E-2</v>
      </c>
      <c r="V77" s="114">
        <f t="shared" si="36"/>
        <v>-7.6047172305361177E-2</v>
      </c>
      <c r="W77" s="100">
        <f t="shared" si="36"/>
        <v>-1.4822002103943022E-2</v>
      </c>
      <c r="X77" s="100">
        <f t="shared" si="36"/>
        <v>-8.9178720637856923E-3</v>
      </c>
      <c r="Y77" s="100">
        <f t="shared" si="36"/>
        <v>-8.2570198518414628E-3</v>
      </c>
      <c r="Z77" s="100">
        <f t="shared" si="36"/>
        <v>-1.6315151902505209E-2</v>
      </c>
      <c r="AA77" s="114">
        <f t="shared" si="36"/>
        <v>-4.5792554035668398E-2</v>
      </c>
      <c r="AB77" s="100">
        <f t="shared" si="36"/>
        <v>-1.5044999112441393E-2</v>
      </c>
      <c r="AC77" s="100">
        <f t="shared" si="36"/>
        <v>-8.9981161120883391E-3</v>
      </c>
      <c r="AD77" s="100">
        <f t="shared" si="36"/>
        <v>-8.3257658658778544E-3</v>
      </c>
      <c r="AE77" s="100">
        <f t="shared" si="36"/>
        <v>-1.6585750948649558E-2</v>
      </c>
      <c r="AF77" s="114">
        <f t="shared" si="36"/>
        <v>-7.0594229986937762E-2</v>
      </c>
      <c r="AG77" s="100">
        <f>IFERROR(AG74/AB74-1,"")</f>
        <v>-1.527480859418362E-2</v>
      </c>
      <c r="AH77" s="100">
        <f>IFERROR(AH74/AC74-1,"")</f>
        <v>-9.0798173629971224E-3</v>
      </c>
      <c r="AI77" s="100">
        <f>IFERROR(AI74/AD74-1,"")</f>
        <v>-8.3956662170894258E-3</v>
      </c>
      <c r="AJ77" s="100">
        <f>IFERROR(AJ74/AE74-1,"")</f>
        <v>-1.6865477559074415E-2</v>
      </c>
      <c r="AK77" s="114">
        <f>IFERROR(AK74/AF74-1,"")</f>
        <v>-6.6057118153676209E-2</v>
      </c>
    </row>
    <row r="78" spans="1:37" s="89" customFormat="1" ht="12.75" hidden="1" customHeight="1" outlineLevel="1">
      <c r="A78" s="1286"/>
      <c r="B78" s="485" t="s">
        <v>91</v>
      </c>
      <c r="C78" s="503">
        <f>CF!C25</f>
        <v>0</v>
      </c>
      <c r="D78" s="504">
        <f>CF!D25</f>
        <v>0</v>
      </c>
      <c r="E78" s="504">
        <f>CF!E25</f>
        <v>0</v>
      </c>
      <c r="F78" s="504">
        <f>CF!F25</f>
        <v>0</v>
      </c>
      <c r="G78" s="505">
        <f>CF!G25</f>
        <v>-1.893</v>
      </c>
      <c r="H78" s="503">
        <f>CF!H25</f>
        <v>0</v>
      </c>
      <c r="I78" s="504">
        <f>CF!I25</f>
        <v>0</v>
      </c>
      <c r="J78" s="504">
        <f>CF!J25</f>
        <v>0</v>
      </c>
      <c r="K78" s="504">
        <f>CF!K25</f>
        <v>0</v>
      </c>
      <c r="L78" s="505">
        <f>CF!L25</f>
        <v>-162.41300000000001</v>
      </c>
      <c r="M78" s="506">
        <f>CF!M25</f>
        <v>54.328000000000003</v>
      </c>
      <c r="N78" s="504">
        <f>CF!N25</f>
        <v>-235.07599999999999</v>
      </c>
      <c r="O78" s="504">
        <f>CF!O25</f>
        <v>0</v>
      </c>
      <c r="P78" s="504">
        <f>CF!P25</f>
        <v>81.619</v>
      </c>
      <c r="Q78" s="508">
        <f>CF!Q25</f>
        <v>-279.72000000000003</v>
      </c>
      <c r="R78" s="506">
        <f>CF!R25</f>
        <v>-638.75</v>
      </c>
      <c r="S78" s="504">
        <f>CF!S25</f>
        <v>-865.94600000000003</v>
      </c>
      <c r="T78" s="504">
        <f>CF!T25</f>
        <v>252.18899999999999</v>
      </c>
      <c r="U78" s="507">
        <f>CF!U25</f>
        <v>631.32358265550147</v>
      </c>
      <c r="V78" s="508">
        <f>CF!V25</f>
        <v>-621.18341734449837</v>
      </c>
      <c r="W78" s="506">
        <f>CF!W25</f>
        <v>-616.88415866562173</v>
      </c>
      <c r="X78" s="507">
        <f>CF!X25</f>
        <v>-1975.2506242440334</v>
      </c>
      <c r="Y78" s="507">
        <f>CF!Y25</f>
        <v>-674.7522381920212</v>
      </c>
      <c r="Z78" s="507">
        <f>CF!Z25</f>
        <v>1987.5239495359501</v>
      </c>
      <c r="AA78" s="508">
        <f>CF!AA25</f>
        <v>-1279.3630715657259</v>
      </c>
      <c r="AB78" s="506">
        <f>CF!AB25</f>
        <v>-465.35285576740262</v>
      </c>
      <c r="AC78" s="507">
        <f>CF!AC25</f>
        <v>-2254.792520146003</v>
      </c>
      <c r="AD78" s="507">
        <f>CF!AD25</f>
        <v>-764.69547558865452</v>
      </c>
      <c r="AE78" s="507">
        <f>CF!AE25</f>
        <v>2716.959738398225</v>
      </c>
      <c r="AF78" s="508">
        <f>CF!AF25</f>
        <v>-767.8811131038351</v>
      </c>
      <c r="AG78" s="506">
        <f>CF!AG25</f>
        <v>-550.92048268282178</v>
      </c>
      <c r="AH78" s="507">
        <f>CF!AH25</f>
        <v>-2765.8230862969272</v>
      </c>
      <c r="AI78" s="507">
        <f>CF!AI25</f>
        <v>-693.71025521841966</v>
      </c>
      <c r="AJ78" s="507">
        <f>CF!AJ25</f>
        <v>3481.8506067385201</v>
      </c>
      <c r="AK78" s="508">
        <f>CF!AK25</f>
        <v>-528.60321745964848</v>
      </c>
    </row>
    <row r="79" spans="1:37" s="89" customFormat="1" ht="12.75" hidden="1" customHeight="1" outlineLevel="1">
      <c r="A79" s="78"/>
      <c r="B79" s="378"/>
      <c r="C79" s="99"/>
      <c r="D79" s="100"/>
      <c r="E79" s="100"/>
      <c r="F79" s="100"/>
      <c r="G79" s="109"/>
      <c r="H79" s="99"/>
      <c r="I79" s="100"/>
      <c r="J79" s="100"/>
      <c r="K79" s="100"/>
      <c r="L79" s="109"/>
      <c r="M79" s="99"/>
      <c r="N79" s="100"/>
      <c r="O79" s="100"/>
      <c r="P79" s="100"/>
      <c r="Q79" s="109"/>
      <c r="R79" s="99"/>
      <c r="S79" s="100"/>
      <c r="T79" s="100"/>
      <c r="U79" s="100"/>
      <c r="V79" s="109"/>
      <c r="W79" s="99"/>
      <c r="X79" s="100"/>
      <c r="Y79" s="100"/>
      <c r="Z79" s="100"/>
      <c r="AA79" s="109"/>
      <c r="AB79" s="99"/>
      <c r="AC79" s="100"/>
      <c r="AD79" s="100"/>
      <c r="AE79" s="100"/>
      <c r="AF79" s="109"/>
      <c r="AG79" s="99"/>
      <c r="AH79" s="100"/>
      <c r="AI79" s="100"/>
      <c r="AJ79" s="100"/>
      <c r="AK79" s="109"/>
    </row>
    <row r="80" spans="1:37" s="1131" customFormat="1" ht="12.75" hidden="1" customHeight="1" outlineLevel="1">
      <c r="A80" s="1287"/>
      <c r="B80" s="1129" t="s">
        <v>517</v>
      </c>
      <c r="C80" s="871"/>
      <c r="D80" s="869"/>
      <c r="E80" s="869"/>
      <c r="F80" s="869"/>
      <c r="G80" s="870"/>
      <c r="H80" s="871"/>
      <c r="I80" s="869"/>
      <c r="J80" s="869"/>
      <c r="K80" s="869">
        <f>K14/K64</f>
        <v>0.64978157457883512</v>
      </c>
      <c r="L80" s="870">
        <f>L14/L64</f>
        <v>0.61206110533471958</v>
      </c>
      <c r="M80" s="871">
        <f>AVERAGE(M14,L14)/M64</f>
        <v>0.77193098952045203</v>
      </c>
      <c r="N80" s="869">
        <f>AVERAGE(N14,M14)/N64</f>
        <v>0.43705988702154752</v>
      </c>
      <c r="O80" s="869">
        <f>AVERAGE(O14,N14)/O64</f>
        <v>0.50518452810520409</v>
      </c>
      <c r="P80" s="869">
        <f>AVERAGE(P14,O14)/P64</f>
        <v>0.44085009298491157</v>
      </c>
      <c r="Q80" s="870">
        <f>AVERAGE(Q14,L14)/Q64</f>
        <v>0.12970188673738889</v>
      </c>
      <c r="R80" s="871">
        <f>AVERAGE(R14,Q14)/R64</f>
        <v>0.34345149352496018</v>
      </c>
      <c r="S80" s="869">
        <f>AVERAGE(S14,R14)/S64</f>
        <v>0.50050979595411083</v>
      </c>
      <c r="T80" s="869">
        <f>AVERAGE(T14,S14)/T64</f>
        <v>0.80509267780516924</v>
      </c>
      <c r="U80" s="1128">
        <f>T80</f>
        <v>0.80509267780516924</v>
      </c>
      <c r="V80" s="1130">
        <f>AVERAGE(V14,Q14)/V64</f>
        <v>0.13290760683588718</v>
      </c>
      <c r="W80" s="1128">
        <f>U80</f>
        <v>0.80509267780516924</v>
      </c>
      <c r="X80" s="1128">
        <f>W80</f>
        <v>0.80509267780516924</v>
      </c>
      <c r="Y80" s="1128">
        <f>X80</f>
        <v>0.80509267780516924</v>
      </c>
      <c r="Z80" s="1128">
        <f>Y80</f>
        <v>0.80509267780516924</v>
      </c>
      <c r="AA80" s="1130">
        <f>AVERAGE(AA14,V14)/AA64</f>
        <v>0.17939229322508263</v>
      </c>
      <c r="AB80" s="1128">
        <f>Z80</f>
        <v>0.80509267780516924</v>
      </c>
      <c r="AC80" s="1128">
        <f>AB80</f>
        <v>0.80509267780516924</v>
      </c>
      <c r="AD80" s="1128">
        <f>AC80</f>
        <v>0.80509267780516924</v>
      </c>
      <c r="AE80" s="1128">
        <f>AD80</f>
        <v>0.80509267780516924</v>
      </c>
      <c r="AF80" s="1130">
        <f>AVERAGE(AF14,AA14)/AF64</f>
        <v>0.20427324784967085</v>
      </c>
      <c r="AG80" s="1128">
        <f>AE80</f>
        <v>0.80509267780516924</v>
      </c>
      <c r="AH80" s="1128">
        <f>AG80</f>
        <v>0.80509267780516924</v>
      </c>
      <c r="AI80" s="1128">
        <f>AH80</f>
        <v>0.80509267780516924</v>
      </c>
      <c r="AJ80" s="1128">
        <f>AI80</f>
        <v>0.80509267780516924</v>
      </c>
      <c r="AK80" s="1130">
        <f>AVERAGE(AK14,AF14)/AK64</f>
        <v>0.20188789524243225</v>
      </c>
    </row>
    <row r="81" spans="1:37" s="89" customFormat="1" ht="12.75" hidden="1" customHeight="1" outlineLevel="1">
      <c r="A81" s="1288"/>
      <c r="B81" s="1120" t="s">
        <v>91</v>
      </c>
      <c r="C81" s="503"/>
      <c r="D81" s="504"/>
      <c r="E81" s="504"/>
      <c r="F81" s="504"/>
      <c r="G81" s="505"/>
      <c r="H81" s="503"/>
      <c r="I81" s="504"/>
      <c r="J81" s="504"/>
      <c r="K81" s="504"/>
      <c r="L81" s="505"/>
      <c r="M81" s="503">
        <f>CF!I26</f>
        <v>0</v>
      </c>
      <c r="N81" s="504">
        <f>CF!J26</f>
        <v>0</v>
      </c>
      <c r="O81" s="504">
        <f>CF!K26</f>
        <v>0</v>
      </c>
      <c r="P81" s="504">
        <f>CF!L26</f>
        <v>-71.963999999999999</v>
      </c>
      <c r="Q81" s="505">
        <f>CF!M26</f>
        <v>23.228000000000002</v>
      </c>
      <c r="R81" s="503">
        <f>CF!N26</f>
        <v>-21.591999999999999</v>
      </c>
      <c r="S81" s="504">
        <f>CF!O26</f>
        <v>0</v>
      </c>
      <c r="T81" s="504">
        <f>CF!P26</f>
        <v>27.451000000000001</v>
      </c>
      <c r="U81" s="404">
        <f>CF!Q26</f>
        <v>-29.2</v>
      </c>
      <c r="V81" s="426">
        <f>CF!R26</f>
        <v>-9.9290000000000003</v>
      </c>
      <c r="W81" s="404">
        <f>CF!S26</f>
        <v>-110.51900000000001</v>
      </c>
      <c r="X81" s="404">
        <f>CF!T26</f>
        <v>-50.585999999999999</v>
      </c>
      <c r="Y81" s="404">
        <f>CF!U26</f>
        <v>33.441931765443371</v>
      </c>
      <c r="Z81" s="404">
        <f>CF!V26</f>
        <v>-137.59206823455662</v>
      </c>
      <c r="AA81" s="426">
        <f>CF!W26</f>
        <v>-42.345628276742389</v>
      </c>
      <c r="AB81" s="404">
        <f>CF!X26</f>
        <v>-303.42469600038658</v>
      </c>
      <c r="AC81" s="404">
        <f>CF!Y26</f>
        <v>-119.94136175089488</v>
      </c>
      <c r="AD81" s="404">
        <f>CF!Z26</f>
        <v>-24.57508942796153</v>
      </c>
      <c r="AE81" s="404">
        <f>CF!AA26</f>
        <v>-490.28677545598538</v>
      </c>
      <c r="AF81" s="426">
        <f>CF!AB26</f>
        <v>10.887817220939041</v>
      </c>
      <c r="AG81" s="404">
        <f>CF!AC26</f>
        <v>-41.238421963961969</v>
      </c>
      <c r="AH81" s="404">
        <f>CF!AD26</f>
        <v>-40.6820815461964</v>
      </c>
      <c r="AI81" s="404">
        <f>CF!AE26</f>
        <v>-82.136868175265136</v>
      </c>
      <c r="AJ81" s="404">
        <f>CF!AF26</f>
        <v>-153.16955446448446</v>
      </c>
      <c r="AK81" s="426">
        <f>CF!AG26</f>
        <v>-8.2920548971969765E-2</v>
      </c>
    </row>
    <row r="82" spans="1:37" s="89" customFormat="1" ht="12.75" hidden="1" customHeight="1" outlineLevel="1">
      <c r="A82" s="1193"/>
      <c r="B82" s="379"/>
      <c r="C82" s="99"/>
      <c r="D82" s="100"/>
      <c r="E82" s="100"/>
      <c r="F82" s="100"/>
      <c r="G82" s="109"/>
      <c r="H82" s="99"/>
      <c r="I82" s="100"/>
      <c r="J82" s="100"/>
      <c r="K82" s="100"/>
      <c r="L82" s="109"/>
      <c r="M82" s="99"/>
      <c r="N82" s="100"/>
      <c r="O82" s="100"/>
      <c r="P82" s="100"/>
      <c r="Q82" s="109"/>
      <c r="R82" s="99"/>
      <c r="S82" s="100"/>
      <c r="T82" s="100"/>
      <c r="U82" s="100"/>
      <c r="V82" s="109"/>
      <c r="W82" s="99"/>
      <c r="X82" s="100"/>
      <c r="Y82" s="100"/>
      <c r="Z82" s="100"/>
      <c r="AA82" s="109"/>
      <c r="AB82" s="99"/>
      <c r="AC82" s="100"/>
      <c r="AD82" s="100"/>
      <c r="AE82" s="100"/>
      <c r="AF82" s="109"/>
      <c r="AG82" s="99"/>
      <c r="AH82" s="100"/>
      <c r="AI82" s="100"/>
      <c r="AJ82" s="100"/>
      <c r="AK82" s="109"/>
    </row>
    <row r="83" spans="1:37" s="89" customFormat="1" ht="12.75" hidden="1" customHeight="1" outlineLevel="1">
      <c r="A83" s="1193"/>
      <c r="B83" s="463" t="s">
        <v>453</v>
      </c>
      <c r="C83" s="116"/>
      <c r="D83" s="117"/>
      <c r="E83" s="117"/>
      <c r="F83" s="117"/>
      <c r="G83" s="118"/>
      <c r="H83" s="116"/>
      <c r="I83" s="117"/>
      <c r="J83" s="117"/>
      <c r="K83" s="869">
        <f t="shared" ref="K83:S83" si="37">K23/(K34+K42)</f>
        <v>0.97782584952226936</v>
      </c>
      <c r="L83" s="870">
        <f t="shared" si="37"/>
        <v>0.97782584952226936</v>
      </c>
      <c r="M83" s="871">
        <f t="shared" si="37"/>
        <v>1.007575423797832</v>
      </c>
      <c r="N83" s="869">
        <f t="shared" si="37"/>
        <v>0.9961599382621048</v>
      </c>
      <c r="O83" s="869">
        <f t="shared" si="37"/>
        <v>0.99947235832138015</v>
      </c>
      <c r="P83" s="869">
        <f t="shared" si="37"/>
        <v>0.99520794645382671</v>
      </c>
      <c r="Q83" s="870">
        <f t="shared" si="37"/>
        <v>0.99520794645382671</v>
      </c>
      <c r="R83" s="871">
        <f t="shared" si="37"/>
        <v>0.98578645015892763</v>
      </c>
      <c r="S83" s="869">
        <f t="shared" si="37"/>
        <v>0.98048686109705907</v>
      </c>
      <c r="T83" s="869">
        <f>T23/(T34+T42)</f>
        <v>0.98999140832552102</v>
      </c>
      <c r="U83" s="510">
        <f>T83</f>
        <v>0.98999140832552102</v>
      </c>
      <c r="V83" s="870">
        <f>V23/(V34+V42)</f>
        <v>0.98999140832552102</v>
      </c>
      <c r="W83" s="510">
        <f>U83</f>
        <v>0.98999140832552102</v>
      </c>
      <c r="X83" s="510">
        <f>W83</f>
        <v>0.98999140832552102</v>
      </c>
      <c r="Y83" s="510">
        <f>X83</f>
        <v>0.98999140832552102</v>
      </c>
      <c r="Z83" s="510">
        <f>Y83</f>
        <v>0.98999140832552102</v>
      </c>
      <c r="AA83" s="870">
        <f>AA23/(AA34+AA42)</f>
        <v>0.98999140832552102</v>
      </c>
      <c r="AB83" s="510">
        <f>Z83</f>
        <v>0.98999140832552102</v>
      </c>
      <c r="AC83" s="510">
        <f>AB83</f>
        <v>0.98999140832552102</v>
      </c>
      <c r="AD83" s="510">
        <f>AC83</f>
        <v>0.98999140832552102</v>
      </c>
      <c r="AE83" s="510">
        <f>AD83</f>
        <v>0.98999140832552102</v>
      </c>
      <c r="AF83" s="870">
        <f>AF23/(AF34+AF42)</f>
        <v>0.98999140832552102</v>
      </c>
      <c r="AG83" s="510">
        <f>AE83</f>
        <v>0.98999140832552102</v>
      </c>
      <c r="AH83" s="510">
        <f>AG83</f>
        <v>0.98999140832552102</v>
      </c>
      <c r="AI83" s="510">
        <f>AH83</f>
        <v>0.98999140832552102</v>
      </c>
      <c r="AJ83" s="510">
        <f>AI83</f>
        <v>0.98999140832552102</v>
      </c>
      <c r="AK83" s="870">
        <f>AK23/(AK34+AK42)</f>
        <v>0.98999140832552102</v>
      </c>
    </row>
    <row r="84" spans="1:37" s="89" customFormat="1" ht="12.75" hidden="1" customHeight="1" outlineLevel="1">
      <c r="A84" s="1288"/>
      <c r="B84" s="1120" t="s">
        <v>91</v>
      </c>
      <c r="C84" s="503"/>
      <c r="D84" s="504"/>
      <c r="E84" s="504"/>
      <c r="F84" s="504"/>
      <c r="G84" s="505"/>
      <c r="H84" s="503"/>
      <c r="I84" s="504"/>
      <c r="J84" s="504"/>
      <c r="K84" s="504"/>
      <c r="L84" s="505"/>
      <c r="M84" s="503">
        <f>CF!M30</f>
        <v>0</v>
      </c>
      <c r="N84" s="504">
        <f>CF!N30</f>
        <v>0</v>
      </c>
      <c r="O84" s="504">
        <f>CF!O30</f>
        <v>0</v>
      </c>
      <c r="P84" s="504">
        <f>CF!P30</f>
        <v>-796.66200000000003</v>
      </c>
      <c r="Q84" s="505">
        <f>CF!Q30</f>
        <v>0</v>
      </c>
      <c r="R84" s="503">
        <f>CF!R30</f>
        <v>0</v>
      </c>
      <c r="S84" s="504">
        <f>CF!S30</f>
        <v>0</v>
      </c>
      <c r="T84" s="504">
        <f>CF!T30</f>
        <v>-394.79</v>
      </c>
      <c r="U84" s="504">
        <f>CF!U30</f>
        <v>-610.74534139452226</v>
      </c>
      <c r="V84" s="505">
        <f>CF!V30</f>
        <v>-1005.5353413945222</v>
      </c>
      <c r="W84" s="503">
        <f>CF!W30</f>
        <v>-1555.8817346781325</v>
      </c>
      <c r="X84" s="504">
        <f>CF!X30</f>
        <v>-2264.9092182961695</v>
      </c>
      <c r="Y84" s="504">
        <f>CF!Y30</f>
        <v>-1000.1957378079678</v>
      </c>
      <c r="Z84" s="504">
        <f>CF!Z30</f>
        <v>-709.6856764359145</v>
      </c>
      <c r="AA84" s="505">
        <f>CF!AA30</f>
        <v>-5530.6723672181843</v>
      </c>
      <c r="AB84" s="503">
        <f>CF!AB30</f>
        <v>630.12042761582416</v>
      </c>
      <c r="AC84" s="504">
        <f>CF!AC30</f>
        <v>-915.10574846470809</v>
      </c>
      <c r="AD84" s="504">
        <f>CF!AD30</f>
        <v>-854.99109679194771</v>
      </c>
      <c r="AE84" s="504">
        <f>CF!AE30</f>
        <v>-795.59280701984972</v>
      </c>
      <c r="AF84" s="505">
        <f>CF!AF30</f>
        <v>-1935.5692246606814</v>
      </c>
      <c r="AG84" s="503">
        <f>CF!AG30</f>
        <v>-15.349885887944765</v>
      </c>
      <c r="AH84" s="504">
        <f>CF!AH30</f>
        <v>-527.2276548998052</v>
      </c>
      <c r="AI84" s="504">
        <f>CF!AI30</f>
        <v>-472.72675315335255</v>
      </c>
      <c r="AJ84" s="504">
        <f>CF!AJ30</f>
        <v>-419.93591139478121</v>
      </c>
      <c r="AK84" s="505">
        <f>CF!AK30</f>
        <v>-1435.2402053358837</v>
      </c>
    </row>
    <row r="85" spans="1:37" s="89" customFormat="1" ht="12.75" hidden="1" customHeight="1" outlineLevel="1">
      <c r="A85" s="1193"/>
      <c r="B85" s="379"/>
      <c r="C85" s="99"/>
      <c r="D85" s="100"/>
      <c r="E85" s="100"/>
      <c r="F85" s="100"/>
      <c r="G85" s="109"/>
      <c r="H85" s="99"/>
      <c r="I85" s="100"/>
      <c r="J85" s="100"/>
      <c r="K85" s="100"/>
      <c r="L85" s="109"/>
      <c r="M85" s="1338"/>
      <c r="N85" s="1339"/>
      <c r="O85" s="1339"/>
      <c r="P85" s="1339"/>
      <c r="Q85" s="109"/>
      <c r="R85" s="1339"/>
      <c r="S85" s="1219"/>
      <c r="T85" s="1339"/>
      <c r="U85" s="100"/>
      <c r="V85" s="109"/>
      <c r="W85" s="99"/>
      <c r="X85" s="100"/>
      <c r="Y85" s="100"/>
      <c r="Z85" s="100"/>
      <c r="AA85" s="109"/>
      <c r="AB85" s="99"/>
      <c r="AC85" s="100"/>
      <c r="AD85" s="100"/>
      <c r="AE85" s="100"/>
      <c r="AF85" s="109"/>
      <c r="AG85" s="99"/>
      <c r="AH85" s="100"/>
      <c r="AI85" s="100"/>
      <c r="AJ85" s="100"/>
      <c r="AK85" s="109"/>
    </row>
    <row r="86" spans="1:37" s="89" customFormat="1" ht="12.75" hidden="1" customHeight="1" outlineLevel="1">
      <c r="A86" s="1285"/>
      <c r="B86" s="872" t="s">
        <v>92</v>
      </c>
      <c r="C86" s="110"/>
      <c r="D86" s="110"/>
      <c r="E86" s="110"/>
      <c r="F86" s="110"/>
      <c r="G86" s="111"/>
      <c r="H86" s="110"/>
      <c r="I86" s="110"/>
      <c r="J86" s="110"/>
      <c r="K86" s="110"/>
      <c r="L86" s="111"/>
      <c r="M86" s="509">
        <v>33.18</v>
      </c>
      <c r="N86" s="509">
        <v>35.78</v>
      </c>
      <c r="O86" s="509">
        <v>31.99</v>
      </c>
      <c r="P86" s="509">
        <v>26.41</v>
      </c>
      <c r="Q86" s="111"/>
      <c r="R86" s="1195">
        <f>(R30*R88)/(R64+R89-R90+(-R91+R92)/3)</f>
        <v>64.717275804693728</v>
      </c>
      <c r="S86" s="1127">
        <v>32</v>
      </c>
      <c r="T86" s="509">
        <v>31.99</v>
      </c>
      <c r="U86" s="509">
        <v>32</v>
      </c>
      <c r="V86" s="111"/>
      <c r="W86" s="1127">
        <v>31.5</v>
      </c>
      <c r="X86" s="509">
        <v>32</v>
      </c>
      <c r="Y86" s="509">
        <v>31</v>
      </c>
      <c r="Z86" s="509">
        <f>Y86</f>
        <v>31</v>
      </c>
      <c r="AA86" s="111"/>
      <c r="AB86" s="509">
        <v>18.5</v>
      </c>
      <c r="AC86" s="509">
        <f>AB86</f>
        <v>18.5</v>
      </c>
      <c r="AD86" s="509">
        <f>AC86</f>
        <v>18.5</v>
      </c>
      <c r="AE86" s="509">
        <f>AD86</f>
        <v>18.5</v>
      </c>
      <c r="AF86" s="111"/>
      <c r="AG86" s="509">
        <v>18.5</v>
      </c>
      <c r="AH86" s="509">
        <f>AG86</f>
        <v>18.5</v>
      </c>
      <c r="AI86" s="509">
        <f>AH86</f>
        <v>18.5</v>
      </c>
      <c r="AJ86" s="509">
        <f>AI86</f>
        <v>18.5</v>
      </c>
      <c r="AK86" s="111"/>
    </row>
    <row r="87" spans="1:37" s="246" customFormat="1" ht="12.75" hidden="1" customHeight="1" outlineLevel="1">
      <c r="A87" s="245"/>
      <c r="B87" s="485" t="s">
        <v>542</v>
      </c>
      <c r="C87" s="506"/>
      <c r="D87" s="507"/>
      <c r="E87" s="507"/>
      <c r="F87" s="507"/>
      <c r="G87" s="508"/>
      <c r="H87" s="506"/>
      <c r="I87" s="507"/>
      <c r="J87" s="507"/>
      <c r="K87" s="507"/>
      <c r="L87" s="508"/>
      <c r="M87" s="1122">
        <f>M30-L30</f>
        <v>269.40719999999999</v>
      </c>
      <c r="N87" s="1123">
        <f>N30-M30</f>
        <v>-156.61419999999998</v>
      </c>
      <c r="O87" s="1123">
        <f>O30-N30</f>
        <v>441.01900000000001</v>
      </c>
      <c r="P87" s="1123">
        <f>P30-O30</f>
        <v>-141.11599999999999</v>
      </c>
      <c r="Q87" s="1124">
        <f>Q30-L30</f>
        <v>412.69600000000003</v>
      </c>
      <c r="R87" s="1122">
        <f>R30-Q30</f>
        <v>373.84099999999989</v>
      </c>
      <c r="S87" s="1123">
        <f>S30-R30</f>
        <v>-15.520999999999958</v>
      </c>
      <c r="T87" s="1123">
        <f>T30-S30</f>
        <v>-69.600999999999885</v>
      </c>
      <c r="U87" s="1123">
        <f>U30-T30</f>
        <v>1350.1792383959219</v>
      </c>
      <c r="V87" s="1124">
        <f>V30-Q30</f>
        <v>1638.8982383959219</v>
      </c>
      <c r="W87" s="1122">
        <f>W30-V30</f>
        <v>632.67850964740774</v>
      </c>
      <c r="X87" s="1123">
        <f>X30-W30</f>
        <v>-1144.2679085427935</v>
      </c>
      <c r="Y87" s="1123">
        <f>Y30-X30</f>
        <v>-540.58368763244289</v>
      </c>
      <c r="Z87" s="1123">
        <f>Z30-Y30</f>
        <v>-4.2178694121048466E-2</v>
      </c>
      <c r="AA87" s="1124">
        <f>AA30-V30</f>
        <v>-1052.2152652219497</v>
      </c>
      <c r="AB87" s="1122">
        <f>AB30-AA30</f>
        <v>-447.479213974652</v>
      </c>
      <c r="AC87" s="1123">
        <f>AC30-AB30</f>
        <v>515.31013755078163</v>
      </c>
      <c r="AD87" s="1123">
        <f>AD30-AC30</f>
        <v>-237.77051166358797</v>
      </c>
      <c r="AE87" s="1123">
        <f>AE30-AD30</f>
        <v>67.582473419800635</v>
      </c>
      <c r="AF87" s="1124">
        <f>AF30-AA30</f>
        <v>-102.3571146676577</v>
      </c>
      <c r="AG87" s="1122">
        <f>AG30-AF30</f>
        <v>-53.987221866885193</v>
      </c>
      <c r="AH87" s="1123">
        <f>AH30-AG30</f>
        <v>157.88408000469735</v>
      </c>
      <c r="AI87" s="1123">
        <f>AI30-AH30</f>
        <v>19.54366001770768</v>
      </c>
      <c r="AJ87" s="1123">
        <f>AJ30-AI30</f>
        <v>-5.3004218241835588</v>
      </c>
      <c r="AK87" s="1124">
        <f>AK30-AF30</f>
        <v>118.14009633133628</v>
      </c>
    </row>
    <row r="88" spans="1:37" s="89" customFormat="1" ht="12.75" hidden="1" customHeight="1" outlineLevel="1">
      <c r="A88" s="1285"/>
      <c r="B88" s="485" t="s">
        <v>90</v>
      </c>
      <c r="C88" s="404">
        <f>Dates!C$14</f>
        <v>90</v>
      </c>
      <c r="D88" s="404">
        <f>Dates!D$14</f>
        <v>91</v>
      </c>
      <c r="E88" s="404">
        <f>Dates!E$14</f>
        <v>92</v>
      </c>
      <c r="F88" s="404">
        <f>Dates!F$14</f>
        <v>92</v>
      </c>
      <c r="G88" s="426">
        <f>Dates!G$14</f>
        <v>365</v>
      </c>
      <c r="H88" s="404">
        <f>Dates!H$14</f>
        <v>90</v>
      </c>
      <c r="I88" s="404">
        <f>Dates!I$14</f>
        <v>91</v>
      </c>
      <c r="J88" s="404">
        <f>Dates!J$14</f>
        <v>92</v>
      </c>
      <c r="K88" s="404">
        <f>Dates!K$14</f>
        <v>92</v>
      </c>
      <c r="L88" s="426">
        <f>Dates!L$14</f>
        <v>365</v>
      </c>
      <c r="M88" s="404">
        <f>Dates!M$14</f>
        <v>91</v>
      </c>
      <c r="N88" s="404">
        <f>Dates!N$14</f>
        <v>91</v>
      </c>
      <c r="O88" s="404">
        <f>Dates!O$14</f>
        <v>92</v>
      </c>
      <c r="P88" s="404">
        <f>Dates!P$14</f>
        <v>92</v>
      </c>
      <c r="Q88" s="426">
        <f>Dates!Q$14</f>
        <v>366</v>
      </c>
      <c r="R88" s="404">
        <f>Dates!R$14</f>
        <v>90</v>
      </c>
      <c r="S88" s="404">
        <f>Dates!S$14</f>
        <v>91</v>
      </c>
      <c r="T88" s="404">
        <f>Dates!T$14</f>
        <v>92</v>
      </c>
      <c r="U88" s="404">
        <f>Dates!U$14</f>
        <v>92</v>
      </c>
      <c r="V88" s="426">
        <f>Dates!V$14</f>
        <v>365</v>
      </c>
      <c r="W88" s="404">
        <f>Dates!W$14</f>
        <v>90</v>
      </c>
      <c r="X88" s="404">
        <f>Dates!X$14</f>
        <v>91</v>
      </c>
      <c r="Y88" s="404">
        <f>Dates!Y$14</f>
        <v>92</v>
      </c>
      <c r="Z88" s="404">
        <f>Dates!Z$14</f>
        <v>92</v>
      </c>
      <c r="AA88" s="426">
        <f>Dates!AA$14</f>
        <v>365</v>
      </c>
      <c r="AB88" s="404">
        <f>Dates!AB$14</f>
        <v>90</v>
      </c>
      <c r="AC88" s="404">
        <f>Dates!AC$14</f>
        <v>91</v>
      </c>
      <c r="AD88" s="404">
        <f>Dates!AD$14</f>
        <v>92</v>
      </c>
      <c r="AE88" s="404">
        <f>Dates!AE$14</f>
        <v>92</v>
      </c>
      <c r="AF88" s="426">
        <f>Dates!AF$14</f>
        <v>365</v>
      </c>
      <c r="AG88" s="404">
        <f>Dates!AG$14</f>
        <v>91</v>
      </c>
      <c r="AH88" s="404">
        <f>Dates!AH$14</f>
        <v>91</v>
      </c>
      <c r="AI88" s="404">
        <f>Dates!AI$14</f>
        <v>92</v>
      </c>
      <c r="AJ88" s="404">
        <f>Dates!AJ$14</f>
        <v>92</v>
      </c>
      <c r="AK88" s="426">
        <f>Dates!AK$14</f>
        <v>366</v>
      </c>
    </row>
    <row r="89" spans="1:37" s="89" customFormat="1" ht="12.75" hidden="1" customHeight="1" outlineLevel="1">
      <c r="A89" s="1285"/>
      <c r="B89" s="485" t="s">
        <v>454</v>
      </c>
      <c r="C89" s="404"/>
      <c r="D89" s="404"/>
      <c r="E89" s="404"/>
      <c r="F89" s="404"/>
      <c r="G89" s="426"/>
      <c r="H89" s="404"/>
      <c r="I89" s="404"/>
      <c r="J89" s="404"/>
      <c r="K89" s="404"/>
      <c r="L89" s="426"/>
      <c r="M89" s="404">
        <f>'Revenue and CapEx Build'!M52+'Revenue and CapEx Build'!M66</f>
        <v>0</v>
      </c>
      <c r="N89" s="404">
        <f>'Revenue and CapEx Build'!N52+'Revenue and CapEx Build'!N66</f>
        <v>0</v>
      </c>
      <c r="O89" s="404">
        <f>'Revenue and CapEx Build'!O52+'Revenue and CapEx Build'!O66</f>
        <v>0</v>
      </c>
      <c r="P89" s="404">
        <f>'Revenue and CapEx Build'!P52+'Revenue and CapEx Build'!P66</f>
        <v>3080.5439999999999</v>
      </c>
      <c r="Q89" s="426">
        <f>'Revenue and CapEx Build'!Q52+'Revenue and CapEx Build'!Q66</f>
        <v>9063.64291734986</v>
      </c>
      <c r="R89" s="404">
        <f>'Revenue and CapEx Build'!R52+'Revenue and CapEx Build'!R66</f>
        <v>1356.048</v>
      </c>
      <c r="S89" s="404">
        <f>'Revenue and CapEx Build'!S52+'Revenue and CapEx Build'!S66</f>
        <v>2396.9209999999998</v>
      </c>
      <c r="T89" s="404">
        <f>'Revenue and CapEx Build'!T52+'Revenue and CapEx Build'!T66</f>
        <v>3181.1710000000003</v>
      </c>
      <c r="U89" s="404">
        <f>'Revenue and CapEx Build'!U52+'Revenue and CapEx Build'!U66</f>
        <v>8213.3940000000002</v>
      </c>
      <c r="V89" s="426">
        <f>'Revenue and CapEx Build'!V52+'Revenue and CapEx Build'!V66</f>
        <v>15147.534</v>
      </c>
      <c r="W89" s="404">
        <f>'Revenue and CapEx Build'!W52+'Revenue and CapEx Build'!W66</f>
        <v>8685.3412000000008</v>
      </c>
      <c r="X89" s="404">
        <f>'Revenue and CapEx Build'!X52+'Revenue and CapEx Build'!X66</f>
        <v>4924.2025840000006</v>
      </c>
      <c r="Y89" s="404">
        <f>'Revenue and CapEx Build'!Y52+'Revenue and CapEx Build'!Y66</f>
        <v>3431.2570392000016</v>
      </c>
      <c r="Z89" s="404">
        <f>'Revenue and CapEx Build'!Z52+'Revenue and CapEx Build'!Z66</f>
        <v>3274.7855046960012</v>
      </c>
      <c r="AA89" s="426">
        <f>'Revenue and CapEx Build'!AA52+'Revenue and CapEx Build'!AA66</f>
        <v>20315.586327896002</v>
      </c>
      <c r="AB89" s="404">
        <f>'Revenue and CapEx Build'!AB52+'Revenue and CapEx Build'!AB66</f>
        <v>4093.6368672104018</v>
      </c>
      <c r="AC89" s="404">
        <f>'Revenue and CapEx Build'!AC52+'Revenue and CapEx Build'!AC66</f>
        <v>6654.8644390212812</v>
      </c>
      <c r="AD89" s="404">
        <f>'Revenue and CapEx Build'!AD52+'Revenue and CapEx Build'!AD66</f>
        <v>5502.3120317063858</v>
      </c>
      <c r="AE89" s="404">
        <f>'Revenue and CapEx Build'!AE52+'Revenue and CapEx Build'!AE66</f>
        <v>5734.4690166083856</v>
      </c>
      <c r="AF89" s="426">
        <f>'Revenue and CapEx Build'!AF52+'Revenue and CapEx Build'!AF66</f>
        <v>21985.282354546456</v>
      </c>
      <c r="AG89" s="404">
        <f>'Revenue and CapEx Build'!AG52+'Revenue and CapEx Build'!AG66</f>
        <v>5285.2965777709724</v>
      </c>
      <c r="AH89" s="404">
        <f>'Revenue and CapEx Build'!AH52+'Revenue and CapEx Build'!AH66</f>
        <v>6052.242983827744</v>
      </c>
      <c r="AI89" s="404">
        <f>'Revenue and CapEx Build'!AI52+'Revenue and CapEx Build'!AI66</f>
        <v>6252.9476417253518</v>
      </c>
      <c r="AJ89" s="404">
        <f>'Revenue and CapEx Build'!AJ52+'Revenue and CapEx Build'!AJ66</f>
        <v>6176.4542274343203</v>
      </c>
      <c r="AK89" s="426">
        <f>'Revenue and CapEx Build'!AK52+'Revenue and CapEx Build'!AK66</f>
        <v>23766.941430758387</v>
      </c>
    </row>
    <row r="90" spans="1:37" s="89" customFormat="1" ht="12.75" hidden="1" customHeight="1" outlineLevel="1">
      <c r="A90" s="1285"/>
      <c r="B90" s="485" t="s">
        <v>455</v>
      </c>
      <c r="C90" s="404"/>
      <c r="D90" s="404"/>
      <c r="E90" s="404"/>
      <c r="F90" s="404"/>
      <c r="G90" s="426"/>
      <c r="H90" s="404"/>
      <c r="I90" s="404"/>
      <c r="J90" s="404"/>
      <c r="K90" s="404"/>
      <c r="L90" s="426"/>
      <c r="M90" s="404">
        <f>'Debt Model'!M138</f>
        <v>5.2119999999999997</v>
      </c>
      <c r="N90" s="404">
        <f>'Debt Model'!N138</f>
        <v>617.44200000000001</v>
      </c>
      <c r="O90" s="404">
        <f>'Debt Model'!O138</f>
        <v>431.447</v>
      </c>
      <c r="P90" s="404">
        <f>'Debt Model'!P138</f>
        <v>314.665938640018</v>
      </c>
      <c r="Q90" s="426">
        <f>'Debt Model'!Q138</f>
        <v>1177.1579999999999</v>
      </c>
      <c r="R90" s="404">
        <f>'Debt Model'!R138</f>
        <v>48.04300000000012</v>
      </c>
      <c r="S90" s="404">
        <f>'Debt Model'!S138</f>
        <v>503.1869999999999</v>
      </c>
      <c r="T90" s="404">
        <f>'Debt Model'!T138</f>
        <v>-542.67899999999986</v>
      </c>
      <c r="U90" s="404">
        <f>'Debt Model'!U138</f>
        <v>1801.4749999999999</v>
      </c>
      <c r="V90" s="426">
        <f>'Debt Model'!V138</f>
        <v>1810.0260000000001</v>
      </c>
      <c r="W90" s="404">
        <f>'Debt Model'!W138</f>
        <v>473.40100000000001</v>
      </c>
      <c r="X90" s="404">
        <f>'Debt Model'!X138</f>
        <v>398.66399999999999</v>
      </c>
      <c r="Y90" s="404">
        <f>'Debt Model'!Y138</f>
        <v>427.08100000000002</v>
      </c>
      <c r="Z90" s="404">
        <f>'Debt Model'!Z138</f>
        <v>290.94</v>
      </c>
      <c r="AA90" s="426">
        <f>'Debt Model'!AA138</f>
        <v>1590.0860000000002</v>
      </c>
      <c r="AB90" s="404">
        <f>'Debt Model'!AB138</f>
        <v>525.87790500000006</v>
      </c>
      <c r="AC90" s="404">
        <f>'Debt Model'!AC138</f>
        <v>550.91971000000012</v>
      </c>
      <c r="AD90" s="404">
        <f>'Debt Model'!AD138</f>
        <v>550.91971000000012</v>
      </c>
      <c r="AE90" s="404">
        <f>'Debt Model'!AE138</f>
        <v>550.91971000000012</v>
      </c>
      <c r="AF90" s="426">
        <f>'Debt Model'!AF138</f>
        <v>2178.6370350000007</v>
      </c>
      <c r="AG90" s="404">
        <f>'Debt Model'!AG138</f>
        <v>473.37790500000006</v>
      </c>
      <c r="AH90" s="404">
        <f>'Debt Model'!AH138</f>
        <v>495.91971000000007</v>
      </c>
      <c r="AI90" s="404">
        <f>'Debt Model'!AI138</f>
        <v>495.91971000000007</v>
      </c>
      <c r="AJ90" s="404">
        <f>'Debt Model'!AJ138</f>
        <v>495.91971000000007</v>
      </c>
      <c r="AK90" s="426">
        <f>'Debt Model'!AK138</f>
        <v>1961.1370350000004</v>
      </c>
    </row>
    <row r="91" spans="1:37" s="89" customFormat="1" ht="12.75" hidden="1" customHeight="1" outlineLevel="1">
      <c r="A91" s="1285"/>
      <c r="B91" s="485" t="s">
        <v>456</v>
      </c>
      <c r="C91" s="404"/>
      <c r="D91" s="404"/>
      <c r="E91" s="404"/>
      <c r="F91" s="404"/>
      <c r="G91" s="426"/>
      <c r="H91" s="404"/>
      <c r="I91" s="404"/>
      <c r="J91" s="404"/>
      <c r="K91" s="404"/>
      <c r="L91" s="426"/>
      <c r="M91" s="404">
        <f>'Debt Model'!M142</f>
        <v>0</v>
      </c>
      <c r="N91" s="404">
        <f>'Debt Model'!N142</f>
        <v>0</v>
      </c>
      <c r="O91" s="404">
        <f>'Debt Model'!O142</f>
        <v>0</v>
      </c>
      <c r="P91" s="404">
        <f>'Debt Model'!P142</f>
        <v>0</v>
      </c>
      <c r="Q91" s="426">
        <f>'Debt Model'!Q142</f>
        <v>0</v>
      </c>
      <c r="R91" s="404">
        <f>'Debt Model'!R142</f>
        <v>-147.059</v>
      </c>
      <c r="S91" s="404">
        <f>'Debt Model'!S142</f>
        <v>-240.20099999999999</v>
      </c>
      <c r="T91" s="404">
        <f>'Debt Model'!T142</f>
        <v>-344.59199999999998</v>
      </c>
      <c r="U91" s="404">
        <f>'Debt Model'!U142</f>
        <v>-485.74599999999998</v>
      </c>
      <c r="V91" s="426">
        <f>'Debt Model'!V142</f>
        <v>-1217.598</v>
      </c>
      <c r="W91" s="404">
        <f>'Debt Model'!W142</f>
        <v>-200.11504000000002</v>
      </c>
      <c r="X91" s="404">
        <f>'Debt Model'!X142</f>
        <v>-235.8515366</v>
      </c>
      <c r="Y91" s="404">
        <f>'Debt Model'!Y142</f>
        <v>-279.06596022299999</v>
      </c>
      <c r="Z91" s="404">
        <f>'Debt Model'!Z142</f>
        <v>-246.84411705416002</v>
      </c>
      <c r="AA91" s="426">
        <f>'Debt Model'!AA142</f>
        <v>-961.87665387716015</v>
      </c>
      <c r="AB91" s="404">
        <f>'Debt Model'!AB142</f>
        <v>-281.66826115105562</v>
      </c>
      <c r="AC91" s="404">
        <f>'Debt Model'!AC142</f>
        <v>-281.66826115105562</v>
      </c>
      <c r="AD91" s="404">
        <f>'Debt Model'!AD142</f>
        <v>-281.66826115105562</v>
      </c>
      <c r="AE91" s="404">
        <f>'Debt Model'!AE142</f>
        <v>-281.66826115105562</v>
      </c>
      <c r="AF91" s="426">
        <f>'Debt Model'!AF142</f>
        <v>-1126.6730446042225</v>
      </c>
      <c r="AG91" s="404">
        <f>'Debt Model'!AG142</f>
        <v>-376.34502028667566</v>
      </c>
      <c r="AH91" s="404">
        <f>'Debt Model'!AH142</f>
        <v>-376.34502028667566</v>
      </c>
      <c r="AI91" s="404">
        <f>'Debt Model'!AI142</f>
        <v>-376.34502028667566</v>
      </c>
      <c r="AJ91" s="404">
        <f>'Debt Model'!AJ142</f>
        <v>-376.34502028667566</v>
      </c>
      <c r="AK91" s="426">
        <f>'Debt Model'!AK142</f>
        <v>-1505.3800811467027</v>
      </c>
    </row>
    <row r="92" spans="1:37" s="89" customFormat="1" ht="12.75" hidden="1" customHeight="1" outlineLevel="1">
      <c r="A92" s="1285"/>
      <c r="B92" s="485" t="s">
        <v>457</v>
      </c>
      <c r="C92" s="404"/>
      <c r="D92" s="404"/>
      <c r="E92" s="404"/>
      <c r="F92" s="404"/>
      <c r="G92" s="426"/>
      <c r="H92" s="404"/>
      <c r="I92" s="404"/>
      <c r="J92" s="404"/>
      <c r="K92" s="404"/>
      <c r="L92" s="426"/>
      <c r="M92" s="404">
        <f>'Debt Model'!M145</f>
        <v>0</v>
      </c>
      <c r="N92" s="404">
        <f>'Debt Model'!N145</f>
        <v>0</v>
      </c>
      <c r="O92" s="404">
        <f>'Debt Model'!O145</f>
        <v>37</v>
      </c>
      <c r="P92" s="404">
        <f>'Debt Model'!P145</f>
        <v>25.646966499999998</v>
      </c>
      <c r="Q92" s="426">
        <f>'Debt Model'!Q145</f>
        <v>62.646966499999998</v>
      </c>
      <c r="R92" s="404">
        <f>'Debt Model'!R145</f>
        <v>27.927423375</v>
      </c>
      <c r="S92" s="404">
        <f>'Debt Model'!S145</f>
        <v>32.858677624999999</v>
      </c>
      <c r="T92" s="404">
        <f>'Debt Model'!T145</f>
        <v>31.690804874999994</v>
      </c>
      <c r="U92" s="404">
        <f>'Debt Model'!U145</f>
        <v>39.636830249999996</v>
      </c>
      <c r="V92" s="426">
        <f>'Debt Model'!V145</f>
        <v>132.113736125</v>
      </c>
      <c r="W92" s="404">
        <f>'Debt Model'!W145</f>
        <v>56.059220824999997</v>
      </c>
      <c r="X92" s="404">
        <f>'Debt Model'!X145</f>
        <v>60.692766573625008</v>
      </c>
      <c r="Y92" s="404">
        <f>'Debt Model'!Y145</f>
        <v>63.995308794880629</v>
      </c>
      <c r="Z92" s="404">
        <f>'Debt Model'!Z145</f>
        <v>65.259587497648326</v>
      </c>
      <c r="AA92" s="426">
        <f>'Debt Model'!AA145</f>
        <v>246.00688369115397</v>
      </c>
      <c r="AB92" s="404">
        <f>'Debt Model'!AB145</f>
        <v>69.099733571005387</v>
      </c>
      <c r="AC92" s="404">
        <f>'Debt Model'!AC145</f>
        <v>74.555257680920462</v>
      </c>
      <c r="AD92" s="404">
        <f>'Debt Model'!AD145</f>
        <v>80.276850968960545</v>
      </c>
      <c r="AE92" s="404">
        <f>'Debt Model'!AE145</f>
        <v>85.9984442570006</v>
      </c>
      <c r="AF92" s="426">
        <f>'Debt Model'!AF145</f>
        <v>309.93028647788697</v>
      </c>
      <c r="AG92" s="404">
        <f>'Debt Model'!AG145</f>
        <v>89.89021530109973</v>
      </c>
      <c r="AH92" s="404">
        <f>'Debt Model'!AH145</f>
        <v>92.191670779382889</v>
      </c>
      <c r="AI92" s="404">
        <f>'Debt Model'!AI145</f>
        <v>94.732632935791031</v>
      </c>
      <c r="AJ92" s="404">
        <f>'Debt Model'!AJ145</f>
        <v>97.273595092199187</v>
      </c>
      <c r="AK92" s="426">
        <f>'Debt Model'!AK145</f>
        <v>374.08811410847278</v>
      </c>
    </row>
    <row r="93" spans="1:37" s="89" customFormat="1" ht="12.75" hidden="1" customHeight="1" outlineLevel="1">
      <c r="A93" s="1285"/>
      <c r="B93" s="485" t="s">
        <v>114</v>
      </c>
      <c r="C93" s="403"/>
      <c r="D93" s="403"/>
      <c r="E93" s="403"/>
      <c r="F93" s="403"/>
      <c r="G93" s="285"/>
      <c r="H93" s="112"/>
      <c r="I93" s="112"/>
      <c r="J93" s="112"/>
      <c r="K93" s="112"/>
      <c r="L93" s="113"/>
      <c r="M93" s="112">
        <f t="shared" ref="M93:AF93" si="38">IFERROR(M86-H86,"")</f>
        <v>33.18</v>
      </c>
      <c r="N93" s="112">
        <f t="shared" si="38"/>
        <v>35.78</v>
      </c>
      <c r="O93" s="112">
        <f t="shared" si="38"/>
        <v>31.99</v>
      </c>
      <c r="P93" s="112">
        <f>IFERROR(P86-K86,"")</f>
        <v>26.41</v>
      </c>
      <c r="Q93" s="113">
        <f t="shared" si="38"/>
        <v>0</v>
      </c>
      <c r="R93" s="112">
        <f>IFERROR(R86-M86,"")</f>
        <v>31.537275804693728</v>
      </c>
      <c r="S93" s="112">
        <f t="shared" si="38"/>
        <v>-3.7800000000000011</v>
      </c>
      <c r="T93" s="112">
        <f t="shared" si="38"/>
        <v>0</v>
      </c>
      <c r="U93" s="112">
        <f>IFERROR(U86-P86,"")</f>
        <v>5.59</v>
      </c>
      <c r="V93" s="113">
        <f t="shared" si="38"/>
        <v>0</v>
      </c>
      <c r="W93" s="112">
        <f>IFERROR(W86-R86,"")</f>
        <v>-33.217275804693728</v>
      </c>
      <c r="X93" s="112">
        <f t="shared" si="38"/>
        <v>0</v>
      </c>
      <c r="Y93" s="112">
        <f t="shared" si="38"/>
        <v>-0.98999999999999844</v>
      </c>
      <c r="Z93" s="112">
        <f t="shared" si="38"/>
        <v>-1</v>
      </c>
      <c r="AA93" s="113">
        <f t="shared" si="38"/>
        <v>0</v>
      </c>
      <c r="AB93" s="112">
        <f t="shared" si="38"/>
        <v>-13</v>
      </c>
      <c r="AC93" s="112">
        <f t="shared" si="38"/>
        <v>-13.5</v>
      </c>
      <c r="AD93" s="112">
        <f t="shared" si="38"/>
        <v>-12.5</v>
      </c>
      <c r="AE93" s="112">
        <f t="shared" si="38"/>
        <v>-12.5</v>
      </c>
      <c r="AF93" s="113">
        <f t="shared" si="38"/>
        <v>0</v>
      </c>
      <c r="AG93" s="112">
        <f>IFERROR(AG86-AB86,"")</f>
        <v>0</v>
      </c>
      <c r="AH93" s="112">
        <f>IFERROR(AH86-AC86,"")</f>
        <v>0</v>
      </c>
      <c r="AI93" s="112">
        <f>IFERROR(AI86-AD86,"")</f>
        <v>0</v>
      </c>
      <c r="AJ93" s="112">
        <f>IFERROR(AJ86-AE86,"")</f>
        <v>0</v>
      </c>
      <c r="AK93" s="113">
        <f>IFERROR(AK86-AF86,"")</f>
        <v>0</v>
      </c>
    </row>
    <row r="94" spans="1:37" s="89" customFormat="1" ht="12.75" hidden="1" customHeight="1" outlineLevel="1">
      <c r="A94" s="78"/>
      <c r="B94" s="1119" t="s">
        <v>115</v>
      </c>
      <c r="C94" s="100"/>
      <c r="D94" s="100"/>
      <c r="E94" s="100"/>
      <c r="F94" s="100"/>
      <c r="G94" s="114"/>
      <c r="H94" s="100"/>
      <c r="I94" s="100"/>
      <c r="J94" s="100"/>
      <c r="K94" s="100"/>
      <c r="L94" s="114"/>
      <c r="M94" s="100" t="str">
        <f t="shared" ref="M94:AF94" si="39">IFERROR(M86/H86-1,"")</f>
        <v/>
      </c>
      <c r="N94" s="100" t="str">
        <f t="shared" si="39"/>
        <v/>
      </c>
      <c r="O94" s="100" t="str">
        <f t="shared" si="39"/>
        <v/>
      </c>
      <c r="P94" s="100" t="str">
        <f>IFERROR(P86/K86-1,"")</f>
        <v/>
      </c>
      <c r="Q94" s="114" t="str">
        <f t="shared" si="39"/>
        <v/>
      </c>
      <c r="R94" s="100">
        <f>IFERROR(R86/M86-1,"")</f>
        <v>0.95049053058148658</v>
      </c>
      <c r="S94" s="100">
        <f t="shared" si="39"/>
        <v>-0.10564561207378431</v>
      </c>
      <c r="T94" s="100">
        <f t="shared" si="39"/>
        <v>0</v>
      </c>
      <c r="U94" s="100">
        <f>IFERROR(U86/P86-1,"")</f>
        <v>0.21166224914804999</v>
      </c>
      <c r="V94" s="114" t="str">
        <f t="shared" si="39"/>
        <v/>
      </c>
      <c r="W94" s="100">
        <f>IFERROR(W86/R86-1,"")</f>
        <v>-0.51326752233728279</v>
      </c>
      <c r="X94" s="100">
        <f t="shared" si="39"/>
        <v>0</v>
      </c>
      <c r="Y94" s="100">
        <f t="shared" si="39"/>
        <v>-3.094717099093458E-2</v>
      </c>
      <c r="Z94" s="100">
        <f t="shared" si="39"/>
        <v>-3.125E-2</v>
      </c>
      <c r="AA94" s="114" t="str">
        <f t="shared" si="39"/>
        <v/>
      </c>
      <c r="AB94" s="100">
        <f t="shared" si="39"/>
        <v>-0.41269841269841268</v>
      </c>
      <c r="AC94" s="100">
        <f t="shared" si="39"/>
        <v>-0.421875</v>
      </c>
      <c r="AD94" s="100">
        <f t="shared" si="39"/>
        <v>-0.40322580645161288</v>
      </c>
      <c r="AE94" s="100">
        <f t="shared" si="39"/>
        <v>-0.40322580645161288</v>
      </c>
      <c r="AF94" s="114" t="str">
        <f t="shared" si="39"/>
        <v/>
      </c>
      <c r="AG94" s="100">
        <f>IFERROR(AG86/AB86-1,"")</f>
        <v>0</v>
      </c>
      <c r="AH94" s="100">
        <f>IFERROR(AH86/AC86-1,"")</f>
        <v>0</v>
      </c>
      <c r="AI94" s="100">
        <f>IFERROR(AI86/AD86-1,"")</f>
        <v>0</v>
      </c>
      <c r="AJ94" s="100">
        <f>IFERROR(AJ86/AE86-1,"")</f>
        <v>0</v>
      </c>
      <c r="AK94" s="114" t="str">
        <f>IFERROR(AK86/AF86-1,"")</f>
        <v/>
      </c>
    </row>
    <row r="95" spans="1:37" s="246" customFormat="1" ht="12.75" hidden="1" customHeight="1" outlineLevel="1">
      <c r="A95" s="245"/>
      <c r="B95" s="387"/>
      <c r="C95" s="506"/>
      <c r="D95" s="507"/>
      <c r="E95" s="507"/>
      <c r="F95" s="507"/>
      <c r="G95" s="508"/>
      <c r="H95" s="506"/>
      <c r="I95" s="507"/>
      <c r="J95" s="507"/>
      <c r="K95" s="507"/>
      <c r="L95" s="508"/>
      <c r="M95" s="506"/>
      <c r="N95" s="507"/>
      <c r="O95" s="507"/>
      <c r="P95" s="507"/>
      <c r="Q95" s="508"/>
      <c r="R95" s="506"/>
      <c r="S95" s="507"/>
      <c r="T95" s="507"/>
      <c r="U95" s="507"/>
      <c r="V95" s="508"/>
      <c r="W95" s="506"/>
      <c r="X95" s="507"/>
      <c r="Y95" s="507"/>
      <c r="Z95" s="507"/>
      <c r="AA95" s="508"/>
      <c r="AB95" s="506"/>
      <c r="AC95" s="507"/>
      <c r="AD95" s="507"/>
      <c r="AE95" s="507"/>
      <c r="AF95" s="508"/>
      <c r="AG95" s="506"/>
      <c r="AH95" s="507"/>
      <c r="AI95" s="507"/>
      <c r="AJ95" s="507"/>
      <c r="AK95" s="508"/>
    </row>
    <row r="96" spans="1:37" s="89" customFormat="1" ht="12.75" hidden="1" customHeight="1" outlineLevel="1">
      <c r="A96" s="1193"/>
      <c r="B96" s="463" t="s">
        <v>459</v>
      </c>
      <c r="C96" s="116"/>
      <c r="D96" s="117"/>
      <c r="E96" s="117"/>
      <c r="F96" s="117"/>
      <c r="G96" s="118"/>
      <c r="H96" s="116"/>
      <c r="I96" s="117"/>
      <c r="J96" s="117"/>
      <c r="K96" s="117">
        <f t="shared" ref="K96:S96" si="40">(K34+K42)/K65</f>
        <v>13.540813788041785</v>
      </c>
      <c r="L96" s="118">
        <f t="shared" si="40"/>
        <v>6.9389008019269749</v>
      </c>
      <c r="M96" s="116">
        <f t="shared" si="40"/>
        <v>15.277420451454992</v>
      </c>
      <c r="N96" s="117">
        <f t="shared" si="40"/>
        <v>12.517504240100289</v>
      </c>
      <c r="O96" s="117">
        <f t="shared" si="40"/>
        <v>12.556302191610145</v>
      </c>
      <c r="P96" s="117">
        <f t="shared" si="40"/>
        <v>14.307816875366868</v>
      </c>
      <c r="Q96" s="118">
        <f t="shared" si="40"/>
        <v>5.2881909143057175</v>
      </c>
      <c r="R96" s="116">
        <f t="shared" si="40"/>
        <v>11.965248497310368</v>
      </c>
      <c r="S96" s="117">
        <f t="shared" si="40"/>
        <v>11.122097262280381</v>
      </c>
      <c r="T96" s="117">
        <f>(T34+T42)/T65</f>
        <v>12.933088961950881</v>
      </c>
      <c r="U96" s="510">
        <f>T96</f>
        <v>12.933088961950881</v>
      </c>
      <c r="V96" s="118">
        <f>(V34+V42)/V65</f>
        <v>3.9625069774571706</v>
      </c>
      <c r="W96" s="510">
        <f>U96</f>
        <v>12.933088961950881</v>
      </c>
      <c r="X96" s="510">
        <f>W96</f>
        <v>12.933088961950881</v>
      </c>
      <c r="Y96" s="510">
        <f>X96</f>
        <v>12.933088961950881</v>
      </c>
      <c r="Z96" s="510">
        <f>Y96</f>
        <v>12.933088961950881</v>
      </c>
      <c r="AA96" s="118">
        <f>(AA34+AA42)/AA65</f>
        <v>3.7938730153151186</v>
      </c>
      <c r="AB96" s="510">
        <v>12</v>
      </c>
      <c r="AC96" s="510">
        <f>AB96</f>
        <v>12</v>
      </c>
      <c r="AD96" s="510">
        <f>AC96</f>
        <v>12</v>
      </c>
      <c r="AE96" s="510">
        <f>AD96</f>
        <v>12</v>
      </c>
      <c r="AF96" s="118">
        <f>(AF34+AF42)/AF65</f>
        <v>3.3268302316724734</v>
      </c>
      <c r="AG96" s="510">
        <v>12</v>
      </c>
      <c r="AH96" s="510">
        <f>AG96</f>
        <v>12</v>
      </c>
      <c r="AI96" s="510">
        <f>AH96</f>
        <v>12</v>
      </c>
      <c r="AJ96" s="510">
        <f>AI96</f>
        <v>12</v>
      </c>
      <c r="AK96" s="118">
        <f>(AK34+AK42)/AK65</f>
        <v>3.1517356806824064</v>
      </c>
    </row>
    <row r="97" spans="1:37" s="246" customFormat="1" ht="12.75" hidden="1" customHeight="1" outlineLevel="1">
      <c r="A97" s="245"/>
      <c r="B97" s="485" t="s">
        <v>543</v>
      </c>
      <c r="C97" s="506"/>
      <c r="D97" s="507"/>
      <c r="E97" s="507"/>
      <c r="F97" s="507"/>
      <c r="G97" s="508"/>
      <c r="H97" s="506"/>
      <c r="I97" s="507"/>
      <c r="J97" s="507"/>
      <c r="K97" s="507"/>
      <c r="L97" s="508"/>
      <c r="M97" s="506">
        <f>CF!M29</f>
        <v>-5.819</v>
      </c>
      <c r="N97" s="507">
        <f>CF!N29</f>
        <v>-14.888999999999999</v>
      </c>
      <c r="O97" s="507">
        <f>CF!O29</f>
        <v>0</v>
      </c>
      <c r="P97" s="507">
        <f>CF!P29</f>
        <v>808.18600000000004</v>
      </c>
      <c r="Q97" s="508">
        <f>CF!Q29</f>
        <v>-87.611000000000004</v>
      </c>
      <c r="R97" s="506">
        <f>CF!R29</f>
        <v>-51.109000000000002</v>
      </c>
      <c r="S97" s="507">
        <f>CF!S29</f>
        <v>-59.341999999999999</v>
      </c>
      <c r="T97" s="507">
        <f>CF!T29</f>
        <v>-70.61</v>
      </c>
      <c r="U97" s="507">
        <f>CF!U29</f>
        <v>616.91984017067512</v>
      </c>
      <c r="V97" s="508">
        <f>CF!V29</f>
        <v>435.85884017067514</v>
      </c>
      <c r="W97" s="506">
        <f>CF!W29</f>
        <v>1571.6113509608765</v>
      </c>
      <c r="X97" s="507">
        <f>CF!X29</f>
        <v>2287.8069438269713</v>
      </c>
      <c r="Y97" s="507">
        <f>CF!Y29</f>
        <v>1010.3074929707798</v>
      </c>
      <c r="Z97" s="507">
        <f>CF!Z29</f>
        <v>716.8604398661198</v>
      </c>
      <c r="AA97" s="508">
        <f>CF!AA29</f>
        <v>5586.5862276247481</v>
      </c>
      <c r="AB97" s="506">
        <f>CF!AB29</f>
        <v>-636.49080417941741</v>
      </c>
      <c r="AC97" s="507">
        <f>CF!AC29</f>
        <v>924.35726287011641</v>
      </c>
      <c r="AD97" s="507">
        <f>CF!AD29</f>
        <v>863.63486551674669</v>
      </c>
      <c r="AE97" s="507">
        <f>CF!AE29</f>
        <v>803.63607232260995</v>
      </c>
      <c r="AF97" s="508">
        <f>CF!AF29</f>
        <v>1955.1373965300554</v>
      </c>
      <c r="AG97" s="506">
        <f>CF!AG29</f>
        <v>15.50506980046157</v>
      </c>
      <c r="AH97" s="507">
        <f>CF!AH29</f>
        <v>532.55780854862417</v>
      </c>
      <c r="AI97" s="507">
        <f>CF!AI29</f>
        <v>477.50591487750944</v>
      </c>
      <c r="AJ97" s="507">
        <f>CF!AJ29</f>
        <v>424.18136951821145</v>
      </c>
      <c r="AK97" s="508">
        <f>CF!AK29</f>
        <v>1449.7501627448064</v>
      </c>
    </row>
    <row r="98" spans="1:37" s="881" customFormat="1" ht="12.75" hidden="1" customHeight="1" outlineLevel="1">
      <c r="A98" s="1289"/>
      <c r="B98" s="1120" t="s">
        <v>460</v>
      </c>
      <c r="C98" s="875"/>
      <c r="D98" s="873"/>
      <c r="E98" s="873"/>
      <c r="F98" s="873"/>
      <c r="G98" s="874"/>
      <c r="H98" s="875"/>
      <c r="I98" s="873"/>
      <c r="J98" s="873"/>
      <c r="K98" s="879">
        <f t="shared" ref="K98:S98" si="41">K34/(K34+K42)</f>
        <v>8.4219861908975069E-2</v>
      </c>
      <c r="L98" s="821">
        <f t="shared" si="41"/>
        <v>8.4219861908975069E-2</v>
      </c>
      <c r="M98" s="880">
        <f t="shared" si="41"/>
        <v>7.2265368582062409E-2</v>
      </c>
      <c r="N98" s="879">
        <f t="shared" si="41"/>
        <v>7.4645121240884557E-2</v>
      </c>
      <c r="O98" s="879">
        <f t="shared" si="41"/>
        <v>8.441207672294658E-2</v>
      </c>
      <c r="P98" s="879">
        <f t="shared" si="41"/>
        <v>8.1899573253969252E-2</v>
      </c>
      <c r="Q98" s="821">
        <f t="shared" si="41"/>
        <v>8.1899573253969252E-2</v>
      </c>
      <c r="R98" s="880">
        <f t="shared" si="41"/>
        <v>7.7090172546901939E-2</v>
      </c>
      <c r="S98" s="879">
        <f t="shared" si="41"/>
        <v>8.0952071546919024E-2</v>
      </c>
      <c r="T98" s="879">
        <f>T34/(T34+T42)</f>
        <v>7.3125966140039425E-2</v>
      </c>
      <c r="U98" s="883">
        <f>T98</f>
        <v>7.3125966140039425E-2</v>
      </c>
      <c r="V98" s="821">
        <f>V34/(V34+V42)</f>
        <v>7.3125966140039425E-2</v>
      </c>
      <c r="W98" s="882">
        <f>U98</f>
        <v>7.3125966140039425E-2</v>
      </c>
      <c r="X98" s="883">
        <f>W98</f>
        <v>7.3125966140039425E-2</v>
      </c>
      <c r="Y98" s="883">
        <f>X98</f>
        <v>7.3125966140039425E-2</v>
      </c>
      <c r="Z98" s="883">
        <f>Y98</f>
        <v>7.3125966140039425E-2</v>
      </c>
      <c r="AA98" s="821">
        <f>AA34/(AA34+AA42)</f>
        <v>7.3125966140039425E-2</v>
      </c>
      <c r="AB98" s="882">
        <f>Z98</f>
        <v>7.3125966140039425E-2</v>
      </c>
      <c r="AC98" s="883">
        <f>AB98</f>
        <v>7.3125966140039425E-2</v>
      </c>
      <c r="AD98" s="883">
        <f>AC98</f>
        <v>7.3125966140039425E-2</v>
      </c>
      <c r="AE98" s="883">
        <f>AD98</f>
        <v>7.3125966140039425E-2</v>
      </c>
      <c r="AF98" s="821">
        <f>AF34/(AF34+AF42)</f>
        <v>7.3125966140039425E-2</v>
      </c>
      <c r="AG98" s="882">
        <f>AE98</f>
        <v>7.3125966140039425E-2</v>
      </c>
      <c r="AH98" s="883">
        <f>AG98</f>
        <v>7.3125966140039425E-2</v>
      </c>
      <c r="AI98" s="883">
        <f>AH98</f>
        <v>7.3125966140039425E-2</v>
      </c>
      <c r="AJ98" s="883">
        <f>AI98</f>
        <v>7.3125966140039425E-2</v>
      </c>
      <c r="AK98" s="821">
        <f>AK34/(AK34+AK42)</f>
        <v>7.3125966140039425E-2</v>
      </c>
    </row>
    <row r="99" spans="1:37" s="374" customFormat="1" ht="12.75" hidden="1" customHeight="1" outlineLevel="1">
      <c r="A99" s="1290"/>
      <c r="B99" s="1120" t="s">
        <v>461</v>
      </c>
      <c r="C99" s="878"/>
      <c r="D99" s="876"/>
      <c r="E99" s="876"/>
      <c r="F99" s="876"/>
      <c r="G99" s="877"/>
      <c r="H99" s="878"/>
      <c r="I99" s="876"/>
      <c r="J99" s="876"/>
      <c r="K99" s="705">
        <f t="shared" ref="K99:S99" si="42">K42/(K42+K34)</f>
        <v>0.91578013809102499</v>
      </c>
      <c r="L99" s="700">
        <f t="shared" si="42"/>
        <v>0.91578013809102499</v>
      </c>
      <c r="M99" s="702">
        <f t="shared" si="42"/>
        <v>0.92773463141793755</v>
      </c>
      <c r="N99" s="705">
        <f t="shared" si="42"/>
        <v>0.92535487875911548</v>
      </c>
      <c r="O99" s="705">
        <f t="shared" si="42"/>
        <v>0.91558792327705341</v>
      </c>
      <c r="P99" s="705">
        <f t="shared" si="42"/>
        <v>0.91810042674603087</v>
      </c>
      <c r="Q99" s="700">
        <f t="shared" si="42"/>
        <v>0.91810042674603087</v>
      </c>
      <c r="R99" s="702">
        <f t="shared" si="42"/>
        <v>0.92290982745309802</v>
      </c>
      <c r="S99" s="705">
        <f t="shared" si="42"/>
        <v>0.91904792845308103</v>
      </c>
      <c r="T99" s="705">
        <f>T42/(T42+T34)</f>
        <v>0.92687403385996059</v>
      </c>
      <c r="U99" s="705">
        <f>1-U98</f>
        <v>0.92687403385996059</v>
      </c>
      <c r="V99" s="700">
        <f>V42/(V42+V34)</f>
        <v>0.92687403385996059</v>
      </c>
      <c r="W99" s="702">
        <f>1-W98</f>
        <v>0.92687403385996059</v>
      </c>
      <c r="X99" s="705">
        <f>1-X98</f>
        <v>0.92687403385996059</v>
      </c>
      <c r="Y99" s="705">
        <f>1-Y98</f>
        <v>0.92687403385996059</v>
      </c>
      <c r="Z99" s="705">
        <f>1-Z98</f>
        <v>0.92687403385996059</v>
      </c>
      <c r="AA99" s="700">
        <f>AA42/(AA42+AA34)</f>
        <v>0.92687403385996048</v>
      </c>
      <c r="AB99" s="702">
        <f>1-AB98</f>
        <v>0.92687403385996059</v>
      </c>
      <c r="AC99" s="705">
        <f>1-AC98</f>
        <v>0.92687403385996059</v>
      </c>
      <c r="AD99" s="705">
        <f>1-AD98</f>
        <v>0.92687403385996059</v>
      </c>
      <c r="AE99" s="705">
        <f>1-AE98</f>
        <v>0.92687403385996059</v>
      </c>
      <c r="AF99" s="700">
        <f>AF42/(AF42+AF34)</f>
        <v>0.92687403385996059</v>
      </c>
      <c r="AG99" s="702">
        <f>1-AG98</f>
        <v>0.92687403385996059</v>
      </c>
      <c r="AH99" s="705">
        <f>1-AH98</f>
        <v>0.92687403385996059</v>
      </c>
      <c r="AI99" s="705">
        <f>1-AI98</f>
        <v>0.92687403385996059</v>
      </c>
      <c r="AJ99" s="705">
        <f>1-AJ98</f>
        <v>0.92687403385996059</v>
      </c>
      <c r="AK99" s="700">
        <f>AK42/(AK42+AK34)</f>
        <v>0.92687403385996059</v>
      </c>
    </row>
    <row r="100" spans="1:37" s="374" customFormat="1" ht="12.75" hidden="1" customHeight="1" outlineLevel="1">
      <c r="A100" s="1290"/>
      <c r="B100" s="1120" t="s">
        <v>518</v>
      </c>
      <c r="C100" s="878"/>
      <c r="D100" s="876"/>
      <c r="E100" s="876"/>
      <c r="F100" s="876"/>
      <c r="G100" s="877"/>
      <c r="H100" s="878"/>
      <c r="I100" s="876"/>
      <c r="J100" s="876"/>
      <c r="K100" s="702">
        <f>K34/K68</f>
        <v>8.4219861908975069E-2</v>
      </c>
      <c r="L100" s="700"/>
      <c r="M100" s="702">
        <f>M34/M68</f>
        <v>7.2265368582062409E-2</v>
      </c>
      <c r="N100" s="702">
        <f>N34/N68</f>
        <v>7.4645121240884557E-2</v>
      </c>
      <c r="O100" s="702">
        <f>O34/O68</f>
        <v>8.441207672294658E-2</v>
      </c>
      <c r="P100" s="702">
        <f>P34/P68</f>
        <v>8.1899573253969252E-2</v>
      </c>
      <c r="Q100" s="700"/>
      <c r="R100" s="702">
        <f>R34/R68</f>
        <v>7.7090172546901939E-2</v>
      </c>
      <c r="S100" s="702">
        <f>S34/S68</f>
        <v>8.0952071546919024E-2</v>
      </c>
      <c r="T100" s="702">
        <f>T34/T68</f>
        <v>7.3125966140039425E-2</v>
      </c>
      <c r="U100" s="705"/>
      <c r="V100" s="700"/>
      <c r="W100" s="702"/>
      <c r="X100" s="705"/>
      <c r="Y100" s="705"/>
      <c r="Z100" s="705"/>
      <c r="AA100" s="700"/>
      <c r="AB100" s="702"/>
      <c r="AC100" s="705"/>
      <c r="AD100" s="705"/>
      <c r="AE100" s="705"/>
      <c r="AF100" s="700"/>
      <c r="AG100" s="702"/>
      <c r="AH100" s="705"/>
      <c r="AI100" s="705"/>
      <c r="AJ100" s="705"/>
      <c r="AK100" s="700"/>
    </row>
    <row r="101" spans="1:37" s="374" customFormat="1" ht="12.75" hidden="1" customHeight="1" outlineLevel="1">
      <c r="A101" s="1290"/>
      <c r="B101" s="377"/>
      <c r="C101" s="878"/>
      <c r="D101" s="876"/>
      <c r="E101" s="876"/>
      <c r="F101" s="876"/>
      <c r="G101" s="877"/>
      <c r="H101" s="878"/>
      <c r="I101" s="876"/>
      <c r="J101" s="876"/>
      <c r="K101" s="705"/>
      <c r="L101" s="700"/>
      <c r="M101" s="702"/>
      <c r="N101" s="705"/>
      <c r="O101" s="705"/>
      <c r="P101" s="705"/>
      <c r="Q101" s="700"/>
      <c r="R101" s="702"/>
      <c r="S101" s="705"/>
      <c r="T101" s="705"/>
      <c r="U101" s="705"/>
      <c r="V101" s="700"/>
      <c r="W101" s="702"/>
      <c r="X101" s="705"/>
      <c r="Y101" s="705"/>
      <c r="Z101" s="705"/>
      <c r="AA101" s="700"/>
      <c r="AB101" s="702"/>
      <c r="AC101" s="705"/>
      <c r="AD101" s="705"/>
      <c r="AE101" s="705"/>
      <c r="AF101" s="700"/>
      <c r="AG101" s="702"/>
      <c r="AH101" s="705"/>
      <c r="AI101" s="705"/>
      <c r="AJ101" s="705"/>
      <c r="AK101" s="700"/>
    </row>
    <row r="102" spans="1:37" s="881" customFormat="1" ht="12.75" hidden="1" customHeight="1" outlineLevel="1">
      <c r="A102" s="1287"/>
      <c r="B102" s="463" t="s">
        <v>462</v>
      </c>
      <c r="C102" s="871"/>
      <c r="D102" s="869"/>
      <c r="E102" s="869"/>
      <c r="F102" s="869"/>
      <c r="G102" s="870"/>
      <c r="H102" s="871"/>
      <c r="I102" s="869"/>
      <c r="J102" s="869"/>
      <c r="K102" s="869">
        <f>(K35+K43)/K66</f>
        <v>6.1335362741006462E-2</v>
      </c>
      <c r="L102" s="870">
        <f>(L35+L43)/L66</f>
        <v>3.0670054226233361E-2</v>
      </c>
      <c r="M102" s="871">
        <f>(AVERAGE(M35,L35)+AVERAGE(M43,L43))/M66</f>
        <v>0.44632379065686201</v>
      </c>
      <c r="N102" s="869">
        <f>(AVERAGE(N35,M35)+AVERAGE(N43,M43))/N66</f>
        <v>0.42381319510514748</v>
      </c>
      <c r="O102" s="869">
        <f>(AVERAGE(O35,N35)+AVERAGE(O43,N43))/O66</f>
        <v>0.19062271241887294</v>
      </c>
      <c r="P102" s="869">
        <f>(AVERAGE(P35,O35)+AVERAGE(P43,O43))/P66</f>
        <v>0.15600174257465405</v>
      </c>
      <c r="Q102" s="870">
        <f>(AVERAGE(Q35,L35)+AVERAGE(Q43,L43))/Q66</f>
        <v>4.9946132186929115E-2</v>
      </c>
      <c r="R102" s="871">
        <f>(AVERAGE(R35,Q35)+AVERAGE(R43,Q43))/R66</f>
        <v>0.15117954692003233</v>
      </c>
      <c r="S102" s="869">
        <f>(AVERAGE(S35,R35)+AVERAGE(S43,R43))/S66</f>
        <v>0.10548533914105264</v>
      </c>
      <c r="T102" s="869">
        <f>(AVERAGE(T35,S35)+AVERAGE(T43,S43))/T66</f>
        <v>7.5259639401240697E-2</v>
      </c>
      <c r="U102" s="884">
        <v>0.04</v>
      </c>
      <c r="V102" s="870">
        <f>(AVERAGE(V35,Q35)+AVERAGE(V43,Q43))/V66</f>
        <v>2.2204025778216101E-2</v>
      </c>
      <c r="W102" s="884">
        <v>1.4999999999999999E-2</v>
      </c>
      <c r="X102" s="884">
        <v>2.5000000000000001E-3</v>
      </c>
      <c r="Y102" s="884">
        <v>0</v>
      </c>
      <c r="Z102" s="884">
        <f>Y102</f>
        <v>0</v>
      </c>
      <c r="AA102" s="870">
        <f>(AVERAGE(AA35,V35)+AVERAGE(AA43,V43))/AA66</f>
        <v>2.7873045815450127E-3</v>
      </c>
      <c r="AB102" s="884">
        <f>Z102</f>
        <v>0</v>
      </c>
      <c r="AC102" s="884">
        <f>AB102</f>
        <v>0</v>
      </c>
      <c r="AD102" s="884">
        <f>AC102</f>
        <v>0</v>
      </c>
      <c r="AE102" s="884">
        <f>AD102</f>
        <v>0</v>
      </c>
      <c r="AF102" s="870">
        <f>(AVERAGE(AF35,AA35)+AVERAGE(AF43,AA43))/AF66</f>
        <v>0</v>
      </c>
      <c r="AG102" s="884">
        <f>AE102</f>
        <v>0</v>
      </c>
      <c r="AH102" s="884">
        <f>AG102</f>
        <v>0</v>
      </c>
      <c r="AI102" s="884">
        <f>AH102</f>
        <v>0</v>
      </c>
      <c r="AJ102" s="884">
        <f>AI102</f>
        <v>0</v>
      </c>
      <c r="AK102" s="870">
        <f>(AVERAGE(AK35,AF35)+AVERAGE(AK43,AF43))/AK66</f>
        <v>0</v>
      </c>
    </row>
    <row r="103" spans="1:37" s="246" customFormat="1" ht="12.75" hidden="1" customHeight="1" outlineLevel="1">
      <c r="A103" s="245"/>
      <c r="B103" s="485" t="s">
        <v>543</v>
      </c>
      <c r="C103" s="506"/>
      <c r="D103" s="507"/>
      <c r="E103" s="507"/>
      <c r="F103" s="507"/>
      <c r="G103" s="508"/>
      <c r="H103" s="506"/>
      <c r="I103" s="507"/>
      <c r="J103" s="507"/>
      <c r="K103" s="507"/>
      <c r="L103" s="508"/>
      <c r="M103" s="1122">
        <f>(M35-L35)+(M43-L43)</f>
        <v>74.822000000000003</v>
      </c>
      <c r="N103" s="1123">
        <f>(N35-M35)+(N43-M43)</f>
        <v>-2.713000000000001</v>
      </c>
      <c r="O103" s="1123">
        <f>(O35-N35)+(O43-N43)</f>
        <v>-43.456999999999994</v>
      </c>
      <c r="P103" s="1123">
        <f>(P35-O35)+(P43-O43)</f>
        <v>59.225000000000001</v>
      </c>
      <c r="Q103" s="1124">
        <f>(Q35-L35)+(Q43-L43)</f>
        <v>87.87700000000001</v>
      </c>
      <c r="R103" s="1122">
        <f>(R35-Q35)+(R43-Q43)</f>
        <v>-14.097000000000001</v>
      </c>
      <c r="S103" s="1123">
        <f>(S35-R35)+(S43-R43)</f>
        <v>-14.315999999999997</v>
      </c>
      <c r="T103" s="1123">
        <f>(T35-S35)+(T43-S43)</f>
        <v>-14.505999999999998</v>
      </c>
      <c r="U103" s="1123">
        <f>(U35-T35)+(U43-T43)</f>
        <v>-12.281794016596578</v>
      </c>
      <c r="V103" s="1124">
        <f>(V35-Q35)+(V43-Q43)</f>
        <v>-55.200794016596575</v>
      </c>
      <c r="W103" s="1122">
        <f>(W35-V35)+(W43-V43)</f>
        <v>-17.976425017278469</v>
      </c>
      <c r="X103" s="1123">
        <f>(X35-W35)+(X43-W43)</f>
        <v>-14.707698673446183</v>
      </c>
      <c r="Y103" s="1123">
        <f>(Y35-X35)+(Y43-X43)</f>
        <v>-4.0360822926787714</v>
      </c>
      <c r="Z103" s="1123">
        <f>(Z35-Y35)+(Z43-Y43)</f>
        <v>0</v>
      </c>
      <c r="AA103" s="1124">
        <f>(AA35-V35)+(AA43-V43)</f>
        <v>-36.720205983403424</v>
      </c>
      <c r="AB103" s="1122">
        <f>(AB35-AA35)+(AB43-AA43)</f>
        <v>0</v>
      </c>
      <c r="AC103" s="1123">
        <f>(AC35-AB35)+(AC43-AB43)</f>
        <v>0</v>
      </c>
      <c r="AD103" s="1123">
        <f>(AD35-AC35)+(AD43-AC43)</f>
        <v>0</v>
      </c>
      <c r="AE103" s="1123">
        <f>(AE35-AD35)+(AE43-AD43)</f>
        <v>0</v>
      </c>
      <c r="AF103" s="1124">
        <f>(AF35-AA35)+(AF43-AA43)</f>
        <v>0</v>
      </c>
      <c r="AG103" s="1122">
        <f>(AG35-AF35)+(AG43-AF43)</f>
        <v>0</v>
      </c>
      <c r="AH103" s="1123">
        <f>(AH35-AG35)+(AH43-AG43)</f>
        <v>0</v>
      </c>
      <c r="AI103" s="1123">
        <f>(AI35-AH35)+(AI43-AH43)</f>
        <v>0</v>
      </c>
      <c r="AJ103" s="1123">
        <f>(AJ35-AI35)+(AJ43-AI43)</f>
        <v>0</v>
      </c>
      <c r="AK103" s="1124">
        <f>(AK35-AF35)+(AK43-AF43)</f>
        <v>0</v>
      </c>
    </row>
    <row r="104" spans="1:37" s="1139" customFormat="1" ht="12.75" hidden="1" customHeight="1" outlineLevel="1">
      <c r="A104" s="1291"/>
      <c r="B104" s="1132" t="s">
        <v>546</v>
      </c>
      <c r="C104" s="1133"/>
      <c r="D104" s="1134"/>
      <c r="E104" s="1134"/>
      <c r="F104" s="1134"/>
      <c r="G104" s="1135"/>
      <c r="H104" s="1133"/>
      <c r="I104" s="1134"/>
      <c r="J104" s="1134"/>
      <c r="K104" s="1134"/>
      <c r="L104" s="1135"/>
      <c r="M104" s="1136">
        <f t="shared" ref="M104:AK104" si="43">M35+M43</f>
        <v>78.866</v>
      </c>
      <c r="N104" s="1137">
        <f t="shared" si="43"/>
        <v>76.152999999999992</v>
      </c>
      <c r="O104" s="1137">
        <f t="shared" si="43"/>
        <v>32.695999999999998</v>
      </c>
      <c r="P104" s="1137">
        <f t="shared" si="43"/>
        <v>91.920999999999992</v>
      </c>
      <c r="Q104" s="1138">
        <f t="shared" si="43"/>
        <v>91.920999999999992</v>
      </c>
      <c r="R104" s="1136">
        <f t="shared" si="43"/>
        <v>77.823999999999998</v>
      </c>
      <c r="S104" s="1137">
        <f t="shared" si="43"/>
        <v>63.508000000000003</v>
      </c>
      <c r="T104" s="1137">
        <f>T35+T43</f>
        <v>49.002000000000002</v>
      </c>
      <c r="U104" s="1137">
        <f t="shared" si="43"/>
        <v>36.720205983403424</v>
      </c>
      <c r="V104" s="1138">
        <f t="shared" si="43"/>
        <v>36.720205983403424</v>
      </c>
      <c r="W104" s="1136">
        <f t="shared" si="43"/>
        <v>18.743780966124955</v>
      </c>
      <c r="X104" s="1137">
        <f t="shared" si="43"/>
        <v>4.0360822926787714</v>
      </c>
      <c r="Y104" s="1137">
        <f t="shared" si="43"/>
        <v>0</v>
      </c>
      <c r="Z104" s="1137">
        <f t="shared" si="43"/>
        <v>0</v>
      </c>
      <c r="AA104" s="1138">
        <f t="shared" si="43"/>
        <v>0</v>
      </c>
      <c r="AB104" s="1136">
        <f t="shared" si="43"/>
        <v>0</v>
      </c>
      <c r="AC104" s="1137">
        <f t="shared" si="43"/>
        <v>0</v>
      </c>
      <c r="AD104" s="1137">
        <f t="shared" si="43"/>
        <v>0</v>
      </c>
      <c r="AE104" s="1137">
        <f t="shared" si="43"/>
        <v>0</v>
      </c>
      <c r="AF104" s="1138">
        <f t="shared" si="43"/>
        <v>0</v>
      </c>
      <c r="AG104" s="1136">
        <f t="shared" si="43"/>
        <v>0</v>
      </c>
      <c r="AH104" s="1137">
        <f t="shared" si="43"/>
        <v>0</v>
      </c>
      <c r="AI104" s="1137">
        <f t="shared" si="43"/>
        <v>0</v>
      </c>
      <c r="AJ104" s="1137">
        <f t="shared" si="43"/>
        <v>0</v>
      </c>
      <c r="AK104" s="1138">
        <f t="shared" si="43"/>
        <v>0</v>
      </c>
    </row>
    <row r="105" spans="1:37" s="881" customFormat="1" ht="12.75" hidden="1" customHeight="1" outlineLevel="1">
      <c r="A105" s="1289"/>
      <c r="B105" s="1120" t="s">
        <v>544</v>
      </c>
      <c r="C105" s="875"/>
      <c r="D105" s="873"/>
      <c r="E105" s="873"/>
      <c r="F105" s="873"/>
      <c r="G105" s="874"/>
      <c r="H105" s="875"/>
      <c r="I105" s="873"/>
      <c r="J105" s="873"/>
      <c r="K105" s="879">
        <f t="shared" ref="K105:S105" si="44">K35/(K35+K43)</f>
        <v>0.87388724035608312</v>
      </c>
      <c r="L105" s="821">
        <f t="shared" si="44"/>
        <v>0.87388724035608312</v>
      </c>
      <c r="M105" s="880">
        <f t="shared" si="44"/>
        <v>0.50869829837952985</v>
      </c>
      <c r="N105" s="879">
        <f t="shared" si="44"/>
        <v>0.43126337767389339</v>
      </c>
      <c r="O105" s="879">
        <f t="shared" si="44"/>
        <v>0.50299730853927094</v>
      </c>
      <c r="P105" s="879">
        <f t="shared" si="44"/>
        <v>0.6288116970006854</v>
      </c>
      <c r="Q105" s="821">
        <f t="shared" si="44"/>
        <v>0.6288116970006854</v>
      </c>
      <c r="R105" s="880">
        <f t="shared" si="44"/>
        <v>0.75824938322368418</v>
      </c>
      <c r="S105" s="879">
        <f t="shared" si="44"/>
        <v>0.95099829942684388</v>
      </c>
      <c r="T105" s="879">
        <f>T35/(T35+T43)</f>
        <v>0.99975511203624345</v>
      </c>
      <c r="U105" s="883">
        <f>T105</f>
        <v>0.99975511203624345</v>
      </c>
      <c r="V105" s="821">
        <f>V38/(V38+V46)</f>
        <v>0</v>
      </c>
      <c r="W105" s="882">
        <f>U105</f>
        <v>0.99975511203624345</v>
      </c>
      <c r="X105" s="883">
        <f>W105</f>
        <v>0.99975511203624345</v>
      </c>
      <c r="Y105" s="883">
        <f>X105</f>
        <v>0.99975511203624345</v>
      </c>
      <c r="Z105" s="883">
        <f>Y105</f>
        <v>0.99975511203624345</v>
      </c>
      <c r="AA105" s="821">
        <f>AA38/(AA38+AA46)</f>
        <v>0</v>
      </c>
      <c r="AB105" s="882">
        <f>Z105</f>
        <v>0.99975511203624345</v>
      </c>
      <c r="AC105" s="883">
        <f>AB105</f>
        <v>0.99975511203624345</v>
      </c>
      <c r="AD105" s="883">
        <f>AC105</f>
        <v>0.99975511203624345</v>
      </c>
      <c r="AE105" s="883">
        <f>AD105</f>
        <v>0.99975511203624345</v>
      </c>
      <c r="AF105" s="821">
        <f>AF38/(AF38+AF46)</f>
        <v>0</v>
      </c>
      <c r="AG105" s="882">
        <f>AE105</f>
        <v>0.99975511203624345</v>
      </c>
      <c r="AH105" s="883">
        <f>AG105</f>
        <v>0.99975511203624345</v>
      </c>
      <c r="AI105" s="883">
        <f>AH105</f>
        <v>0.99975511203624345</v>
      </c>
      <c r="AJ105" s="883">
        <f>AI105</f>
        <v>0.99975511203624345</v>
      </c>
      <c r="AK105" s="821" t="e">
        <f>AK38/(AK38+AK46)</f>
        <v>#REF!</v>
      </c>
    </row>
    <row r="106" spans="1:37" s="374" customFormat="1" ht="12.75" hidden="1" customHeight="1" outlineLevel="1">
      <c r="A106" s="1290"/>
      <c r="B106" s="1120" t="s">
        <v>545</v>
      </c>
      <c r="C106" s="878"/>
      <c r="D106" s="876"/>
      <c r="E106" s="876"/>
      <c r="F106" s="876"/>
      <c r="G106" s="877"/>
      <c r="H106" s="878"/>
      <c r="I106" s="876"/>
      <c r="J106" s="876"/>
      <c r="K106" s="705">
        <f t="shared" ref="K106:S106" si="45">K43/(K43+K35)</f>
        <v>0.12611275964391694</v>
      </c>
      <c r="L106" s="700">
        <f t="shared" si="45"/>
        <v>0.12611275964391694</v>
      </c>
      <c r="M106" s="702">
        <f t="shared" si="45"/>
        <v>0.49130170162047015</v>
      </c>
      <c r="N106" s="705">
        <f t="shared" si="45"/>
        <v>0.56873662232610667</v>
      </c>
      <c r="O106" s="705">
        <f t="shared" si="45"/>
        <v>0.49700269146072917</v>
      </c>
      <c r="P106" s="705">
        <f t="shared" si="45"/>
        <v>0.37118830299931466</v>
      </c>
      <c r="Q106" s="700">
        <f t="shared" si="45"/>
        <v>0.37118830299931466</v>
      </c>
      <c r="R106" s="702">
        <f t="shared" si="45"/>
        <v>0.24175061677631579</v>
      </c>
      <c r="S106" s="705">
        <f t="shared" si="45"/>
        <v>4.9001700573156136E-2</v>
      </c>
      <c r="T106" s="705">
        <f>T43/(T43+T35)</f>
        <v>2.4488796375658138E-4</v>
      </c>
      <c r="U106" s="705">
        <f>1-U105</f>
        <v>2.4488796375654598E-4</v>
      </c>
      <c r="V106" s="700">
        <f>V46/(V46+V38)</f>
        <v>1</v>
      </c>
      <c r="W106" s="702">
        <f>1-W105</f>
        <v>2.4488796375654598E-4</v>
      </c>
      <c r="X106" s="705">
        <f>1-X105</f>
        <v>2.4488796375654598E-4</v>
      </c>
      <c r="Y106" s="705">
        <f>1-Y105</f>
        <v>2.4488796375654598E-4</v>
      </c>
      <c r="Z106" s="705">
        <f>1-Z105</f>
        <v>2.4488796375654598E-4</v>
      </c>
      <c r="AA106" s="700">
        <f>AA46/(AA46+AA38)</f>
        <v>1</v>
      </c>
      <c r="AB106" s="702">
        <f>1-AB105</f>
        <v>2.4488796375654598E-4</v>
      </c>
      <c r="AC106" s="705">
        <f>1-AC105</f>
        <v>2.4488796375654598E-4</v>
      </c>
      <c r="AD106" s="705">
        <f>1-AD105</f>
        <v>2.4488796375654598E-4</v>
      </c>
      <c r="AE106" s="705">
        <f>1-AE105</f>
        <v>2.4488796375654598E-4</v>
      </c>
      <c r="AF106" s="700">
        <f>AF46/(AF46+AF38)</f>
        <v>1</v>
      </c>
      <c r="AG106" s="702">
        <f>1-AG105</f>
        <v>2.4488796375654598E-4</v>
      </c>
      <c r="AH106" s="705">
        <f>1-AH105</f>
        <v>2.4488796375654598E-4</v>
      </c>
      <c r="AI106" s="705">
        <f>1-AI105</f>
        <v>2.4488796375654598E-4</v>
      </c>
      <c r="AJ106" s="705">
        <f>1-AJ105</f>
        <v>2.4488796375654598E-4</v>
      </c>
      <c r="AK106" s="700" t="e">
        <f>AK46/(AK46+AK38)</f>
        <v>#REF!</v>
      </c>
    </row>
    <row r="107" spans="1:37" s="246" customFormat="1" ht="12.75" hidden="1" customHeight="1" outlineLevel="1">
      <c r="A107" s="245"/>
      <c r="B107" s="387"/>
      <c r="C107" s="278"/>
      <c r="D107" s="279"/>
      <c r="E107" s="279"/>
      <c r="F107" s="279"/>
      <c r="G107" s="280"/>
      <c r="H107" s="278"/>
      <c r="I107" s="279"/>
      <c r="J107" s="279"/>
      <c r="K107" s="279"/>
      <c r="L107" s="280"/>
      <c r="M107" s="278"/>
      <c r="N107" s="279"/>
      <c r="O107" s="279"/>
      <c r="P107" s="279"/>
      <c r="Q107" s="280"/>
      <c r="R107" s="278"/>
      <c r="S107" s="279"/>
      <c r="T107" s="279"/>
      <c r="U107" s="279"/>
      <c r="V107" s="280"/>
      <c r="W107" s="278"/>
      <c r="X107" s="279"/>
      <c r="Y107" s="279"/>
      <c r="Z107" s="279"/>
      <c r="AA107" s="280"/>
      <c r="AB107" s="278"/>
      <c r="AC107" s="279"/>
      <c r="AD107" s="279"/>
      <c r="AE107" s="279"/>
      <c r="AF107" s="280"/>
      <c r="AG107" s="278"/>
      <c r="AH107" s="279"/>
      <c r="AI107" s="279"/>
      <c r="AJ107" s="279"/>
      <c r="AK107" s="280"/>
    </row>
    <row r="108" spans="1:37" s="286" customFormat="1" ht="12.75" hidden="1" customHeight="1" outlineLevel="1">
      <c r="A108" s="1292"/>
      <c r="B108" s="463" t="s">
        <v>464</v>
      </c>
      <c r="C108" s="885"/>
      <c r="D108" s="294"/>
      <c r="E108" s="294"/>
      <c r="F108" s="294"/>
      <c r="G108" s="886"/>
      <c r="H108" s="885"/>
      <c r="I108" s="294"/>
      <c r="J108" s="294"/>
      <c r="K108" s="294"/>
      <c r="L108" s="886"/>
      <c r="M108" s="885">
        <f>M44-L44</f>
        <v>14.686</v>
      </c>
      <c r="N108" s="294">
        <f>N44-M44</f>
        <v>28.520999999999994</v>
      </c>
      <c r="O108" s="294">
        <f>O44-N44</f>
        <v>37.045000000000002</v>
      </c>
      <c r="P108" s="294">
        <f>P44-O44</f>
        <v>32.533000000000001</v>
      </c>
      <c r="Q108" s="886">
        <f>SUM(M108:P108)</f>
        <v>112.785</v>
      </c>
      <c r="R108" s="885">
        <f>R44-Q44</f>
        <v>44.61699999999999</v>
      </c>
      <c r="S108" s="294">
        <f>S44-R44</f>
        <v>51.81</v>
      </c>
      <c r="T108" s="294">
        <f>T44-S44</f>
        <v>-128.02600000000001</v>
      </c>
      <c r="U108" s="887">
        <v>50</v>
      </c>
      <c r="V108" s="886">
        <f>SUM(R108:U108)</f>
        <v>18.400999999999982</v>
      </c>
      <c r="W108" s="887">
        <v>50</v>
      </c>
      <c r="X108" s="887">
        <v>100</v>
      </c>
      <c r="Y108" s="887">
        <v>125</v>
      </c>
      <c r="Z108" s="887">
        <v>150</v>
      </c>
      <c r="AA108" s="886">
        <f>SUM(W108:Z108)</f>
        <v>425</v>
      </c>
      <c r="AB108" s="887">
        <v>100</v>
      </c>
      <c r="AC108" s="887">
        <f>AB108</f>
        <v>100</v>
      </c>
      <c r="AD108" s="887">
        <f>AC108</f>
        <v>100</v>
      </c>
      <c r="AE108" s="887">
        <f>AD108</f>
        <v>100</v>
      </c>
      <c r="AF108" s="886">
        <f>SUM(AB108:AE108)</f>
        <v>400</v>
      </c>
      <c r="AG108" s="887">
        <v>100</v>
      </c>
      <c r="AH108" s="887">
        <f>AG108</f>
        <v>100</v>
      </c>
      <c r="AI108" s="887">
        <f>AH108</f>
        <v>100</v>
      </c>
      <c r="AJ108" s="887">
        <f>AI108</f>
        <v>100</v>
      </c>
      <c r="AK108" s="886">
        <f>SUM(AG108:AJ108)</f>
        <v>400</v>
      </c>
    </row>
    <row r="109" spans="1:37" s="89" customFormat="1" ht="12.75" hidden="1" customHeight="1" outlineLevel="1">
      <c r="A109" s="1193"/>
      <c r="B109" s="379"/>
      <c r="C109" s="99"/>
      <c r="D109" s="100"/>
      <c r="E109" s="100"/>
      <c r="F109" s="100"/>
      <c r="G109" s="109"/>
      <c r="H109" s="99"/>
      <c r="I109" s="100"/>
      <c r="J109" s="100"/>
      <c r="K109" s="100"/>
      <c r="L109" s="109"/>
      <c r="M109" s="99"/>
      <c r="N109" s="100"/>
      <c r="O109" s="100"/>
      <c r="P109" s="100"/>
      <c r="Q109" s="109"/>
      <c r="R109" s="99"/>
      <c r="S109" s="100"/>
      <c r="T109" s="100"/>
      <c r="U109" s="100"/>
      <c r="V109" s="109"/>
      <c r="W109" s="99"/>
      <c r="X109" s="100"/>
      <c r="Y109" s="100"/>
      <c r="Z109" s="100"/>
      <c r="AA109" s="109"/>
      <c r="AB109" s="99"/>
      <c r="AC109" s="100"/>
      <c r="AD109" s="100"/>
      <c r="AE109" s="100"/>
      <c r="AF109" s="109"/>
      <c r="AG109" s="99"/>
      <c r="AH109" s="100"/>
      <c r="AI109" s="100"/>
      <c r="AJ109" s="100"/>
      <c r="AK109" s="109"/>
    </row>
    <row r="110" spans="1:37" s="286" customFormat="1" ht="12.75" hidden="1" customHeight="1" outlineLevel="1">
      <c r="A110" s="1292"/>
      <c r="B110" s="463" t="s">
        <v>467</v>
      </c>
      <c r="C110" s="885"/>
      <c r="D110" s="294"/>
      <c r="E110" s="294"/>
      <c r="F110" s="294"/>
      <c r="G110" s="886"/>
      <c r="H110" s="885"/>
      <c r="I110" s="294"/>
      <c r="J110" s="294"/>
      <c r="K110" s="294"/>
      <c r="L110" s="886"/>
      <c r="M110" s="885"/>
      <c r="N110" s="294"/>
      <c r="O110" s="294"/>
      <c r="P110" s="294"/>
      <c r="Q110" s="886"/>
      <c r="R110" s="887">
        <v>0</v>
      </c>
      <c r="S110" s="294"/>
      <c r="T110" s="294"/>
      <c r="U110" s="887">
        <v>0</v>
      </c>
      <c r="V110" s="886">
        <f>SUM(R110:U110)</f>
        <v>0</v>
      </c>
      <c r="W110" s="887">
        <f>U110</f>
        <v>0</v>
      </c>
      <c r="X110" s="887">
        <f>W110</f>
        <v>0</v>
      </c>
      <c r="Y110" s="887">
        <f>X110</f>
        <v>0</v>
      </c>
      <c r="Z110" s="887">
        <f>Y110</f>
        <v>0</v>
      </c>
      <c r="AA110" s="886">
        <f>SUM(W110:Z110)</f>
        <v>0</v>
      </c>
      <c r="AB110" s="887">
        <f>Z110</f>
        <v>0</v>
      </c>
      <c r="AC110" s="887">
        <f>AB110</f>
        <v>0</v>
      </c>
      <c r="AD110" s="887">
        <f>AC110</f>
        <v>0</v>
      </c>
      <c r="AE110" s="887">
        <f>AD110</f>
        <v>0</v>
      </c>
      <c r="AF110" s="886">
        <f>SUM(AB110:AE110)</f>
        <v>0</v>
      </c>
      <c r="AG110" s="887">
        <f>AE110</f>
        <v>0</v>
      </c>
      <c r="AH110" s="887">
        <f>AG110</f>
        <v>0</v>
      </c>
      <c r="AI110" s="887">
        <f>AH110</f>
        <v>0</v>
      </c>
      <c r="AJ110" s="887">
        <f>AI110</f>
        <v>0</v>
      </c>
      <c r="AK110" s="886">
        <f>SUM(AG110:AJ110)</f>
        <v>0</v>
      </c>
    </row>
    <row r="111" spans="1:37" s="89" customFormat="1" ht="12.75" hidden="1" customHeight="1" outlineLevel="1">
      <c r="A111" s="1193"/>
      <c r="B111" s="379"/>
      <c r="C111" s="99"/>
      <c r="D111" s="100"/>
      <c r="E111" s="100"/>
      <c r="F111" s="100"/>
      <c r="G111" s="109"/>
      <c r="H111" s="99"/>
      <c r="I111" s="100"/>
      <c r="J111" s="100"/>
      <c r="K111" s="100"/>
      <c r="L111" s="109"/>
      <c r="M111" s="99"/>
      <c r="N111" s="100"/>
      <c r="O111" s="100"/>
      <c r="P111" s="100"/>
      <c r="Q111" s="109"/>
      <c r="R111" s="99"/>
      <c r="S111" s="100"/>
      <c r="T111" s="100"/>
      <c r="U111" s="100"/>
      <c r="V111" s="109"/>
      <c r="W111" s="99"/>
      <c r="X111" s="100"/>
      <c r="Y111" s="100"/>
      <c r="Z111" s="100"/>
      <c r="AA111" s="109"/>
      <c r="AB111" s="99"/>
      <c r="AC111" s="100"/>
      <c r="AD111" s="100"/>
      <c r="AE111" s="100"/>
      <c r="AF111" s="109"/>
      <c r="AG111" s="99"/>
      <c r="AH111" s="100"/>
      <c r="AI111" s="100"/>
      <c r="AJ111" s="100"/>
      <c r="AK111" s="109"/>
    </row>
    <row r="112" spans="1:37" s="881" customFormat="1" ht="12.75" hidden="1" customHeight="1" outlineLevel="1">
      <c r="A112" s="1287"/>
      <c r="B112" s="1169" t="s">
        <v>466</v>
      </c>
      <c r="C112" s="871"/>
      <c r="D112" s="869"/>
      <c r="E112" s="869"/>
      <c r="F112" s="869"/>
      <c r="G112" s="870"/>
      <c r="H112" s="871"/>
      <c r="I112" s="869"/>
      <c r="J112" s="869"/>
      <c r="K112" s="869">
        <f t="shared" ref="K112:S112" si="46">(K45)/K68</f>
        <v>1.5866497898154693E-2</v>
      </c>
      <c r="L112" s="870">
        <f t="shared" si="46"/>
        <v>1.5866497898154693E-2</v>
      </c>
      <c r="M112" s="871">
        <f t="shared" si="46"/>
        <v>1.2607904840358468E-2</v>
      </c>
      <c r="N112" s="869">
        <f t="shared" si="46"/>
        <v>1.4717242059824786E-2</v>
      </c>
      <c r="O112" s="869">
        <f t="shared" si="46"/>
        <v>1.3458346968025415E-2</v>
      </c>
      <c r="P112" s="869">
        <f t="shared" si="46"/>
        <v>1.3935348591246174E-2</v>
      </c>
      <c r="Q112" s="870">
        <f t="shared" si="46"/>
        <v>1.3935348591246174E-2</v>
      </c>
      <c r="R112" s="871">
        <f t="shared" si="46"/>
        <v>1.0546481658061902E-2</v>
      </c>
      <c r="S112" s="869">
        <f t="shared" si="46"/>
        <v>3.6644532573433523E-2</v>
      </c>
      <c r="T112" s="869">
        <f>(T45)/T68</f>
        <v>5.6814061474394002E-2</v>
      </c>
      <c r="U112" s="884">
        <f>T112</f>
        <v>5.6814061474394002E-2</v>
      </c>
      <c r="V112" s="870">
        <f>(V45)/V68</f>
        <v>5.6814061474394002E-2</v>
      </c>
      <c r="W112" s="884">
        <f>U112</f>
        <v>5.6814061474394002E-2</v>
      </c>
      <c r="X112" s="884">
        <f>W112</f>
        <v>5.6814061474394002E-2</v>
      </c>
      <c r="Y112" s="884">
        <f>X112</f>
        <v>5.6814061474394002E-2</v>
      </c>
      <c r="Z112" s="884">
        <f>Y112</f>
        <v>5.6814061474394002E-2</v>
      </c>
      <c r="AA112" s="870">
        <f>(AA45)/AA68</f>
        <v>5.6814061474394002E-2</v>
      </c>
      <c r="AB112" s="884">
        <f>Z112</f>
        <v>5.6814061474394002E-2</v>
      </c>
      <c r="AC112" s="884">
        <f>AB112</f>
        <v>5.6814061474394002E-2</v>
      </c>
      <c r="AD112" s="884">
        <f>AC112</f>
        <v>5.6814061474394002E-2</v>
      </c>
      <c r="AE112" s="884">
        <f>AD112</f>
        <v>5.6814061474394002E-2</v>
      </c>
      <c r="AF112" s="870">
        <f>(AF45)/AF68</f>
        <v>5.6814061474394002E-2</v>
      </c>
      <c r="AG112" s="884">
        <f>AE112</f>
        <v>5.6814061474394002E-2</v>
      </c>
      <c r="AH112" s="884">
        <f>AG112</f>
        <v>5.6814061474394002E-2</v>
      </c>
      <c r="AI112" s="884">
        <f>AH112</f>
        <v>5.6814061474394002E-2</v>
      </c>
      <c r="AJ112" s="884">
        <f>AI112</f>
        <v>5.6814061474394002E-2</v>
      </c>
      <c r="AK112" s="870">
        <f>(AK45)/AK68</f>
        <v>5.6814061474394002E-2</v>
      </c>
    </row>
    <row r="113" spans="1:39" s="89" customFormat="1" ht="12.75" hidden="1" customHeight="1" outlineLevel="1">
      <c r="A113" s="1288"/>
      <c r="B113" s="1120" t="s">
        <v>91</v>
      </c>
      <c r="C113" s="503"/>
      <c r="D113" s="504"/>
      <c r="E113" s="504"/>
      <c r="F113" s="504"/>
      <c r="G113" s="505"/>
      <c r="H113" s="503"/>
      <c r="I113" s="504"/>
      <c r="J113" s="504"/>
      <c r="K113" s="504">
        <f>CF!K32</f>
        <v>0</v>
      </c>
      <c r="L113" s="505">
        <f>CF!L32</f>
        <v>-1.4179999999999999</v>
      </c>
      <c r="M113" s="503">
        <f>CF!M32</f>
        <v>0</v>
      </c>
      <c r="N113" s="504">
        <f>CF!N32</f>
        <v>0</v>
      </c>
      <c r="O113" s="504">
        <f>CF!O32</f>
        <v>0</v>
      </c>
      <c r="P113" s="504">
        <f>CF!P32</f>
        <v>-40.238999999999997</v>
      </c>
      <c r="Q113" s="505">
        <f>CF!Q32</f>
        <v>0.111</v>
      </c>
      <c r="R113" s="503">
        <f>CF!R32</f>
        <v>0</v>
      </c>
      <c r="S113" s="504">
        <f>CF!S32</f>
        <v>0</v>
      </c>
      <c r="T113" s="504">
        <f>CF!T32</f>
        <v>0</v>
      </c>
      <c r="U113" s="504">
        <f>CF!U32</f>
        <v>35.049721724230096</v>
      </c>
      <c r="V113" s="505">
        <f>CF!V32</f>
        <v>35.049721724230096</v>
      </c>
      <c r="W113" s="503">
        <f>CF!W32</f>
        <v>89.289623907346652</v>
      </c>
      <c r="X113" s="504">
        <f>CF!X32</f>
        <v>129.97960434813092</v>
      </c>
      <c r="Y113" s="504">
        <f>CF!Y32</f>
        <v>57.399672013682789</v>
      </c>
      <c r="Z113" s="504">
        <f>CF!Z32</f>
        <v>40.727753099114921</v>
      </c>
      <c r="AA113" s="505">
        <f>CF!AA32</f>
        <v>317.39665336827528</v>
      </c>
      <c r="AB113" s="503">
        <f>CF!AB32</f>
        <v>-36.161627676535886</v>
      </c>
      <c r="AC113" s="504">
        <f>CF!AC32</f>
        <v>52.516490357005296</v>
      </c>
      <c r="AD113" s="504">
        <f>CF!AD32</f>
        <v>49.066604340898493</v>
      </c>
      <c r="AE113" s="504">
        <f>CF!AE32</f>
        <v>45.657829215977358</v>
      </c>
      <c r="AF113" s="505">
        <f>CF!AF32</f>
        <v>111.07929623734526</v>
      </c>
      <c r="AG113" s="503">
        <f>CF!AG32</f>
        <v>0.88090598880819471</v>
      </c>
      <c r="AH113" s="504">
        <f>CF!AH32</f>
        <v>30.256772073549996</v>
      </c>
      <c r="AI113" s="504">
        <f>CF!AI32</f>
        <v>27.129050402237681</v>
      </c>
      <c r="AJ113" s="504">
        <f>CF!AJ32</f>
        <v>24.099466404100212</v>
      </c>
      <c r="AK113" s="505">
        <f>CF!AK32</f>
        <v>82.366194868696084</v>
      </c>
    </row>
    <row r="114" spans="1:39" s="89" customFormat="1" ht="12.75" hidden="1" customHeight="1" outlineLevel="1">
      <c r="A114" s="1286"/>
      <c r="B114" s="378"/>
      <c r="C114" s="119"/>
      <c r="D114" s="120"/>
      <c r="E114" s="120"/>
      <c r="F114" s="120"/>
      <c r="G114" s="121"/>
      <c r="H114" s="119"/>
      <c r="I114" s="120"/>
      <c r="J114" s="120"/>
      <c r="K114" s="120"/>
      <c r="L114" s="121"/>
      <c r="M114" s="119"/>
      <c r="N114" s="120"/>
      <c r="O114" s="120"/>
      <c r="P114" s="120"/>
      <c r="Q114" s="121"/>
      <c r="R114" s="119"/>
      <c r="S114" s="1276"/>
      <c r="T114" s="120"/>
      <c r="U114" s="120"/>
      <c r="V114" s="121"/>
      <c r="W114" s="119"/>
      <c r="X114" s="120"/>
      <c r="Y114" s="120"/>
      <c r="Z114" s="120"/>
      <c r="AA114" s="121"/>
      <c r="AB114" s="119"/>
      <c r="AC114" s="120"/>
      <c r="AD114" s="120"/>
      <c r="AE114" s="120"/>
      <c r="AF114" s="121"/>
      <c r="AG114" s="119"/>
      <c r="AH114" s="120"/>
      <c r="AI114" s="120"/>
      <c r="AJ114" s="120"/>
      <c r="AK114" s="121"/>
    </row>
    <row r="115" spans="1:39" s="89" customFormat="1" ht="12.75" hidden="1" customHeight="1" outlineLevel="1">
      <c r="A115" s="1286"/>
      <c r="B115" s="396" t="s">
        <v>42</v>
      </c>
      <c r="C115" s="517"/>
      <c r="D115" s="518"/>
      <c r="E115" s="518"/>
      <c r="F115" s="518"/>
      <c r="G115" s="519"/>
      <c r="H115" s="517"/>
      <c r="I115" s="518"/>
      <c r="J115" s="518"/>
      <c r="K115" s="518"/>
      <c r="L115" s="519"/>
      <c r="M115" s="517"/>
      <c r="N115" s="518"/>
      <c r="O115" s="518"/>
      <c r="P115" s="518">
        <f>CF!P36</f>
        <v>-304.85400000000004</v>
      </c>
      <c r="Q115" s="519">
        <f>CF!Q36</f>
        <v>2749.1690000000008</v>
      </c>
      <c r="R115" s="517">
        <f>CF!R36</f>
        <v>61.167999999999779</v>
      </c>
      <c r="S115" s="1277">
        <f>CF!S36</f>
        <v>-251.25100000000009</v>
      </c>
      <c r="T115" s="518">
        <f>CF!T36</f>
        <v>1689.134</v>
      </c>
      <c r="U115" s="518">
        <f>CF!U36</f>
        <v>2270.837810720484</v>
      </c>
      <c r="V115" s="519">
        <f>CF!V36</f>
        <v>3769.8888107204839</v>
      </c>
      <c r="W115" s="517">
        <f>CF!W36</f>
        <v>1713.8460822356255</v>
      </c>
      <c r="X115" s="518">
        <f>CF!X36</f>
        <v>-626.99258812790845</v>
      </c>
      <c r="Y115" s="518">
        <f>CF!Y36</f>
        <v>1137.0781469277476</v>
      </c>
      <c r="Z115" s="518">
        <f>CF!Z36</f>
        <v>3488.3442869680657</v>
      </c>
      <c r="AA115" s="519">
        <f>CF!AA36</f>
        <v>5712.2759280035307</v>
      </c>
      <c r="AB115" s="517">
        <f>CF!AB36</f>
        <v>1111.8727406773828</v>
      </c>
      <c r="AC115" s="518">
        <f>CF!AC36</f>
        <v>2103.2688687906812</v>
      </c>
      <c r="AD115" s="518">
        <f>CF!AD36</f>
        <v>2561.3254041429582</v>
      </c>
      <c r="AE115" s="518">
        <f>CF!AE36</f>
        <v>4973.5289349979266</v>
      </c>
      <c r="AF115" s="519">
        <f>CF!AF36</f>
        <v>10749.995948608948</v>
      </c>
      <c r="AG115" s="517">
        <f>CF!AG36</f>
        <v>2328.9219486027941</v>
      </c>
      <c r="AH115" s="518">
        <f>CF!AH36</f>
        <v>2455.011300313532</v>
      </c>
      <c r="AI115" s="518">
        <f>CF!AI36</f>
        <v>3983.9646022262564</v>
      </c>
      <c r="AJ115" s="518">
        <f>CF!AJ36</f>
        <v>6249.5592000806555</v>
      </c>
      <c r="AK115" s="519">
        <f>CF!AK36</f>
        <v>15017.457051223242</v>
      </c>
    </row>
    <row r="116" spans="1:39" s="402" customFormat="1" ht="12.75" hidden="1" customHeight="1" outlineLevel="1">
      <c r="A116" s="448"/>
      <c r="B116" s="399" t="s">
        <v>93</v>
      </c>
      <c r="C116" s="417"/>
      <c r="D116" s="417"/>
      <c r="E116" s="417"/>
      <c r="F116" s="417"/>
      <c r="G116" s="462"/>
      <c r="H116" s="417"/>
      <c r="I116" s="417"/>
      <c r="J116" s="417"/>
      <c r="K116" s="417"/>
      <c r="L116" s="462"/>
      <c r="M116" s="417"/>
      <c r="N116" s="417"/>
      <c r="O116" s="417"/>
      <c r="P116" s="417">
        <f t="shared" ref="P116:AF116" si="47">P115/P$63</f>
        <v>-0.4078696332766949</v>
      </c>
      <c r="Q116" s="462">
        <f t="shared" si="47"/>
        <v>1.4352781052361203</v>
      </c>
      <c r="R116" s="417">
        <f t="shared" si="47"/>
        <v>6.231255704785478E-2</v>
      </c>
      <c r="S116" s="1053">
        <f t="shared" si="47"/>
        <v>-0.20716811182168696</v>
      </c>
      <c r="T116" s="417">
        <f t="shared" si="47"/>
        <v>1.2377546025576767</v>
      </c>
      <c r="U116" s="417">
        <f t="shared" si="47"/>
        <v>1.4718176712780444</v>
      </c>
      <c r="V116" s="462">
        <f t="shared" si="47"/>
        <v>0.73890761739682298</v>
      </c>
      <c r="W116" s="417">
        <f t="shared" si="47"/>
        <v>0.7695321968340737</v>
      </c>
      <c r="X116" s="417">
        <f t="shared" si="47"/>
        <v>-0.21152223574274984</v>
      </c>
      <c r="Y116" s="417">
        <f t="shared" si="47"/>
        <v>0.34564964268623</v>
      </c>
      <c r="Z116" s="417">
        <f t="shared" si="47"/>
        <v>0.99082792897919114</v>
      </c>
      <c r="AA116" s="462">
        <f t="shared" si="47"/>
        <v>0.47595796752654412</v>
      </c>
      <c r="AB116" s="417">
        <f t="shared" si="47"/>
        <v>0.29170658588920723</v>
      </c>
      <c r="AC116" s="417">
        <f t="shared" si="47"/>
        <v>0.50632765649052858</v>
      </c>
      <c r="AD116" s="417">
        <f t="shared" si="47"/>
        <v>0.5725125533894232</v>
      </c>
      <c r="AE116" s="417">
        <f t="shared" si="47"/>
        <v>1.0423460621007188</v>
      </c>
      <c r="AF116" s="462">
        <f t="shared" si="47"/>
        <v>0.62460430752865936</v>
      </c>
      <c r="AG116" s="417">
        <f>AG115/AG$63</f>
        <v>0.45500547137333797</v>
      </c>
      <c r="AH116" s="417">
        <f>AH115/AH$63</f>
        <v>0.46062144812290845</v>
      </c>
      <c r="AI116" s="417">
        <f>AI115/AI$63</f>
        <v>0.72182854763552518</v>
      </c>
      <c r="AJ116" s="417">
        <f>AJ115/AJ$63</f>
        <v>1.0988056078606425</v>
      </c>
      <c r="AK116" s="462">
        <f>AK115/AK$63</f>
        <v>0.69348396207189422</v>
      </c>
    </row>
    <row r="117" spans="1:39" s="89" customFormat="1" ht="12.75" hidden="1" customHeight="1" outlineLevel="1">
      <c r="A117" s="78"/>
      <c r="B117" s="485" t="s">
        <v>159</v>
      </c>
      <c r="C117" s="123"/>
      <c r="D117" s="100"/>
      <c r="E117" s="100"/>
      <c r="F117" s="125"/>
      <c r="G117" s="126"/>
      <c r="H117" s="123"/>
      <c r="I117" s="100"/>
      <c r="J117" s="100"/>
      <c r="K117" s="125"/>
      <c r="L117" s="126"/>
      <c r="M117" s="123"/>
      <c r="N117" s="100"/>
      <c r="O117" s="100"/>
      <c r="P117" s="100">
        <f>P115/R115</f>
        <v>-4.9838804603714548</v>
      </c>
      <c r="Q117" s="126"/>
      <c r="R117" s="123">
        <f>R115/V115</f>
        <v>1.6225412225966854E-2</v>
      </c>
      <c r="S117" s="1219">
        <f>S115/V115</f>
        <v>-6.6646793211914954E-2</v>
      </c>
      <c r="T117" s="100">
        <f>T115/V115</f>
        <v>0.44805936854068129</v>
      </c>
      <c r="U117" s="125">
        <f>U115/V115</f>
        <v>0.60236201244526677</v>
      </c>
      <c r="V117" s="126"/>
      <c r="W117" s="123">
        <f>W115/AA115</f>
        <v>0.30002858822588835</v>
      </c>
      <c r="X117" s="100">
        <f>X115/AA115</f>
        <v>-0.10976230770894248</v>
      </c>
      <c r="Y117" s="100">
        <f>Y115/AA115</f>
        <v>0.1990586871606467</v>
      </c>
      <c r="Z117" s="125">
        <f>Z115/AA115</f>
        <v>0.61067503232240739</v>
      </c>
      <c r="AA117" s="126"/>
      <c r="AB117" s="123">
        <f>AB115/AF115</f>
        <v>0.1034300613686519</v>
      </c>
      <c r="AC117" s="100">
        <f>AC115/AF115</f>
        <v>0.19565299176348477</v>
      </c>
      <c r="AD117" s="100">
        <f>AD115/AF115</f>
        <v>0.2382629180873686</v>
      </c>
      <c r="AE117" s="125">
        <f>AE115/AF115</f>
        <v>0.46265402878049477</v>
      </c>
      <c r="AF117" s="126"/>
      <c r="AG117" s="123">
        <f>AG115/AK115</f>
        <v>0.15508097946669955</v>
      </c>
      <c r="AH117" s="100">
        <f>AH115/AK115</f>
        <v>0.16347716473832433</v>
      </c>
      <c r="AI117" s="100">
        <f>AI115/AK115</f>
        <v>0.26528889602529238</v>
      </c>
      <c r="AJ117" s="125">
        <f>AJ115/AK115</f>
        <v>0.41615295976968347</v>
      </c>
      <c r="AK117" s="126"/>
    </row>
    <row r="118" spans="1:39" s="89" customFormat="1" ht="12.75" hidden="1" customHeight="1" outlineLevel="1">
      <c r="A118" s="78"/>
      <c r="B118" s="378"/>
      <c r="C118" s="123"/>
      <c r="D118" s="100"/>
      <c r="E118" s="100"/>
      <c r="F118" s="115"/>
      <c r="G118" s="124"/>
      <c r="H118" s="123"/>
      <c r="I118" s="100"/>
      <c r="J118" s="100"/>
      <c r="K118" s="115"/>
      <c r="L118" s="124"/>
      <c r="M118" s="123"/>
      <c r="N118" s="100"/>
      <c r="O118" s="100"/>
      <c r="P118" s="100"/>
      <c r="Q118" s="124"/>
      <c r="R118" s="123"/>
      <c r="S118" s="1219"/>
      <c r="T118" s="100"/>
      <c r="U118" s="115"/>
      <c r="V118" s="124"/>
      <c r="W118" s="123"/>
      <c r="X118" s="100"/>
      <c r="Y118" s="100"/>
      <c r="Z118" s="115"/>
      <c r="AA118" s="124"/>
      <c r="AB118" s="123"/>
      <c r="AC118" s="100"/>
      <c r="AD118" s="100"/>
      <c r="AE118" s="115"/>
      <c r="AF118" s="124"/>
      <c r="AG118" s="123"/>
      <c r="AH118" s="100"/>
      <c r="AI118" s="100"/>
      <c r="AJ118" s="115"/>
      <c r="AK118" s="124"/>
    </row>
    <row r="119" spans="1:39" s="89" customFormat="1" ht="12.75" hidden="1" customHeight="1" outlineLevel="1">
      <c r="A119" s="1286" t="s">
        <v>142</v>
      </c>
      <c r="B119" s="396" t="s">
        <v>327</v>
      </c>
      <c r="C119" s="517"/>
      <c r="D119" s="518"/>
      <c r="E119" s="518"/>
      <c r="F119" s="518"/>
      <c r="G119" s="519"/>
      <c r="H119" s="517"/>
      <c r="I119" s="518"/>
      <c r="J119" s="518"/>
      <c r="K119" s="518"/>
      <c r="L119" s="519"/>
      <c r="M119" s="517"/>
      <c r="N119" s="518"/>
      <c r="O119" s="518"/>
      <c r="P119" s="921">
        <f>-CF!P40</f>
        <v>3151.1979999999999</v>
      </c>
      <c r="Q119" s="922">
        <f>-CF!Q40</f>
        <v>8702.0779999999995</v>
      </c>
      <c r="R119" s="923">
        <f>-CF!R40</f>
        <v>1407.3589999999999</v>
      </c>
      <c r="S119" s="1278">
        <f>-CF!S40</f>
        <v>2452.9920000000002</v>
      </c>
      <c r="T119" s="923">
        <f>-CF!T40</f>
        <v>3278.7860000000001</v>
      </c>
      <c r="U119" s="923">
        <f>-CF!U40</f>
        <v>8358.3420051049998</v>
      </c>
      <c r="V119" s="922">
        <f>-CF!V40</f>
        <v>15497.479005105</v>
      </c>
      <c r="W119" s="923">
        <f>-CF!W40</f>
        <v>8819.5947919299997</v>
      </c>
      <c r="X119" s="923">
        <f>-CF!X40</f>
        <v>5074.7968646079999</v>
      </c>
      <c r="Y119" s="923">
        <f>-CF!Y40</f>
        <v>3588.3477235884015</v>
      </c>
      <c r="Z119" s="923">
        <f>-CF!Z40</f>
        <v>3442.7787603365532</v>
      </c>
      <c r="AA119" s="922">
        <f>-CF!AA40</f>
        <v>20925.518140462955</v>
      </c>
      <c r="AB119" s="923">
        <f>-CF!AB40</f>
        <v>4275.9522215168945</v>
      </c>
      <c r="AC119" s="923">
        <f>-CF!AC40</f>
        <v>6860.1832461378735</v>
      </c>
      <c r="AD119" s="923">
        <f>-CF!AD40</f>
        <v>5696.2371110928079</v>
      </c>
      <c r="AE119" s="923">
        <f>-CF!AE40</f>
        <v>5957.3636537733573</v>
      </c>
      <c r="AF119" s="922">
        <f>-CF!AF40</f>
        <v>22789.736232520932</v>
      </c>
      <c r="AG119" s="923">
        <f>-CF!AG40</f>
        <v>5527.3864199194886</v>
      </c>
      <c r="AH119" s="923">
        <f>-CF!AH40</f>
        <v>6317.1606054980048</v>
      </c>
      <c r="AI119" s="923">
        <f>-CF!AI40</f>
        <v>6489.2090657656963</v>
      </c>
      <c r="AJ119" s="923">
        <f>-CF!AJ40</f>
        <v>6448.6564497883573</v>
      </c>
      <c r="AK119" s="922">
        <f>-CF!AK40</f>
        <v>24782.412540971549</v>
      </c>
    </row>
    <row r="120" spans="1:39" s="301" customFormat="1" ht="12.75" hidden="1" customHeight="1" outlineLevel="1">
      <c r="A120" s="78" t="s">
        <v>143</v>
      </c>
      <c r="B120" s="399" t="s">
        <v>31</v>
      </c>
      <c r="C120" s="253"/>
      <c r="D120" s="102"/>
      <c r="E120" s="102"/>
      <c r="F120" s="102"/>
      <c r="G120" s="254"/>
      <c r="H120" s="253"/>
      <c r="I120" s="102"/>
      <c r="J120" s="102"/>
      <c r="K120" s="102"/>
      <c r="L120" s="254"/>
      <c r="M120" s="102"/>
      <c r="N120" s="102"/>
      <c r="O120" s="102"/>
      <c r="P120" s="102" t="str">
        <f t="shared" ref="P120:AF120" si="48">IFERROR(P119/K119-1,"")</f>
        <v/>
      </c>
      <c r="Q120" s="254" t="str">
        <f t="shared" si="48"/>
        <v/>
      </c>
      <c r="R120" s="102" t="str">
        <f t="shared" si="48"/>
        <v/>
      </c>
      <c r="S120" s="291" t="str">
        <f t="shared" si="48"/>
        <v/>
      </c>
      <c r="T120" s="102" t="str">
        <f t="shared" si="48"/>
        <v/>
      </c>
      <c r="U120" s="102">
        <f t="shared" si="48"/>
        <v>1.6524331397471692</v>
      </c>
      <c r="V120" s="254">
        <f t="shared" si="48"/>
        <v>0.78089405830480962</v>
      </c>
      <c r="W120" s="102">
        <f t="shared" si="48"/>
        <v>5.2667697381620471</v>
      </c>
      <c r="X120" s="102">
        <f t="shared" si="48"/>
        <v>1.0688191663927151</v>
      </c>
      <c r="Y120" s="102">
        <f t="shared" si="48"/>
        <v>9.4413518780549044E-2</v>
      </c>
      <c r="Z120" s="102">
        <f t="shared" si="48"/>
        <v>-0.58810266937703459</v>
      </c>
      <c r="AA120" s="254">
        <f t="shared" si="48"/>
        <v>0.35025304009574154</v>
      </c>
      <c r="AB120" s="102">
        <f t="shared" si="48"/>
        <v>-0.51517588705669048</v>
      </c>
      <c r="AC120" s="102">
        <f t="shared" si="48"/>
        <v>0.35181435418258555</v>
      </c>
      <c r="AD120" s="102">
        <f t="shared" si="48"/>
        <v>0.58742617769397376</v>
      </c>
      <c r="AE120" s="102">
        <f t="shared" si="48"/>
        <v>0.73039398360613439</v>
      </c>
      <c r="AF120" s="254">
        <f t="shared" si="48"/>
        <v>8.9088264364321823E-2</v>
      </c>
      <c r="AG120" s="102">
        <f>IFERROR(AG119/AB119-1,"")</f>
        <v>0.29266795641571686</v>
      </c>
      <c r="AH120" s="102">
        <f>IFERROR(AH119/AC119-1,"")</f>
        <v>-7.915570490709245E-2</v>
      </c>
      <c r="AI120" s="102">
        <f>IFERROR(AI119/AD119-1,"")</f>
        <v>0.13920978695368236</v>
      </c>
      <c r="AJ120" s="102">
        <f>IFERROR(AJ119/AE119-1,"")</f>
        <v>8.2468156145515614E-2</v>
      </c>
      <c r="AK120" s="254">
        <f>IFERROR(AK119/AF119-1,"")</f>
        <v>8.7437445002416014E-2</v>
      </c>
    </row>
    <row r="121" spans="1:39" s="301" customFormat="1" ht="12.75" hidden="1" customHeight="1" outlineLevel="1">
      <c r="A121" s="78" t="s">
        <v>144</v>
      </c>
      <c r="B121" s="399" t="s">
        <v>33</v>
      </c>
      <c r="C121" s="253"/>
      <c r="D121" s="102"/>
      <c r="E121" s="102"/>
      <c r="F121" s="102"/>
      <c r="G121" s="255"/>
      <c r="H121" s="253"/>
      <c r="I121" s="102"/>
      <c r="J121" s="102"/>
      <c r="K121" s="102"/>
      <c r="L121" s="255"/>
      <c r="M121" s="253"/>
      <c r="N121" s="102"/>
      <c r="O121" s="102"/>
      <c r="P121" s="102" t="str">
        <f>IFERROR(P119/O119-1,"")</f>
        <v/>
      </c>
      <c r="Q121" s="255"/>
      <c r="R121" s="253">
        <f>IFERROR(R119/P119-1,"")</f>
        <v>-0.55338921895736159</v>
      </c>
      <c r="S121" s="291">
        <f>IFERROR(S119/R119-1,"")</f>
        <v>0.74297531759842395</v>
      </c>
      <c r="T121" s="102">
        <f>IFERROR(T119/S119-1,"")</f>
        <v>0.33664765315174283</v>
      </c>
      <c r="U121" s="102">
        <f>IFERROR(U119/T119-1,"")</f>
        <v>1.5492185232903273</v>
      </c>
      <c r="V121" s="255"/>
      <c r="W121" s="253">
        <f>IFERROR(W119/U119-1,"")</f>
        <v>5.518472282460829E-2</v>
      </c>
      <c r="X121" s="102">
        <f>IFERROR(X119/W119-1,"")</f>
        <v>-0.42459977081356615</v>
      </c>
      <c r="Y121" s="102">
        <f>IFERROR(Y119/X119-1,"")</f>
        <v>-0.29290810660544897</v>
      </c>
      <c r="Z121" s="102">
        <f>IFERROR(Z119/Y119-1,"")</f>
        <v>-4.0567128512918216E-2</v>
      </c>
      <c r="AA121" s="255"/>
      <c r="AB121" s="253">
        <f>IFERROR(AB119/Z119-1,"")</f>
        <v>0.24200610006635848</v>
      </c>
      <c r="AC121" s="102">
        <f>IFERROR(AC119/AB119-1,"")</f>
        <v>0.60436386815010357</v>
      </c>
      <c r="AD121" s="102">
        <f>IFERROR(AD119/AC119-1,"")</f>
        <v>-0.1696669160696751</v>
      </c>
      <c r="AE121" s="102">
        <f>IFERROR(AE119/AD119-1,"")</f>
        <v>4.5841936981877662E-2</v>
      </c>
      <c r="AF121" s="255"/>
      <c r="AG121" s="253">
        <f>IFERROR(AG119/AE119-1,"")</f>
        <v>-7.2175757405966601E-2</v>
      </c>
      <c r="AH121" s="102">
        <f>IFERROR(AH119/AG119-1,"")</f>
        <v>0.14288383796224968</v>
      </c>
      <c r="AI121" s="102">
        <f>IFERROR(AI119/AH119-1,"")</f>
        <v>2.7235093582701264E-2</v>
      </c>
      <c r="AJ121" s="102">
        <f>IFERROR(AJ119/AI119-1,"")</f>
        <v>-6.2492386308337089E-3</v>
      </c>
      <c r="AK121" s="255"/>
    </row>
    <row r="122" spans="1:39" s="282" customFormat="1" ht="12.75" hidden="1" customHeight="1" outlineLevel="1">
      <c r="A122" s="78"/>
      <c r="B122" s="399" t="s">
        <v>116</v>
      </c>
      <c r="C122" s="253"/>
      <c r="D122" s="102"/>
      <c r="E122" s="102"/>
      <c r="F122" s="125"/>
      <c r="G122" s="126"/>
      <c r="H122" s="253"/>
      <c r="I122" s="102"/>
      <c r="J122" s="102"/>
      <c r="K122" s="125"/>
      <c r="L122" s="126"/>
      <c r="M122" s="253"/>
      <c r="N122" s="102"/>
      <c r="O122" s="102"/>
      <c r="P122" s="102">
        <f t="shared" ref="P122:AK122" si="49">P119/P63</f>
        <v>4.2160443118419115</v>
      </c>
      <c r="Q122" s="126">
        <f t="shared" si="49"/>
        <v>4.5431554129473026</v>
      </c>
      <c r="R122" s="102">
        <f t="shared" si="49"/>
        <v>1.4336930743904028</v>
      </c>
      <c r="S122" s="291">
        <f t="shared" si="49"/>
        <v>2.0226057645689108</v>
      </c>
      <c r="T122" s="102">
        <f t="shared" si="49"/>
        <v>2.4026113157995015</v>
      </c>
      <c r="U122" s="102">
        <f t="shared" si="49"/>
        <v>5.4173642025962119</v>
      </c>
      <c r="V122" s="126">
        <f t="shared" si="49"/>
        <v>3.0375445702153008</v>
      </c>
      <c r="W122" s="102">
        <f t="shared" si="49"/>
        <v>3.96007682706664</v>
      </c>
      <c r="X122" s="102">
        <f t="shared" si="49"/>
        <v>1.7120336014613262</v>
      </c>
      <c r="Y122" s="102">
        <f t="shared" si="49"/>
        <v>1.0907879215192495</v>
      </c>
      <c r="Z122" s="102">
        <f t="shared" si="49"/>
        <v>0.97788551485057074</v>
      </c>
      <c r="AA122" s="126">
        <f t="shared" si="49"/>
        <v>1.7435549698761716</v>
      </c>
      <c r="AB122" s="102">
        <f t="shared" si="49"/>
        <v>1.1218221099693131</v>
      </c>
      <c r="AC122" s="102">
        <f t="shared" si="49"/>
        <v>1.6514771637873094</v>
      </c>
      <c r="AD122" s="102">
        <f t="shared" si="49"/>
        <v>1.2732342590708619</v>
      </c>
      <c r="AE122" s="102">
        <f t="shared" si="49"/>
        <v>1.2485369294458921</v>
      </c>
      <c r="AF122" s="126">
        <f t="shared" si="49"/>
        <v>1.3241463053868863</v>
      </c>
      <c r="AG122" s="102">
        <f t="shared" si="49"/>
        <v>1.0798949552460912</v>
      </c>
      <c r="AH122" s="102">
        <f t="shared" si="49"/>
        <v>1.1852571374143428</v>
      </c>
      <c r="AI122" s="102">
        <f t="shared" si="49"/>
        <v>1.1757374432060574</v>
      </c>
      <c r="AJ122" s="102">
        <f t="shared" si="49"/>
        <v>1.1338111446488419</v>
      </c>
      <c r="AK122" s="126">
        <f t="shared" si="49"/>
        <v>1.1444151682933066</v>
      </c>
    </row>
    <row r="123" spans="1:39" s="435" customFormat="1" ht="12.75" hidden="1" customHeight="1" outlineLevel="1">
      <c r="A123" s="434"/>
      <c r="B123" s="743"/>
      <c r="C123" s="436"/>
      <c r="D123" s="436"/>
      <c r="E123" s="436"/>
      <c r="F123" s="436"/>
      <c r="G123" s="437"/>
      <c r="H123" s="436"/>
      <c r="I123" s="436"/>
      <c r="J123" s="436"/>
      <c r="K123" s="436"/>
      <c r="L123" s="437"/>
      <c r="M123" s="436"/>
      <c r="N123" s="436"/>
      <c r="O123" s="436"/>
      <c r="P123" s="436"/>
      <c r="Q123" s="437"/>
      <c r="R123" s="436"/>
      <c r="S123" s="1279"/>
      <c r="T123" s="436"/>
      <c r="U123" s="436"/>
      <c r="V123" s="437"/>
      <c r="W123" s="436"/>
      <c r="X123" s="436"/>
      <c r="Y123" s="436"/>
      <c r="Z123" s="436"/>
      <c r="AA123" s="437"/>
      <c r="AB123" s="436"/>
      <c r="AC123" s="436"/>
      <c r="AD123" s="436"/>
      <c r="AE123" s="436"/>
      <c r="AF123" s="437"/>
      <c r="AG123" s="436"/>
      <c r="AH123" s="436"/>
      <c r="AI123" s="436"/>
      <c r="AJ123" s="436"/>
      <c r="AK123" s="437"/>
    </row>
    <row r="124" spans="1:39" s="651" customFormat="1" ht="12.75" hidden="1" customHeight="1" outlineLevel="1">
      <c r="A124" s="1293" t="s">
        <v>44</v>
      </c>
      <c r="B124" s="441" t="s">
        <v>200</v>
      </c>
      <c r="C124" s="648"/>
      <c r="D124" s="649"/>
      <c r="E124" s="649"/>
      <c r="F124" s="649"/>
      <c r="G124" s="650"/>
      <c r="H124" s="648"/>
      <c r="I124" s="649"/>
      <c r="J124" s="649"/>
      <c r="K124" s="649"/>
      <c r="L124" s="650"/>
      <c r="M124" s="648"/>
      <c r="N124" s="649"/>
      <c r="O124" s="649"/>
      <c r="P124" s="1311">
        <f>CF!P92</f>
        <v>-3456.0519999999997</v>
      </c>
      <c r="Q124" s="1312">
        <f>CF!Q92</f>
        <v>-5952.9089999999987</v>
      </c>
      <c r="R124" s="1313">
        <f>CF!R92</f>
        <v>-1346.1910000000003</v>
      </c>
      <c r="S124" s="1314">
        <f>CF!S92</f>
        <v>-2704.2430000000004</v>
      </c>
      <c r="T124" s="1311">
        <f>CF!T92</f>
        <v>-1589.652</v>
      </c>
      <c r="U124" s="1311">
        <f>CF!U92</f>
        <v>-6087.5041943845154</v>
      </c>
      <c r="V124" s="1312">
        <f>CF!V92</f>
        <v>-11727.590194384517</v>
      </c>
      <c r="W124" s="1313">
        <f>CF!W92</f>
        <v>-7105.7487096943742</v>
      </c>
      <c r="X124" s="1311">
        <f>CF!X92</f>
        <v>-5701.7894527359085</v>
      </c>
      <c r="Y124" s="1311">
        <f>CF!Y92</f>
        <v>-2451.2695766606539</v>
      </c>
      <c r="Z124" s="1311">
        <f>CF!Z92</f>
        <v>45.565526631512512</v>
      </c>
      <c r="AA124" s="1312">
        <f>CF!AA92</f>
        <v>-15213.242212459423</v>
      </c>
      <c r="AB124" s="1313">
        <f>CF!AB92</f>
        <v>-3164.0794808395117</v>
      </c>
      <c r="AC124" s="1311">
        <f>CF!AC92</f>
        <v>-4756.9143773471924</v>
      </c>
      <c r="AD124" s="1311">
        <f>CF!AD92</f>
        <v>-3134.9117069498498</v>
      </c>
      <c r="AE124" s="1311">
        <f>CF!AE92</f>
        <v>-983.8347187754307</v>
      </c>
      <c r="AF124" s="1312">
        <f>CF!AF92</f>
        <v>-12039.740283911984</v>
      </c>
      <c r="AG124" s="1313">
        <f>CF!AG92</f>
        <v>-3198.4644713166945</v>
      </c>
      <c r="AH124" s="1311">
        <f>CF!AH92</f>
        <v>-3862.1493051844727</v>
      </c>
      <c r="AI124" s="1311">
        <f>CF!AI92</f>
        <v>-2505.2444635394399</v>
      </c>
      <c r="AJ124" s="1311">
        <f>CF!AJ92</f>
        <v>-199.09724970770185</v>
      </c>
      <c r="AK124" s="1312">
        <f>CF!AK92</f>
        <v>-9764.9554897483067</v>
      </c>
    </row>
    <row r="125" spans="1:39" s="402" customFormat="1" ht="12.75" hidden="1" customHeight="1" outlineLevel="1">
      <c r="A125" s="448" t="s">
        <v>120</v>
      </c>
      <c r="B125" s="399" t="s">
        <v>93</v>
      </c>
      <c r="C125" s="417"/>
      <c r="D125" s="417"/>
      <c r="E125" s="417"/>
      <c r="F125" s="417"/>
      <c r="G125" s="462"/>
      <c r="H125" s="417"/>
      <c r="I125" s="417"/>
      <c r="J125" s="417"/>
      <c r="K125" s="417"/>
      <c r="L125" s="462"/>
      <c r="M125" s="417"/>
      <c r="N125" s="417"/>
      <c r="O125" s="417"/>
      <c r="P125" s="417">
        <f t="shared" ref="P125:AF125" si="50">P124/P$63</f>
        <v>-4.6239139451186064</v>
      </c>
      <c r="Q125" s="462">
        <f t="shared" si="50"/>
        <v>-3.1078773077111821</v>
      </c>
      <c r="R125" s="417">
        <f t="shared" si="50"/>
        <v>-1.3713805173425482</v>
      </c>
      <c r="S125" s="1053">
        <f t="shared" si="50"/>
        <v>-2.2297738763905977</v>
      </c>
      <c r="T125" s="417">
        <f t="shared" si="50"/>
        <v>-1.1648567132418246</v>
      </c>
      <c r="U125" s="417">
        <f t="shared" si="50"/>
        <v>-3.945546531318167</v>
      </c>
      <c r="V125" s="462">
        <f t="shared" si="50"/>
        <v>-2.2986369528184776</v>
      </c>
      <c r="W125" s="417">
        <f t="shared" si="50"/>
        <v>-3.1905446302325662</v>
      </c>
      <c r="X125" s="417">
        <f t="shared" si="50"/>
        <v>-1.9235558372040762</v>
      </c>
      <c r="Y125" s="417">
        <f t="shared" si="50"/>
        <v>-0.74513827883301964</v>
      </c>
      <c r="Z125" s="417">
        <f t="shared" si="50"/>
        <v>1.2942414128620393E-2</v>
      </c>
      <c r="AA125" s="462">
        <f t="shared" si="50"/>
        <v>-1.2675970023496275</v>
      </c>
      <c r="AB125" s="417">
        <f t="shared" si="50"/>
        <v>-0.8301155240801058</v>
      </c>
      <c r="AC125" s="417">
        <f t="shared" si="50"/>
        <v>-1.1451495072967808</v>
      </c>
      <c r="AD125" s="417">
        <f t="shared" si="50"/>
        <v>-0.70072170568143866</v>
      </c>
      <c r="AE125" s="417">
        <f t="shared" si="50"/>
        <v>-0.20619086734517325</v>
      </c>
      <c r="AF125" s="462">
        <f t="shared" si="50"/>
        <v>-0.69954199785822702</v>
      </c>
      <c r="AG125" s="417">
        <f>AG124/AG$63</f>
        <v>-0.62488948387275323</v>
      </c>
      <c r="AH125" s="417">
        <f>AH124/AH$63</f>
        <v>-0.72463568929143418</v>
      </c>
      <c r="AI125" s="417">
        <f>AI124/AI$63</f>
        <v>-0.45390889557053216</v>
      </c>
      <c r="AJ125" s="417">
        <f>AJ124/AJ$63</f>
        <v>-3.5005536788199412E-2</v>
      </c>
      <c r="AK125" s="462">
        <f>AK124/AK$63</f>
        <v>-0.45093120622141231</v>
      </c>
    </row>
    <row r="126" spans="1:39" s="450" customFormat="1" ht="12.75" hidden="1" customHeight="1" outlineLevel="1">
      <c r="A126" s="416"/>
      <c r="B126" s="1121" t="s">
        <v>223</v>
      </c>
      <c r="C126" s="467"/>
      <c r="D126" s="467"/>
      <c r="E126" s="467"/>
      <c r="F126" s="419"/>
      <c r="G126" s="652"/>
      <c r="H126" s="613"/>
      <c r="I126" s="613"/>
      <c r="J126" s="613"/>
      <c r="K126" s="644"/>
      <c r="L126" s="652"/>
      <c r="M126" s="613"/>
      <c r="N126" s="613"/>
      <c r="O126" s="613"/>
      <c r="P126" s="613"/>
      <c r="Q126" s="652">
        <f>(Q125-L125)*10000</f>
        <v>-31078.773077111822</v>
      </c>
      <c r="R126" s="467"/>
      <c r="S126" s="613"/>
      <c r="T126" s="467"/>
      <c r="U126" s="419"/>
      <c r="V126" s="652">
        <f>(V125-Q125)*10000</f>
        <v>8092.4035489270454</v>
      </c>
      <c r="W126" s="467"/>
      <c r="X126" s="467"/>
      <c r="Y126" s="467"/>
      <c r="Z126" s="419"/>
      <c r="AA126" s="652">
        <f>(AA125-V125)*10000</f>
        <v>10310.399504688501</v>
      </c>
      <c r="AB126" s="467"/>
      <c r="AC126" s="467"/>
      <c r="AD126" s="467"/>
      <c r="AE126" s="419"/>
      <c r="AF126" s="652">
        <f>(AF125-AA125)*10000</f>
        <v>5680.5500449140045</v>
      </c>
      <c r="AG126" s="467"/>
      <c r="AH126" s="467"/>
      <c r="AI126" s="467"/>
      <c r="AJ126" s="419"/>
      <c r="AK126" s="652">
        <f>(AK125-AF125)*10000</f>
        <v>2486.107916368147</v>
      </c>
      <c r="AL126" s="274"/>
      <c r="AM126" s="274"/>
    </row>
    <row r="127" spans="1:39" s="89" customFormat="1" ht="12.75" hidden="1" customHeight="1" outlineLevel="1">
      <c r="A127" s="78"/>
      <c r="B127" s="485" t="s">
        <v>159</v>
      </c>
      <c r="C127" s="123"/>
      <c r="D127" s="100"/>
      <c r="E127" s="100"/>
      <c r="F127" s="125"/>
      <c r="G127" s="126"/>
      <c r="H127" s="123"/>
      <c r="I127" s="100"/>
      <c r="J127" s="100"/>
      <c r="K127" s="125"/>
      <c r="L127" s="126"/>
      <c r="M127" s="123"/>
      <c r="N127" s="100"/>
      <c r="O127" s="100"/>
      <c r="P127" s="100">
        <f>P124/R124</f>
        <v>2.5672820573009321</v>
      </c>
      <c r="Q127" s="126"/>
      <c r="R127" s="123">
        <f>R124/V124</f>
        <v>0.1147883732025862</v>
      </c>
      <c r="S127" s="1219">
        <f>S124/V124</f>
        <v>0.23058812212715823</v>
      </c>
      <c r="T127" s="100">
        <f>T124/V124</f>
        <v>0.13554805153075419</v>
      </c>
      <c r="U127" s="125">
        <f>U124/V124</f>
        <v>0.51907545313950132</v>
      </c>
      <c r="V127" s="126"/>
      <c r="W127" s="123">
        <f>W124/AA124</f>
        <v>0.46707655149767285</v>
      </c>
      <c r="X127" s="100">
        <f>X124/AA124</f>
        <v>0.3747912097308374</v>
      </c>
      <c r="Y127" s="100">
        <f>Y124/AA124</f>
        <v>0.16112736144127779</v>
      </c>
      <c r="Z127" s="125">
        <f>Z124/AA124</f>
        <v>-2.9951226697879701E-3</v>
      </c>
      <c r="AA127" s="126"/>
      <c r="AB127" s="123">
        <f>AB124/AF124</f>
        <v>0.26280296802311343</v>
      </c>
      <c r="AC127" s="100">
        <f>AC124/AF124</f>
        <v>0.39510107902440261</v>
      </c>
      <c r="AD127" s="100">
        <f>AD124/AF124</f>
        <v>0.26038034318222403</v>
      </c>
      <c r="AE127" s="125">
        <f>AE124/AF124</f>
        <v>8.1715609770259975E-2</v>
      </c>
      <c r="AF127" s="126"/>
      <c r="AG127" s="123">
        <f>AG124/AK124</f>
        <v>0.32754521765865574</v>
      </c>
      <c r="AH127" s="100">
        <f>AH124/AK124</f>
        <v>0.39551120424861458</v>
      </c>
      <c r="AI127" s="100">
        <f>AI124/AK124</f>
        <v>0.25655462189966549</v>
      </c>
      <c r="AJ127" s="125">
        <f>AJ124/AK124</f>
        <v>2.0388956193064391E-2</v>
      </c>
      <c r="AK127" s="126"/>
    </row>
    <row r="128" spans="1:39" s="89" customFormat="1" ht="12.75" customHeight="1" collapsed="1">
      <c r="A128" s="67"/>
      <c r="B128" s="378"/>
      <c r="C128" s="90"/>
      <c r="D128" s="128"/>
      <c r="E128" s="128"/>
      <c r="F128" s="128"/>
      <c r="G128" s="132"/>
      <c r="H128" s="90"/>
      <c r="I128" s="128"/>
      <c r="J128" s="128"/>
      <c r="K128" s="128"/>
      <c r="L128" s="132"/>
      <c r="M128" s="90"/>
      <c r="N128" s="128"/>
      <c r="O128" s="128"/>
      <c r="P128" s="128"/>
      <c r="Q128" s="132"/>
      <c r="R128" s="90"/>
      <c r="S128" s="1041"/>
      <c r="T128" s="128"/>
      <c r="U128" s="128"/>
      <c r="V128" s="132"/>
      <c r="W128" s="90"/>
      <c r="X128" s="128"/>
      <c r="Y128" s="128"/>
      <c r="Z128" s="128"/>
      <c r="AA128" s="132"/>
      <c r="AB128" s="90"/>
      <c r="AC128" s="128"/>
      <c r="AD128" s="128"/>
      <c r="AE128" s="128"/>
      <c r="AF128" s="132"/>
      <c r="AG128" s="90"/>
      <c r="AH128" s="128"/>
      <c r="AI128" s="128"/>
      <c r="AJ128" s="128"/>
      <c r="AK128" s="132"/>
    </row>
    <row r="129" spans="1:37" s="1043" customFormat="1" ht="12.75" customHeight="1">
      <c r="A129" s="1193"/>
      <c r="C129" s="1044"/>
      <c r="D129" s="1045"/>
      <c r="E129" s="1045"/>
      <c r="F129" s="1045"/>
      <c r="G129" s="1042"/>
      <c r="H129" s="1044"/>
      <c r="I129" s="1045"/>
      <c r="J129" s="1045"/>
      <c r="K129" s="1045"/>
      <c r="M129" s="1044"/>
      <c r="N129" s="1045"/>
      <c r="O129" s="1045"/>
      <c r="P129" s="1045"/>
      <c r="R129" s="1044"/>
      <c r="S129" s="1045"/>
      <c r="T129" s="1045"/>
      <c r="U129" s="1045"/>
      <c r="V129" s="1042"/>
      <c r="W129" s="1044"/>
      <c r="X129" s="1045"/>
      <c r="Y129" s="1045"/>
      <c r="Z129" s="1045"/>
      <c r="AA129" s="1042"/>
      <c r="AB129" s="1044"/>
      <c r="AC129" s="1045"/>
      <c r="AD129" s="1045"/>
      <c r="AE129" s="1045"/>
      <c r="AF129" s="1042"/>
      <c r="AG129" s="1044"/>
      <c r="AH129" s="1045"/>
      <c r="AI129" s="1045"/>
      <c r="AJ129" s="1045"/>
      <c r="AK129" s="1042"/>
    </row>
    <row r="130" spans="1:37" s="1046" customFormat="1" ht="12.75" customHeight="1">
      <c r="A130" s="1294"/>
      <c r="C130" s="1047"/>
      <c r="D130" s="1048"/>
      <c r="E130" s="1048"/>
      <c r="F130" s="1048"/>
      <c r="G130" s="1049"/>
      <c r="H130" s="1047"/>
      <c r="I130" s="1048"/>
      <c r="J130" s="1048"/>
      <c r="K130" s="1048"/>
      <c r="M130" s="1047"/>
      <c r="N130" s="1048"/>
      <c r="O130" s="1048"/>
      <c r="P130" s="1048"/>
      <c r="R130" s="1047"/>
      <c r="S130" s="1048"/>
      <c r="T130" s="1048"/>
      <c r="U130" s="1048"/>
      <c r="V130" s="1049"/>
      <c r="W130" s="1047"/>
      <c r="X130" s="1048"/>
      <c r="Y130" s="1048"/>
      <c r="Z130" s="1048"/>
      <c r="AA130" s="1049"/>
      <c r="AB130" s="1047"/>
      <c r="AC130" s="1048"/>
      <c r="AD130" s="1048"/>
      <c r="AE130" s="1048"/>
      <c r="AF130" s="1049"/>
      <c r="AG130" s="1047"/>
      <c r="AH130" s="1048"/>
      <c r="AI130" s="1048"/>
      <c r="AJ130" s="1048"/>
      <c r="AK130" s="1049"/>
    </row>
    <row r="131" spans="1:37" s="1043" customFormat="1" ht="12.75" customHeight="1">
      <c r="A131" s="1193"/>
      <c r="C131" s="1044"/>
      <c r="D131" s="1045"/>
      <c r="E131" s="1045"/>
      <c r="F131" s="1045"/>
      <c r="G131" s="1042"/>
      <c r="H131" s="1044"/>
      <c r="I131" s="1045"/>
      <c r="J131" s="1045"/>
      <c r="K131" s="1045"/>
      <c r="M131" s="1044"/>
      <c r="N131" s="1045"/>
      <c r="O131" s="1045"/>
      <c r="P131" s="1045"/>
      <c r="R131" s="1044"/>
      <c r="S131" s="1045"/>
      <c r="T131" s="1045"/>
      <c r="U131" s="1045"/>
      <c r="V131" s="1042"/>
      <c r="W131" s="1044"/>
      <c r="X131" s="1045"/>
      <c r="Y131" s="1045"/>
      <c r="Z131" s="1045"/>
      <c r="AA131" s="1042"/>
      <c r="AB131" s="1044"/>
      <c r="AC131" s="1045"/>
      <c r="AD131" s="1045"/>
      <c r="AE131" s="1045"/>
      <c r="AF131" s="1042"/>
      <c r="AG131" s="1044"/>
      <c r="AH131" s="1045"/>
      <c r="AI131" s="1045"/>
      <c r="AJ131" s="1045"/>
      <c r="AK131" s="1042"/>
    </row>
    <row r="132" spans="1:37" s="373" customFormat="1" ht="12.75" customHeight="1">
      <c r="A132" s="1039"/>
      <c r="B132" s="379"/>
      <c r="C132" s="1040"/>
      <c r="D132" s="1041"/>
      <c r="E132" s="1041"/>
      <c r="F132" s="1041"/>
      <c r="G132" s="1042"/>
      <c r="H132" s="1040"/>
      <c r="I132" s="1041"/>
      <c r="J132" s="1041"/>
      <c r="K132" s="1041"/>
      <c r="L132" s="379"/>
      <c r="M132" s="1040"/>
      <c r="N132" s="1041"/>
      <c r="O132" s="1041"/>
      <c r="P132" s="1041"/>
      <c r="Q132" s="379"/>
      <c r="R132" s="1040"/>
      <c r="S132" s="1041"/>
      <c r="T132" s="1041"/>
      <c r="U132" s="1041"/>
      <c r="V132" s="1042"/>
      <c r="W132" s="1040"/>
      <c r="X132" s="1041"/>
      <c r="Y132" s="1041"/>
      <c r="Z132" s="1041"/>
      <c r="AA132" s="1042"/>
      <c r="AB132" s="1040"/>
      <c r="AC132" s="1041"/>
      <c r="AD132" s="1041"/>
      <c r="AE132" s="1041"/>
      <c r="AF132" s="1042"/>
      <c r="AG132" s="1040"/>
      <c r="AH132" s="1041"/>
      <c r="AI132" s="1041"/>
      <c r="AJ132" s="1041"/>
      <c r="AK132" s="1042"/>
    </row>
    <row r="162" spans="1:37" s="89" customFormat="1" ht="12.75" customHeight="1">
      <c r="A162" s="67"/>
      <c r="B162" s="386"/>
      <c r="C162" s="90"/>
      <c r="D162" s="128"/>
      <c r="E162" s="128"/>
      <c r="F162" s="128"/>
      <c r="G162" s="128"/>
      <c r="H162" s="90"/>
      <c r="I162" s="128"/>
      <c r="J162" s="128"/>
      <c r="K162" s="128"/>
      <c r="L162" s="128"/>
      <c r="M162" s="90"/>
      <c r="N162" s="128"/>
      <c r="O162" s="128"/>
      <c r="P162" s="128"/>
      <c r="Q162" s="128"/>
      <c r="R162" s="90"/>
      <c r="S162" s="1041"/>
      <c r="T162" s="128"/>
      <c r="U162" s="128"/>
      <c r="V162" s="128"/>
      <c r="W162" s="90"/>
      <c r="X162" s="128"/>
      <c r="Y162" s="128"/>
      <c r="Z162" s="128"/>
      <c r="AA162" s="128"/>
      <c r="AB162" s="90"/>
      <c r="AC162" s="128"/>
      <c r="AD162" s="128"/>
      <c r="AE162" s="128"/>
      <c r="AF162" s="128"/>
      <c r="AG162" s="90"/>
      <c r="AH162" s="128"/>
      <c r="AI162" s="128"/>
      <c r="AJ162" s="128"/>
      <c r="AK162" s="128"/>
    </row>
    <row r="163" spans="1:37" s="89" customFormat="1" ht="12.75" customHeight="1">
      <c r="A163" s="122"/>
      <c r="B163" s="387"/>
      <c r="C163" s="129"/>
      <c r="D163" s="98"/>
      <c r="E163" s="98"/>
      <c r="F163" s="98"/>
      <c r="G163" s="97"/>
      <c r="H163" s="129"/>
      <c r="I163" s="98"/>
      <c r="J163" s="98"/>
      <c r="K163" s="98"/>
      <c r="L163" s="97"/>
      <c r="M163" s="129"/>
      <c r="N163" s="98"/>
      <c r="O163" s="98"/>
      <c r="P163" s="98"/>
      <c r="Q163" s="97"/>
      <c r="R163" s="129"/>
      <c r="S163" s="1223"/>
      <c r="T163" s="98"/>
      <c r="U163" s="98"/>
      <c r="V163" s="97"/>
      <c r="W163" s="129"/>
      <c r="X163" s="98"/>
      <c r="Y163" s="98"/>
      <c r="Z163" s="98"/>
      <c r="AA163" s="97"/>
      <c r="AB163" s="129"/>
      <c r="AC163" s="98"/>
      <c r="AD163" s="98"/>
      <c r="AE163" s="98"/>
      <c r="AF163" s="97"/>
      <c r="AG163" s="129"/>
      <c r="AH163" s="98"/>
      <c r="AI163" s="98"/>
      <c r="AJ163" s="98"/>
      <c r="AK163" s="97"/>
    </row>
    <row r="164" spans="1:37" s="89" customFormat="1" ht="12.75" customHeight="1">
      <c r="A164" s="122"/>
      <c r="B164" s="387"/>
      <c r="C164" s="129"/>
      <c r="D164" s="98"/>
      <c r="E164" s="98"/>
      <c r="F164" s="98"/>
      <c r="G164" s="97"/>
      <c r="H164" s="129"/>
      <c r="I164" s="98"/>
      <c r="J164" s="98"/>
      <c r="K164" s="98"/>
      <c r="L164" s="97"/>
      <c r="M164" s="129"/>
      <c r="N164" s="98"/>
      <c r="O164" s="98"/>
      <c r="P164" s="98"/>
      <c r="Q164" s="97"/>
      <c r="R164" s="129"/>
      <c r="S164" s="1223"/>
      <c r="T164" s="98"/>
      <c r="U164" s="98"/>
      <c r="V164" s="97"/>
      <c r="W164" s="129"/>
      <c r="X164" s="98"/>
      <c r="Y164" s="98"/>
      <c r="Z164" s="98"/>
      <c r="AA164" s="97"/>
      <c r="AB164" s="129"/>
      <c r="AC164" s="98"/>
      <c r="AD164" s="98"/>
      <c r="AE164" s="98"/>
      <c r="AF164" s="97"/>
      <c r="AG164" s="129"/>
      <c r="AH164" s="98"/>
      <c r="AI164" s="98"/>
      <c r="AJ164" s="98"/>
      <c r="AK164" s="97"/>
    </row>
    <row r="165" spans="1:37" s="89" customFormat="1" ht="12.75" customHeight="1">
      <c r="A165" s="122"/>
      <c r="B165" s="387"/>
      <c r="C165" s="129"/>
      <c r="D165" s="98"/>
      <c r="E165" s="98"/>
      <c r="F165" s="98"/>
      <c r="G165" s="97"/>
      <c r="H165" s="129"/>
      <c r="I165" s="98"/>
      <c r="J165" s="98"/>
      <c r="K165" s="98"/>
      <c r="L165" s="97"/>
      <c r="M165" s="129"/>
      <c r="N165" s="98"/>
      <c r="O165" s="98"/>
      <c r="P165" s="98"/>
      <c r="Q165" s="97"/>
      <c r="R165" s="129"/>
      <c r="S165" s="1223"/>
      <c r="T165" s="98"/>
      <c r="U165" s="98"/>
      <c r="V165" s="97"/>
      <c r="W165" s="129"/>
      <c r="X165" s="98"/>
      <c r="Y165" s="98"/>
      <c r="Z165" s="98"/>
      <c r="AA165" s="97"/>
      <c r="AB165" s="129"/>
      <c r="AC165" s="98"/>
      <c r="AD165" s="98"/>
      <c r="AE165" s="98"/>
      <c r="AF165" s="97"/>
      <c r="AG165" s="129"/>
      <c r="AH165" s="98"/>
      <c r="AI165" s="98"/>
      <c r="AJ165" s="98"/>
      <c r="AK165" s="97"/>
    </row>
    <row r="166" spans="1:37" s="89" customFormat="1" ht="12.75" customHeight="1">
      <c r="A166" s="122"/>
      <c r="B166" s="387"/>
      <c r="C166" s="129"/>
      <c r="D166" s="98"/>
      <c r="E166" s="98"/>
      <c r="F166" s="98"/>
      <c r="G166" s="97"/>
      <c r="H166" s="129"/>
      <c r="I166" s="98"/>
      <c r="J166" s="98"/>
      <c r="K166" s="98"/>
      <c r="L166" s="97"/>
      <c r="M166" s="129"/>
      <c r="N166" s="98"/>
      <c r="O166" s="98"/>
      <c r="P166" s="98"/>
      <c r="Q166" s="97"/>
      <c r="R166" s="129"/>
      <c r="S166" s="1223"/>
      <c r="T166" s="98"/>
      <c r="U166" s="98"/>
      <c r="V166" s="97"/>
      <c r="W166" s="129"/>
      <c r="X166" s="98"/>
      <c r="Y166" s="98"/>
      <c r="Z166" s="98"/>
      <c r="AA166" s="97"/>
      <c r="AB166" s="129"/>
      <c r="AC166" s="98"/>
      <c r="AD166" s="98"/>
      <c r="AE166" s="98"/>
      <c r="AF166" s="97"/>
      <c r="AG166" s="129"/>
      <c r="AH166" s="98"/>
      <c r="AI166" s="98"/>
      <c r="AJ166" s="98"/>
      <c r="AK166" s="97"/>
    </row>
    <row r="167" spans="1:37" s="89" customFormat="1" ht="12.75" customHeight="1">
      <c r="A167" s="122"/>
      <c r="B167" s="387"/>
      <c r="C167" s="129"/>
      <c r="D167" s="98"/>
      <c r="E167" s="98"/>
      <c r="F167" s="98"/>
      <c r="G167" s="97"/>
      <c r="H167" s="129"/>
      <c r="I167" s="98"/>
      <c r="J167" s="98"/>
      <c r="K167" s="98"/>
      <c r="L167" s="97"/>
      <c r="M167" s="129"/>
      <c r="N167" s="98"/>
      <c r="O167" s="98"/>
      <c r="P167" s="98"/>
      <c r="Q167" s="97"/>
      <c r="R167" s="129"/>
      <c r="S167" s="1223"/>
      <c r="T167" s="98"/>
      <c r="U167" s="98"/>
      <c r="V167" s="97"/>
      <c r="W167" s="129"/>
      <c r="X167" s="98"/>
      <c r="Y167" s="98"/>
      <c r="Z167" s="98"/>
      <c r="AA167" s="97"/>
      <c r="AB167" s="129"/>
      <c r="AC167" s="98"/>
      <c r="AD167" s="98"/>
      <c r="AE167" s="98"/>
      <c r="AF167" s="97"/>
      <c r="AG167" s="129"/>
      <c r="AH167" s="98"/>
      <c r="AI167" s="98"/>
      <c r="AJ167" s="98"/>
      <c r="AK167" s="97"/>
    </row>
    <row r="168" spans="1:37" s="89" customFormat="1" ht="12.75" customHeight="1">
      <c r="A168" s="67"/>
      <c r="B168" s="387"/>
      <c r="C168" s="90"/>
      <c r="D168" s="128"/>
      <c r="E168" s="128"/>
      <c r="F168" s="128"/>
      <c r="G168" s="97"/>
      <c r="H168" s="90"/>
      <c r="I168" s="128"/>
      <c r="J168" s="128"/>
      <c r="K168" s="128"/>
      <c r="L168" s="97"/>
      <c r="M168" s="90"/>
      <c r="N168" s="128"/>
      <c r="O168" s="128"/>
      <c r="P168" s="128"/>
      <c r="Q168" s="97"/>
      <c r="R168" s="90"/>
      <c r="S168" s="1041"/>
      <c r="T168" s="128"/>
      <c r="U168" s="128"/>
      <c r="V168" s="97"/>
      <c r="W168" s="90"/>
      <c r="X168" s="128"/>
      <c r="Y168" s="128"/>
      <c r="Z168" s="128"/>
      <c r="AA168" s="97"/>
      <c r="AB168" s="90"/>
      <c r="AC168" s="128"/>
      <c r="AD168" s="128"/>
      <c r="AE168" s="128"/>
      <c r="AF168" s="97"/>
      <c r="AG168" s="90"/>
      <c r="AH168" s="128"/>
      <c r="AI168" s="128"/>
      <c r="AJ168" s="128"/>
      <c r="AK168" s="97"/>
    </row>
    <row r="169" spans="1:37" s="89" customFormat="1" ht="12.75" customHeight="1">
      <c r="A169" s="67"/>
      <c r="B169" s="387"/>
      <c r="C169" s="90"/>
      <c r="D169" s="128"/>
      <c r="E169" s="128"/>
      <c r="F169" s="128"/>
      <c r="G169" s="133"/>
      <c r="H169" s="90"/>
      <c r="I169" s="128"/>
      <c r="J169" s="128"/>
      <c r="K169" s="128"/>
      <c r="L169" s="133"/>
      <c r="M169" s="90"/>
      <c r="N169" s="128"/>
      <c r="O169" s="128"/>
      <c r="P169" s="128"/>
      <c r="Q169" s="133"/>
      <c r="R169" s="90"/>
      <c r="S169" s="1041"/>
      <c r="T169" s="128"/>
      <c r="U169" s="128"/>
      <c r="V169" s="133"/>
      <c r="W169" s="90"/>
      <c r="X169" s="128"/>
      <c r="Y169" s="128"/>
      <c r="Z169" s="128"/>
      <c r="AA169" s="133"/>
      <c r="AB169" s="90"/>
      <c r="AC169" s="128"/>
      <c r="AD169" s="128"/>
      <c r="AE169" s="128"/>
      <c r="AF169" s="133"/>
      <c r="AG169" s="90"/>
      <c r="AH169" s="128"/>
      <c r="AI169" s="128"/>
      <c r="AJ169" s="128"/>
      <c r="AK169" s="133"/>
    </row>
    <row r="170" spans="1:37" s="89" customFormat="1" ht="12.75" customHeight="1">
      <c r="A170" s="67"/>
      <c r="B170" s="387"/>
      <c r="C170" s="90"/>
      <c r="D170" s="128"/>
      <c r="E170" s="128"/>
      <c r="F170" s="128"/>
      <c r="G170" s="97"/>
      <c r="H170" s="90"/>
      <c r="I170" s="128"/>
      <c r="J170" s="128"/>
      <c r="K170" s="128"/>
      <c r="L170" s="97"/>
      <c r="M170" s="90"/>
      <c r="N170" s="128"/>
      <c r="O170" s="128"/>
      <c r="P170" s="128"/>
      <c r="Q170" s="97"/>
      <c r="R170" s="90"/>
      <c r="S170" s="1041"/>
      <c r="T170" s="128"/>
      <c r="U170" s="128"/>
      <c r="V170" s="97"/>
      <c r="W170" s="90"/>
      <c r="X170" s="128"/>
      <c r="Y170" s="128"/>
      <c r="Z170" s="128"/>
      <c r="AA170" s="97"/>
      <c r="AB170" s="90"/>
      <c r="AC170" s="128"/>
      <c r="AD170" s="128"/>
      <c r="AE170" s="128"/>
      <c r="AF170" s="97"/>
      <c r="AG170" s="90"/>
      <c r="AH170" s="128"/>
      <c r="AI170" s="128"/>
      <c r="AJ170" s="128"/>
      <c r="AK170" s="97"/>
    </row>
    <row r="172" spans="1:37" s="89" customFormat="1" ht="12.75" customHeight="1">
      <c r="A172" s="67"/>
      <c r="B172" s="387"/>
      <c r="C172" s="90"/>
      <c r="D172" s="128"/>
      <c r="E172" s="128"/>
      <c r="F172" s="128"/>
      <c r="G172" s="128"/>
      <c r="H172" s="90"/>
      <c r="I172" s="128"/>
      <c r="J172" s="128"/>
      <c r="K172" s="128"/>
      <c r="L172" s="128"/>
      <c r="M172" s="90"/>
      <c r="N172" s="128"/>
      <c r="O172" s="128"/>
      <c r="P172" s="128"/>
      <c r="Q172" s="128"/>
      <c r="R172" s="90"/>
      <c r="S172" s="1041"/>
      <c r="T172" s="128"/>
      <c r="U172" s="128"/>
      <c r="V172" s="128"/>
      <c r="W172" s="90"/>
      <c r="X172" s="128"/>
      <c r="Y172" s="128"/>
      <c r="Z172" s="128"/>
      <c r="AA172" s="128"/>
      <c r="AB172" s="90"/>
      <c r="AC172" s="128"/>
      <c r="AD172" s="128"/>
      <c r="AE172" s="128"/>
      <c r="AF172" s="128"/>
      <c r="AG172" s="90"/>
      <c r="AH172" s="128"/>
      <c r="AI172" s="128"/>
      <c r="AJ172" s="128"/>
      <c r="AK172" s="128"/>
    </row>
    <row r="173" spans="1:37" s="89" customFormat="1" ht="12.75" customHeight="1">
      <c r="A173" s="67"/>
      <c r="B173" s="387"/>
      <c r="C173" s="90"/>
      <c r="D173" s="128"/>
      <c r="E173" s="128"/>
      <c r="F173" s="128"/>
      <c r="G173" s="128"/>
      <c r="H173" s="90"/>
      <c r="I173" s="128"/>
      <c r="J173" s="128"/>
      <c r="K173" s="128"/>
      <c r="L173" s="128"/>
      <c r="M173" s="90"/>
      <c r="N173" s="128"/>
      <c r="O173" s="128"/>
      <c r="P173" s="128"/>
      <c r="Q173" s="128"/>
      <c r="R173" s="90"/>
      <c r="S173" s="1041"/>
      <c r="T173" s="128"/>
      <c r="U173" s="128"/>
      <c r="V173" s="128"/>
      <c r="W173" s="90"/>
      <c r="X173" s="128"/>
      <c r="Y173" s="128"/>
      <c r="Z173" s="128"/>
      <c r="AA173" s="128"/>
      <c r="AB173" s="90"/>
      <c r="AC173" s="128"/>
      <c r="AD173" s="128"/>
      <c r="AE173" s="128"/>
      <c r="AF173" s="128"/>
      <c r="AG173" s="90"/>
      <c r="AH173" s="128"/>
      <c r="AI173" s="128"/>
      <c r="AJ173" s="128"/>
      <c r="AK173" s="128"/>
    </row>
    <row r="174" spans="1:37" s="89" customFormat="1" ht="12.75" customHeight="1">
      <c r="A174" s="67"/>
      <c r="B174" s="387"/>
      <c r="C174" s="90"/>
      <c r="D174" s="128"/>
      <c r="E174" s="128"/>
      <c r="F174" s="128"/>
      <c r="G174" s="128"/>
      <c r="H174" s="90"/>
      <c r="I174" s="128"/>
      <c r="J174" s="128"/>
      <c r="K174" s="128"/>
      <c r="L174" s="128"/>
      <c r="M174" s="90"/>
      <c r="N174" s="128"/>
      <c r="O174" s="128"/>
      <c r="P174" s="128"/>
      <c r="Q174" s="128"/>
      <c r="R174" s="90"/>
      <c r="S174" s="1041"/>
      <c r="T174" s="128"/>
      <c r="U174" s="128"/>
      <c r="V174" s="128"/>
      <c r="W174" s="90"/>
      <c r="X174" s="128"/>
      <c r="Y174" s="128"/>
      <c r="Z174" s="128"/>
      <c r="AA174" s="128"/>
      <c r="AB174" s="90"/>
      <c r="AC174" s="128"/>
      <c r="AD174" s="128"/>
      <c r="AE174" s="128"/>
      <c r="AF174" s="128"/>
      <c r="AG174" s="90"/>
      <c r="AH174" s="128"/>
      <c r="AI174" s="128"/>
      <c r="AJ174" s="128"/>
      <c r="AK174" s="128"/>
    </row>
    <row r="175" spans="1:37" s="89" customFormat="1" ht="12.75" customHeight="1">
      <c r="A175" s="67"/>
      <c r="B175" s="387"/>
      <c r="C175" s="90"/>
      <c r="D175" s="128"/>
      <c r="E175" s="128"/>
      <c r="F175" s="128"/>
      <c r="G175" s="128"/>
      <c r="H175" s="90"/>
      <c r="I175" s="128"/>
      <c r="J175" s="128"/>
      <c r="K175" s="128"/>
      <c r="L175" s="128"/>
      <c r="M175" s="90"/>
      <c r="N175" s="128"/>
      <c r="O175" s="128"/>
      <c r="P175" s="128"/>
      <c r="Q175" s="128"/>
      <c r="R175" s="90"/>
      <c r="S175" s="1041"/>
      <c r="T175" s="128"/>
      <c r="U175" s="128"/>
      <c r="V175" s="128"/>
      <c r="W175" s="90"/>
      <c r="X175" s="128"/>
      <c r="Y175" s="128"/>
      <c r="Z175" s="128"/>
      <c r="AA175" s="128"/>
      <c r="AB175" s="90"/>
      <c r="AC175" s="128"/>
      <c r="AD175" s="128"/>
      <c r="AE175" s="128"/>
      <c r="AF175" s="128"/>
      <c r="AG175" s="90"/>
      <c r="AH175" s="128"/>
      <c r="AI175" s="128"/>
      <c r="AJ175" s="128"/>
      <c r="AK175" s="128"/>
    </row>
    <row r="195" spans="1:37" s="89" customFormat="1" ht="12.75" customHeight="1">
      <c r="A195" s="67"/>
      <c r="B195" s="378"/>
      <c r="C195" s="134"/>
      <c r="D195" s="134"/>
      <c r="E195" s="134"/>
      <c r="F195" s="134"/>
      <c r="G195" s="134"/>
      <c r="H195" s="134"/>
      <c r="I195" s="134"/>
      <c r="J195" s="134"/>
      <c r="K195" s="134"/>
      <c r="L195" s="134"/>
      <c r="M195" s="134"/>
      <c r="N195" s="134"/>
      <c r="O195" s="134"/>
      <c r="P195" s="134"/>
      <c r="Q195" s="134"/>
      <c r="R195" s="134"/>
      <c r="S195" s="1225"/>
      <c r="T195" s="134"/>
      <c r="U195" s="134"/>
      <c r="V195" s="134"/>
      <c r="W195" s="134"/>
      <c r="X195" s="134"/>
      <c r="Y195" s="134"/>
      <c r="Z195" s="134"/>
      <c r="AA195" s="134"/>
      <c r="AB195" s="134"/>
      <c r="AC195" s="134"/>
      <c r="AD195" s="134"/>
      <c r="AE195" s="134"/>
      <c r="AF195" s="134"/>
      <c r="AG195" s="134"/>
      <c r="AH195" s="134"/>
      <c r="AI195" s="134"/>
      <c r="AJ195" s="134"/>
      <c r="AK195" s="134"/>
    </row>
    <row r="196" spans="1:37" s="89" customFormat="1" ht="12.75" customHeight="1">
      <c r="A196" s="67"/>
      <c r="B196" s="378"/>
      <c r="C196" s="134"/>
      <c r="D196" s="134"/>
      <c r="E196" s="134"/>
      <c r="F196" s="134"/>
      <c r="G196" s="134"/>
      <c r="H196" s="134"/>
      <c r="I196" s="134"/>
      <c r="J196" s="134"/>
      <c r="K196" s="134"/>
      <c r="L196" s="134"/>
      <c r="M196" s="134"/>
      <c r="N196" s="134"/>
      <c r="O196" s="134"/>
      <c r="P196" s="134"/>
      <c r="Q196" s="134"/>
      <c r="R196" s="134"/>
      <c r="S196" s="1225"/>
      <c r="T196" s="134"/>
      <c r="U196" s="134"/>
      <c r="V196" s="134"/>
      <c r="W196" s="134"/>
      <c r="X196" s="134"/>
      <c r="Y196" s="134"/>
      <c r="Z196" s="134"/>
      <c r="AA196" s="134"/>
      <c r="AB196" s="134"/>
      <c r="AC196" s="134"/>
      <c r="AD196" s="134"/>
      <c r="AE196" s="134"/>
      <c r="AF196" s="134"/>
      <c r="AG196" s="134"/>
      <c r="AH196" s="134"/>
      <c r="AI196" s="134"/>
      <c r="AJ196" s="134"/>
      <c r="AK196" s="134"/>
    </row>
    <row r="197" spans="1:37" s="89" customFormat="1" ht="12.75" customHeight="1">
      <c r="A197" s="67"/>
      <c r="B197" s="378"/>
      <c r="C197" s="135"/>
      <c r="D197" s="134"/>
      <c r="E197" s="134"/>
      <c r="F197" s="134"/>
      <c r="G197" s="134"/>
      <c r="H197" s="135"/>
      <c r="I197" s="134"/>
      <c r="J197" s="134"/>
      <c r="K197" s="134"/>
      <c r="L197" s="134"/>
      <c r="M197" s="135"/>
      <c r="N197" s="134"/>
      <c r="O197" s="134"/>
      <c r="P197" s="134"/>
      <c r="Q197" s="134"/>
      <c r="R197" s="135"/>
      <c r="S197" s="1225"/>
      <c r="T197" s="134"/>
      <c r="U197" s="134"/>
      <c r="V197" s="134"/>
      <c r="W197" s="135"/>
      <c r="X197" s="134"/>
      <c r="Y197" s="134"/>
      <c r="Z197" s="134"/>
      <c r="AA197" s="134"/>
      <c r="AB197" s="135"/>
      <c r="AC197" s="134"/>
      <c r="AD197" s="134"/>
      <c r="AE197" s="134"/>
      <c r="AF197" s="134"/>
      <c r="AG197" s="135"/>
      <c r="AH197" s="134"/>
      <c r="AI197" s="134"/>
      <c r="AJ197" s="134"/>
      <c r="AK197" s="134"/>
    </row>
    <row r="198" spans="1:37" s="89" customFormat="1" ht="12.75" customHeight="1">
      <c r="A198" s="67"/>
      <c r="B198" s="378"/>
      <c r="C198" s="136"/>
      <c r="D198" s="134"/>
      <c r="E198" s="134"/>
      <c r="F198" s="134"/>
      <c r="G198" s="134"/>
      <c r="H198" s="136"/>
      <c r="I198" s="134"/>
      <c r="J198" s="134"/>
      <c r="K198" s="134"/>
      <c r="L198" s="134"/>
      <c r="M198" s="136"/>
      <c r="N198" s="134"/>
      <c r="O198" s="134"/>
      <c r="P198" s="134"/>
      <c r="Q198" s="134"/>
      <c r="R198" s="136"/>
      <c r="S198" s="1225"/>
      <c r="T198" s="134"/>
      <c r="U198" s="134"/>
      <c r="V198" s="134"/>
      <c r="W198" s="136"/>
      <c r="X198" s="134"/>
      <c r="Y198" s="134"/>
      <c r="Z198" s="134"/>
      <c r="AA198" s="134"/>
      <c r="AB198" s="136"/>
      <c r="AC198" s="134"/>
      <c r="AD198" s="134"/>
      <c r="AE198" s="134"/>
      <c r="AF198" s="134"/>
      <c r="AG198" s="136"/>
      <c r="AH198" s="134"/>
      <c r="AI198" s="134"/>
      <c r="AJ198" s="134"/>
      <c r="AK198" s="134"/>
    </row>
    <row r="199" spans="1:37" s="89" customFormat="1" ht="12.75" customHeight="1">
      <c r="A199" s="67"/>
      <c r="B199" s="378"/>
      <c r="C199" s="137"/>
      <c r="D199" s="138"/>
      <c r="E199" s="138"/>
      <c r="F199" s="138"/>
      <c r="G199" s="138"/>
      <c r="H199" s="137"/>
      <c r="I199" s="138"/>
      <c r="J199" s="138"/>
      <c r="K199" s="138"/>
      <c r="L199" s="138"/>
      <c r="M199" s="137"/>
      <c r="N199" s="138"/>
      <c r="O199" s="138"/>
      <c r="P199" s="138"/>
      <c r="Q199" s="138"/>
      <c r="R199" s="137"/>
      <c r="S199" s="1226"/>
      <c r="T199" s="138"/>
      <c r="U199" s="138"/>
      <c r="V199" s="138"/>
      <c r="W199" s="137"/>
      <c r="X199" s="138"/>
      <c r="Y199" s="138"/>
      <c r="Z199" s="138"/>
      <c r="AA199" s="138"/>
      <c r="AB199" s="137"/>
      <c r="AC199" s="138"/>
      <c r="AD199" s="138"/>
      <c r="AE199" s="138"/>
      <c r="AF199" s="138"/>
      <c r="AG199" s="137"/>
      <c r="AH199" s="138"/>
      <c r="AI199" s="138"/>
      <c r="AJ199" s="138"/>
      <c r="AK199" s="138"/>
    </row>
    <row r="200" spans="1:37" s="89" customFormat="1" ht="12.75" customHeight="1">
      <c r="A200" s="67"/>
      <c r="B200" s="378"/>
      <c r="C200" s="139"/>
      <c r="D200" s="140"/>
      <c r="E200" s="140"/>
      <c r="F200" s="140"/>
      <c r="G200" s="140"/>
      <c r="H200" s="139"/>
      <c r="I200" s="140"/>
      <c r="J200" s="140"/>
      <c r="K200" s="140"/>
      <c r="L200" s="140"/>
      <c r="M200" s="139"/>
      <c r="N200" s="140"/>
      <c r="O200" s="140"/>
      <c r="P200" s="140"/>
      <c r="Q200" s="140"/>
      <c r="R200" s="139"/>
      <c r="S200" s="1227"/>
      <c r="T200" s="140"/>
      <c r="U200" s="140"/>
      <c r="V200" s="140"/>
      <c r="W200" s="139"/>
      <c r="X200" s="140"/>
      <c r="Y200" s="140"/>
      <c r="Z200" s="140"/>
      <c r="AA200" s="140"/>
      <c r="AB200" s="139"/>
      <c r="AC200" s="140"/>
      <c r="AD200" s="140"/>
      <c r="AE200" s="140"/>
      <c r="AF200" s="140"/>
      <c r="AG200" s="139"/>
      <c r="AH200" s="140"/>
      <c r="AI200" s="140"/>
      <c r="AJ200" s="140"/>
      <c r="AK200" s="140"/>
    </row>
    <row r="201" spans="1:37" s="89" customFormat="1" ht="12.75" customHeight="1">
      <c r="A201" s="67"/>
      <c r="B201" s="378"/>
      <c r="C201" s="139"/>
      <c r="D201" s="140"/>
      <c r="E201" s="140"/>
      <c r="F201" s="140"/>
      <c r="G201" s="140"/>
      <c r="H201" s="139"/>
      <c r="I201" s="140"/>
      <c r="J201" s="140"/>
      <c r="K201" s="140"/>
      <c r="L201" s="140"/>
      <c r="M201" s="139"/>
      <c r="N201" s="140"/>
      <c r="O201" s="140"/>
      <c r="P201" s="140"/>
      <c r="Q201" s="140"/>
      <c r="R201" s="139"/>
      <c r="S201" s="1227"/>
      <c r="T201" s="140"/>
      <c r="U201" s="140"/>
      <c r="V201" s="140"/>
      <c r="W201" s="139"/>
      <c r="X201" s="140"/>
      <c r="Y201" s="140"/>
      <c r="Z201" s="140"/>
      <c r="AA201" s="140"/>
      <c r="AB201" s="139"/>
      <c r="AC201" s="140"/>
      <c r="AD201" s="140"/>
      <c r="AE201" s="140"/>
      <c r="AF201" s="140"/>
      <c r="AG201" s="139"/>
      <c r="AH201" s="140"/>
      <c r="AI201" s="140"/>
      <c r="AJ201" s="140"/>
      <c r="AK201" s="140"/>
    </row>
    <row r="202" spans="1:37" s="89" customFormat="1" ht="12.75" customHeight="1">
      <c r="A202" s="67"/>
      <c r="B202" s="378"/>
      <c r="C202" s="139"/>
      <c r="D202" s="140"/>
      <c r="E202" s="140"/>
      <c r="F202" s="140"/>
      <c r="G202" s="140"/>
      <c r="H202" s="139"/>
      <c r="I202" s="140"/>
      <c r="J202" s="140"/>
      <c r="K202" s="140"/>
      <c r="L202" s="140"/>
      <c r="M202" s="139"/>
      <c r="N202" s="140"/>
      <c r="O202" s="140"/>
      <c r="P202" s="140"/>
      <c r="Q202" s="140"/>
      <c r="R202" s="139"/>
      <c r="S202" s="1227"/>
      <c r="T202" s="140"/>
      <c r="U202" s="140"/>
      <c r="V202" s="140"/>
      <c r="W202" s="139"/>
      <c r="X202" s="140"/>
      <c r="Y202" s="140"/>
      <c r="Z202" s="140"/>
      <c r="AA202" s="140"/>
      <c r="AB202" s="139"/>
      <c r="AC202" s="140"/>
      <c r="AD202" s="140"/>
      <c r="AE202" s="140"/>
      <c r="AF202" s="140"/>
      <c r="AG202" s="139"/>
      <c r="AH202" s="140"/>
      <c r="AI202" s="140"/>
      <c r="AJ202" s="140"/>
      <c r="AK202" s="140"/>
    </row>
    <row r="203" spans="1:37" s="89" customFormat="1" ht="12.75" customHeight="1">
      <c r="A203" s="67"/>
      <c r="B203" s="378"/>
      <c r="C203" s="141"/>
      <c r="D203" s="142"/>
      <c r="E203" s="142"/>
      <c r="F203" s="142"/>
      <c r="G203" s="142"/>
      <c r="H203" s="141"/>
      <c r="I203" s="142"/>
      <c r="J203" s="142"/>
      <c r="K203" s="142"/>
      <c r="L203" s="142"/>
      <c r="M203" s="141"/>
      <c r="N203" s="142"/>
      <c r="O203" s="142"/>
      <c r="P203" s="142"/>
      <c r="Q203" s="142"/>
      <c r="R203" s="141"/>
      <c r="S203" s="1228"/>
      <c r="T203" s="142"/>
      <c r="U203" s="142"/>
      <c r="V203" s="142"/>
      <c r="W203" s="141"/>
      <c r="X203" s="142"/>
      <c r="Y203" s="142"/>
      <c r="Z203" s="142"/>
      <c r="AA203" s="142"/>
      <c r="AB203" s="141"/>
      <c r="AC203" s="142"/>
      <c r="AD203" s="142"/>
      <c r="AE203" s="142"/>
      <c r="AF203" s="142"/>
      <c r="AG203" s="141"/>
      <c r="AH203" s="142"/>
      <c r="AI203" s="142"/>
      <c r="AJ203" s="142"/>
      <c r="AK203" s="142"/>
    </row>
    <row r="204" spans="1:37" s="89" customFormat="1" ht="12.75" customHeight="1">
      <c r="A204" s="67"/>
      <c r="B204" s="378"/>
      <c r="C204" s="143"/>
      <c r="D204" s="140"/>
      <c r="E204" s="140"/>
      <c r="F204" s="140"/>
      <c r="G204" s="140"/>
      <c r="H204" s="143"/>
      <c r="I204" s="140"/>
      <c r="J204" s="140"/>
      <c r="K204" s="140"/>
      <c r="L204" s="140"/>
      <c r="M204" s="143"/>
      <c r="N204" s="140"/>
      <c r="O204" s="140"/>
      <c r="P204" s="140"/>
      <c r="Q204" s="140"/>
      <c r="R204" s="143"/>
      <c r="S204" s="1227"/>
      <c r="T204" s="140"/>
      <c r="U204" s="140"/>
      <c r="V204" s="140"/>
      <c r="W204" s="143"/>
      <c r="X204" s="140"/>
      <c r="Y204" s="140"/>
      <c r="Z204" s="140"/>
      <c r="AA204" s="140"/>
      <c r="AB204" s="143"/>
      <c r="AC204" s="140"/>
      <c r="AD204" s="140"/>
      <c r="AE204" s="140"/>
      <c r="AF204" s="140"/>
      <c r="AG204" s="143"/>
      <c r="AH204" s="140"/>
      <c r="AI204" s="140"/>
      <c r="AJ204" s="140"/>
      <c r="AK204" s="140"/>
    </row>
    <row r="205" spans="1:37" s="89" customFormat="1" ht="12.75" customHeight="1">
      <c r="A205" s="67"/>
      <c r="B205" s="378"/>
      <c r="C205" s="143"/>
      <c r="D205" s="140"/>
      <c r="E205" s="140"/>
      <c r="F205" s="140"/>
      <c r="G205" s="140"/>
      <c r="H205" s="143"/>
      <c r="I205" s="140"/>
      <c r="J205" s="140"/>
      <c r="K205" s="140"/>
      <c r="L205" s="140"/>
      <c r="M205" s="143"/>
      <c r="N205" s="140"/>
      <c r="O205" s="140"/>
      <c r="P205" s="140"/>
      <c r="Q205" s="140"/>
      <c r="R205" s="143"/>
      <c r="S205" s="1227"/>
      <c r="T205" s="140"/>
      <c r="U205" s="140"/>
      <c r="V205" s="140"/>
      <c r="W205" s="143"/>
      <c r="X205" s="140"/>
      <c r="Y205" s="140"/>
      <c r="Z205" s="140"/>
      <c r="AA205" s="140"/>
      <c r="AB205" s="143"/>
      <c r="AC205" s="140"/>
      <c r="AD205" s="140"/>
      <c r="AE205" s="140"/>
      <c r="AF205" s="140"/>
      <c r="AG205" s="143"/>
      <c r="AH205" s="140"/>
      <c r="AI205" s="140"/>
      <c r="AJ205" s="140"/>
      <c r="AK205" s="140"/>
    </row>
    <row r="206" spans="1:37" s="89" customFormat="1" ht="12.75" customHeight="1">
      <c r="A206" s="67"/>
      <c r="B206" s="378"/>
      <c r="C206" s="143"/>
      <c r="D206" s="140"/>
      <c r="E206" s="140"/>
      <c r="F206" s="140"/>
      <c r="G206" s="140"/>
      <c r="H206" s="143"/>
      <c r="I206" s="140"/>
      <c r="J206" s="140"/>
      <c r="K206" s="140"/>
      <c r="L206" s="140"/>
      <c r="M206" s="143"/>
      <c r="N206" s="140"/>
      <c r="O206" s="140"/>
      <c r="P206" s="140"/>
      <c r="Q206" s="140"/>
      <c r="R206" s="143"/>
      <c r="S206" s="1227"/>
      <c r="T206" s="140"/>
      <c r="U206" s="140"/>
      <c r="V206" s="140"/>
      <c r="W206" s="143"/>
      <c r="X206" s="140"/>
      <c r="Y206" s="140"/>
      <c r="Z206" s="140"/>
      <c r="AA206" s="140"/>
      <c r="AB206" s="143"/>
      <c r="AC206" s="140"/>
      <c r="AD206" s="140"/>
      <c r="AE206" s="140"/>
      <c r="AF206" s="140"/>
      <c r="AG206" s="143"/>
      <c r="AH206" s="140"/>
      <c r="AI206" s="140"/>
      <c r="AJ206" s="140"/>
      <c r="AK206" s="140"/>
    </row>
    <row r="207" spans="1:37" s="89" customFormat="1" ht="12.75" customHeight="1">
      <c r="A207" s="67"/>
      <c r="B207" s="378"/>
      <c r="C207" s="141"/>
      <c r="D207" s="142"/>
      <c r="E207" s="142"/>
      <c r="F207" s="142"/>
      <c r="G207" s="142"/>
      <c r="H207" s="141"/>
      <c r="I207" s="142"/>
      <c r="J207" s="142"/>
      <c r="K207" s="142"/>
      <c r="L207" s="142"/>
      <c r="M207" s="141"/>
      <c r="N207" s="142"/>
      <c r="O207" s="142"/>
      <c r="P207" s="142"/>
      <c r="Q207" s="142"/>
      <c r="R207" s="141"/>
      <c r="S207" s="1228"/>
      <c r="T207" s="142"/>
      <c r="U207" s="142"/>
      <c r="V207" s="142"/>
      <c r="W207" s="141"/>
      <c r="X207" s="142"/>
      <c r="Y207" s="142"/>
      <c r="Z207" s="142"/>
      <c r="AA207" s="142"/>
      <c r="AB207" s="141"/>
      <c r="AC207" s="142"/>
      <c r="AD207" s="142"/>
      <c r="AE207" s="142"/>
      <c r="AF207" s="142"/>
      <c r="AG207" s="141"/>
      <c r="AH207" s="142"/>
      <c r="AI207" s="142"/>
      <c r="AJ207" s="142"/>
      <c r="AK207" s="142"/>
    </row>
    <row r="208" spans="1:37" s="89" customFormat="1" ht="12.75" customHeight="1">
      <c r="A208" s="67"/>
      <c r="B208" s="378"/>
      <c r="C208" s="144"/>
      <c r="D208" s="140"/>
      <c r="E208" s="140"/>
      <c r="F208" s="140"/>
      <c r="G208" s="140"/>
      <c r="H208" s="144"/>
      <c r="I208" s="140"/>
      <c r="J208" s="140"/>
      <c r="K208" s="140"/>
      <c r="L208" s="140"/>
      <c r="M208" s="144"/>
      <c r="N208" s="140"/>
      <c r="O208" s="140"/>
      <c r="P208" s="140"/>
      <c r="Q208" s="140"/>
      <c r="R208" s="144"/>
      <c r="S208" s="1227"/>
      <c r="T208" s="140"/>
      <c r="U208" s="140"/>
      <c r="V208" s="140"/>
      <c r="W208" s="144"/>
      <c r="X208" s="140"/>
      <c r="Y208" s="140"/>
      <c r="Z208" s="140"/>
      <c r="AA208" s="140"/>
      <c r="AB208" s="144"/>
      <c r="AC208" s="140"/>
      <c r="AD208" s="140"/>
      <c r="AE208" s="140"/>
      <c r="AF208" s="140"/>
      <c r="AG208" s="144"/>
      <c r="AH208" s="140"/>
      <c r="AI208" s="140"/>
      <c r="AJ208" s="140"/>
      <c r="AK208" s="140"/>
    </row>
    <row r="209" spans="1:37" s="89" customFormat="1" ht="12.75" customHeight="1">
      <c r="A209" s="67"/>
      <c r="B209" s="378"/>
      <c r="C209" s="144"/>
      <c r="D209" s="140"/>
      <c r="E209" s="140"/>
      <c r="F209" s="140"/>
      <c r="G209" s="140"/>
      <c r="H209" s="144"/>
      <c r="I209" s="140"/>
      <c r="J209" s="140"/>
      <c r="K209" s="140"/>
      <c r="L209" s="140"/>
      <c r="M209" s="144"/>
      <c r="N209" s="140"/>
      <c r="O209" s="140"/>
      <c r="P209" s="140"/>
      <c r="Q209" s="140"/>
      <c r="R209" s="144"/>
      <c r="S209" s="1227"/>
      <c r="T209" s="140"/>
      <c r="U209" s="140"/>
      <c r="V209" s="140"/>
      <c r="W209" s="144"/>
      <c r="X209" s="140"/>
      <c r="Y209" s="140"/>
      <c r="Z209" s="140"/>
      <c r="AA209" s="140"/>
      <c r="AB209" s="144"/>
      <c r="AC209" s="140"/>
      <c r="AD209" s="140"/>
      <c r="AE209" s="140"/>
      <c r="AF209" s="140"/>
      <c r="AG209" s="144"/>
      <c r="AH209" s="140"/>
      <c r="AI209" s="140"/>
      <c r="AJ209" s="140"/>
      <c r="AK209" s="140"/>
    </row>
    <row r="210" spans="1:37" s="89" customFormat="1" ht="12.75" customHeight="1">
      <c r="A210" s="67"/>
      <c r="B210" s="378"/>
      <c r="C210" s="144"/>
      <c r="D210" s="140"/>
      <c r="E210" s="140"/>
      <c r="F210" s="140"/>
      <c r="G210" s="140"/>
      <c r="H210" s="144"/>
      <c r="I210" s="140"/>
      <c r="J210" s="140"/>
      <c r="K210" s="140"/>
      <c r="L210" s="140"/>
      <c r="M210" s="144"/>
      <c r="N210" s="140"/>
      <c r="O210" s="140"/>
      <c r="P210" s="140"/>
      <c r="Q210" s="140"/>
      <c r="R210" s="144"/>
      <c r="S210" s="1227"/>
      <c r="T210" s="140"/>
      <c r="U210" s="140"/>
      <c r="V210" s="140"/>
      <c r="W210" s="144"/>
      <c r="X210" s="140"/>
      <c r="Y210" s="140"/>
      <c r="Z210" s="140"/>
      <c r="AA210" s="140"/>
      <c r="AB210" s="144"/>
      <c r="AC210" s="140"/>
      <c r="AD210" s="140"/>
      <c r="AE210" s="140"/>
      <c r="AF210" s="140"/>
      <c r="AG210" s="144"/>
      <c r="AH210" s="140"/>
      <c r="AI210" s="140"/>
      <c r="AJ210" s="140"/>
      <c r="AK210" s="140"/>
    </row>
    <row r="211" spans="1:37" s="89" customFormat="1" ht="12.75" customHeight="1">
      <c r="A211" s="67"/>
      <c r="B211" s="378"/>
      <c r="C211" s="141"/>
      <c r="D211" s="142"/>
      <c r="E211" s="142"/>
      <c r="F211" s="142"/>
      <c r="G211" s="142"/>
      <c r="H211" s="141"/>
      <c r="I211" s="142"/>
      <c r="J211" s="142"/>
      <c r="K211" s="142"/>
      <c r="L211" s="142"/>
      <c r="M211" s="141"/>
      <c r="N211" s="142"/>
      <c r="O211" s="142"/>
      <c r="P211" s="142"/>
      <c r="Q211" s="142"/>
      <c r="R211" s="141"/>
      <c r="S211" s="1228"/>
      <c r="T211" s="142"/>
      <c r="U211" s="142"/>
      <c r="V211" s="142"/>
      <c r="W211" s="141"/>
      <c r="X211" s="142"/>
      <c r="Y211" s="142"/>
      <c r="Z211" s="142"/>
      <c r="AA211" s="142"/>
      <c r="AB211" s="141"/>
      <c r="AC211" s="142"/>
      <c r="AD211" s="142"/>
      <c r="AE211" s="142"/>
      <c r="AF211" s="142"/>
      <c r="AG211" s="141"/>
      <c r="AH211" s="142"/>
      <c r="AI211" s="142"/>
      <c r="AJ211" s="142"/>
      <c r="AK211" s="142"/>
    </row>
    <row r="212" spans="1:37" s="89" customFormat="1" ht="12.75" customHeight="1">
      <c r="A212" s="67"/>
      <c r="B212" s="378"/>
      <c r="C212" s="144"/>
      <c r="D212" s="140"/>
      <c r="E212" s="140"/>
      <c r="F212" s="140"/>
      <c r="G212" s="140"/>
      <c r="H212" s="144"/>
      <c r="I212" s="140"/>
      <c r="J212" s="140"/>
      <c r="K212" s="140"/>
      <c r="L212" s="140"/>
      <c r="M212" s="144"/>
      <c r="N212" s="140"/>
      <c r="O212" s="140"/>
      <c r="P212" s="140"/>
      <c r="Q212" s="140"/>
      <c r="R212" s="144"/>
      <c r="S212" s="1227"/>
      <c r="T212" s="140"/>
      <c r="U212" s="140"/>
      <c r="V212" s="140"/>
      <c r="W212" s="144"/>
      <c r="X212" s="140"/>
      <c r="Y212" s="140"/>
      <c r="Z212" s="140"/>
      <c r="AA212" s="140"/>
      <c r="AB212" s="144"/>
      <c r="AC212" s="140"/>
      <c r="AD212" s="140"/>
      <c r="AE212" s="140"/>
      <c r="AF212" s="140"/>
      <c r="AG212" s="144"/>
      <c r="AH212" s="140"/>
      <c r="AI212" s="140"/>
      <c r="AJ212" s="140"/>
      <c r="AK212" s="140"/>
    </row>
    <row r="213" spans="1:37" s="89" customFormat="1" ht="12.75" customHeight="1">
      <c r="A213" s="67"/>
      <c r="B213" s="378"/>
      <c r="C213" s="144"/>
      <c r="D213" s="140"/>
      <c r="E213" s="140"/>
      <c r="F213" s="140"/>
      <c r="G213" s="140"/>
      <c r="H213" s="144"/>
      <c r="I213" s="140"/>
      <c r="J213" s="140"/>
      <c r="K213" s="140"/>
      <c r="L213" s="140"/>
      <c r="M213" s="144"/>
      <c r="N213" s="140"/>
      <c r="O213" s="140"/>
      <c r="P213" s="140"/>
      <c r="Q213" s="140"/>
      <c r="R213" s="144"/>
      <c r="S213" s="1227"/>
      <c r="T213" s="140"/>
      <c r="U213" s="140"/>
      <c r="V213" s="140"/>
      <c r="W213" s="144"/>
      <c r="X213" s="140"/>
      <c r="Y213" s="140"/>
      <c r="Z213" s="140"/>
      <c r="AA213" s="140"/>
      <c r="AB213" s="144"/>
      <c r="AC213" s="140"/>
      <c r="AD213" s="140"/>
      <c r="AE213" s="140"/>
      <c r="AF213" s="140"/>
      <c r="AG213" s="144"/>
      <c r="AH213" s="140"/>
      <c r="AI213" s="140"/>
      <c r="AJ213" s="140"/>
      <c r="AK213" s="140"/>
    </row>
    <row r="214" spans="1:37" s="89" customFormat="1" ht="12.75" customHeight="1">
      <c r="A214" s="67"/>
      <c r="B214" s="378"/>
      <c r="C214" s="144"/>
      <c r="D214" s="140"/>
      <c r="E214" s="140"/>
      <c r="F214" s="140"/>
      <c r="G214" s="140"/>
      <c r="H214" s="144"/>
      <c r="I214" s="140"/>
      <c r="J214" s="140"/>
      <c r="K214" s="140"/>
      <c r="L214" s="140"/>
      <c r="M214" s="144"/>
      <c r="N214" s="140"/>
      <c r="O214" s="140"/>
      <c r="P214" s="140"/>
      <c r="Q214" s="140"/>
      <c r="R214" s="144"/>
      <c r="S214" s="1227"/>
      <c r="T214" s="140"/>
      <c r="U214" s="140"/>
      <c r="V214" s="140"/>
      <c r="W214" s="144"/>
      <c r="X214" s="140"/>
      <c r="Y214" s="140"/>
      <c r="Z214" s="140"/>
      <c r="AA214" s="140"/>
      <c r="AB214" s="144"/>
      <c r="AC214" s="140"/>
      <c r="AD214" s="140"/>
      <c r="AE214" s="140"/>
      <c r="AF214" s="140"/>
      <c r="AG214" s="144"/>
      <c r="AH214" s="140"/>
      <c r="AI214" s="140"/>
      <c r="AJ214" s="140"/>
      <c r="AK214" s="140"/>
    </row>
    <row r="215" spans="1:37" s="89" customFormat="1" ht="12.75" customHeight="1">
      <c r="A215" s="67"/>
      <c r="B215" s="378"/>
      <c r="C215" s="137"/>
      <c r="D215" s="142"/>
      <c r="E215" s="142"/>
      <c r="F215" s="142"/>
      <c r="G215" s="142"/>
      <c r="H215" s="137"/>
      <c r="I215" s="142"/>
      <c r="J215" s="142"/>
      <c r="K215" s="142"/>
      <c r="L215" s="142"/>
      <c r="M215" s="137"/>
      <c r="N215" s="142"/>
      <c r="O215" s="142"/>
      <c r="P215" s="142"/>
      <c r="Q215" s="142"/>
      <c r="R215" s="137"/>
      <c r="S215" s="1228"/>
      <c r="T215" s="142"/>
      <c r="U215" s="142"/>
      <c r="V215" s="142"/>
      <c r="W215" s="137"/>
      <c r="X215" s="142"/>
      <c r="Y215" s="142"/>
      <c r="Z215" s="142"/>
      <c r="AA215" s="142"/>
      <c r="AB215" s="137"/>
      <c r="AC215" s="142"/>
      <c r="AD215" s="142"/>
      <c r="AE215" s="142"/>
      <c r="AF215" s="142"/>
      <c r="AG215" s="137"/>
      <c r="AH215" s="142"/>
      <c r="AI215" s="142"/>
      <c r="AJ215" s="142"/>
      <c r="AK215" s="142"/>
    </row>
    <row r="216" spans="1:37" s="89" customFormat="1" ht="12.75" customHeight="1">
      <c r="A216" s="67"/>
      <c r="B216" s="378"/>
      <c r="C216" s="139"/>
      <c r="D216" s="140"/>
      <c r="E216" s="140"/>
      <c r="F216" s="140"/>
      <c r="G216" s="140"/>
      <c r="H216" s="139"/>
      <c r="I216" s="140"/>
      <c r="J216" s="140"/>
      <c r="K216" s="140"/>
      <c r="L216" s="140"/>
      <c r="M216" s="139"/>
      <c r="N216" s="140"/>
      <c r="O216" s="140"/>
      <c r="P216" s="140"/>
      <c r="Q216" s="140"/>
      <c r="R216" s="139"/>
      <c r="S216" s="1227"/>
      <c r="T216" s="140"/>
      <c r="U216" s="140"/>
      <c r="V216" s="140"/>
      <c r="W216" s="139"/>
      <c r="X216" s="140"/>
      <c r="Y216" s="140"/>
      <c r="Z216" s="140"/>
      <c r="AA216" s="140"/>
      <c r="AB216" s="139"/>
      <c r="AC216" s="140"/>
      <c r="AD216" s="140"/>
      <c r="AE216" s="140"/>
      <c r="AF216" s="140"/>
      <c r="AG216" s="139"/>
      <c r="AH216" s="140"/>
      <c r="AI216" s="140"/>
      <c r="AJ216" s="140"/>
      <c r="AK216" s="140"/>
    </row>
    <row r="217" spans="1:37" s="89" customFormat="1" ht="12.75" customHeight="1">
      <c r="A217" s="67"/>
      <c r="B217" s="378"/>
      <c r="C217" s="139"/>
      <c r="D217" s="140"/>
      <c r="E217" s="140"/>
      <c r="F217" s="140"/>
      <c r="G217" s="140"/>
      <c r="H217" s="139"/>
      <c r="I217" s="140"/>
      <c r="J217" s="140"/>
      <c r="K217" s="140"/>
      <c r="L217" s="140"/>
      <c r="M217" s="139"/>
      <c r="N217" s="140"/>
      <c r="O217" s="140"/>
      <c r="P217" s="140"/>
      <c r="Q217" s="140"/>
      <c r="R217" s="139"/>
      <c r="S217" s="1227"/>
      <c r="T217" s="140"/>
      <c r="U217" s="140"/>
      <c r="V217" s="140"/>
      <c r="W217" s="139"/>
      <c r="X217" s="140"/>
      <c r="Y217" s="140"/>
      <c r="Z217" s="140"/>
      <c r="AA217" s="140"/>
      <c r="AB217" s="139"/>
      <c r="AC217" s="140"/>
      <c r="AD217" s="140"/>
      <c r="AE217" s="140"/>
      <c r="AF217" s="140"/>
      <c r="AG217" s="139"/>
      <c r="AH217" s="140"/>
      <c r="AI217" s="140"/>
      <c r="AJ217" s="140"/>
      <c r="AK217" s="140"/>
    </row>
    <row r="218" spans="1:37" s="89" customFormat="1" ht="12.75" customHeight="1">
      <c r="A218" s="67"/>
      <c r="B218" s="378"/>
      <c r="C218" s="139"/>
      <c r="D218" s="140"/>
      <c r="E218" s="140"/>
      <c r="F218" s="140"/>
      <c r="G218" s="140"/>
      <c r="H218" s="139"/>
      <c r="I218" s="140"/>
      <c r="J218" s="140"/>
      <c r="K218" s="140"/>
      <c r="L218" s="140"/>
      <c r="M218" s="139"/>
      <c r="N218" s="140"/>
      <c r="O218" s="140"/>
      <c r="P218" s="140"/>
      <c r="Q218" s="140"/>
      <c r="R218" s="139"/>
      <c r="S218" s="1227"/>
      <c r="T218" s="140"/>
      <c r="U218" s="140"/>
      <c r="V218" s="140"/>
      <c r="W218" s="139"/>
      <c r="X218" s="140"/>
      <c r="Y218" s="140"/>
      <c r="Z218" s="140"/>
      <c r="AA218" s="140"/>
      <c r="AB218" s="139"/>
      <c r="AC218" s="140"/>
      <c r="AD218" s="140"/>
      <c r="AE218" s="140"/>
      <c r="AF218" s="140"/>
      <c r="AG218" s="139"/>
      <c r="AH218" s="140"/>
      <c r="AI218" s="140"/>
      <c r="AJ218" s="140"/>
      <c r="AK218" s="140"/>
    </row>
    <row r="219" spans="1:37" s="89" customFormat="1" ht="12.75" customHeight="1">
      <c r="A219" s="67"/>
      <c r="B219" s="378"/>
      <c r="C219" s="145"/>
      <c r="D219" s="146"/>
      <c r="E219" s="146"/>
      <c r="F219" s="146"/>
      <c r="G219" s="146"/>
      <c r="H219" s="145"/>
      <c r="I219" s="146"/>
      <c r="J219" s="146"/>
      <c r="K219" s="146"/>
      <c r="L219" s="146"/>
      <c r="M219" s="145"/>
      <c r="N219" s="146"/>
      <c r="O219" s="146"/>
      <c r="P219" s="146"/>
      <c r="Q219" s="146"/>
      <c r="R219" s="145"/>
      <c r="S219" s="1229"/>
      <c r="T219" s="146"/>
      <c r="U219" s="146"/>
      <c r="V219" s="146"/>
      <c r="W219" s="145"/>
      <c r="X219" s="146"/>
      <c r="Y219" s="146"/>
      <c r="Z219" s="146"/>
      <c r="AA219" s="146"/>
      <c r="AB219" s="145"/>
      <c r="AC219" s="146"/>
      <c r="AD219" s="146"/>
      <c r="AE219" s="146"/>
      <c r="AF219" s="146"/>
      <c r="AG219" s="145"/>
      <c r="AH219" s="146"/>
      <c r="AI219" s="146"/>
      <c r="AJ219" s="146"/>
      <c r="AK219" s="146"/>
    </row>
    <row r="220" spans="1:37" s="89" customFormat="1" ht="12.75" customHeight="1">
      <c r="A220" s="67"/>
      <c r="B220" s="378"/>
      <c r="C220" s="139"/>
      <c r="D220" s="140"/>
      <c r="E220" s="140"/>
      <c r="F220" s="140"/>
      <c r="G220" s="140"/>
      <c r="H220" s="139"/>
      <c r="I220" s="140"/>
      <c r="J220" s="140"/>
      <c r="K220" s="140"/>
      <c r="L220" s="140"/>
      <c r="M220" s="139"/>
      <c r="N220" s="140"/>
      <c r="O220" s="140"/>
      <c r="P220" s="140"/>
      <c r="Q220" s="140"/>
      <c r="R220" s="139"/>
      <c r="S220" s="1227"/>
      <c r="T220" s="140"/>
      <c r="U220" s="140"/>
      <c r="V220" s="140"/>
      <c r="W220" s="139"/>
      <c r="X220" s="140"/>
      <c r="Y220" s="140"/>
      <c r="Z220" s="140"/>
      <c r="AA220" s="140"/>
      <c r="AB220" s="139"/>
      <c r="AC220" s="140"/>
      <c r="AD220" s="140"/>
      <c r="AE220" s="140"/>
      <c r="AF220" s="140"/>
      <c r="AG220" s="139"/>
      <c r="AH220" s="140"/>
      <c r="AI220" s="140"/>
      <c r="AJ220" s="140"/>
      <c r="AK220" s="140"/>
    </row>
    <row r="221" spans="1:37" s="89" customFormat="1" ht="12.75" customHeight="1">
      <c r="A221" s="67"/>
      <c r="B221" s="378"/>
      <c r="C221" s="139"/>
      <c r="D221" s="140"/>
      <c r="E221" s="140"/>
      <c r="F221" s="140"/>
      <c r="G221" s="140"/>
      <c r="H221" s="139"/>
      <c r="I221" s="140"/>
      <c r="J221" s="140"/>
      <c r="K221" s="140"/>
      <c r="L221" s="140"/>
      <c r="M221" s="139"/>
      <c r="N221" s="140"/>
      <c r="O221" s="140"/>
      <c r="P221" s="140"/>
      <c r="Q221" s="140"/>
      <c r="R221" s="139"/>
      <c r="S221" s="1227"/>
      <c r="T221" s="140"/>
      <c r="U221" s="140"/>
      <c r="V221" s="140"/>
      <c r="W221" s="139"/>
      <c r="X221" s="140"/>
      <c r="Y221" s="140"/>
      <c r="Z221" s="140"/>
      <c r="AA221" s="140"/>
      <c r="AB221" s="139"/>
      <c r="AC221" s="140"/>
      <c r="AD221" s="140"/>
      <c r="AE221" s="140"/>
      <c r="AF221" s="140"/>
      <c r="AG221" s="139"/>
      <c r="AH221" s="140"/>
      <c r="AI221" s="140"/>
      <c r="AJ221" s="140"/>
      <c r="AK221" s="140"/>
    </row>
    <row r="222" spans="1:37" s="89" customFormat="1" ht="12.75" customHeight="1">
      <c r="A222" s="67"/>
      <c r="B222" s="378"/>
      <c r="C222" s="139"/>
      <c r="D222" s="140"/>
      <c r="E222" s="140"/>
      <c r="F222" s="140"/>
      <c r="G222" s="140"/>
      <c r="H222" s="139"/>
      <c r="I222" s="140"/>
      <c r="J222" s="140"/>
      <c r="K222" s="140"/>
      <c r="L222" s="140"/>
      <c r="M222" s="139"/>
      <c r="N222" s="140"/>
      <c r="O222" s="140"/>
      <c r="P222" s="140"/>
      <c r="Q222" s="140"/>
      <c r="R222" s="139"/>
      <c r="S222" s="1227"/>
      <c r="T222" s="140"/>
      <c r="U222" s="140"/>
      <c r="V222" s="140"/>
      <c r="W222" s="139"/>
      <c r="X222" s="140"/>
      <c r="Y222" s="140"/>
      <c r="Z222" s="140"/>
      <c r="AA222" s="140"/>
      <c r="AB222" s="139"/>
      <c r="AC222" s="140"/>
      <c r="AD222" s="140"/>
      <c r="AE222" s="140"/>
      <c r="AF222" s="140"/>
      <c r="AG222" s="139"/>
      <c r="AH222" s="140"/>
      <c r="AI222" s="140"/>
      <c r="AJ222" s="140"/>
      <c r="AK222" s="140"/>
    </row>
    <row r="223" spans="1:37" s="89" customFormat="1" ht="12.75" customHeight="1">
      <c r="A223" s="67"/>
      <c r="B223" s="378"/>
      <c r="C223" s="137"/>
      <c r="D223" s="142"/>
      <c r="E223" s="142"/>
      <c r="F223" s="142"/>
      <c r="G223" s="142"/>
      <c r="H223" s="137"/>
      <c r="I223" s="142"/>
      <c r="J223" s="142"/>
      <c r="K223" s="142"/>
      <c r="L223" s="142"/>
      <c r="M223" s="137"/>
      <c r="N223" s="142"/>
      <c r="O223" s="142"/>
      <c r="P223" s="142"/>
      <c r="Q223" s="142"/>
      <c r="R223" s="137"/>
      <c r="S223" s="1228"/>
      <c r="T223" s="142"/>
      <c r="U223" s="142"/>
      <c r="V223" s="142"/>
      <c r="W223" s="137"/>
      <c r="X223" s="142"/>
      <c r="Y223" s="142"/>
      <c r="Z223" s="142"/>
      <c r="AA223" s="142"/>
      <c r="AB223" s="137"/>
      <c r="AC223" s="142"/>
      <c r="AD223" s="142"/>
      <c r="AE223" s="142"/>
      <c r="AF223" s="142"/>
      <c r="AG223" s="137"/>
      <c r="AH223" s="142"/>
      <c r="AI223" s="142"/>
      <c r="AJ223" s="142"/>
      <c r="AK223" s="142"/>
    </row>
    <row r="224" spans="1:37" s="89" customFormat="1" ht="12.75" customHeight="1">
      <c r="A224" s="67"/>
      <c r="B224" s="378"/>
      <c r="C224" s="139"/>
      <c r="D224" s="140"/>
      <c r="E224" s="140"/>
      <c r="F224" s="140"/>
      <c r="G224" s="140"/>
      <c r="H224" s="139"/>
      <c r="I224" s="140"/>
      <c r="J224" s="140"/>
      <c r="K224" s="140"/>
      <c r="L224" s="140"/>
      <c r="M224" s="139"/>
      <c r="N224" s="140"/>
      <c r="O224" s="140"/>
      <c r="P224" s="140"/>
      <c r="Q224" s="140"/>
      <c r="R224" s="139"/>
      <c r="S224" s="1227"/>
      <c r="T224" s="140"/>
      <c r="U224" s="140"/>
      <c r="V224" s="140"/>
      <c r="W224" s="139"/>
      <c r="X224" s="140"/>
      <c r="Y224" s="140"/>
      <c r="Z224" s="140"/>
      <c r="AA224" s="140"/>
      <c r="AB224" s="139"/>
      <c r="AC224" s="140"/>
      <c r="AD224" s="140"/>
      <c r="AE224" s="140"/>
      <c r="AF224" s="140"/>
      <c r="AG224" s="139"/>
      <c r="AH224" s="140"/>
      <c r="AI224" s="140"/>
      <c r="AJ224" s="140"/>
      <c r="AK224" s="140"/>
    </row>
    <row r="225" spans="1:37" s="89" customFormat="1" ht="12.75" customHeight="1">
      <c r="A225" s="67"/>
      <c r="B225" s="378"/>
      <c r="C225" s="139"/>
      <c r="D225" s="140"/>
      <c r="E225" s="140"/>
      <c r="F225" s="140"/>
      <c r="G225" s="140"/>
      <c r="H225" s="139"/>
      <c r="I225" s="140"/>
      <c r="J225" s="140"/>
      <c r="K225" s="140"/>
      <c r="L225" s="140"/>
      <c r="M225" s="139"/>
      <c r="N225" s="140"/>
      <c r="O225" s="140"/>
      <c r="P225" s="140"/>
      <c r="Q225" s="140"/>
      <c r="R225" s="139"/>
      <c r="S225" s="1227"/>
      <c r="T225" s="140"/>
      <c r="U225" s="140"/>
      <c r="V225" s="140"/>
      <c r="W225" s="139"/>
      <c r="X225" s="140"/>
      <c r="Y225" s="140"/>
      <c r="Z225" s="140"/>
      <c r="AA225" s="140"/>
      <c r="AB225" s="139"/>
      <c r="AC225" s="140"/>
      <c r="AD225" s="140"/>
      <c r="AE225" s="140"/>
      <c r="AF225" s="140"/>
      <c r="AG225" s="139"/>
      <c r="AH225" s="140"/>
      <c r="AI225" s="140"/>
      <c r="AJ225" s="140"/>
      <c r="AK225" s="140"/>
    </row>
    <row r="226" spans="1:37" s="89" customFormat="1" ht="12.75" customHeight="1">
      <c r="A226" s="67"/>
      <c r="B226" s="378"/>
      <c r="C226" s="139"/>
      <c r="D226" s="140"/>
      <c r="E226" s="140"/>
      <c r="F226" s="140"/>
      <c r="G226" s="140"/>
      <c r="H226" s="139"/>
      <c r="I226" s="140"/>
      <c r="J226" s="140"/>
      <c r="K226" s="140"/>
      <c r="L226" s="140"/>
      <c r="M226" s="139"/>
      <c r="N226" s="140"/>
      <c r="O226" s="140"/>
      <c r="P226" s="140"/>
      <c r="Q226" s="140"/>
      <c r="R226" s="139"/>
      <c r="S226" s="1227"/>
      <c r="T226" s="140"/>
      <c r="U226" s="140"/>
      <c r="V226" s="140"/>
      <c r="W226" s="139"/>
      <c r="X226" s="140"/>
      <c r="Y226" s="140"/>
      <c r="Z226" s="140"/>
      <c r="AA226" s="140"/>
      <c r="AB226" s="139"/>
      <c r="AC226" s="140"/>
      <c r="AD226" s="140"/>
      <c r="AE226" s="140"/>
      <c r="AF226" s="140"/>
      <c r="AG226" s="139"/>
      <c r="AH226" s="140"/>
      <c r="AI226" s="140"/>
      <c r="AJ226" s="140"/>
      <c r="AK226" s="140"/>
    </row>
    <row r="227" spans="1:37" s="89" customFormat="1" ht="12.75" customHeight="1">
      <c r="A227" s="67"/>
      <c r="B227" s="378"/>
      <c r="C227" s="147"/>
      <c r="D227" s="148"/>
      <c r="E227" s="148"/>
      <c r="F227" s="148"/>
      <c r="G227" s="148"/>
      <c r="H227" s="147"/>
      <c r="I227" s="148"/>
      <c r="J227" s="148"/>
      <c r="K227" s="148"/>
      <c r="L227" s="148"/>
      <c r="M227" s="147"/>
      <c r="N227" s="148"/>
      <c r="O227" s="148"/>
      <c r="P227" s="148"/>
      <c r="Q227" s="148"/>
      <c r="R227" s="147"/>
      <c r="S227" s="1230"/>
      <c r="T227" s="148"/>
      <c r="U227" s="148"/>
      <c r="V227" s="148"/>
      <c r="W227" s="147"/>
      <c r="X227" s="148"/>
      <c r="Y227" s="148"/>
      <c r="Z227" s="148"/>
      <c r="AA227" s="148"/>
      <c r="AB227" s="147"/>
      <c r="AC227" s="148"/>
      <c r="AD227" s="148"/>
      <c r="AE227" s="148"/>
      <c r="AF227" s="148"/>
      <c r="AG227" s="147"/>
      <c r="AH227" s="148"/>
      <c r="AI227" s="148"/>
      <c r="AJ227" s="148"/>
      <c r="AK227" s="148"/>
    </row>
    <row r="228" spans="1:37" s="89" customFormat="1" ht="12.75" customHeight="1">
      <c r="A228" s="67"/>
      <c r="B228" s="378"/>
      <c r="C228" s="139"/>
      <c r="D228" s="140"/>
      <c r="E228" s="140"/>
      <c r="F228" s="140"/>
      <c r="G228" s="140"/>
      <c r="H228" s="139"/>
      <c r="I228" s="140"/>
      <c r="J228" s="140"/>
      <c r="K228" s="140"/>
      <c r="L228" s="140"/>
      <c r="M228" s="139"/>
      <c r="N228" s="140"/>
      <c r="O228" s="140"/>
      <c r="P228" s="140"/>
      <c r="Q228" s="140"/>
      <c r="R228" s="139"/>
      <c r="S228" s="1227"/>
      <c r="T228" s="140"/>
      <c r="U228" s="140"/>
      <c r="V228" s="140"/>
      <c r="W228" s="139"/>
      <c r="X228" s="140"/>
      <c r="Y228" s="140"/>
      <c r="Z228" s="140"/>
      <c r="AA228" s="140"/>
      <c r="AB228" s="139"/>
      <c r="AC228" s="140"/>
      <c r="AD228" s="140"/>
      <c r="AE228" s="140"/>
      <c r="AF228" s="140"/>
      <c r="AG228" s="139"/>
      <c r="AH228" s="140"/>
      <c r="AI228" s="140"/>
      <c r="AJ228" s="140"/>
      <c r="AK228" s="140"/>
    </row>
    <row r="229" spans="1:37" s="89" customFormat="1" ht="12.75" customHeight="1">
      <c r="A229" s="67"/>
      <c r="B229" s="378"/>
      <c r="C229" s="139"/>
      <c r="D229" s="140"/>
      <c r="E229" s="140"/>
      <c r="F229" s="140"/>
      <c r="G229" s="140"/>
      <c r="H229" s="139"/>
      <c r="I229" s="140"/>
      <c r="J229" s="140"/>
      <c r="K229" s="140"/>
      <c r="L229" s="140"/>
      <c r="M229" s="139"/>
      <c r="N229" s="140"/>
      <c r="O229" s="140"/>
      <c r="P229" s="140"/>
      <c r="Q229" s="140"/>
      <c r="R229" s="139"/>
      <c r="S229" s="1227"/>
      <c r="T229" s="140"/>
      <c r="U229" s="140"/>
      <c r="V229" s="140"/>
      <c r="W229" s="139"/>
      <c r="X229" s="140"/>
      <c r="Y229" s="140"/>
      <c r="Z229" s="140"/>
      <c r="AA229" s="140"/>
      <c r="AB229" s="139"/>
      <c r="AC229" s="140"/>
      <c r="AD229" s="140"/>
      <c r="AE229" s="140"/>
      <c r="AF229" s="140"/>
      <c r="AG229" s="139"/>
      <c r="AH229" s="140"/>
      <c r="AI229" s="140"/>
      <c r="AJ229" s="140"/>
      <c r="AK229" s="140"/>
    </row>
    <row r="230" spans="1:37" s="89" customFormat="1" ht="12.75" customHeight="1">
      <c r="A230" s="67"/>
      <c r="B230" s="378"/>
      <c r="C230" s="149"/>
      <c r="D230" s="150"/>
      <c r="E230" s="150"/>
      <c r="F230" s="150"/>
      <c r="G230" s="150"/>
      <c r="H230" s="149"/>
      <c r="I230" s="150"/>
      <c r="J230" s="150"/>
      <c r="K230" s="150"/>
      <c r="L230" s="150"/>
      <c r="M230" s="149"/>
      <c r="N230" s="150"/>
      <c r="O230" s="150"/>
      <c r="P230" s="150"/>
      <c r="Q230" s="150"/>
      <c r="R230" s="149"/>
      <c r="S230" s="1231"/>
      <c r="T230" s="150"/>
      <c r="U230" s="150"/>
      <c r="V230" s="150"/>
      <c r="W230" s="149"/>
      <c r="X230" s="150"/>
      <c r="Y230" s="150"/>
      <c r="Z230" s="150"/>
      <c r="AA230" s="150"/>
      <c r="AB230" s="149"/>
      <c r="AC230" s="150"/>
      <c r="AD230" s="150"/>
      <c r="AE230" s="150"/>
      <c r="AF230" s="150"/>
      <c r="AG230" s="149"/>
      <c r="AH230" s="150"/>
      <c r="AI230" s="150"/>
      <c r="AJ230" s="150"/>
      <c r="AK230" s="150"/>
    </row>
    <row r="232" spans="1:37" s="89" customFormat="1" ht="12.75" customHeight="1">
      <c r="A232" s="67"/>
      <c r="B232" s="378"/>
      <c r="C232" s="151"/>
      <c r="D232" s="152"/>
      <c r="E232" s="152"/>
      <c r="F232" s="152"/>
      <c r="G232" s="152"/>
      <c r="H232" s="151"/>
      <c r="I232" s="152"/>
      <c r="J232" s="152"/>
      <c r="K232" s="152"/>
      <c r="L232" s="152"/>
      <c r="M232" s="151"/>
      <c r="N232" s="152"/>
      <c r="O232" s="152"/>
      <c r="P232" s="152"/>
      <c r="Q232" s="152"/>
      <c r="R232" s="151"/>
      <c r="S232" s="1232"/>
      <c r="T232" s="152"/>
      <c r="U232" s="152"/>
      <c r="V232" s="152"/>
      <c r="W232" s="151"/>
      <c r="X232" s="152"/>
      <c r="Y232" s="152"/>
      <c r="Z232" s="152"/>
      <c r="AA232" s="152"/>
      <c r="AB232" s="151"/>
      <c r="AC232" s="152"/>
      <c r="AD232" s="152"/>
      <c r="AE232" s="152"/>
      <c r="AF232" s="152"/>
      <c r="AG232" s="151"/>
      <c r="AH232" s="152"/>
      <c r="AI232" s="152"/>
      <c r="AJ232" s="152"/>
      <c r="AK232" s="152"/>
    </row>
    <row r="233" spans="1:37" s="89" customFormat="1" ht="12.75" customHeight="1">
      <c r="A233" s="67"/>
      <c r="B233" s="378"/>
      <c r="C233" s="153"/>
      <c r="D233" s="154"/>
      <c r="E233" s="154"/>
      <c r="F233" s="154"/>
      <c r="G233" s="154"/>
      <c r="H233" s="153"/>
      <c r="I233" s="154"/>
      <c r="J233" s="154"/>
      <c r="K233" s="154"/>
      <c r="L233" s="154"/>
      <c r="M233" s="153"/>
      <c r="N233" s="154"/>
      <c r="O233" s="154"/>
      <c r="P233" s="154"/>
      <c r="Q233" s="154"/>
      <c r="R233" s="153"/>
      <c r="S233" s="1233"/>
      <c r="T233" s="154"/>
      <c r="U233" s="154"/>
      <c r="V233" s="154"/>
      <c r="W233" s="153"/>
      <c r="X233" s="154"/>
      <c r="Y233" s="154"/>
      <c r="Z233" s="154"/>
      <c r="AA233" s="154"/>
      <c r="AB233" s="153"/>
      <c r="AC233" s="154"/>
      <c r="AD233" s="154"/>
      <c r="AE233" s="154"/>
      <c r="AF233" s="154"/>
      <c r="AG233" s="153"/>
      <c r="AH233" s="154"/>
      <c r="AI233" s="154"/>
      <c r="AJ233" s="154"/>
      <c r="AK233" s="154"/>
    </row>
    <row r="234" spans="1:37" s="89" customFormat="1" ht="12.75" customHeight="1">
      <c r="A234" s="67"/>
      <c r="B234" s="378"/>
      <c r="C234" s="155"/>
      <c r="D234" s="156"/>
      <c r="E234" s="156"/>
      <c r="F234" s="156"/>
      <c r="G234" s="156"/>
      <c r="H234" s="155"/>
      <c r="I234" s="156"/>
      <c r="J234" s="156"/>
      <c r="K234" s="156"/>
      <c r="L234" s="156"/>
      <c r="M234" s="155"/>
      <c r="N234" s="156"/>
      <c r="O234" s="156"/>
      <c r="P234" s="156"/>
      <c r="Q234" s="156"/>
      <c r="R234" s="155"/>
      <c r="S234" s="1234"/>
      <c r="T234" s="156"/>
      <c r="U234" s="156"/>
      <c r="V234" s="156"/>
      <c r="W234" s="155"/>
      <c r="X234" s="156"/>
      <c r="Y234" s="156"/>
      <c r="Z234" s="156"/>
      <c r="AA234" s="156"/>
      <c r="AB234" s="155"/>
      <c r="AC234" s="156"/>
      <c r="AD234" s="156"/>
      <c r="AE234" s="156"/>
      <c r="AF234" s="156"/>
      <c r="AG234" s="155"/>
      <c r="AH234" s="156"/>
      <c r="AI234" s="156"/>
      <c r="AJ234" s="156"/>
      <c r="AK234" s="156"/>
    </row>
    <row r="235" spans="1:37" s="89" customFormat="1" ht="12.75" customHeight="1">
      <c r="A235" s="67"/>
      <c r="B235" s="378"/>
      <c r="C235" s="157"/>
      <c r="D235" s="157"/>
      <c r="E235" s="157"/>
      <c r="F235" s="157"/>
      <c r="G235" s="157"/>
      <c r="H235" s="157"/>
      <c r="I235" s="157"/>
      <c r="J235" s="157"/>
      <c r="K235" s="157"/>
      <c r="L235" s="157"/>
      <c r="M235" s="157"/>
      <c r="N235" s="157"/>
      <c r="O235" s="157"/>
      <c r="P235" s="157"/>
      <c r="Q235" s="157"/>
      <c r="R235" s="157"/>
      <c r="S235" s="1235"/>
      <c r="T235" s="157"/>
      <c r="U235" s="157"/>
      <c r="V235" s="157"/>
      <c r="W235" s="157"/>
      <c r="X235" s="157"/>
      <c r="Y235" s="157"/>
      <c r="Z235" s="157"/>
      <c r="AA235" s="157"/>
      <c r="AB235" s="157"/>
      <c r="AC235" s="157"/>
      <c r="AD235" s="157"/>
      <c r="AE235" s="157"/>
      <c r="AF235" s="157"/>
      <c r="AG235" s="157"/>
      <c r="AH235" s="157"/>
      <c r="AI235" s="157"/>
      <c r="AJ235" s="157"/>
      <c r="AK235" s="157"/>
    </row>
    <row r="236" spans="1:37" s="89" customFormat="1" ht="12.75" customHeight="1">
      <c r="A236" s="67"/>
      <c r="B236" s="378"/>
      <c r="C236" s="90"/>
      <c r="D236" s="158"/>
      <c r="E236" s="158"/>
      <c r="F236" s="158"/>
      <c r="G236" s="158"/>
      <c r="H236" s="90"/>
      <c r="I236" s="158"/>
      <c r="J236" s="158"/>
      <c r="K236" s="158"/>
      <c r="L236" s="158"/>
      <c r="M236" s="90"/>
      <c r="N236" s="158"/>
      <c r="O236" s="158"/>
      <c r="P236" s="158"/>
      <c r="Q236" s="158"/>
      <c r="R236" s="90"/>
      <c r="S236" s="1236"/>
      <c r="T236" s="158"/>
      <c r="U236" s="158"/>
      <c r="V236" s="158"/>
      <c r="W236" s="90"/>
      <c r="X236" s="158"/>
      <c r="Y236" s="158"/>
      <c r="Z236" s="158"/>
      <c r="AA236" s="158"/>
      <c r="AB236" s="90"/>
      <c r="AC236" s="158"/>
      <c r="AD236" s="158"/>
      <c r="AE236" s="158"/>
      <c r="AF236" s="158"/>
      <c r="AG236" s="90"/>
      <c r="AH236" s="158"/>
      <c r="AI236" s="158"/>
      <c r="AJ236" s="158"/>
      <c r="AK236" s="158"/>
    </row>
    <row r="237" spans="1:37" s="89" customFormat="1" ht="12.75" customHeight="1">
      <c r="A237" s="67"/>
      <c r="B237" s="378"/>
      <c r="C237" s="144"/>
      <c r="D237" s="139"/>
      <c r="E237" s="139"/>
      <c r="F237" s="139"/>
      <c r="G237" s="139"/>
      <c r="H237" s="144"/>
      <c r="I237" s="139"/>
      <c r="J237" s="139"/>
      <c r="K237" s="139"/>
      <c r="L237" s="139"/>
      <c r="M237" s="144"/>
      <c r="N237" s="139"/>
      <c r="O237" s="139"/>
      <c r="P237" s="139"/>
      <c r="Q237" s="139"/>
      <c r="R237" s="144"/>
      <c r="S237" s="1237"/>
      <c r="T237" s="139"/>
      <c r="U237" s="139"/>
      <c r="V237" s="139"/>
      <c r="W237" s="144"/>
      <c r="X237" s="139"/>
      <c r="Y237" s="139"/>
      <c r="Z237" s="139"/>
      <c r="AA237" s="139"/>
      <c r="AB237" s="144"/>
      <c r="AC237" s="139"/>
      <c r="AD237" s="139"/>
      <c r="AE237" s="139"/>
      <c r="AF237" s="139"/>
      <c r="AG237" s="144"/>
      <c r="AH237" s="139"/>
      <c r="AI237" s="139"/>
      <c r="AJ237" s="139"/>
      <c r="AK237" s="139"/>
    </row>
    <row r="238" spans="1:37" s="89" customFormat="1" ht="12.75" customHeight="1">
      <c r="A238" s="67"/>
      <c r="B238" s="378"/>
      <c r="C238" s="144"/>
      <c r="D238" s="139"/>
      <c r="E238" s="139"/>
      <c r="F238" s="139"/>
      <c r="G238" s="139"/>
      <c r="H238" s="144"/>
      <c r="I238" s="139"/>
      <c r="J238" s="139"/>
      <c r="K238" s="139"/>
      <c r="L238" s="139"/>
      <c r="M238" s="144"/>
      <c r="N238" s="139"/>
      <c r="O238" s="139"/>
      <c r="P238" s="139"/>
      <c r="Q238" s="139"/>
      <c r="R238" s="144"/>
      <c r="S238" s="1237"/>
      <c r="T238" s="139"/>
      <c r="U238" s="139"/>
      <c r="V238" s="139"/>
      <c r="W238" s="144"/>
      <c r="X238" s="139"/>
      <c r="Y238" s="139"/>
      <c r="Z238" s="139"/>
      <c r="AA238" s="139"/>
      <c r="AB238" s="144"/>
      <c r="AC238" s="139"/>
      <c r="AD238" s="139"/>
      <c r="AE238" s="139"/>
      <c r="AF238" s="139"/>
      <c r="AG238" s="144"/>
      <c r="AH238" s="139"/>
      <c r="AI238" s="139"/>
      <c r="AJ238" s="139"/>
      <c r="AK238" s="139"/>
    </row>
    <row r="239" spans="1:37" s="89" customFormat="1" ht="12.75" customHeight="1">
      <c r="A239" s="67"/>
      <c r="B239" s="378"/>
      <c r="C239" s="144"/>
      <c r="D239" s="139"/>
      <c r="E239" s="139"/>
      <c r="F239" s="139"/>
      <c r="G239" s="139"/>
      <c r="H239" s="144"/>
      <c r="I239" s="139"/>
      <c r="J239" s="139"/>
      <c r="K239" s="139"/>
      <c r="L239" s="139"/>
      <c r="M239" s="144"/>
      <c r="N239" s="139"/>
      <c r="O239" s="139"/>
      <c r="P239" s="139"/>
      <c r="Q239" s="139"/>
      <c r="R239" s="144"/>
      <c r="S239" s="1237"/>
      <c r="T239" s="139"/>
      <c r="U239" s="139"/>
      <c r="V239" s="139"/>
      <c r="W239" s="144"/>
      <c r="X239" s="139"/>
      <c r="Y239" s="139"/>
      <c r="Z239" s="139"/>
      <c r="AA239" s="139"/>
      <c r="AB239" s="144"/>
      <c r="AC239" s="139"/>
      <c r="AD239" s="139"/>
      <c r="AE239" s="139"/>
      <c r="AF239" s="139"/>
      <c r="AG239" s="144"/>
      <c r="AH239" s="139"/>
      <c r="AI239" s="139"/>
      <c r="AJ239" s="139"/>
      <c r="AK239" s="139"/>
    </row>
    <row r="240" spans="1:37" s="89" customFormat="1" ht="12.75" customHeight="1">
      <c r="A240" s="67"/>
      <c r="B240" s="378"/>
      <c r="C240" s="144"/>
      <c r="D240" s="139"/>
      <c r="E240" s="139"/>
      <c r="F240" s="139"/>
      <c r="G240" s="139"/>
      <c r="H240" s="144"/>
      <c r="I240" s="139"/>
      <c r="J240" s="139"/>
      <c r="K240" s="139"/>
      <c r="L240" s="139"/>
      <c r="M240" s="144"/>
      <c r="N240" s="139"/>
      <c r="O240" s="139"/>
      <c r="P240" s="139"/>
      <c r="Q240" s="139"/>
      <c r="R240" s="144"/>
      <c r="S240" s="1237"/>
      <c r="T240" s="139"/>
      <c r="U240" s="139"/>
      <c r="V240" s="139"/>
      <c r="W240" s="144"/>
      <c r="X240" s="139"/>
      <c r="Y240" s="139"/>
      <c r="Z240" s="139"/>
      <c r="AA240" s="139"/>
      <c r="AB240" s="144"/>
      <c r="AC240" s="139"/>
      <c r="AD240" s="139"/>
      <c r="AE240" s="139"/>
      <c r="AF240" s="139"/>
      <c r="AG240" s="144"/>
      <c r="AH240" s="139"/>
      <c r="AI240" s="139"/>
      <c r="AJ240" s="139"/>
      <c r="AK240" s="139"/>
    </row>
    <row r="241" spans="1:37" s="89" customFormat="1" ht="12.75" customHeight="1">
      <c r="A241" s="67"/>
      <c r="B241" s="378"/>
      <c r="C241" s="144"/>
      <c r="D241" s="139"/>
      <c r="E241" s="139"/>
      <c r="F241" s="139"/>
      <c r="G241" s="139"/>
      <c r="H241" s="144"/>
      <c r="I241" s="139"/>
      <c r="J241" s="139"/>
      <c r="K241" s="139"/>
      <c r="L241" s="139"/>
      <c r="M241" s="144"/>
      <c r="N241" s="139"/>
      <c r="O241" s="139"/>
      <c r="P241" s="139"/>
      <c r="Q241" s="139"/>
      <c r="R241" s="144"/>
      <c r="S241" s="1237"/>
      <c r="T241" s="139"/>
      <c r="U241" s="139"/>
      <c r="V241" s="139"/>
      <c r="W241" s="144"/>
      <c r="X241" s="139"/>
      <c r="Y241" s="139"/>
      <c r="Z241" s="139"/>
      <c r="AA241" s="139"/>
      <c r="AB241" s="144"/>
      <c r="AC241" s="139"/>
      <c r="AD241" s="139"/>
      <c r="AE241" s="139"/>
      <c r="AF241" s="139"/>
      <c r="AG241" s="144"/>
      <c r="AH241" s="139"/>
      <c r="AI241" s="139"/>
      <c r="AJ241" s="139"/>
      <c r="AK241" s="139"/>
    </row>
    <row r="243" spans="1:37" s="89" customFormat="1" ht="12.75" customHeight="1">
      <c r="A243" s="67"/>
      <c r="B243" s="378"/>
      <c r="C243" s="159"/>
      <c r="D243" s="159"/>
      <c r="E243" s="159"/>
      <c r="F243" s="159"/>
      <c r="G243" s="159"/>
      <c r="H243" s="159"/>
      <c r="I243" s="159"/>
      <c r="J243" s="159"/>
      <c r="K243" s="159"/>
      <c r="L243" s="159"/>
      <c r="M243" s="159"/>
      <c r="N243" s="159"/>
      <c r="O243" s="159"/>
      <c r="P243" s="159"/>
      <c r="Q243" s="159"/>
      <c r="R243" s="159"/>
      <c r="S243" s="1238"/>
      <c r="T243" s="159"/>
      <c r="U243" s="159"/>
      <c r="V243" s="159"/>
      <c r="W243" s="159"/>
      <c r="X243" s="159"/>
      <c r="Y243" s="159"/>
      <c r="Z243" s="159"/>
      <c r="AA243" s="159"/>
      <c r="AB243" s="159"/>
      <c r="AC243" s="159"/>
      <c r="AD243" s="159"/>
      <c r="AE243" s="159"/>
      <c r="AF243" s="159"/>
      <c r="AG243" s="159"/>
      <c r="AH243" s="159"/>
      <c r="AI243" s="159"/>
      <c r="AJ243" s="159"/>
      <c r="AK243" s="159"/>
    </row>
    <row r="244" spans="1:37" s="89" customFormat="1" ht="12.75" customHeight="1">
      <c r="A244" s="67"/>
      <c r="B244" s="378"/>
      <c r="C244" s="155"/>
      <c r="D244" s="155"/>
      <c r="E244" s="155"/>
      <c r="F244" s="155"/>
      <c r="G244" s="155"/>
      <c r="H244" s="155"/>
      <c r="I244" s="155"/>
      <c r="J244" s="155"/>
      <c r="K244" s="155"/>
      <c r="L244" s="155"/>
      <c r="M244" s="155"/>
      <c r="N244" s="155"/>
      <c r="O244" s="155"/>
      <c r="P244" s="155"/>
      <c r="Q244" s="155"/>
      <c r="R244" s="155"/>
      <c r="S244" s="1239"/>
      <c r="T244" s="155"/>
      <c r="U244" s="155"/>
      <c r="V244" s="155"/>
      <c r="W244" s="155"/>
      <c r="X244" s="155"/>
      <c r="Y244" s="155"/>
      <c r="Z244" s="155"/>
      <c r="AA244" s="155"/>
      <c r="AB244" s="155"/>
      <c r="AC244" s="155"/>
      <c r="AD244" s="155"/>
      <c r="AE244" s="155"/>
      <c r="AF244" s="155"/>
      <c r="AG244" s="155"/>
      <c r="AH244" s="155"/>
      <c r="AI244" s="155"/>
      <c r="AJ244" s="155"/>
      <c r="AK244" s="155"/>
    </row>
    <row r="245" spans="1:37" s="89" customFormat="1" ht="12.75" customHeight="1">
      <c r="A245" s="67"/>
      <c r="B245" s="378"/>
      <c r="C245" s="155"/>
      <c r="D245" s="155"/>
      <c r="E245" s="155"/>
      <c r="F245" s="155"/>
      <c r="G245" s="155"/>
      <c r="H245" s="155"/>
      <c r="I245" s="155"/>
      <c r="J245" s="155"/>
      <c r="K245" s="155"/>
      <c r="L245" s="155"/>
      <c r="M245" s="155"/>
      <c r="N245" s="155"/>
      <c r="O245" s="155"/>
      <c r="P245" s="155"/>
      <c r="Q245" s="155"/>
      <c r="R245" s="155"/>
      <c r="S245" s="1239"/>
      <c r="T245" s="155"/>
      <c r="U245" s="155"/>
      <c r="V245" s="155"/>
      <c r="W245" s="155"/>
      <c r="X245" s="155"/>
      <c r="Y245" s="155"/>
      <c r="Z245" s="155"/>
      <c r="AA245" s="155"/>
      <c r="AB245" s="155"/>
      <c r="AC245" s="155"/>
      <c r="AD245" s="155"/>
      <c r="AE245" s="155"/>
      <c r="AF245" s="155"/>
      <c r="AG245" s="155"/>
      <c r="AH245" s="155"/>
      <c r="AI245" s="155"/>
      <c r="AJ245" s="155"/>
      <c r="AK245" s="155"/>
    </row>
    <row r="247" spans="1:37" s="89" customFormat="1" ht="12.75" customHeight="1">
      <c r="A247" s="67"/>
      <c r="B247" s="378"/>
      <c r="C247" s="160"/>
      <c r="D247" s="161"/>
      <c r="E247" s="161"/>
      <c r="F247" s="161"/>
      <c r="G247" s="161"/>
      <c r="H247" s="160"/>
      <c r="I247" s="161"/>
      <c r="J247" s="161"/>
      <c r="K247" s="161"/>
      <c r="L247" s="161"/>
      <c r="M247" s="160"/>
      <c r="N247" s="161"/>
      <c r="O247" s="161"/>
      <c r="P247" s="161"/>
      <c r="Q247" s="161"/>
      <c r="R247" s="160"/>
      <c r="S247" s="1240"/>
      <c r="T247" s="161"/>
      <c r="U247" s="161"/>
      <c r="V247" s="161"/>
      <c r="W247" s="160"/>
      <c r="X247" s="161"/>
      <c r="Y247" s="161"/>
      <c r="Z247" s="161"/>
      <c r="AA247" s="161"/>
      <c r="AB247" s="160"/>
      <c r="AC247" s="161"/>
      <c r="AD247" s="161"/>
      <c r="AE247" s="161"/>
      <c r="AF247" s="161"/>
      <c r="AG247" s="160"/>
      <c r="AH247" s="161"/>
      <c r="AI247" s="161"/>
      <c r="AJ247" s="161"/>
      <c r="AK247" s="161"/>
    </row>
    <row r="248" spans="1:37" s="89" customFormat="1" ht="12.75" customHeight="1">
      <c r="A248" s="67"/>
      <c r="B248" s="378"/>
      <c r="C248" s="162"/>
      <c r="D248" s="163"/>
      <c r="E248" s="163"/>
      <c r="F248" s="163"/>
      <c r="G248" s="163"/>
      <c r="H248" s="162"/>
      <c r="I248" s="163"/>
      <c r="J248" s="163"/>
      <c r="K248" s="163"/>
      <c r="L248" s="163"/>
      <c r="M248" s="162"/>
      <c r="N248" s="163"/>
      <c r="O248" s="163"/>
      <c r="P248" s="163"/>
      <c r="Q248" s="163"/>
      <c r="R248" s="162"/>
      <c r="S248" s="1241"/>
      <c r="T248" s="163"/>
      <c r="U248" s="163"/>
      <c r="V248" s="163"/>
      <c r="W248" s="162"/>
      <c r="X248" s="163"/>
      <c r="Y248" s="163"/>
      <c r="Z248" s="163"/>
      <c r="AA248" s="163"/>
      <c r="AB248" s="162"/>
      <c r="AC248" s="163"/>
      <c r="AD248" s="163"/>
      <c r="AE248" s="163"/>
      <c r="AF248" s="163"/>
      <c r="AG248" s="162"/>
      <c r="AH248" s="163"/>
      <c r="AI248" s="163"/>
      <c r="AJ248" s="163"/>
      <c r="AK248" s="163"/>
    </row>
    <row r="249" spans="1:37" s="89" customFormat="1" ht="12.75" customHeight="1">
      <c r="A249" s="67"/>
      <c r="B249" s="378"/>
      <c r="C249" s="127"/>
      <c r="D249" s="100"/>
      <c r="E249" s="100"/>
      <c r="F249" s="100"/>
      <c r="G249" s="100"/>
      <c r="H249" s="127"/>
      <c r="I249" s="100"/>
      <c r="J249" s="100"/>
      <c r="K249" s="100"/>
      <c r="L249" s="100"/>
      <c r="M249" s="127"/>
      <c r="N249" s="100"/>
      <c r="O249" s="100"/>
      <c r="P249" s="100"/>
      <c r="Q249" s="100"/>
      <c r="R249" s="127"/>
      <c r="S249" s="1219"/>
      <c r="T249" s="100"/>
      <c r="U249" s="100"/>
      <c r="V249" s="100"/>
      <c r="W249" s="127"/>
      <c r="X249" s="100"/>
      <c r="Y249" s="100"/>
      <c r="Z249" s="100"/>
      <c r="AA249" s="100"/>
      <c r="AB249" s="127"/>
      <c r="AC249" s="100"/>
      <c r="AD249" s="100"/>
      <c r="AE249" s="100"/>
      <c r="AF249" s="100"/>
      <c r="AG249" s="127"/>
      <c r="AH249" s="100"/>
      <c r="AI249" s="100"/>
      <c r="AJ249" s="100"/>
      <c r="AK249" s="100"/>
    </row>
    <row r="250" spans="1:37" s="89" customFormat="1" ht="12.75" customHeight="1">
      <c r="A250" s="67"/>
      <c r="B250" s="378"/>
      <c r="C250" s="127"/>
      <c r="D250" s="100"/>
      <c r="E250" s="100"/>
      <c r="F250" s="100"/>
      <c r="G250" s="100"/>
      <c r="H250" s="127"/>
      <c r="I250" s="100"/>
      <c r="J250" s="100"/>
      <c r="K250" s="100"/>
      <c r="L250" s="100"/>
      <c r="M250" s="127"/>
      <c r="N250" s="100"/>
      <c r="O250" s="100"/>
      <c r="P250" s="100"/>
      <c r="Q250" s="100"/>
      <c r="R250" s="127"/>
      <c r="S250" s="1219"/>
      <c r="T250" s="100"/>
      <c r="U250" s="100"/>
      <c r="V250" s="100"/>
      <c r="W250" s="127"/>
      <c r="X250" s="100"/>
      <c r="Y250" s="100"/>
      <c r="Z250" s="100"/>
      <c r="AA250" s="100"/>
      <c r="AB250" s="127"/>
      <c r="AC250" s="100"/>
      <c r="AD250" s="100"/>
      <c r="AE250" s="100"/>
      <c r="AF250" s="100"/>
      <c r="AG250" s="127"/>
      <c r="AH250" s="100"/>
      <c r="AI250" s="100"/>
      <c r="AJ250" s="100"/>
      <c r="AK250" s="100"/>
    </row>
    <row r="251" spans="1:37" s="89" customFormat="1" ht="12.75" customHeight="1">
      <c r="A251" s="67"/>
      <c r="B251" s="378"/>
      <c r="C251" s="127"/>
      <c r="D251" s="100"/>
      <c r="E251" s="100"/>
      <c r="F251" s="100"/>
      <c r="G251" s="100"/>
      <c r="H251" s="127"/>
      <c r="I251" s="100"/>
      <c r="J251" s="100"/>
      <c r="K251" s="100"/>
      <c r="L251" s="100"/>
      <c r="M251" s="127"/>
      <c r="N251" s="100"/>
      <c r="O251" s="100"/>
      <c r="P251" s="100"/>
      <c r="Q251" s="100"/>
      <c r="R251" s="127"/>
      <c r="S251" s="1219"/>
      <c r="T251" s="100"/>
      <c r="U251" s="100"/>
      <c r="V251" s="100"/>
      <c r="W251" s="127"/>
      <c r="X251" s="100"/>
      <c r="Y251" s="100"/>
      <c r="Z251" s="100"/>
      <c r="AA251" s="100"/>
      <c r="AB251" s="127"/>
      <c r="AC251" s="100"/>
      <c r="AD251" s="100"/>
      <c r="AE251" s="100"/>
      <c r="AF251" s="100"/>
      <c r="AG251" s="127"/>
      <c r="AH251" s="100"/>
      <c r="AI251" s="100"/>
      <c r="AJ251" s="100"/>
      <c r="AK251" s="100"/>
    </row>
    <row r="252" spans="1:37" s="89" customFormat="1" ht="12.75" customHeight="1">
      <c r="A252" s="67"/>
      <c r="B252" s="378"/>
      <c r="C252" s="162"/>
      <c r="D252" s="163"/>
      <c r="E252" s="163"/>
      <c r="F252" s="163"/>
      <c r="G252" s="163"/>
      <c r="H252" s="162"/>
      <c r="I252" s="163"/>
      <c r="J252" s="163"/>
      <c r="K252" s="163"/>
      <c r="L252" s="163"/>
      <c r="M252" s="162"/>
      <c r="N252" s="163"/>
      <c r="O252" s="163"/>
      <c r="P252" s="163"/>
      <c r="Q252" s="163"/>
      <c r="R252" s="162"/>
      <c r="S252" s="1241"/>
      <c r="T252" s="163"/>
      <c r="U252" s="163"/>
      <c r="V252" s="163"/>
      <c r="W252" s="162"/>
      <c r="X252" s="163"/>
      <c r="Y252" s="163"/>
      <c r="Z252" s="163"/>
      <c r="AA252" s="163"/>
      <c r="AB252" s="162"/>
      <c r="AC252" s="163"/>
      <c r="AD252" s="163"/>
      <c r="AE252" s="163"/>
      <c r="AF252" s="163"/>
      <c r="AG252" s="162"/>
      <c r="AH252" s="163"/>
      <c r="AI252" s="163"/>
      <c r="AJ252" s="163"/>
      <c r="AK252" s="163"/>
    </row>
    <row r="253" spans="1:37" s="89" customFormat="1" ht="12.75" customHeight="1">
      <c r="A253" s="67"/>
      <c r="B253" s="378"/>
      <c r="C253" s="101"/>
      <c r="D253" s="102"/>
      <c r="E253" s="102"/>
      <c r="F253" s="102"/>
      <c r="G253" s="102"/>
      <c r="H253" s="101"/>
      <c r="I253" s="102"/>
      <c r="J253" s="102"/>
      <c r="K253" s="102"/>
      <c r="L253" s="102"/>
      <c r="M253" s="101"/>
      <c r="N253" s="102"/>
      <c r="O253" s="102"/>
      <c r="P253" s="102"/>
      <c r="Q253" s="102"/>
      <c r="R253" s="101"/>
      <c r="S253" s="291"/>
      <c r="T253" s="102"/>
      <c r="U253" s="102"/>
      <c r="V253" s="102"/>
      <c r="W253" s="101"/>
      <c r="X253" s="102"/>
      <c r="Y253" s="102"/>
      <c r="Z253" s="102"/>
      <c r="AA253" s="102"/>
      <c r="AB253" s="101"/>
      <c r="AC253" s="102"/>
      <c r="AD253" s="102"/>
      <c r="AE253" s="102"/>
      <c r="AF253" s="102"/>
      <c r="AG253" s="101"/>
      <c r="AH253" s="102"/>
      <c r="AI253" s="102"/>
      <c r="AJ253" s="102"/>
      <c r="AK253" s="102"/>
    </row>
    <row r="254" spans="1:37" s="89" customFormat="1" ht="12.75" customHeight="1">
      <c r="A254" s="67"/>
      <c r="B254" s="378"/>
      <c r="C254" s="101"/>
      <c r="D254" s="102"/>
      <c r="E254" s="102"/>
      <c r="F254" s="102"/>
      <c r="G254" s="102"/>
      <c r="H254" s="101"/>
      <c r="I254" s="102"/>
      <c r="J254" s="102"/>
      <c r="K254" s="102"/>
      <c r="L254" s="102"/>
      <c r="M254" s="101"/>
      <c r="N254" s="102"/>
      <c r="O254" s="102"/>
      <c r="P254" s="102"/>
      <c r="Q254" s="102"/>
      <c r="R254" s="101"/>
      <c r="S254" s="291"/>
      <c r="T254" s="102"/>
      <c r="U254" s="102"/>
      <c r="V254" s="102"/>
      <c r="W254" s="101"/>
      <c r="X254" s="102"/>
      <c r="Y254" s="102"/>
      <c r="Z254" s="102"/>
      <c r="AA254" s="102"/>
      <c r="AB254" s="101"/>
      <c r="AC254" s="102"/>
      <c r="AD254" s="102"/>
      <c r="AE254" s="102"/>
      <c r="AF254" s="102"/>
      <c r="AG254" s="101"/>
      <c r="AH254" s="102"/>
      <c r="AI254" s="102"/>
      <c r="AJ254" s="102"/>
      <c r="AK254" s="102"/>
    </row>
    <row r="255" spans="1:37" s="89" customFormat="1" ht="12.75" customHeight="1">
      <c r="A255" s="67"/>
      <c r="B255" s="378"/>
      <c r="C255" s="101"/>
      <c r="D255" s="102"/>
      <c r="E255" s="102"/>
      <c r="F255" s="102"/>
      <c r="G255" s="102"/>
      <c r="H255" s="101"/>
      <c r="I255" s="102"/>
      <c r="J255" s="102"/>
      <c r="K255" s="102"/>
      <c r="L255" s="102"/>
      <c r="M255" s="101"/>
      <c r="N255" s="102"/>
      <c r="O255" s="102"/>
      <c r="P255" s="102"/>
      <c r="Q255" s="102"/>
      <c r="R255" s="101"/>
      <c r="S255" s="291"/>
      <c r="T255" s="102"/>
      <c r="U255" s="102"/>
      <c r="V255" s="102"/>
      <c r="W255" s="101"/>
      <c r="X255" s="102"/>
      <c r="Y255" s="102"/>
      <c r="Z255" s="102"/>
      <c r="AA255" s="102"/>
      <c r="AB255" s="101"/>
      <c r="AC255" s="102"/>
      <c r="AD255" s="102"/>
      <c r="AE255" s="102"/>
      <c r="AF255" s="102"/>
      <c r="AG255" s="101"/>
      <c r="AH255" s="102"/>
      <c r="AI255" s="102"/>
      <c r="AJ255" s="102"/>
      <c r="AK255" s="102"/>
    </row>
    <row r="256" spans="1:37" s="89" customFormat="1" ht="12.75" customHeight="1">
      <c r="A256" s="67"/>
      <c r="B256" s="378"/>
      <c r="C256" s="164"/>
      <c r="D256" s="165"/>
      <c r="E256" s="165"/>
      <c r="F256" s="165"/>
      <c r="G256" s="165"/>
      <c r="H256" s="164"/>
      <c r="I256" s="165"/>
      <c r="J256" s="165"/>
      <c r="K256" s="165"/>
      <c r="L256" s="165"/>
      <c r="M256" s="164"/>
      <c r="N256" s="165"/>
      <c r="O256" s="165"/>
      <c r="P256" s="165"/>
      <c r="Q256" s="165"/>
      <c r="R256" s="164"/>
      <c r="S256" s="1242"/>
      <c r="T256" s="165"/>
      <c r="U256" s="165"/>
      <c r="V256" s="165"/>
      <c r="W256" s="164"/>
      <c r="X256" s="165"/>
      <c r="Y256" s="165"/>
      <c r="Z256" s="165"/>
      <c r="AA256" s="165"/>
      <c r="AB256" s="164"/>
      <c r="AC256" s="165"/>
      <c r="AD256" s="165"/>
      <c r="AE256" s="165"/>
      <c r="AF256" s="165"/>
      <c r="AG256" s="164"/>
      <c r="AH256" s="165"/>
      <c r="AI256" s="165"/>
      <c r="AJ256" s="165"/>
      <c r="AK256" s="165"/>
    </row>
    <row r="257" spans="1:37" s="89" customFormat="1" ht="12.75" customHeight="1">
      <c r="A257" s="67"/>
      <c r="B257" s="378"/>
      <c r="C257" s="101"/>
      <c r="D257" s="102"/>
      <c r="E257" s="102"/>
      <c r="F257" s="102"/>
      <c r="G257" s="102"/>
      <c r="H257" s="101"/>
      <c r="I257" s="102"/>
      <c r="J257" s="102"/>
      <c r="K257" s="102"/>
      <c r="L257" s="102"/>
      <c r="M257" s="101"/>
      <c r="N257" s="102"/>
      <c r="O257" s="102"/>
      <c r="P257" s="102"/>
      <c r="Q257" s="102"/>
      <c r="R257" s="101"/>
      <c r="S257" s="291"/>
      <c r="T257" s="102"/>
      <c r="U257" s="102"/>
      <c r="V257" s="102"/>
      <c r="W257" s="101"/>
      <c r="X257" s="102"/>
      <c r="Y257" s="102"/>
      <c r="Z257" s="102"/>
      <c r="AA257" s="102"/>
      <c r="AB257" s="101"/>
      <c r="AC257" s="102"/>
      <c r="AD257" s="102"/>
      <c r="AE257" s="102"/>
      <c r="AF257" s="102"/>
      <c r="AG257" s="101"/>
      <c r="AH257" s="102"/>
      <c r="AI257" s="102"/>
      <c r="AJ257" s="102"/>
      <c r="AK257" s="102"/>
    </row>
    <row r="258" spans="1:37" s="89" customFormat="1" ht="12.75" customHeight="1">
      <c r="A258" s="67"/>
      <c r="B258" s="378"/>
      <c r="C258" s="162"/>
      <c r="D258" s="102"/>
      <c r="E258" s="102"/>
      <c r="F258" s="102"/>
      <c r="G258" s="102"/>
      <c r="H258" s="162"/>
      <c r="I258" s="102"/>
      <c r="J258" s="102"/>
      <c r="K258" s="102"/>
      <c r="L258" s="102"/>
      <c r="M258" s="162"/>
      <c r="N258" s="102"/>
      <c r="O258" s="102"/>
      <c r="P258" s="102"/>
      <c r="Q258" s="102"/>
      <c r="R258" s="162"/>
      <c r="S258" s="291"/>
      <c r="T258" s="102"/>
      <c r="U258" s="102"/>
      <c r="V258" s="102"/>
      <c r="W258" s="162"/>
      <c r="X258" s="102"/>
      <c r="Y258" s="102"/>
      <c r="Z258" s="102"/>
      <c r="AA258" s="102"/>
      <c r="AB258" s="162"/>
      <c r="AC258" s="102"/>
      <c r="AD258" s="102"/>
      <c r="AE258" s="102"/>
      <c r="AF258" s="102"/>
      <c r="AG258" s="162"/>
      <c r="AH258" s="102"/>
      <c r="AI258" s="102"/>
      <c r="AJ258" s="102"/>
      <c r="AK258" s="102"/>
    </row>
    <row r="259" spans="1:37" s="89" customFormat="1" ht="12.75" customHeight="1">
      <c r="A259" s="67"/>
      <c r="B259" s="378"/>
      <c r="C259" s="101"/>
      <c r="D259" s="102"/>
      <c r="E259" s="102"/>
      <c r="F259" s="102"/>
      <c r="G259" s="102"/>
      <c r="H259" s="101"/>
      <c r="I259" s="102"/>
      <c r="J259" s="102"/>
      <c r="K259" s="102"/>
      <c r="L259" s="102"/>
      <c r="M259" s="101"/>
      <c r="N259" s="102"/>
      <c r="O259" s="102"/>
      <c r="P259" s="102"/>
      <c r="Q259" s="102"/>
      <c r="R259" s="101"/>
      <c r="S259" s="291"/>
      <c r="T259" s="102"/>
      <c r="U259" s="102"/>
      <c r="V259" s="102"/>
      <c r="W259" s="101"/>
      <c r="X259" s="102"/>
      <c r="Y259" s="102"/>
      <c r="Z259" s="102"/>
      <c r="AA259" s="102"/>
      <c r="AB259" s="101"/>
      <c r="AC259" s="102"/>
      <c r="AD259" s="102"/>
      <c r="AE259" s="102"/>
      <c r="AF259" s="102"/>
      <c r="AG259" s="101"/>
      <c r="AH259" s="102"/>
      <c r="AI259" s="102"/>
      <c r="AJ259" s="102"/>
      <c r="AK259" s="102"/>
    </row>
    <row r="260" spans="1:37" s="89" customFormat="1" ht="12.75" customHeight="1">
      <c r="A260" s="67"/>
      <c r="B260" s="378"/>
      <c r="C260" s="101"/>
      <c r="D260" s="166"/>
      <c r="E260" s="166"/>
      <c r="F260" s="166"/>
      <c r="G260" s="166"/>
      <c r="H260" s="101"/>
      <c r="I260" s="166"/>
      <c r="J260" s="166"/>
      <c r="K260" s="166"/>
      <c r="L260" s="166"/>
      <c r="M260" s="101"/>
      <c r="N260" s="166"/>
      <c r="O260" s="166"/>
      <c r="P260" s="166"/>
      <c r="Q260" s="166"/>
      <c r="R260" s="101"/>
      <c r="S260" s="1243"/>
      <c r="T260" s="166"/>
      <c r="U260" s="166"/>
      <c r="V260" s="166"/>
      <c r="W260" s="101"/>
      <c r="X260" s="166"/>
      <c r="Y260" s="166"/>
      <c r="Z260" s="166"/>
      <c r="AA260" s="166"/>
      <c r="AB260" s="101"/>
      <c r="AC260" s="166"/>
      <c r="AD260" s="166"/>
      <c r="AE260" s="166"/>
      <c r="AF260" s="166"/>
      <c r="AG260" s="101"/>
      <c r="AH260" s="166"/>
      <c r="AI260" s="166"/>
      <c r="AJ260" s="166"/>
      <c r="AK260" s="166"/>
    </row>
    <row r="261" spans="1:37" s="89" customFormat="1" ht="12.75" customHeight="1">
      <c r="A261" s="67"/>
      <c r="B261" s="378"/>
      <c r="C261" s="167"/>
      <c r="D261" s="168"/>
      <c r="E261" s="168"/>
      <c r="F261" s="168"/>
      <c r="G261" s="168"/>
      <c r="H261" s="167"/>
      <c r="I261" s="168"/>
      <c r="J261" s="168"/>
      <c r="K261" s="168"/>
      <c r="L261" s="168"/>
      <c r="M261" s="167"/>
      <c r="N261" s="168"/>
      <c r="O261" s="168"/>
      <c r="P261" s="168"/>
      <c r="Q261" s="168"/>
      <c r="R261" s="167"/>
      <c r="S261" s="1244"/>
      <c r="T261" s="168"/>
      <c r="U261" s="168"/>
      <c r="V261" s="168"/>
      <c r="W261" s="167"/>
      <c r="X261" s="168"/>
      <c r="Y261" s="168"/>
      <c r="Z261" s="168"/>
      <c r="AA261" s="168"/>
      <c r="AB261" s="167"/>
      <c r="AC261" s="168"/>
      <c r="AD261" s="168"/>
      <c r="AE261" s="168"/>
      <c r="AF261" s="168"/>
      <c r="AG261" s="167"/>
      <c r="AH261" s="168"/>
      <c r="AI261" s="168"/>
      <c r="AJ261" s="168"/>
      <c r="AK261" s="168"/>
    </row>
    <row r="264" spans="1:37" s="89" customFormat="1" ht="12.75" customHeight="1">
      <c r="A264" s="67"/>
      <c r="B264" s="378"/>
      <c r="C264" s="127"/>
      <c r="D264" s="100"/>
      <c r="E264" s="100"/>
      <c r="F264" s="100"/>
      <c r="G264" s="100"/>
      <c r="H264" s="127"/>
      <c r="I264" s="100"/>
      <c r="J264" s="100"/>
      <c r="K264" s="100"/>
      <c r="L264" s="100"/>
      <c r="M264" s="127"/>
      <c r="N264" s="100"/>
      <c r="O264" s="100"/>
      <c r="P264" s="100"/>
      <c r="Q264" s="100"/>
      <c r="R264" s="127"/>
      <c r="S264" s="1219"/>
      <c r="T264" s="100"/>
      <c r="U264" s="100"/>
      <c r="V264" s="100"/>
      <c r="W264" s="127"/>
      <c r="X264" s="100"/>
      <c r="Y264" s="100"/>
      <c r="Z264" s="100"/>
      <c r="AA264" s="100"/>
      <c r="AB264" s="127"/>
      <c r="AC264" s="100"/>
      <c r="AD264" s="100"/>
      <c r="AE264" s="100"/>
      <c r="AF264" s="100"/>
      <c r="AG264" s="127"/>
      <c r="AH264" s="100"/>
      <c r="AI264" s="100"/>
      <c r="AJ264" s="100"/>
      <c r="AK264" s="100"/>
    </row>
    <row r="267" spans="1:37" s="89" customFormat="1" ht="12.75" customHeight="1">
      <c r="A267" s="67"/>
      <c r="B267" s="378"/>
      <c r="C267" s="169"/>
      <c r="D267" s="170"/>
      <c r="E267" s="170"/>
      <c r="F267" s="170"/>
      <c r="G267" s="170"/>
      <c r="H267" s="169"/>
      <c r="I267" s="170"/>
      <c r="J267" s="170"/>
      <c r="K267" s="170"/>
      <c r="L267" s="170"/>
      <c r="M267" s="169"/>
      <c r="N267" s="170"/>
      <c r="O267" s="170"/>
      <c r="P267" s="170"/>
      <c r="Q267" s="170"/>
      <c r="R267" s="169"/>
      <c r="S267" s="1245"/>
      <c r="T267" s="170"/>
      <c r="U267" s="170"/>
      <c r="V267" s="170"/>
      <c r="W267" s="169"/>
      <c r="X267" s="170"/>
      <c r="Y267" s="170"/>
      <c r="Z267" s="170"/>
      <c r="AA267" s="170"/>
      <c r="AB267" s="169"/>
      <c r="AC267" s="170"/>
      <c r="AD267" s="170"/>
      <c r="AE267" s="170"/>
      <c r="AF267" s="170"/>
      <c r="AG267" s="169"/>
      <c r="AH267" s="170"/>
      <c r="AI267" s="170"/>
      <c r="AJ267" s="170"/>
      <c r="AK267" s="170"/>
    </row>
    <row r="270" spans="1:37" s="89" customFormat="1" ht="12.75" customHeight="1">
      <c r="A270" s="67"/>
      <c r="B270" s="378"/>
      <c r="C270" s="127"/>
      <c r="D270" s="100"/>
      <c r="E270" s="100"/>
      <c r="F270" s="100"/>
      <c r="G270" s="100"/>
      <c r="H270" s="127"/>
      <c r="I270" s="100"/>
      <c r="J270" s="100"/>
      <c r="K270" s="100"/>
      <c r="L270" s="100"/>
      <c r="M270" s="127"/>
      <c r="N270" s="100"/>
      <c r="O270" s="100"/>
      <c r="P270" s="100"/>
      <c r="Q270" s="100"/>
      <c r="R270" s="127"/>
      <c r="S270" s="1219"/>
      <c r="T270" s="100"/>
      <c r="U270" s="100"/>
      <c r="V270" s="100"/>
      <c r="W270" s="127"/>
      <c r="X270" s="100"/>
      <c r="Y270" s="100"/>
      <c r="Z270" s="100"/>
      <c r="AA270" s="100"/>
      <c r="AB270" s="127"/>
      <c r="AC270" s="100"/>
      <c r="AD270" s="100"/>
      <c r="AE270" s="100"/>
      <c r="AF270" s="100"/>
      <c r="AG270" s="127"/>
      <c r="AH270" s="100"/>
      <c r="AI270" s="100"/>
      <c r="AJ270" s="100"/>
      <c r="AK270" s="100"/>
    </row>
    <row r="271" spans="1:37" s="89" customFormat="1" ht="12.75" customHeight="1">
      <c r="A271" s="67"/>
      <c r="B271" s="378"/>
      <c r="C271" s="171"/>
      <c r="D271" s="172"/>
      <c r="E271" s="172"/>
      <c r="F271" s="172"/>
      <c r="G271" s="172"/>
      <c r="H271" s="171"/>
      <c r="I271" s="172"/>
      <c r="J271" s="172"/>
      <c r="K271" s="172"/>
      <c r="L271" s="172"/>
      <c r="M271" s="171"/>
      <c r="N271" s="172"/>
      <c r="O271" s="172"/>
      <c r="P271" s="172"/>
      <c r="Q271" s="172"/>
      <c r="R271" s="171"/>
      <c r="S271" s="1246"/>
      <c r="T271" s="172"/>
      <c r="U271" s="172"/>
      <c r="V271" s="172"/>
      <c r="W271" s="171"/>
      <c r="X271" s="172"/>
      <c r="Y271" s="172"/>
      <c r="Z271" s="172"/>
      <c r="AA271" s="172"/>
      <c r="AB271" s="171"/>
      <c r="AC271" s="172"/>
      <c r="AD271" s="172"/>
      <c r="AE271" s="172"/>
      <c r="AF271" s="172"/>
      <c r="AG271" s="171"/>
      <c r="AH271" s="172"/>
      <c r="AI271" s="172"/>
      <c r="AJ271" s="172"/>
      <c r="AK271" s="172"/>
    </row>
    <row r="272" spans="1:37" s="89" customFormat="1" ht="12.75" customHeight="1">
      <c r="A272" s="67"/>
      <c r="B272" s="378"/>
      <c r="C272" s="167"/>
      <c r="D272" s="100"/>
      <c r="E272" s="100"/>
      <c r="F272" s="100"/>
      <c r="G272" s="100"/>
      <c r="H272" s="167"/>
      <c r="I272" s="100"/>
      <c r="J272" s="100"/>
      <c r="K272" s="100"/>
      <c r="L272" s="100"/>
      <c r="M272" s="167"/>
      <c r="N272" s="100"/>
      <c r="O272" s="100"/>
      <c r="P272" s="100"/>
      <c r="Q272" s="100"/>
      <c r="R272" s="167"/>
      <c r="S272" s="1219"/>
      <c r="T272" s="100"/>
      <c r="U272" s="100"/>
      <c r="V272" s="100"/>
      <c r="W272" s="167"/>
      <c r="X272" s="100"/>
      <c r="Y272" s="100"/>
      <c r="Z272" s="100"/>
      <c r="AA272" s="100"/>
      <c r="AB272" s="167"/>
      <c r="AC272" s="100"/>
      <c r="AD272" s="100"/>
      <c r="AE272" s="100"/>
      <c r="AF272" s="100"/>
      <c r="AG272" s="167"/>
      <c r="AH272" s="100"/>
      <c r="AI272" s="100"/>
      <c r="AJ272" s="100"/>
      <c r="AK272" s="100"/>
    </row>
    <row r="274" spans="1:37" s="89" customFormat="1" ht="12.75" customHeight="1">
      <c r="A274" s="67"/>
      <c r="B274" s="378"/>
      <c r="C274" s="162"/>
      <c r="D274" s="163"/>
      <c r="E274" s="163"/>
      <c r="F274" s="163"/>
      <c r="G274" s="163"/>
      <c r="H274" s="162"/>
      <c r="I274" s="163"/>
      <c r="J274" s="163"/>
      <c r="K274" s="163"/>
      <c r="L274" s="163"/>
      <c r="M274" s="162"/>
      <c r="N274" s="163"/>
      <c r="O274" s="163"/>
      <c r="P274" s="163"/>
      <c r="Q274" s="163"/>
      <c r="R274" s="162"/>
      <c r="S274" s="1241"/>
      <c r="T274" s="163"/>
      <c r="U274" s="163"/>
      <c r="V274" s="163"/>
      <c r="W274" s="162"/>
      <c r="X274" s="163"/>
      <c r="Y274" s="163"/>
      <c r="Z274" s="163"/>
      <c r="AA274" s="163"/>
      <c r="AB274" s="162"/>
      <c r="AC274" s="163"/>
      <c r="AD274" s="163"/>
      <c r="AE274" s="163"/>
      <c r="AF274" s="163"/>
      <c r="AG274" s="162"/>
      <c r="AH274" s="163"/>
      <c r="AI274" s="163"/>
      <c r="AJ274" s="163"/>
      <c r="AK274" s="163"/>
    </row>
    <row r="275" spans="1:37" s="89" customFormat="1" ht="12.75" customHeight="1">
      <c r="A275" s="67"/>
      <c r="B275" s="378"/>
      <c r="C275" s="127"/>
      <c r="D275" s="100"/>
      <c r="E275" s="100"/>
      <c r="F275" s="100"/>
      <c r="G275" s="100"/>
      <c r="H275" s="127"/>
      <c r="I275" s="100"/>
      <c r="J275" s="100"/>
      <c r="K275" s="100"/>
      <c r="L275" s="100"/>
      <c r="M275" s="127"/>
      <c r="N275" s="100"/>
      <c r="O275" s="100"/>
      <c r="P275" s="100"/>
      <c r="Q275" s="100"/>
      <c r="R275" s="127"/>
      <c r="S275" s="1219"/>
      <c r="T275" s="100"/>
      <c r="U275" s="100"/>
      <c r="V275" s="100"/>
      <c r="W275" s="127"/>
      <c r="X275" s="100"/>
      <c r="Y275" s="100"/>
      <c r="Z275" s="100"/>
      <c r="AA275" s="100"/>
      <c r="AB275" s="127"/>
      <c r="AC275" s="100"/>
      <c r="AD275" s="100"/>
      <c r="AE275" s="100"/>
      <c r="AF275" s="100"/>
      <c r="AG275" s="127"/>
      <c r="AH275" s="100"/>
      <c r="AI275" s="100"/>
      <c r="AJ275" s="100"/>
      <c r="AK275" s="100"/>
    </row>
    <row r="277" spans="1:37" s="89" customFormat="1" ht="12.75" customHeight="1">
      <c r="A277" s="67"/>
      <c r="B277" s="378"/>
      <c r="C277" s="173"/>
      <c r="D277" s="166"/>
      <c r="E277" s="166"/>
      <c r="F277" s="166"/>
      <c r="G277" s="166"/>
      <c r="H277" s="173"/>
      <c r="I277" s="166"/>
      <c r="J277" s="166"/>
      <c r="K277" s="166"/>
      <c r="L277" s="166"/>
      <c r="M277" s="173"/>
      <c r="N277" s="166"/>
      <c r="O277" s="166"/>
      <c r="P277" s="166"/>
      <c r="Q277" s="166"/>
      <c r="R277" s="173"/>
      <c r="S277" s="1243"/>
      <c r="T277" s="166"/>
      <c r="U277" s="166"/>
      <c r="V277" s="166"/>
      <c r="W277" s="173"/>
      <c r="X277" s="166"/>
      <c r="Y277" s="166"/>
      <c r="Z277" s="166"/>
      <c r="AA277" s="166"/>
      <c r="AB277" s="173"/>
      <c r="AC277" s="166"/>
      <c r="AD277" s="166"/>
      <c r="AE277" s="166"/>
      <c r="AF277" s="166"/>
      <c r="AG277" s="173"/>
      <c r="AH277" s="166"/>
      <c r="AI277" s="166"/>
      <c r="AJ277" s="166"/>
      <c r="AK277" s="166"/>
    </row>
    <row r="278" spans="1:37" s="89" customFormat="1" ht="12.75" customHeight="1">
      <c r="A278" s="67"/>
      <c r="B278" s="378"/>
      <c r="C278" s="167"/>
      <c r="D278" s="168"/>
      <c r="E278" s="168"/>
      <c r="F278" s="168"/>
      <c r="G278" s="168"/>
      <c r="H278" s="167"/>
      <c r="I278" s="168"/>
      <c r="J278" s="168"/>
      <c r="K278" s="168"/>
      <c r="L278" s="168"/>
      <c r="M278" s="167"/>
      <c r="N278" s="168"/>
      <c r="O278" s="168"/>
      <c r="P278" s="168"/>
      <c r="Q278" s="168"/>
      <c r="R278" s="167"/>
      <c r="S278" s="1244"/>
      <c r="T278" s="168"/>
      <c r="U278" s="168"/>
      <c r="V278" s="168"/>
      <c r="W278" s="167"/>
      <c r="X278" s="168"/>
      <c r="Y278" s="168"/>
      <c r="Z278" s="168"/>
      <c r="AA278" s="168"/>
      <c r="AB278" s="167"/>
      <c r="AC278" s="168"/>
      <c r="AD278" s="168"/>
      <c r="AE278" s="168"/>
      <c r="AF278" s="168"/>
      <c r="AG278" s="167"/>
      <c r="AH278" s="168"/>
      <c r="AI278" s="168"/>
      <c r="AJ278" s="168"/>
      <c r="AK278" s="168"/>
    </row>
    <row r="280" spans="1:37" s="89" customFormat="1" ht="12.75" customHeight="1">
      <c r="A280" s="67"/>
      <c r="B280" s="378"/>
      <c r="C280" s="162"/>
      <c r="D280" s="163"/>
      <c r="E280" s="163"/>
      <c r="F280" s="163"/>
      <c r="G280" s="163"/>
      <c r="H280" s="162"/>
      <c r="I280" s="163"/>
      <c r="J280" s="163"/>
      <c r="K280" s="163"/>
      <c r="L280" s="163"/>
      <c r="M280" s="162"/>
      <c r="N280" s="163"/>
      <c r="O280" s="163"/>
      <c r="P280" s="163"/>
      <c r="Q280" s="163"/>
      <c r="R280" s="162"/>
      <c r="S280" s="1241"/>
      <c r="T280" s="163"/>
      <c r="U280" s="163"/>
      <c r="V280" s="163"/>
      <c r="W280" s="162"/>
      <c r="X280" s="163"/>
      <c r="Y280" s="163"/>
      <c r="Z280" s="163"/>
      <c r="AA280" s="163"/>
      <c r="AB280" s="162"/>
      <c r="AC280" s="163"/>
      <c r="AD280" s="163"/>
      <c r="AE280" s="163"/>
      <c r="AF280" s="163"/>
      <c r="AG280" s="162"/>
      <c r="AH280" s="163"/>
      <c r="AI280" s="163"/>
      <c r="AJ280" s="163"/>
      <c r="AK280" s="163"/>
    </row>
    <row r="281" spans="1:37" s="89" customFormat="1" ht="12.75" customHeight="1">
      <c r="A281" s="67"/>
      <c r="B281" s="378"/>
      <c r="C281" s="127"/>
      <c r="D281" s="100"/>
      <c r="E281" s="100"/>
      <c r="F281" s="100"/>
      <c r="G281" s="100"/>
      <c r="H281" s="127"/>
      <c r="I281" s="100"/>
      <c r="J281" s="100"/>
      <c r="K281" s="100"/>
      <c r="L281" s="100"/>
      <c r="M281" s="127"/>
      <c r="N281" s="100"/>
      <c r="O281" s="100"/>
      <c r="P281" s="100"/>
      <c r="Q281" s="100"/>
      <c r="R281" s="127"/>
      <c r="S281" s="1219"/>
      <c r="T281" s="100"/>
      <c r="U281" s="100"/>
      <c r="V281" s="100"/>
      <c r="W281" s="127"/>
      <c r="X281" s="100"/>
      <c r="Y281" s="100"/>
      <c r="Z281" s="100"/>
      <c r="AA281" s="100"/>
      <c r="AB281" s="127"/>
      <c r="AC281" s="100"/>
      <c r="AD281" s="100"/>
      <c r="AE281" s="100"/>
      <c r="AF281" s="100"/>
      <c r="AG281" s="127"/>
      <c r="AH281" s="100"/>
      <c r="AI281" s="100"/>
      <c r="AJ281" s="100"/>
      <c r="AK281" s="100"/>
    </row>
    <row r="283" spans="1:37" s="89" customFormat="1" ht="12.75" customHeight="1">
      <c r="A283" s="67"/>
      <c r="B283" s="378"/>
      <c r="C283" s="127"/>
      <c r="D283" s="100"/>
      <c r="E283" s="100"/>
      <c r="F283" s="100"/>
      <c r="G283" s="100"/>
      <c r="H283" s="127"/>
      <c r="I283" s="100"/>
      <c r="J283" s="100"/>
      <c r="K283" s="100"/>
      <c r="L283" s="100"/>
      <c r="M283" s="127"/>
      <c r="N283" s="100"/>
      <c r="O283" s="100"/>
      <c r="P283" s="100"/>
      <c r="Q283" s="100"/>
      <c r="R283" s="127"/>
      <c r="S283" s="1219"/>
      <c r="T283" s="100"/>
      <c r="U283" s="100"/>
      <c r="V283" s="100"/>
      <c r="W283" s="127"/>
      <c r="X283" s="100"/>
      <c r="Y283" s="100"/>
      <c r="Z283" s="100"/>
      <c r="AA283" s="100"/>
      <c r="AB283" s="127"/>
      <c r="AC283" s="100"/>
      <c r="AD283" s="100"/>
      <c r="AE283" s="100"/>
      <c r="AF283" s="100"/>
      <c r="AG283" s="127"/>
      <c r="AH283" s="100"/>
      <c r="AI283" s="100"/>
      <c r="AJ283" s="100"/>
      <c r="AK283" s="100"/>
    </row>
    <row r="286" spans="1:37" s="89" customFormat="1" ht="12.75" customHeight="1">
      <c r="A286" s="67"/>
      <c r="B286" s="378"/>
      <c r="C286" s="174"/>
      <c r="D286" s="175"/>
      <c r="E286" s="175"/>
      <c r="F286" s="175"/>
      <c r="G286" s="175"/>
      <c r="H286" s="174"/>
      <c r="I286" s="175"/>
      <c r="J286" s="175"/>
      <c r="K286" s="175"/>
      <c r="L286" s="175"/>
      <c r="M286" s="174"/>
      <c r="N286" s="175"/>
      <c r="O286" s="175"/>
      <c r="P286" s="175"/>
      <c r="Q286" s="175"/>
      <c r="R286" s="174"/>
      <c r="S286" s="1247"/>
      <c r="T286" s="175"/>
      <c r="U286" s="175"/>
      <c r="V286" s="175"/>
      <c r="W286" s="174"/>
      <c r="X286" s="175"/>
      <c r="Y286" s="175"/>
      <c r="Z286" s="175"/>
      <c r="AA286" s="175"/>
      <c r="AB286" s="174"/>
      <c r="AC286" s="175"/>
      <c r="AD286" s="175"/>
      <c r="AE286" s="175"/>
      <c r="AF286" s="175"/>
      <c r="AG286" s="174"/>
      <c r="AH286" s="175"/>
      <c r="AI286" s="175"/>
      <c r="AJ286" s="175"/>
      <c r="AK286" s="175"/>
    </row>
    <row r="287" spans="1:37" s="89" customFormat="1" ht="12.75" customHeight="1">
      <c r="A287" s="67"/>
      <c r="B287" s="378"/>
      <c r="C287" s="127"/>
      <c r="D287" s="100"/>
      <c r="E287" s="100"/>
      <c r="F287" s="100"/>
      <c r="G287" s="100"/>
      <c r="H287" s="127"/>
      <c r="I287" s="100"/>
      <c r="J287" s="100"/>
      <c r="K287" s="100"/>
      <c r="L287" s="100"/>
      <c r="M287" s="127"/>
      <c r="N287" s="100"/>
      <c r="O287" s="100"/>
      <c r="P287" s="100"/>
      <c r="Q287" s="100"/>
      <c r="R287" s="127"/>
      <c r="S287" s="1219"/>
      <c r="T287" s="100"/>
      <c r="U287" s="100"/>
      <c r="V287" s="100"/>
      <c r="W287" s="127"/>
      <c r="X287" s="100"/>
      <c r="Y287" s="100"/>
      <c r="Z287" s="100"/>
      <c r="AA287" s="100"/>
      <c r="AB287" s="127"/>
      <c r="AC287" s="100"/>
      <c r="AD287" s="100"/>
      <c r="AE287" s="100"/>
      <c r="AF287" s="100"/>
      <c r="AG287" s="127"/>
      <c r="AH287" s="100"/>
      <c r="AI287" s="100"/>
      <c r="AJ287" s="100"/>
      <c r="AK287" s="100"/>
    </row>
    <row r="290" spans="1:37" s="89" customFormat="1" ht="12.75" customHeight="1">
      <c r="A290" s="67"/>
      <c r="B290" s="378"/>
      <c r="C290" s="162"/>
      <c r="D290" s="163"/>
      <c r="E290" s="163"/>
      <c r="F290" s="163"/>
      <c r="G290" s="163"/>
      <c r="H290" s="162"/>
      <c r="I290" s="163"/>
      <c r="J290" s="163"/>
      <c r="K290" s="163"/>
      <c r="L290" s="163"/>
      <c r="M290" s="162"/>
      <c r="N290" s="163"/>
      <c r="O290" s="163"/>
      <c r="P290" s="163"/>
      <c r="Q290" s="163"/>
      <c r="R290" s="162"/>
      <c r="S290" s="1241"/>
      <c r="T290" s="163"/>
      <c r="U290" s="163"/>
      <c r="V290" s="163"/>
      <c r="W290" s="162"/>
      <c r="X290" s="163"/>
      <c r="Y290" s="163"/>
      <c r="Z290" s="163"/>
      <c r="AA290" s="163"/>
      <c r="AB290" s="162"/>
      <c r="AC290" s="163"/>
      <c r="AD290" s="163"/>
      <c r="AE290" s="163"/>
      <c r="AF290" s="163"/>
      <c r="AG290" s="162"/>
      <c r="AH290" s="163"/>
      <c r="AI290" s="163"/>
      <c r="AJ290" s="163"/>
      <c r="AK290" s="163"/>
    </row>
    <row r="291" spans="1:37" s="89" customFormat="1" ht="12.75" customHeight="1">
      <c r="A291" s="67"/>
      <c r="B291" s="378"/>
      <c r="C291" s="101"/>
      <c r="D291" s="102"/>
      <c r="E291" s="102"/>
      <c r="F291" s="102"/>
      <c r="G291" s="102"/>
      <c r="H291" s="101"/>
      <c r="I291" s="102"/>
      <c r="J291" s="102"/>
      <c r="K291" s="102"/>
      <c r="L291" s="102"/>
      <c r="M291" s="101"/>
      <c r="N291" s="102"/>
      <c r="O291" s="102"/>
      <c r="P291" s="102"/>
      <c r="Q291" s="102"/>
      <c r="R291" s="101"/>
      <c r="S291" s="291"/>
      <c r="T291" s="102"/>
      <c r="U291" s="102"/>
      <c r="V291" s="102"/>
      <c r="W291" s="101"/>
      <c r="X291" s="102"/>
      <c r="Y291" s="102"/>
      <c r="Z291" s="102"/>
      <c r="AA291" s="102"/>
      <c r="AB291" s="101"/>
      <c r="AC291" s="102"/>
      <c r="AD291" s="102"/>
      <c r="AE291" s="102"/>
      <c r="AF291" s="102"/>
      <c r="AG291" s="101"/>
      <c r="AH291" s="102"/>
      <c r="AI291" s="102"/>
      <c r="AJ291" s="102"/>
      <c r="AK291" s="102"/>
    </row>
    <row r="292" spans="1:37" s="89" customFormat="1" ht="12.75" customHeight="1">
      <c r="A292" s="67"/>
      <c r="B292" s="378"/>
      <c r="C292" s="101"/>
      <c r="D292" s="102"/>
      <c r="E292" s="102"/>
      <c r="F292" s="102"/>
      <c r="G292" s="102"/>
      <c r="H292" s="101"/>
      <c r="I292" s="102"/>
      <c r="J292" s="102"/>
      <c r="K292" s="102"/>
      <c r="L292" s="102"/>
      <c r="M292" s="101"/>
      <c r="N292" s="102"/>
      <c r="O292" s="102"/>
      <c r="P292" s="102"/>
      <c r="Q292" s="102"/>
      <c r="R292" s="101"/>
      <c r="S292" s="291"/>
      <c r="T292" s="102"/>
      <c r="U292" s="102"/>
      <c r="V292" s="102"/>
      <c r="W292" s="101"/>
      <c r="X292" s="102"/>
      <c r="Y292" s="102"/>
      <c r="Z292" s="102"/>
      <c r="AA292" s="102"/>
      <c r="AB292" s="101"/>
      <c r="AC292" s="102"/>
      <c r="AD292" s="102"/>
      <c r="AE292" s="102"/>
      <c r="AF292" s="102"/>
      <c r="AG292" s="101"/>
      <c r="AH292" s="102"/>
      <c r="AI292" s="102"/>
      <c r="AJ292" s="102"/>
      <c r="AK292" s="102"/>
    </row>
    <row r="293" spans="1:37" s="89" customFormat="1" ht="12.75" customHeight="1">
      <c r="A293" s="67"/>
      <c r="B293" s="378"/>
      <c r="C293" s="173"/>
      <c r="D293" s="166"/>
      <c r="E293" s="166"/>
      <c r="F293" s="166"/>
      <c r="G293" s="166"/>
      <c r="H293" s="173"/>
      <c r="I293" s="166"/>
      <c r="J293" s="166"/>
      <c r="K293" s="166"/>
      <c r="L293" s="166"/>
      <c r="M293" s="173"/>
      <c r="N293" s="166"/>
      <c r="O293" s="166"/>
      <c r="P293" s="166"/>
      <c r="Q293" s="166"/>
      <c r="R293" s="173"/>
      <c r="S293" s="1243"/>
      <c r="T293" s="166"/>
      <c r="U293" s="166"/>
      <c r="V293" s="166"/>
      <c r="W293" s="173"/>
      <c r="X293" s="166"/>
      <c r="Y293" s="166"/>
      <c r="Z293" s="166"/>
      <c r="AA293" s="166"/>
      <c r="AB293" s="173"/>
      <c r="AC293" s="166"/>
      <c r="AD293" s="166"/>
      <c r="AE293" s="166"/>
      <c r="AF293" s="166"/>
      <c r="AG293" s="173"/>
      <c r="AH293" s="166"/>
      <c r="AI293" s="166"/>
      <c r="AJ293" s="166"/>
      <c r="AK293" s="166"/>
    </row>
    <row r="294" spans="1:37" s="89" customFormat="1" ht="12.75" customHeight="1">
      <c r="A294" s="67"/>
      <c r="B294" s="378"/>
      <c r="C294" s="167"/>
      <c r="D294" s="168"/>
      <c r="E294" s="168"/>
      <c r="F294" s="168"/>
      <c r="G294" s="168"/>
      <c r="H294" s="167"/>
      <c r="I294" s="168"/>
      <c r="J294" s="168"/>
      <c r="K294" s="168"/>
      <c r="L294" s="168"/>
      <c r="M294" s="167"/>
      <c r="N294" s="168"/>
      <c r="O294" s="168"/>
      <c r="P294" s="168"/>
      <c r="Q294" s="168"/>
      <c r="R294" s="167"/>
      <c r="S294" s="1244"/>
      <c r="T294" s="168"/>
      <c r="U294" s="168"/>
      <c r="V294" s="168"/>
      <c r="W294" s="167"/>
      <c r="X294" s="168"/>
      <c r="Y294" s="168"/>
      <c r="Z294" s="168"/>
      <c r="AA294" s="168"/>
      <c r="AB294" s="167"/>
      <c r="AC294" s="168"/>
      <c r="AD294" s="168"/>
      <c r="AE294" s="168"/>
      <c r="AF294" s="168"/>
      <c r="AG294" s="167"/>
      <c r="AH294" s="168"/>
      <c r="AI294" s="168"/>
      <c r="AJ294" s="168"/>
      <c r="AK294" s="168"/>
    </row>
    <row r="295" spans="1:37" s="89" customFormat="1" ht="12.75" customHeight="1">
      <c r="A295" s="67"/>
      <c r="B295" s="378"/>
      <c r="C295" s="101"/>
      <c r="D295" s="102"/>
      <c r="E295" s="102"/>
      <c r="F295" s="102"/>
      <c r="G295" s="102"/>
      <c r="H295" s="101"/>
      <c r="I295" s="102"/>
      <c r="J295" s="102"/>
      <c r="K295" s="102"/>
      <c r="L295" s="102"/>
      <c r="M295" s="101"/>
      <c r="N295" s="102"/>
      <c r="O295" s="102"/>
      <c r="P295" s="102"/>
      <c r="Q295" s="102"/>
      <c r="R295" s="101"/>
      <c r="S295" s="291"/>
      <c r="T295" s="102"/>
      <c r="U295" s="102"/>
      <c r="V295" s="102"/>
      <c r="W295" s="101"/>
      <c r="X295" s="102"/>
      <c r="Y295" s="102"/>
      <c r="Z295" s="102"/>
      <c r="AA295" s="102"/>
      <c r="AB295" s="101"/>
      <c r="AC295" s="102"/>
      <c r="AD295" s="102"/>
      <c r="AE295" s="102"/>
      <c r="AF295" s="102"/>
      <c r="AG295" s="101"/>
      <c r="AH295" s="102"/>
      <c r="AI295" s="102"/>
      <c r="AJ295" s="102"/>
      <c r="AK295" s="102"/>
    </row>
    <row r="296" spans="1:37" s="89" customFormat="1" ht="12.75" customHeight="1">
      <c r="A296" s="67"/>
      <c r="B296" s="378"/>
      <c r="C296" s="174"/>
      <c r="D296" s="175"/>
      <c r="E296" s="175"/>
      <c r="F296" s="175"/>
      <c r="G296" s="175"/>
      <c r="H296" s="174"/>
      <c r="I296" s="175"/>
      <c r="J296" s="175"/>
      <c r="K296" s="175"/>
      <c r="L296" s="175"/>
      <c r="M296" s="174"/>
      <c r="N296" s="175"/>
      <c r="O296" s="175"/>
      <c r="P296" s="175"/>
      <c r="Q296" s="175"/>
      <c r="R296" s="174"/>
      <c r="S296" s="1247"/>
      <c r="T296" s="175"/>
      <c r="U296" s="175"/>
      <c r="V296" s="175"/>
      <c r="W296" s="174"/>
      <c r="X296" s="175"/>
      <c r="Y296" s="175"/>
      <c r="Z296" s="175"/>
      <c r="AA296" s="175"/>
      <c r="AB296" s="174"/>
      <c r="AC296" s="175"/>
      <c r="AD296" s="175"/>
      <c r="AE296" s="175"/>
      <c r="AF296" s="175"/>
      <c r="AG296" s="174"/>
      <c r="AH296" s="175"/>
      <c r="AI296" s="175"/>
      <c r="AJ296" s="175"/>
      <c r="AK296" s="175"/>
    </row>
    <row r="297" spans="1:37" s="89" customFormat="1" ht="12.75" customHeight="1">
      <c r="A297" s="67"/>
      <c r="B297" s="378"/>
      <c r="C297" s="127"/>
      <c r="D297" s="100"/>
      <c r="E297" s="100"/>
      <c r="F297" s="100"/>
      <c r="G297" s="100"/>
      <c r="H297" s="127"/>
      <c r="I297" s="100"/>
      <c r="J297" s="100"/>
      <c r="K297" s="100"/>
      <c r="L297" s="100"/>
      <c r="M297" s="127"/>
      <c r="N297" s="100"/>
      <c r="O297" s="100"/>
      <c r="P297" s="100"/>
      <c r="Q297" s="100"/>
      <c r="R297" s="127"/>
      <c r="S297" s="1219"/>
      <c r="T297" s="100"/>
      <c r="U297" s="100"/>
      <c r="V297" s="100"/>
      <c r="W297" s="127"/>
      <c r="X297" s="100"/>
      <c r="Y297" s="100"/>
      <c r="Z297" s="100"/>
      <c r="AA297" s="100"/>
      <c r="AB297" s="127"/>
      <c r="AC297" s="100"/>
      <c r="AD297" s="100"/>
      <c r="AE297" s="100"/>
      <c r="AF297" s="100"/>
      <c r="AG297" s="127"/>
      <c r="AH297" s="100"/>
      <c r="AI297" s="100"/>
      <c r="AJ297" s="100"/>
      <c r="AK297" s="100"/>
    </row>
    <row r="303" spans="1:37" s="89" customFormat="1" ht="12.75" customHeight="1">
      <c r="A303" s="67"/>
      <c r="B303" s="378"/>
      <c r="C303" s="176"/>
      <c r="D303" s="177"/>
      <c r="E303" s="177"/>
      <c r="F303" s="177"/>
      <c r="G303" s="177"/>
      <c r="H303" s="176"/>
      <c r="I303" s="177"/>
      <c r="J303" s="177"/>
      <c r="K303" s="177"/>
      <c r="L303" s="177"/>
      <c r="M303" s="176"/>
      <c r="N303" s="177"/>
      <c r="O303" s="177"/>
      <c r="P303" s="177"/>
      <c r="Q303" s="177"/>
      <c r="R303" s="176"/>
      <c r="S303" s="1248"/>
      <c r="T303" s="177"/>
      <c r="U303" s="177"/>
      <c r="V303" s="177"/>
      <c r="W303" s="176"/>
      <c r="X303" s="177"/>
      <c r="Y303" s="177"/>
      <c r="Z303" s="177"/>
      <c r="AA303" s="177"/>
      <c r="AB303" s="176"/>
      <c r="AC303" s="177"/>
      <c r="AD303" s="177"/>
      <c r="AE303" s="177"/>
      <c r="AF303" s="177"/>
      <c r="AG303" s="176"/>
      <c r="AH303" s="177"/>
      <c r="AI303" s="177"/>
      <c r="AJ303" s="177"/>
      <c r="AK303" s="177"/>
    </row>
    <row r="304" spans="1:37" s="89" customFormat="1" ht="12.75" customHeight="1">
      <c r="A304" s="67"/>
      <c r="B304" s="378"/>
      <c r="C304" s="178"/>
      <c r="D304" s="179"/>
      <c r="E304" s="179"/>
      <c r="F304" s="179"/>
      <c r="G304" s="179"/>
      <c r="H304" s="178"/>
      <c r="I304" s="179"/>
      <c r="J304" s="179"/>
      <c r="K304" s="179"/>
      <c r="L304" s="179"/>
      <c r="M304" s="178"/>
      <c r="N304" s="179"/>
      <c r="O304" s="179"/>
      <c r="P304" s="179"/>
      <c r="Q304" s="179"/>
      <c r="R304" s="178"/>
      <c r="S304" s="1249"/>
      <c r="T304" s="179"/>
      <c r="U304" s="179"/>
      <c r="V304" s="179"/>
      <c r="W304" s="178"/>
      <c r="X304" s="179"/>
      <c r="Y304" s="179"/>
      <c r="Z304" s="179"/>
      <c r="AA304" s="179"/>
      <c r="AB304" s="178"/>
      <c r="AC304" s="179"/>
      <c r="AD304" s="179"/>
      <c r="AE304" s="179"/>
      <c r="AF304" s="179"/>
      <c r="AG304" s="178"/>
      <c r="AH304" s="179"/>
      <c r="AI304" s="179"/>
      <c r="AJ304" s="179"/>
      <c r="AK304" s="179"/>
    </row>
    <row r="305" spans="1:37" s="89" customFormat="1" ht="12.75" customHeight="1">
      <c r="A305" s="67"/>
      <c r="B305" s="378"/>
      <c r="C305" s="167"/>
      <c r="D305" s="168"/>
      <c r="E305" s="168"/>
      <c r="F305" s="168"/>
      <c r="G305" s="168"/>
      <c r="H305" s="167"/>
      <c r="I305" s="168"/>
      <c r="J305" s="168"/>
      <c r="K305" s="168"/>
      <c r="L305" s="168"/>
      <c r="M305" s="167"/>
      <c r="N305" s="168"/>
      <c r="O305" s="168"/>
      <c r="P305" s="168"/>
      <c r="Q305" s="168"/>
      <c r="R305" s="167"/>
      <c r="S305" s="1244"/>
      <c r="T305" s="168"/>
      <c r="U305" s="168"/>
      <c r="V305" s="168"/>
      <c r="W305" s="167"/>
      <c r="X305" s="168"/>
      <c r="Y305" s="168"/>
      <c r="Z305" s="168"/>
      <c r="AA305" s="168"/>
      <c r="AB305" s="167"/>
      <c r="AC305" s="168"/>
      <c r="AD305" s="168"/>
      <c r="AE305" s="168"/>
      <c r="AF305" s="168"/>
      <c r="AG305" s="167"/>
      <c r="AH305" s="168"/>
      <c r="AI305" s="168"/>
      <c r="AJ305" s="168"/>
      <c r="AK305" s="168"/>
    </row>
    <row r="307" spans="1:37" s="89" customFormat="1" ht="12.75" customHeight="1">
      <c r="A307" s="67"/>
      <c r="B307" s="378"/>
      <c r="C307" s="162"/>
      <c r="D307" s="163"/>
      <c r="E307" s="163"/>
      <c r="F307" s="163"/>
      <c r="G307" s="163"/>
      <c r="H307" s="162"/>
      <c r="I307" s="163"/>
      <c r="J307" s="163"/>
      <c r="K307" s="163"/>
      <c r="L307" s="163"/>
      <c r="M307" s="162"/>
      <c r="N307" s="163"/>
      <c r="O307" s="163"/>
      <c r="P307" s="163"/>
      <c r="Q307" s="163"/>
      <c r="R307" s="162"/>
      <c r="S307" s="1241"/>
      <c r="T307" s="163"/>
      <c r="U307" s="163"/>
      <c r="V307" s="163"/>
      <c r="W307" s="162"/>
      <c r="X307" s="163"/>
      <c r="Y307" s="163"/>
      <c r="Z307" s="163"/>
      <c r="AA307" s="163"/>
      <c r="AB307" s="162"/>
      <c r="AC307" s="163"/>
      <c r="AD307" s="163"/>
      <c r="AE307" s="163"/>
      <c r="AF307" s="163"/>
      <c r="AG307" s="162"/>
      <c r="AH307" s="163"/>
      <c r="AI307" s="163"/>
      <c r="AJ307" s="163"/>
      <c r="AK307" s="163"/>
    </row>
    <row r="308" spans="1:37" s="89" customFormat="1" ht="12.75" customHeight="1">
      <c r="A308" s="67"/>
      <c r="B308" s="378"/>
      <c r="C308" s="127"/>
      <c r="D308" s="100"/>
      <c r="E308" s="100"/>
      <c r="F308" s="100"/>
      <c r="G308" s="100"/>
      <c r="H308" s="127"/>
      <c r="I308" s="100"/>
      <c r="J308" s="100"/>
      <c r="K308" s="100"/>
      <c r="L308" s="100"/>
      <c r="M308" s="127"/>
      <c r="N308" s="100"/>
      <c r="O308" s="100"/>
      <c r="P308" s="100"/>
      <c r="Q308" s="100"/>
      <c r="R308" s="127"/>
      <c r="S308" s="1219"/>
      <c r="T308" s="100"/>
      <c r="U308" s="100"/>
      <c r="V308" s="100"/>
      <c r="W308" s="127"/>
      <c r="X308" s="100"/>
      <c r="Y308" s="100"/>
      <c r="Z308" s="100"/>
      <c r="AA308" s="100"/>
      <c r="AB308" s="127"/>
      <c r="AC308" s="100"/>
      <c r="AD308" s="100"/>
      <c r="AE308" s="100"/>
      <c r="AF308" s="100"/>
      <c r="AG308" s="127"/>
      <c r="AH308" s="100"/>
      <c r="AI308" s="100"/>
      <c r="AJ308" s="100"/>
      <c r="AK308" s="100"/>
    </row>
    <row r="310" spans="1:37" s="89" customFormat="1" ht="12.75" customHeight="1">
      <c r="A310" s="67"/>
      <c r="B310" s="378"/>
      <c r="C310" s="173"/>
      <c r="D310" s="166"/>
      <c r="E310" s="166"/>
      <c r="F310" s="166"/>
      <c r="G310" s="166"/>
      <c r="H310" s="173"/>
      <c r="I310" s="166"/>
      <c r="J310" s="166"/>
      <c r="K310" s="166"/>
      <c r="L310" s="166"/>
      <c r="M310" s="173"/>
      <c r="N310" s="166"/>
      <c r="O310" s="166"/>
      <c r="P310" s="166"/>
      <c r="Q310" s="166"/>
      <c r="R310" s="173"/>
      <c r="S310" s="1243"/>
      <c r="T310" s="166"/>
      <c r="U310" s="166"/>
      <c r="V310" s="166"/>
      <c r="W310" s="173"/>
      <c r="X310" s="166"/>
      <c r="Y310" s="166"/>
      <c r="Z310" s="166"/>
      <c r="AA310" s="166"/>
      <c r="AB310" s="173"/>
      <c r="AC310" s="166"/>
      <c r="AD310" s="166"/>
      <c r="AE310" s="166"/>
      <c r="AF310" s="166"/>
      <c r="AG310" s="173"/>
      <c r="AH310" s="166"/>
      <c r="AI310" s="166"/>
      <c r="AJ310" s="166"/>
      <c r="AK310" s="166"/>
    </row>
    <row r="311" spans="1:37" s="89" customFormat="1" ht="12.75" customHeight="1">
      <c r="A311" s="67"/>
      <c r="B311" s="378"/>
      <c r="C311" s="167"/>
      <c r="D311" s="168"/>
      <c r="E311" s="168"/>
      <c r="F311" s="168"/>
      <c r="G311" s="168"/>
      <c r="H311" s="167"/>
      <c r="I311" s="168"/>
      <c r="J311" s="168"/>
      <c r="K311" s="168"/>
      <c r="L311" s="168"/>
      <c r="M311" s="167"/>
      <c r="N311" s="168"/>
      <c r="O311" s="168"/>
      <c r="P311" s="168"/>
      <c r="Q311" s="168"/>
      <c r="R311" s="167"/>
      <c r="S311" s="1244"/>
      <c r="T311" s="168"/>
      <c r="U311" s="168"/>
      <c r="V311" s="168"/>
      <c r="W311" s="167"/>
      <c r="X311" s="168"/>
      <c r="Y311" s="168"/>
      <c r="Z311" s="168"/>
      <c r="AA311" s="168"/>
      <c r="AB311" s="167"/>
      <c r="AC311" s="168"/>
      <c r="AD311" s="168"/>
      <c r="AE311" s="168"/>
      <c r="AF311" s="168"/>
      <c r="AG311" s="167"/>
      <c r="AH311" s="168"/>
      <c r="AI311" s="168"/>
      <c r="AJ311" s="168"/>
      <c r="AK311" s="168"/>
    </row>
    <row r="313" spans="1:37" s="89" customFormat="1" ht="12.75" customHeight="1">
      <c r="A313" s="67"/>
      <c r="B313" s="378"/>
      <c r="C313" s="162"/>
      <c r="D313" s="163"/>
      <c r="E313" s="163"/>
      <c r="F313" s="163"/>
      <c r="G313" s="163"/>
      <c r="H313" s="162"/>
      <c r="I313" s="163"/>
      <c r="J313" s="163"/>
      <c r="K313" s="163"/>
      <c r="L313" s="163"/>
      <c r="M313" s="162"/>
      <c r="N313" s="163"/>
      <c r="O313" s="163"/>
      <c r="P313" s="163"/>
      <c r="Q313" s="163"/>
      <c r="R313" s="162"/>
      <c r="S313" s="1241"/>
      <c r="T313" s="163"/>
      <c r="U313" s="163"/>
      <c r="V313" s="163"/>
      <c r="W313" s="162"/>
      <c r="X313" s="163"/>
      <c r="Y313" s="163"/>
      <c r="Z313" s="163"/>
      <c r="AA313" s="163"/>
      <c r="AB313" s="162"/>
      <c r="AC313" s="163"/>
      <c r="AD313" s="163"/>
      <c r="AE313" s="163"/>
      <c r="AF313" s="163"/>
      <c r="AG313" s="162"/>
      <c r="AH313" s="163"/>
      <c r="AI313" s="163"/>
      <c r="AJ313" s="163"/>
      <c r="AK313" s="163"/>
    </row>
    <row r="314" spans="1:37" s="89" customFormat="1" ht="12.75" customHeight="1">
      <c r="A314" s="67"/>
      <c r="B314" s="378"/>
      <c r="C314" s="127"/>
      <c r="D314" s="100"/>
      <c r="E314" s="100"/>
      <c r="F314" s="100"/>
      <c r="G314" s="100"/>
      <c r="H314" s="127"/>
      <c r="I314" s="100"/>
      <c r="J314" s="100"/>
      <c r="K314" s="100"/>
      <c r="L314" s="100"/>
      <c r="M314" s="127"/>
      <c r="N314" s="100"/>
      <c r="O314" s="100"/>
      <c r="P314" s="100"/>
      <c r="Q314" s="100"/>
      <c r="R314" s="127"/>
      <c r="S314" s="1219"/>
      <c r="T314" s="100"/>
      <c r="U314" s="100"/>
      <c r="V314" s="100"/>
      <c r="W314" s="127"/>
      <c r="X314" s="100"/>
      <c r="Y314" s="100"/>
      <c r="Z314" s="100"/>
      <c r="AA314" s="100"/>
      <c r="AB314" s="127"/>
      <c r="AC314" s="100"/>
      <c r="AD314" s="100"/>
      <c r="AE314" s="100"/>
      <c r="AF314" s="100"/>
      <c r="AG314" s="127"/>
      <c r="AH314" s="100"/>
      <c r="AI314" s="100"/>
      <c r="AJ314" s="100"/>
      <c r="AK314" s="100"/>
    </row>
    <row r="318" spans="1:37" s="89" customFormat="1" ht="12.75" customHeight="1">
      <c r="A318" s="67"/>
      <c r="B318" s="378"/>
      <c r="C318" s="169"/>
      <c r="D318" s="170"/>
      <c r="E318" s="170"/>
      <c r="F318" s="170"/>
      <c r="G318" s="170"/>
      <c r="H318" s="169"/>
      <c r="I318" s="170"/>
      <c r="J318" s="170"/>
      <c r="K318" s="170"/>
      <c r="L318" s="170"/>
      <c r="M318" s="169"/>
      <c r="N318" s="170"/>
      <c r="O318" s="170"/>
      <c r="P318" s="170"/>
      <c r="Q318" s="170"/>
      <c r="R318" s="169"/>
      <c r="S318" s="1245"/>
      <c r="T318" s="170"/>
      <c r="U318" s="170"/>
      <c r="V318" s="170"/>
      <c r="W318" s="169"/>
      <c r="X318" s="170"/>
      <c r="Y318" s="170"/>
      <c r="Z318" s="170"/>
      <c r="AA318" s="170"/>
      <c r="AB318" s="169"/>
      <c r="AC318" s="170"/>
      <c r="AD318" s="170"/>
      <c r="AE318" s="170"/>
      <c r="AF318" s="170"/>
      <c r="AG318" s="169"/>
      <c r="AH318" s="170"/>
      <c r="AI318" s="170"/>
      <c r="AJ318" s="170"/>
      <c r="AK318" s="170"/>
    </row>
    <row r="319" spans="1:37" s="89" customFormat="1" ht="12.75" customHeight="1">
      <c r="A319" s="67"/>
      <c r="B319" s="378"/>
      <c r="C319" s="174"/>
      <c r="D319" s="175"/>
      <c r="E319" s="175"/>
      <c r="F319" s="175"/>
      <c r="G319" s="175"/>
      <c r="H319" s="174"/>
      <c r="I319" s="175"/>
      <c r="J319" s="175"/>
      <c r="K319" s="175"/>
      <c r="L319" s="175"/>
      <c r="M319" s="174"/>
      <c r="N319" s="175"/>
      <c r="O319" s="175"/>
      <c r="P319" s="175"/>
      <c r="Q319" s="175"/>
      <c r="R319" s="174"/>
      <c r="S319" s="1247"/>
      <c r="T319" s="175"/>
      <c r="U319" s="175"/>
      <c r="V319" s="175"/>
      <c r="W319" s="174"/>
      <c r="X319" s="175"/>
      <c r="Y319" s="175"/>
      <c r="Z319" s="175"/>
      <c r="AA319" s="175"/>
      <c r="AB319" s="174"/>
      <c r="AC319" s="175"/>
      <c r="AD319" s="175"/>
      <c r="AE319" s="175"/>
      <c r="AF319" s="175"/>
      <c r="AG319" s="174"/>
      <c r="AH319" s="175"/>
      <c r="AI319" s="175"/>
      <c r="AJ319" s="175"/>
      <c r="AK319" s="175"/>
    </row>
    <row r="320" spans="1:37" s="89" customFormat="1" ht="12.75" customHeight="1">
      <c r="A320" s="67"/>
      <c r="B320" s="378"/>
      <c r="C320" s="127"/>
      <c r="D320" s="100"/>
      <c r="E320" s="100"/>
      <c r="F320" s="100"/>
      <c r="G320" s="100"/>
      <c r="H320" s="127"/>
      <c r="I320" s="100"/>
      <c r="J320" s="100"/>
      <c r="K320" s="100"/>
      <c r="L320" s="100"/>
      <c r="M320" s="127"/>
      <c r="N320" s="100"/>
      <c r="O320" s="100"/>
      <c r="P320" s="100"/>
      <c r="Q320" s="100"/>
      <c r="R320" s="127"/>
      <c r="S320" s="1219"/>
      <c r="T320" s="100"/>
      <c r="U320" s="100"/>
      <c r="V320" s="100"/>
      <c r="W320" s="127"/>
      <c r="X320" s="100"/>
      <c r="Y320" s="100"/>
      <c r="Z320" s="100"/>
      <c r="AA320" s="100"/>
      <c r="AB320" s="127"/>
      <c r="AC320" s="100"/>
      <c r="AD320" s="100"/>
      <c r="AE320" s="100"/>
      <c r="AF320" s="100"/>
      <c r="AG320" s="127"/>
      <c r="AH320" s="100"/>
      <c r="AI320" s="100"/>
      <c r="AJ320" s="100"/>
      <c r="AK320" s="100"/>
    </row>
    <row r="323" spans="1:37" s="89" customFormat="1" ht="12.75" customHeight="1">
      <c r="A323" s="67"/>
      <c r="B323" s="378"/>
      <c r="C323" s="162"/>
      <c r="D323" s="163"/>
      <c r="E323" s="163"/>
      <c r="F323" s="163"/>
      <c r="G323" s="163"/>
      <c r="H323" s="162"/>
      <c r="I323" s="163"/>
      <c r="J323" s="163"/>
      <c r="K323" s="163"/>
      <c r="L323" s="163"/>
      <c r="M323" s="162"/>
      <c r="N323" s="163"/>
      <c r="O323" s="163"/>
      <c r="P323" s="163"/>
      <c r="Q323" s="163"/>
      <c r="R323" s="162"/>
      <c r="S323" s="1241"/>
      <c r="T323" s="163"/>
      <c r="U323" s="163"/>
      <c r="V323" s="163"/>
      <c r="W323" s="162"/>
      <c r="X323" s="163"/>
      <c r="Y323" s="163"/>
      <c r="Z323" s="163"/>
      <c r="AA323" s="163"/>
      <c r="AB323" s="162"/>
      <c r="AC323" s="163"/>
      <c r="AD323" s="163"/>
      <c r="AE323" s="163"/>
      <c r="AF323" s="163"/>
      <c r="AG323" s="162"/>
      <c r="AH323" s="163"/>
      <c r="AI323" s="163"/>
      <c r="AJ323" s="163"/>
      <c r="AK323" s="163"/>
    </row>
    <row r="324" spans="1:37" s="89" customFormat="1" ht="12.75" customHeight="1">
      <c r="A324" s="67"/>
      <c r="B324" s="378"/>
      <c r="C324" s="101"/>
      <c r="D324" s="102"/>
      <c r="E324" s="102"/>
      <c r="F324" s="102"/>
      <c r="G324" s="102"/>
      <c r="H324" s="101"/>
      <c r="I324" s="102"/>
      <c r="J324" s="102"/>
      <c r="K324" s="102"/>
      <c r="L324" s="102"/>
      <c r="M324" s="101"/>
      <c r="N324" s="102"/>
      <c r="O324" s="102"/>
      <c r="P324" s="102"/>
      <c r="Q324" s="102"/>
      <c r="R324" s="101"/>
      <c r="S324" s="291"/>
      <c r="T324" s="102"/>
      <c r="U324" s="102"/>
      <c r="V324" s="102"/>
      <c r="W324" s="101"/>
      <c r="X324" s="102"/>
      <c r="Y324" s="102"/>
      <c r="Z324" s="102"/>
      <c r="AA324" s="102"/>
      <c r="AB324" s="101"/>
      <c r="AC324" s="102"/>
      <c r="AD324" s="102"/>
      <c r="AE324" s="102"/>
      <c r="AF324" s="102"/>
      <c r="AG324" s="101"/>
      <c r="AH324" s="102"/>
      <c r="AI324" s="102"/>
      <c r="AJ324" s="102"/>
      <c r="AK324" s="102"/>
    </row>
    <row r="325" spans="1:37" s="89" customFormat="1" ht="12.75" customHeight="1">
      <c r="A325" s="67"/>
      <c r="B325" s="378"/>
      <c r="C325" s="101"/>
      <c r="D325" s="102"/>
      <c r="E325" s="102"/>
      <c r="F325" s="102"/>
      <c r="G325" s="102"/>
      <c r="H325" s="101"/>
      <c r="I325" s="102"/>
      <c r="J325" s="102"/>
      <c r="K325" s="102"/>
      <c r="L325" s="102"/>
      <c r="M325" s="101"/>
      <c r="N325" s="102"/>
      <c r="O325" s="102"/>
      <c r="P325" s="102"/>
      <c r="Q325" s="102"/>
      <c r="R325" s="101"/>
      <c r="S325" s="291"/>
      <c r="T325" s="102"/>
      <c r="U325" s="102"/>
      <c r="V325" s="102"/>
      <c r="W325" s="101"/>
      <c r="X325" s="102"/>
      <c r="Y325" s="102"/>
      <c r="Z325" s="102"/>
      <c r="AA325" s="102"/>
      <c r="AB325" s="101"/>
      <c r="AC325" s="102"/>
      <c r="AD325" s="102"/>
      <c r="AE325" s="102"/>
      <c r="AF325" s="102"/>
      <c r="AG325" s="101"/>
      <c r="AH325" s="102"/>
      <c r="AI325" s="102"/>
      <c r="AJ325" s="102"/>
      <c r="AK325" s="102"/>
    </row>
    <row r="326" spans="1:37" s="89" customFormat="1" ht="12.75" customHeight="1">
      <c r="A326" s="67"/>
      <c r="B326" s="378"/>
      <c r="C326" s="101"/>
      <c r="D326" s="102"/>
      <c r="E326" s="102"/>
      <c r="F326" s="102"/>
      <c r="G326" s="102"/>
      <c r="H326" s="101"/>
      <c r="I326" s="102"/>
      <c r="J326" s="102"/>
      <c r="K326" s="102"/>
      <c r="L326" s="102"/>
      <c r="M326" s="101"/>
      <c r="N326" s="102"/>
      <c r="O326" s="102"/>
      <c r="P326" s="102"/>
      <c r="Q326" s="102"/>
      <c r="R326" s="101"/>
      <c r="S326" s="291"/>
      <c r="T326" s="102"/>
      <c r="U326" s="102"/>
      <c r="V326" s="102"/>
      <c r="W326" s="101"/>
      <c r="X326" s="102"/>
      <c r="Y326" s="102"/>
      <c r="Z326" s="102"/>
      <c r="AA326" s="102"/>
      <c r="AB326" s="101"/>
      <c r="AC326" s="102"/>
      <c r="AD326" s="102"/>
      <c r="AE326" s="102"/>
      <c r="AF326" s="102"/>
      <c r="AG326" s="101"/>
      <c r="AH326" s="102"/>
      <c r="AI326" s="102"/>
      <c r="AJ326" s="102"/>
      <c r="AK326" s="102"/>
    </row>
    <row r="327" spans="1:37" s="89" customFormat="1" ht="12.75" customHeight="1">
      <c r="A327" s="67"/>
      <c r="B327" s="378"/>
      <c r="C327" s="164"/>
      <c r="D327" s="102"/>
      <c r="E327" s="102"/>
      <c r="F327" s="102"/>
      <c r="G327" s="102"/>
      <c r="H327" s="164"/>
      <c r="I327" s="102"/>
      <c r="J327" s="102"/>
      <c r="K327" s="102"/>
      <c r="L327" s="102"/>
      <c r="M327" s="164"/>
      <c r="N327" s="102"/>
      <c r="O327" s="102"/>
      <c r="P327" s="102"/>
      <c r="Q327" s="102"/>
      <c r="R327" s="164"/>
      <c r="S327" s="291"/>
      <c r="T327" s="102"/>
      <c r="U327" s="102"/>
      <c r="V327" s="102"/>
      <c r="W327" s="164"/>
      <c r="X327" s="102"/>
      <c r="Y327" s="102"/>
      <c r="Z327" s="102"/>
      <c r="AA327" s="102"/>
      <c r="AB327" s="164"/>
      <c r="AC327" s="102"/>
      <c r="AD327" s="102"/>
      <c r="AE327" s="102"/>
      <c r="AF327" s="102"/>
      <c r="AG327" s="164"/>
      <c r="AH327" s="102"/>
      <c r="AI327" s="102"/>
      <c r="AJ327" s="102"/>
      <c r="AK327" s="102"/>
    </row>
    <row r="328" spans="1:37" s="89" customFormat="1" ht="12.75" customHeight="1">
      <c r="A328" s="67"/>
      <c r="B328" s="378"/>
      <c r="C328" s="101"/>
      <c r="D328" s="102"/>
      <c r="E328" s="102"/>
      <c r="F328" s="102"/>
      <c r="G328" s="102"/>
      <c r="H328" s="101"/>
      <c r="I328" s="102"/>
      <c r="J328" s="102"/>
      <c r="K328" s="102"/>
      <c r="L328" s="102"/>
      <c r="M328" s="101"/>
      <c r="N328" s="102"/>
      <c r="O328" s="102"/>
      <c r="P328" s="102"/>
      <c r="Q328" s="102"/>
      <c r="R328" s="101"/>
      <c r="S328" s="291"/>
      <c r="T328" s="102"/>
      <c r="U328" s="102"/>
      <c r="V328" s="102"/>
      <c r="W328" s="101"/>
      <c r="X328" s="102"/>
      <c r="Y328" s="102"/>
      <c r="Z328" s="102"/>
      <c r="AA328" s="102"/>
      <c r="AB328" s="101"/>
      <c r="AC328" s="102"/>
      <c r="AD328" s="102"/>
      <c r="AE328" s="102"/>
      <c r="AF328" s="102"/>
      <c r="AG328" s="101"/>
      <c r="AH328" s="102"/>
      <c r="AI328" s="102"/>
      <c r="AJ328" s="102"/>
      <c r="AK328" s="102"/>
    </row>
    <row r="329" spans="1:37" s="89" customFormat="1" ht="12.75" customHeight="1">
      <c r="A329" s="67"/>
      <c r="B329" s="378"/>
      <c r="C329" s="162"/>
      <c r="D329" s="102"/>
      <c r="E329" s="102"/>
      <c r="F329" s="102"/>
      <c r="G329" s="102"/>
      <c r="H329" s="162"/>
      <c r="I329" s="102"/>
      <c r="J329" s="102"/>
      <c r="K329" s="102"/>
      <c r="L329" s="102"/>
      <c r="M329" s="162"/>
      <c r="N329" s="102"/>
      <c r="O329" s="102"/>
      <c r="P329" s="102"/>
      <c r="Q329" s="102"/>
      <c r="R329" s="162"/>
      <c r="S329" s="291"/>
      <c r="T329" s="102"/>
      <c r="U329" s="102"/>
      <c r="V329" s="102"/>
      <c r="W329" s="162"/>
      <c r="X329" s="102"/>
      <c r="Y329" s="102"/>
      <c r="Z329" s="102"/>
      <c r="AA329" s="102"/>
      <c r="AB329" s="162"/>
      <c r="AC329" s="102"/>
      <c r="AD329" s="102"/>
      <c r="AE329" s="102"/>
      <c r="AF329" s="102"/>
      <c r="AG329" s="162"/>
      <c r="AH329" s="102"/>
      <c r="AI329" s="102"/>
      <c r="AJ329" s="102"/>
      <c r="AK329" s="102"/>
    </row>
    <row r="330" spans="1:37" s="89" customFormat="1" ht="12.75" customHeight="1">
      <c r="A330" s="67"/>
      <c r="B330" s="378"/>
      <c r="C330" s="101"/>
      <c r="D330" s="102"/>
      <c r="E330" s="102"/>
      <c r="F330" s="102"/>
      <c r="G330" s="102"/>
      <c r="H330" s="101"/>
      <c r="I330" s="102"/>
      <c r="J330" s="102"/>
      <c r="K330" s="102"/>
      <c r="L330" s="102"/>
      <c r="M330" s="101"/>
      <c r="N330" s="102"/>
      <c r="O330" s="102"/>
      <c r="P330" s="102"/>
      <c r="Q330" s="102"/>
      <c r="R330" s="101"/>
      <c r="S330" s="291"/>
      <c r="T330" s="102"/>
      <c r="U330" s="102"/>
      <c r="V330" s="102"/>
      <c r="W330" s="101"/>
      <c r="X330" s="102"/>
      <c r="Y330" s="102"/>
      <c r="Z330" s="102"/>
      <c r="AA330" s="102"/>
      <c r="AB330" s="101"/>
      <c r="AC330" s="102"/>
      <c r="AD330" s="102"/>
      <c r="AE330" s="102"/>
      <c r="AF330" s="102"/>
      <c r="AG330" s="101"/>
      <c r="AH330" s="102"/>
      <c r="AI330" s="102"/>
      <c r="AJ330" s="102"/>
      <c r="AK330" s="102"/>
    </row>
    <row r="331" spans="1:37" s="89" customFormat="1" ht="12.75" customHeight="1">
      <c r="A331" s="67"/>
      <c r="B331" s="378"/>
      <c r="C331" s="101"/>
      <c r="D331" s="102"/>
      <c r="E331" s="102"/>
      <c r="F331" s="102"/>
      <c r="G331" s="102"/>
      <c r="H331" s="101"/>
      <c r="I331" s="102"/>
      <c r="J331" s="102"/>
      <c r="K331" s="102"/>
      <c r="L331" s="102"/>
      <c r="M331" s="101"/>
      <c r="N331" s="102"/>
      <c r="O331" s="102"/>
      <c r="P331" s="102"/>
      <c r="Q331" s="102"/>
      <c r="R331" s="101"/>
      <c r="S331" s="291"/>
      <c r="T331" s="102"/>
      <c r="U331" s="102"/>
      <c r="V331" s="102"/>
      <c r="W331" s="101"/>
      <c r="X331" s="102"/>
      <c r="Y331" s="102"/>
      <c r="Z331" s="102"/>
      <c r="AA331" s="102"/>
      <c r="AB331" s="101"/>
      <c r="AC331" s="102"/>
      <c r="AD331" s="102"/>
      <c r="AE331" s="102"/>
      <c r="AF331" s="102"/>
      <c r="AG331" s="101"/>
      <c r="AH331" s="102"/>
      <c r="AI331" s="102"/>
      <c r="AJ331" s="102"/>
      <c r="AK331" s="102"/>
    </row>
    <row r="332" spans="1:37" s="89" customFormat="1" ht="12.75" customHeight="1">
      <c r="A332" s="67"/>
      <c r="B332" s="378"/>
      <c r="C332" s="178"/>
      <c r="D332" s="179"/>
      <c r="E332" s="179"/>
      <c r="F332" s="179"/>
      <c r="G332" s="179"/>
      <c r="H332" s="178"/>
      <c r="I332" s="179"/>
      <c r="J332" s="179"/>
      <c r="K332" s="179"/>
      <c r="L332" s="179"/>
      <c r="M332" s="178"/>
      <c r="N332" s="179"/>
      <c r="O332" s="179"/>
      <c r="P332" s="179"/>
      <c r="Q332" s="179"/>
      <c r="R332" s="178"/>
      <c r="S332" s="1249"/>
      <c r="T332" s="179"/>
      <c r="U332" s="179"/>
      <c r="V332" s="179"/>
      <c r="W332" s="178"/>
      <c r="X332" s="179"/>
      <c r="Y332" s="179"/>
      <c r="Z332" s="179"/>
      <c r="AA332" s="179"/>
      <c r="AB332" s="178"/>
      <c r="AC332" s="179"/>
      <c r="AD332" s="179"/>
      <c r="AE332" s="179"/>
      <c r="AF332" s="179"/>
      <c r="AG332" s="178"/>
      <c r="AH332" s="179"/>
      <c r="AI332" s="179"/>
      <c r="AJ332" s="179"/>
      <c r="AK332" s="179"/>
    </row>
    <row r="333" spans="1:37" s="89" customFormat="1" ht="12.75" customHeight="1">
      <c r="A333" s="67"/>
      <c r="B333" s="378"/>
      <c r="C333" s="167"/>
      <c r="D333" s="168"/>
      <c r="E333" s="168"/>
      <c r="F333" s="168"/>
      <c r="G333" s="168"/>
      <c r="H333" s="167"/>
      <c r="I333" s="168"/>
      <c r="J333" s="168"/>
      <c r="K333" s="168"/>
      <c r="L333" s="168"/>
      <c r="M333" s="167"/>
      <c r="N333" s="168"/>
      <c r="O333" s="168"/>
      <c r="P333" s="168"/>
      <c r="Q333" s="168"/>
      <c r="R333" s="167"/>
      <c r="S333" s="1244"/>
      <c r="T333" s="168"/>
      <c r="U333" s="168"/>
      <c r="V333" s="168"/>
      <c r="W333" s="167"/>
      <c r="X333" s="168"/>
      <c r="Y333" s="168"/>
      <c r="Z333" s="168"/>
      <c r="AA333" s="168"/>
      <c r="AB333" s="167"/>
      <c r="AC333" s="168"/>
      <c r="AD333" s="168"/>
      <c r="AE333" s="168"/>
      <c r="AF333" s="168"/>
      <c r="AG333" s="167"/>
      <c r="AH333" s="168"/>
      <c r="AI333" s="168"/>
      <c r="AJ333" s="168"/>
      <c r="AK333" s="168"/>
    </row>
    <row r="334" spans="1:37" s="89" customFormat="1" ht="12.75" customHeight="1">
      <c r="A334" s="67"/>
      <c r="B334" s="378"/>
      <c r="C334" s="101"/>
      <c r="D334" s="102"/>
      <c r="E334" s="102"/>
      <c r="F334" s="102"/>
      <c r="G334" s="102"/>
      <c r="H334" s="101"/>
      <c r="I334" s="102"/>
      <c r="J334" s="102"/>
      <c r="K334" s="102"/>
      <c r="L334" s="102"/>
      <c r="M334" s="101"/>
      <c r="N334" s="102"/>
      <c r="O334" s="102"/>
      <c r="P334" s="102"/>
      <c r="Q334" s="102"/>
      <c r="R334" s="101"/>
      <c r="S334" s="291"/>
      <c r="T334" s="102"/>
      <c r="U334" s="102"/>
      <c r="V334" s="102"/>
      <c r="W334" s="101"/>
      <c r="X334" s="102"/>
      <c r="Y334" s="102"/>
      <c r="Z334" s="102"/>
      <c r="AA334" s="102"/>
      <c r="AB334" s="101"/>
      <c r="AC334" s="102"/>
      <c r="AD334" s="102"/>
      <c r="AE334" s="102"/>
      <c r="AF334" s="102"/>
      <c r="AG334" s="101"/>
      <c r="AH334" s="102"/>
      <c r="AI334" s="102"/>
      <c r="AJ334" s="102"/>
      <c r="AK334" s="102"/>
    </row>
    <row r="335" spans="1:37" s="89" customFormat="1" ht="12.75" customHeight="1">
      <c r="A335" s="67"/>
      <c r="B335" s="378"/>
      <c r="C335" s="127"/>
      <c r="D335" s="100"/>
      <c r="E335" s="100"/>
      <c r="F335" s="100"/>
      <c r="G335" s="100"/>
      <c r="H335" s="127"/>
      <c r="I335" s="100"/>
      <c r="J335" s="100"/>
      <c r="K335" s="100"/>
      <c r="L335" s="100"/>
      <c r="M335" s="127"/>
      <c r="N335" s="100"/>
      <c r="O335" s="100"/>
      <c r="P335" s="100"/>
      <c r="Q335" s="100"/>
      <c r="R335" s="127"/>
      <c r="S335" s="1219"/>
      <c r="T335" s="100"/>
      <c r="U335" s="100"/>
      <c r="V335" s="100"/>
      <c r="W335" s="127"/>
      <c r="X335" s="100"/>
      <c r="Y335" s="100"/>
      <c r="Z335" s="100"/>
      <c r="AA335" s="100"/>
      <c r="AB335" s="127"/>
      <c r="AC335" s="100"/>
      <c r="AD335" s="100"/>
      <c r="AE335" s="100"/>
      <c r="AF335" s="100"/>
      <c r="AG335" s="127"/>
      <c r="AH335" s="100"/>
      <c r="AI335" s="100"/>
      <c r="AJ335" s="100"/>
      <c r="AK335" s="100"/>
    </row>
    <row r="337" spans="1:37" s="89" customFormat="1" ht="12.75" customHeight="1">
      <c r="A337" s="67"/>
      <c r="B337" s="378"/>
      <c r="C337" s="174"/>
      <c r="D337" s="175"/>
      <c r="E337" s="175"/>
      <c r="F337" s="175"/>
      <c r="G337" s="175"/>
      <c r="H337" s="174"/>
      <c r="I337" s="175"/>
      <c r="J337" s="175"/>
      <c r="K337" s="175"/>
      <c r="L337" s="175"/>
      <c r="M337" s="174"/>
      <c r="N337" s="175"/>
      <c r="O337" s="175"/>
      <c r="P337" s="175"/>
      <c r="Q337" s="175"/>
      <c r="R337" s="174"/>
      <c r="S337" s="1247"/>
      <c r="T337" s="175"/>
      <c r="U337" s="175"/>
      <c r="V337" s="175"/>
      <c r="W337" s="174"/>
      <c r="X337" s="175"/>
      <c r="Y337" s="175"/>
      <c r="Z337" s="175"/>
      <c r="AA337" s="175"/>
      <c r="AB337" s="174"/>
      <c r="AC337" s="175"/>
      <c r="AD337" s="175"/>
      <c r="AE337" s="175"/>
      <c r="AF337" s="175"/>
      <c r="AG337" s="174"/>
      <c r="AH337" s="175"/>
      <c r="AI337" s="175"/>
      <c r="AJ337" s="175"/>
      <c r="AK337" s="175"/>
    </row>
    <row r="338" spans="1:37" s="89" customFormat="1" ht="12.75" customHeight="1">
      <c r="A338" s="67"/>
      <c r="B338" s="378"/>
      <c r="C338" s="127"/>
      <c r="D338" s="100"/>
      <c r="E338" s="100"/>
      <c r="F338" s="100"/>
      <c r="G338" s="100"/>
      <c r="H338" s="127"/>
      <c r="I338" s="100"/>
      <c r="J338" s="100"/>
      <c r="K338" s="100"/>
      <c r="L338" s="100"/>
      <c r="M338" s="127"/>
      <c r="N338" s="100"/>
      <c r="O338" s="100"/>
      <c r="P338" s="100"/>
      <c r="Q338" s="100"/>
      <c r="R338" s="127"/>
      <c r="S338" s="1219"/>
      <c r="T338" s="100"/>
      <c r="U338" s="100"/>
      <c r="V338" s="100"/>
      <c r="W338" s="127"/>
      <c r="X338" s="100"/>
      <c r="Y338" s="100"/>
      <c r="Z338" s="100"/>
      <c r="AA338" s="100"/>
      <c r="AB338" s="127"/>
      <c r="AC338" s="100"/>
      <c r="AD338" s="100"/>
      <c r="AE338" s="100"/>
      <c r="AF338" s="100"/>
      <c r="AG338" s="127"/>
      <c r="AH338" s="100"/>
      <c r="AI338" s="100"/>
      <c r="AJ338" s="100"/>
      <c r="AK338" s="100"/>
    </row>
    <row r="341" spans="1:37" s="89" customFormat="1" ht="12.75" customHeight="1">
      <c r="A341" s="67"/>
      <c r="B341" s="378"/>
      <c r="C341" s="169"/>
      <c r="D341" s="170"/>
      <c r="E341" s="170"/>
      <c r="F341" s="170"/>
      <c r="G341" s="170"/>
      <c r="H341" s="169"/>
      <c r="I341" s="170"/>
      <c r="J341" s="170"/>
      <c r="K341" s="170"/>
      <c r="L341" s="170"/>
      <c r="M341" s="169"/>
      <c r="N341" s="170"/>
      <c r="O341" s="170"/>
      <c r="P341" s="170"/>
      <c r="Q341" s="170"/>
      <c r="R341" s="169"/>
      <c r="S341" s="1245"/>
      <c r="T341" s="170"/>
      <c r="U341" s="170"/>
      <c r="V341" s="170"/>
      <c r="W341" s="169"/>
      <c r="X341" s="170"/>
      <c r="Y341" s="170"/>
      <c r="Z341" s="170"/>
      <c r="AA341" s="170"/>
      <c r="AB341" s="169"/>
      <c r="AC341" s="170"/>
      <c r="AD341" s="170"/>
      <c r="AE341" s="170"/>
      <c r="AF341" s="170"/>
      <c r="AG341" s="169"/>
      <c r="AH341" s="170"/>
      <c r="AI341" s="170"/>
      <c r="AJ341" s="170"/>
      <c r="AK341" s="170"/>
    </row>
    <row r="344" spans="1:37" s="89" customFormat="1" ht="12.75" customHeight="1">
      <c r="A344" s="67"/>
      <c r="B344" s="378"/>
      <c r="C344" s="178"/>
      <c r="D344" s="179"/>
      <c r="E344" s="179"/>
      <c r="F344" s="179"/>
      <c r="G344" s="179"/>
      <c r="H344" s="178"/>
      <c r="I344" s="179"/>
      <c r="J344" s="179"/>
      <c r="K344" s="179"/>
      <c r="L344" s="179"/>
      <c r="M344" s="178"/>
      <c r="N344" s="179"/>
      <c r="O344" s="179"/>
      <c r="P344" s="179"/>
      <c r="Q344" s="179"/>
      <c r="R344" s="178"/>
      <c r="S344" s="1249"/>
      <c r="T344" s="179"/>
      <c r="U344" s="179"/>
      <c r="V344" s="179"/>
      <c r="W344" s="178"/>
      <c r="X344" s="179"/>
      <c r="Y344" s="179"/>
      <c r="Z344" s="179"/>
      <c r="AA344" s="179"/>
      <c r="AB344" s="178"/>
      <c r="AC344" s="179"/>
      <c r="AD344" s="179"/>
      <c r="AE344" s="179"/>
      <c r="AF344" s="179"/>
      <c r="AG344" s="178"/>
      <c r="AH344" s="179"/>
      <c r="AI344" s="179"/>
      <c r="AJ344" s="179"/>
      <c r="AK344" s="179"/>
    </row>
    <row r="345" spans="1:37" s="89" customFormat="1" ht="12.75" customHeight="1">
      <c r="A345" s="67"/>
      <c r="B345" s="378"/>
      <c r="C345" s="167"/>
      <c r="D345" s="168"/>
      <c r="E345" s="168"/>
      <c r="F345" s="168"/>
      <c r="G345" s="168"/>
      <c r="H345" s="167"/>
      <c r="I345" s="168"/>
      <c r="J345" s="168"/>
      <c r="K345" s="168"/>
      <c r="L345" s="168"/>
      <c r="M345" s="167"/>
      <c r="N345" s="168"/>
      <c r="O345" s="168"/>
      <c r="P345" s="168"/>
      <c r="Q345" s="168"/>
      <c r="R345" s="167"/>
      <c r="S345" s="1244"/>
      <c r="T345" s="168"/>
      <c r="U345" s="168"/>
      <c r="V345" s="168"/>
      <c r="W345" s="167"/>
      <c r="X345" s="168"/>
      <c r="Y345" s="168"/>
      <c r="Z345" s="168"/>
      <c r="AA345" s="168"/>
      <c r="AB345" s="167"/>
      <c r="AC345" s="168"/>
      <c r="AD345" s="168"/>
      <c r="AE345" s="168"/>
      <c r="AF345" s="168"/>
      <c r="AG345" s="167"/>
      <c r="AH345" s="168"/>
      <c r="AI345" s="168"/>
      <c r="AJ345" s="168"/>
      <c r="AK345" s="168"/>
    </row>
    <row r="347" spans="1:37" s="89" customFormat="1" ht="12.75" customHeight="1">
      <c r="A347" s="67"/>
      <c r="B347" s="378"/>
      <c r="C347" s="127"/>
      <c r="D347" s="100"/>
      <c r="E347" s="100"/>
      <c r="F347" s="100"/>
      <c r="G347" s="100"/>
      <c r="H347" s="127"/>
      <c r="I347" s="100"/>
      <c r="J347" s="100"/>
      <c r="K347" s="100"/>
      <c r="L347" s="100"/>
      <c r="M347" s="127"/>
      <c r="N347" s="100"/>
      <c r="O347" s="100"/>
      <c r="P347" s="100"/>
      <c r="Q347" s="100"/>
      <c r="R347" s="127"/>
      <c r="S347" s="1219"/>
      <c r="T347" s="100"/>
      <c r="U347" s="100"/>
      <c r="V347" s="100"/>
      <c r="W347" s="127"/>
      <c r="X347" s="100"/>
      <c r="Y347" s="100"/>
      <c r="Z347" s="100"/>
      <c r="AA347" s="100"/>
      <c r="AB347" s="127"/>
      <c r="AC347" s="100"/>
      <c r="AD347" s="100"/>
      <c r="AE347" s="100"/>
      <c r="AF347" s="100"/>
      <c r="AG347" s="127"/>
      <c r="AH347" s="100"/>
      <c r="AI347" s="100"/>
      <c r="AJ347" s="100"/>
      <c r="AK347" s="100"/>
    </row>
    <row r="350" spans="1:37" s="89" customFormat="1" ht="12.75" customHeight="1">
      <c r="A350" s="67"/>
      <c r="B350" s="378"/>
      <c r="C350" s="127"/>
      <c r="D350" s="100"/>
      <c r="E350" s="100"/>
      <c r="F350" s="100"/>
      <c r="G350" s="100"/>
      <c r="H350" s="127"/>
      <c r="I350" s="100"/>
      <c r="J350" s="100"/>
      <c r="K350" s="100"/>
      <c r="L350" s="100"/>
      <c r="M350" s="127"/>
      <c r="N350" s="100"/>
      <c r="O350" s="100"/>
      <c r="P350" s="100"/>
      <c r="Q350" s="100"/>
      <c r="R350" s="127"/>
      <c r="S350" s="1219"/>
      <c r="T350" s="100"/>
      <c r="U350" s="100"/>
      <c r="V350" s="100"/>
      <c r="W350" s="127"/>
      <c r="X350" s="100"/>
      <c r="Y350" s="100"/>
      <c r="Z350" s="100"/>
      <c r="AA350" s="100"/>
      <c r="AB350" s="127"/>
      <c r="AC350" s="100"/>
      <c r="AD350" s="100"/>
      <c r="AE350" s="100"/>
      <c r="AF350" s="100"/>
      <c r="AG350" s="127"/>
      <c r="AH350" s="100"/>
      <c r="AI350" s="100"/>
      <c r="AJ350" s="100"/>
      <c r="AK350" s="100"/>
    </row>
    <row r="352" spans="1:37" s="89" customFormat="1" ht="12.75" customHeight="1">
      <c r="A352" s="67"/>
      <c r="B352" s="378"/>
      <c r="C352" s="173"/>
      <c r="D352" s="166"/>
      <c r="E352" s="166"/>
      <c r="F352" s="166"/>
      <c r="G352" s="166"/>
      <c r="H352" s="173"/>
      <c r="I352" s="166"/>
      <c r="J352" s="166"/>
      <c r="K352" s="166"/>
      <c r="L352" s="166"/>
      <c r="M352" s="173"/>
      <c r="N352" s="166"/>
      <c r="O352" s="166"/>
      <c r="P352" s="166"/>
      <c r="Q352" s="166"/>
      <c r="R352" s="173"/>
      <c r="S352" s="1243"/>
      <c r="T352" s="166"/>
      <c r="U352" s="166"/>
      <c r="V352" s="166"/>
      <c r="W352" s="173"/>
      <c r="X352" s="166"/>
      <c r="Y352" s="166"/>
      <c r="Z352" s="166"/>
      <c r="AA352" s="166"/>
      <c r="AB352" s="173"/>
      <c r="AC352" s="166"/>
      <c r="AD352" s="166"/>
      <c r="AE352" s="166"/>
      <c r="AF352" s="166"/>
      <c r="AG352" s="173"/>
      <c r="AH352" s="166"/>
      <c r="AI352" s="166"/>
      <c r="AJ352" s="166"/>
      <c r="AK352" s="166"/>
    </row>
    <row r="353" spans="1:37" s="89" customFormat="1" ht="12.75" customHeight="1">
      <c r="A353" s="67"/>
      <c r="B353" s="378"/>
      <c r="C353" s="167"/>
      <c r="D353" s="168"/>
      <c r="E353" s="168"/>
      <c r="F353" s="168"/>
      <c r="G353" s="168"/>
      <c r="H353" s="167"/>
      <c r="I353" s="168"/>
      <c r="J353" s="168"/>
      <c r="K353" s="168"/>
      <c r="L353" s="168"/>
      <c r="M353" s="167"/>
      <c r="N353" s="168"/>
      <c r="O353" s="168"/>
      <c r="P353" s="168"/>
      <c r="Q353" s="168"/>
      <c r="R353" s="167"/>
      <c r="S353" s="1244"/>
      <c r="T353" s="168"/>
      <c r="U353" s="168"/>
      <c r="V353" s="168"/>
      <c r="W353" s="167"/>
      <c r="X353" s="168"/>
      <c r="Y353" s="168"/>
      <c r="Z353" s="168"/>
      <c r="AA353" s="168"/>
      <c r="AB353" s="167"/>
      <c r="AC353" s="168"/>
      <c r="AD353" s="168"/>
      <c r="AE353" s="168"/>
      <c r="AF353" s="168"/>
      <c r="AG353" s="167"/>
      <c r="AH353" s="168"/>
      <c r="AI353" s="168"/>
      <c r="AJ353" s="168"/>
      <c r="AK353" s="168"/>
    </row>
    <row r="355" spans="1:37" s="89" customFormat="1" ht="12.75" customHeight="1">
      <c r="A355" s="67"/>
      <c r="B355" s="378"/>
      <c r="C355" s="127"/>
      <c r="D355" s="100"/>
      <c r="E355" s="100"/>
      <c r="F355" s="100"/>
      <c r="G355" s="100"/>
      <c r="H355" s="127"/>
      <c r="I355" s="100"/>
      <c r="J355" s="100"/>
      <c r="K355" s="100"/>
      <c r="L355" s="100"/>
      <c r="M355" s="127"/>
      <c r="N355" s="100"/>
      <c r="O355" s="100"/>
      <c r="P355" s="100"/>
      <c r="Q355" s="100"/>
      <c r="R355" s="127"/>
      <c r="S355" s="1219"/>
      <c r="T355" s="100"/>
      <c r="U355" s="100"/>
      <c r="V355" s="100"/>
      <c r="W355" s="127"/>
      <c r="X355" s="100"/>
      <c r="Y355" s="100"/>
      <c r="Z355" s="100"/>
      <c r="AA355" s="100"/>
      <c r="AB355" s="127"/>
      <c r="AC355" s="100"/>
      <c r="AD355" s="100"/>
      <c r="AE355" s="100"/>
      <c r="AF355" s="100"/>
      <c r="AG355" s="127"/>
      <c r="AH355" s="100"/>
      <c r="AI355" s="100"/>
      <c r="AJ355" s="100"/>
      <c r="AK355" s="100"/>
    </row>
    <row r="357" spans="1:37" s="89" customFormat="1" ht="12.75" customHeight="1">
      <c r="A357" s="67"/>
      <c r="B357" s="378"/>
      <c r="C357" s="162"/>
      <c r="D357" s="163"/>
      <c r="E357" s="163"/>
      <c r="F357" s="163"/>
      <c r="G357" s="163"/>
      <c r="H357" s="162"/>
      <c r="I357" s="163"/>
      <c r="J357" s="163"/>
      <c r="K357" s="163"/>
      <c r="L357" s="163"/>
      <c r="M357" s="162"/>
      <c r="N357" s="163"/>
      <c r="O357" s="163"/>
      <c r="P357" s="163"/>
      <c r="Q357" s="163"/>
      <c r="R357" s="162"/>
      <c r="S357" s="1241"/>
      <c r="T357" s="163"/>
      <c r="U357" s="163"/>
      <c r="V357" s="163"/>
      <c r="W357" s="162"/>
      <c r="X357" s="163"/>
      <c r="Y357" s="163"/>
      <c r="Z357" s="163"/>
      <c r="AA357" s="163"/>
      <c r="AB357" s="162"/>
      <c r="AC357" s="163"/>
      <c r="AD357" s="163"/>
      <c r="AE357" s="163"/>
      <c r="AF357" s="163"/>
      <c r="AG357" s="162"/>
      <c r="AH357" s="163"/>
      <c r="AI357" s="163"/>
      <c r="AJ357" s="163"/>
      <c r="AK357" s="163"/>
    </row>
    <row r="358" spans="1:37" s="89" customFormat="1" ht="12.75" customHeight="1">
      <c r="A358" s="67"/>
      <c r="B358" s="378"/>
      <c r="C358" s="127"/>
      <c r="D358" s="100"/>
      <c r="E358" s="100"/>
      <c r="F358" s="100"/>
      <c r="G358" s="100"/>
      <c r="H358" s="127"/>
      <c r="I358" s="100"/>
      <c r="J358" s="100"/>
      <c r="K358" s="100"/>
      <c r="L358" s="100"/>
      <c r="M358" s="127"/>
      <c r="N358" s="100"/>
      <c r="O358" s="100"/>
      <c r="P358" s="100"/>
      <c r="Q358" s="100"/>
      <c r="R358" s="127"/>
      <c r="S358" s="1219"/>
      <c r="T358" s="100"/>
      <c r="U358" s="100"/>
      <c r="V358" s="100"/>
      <c r="W358" s="127"/>
      <c r="X358" s="100"/>
      <c r="Y358" s="100"/>
      <c r="Z358" s="100"/>
      <c r="AA358" s="100"/>
      <c r="AB358" s="127"/>
      <c r="AC358" s="100"/>
      <c r="AD358" s="100"/>
      <c r="AE358" s="100"/>
      <c r="AF358" s="100"/>
      <c r="AG358" s="127"/>
      <c r="AH358" s="100"/>
      <c r="AI358" s="100"/>
      <c r="AJ358" s="100"/>
      <c r="AK358" s="100"/>
    </row>
    <row r="362" spans="1:37" s="89" customFormat="1" ht="12.75" customHeight="1">
      <c r="A362" s="67"/>
      <c r="B362" s="378"/>
      <c r="C362" s="127"/>
      <c r="D362" s="100"/>
      <c r="E362" s="100"/>
      <c r="F362" s="100"/>
      <c r="G362" s="100"/>
      <c r="H362" s="127"/>
      <c r="I362" s="100"/>
      <c r="J362" s="100"/>
      <c r="K362" s="100"/>
      <c r="L362" s="100"/>
      <c r="M362" s="127"/>
      <c r="N362" s="100"/>
      <c r="O362" s="100"/>
      <c r="P362" s="100"/>
      <c r="Q362" s="100"/>
      <c r="R362" s="127"/>
      <c r="S362" s="1219"/>
      <c r="T362" s="100"/>
      <c r="U362" s="100"/>
      <c r="V362" s="100"/>
      <c r="W362" s="127"/>
      <c r="X362" s="100"/>
      <c r="Y362" s="100"/>
      <c r="Z362" s="100"/>
      <c r="AA362" s="100"/>
      <c r="AB362" s="127"/>
      <c r="AC362" s="100"/>
      <c r="AD362" s="100"/>
      <c r="AE362" s="100"/>
      <c r="AF362" s="100"/>
      <c r="AG362" s="127"/>
      <c r="AH362" s="100"/>
      <c r="AI362" s="100"/>
      <c r="AJ362" s="100"/>
      <c r="AK362" s="100"/>
    </row>
    <row r="363" spans="1:37" s="89" customFormat="1" ht="12.75" customHeight="1">
      <c r="A363" s="67"/>
      <c r="B363" s="378"/>
      <c r="C363" s="127"/>
      <c r="D363" s="100"/>
      <c r="E363" s="100"/>
      <c r="F363" s="100"/>
      <c r="G363" s="100"/>
      <c r="H363" s="127"/>
      <c r="I363" s="100"/>
      <c r="J363" s="100"/>
      <c r="K363" s="100"/>
      <c r="L363" s="100"/>
      <c r="M363" s="127"/>
      <c r="N363" s="100"/>
      <c r="O363" s="100"/>
      <c r="P363" s="100"/>
      <c r="Q363" s="100"/>
      <c r="R363" s="127"/>
      <c r="S363" s="1219"/>
      <c r="T363" s="100"/>
      <c r="U363" s="100"/>
      <c r="V363" s="100"/>
      <c r="W363" s="127"/>
      <c r="X363" s="100"/>
      <c r="Y363" s="100"/>
      <c r="Z363" s="100"/>
      <c r="AA363" s="100"/>
      <c r="AB363" s="127"/>
      <c r="AC363" s="100"/>
      <c r="AD363" s="100"/>
      <c r="AE363" s="100"/>
      <c r="AF363" s="100"/>
      <c r="AG363" s="127"/>
      <c r="AH363" s="100"/>
      <c r="AI363" s="100"/>
      <c r="AJ363" s="100"/>
      <c r="AK363" s="100"/>
    </row>
    <row r="364" spans="1:37" s="89" customFormat="1" ht="12.75" customHeight="1">
      <c r="A364" s="67"/>
      <c r="B364" s="378"/>
      <c r="C364" s="169"/>
      <c r="D364" s="170"/>
      <c r="E364" s="170"/>
      <c r="F364" s="170"/>
      <c r="G364" s="170"/>
      <c r="H364" s="169"/>
      <c r="I364" s="170"/>
      <c r="J364" s="170"/>
      <c r="K364" s="170"/>
      <c r="L364" s="170"/>
      <c r="M364" s="169"/>
      <c r="N364" s="170"/>
      <c r="O364" s="170"/>
      <c r="P364" s="170"/>
      <c r="Q364" s="170"/>
      <c r="R364" s="169"/>
      <c r="S364" s="1245"/>
      <c r="T364" s="170"/>
      <c r="U364" s="170"/>
      <c r="V364" s="170"/>
      <c r="W364" s="169"/>
      <c r="X364" s="170"/>
      <c r="Y364" s="170"/>
      <c r="Z364" s="170"/>
      <c r="AA364" s="170"/>
      <c r="AB364" s="169"/>
      <c r="AC364" s="170"/>
      <c r="AD364" s="170"/>
      <c r="AE364" s="170"/>
      <c r="AF364" s="170"/>
      <c r="AG364" s="169"/>
      <c r="AH364" s="170"/>
      <c r="AI364" s="170"/>
      <c r="AJ364" s="170"/>
      <c r="AK364" s="170"/>
    </row>
    <row r="365" spans="1:37" s="89" customFormat="1" ht="12.75" customHeight="1">
      <c r="A365" s="67"/>
      <c r="B365" s="378"/>
      <c r="C365" s="127"/>
      <c r="D365" s="100"/>
      <c r="E365" s="100"/>
      <c r="F365" s="100"/>
      <c r="G365" s="100"/>
      <c r="H365" s="127"/>
      <c r="I365" s="100"/>
      <c r="J365" s="100"/>
      <c r="K365" s="100"/>
      <c r="L365" s="100"/>
      <c r="M365" s="127"/>
      <c r="N365" s="100"/>
      <c r="O365" s="100"/>
      <c r="P365" s="100"/>
      <c r="Q365" s="100"/>
      <c r="R365" s="127"/>
      <c r="S365" s="1219"/>
      <c r="T365" s="100"/>
      <c r="U365" s="100"/>
      <c r="V365" s="100"/>
      <c r="W365" s="127"/>
      <c r="X365" s="100"/>
      <c r="Y365" s="100"/>
      <c r="Z365" s="100"/>
      <c r="AA365" s="100"/>
      <c r="AB365" s="127"/>
      <c r="AC365" s="100"/>
      <c r="AD365" s="100"/>
      <c r="AE365" s="100"/>
      <c r="AF365" s="100"/>
      <c r="AG365" s="127"/>
      <c r="AH365" s="100"/>
      <c r="AI365" s="100"/>
      <c r="AJ365" s="100"/>
      <c r="AK365" s="100"/>
    </row>
    <row r="366" spans="1:37" s="89" customFormat="1" ht="12.75" customHeight="1">
      <c r="A366" s="67"/>
      <c r="B366" s="378"/>
      <c r="C366" s="176"/>
      <c r="D366" s="177"/>
      <c r="E366" s="177"/>
      <c r="F366" s="177"/>
      <c r="G366" s="177"/>
      <c r="H366" s="176"/>
      <c r="I366" s="177"/>
      <c r="J366" s="177"/>
      <c r="K366" s="177"/>
      <c r="L366" s="177"/>
      <c r="M366" s="176"/>
      <c r="N366" s="177"/>
      <c r="O366" s="177"/>
      <c r="P366" s="177"/>
      <c r="Q366" s="177"/>
      <c r="R366" s="176"/>
      <c r="S366" s="1248"/>
      <c r="T366" s="177"/>
      <c r="U366" s="177"/>
      <c r="V366" s="177"/>
      <c r="W366" s="176"/>
      <c r="X366" s="177"/>
      <c r="Y366" s="177"/>
      <c r="Z366" s="177"/>
      <c r="AA366" s="177"/>
      <c r="AB366" s="176"/>
      <c r="AC366" s="177"/>
      <c r="AD366" s="177"/>
      <c r="AE366" s="177"/>
      <c r="AF366" s="177"/>
      <c r="AG366" s="176"/>
      <c r="AH366" s="177"/>
      <c r="AI366" s="177"/>
      <c r="AJ366" s="177"/>
      <c r="AK366" s="177"/>
    </row>
    <row r="369" spans="1:37" s="89" customFormat="1" ht="12.75" customHeight="1">
      <c r="A369" s="67"/>
      <c r="B369" s="378"/>
      <c r="C369" s="169"/>
      <c r="D369" s="170"/>
      <c r="E369" s="170"/>
      <c r="F369" s="170"/>
      <c r="G369" s="170"/>
      <c r="H369" s="169"/>
      <c r="I369" s="170"/>
      <c r="J369" s="170"/>
      <c r="K369" s="170"/>
      <c r="L369" s="170"/>
      <c r="M369" s="169"/>
      <c r="N369" s="170"/>
      <c r="O369" s="170"/>
      <c r="P369" s="170"/>
      <c r="Q369" s="170"/>
      <c r="R369" s="169"/>
      <c r="S369" s="1245"/>
      <c r="T369" s="170"/>
      <c r="U369" s="170"/>
      <c r="V369" s="170"/>
      <c r="W369" s="169"/>
      <c r="X369" s="170"/>
      <c r="Y369" s="170"/>
      <c r="Z369" s="170"/>
      <c r="AA369" s="170"/>
      <c r="AB369" s="169"/>
      <c r="AC369" s="170"/>
      <c r="AD369" s="170"/>
      <c r="AE369" s="170"/>
      <c r="AF369" s="170"/>
      <c r="AG369" s="169"/>
      <c r="AH369" s="170"/>
      <c r="AI369" s="170"/>
      <c r="AJ369" s="170"/>
      <c r="AK369" s="170"/>
    </row>
    <row r="370" spans="1:37" s="89" customFormat="1" ht="12.75" customHeight="1">
      <c r="A370" s="67"/>
      <c r="B370" s="378"/>
      <c r="C370" s="127"/>
      <c r="D370" s="100"/>
      <c r="E370" s="100"/>
      <c r="F370" s="100"/>
      <c r="G370" s="100"/>
      <c r="H370" s="127"/>
      <c r="I370" s="100"/>
      <c r="J370" s="100"/>
      <c r="K370" s="100"/>
      <c r="L370" s="100"/>
      <c r="M370" s="127"/>
      <c r="N370" s="100"/>
      <c r="O370" s="100"/>
      <c r="P370" s="100"/>
      <c r="Q370" s="100"/>
      <c r="R370" s="127"/>
      <c r="S370" s="1219"/>
      <c r="T370" s="100"/>
      <c r="U370" s="100"/>
      <c r="V370" s="100"/>
      <c r="W370" s="127"/>
      <c r="X370" s="100"/>
      <c r="Y370" s="100"/>
      <c r="Z370" s="100"/>
      <c r="AA370" s="100"/>
      <c r="AB370" s="127"/>
      <c r="AC370" s="100"/>
      <c r="AD370" s="100"/>
      <c r="AE370" s="100"/>
      <c r="AF370" s="100"/>
      <c r="AG370" s="127"/>
      <c r="AH370" s="100"/>
      <c r="AI370" s="100"/>
      <c r="AJ370" s="100"/>
      <c r="AK370" s="100"/>
    </row>
    <row r="371" spans="1:37" s="89" customFormat="1" ht="12.75" customHeight="1">
      <c r="A371" s="67"/>
      <c r="B371" s="378"/>
      <c r="C371" s="176"/>
      <c r="D371" s="177"/>
      <c r="E371" s="177"/>
      <c r="F371" s="177"/>
      <c r="G371" s="177"/>
      <c r="H371" s="176"/>
      <c r="I371" s="177"/>
      <c r="J371" s="177"/>
      <c r="K371" s="177"/>
      <c r="L371" s="177"/>
      <c r="M371" s="176"/>
      <c r="N371" s="177"/>
      <c r="O371" s="177"/>
      <c r="P371" s="177"/>
      <c r="Q371" s="177"/>
      <c r="R371" s="176"/>
      <c r="S371" s="1248"/>
      <c r="T371" s="177"/>
      <c r="U371" s="177"/>
      <c r="V371" s="177"/>
      <c r="W371" s="176"/>
      <c r="X371" s="177"/>
      <c r="Y371" s="177"/>
      <c r="Z371" s="177"/>
      <c r="AA371" s="177"/>
      <c r="AB371" s="176"/>
      <c r="AC371" s="177"/>
      <c r="AD371" s="177"/>
      <c r="AE371" s="177"/>
      <c r="AF371" s="177"/>
      <c r="AG371" s="176"/>
      <c r="AH371" s="177"/>
      <c r="AI371" s="177"/>
      <c r="AJ371" s="177"/>
      <c r="AK371" s="177"/>
    </row>
    <row r="373" spans="1:37" s="89" customFormat="1" ht="12.75" customHeight="1">
      <c r="A373" s="67"/>
      <c r="B373" s="378"/>
      <c r="C373" s="180"/>
      <c r="D373" s="181"/>
      <c r="E373" s="181"/>
      <c r="F373" s="181"/>
      <c r="G373" s="181"/>
      <c r="H373" s="180"/>
      <c r="I373" s="181"/>
      <c r="J373" s="181"/>
      <c r="K373" s="181"/>
      <c r="L373" s="181"/>
      <c r="M373" s="180"/>
      <c r="N373" s="181"/>
      <c r="O373" s="181"/>
      <c r="P373" s="181"/>
      <c r="Q373" s="181"/>
      <c r="R373" s="180"/>
      <c r="S373" s="1222"/>
      <c r="T373" s="181"/>
      <c r="U373" s="181"/>
      <c r="V373" s="181"/>
      <c r="W373" s="180"/>
      <c r="X373" s="181"/>
      <c r="Y373" s="181"/>
      <c r="Z373" s="181"/>
      <c r="AA373" s="181"/>
      <c r="AB373" s="180"/>
      <c r="AC373" s="181"/>
      <c r="AD373" s="181"/>
      <c r="AE373" s="181"/>
      <c r="AF373" s="181"/>
      <c r="AG373" s="180"/>
      <c r="AH373" s="181"/>
      <c r="AI373" s="181"/>
      <c r="AJ373" s="181"/>
      <c r="AK373" s="181"/>
    </row>
    <row r="374" spans="1:37" s="89" customFormat="1" ht="12.75" customHeight="1">
      <c r="A374" s="67"/>
      <c r="B374" s="378"/>
      <c r="C374" s="174"/>
      <c r="D374" s="175"/>
      <c r="E374" s="175"/>
      <c r="F374" s="175"/>
      <c r="G374" s="175"/>
      <c r="H374" s="174"/>
      <c r="I374" s="175"/>
      <c r="J374" s="175"/>
      <c r="K374" s="175"/>
      <c r="L374" s="175"/>
      <c r="M374" s="174"/>
      <c r="N374" s="175"/>
      <c r="O374" s="175"/>
      <c r="P374" s="175"/>
      <c r="Q374" s="175"/>
      <c r="R374" s="174"/>
      <c r="S374" s="1247"/>
      <c r="T374" s="175"/>
      <c r="U374" s="175"/>
      <c r="V374" s="175"/>
      <c r="W374" s="174"/>
      <c r="X374" s="175"/>
      <c r="Y374" s="175"/>
      <c r="Z374" s="175"/>
      <c r="AA374" s="175"/>
      <c r="AB374" s="174"/>
      <c r="AC374" s="175"/>
      <c r="AD374" s="175"/>
      <c r="AE374" s="175"/>
      <c r="AF374" s="175"/>
      <c r="AG374" s="174"/>
      <c r="AH374" s="175"/>
      <c r="AI374" s="175"/>
      <c r="AJ374" s="175"/>
      <c r="AK374" s="175"/>
    </row>
    <row r="375" spans="1:37" s="89" customFormat="1" ht="12.75" customHeight="1">
      <c r="A375" s="67"/>
      <c r="B375" s="378"/>
      <c r="C375" s="127"/>
      <c r="D375" s="100"/>
      <c r="E375" s="100"/>
      <c r="F375" s="100"/>
      <c r="G375" s="100"/>
      <c r="H375" s="127"/>
      <c r="I375" s="100"/>
      <c r="J375" s="100"/>
      <c r="K375" s="100"/>
      <c r="L375" s="100"/>
      <c r="M375" s="127"/>
      <c r="N375" s="100"/>
      <c r="O375" s="100"/>
      <c r="P375" s="100"/>
      <c r="Q375" s="100"/>
      <c r="R375" s="127"/>
      <c r="S375" s="1219"/>
      <c r="T375" s="100"/>
      <c r="U375" s="100"/>
      <c r="V375" s="100"/>
      <c r="W375" s="127"/>
      <c r="X375" s="100"/>
      <c r="Y375" s="100"/>
      <c r="Z375" s="100"/>
      <c r="AA375" s="100"/>
      <c r="AB375" s="127"/>
      <c r="AC375" s="100"/>
      <c r="AD375" s="100"/>
      <c r="AE375" s="100"/>
      <c r="AF375" s="100"/>
      <c r="AG375" s="127"/>
      <c r="AH375" s="100"/>
      <c r="AI375" s="100"/>
      <c r="AJ375" s="100"/>
      <c r="AK375" s="100"/>
    </row>
    <row r="376" spans="1:37" s="89" customFormat="1" ht="12.75" customHeight="1">
      <c r="A376" s="67"/>
      <c r="B376" s="378"/>
      <c r="C376" s="176"/>
      <c r="D376" s="177"/>
      <c r="E376" s="177"/>
      <c r="F376" s="177"/>
      <c r="G376" s="177"/>
      <c r="H376" s="176"/>
      <c r="I376" s="177"/>
      <c r="J376" s="177"/>
      <c r="K376" s="177"/>
      <c r="L376" s="177"/>
      <c r="M376" s="176"/>
      <c r="N376" s="177"/>
      <c r="O376" s="177"/>
      <c r="P376" s="177"/>
      <c r="Q376" s="177"/>
      <c r="R376" s="176"/>
      <c r="S376" s="1248"/>
      <c r="T376" s="177"/>
      <c r="U376" s="177"/>
      <c r="V376" s="177"/>
      <c r="W376" s="176"/>
      <c r="X376" s="177"/>
      <c r="Y376" s="177"/>
      <c r="Z376" s="177"/>
      <c r="AA376" s="177"/>
      <c r="AB376" s="176"/>
      <c r="AC376" s="177"/>
      <c r="AD376" s="177"/>
      <c r="AE376" s="177"/>
      <c r="AF376" s="177"/>
      <c r="AG376" s="176"/>
      <c r="AH376" s="177"/>
      <c r="AI376" s="177"/>
      <c r="AJ376" s="177"/>
      <c r="AK376" s="177"/>
    </row>
    <row r="378" spans="1:37" s="89" customFormat="1" ht="12.75" customHeight="1">
      <c r="A378" s="67"/>
      <c r="B378" s="378"/>
      <c r="C378" s="182"/>
      <c r="D378" s="183"/>
      <c r="E378" s="183"/>
      <c r="F378" s="183"/>
      <c r="G378" s="183"/>
      <c r="H378" s="182"/>
      <c r="I378" s="183"/>
      <c r="J378" s="183"/>
      <c r="K378" s="183"/>
      <c r="L378" s="183"/>
      <c r="M378" s="182"/>
      <c r="N378" s="183"/>
      <c r="O378" s="183"/>
      <c r="P378" s="183"/>
      <c r="Q378" s="183"/>
      <c r="R378" s="182"/>
      <c r="S378" s="1250"/>
      <c r="T378" s="183"/>
      <c r="U378" s="183"/>
      <c r="V378" s="183"/>
      <c r="W378" s="182"/>
      <c r="X378" s="183"/>
      <c r="Y378" s="183"/>
      <c r="Z378" s="183"/>
      <c r="AA378" s="183"/>
      <c r="AB378" s="182"/>
      <c r="AC378" s="183"/>
      <c r="AD378" s="183"/>
      <c r="AE378" s="183"/>
      <c r="AF378" s="183"/>
      <c r="AG378" s="182"/>
      <c r="AH378" s="183"/>
      <c r="AI378" s="183"/>
      <c r="AJ378" s="183"/>
      <c r="AK378" s="183"/>
    </row>
    <row r="379" spans="1:37" s="89" customFormat="1" ht="12.75" customHeight="1">
      <c r="A379" s="67"/>
      <c r="B379" s="378"/>
      <c r="C379" s="184"/>
      <c r="D379" s="185"/>
      <c r="E379" s="185"/>
      <c r="F379" s="185"/>
      <c r="G379" s="185"/>
      <c r="H379" s="184"/>
      <c r="I379" s="185"/>
      <c r="J379" s="185"/>
      <c r="K379" s="185"/>
      <c r="L379" s="185"/>
      <c r="M379" s="184"/>
      <c r="N379" s="185"/>
      <c r="O379" s="185"/>
      <c r="P379" s="185"/>
      <c r="Q379" s="185"/>
      <c r="R379" s="184"/>
      <c r="S379" s="1251"/>
      <c r="T379" s="185"/>
      <c r="U379" s="185"/>
      <c r="V379" s="185"/>
      <c r="W379" s="184"/>
      <c r="X379" s="185"/>
      <c r="Y379" s="185"/>
      <c r="Z379" s="185"/>
      <c r="AA379" s="185"/>
      <c r="AB379" s="184"/>
      <c r="AC379" s="185"/>
      <c r="AD379" s="185"/>
      <c r="AE379" s="185"/>
      <c r="AF379" s="185"/>
      <c r="AG379" s="184"/>
      <c r="AH379" s="185"/>
      <c r="AI379" s="185"/>
      <c r="AJ379" s="185"/>
      <c r="AK379" s="185"/>
    </row>
    <row r="380" spans="1:37" s="89" customFormat="1" ht="12.75" customHeight="1">
      <c r="A380" s="67"/>
      <c r="B380" s="378"/>
      <c r="C380" s="127"/>
      <c r="D380" s="100"/>
      <c r="E380" s="100"/>
      <c r="F380" s="100"/>
      <c r="G380" s="100"/>
      <c r="H380" s="127"/>
      <c r="I380" s="100"/>
      <c r="J380" s="100"/>
      <c r="K380" s="100"/>
      <c r="L380" s="100"/>
      <c r="M380" s="127"/>
      <c r="N380" s="100"/>
      <c r="O380" s="100"/>
      <c r="P380" s="100"/>
      <c r="Q380" s="100"/>
      <c r="R380" s="127"/>
      <c r="S380" s="1219"/>
      <c r="T380" s="100"/>
      <c r="U380" s="100"/>
      <c r="V380" s="100"/>
      <c r="W380" s="127"/>
      <c r="X380" s="100"/>
      <c r="Y380" s="100"/>
      <c r="Z380" s="100"/>
      <c r="AA380" s="100"/>
      <c r="AB380" s="127"/>
      <c r="AC380" s="100"/>
      <c r="AD380" s="100"/>
      <c r="AE380" s="100"/>
      <c r="AF380" s="100"/>
      <c r="AG380" s="127"/>
      <c r="AH380" s="100"/>
      <c r="AI380" s="100"/>
      <c r="AJ380" s="100"/>
      <c r="AK380" s="100"/>
    </row>
    <row r="381" spans="1:37" s="89" customFormat="1" ht="12.75" customHeight="1">
      <c r="A381" s="67"/>
      <c r="B381" s="378"/>
      <c r="C381" s="127"/>
      <c r="D381" s="100"/>
      <c r="E381" s="100"/>
      <c r="F381" s="100"/>
      <c r="G381" s="100"/>
      <c r="H381" s="127"/>
      <c r="I381" s="100"/>
      <c r="J381" s="100"/>
      <c r="K381" s="100"/>
      <c r="L381" s="100"/>
      <c r="M381" s="127"/>
      <c r="N381" s="100"/>
      <c r="O381" s="100"/>
      <c r="P381" s="100"/>
      <c r="Q381" s="100"/>
      <c r="R381" s="127"/>
      <c r="S381" s="1219"/>
      <c r="T381" s="100"/>
      <c r="U381" s="100"/>
      <c r="V381" s="100"/>
      <c r="W381" s="127"/>
      <c r="X381" s="100"/>
      <c r="Y381" s="100"/>
      <c r="Z381" s="100"/>
      <c r="AA381" s="100"/>
      <c r="AB381" s="127"/>
      <c r="AC381" s="100"/>
      <c r="AD381" s="100"/>
      <c r="AE381" s="100"/>
      <c r="AF381" s="100"/>
      <c r="AG381" s="127"/>
      <c r="AH381" s="100"/>
      <c r="AI381" s="100"/>
      <c r="AJ381" s="100"/>
      <c r="AK381" s="100"/>
    </row>
    <row r="382" spans="1:37" s="89" customFormat="1" ht="12.75" customHeight="1">
      <c r="A382" s="67"/>
      <c r="B382" s="378"/>
      <c r="C382" s="127"/>
      <c r="D382" s="100"/>
      <c r="E382" s="100"/>
      <c r="F382" s="100"/>
      <c r="G382" s="100"/>
      <c r="H382" s="127"/>
      <c r="I382" s="100"/>
      <c r="J382" s="100"/>
      <c r="K382" s="100"/>
      <c r="L382" s="100"/>
      <c r="M382" s="127"/>
      <c r="N382" s="100"/>
      <c r="O382" s="100"/>
      <c r="P382" s="100"/>
      <c r="Q382" s="100"/>
      <c r="R382" s="127"/>
      <c r="S382" s="1219"/>
      <c r="T382" s="100"/>
      <c r="U382" s="100"/>
      <c r="V382" s="100"/>
      <c r="W382" s="127"/>
      <c r="X382" s="100"/>
      <c r="Y382" s="100"/>
      <c r="Z382" s="100"/>
      <c r="AA382" s="100"/>
      <c r="AB382" s="127"/>
      <c r="AC382" s="100"/>
      <c r="AD382" s="100"/>
      <c r="AE382" s="100"/>
      <c r="AF382" s="100"/>
      <c r="AG382" s="127"/>
      <c r="AH382" s="100"/>
      <c r="AI382" s="100"/>
      <c r="AJ382" s="100"/>
      <c r="AK382" s="100"/>
    </row>
    <row r="383" spans="1:37" s="89" customFormat="1" ht="12.75" customHeight="1">
      <c r="A383" s="67"/>
      <c r="B383" s="378"/>
      <c r="C383" s="127"/>
      <c r="D383" s="100"/>
      <c r="E383" s="100"/>
      <c r="F383" s="100"/>
      <c r="G383" s="100"/>
      <c r="H383" s="127"/>
      <c r="I383" s="100"/>
      <c r="J383" s="100"/>
      <c r="K383" s="100"/>
      <c r="L383" s="100"/>
      <c r="M383" s="127"/>
      <c r="N383" s="100"/>
      <c r="O383" s="100"/>
      <c r="P383" s="100"/>
      <c r="Q383" s="100"/>
      <c r="R383" s="127"/>
      <c r="S383" s="1219"/>
      <c r="T383" s="100"/>
      <c r="U383" s="100"/>
      <c r="V383" s="100"/>
      <c r="W383" s="127"/>
      <c r="X383" s="100"/>
      <c r="Y383" s="100"/>
      <c r="Z383" s="100"/>
      <c r="AA383" s="100"/>
      <c r="AB383" s="127"/>
      <c r="AC383" s="100"/>
      <c r="AD383" s="100"/>
      <c r="AE383" s="100"/>
      <c r="AF383" s="100"/>
      <c r="AG383" s="127"/>
      <c r="AH383" s="100"/>
      <c r="AI383" s="100"/>
      <c r="AJ383" s="100"/>
      <c r="AK383" s="100"/>
    </row>
    <row r="384" spans="1:37" s="89" customFormat="1" ht="12.75" customHeight="1">
      <c r="A384" s="67"/>
      <c r="B384" s="378"/>
      <c r="C384" s="186"/>
      <c r="D384" s="187"/>
      <c r="E384" s="187"/>
      <c r="F384" s="187"/>
      <c r="G384" s="187"/>
      <c r="H384" s="186"/>
      <c r="I384" s="187"/>
      <c r="J384" s="187"/>
      <c r="K384" s="187"/>
      <c r="L384" s="187"/>
      <c r="M384" s="186"/>
      <c r="N384" s="187"/>
      <c r="O384" s="187"/>
      <c r="P384" s="187"/>
      <c r="Q384" s="187"/>
      <c r="R384" s="186"/>
      <c r="S384" s="1252"/>
      <c r="T384" s="187"/>
      <c r="U384" s="187"/>
      <c r="V384" s="187"/>
      <c r="W384" s="186"/>
      <c r="X384" s="187"/>
      <c r="Y384" s="187"/>
      <c r="Z384" s="187"/>
      <c r="AA384" s="187"/>
      <c r="AB384" s="186"/>
      <c r="AC384" s="187"/>
      <c r="AD384" s="187"/>
      <c r="AE384" s="187"/>
      <c r="AF384" s="187"/>
      <c r="AG384" s="186"/>
      <c r="AH384" s="187"/>
      <c r="AI384" s="187"/>
      <c r="AJ384" s="187"/>
      <c r="AK384" s="187"/>
    </row>
    <row r="385" spans="1:37" s="89" customFormat="1" ht="12.75" customHeight="1">
      <c r="A385" s="67"/>
      <c r="B385" s="378"/>
      <c r="C385" s="188"/>
      <c r="D385" s="128"/>
      <c r="E385" s="128"/>
      <c r="F385" s="128"/>
      <c r="G385" s="128"/>
      <c r="H385" s="188"/>
      <c r="I385" s="128"/>
      <c r="J385" s="128"/>
      <c r="K385" s="128"/>
      <c r="L385" s="128"/>
      <c r="M385" s="188"/>
      <c r="N385" s="128"/>
      <c r="O385" s="128"/>
      <c r="P385" s="128"/>
      <c r="Q385" s="128"/>
      <c r="R385" s="188"/>
      <c r="S385" s="1041"/>
      <c r="T385" s="128"/>
      <c r="U385" s="128"/>
      <c r="V385" s="128"/>
      <c r="W385" s="188"/>
      <c r="X385" s="128"/>
      <c r="Y385" s="128"/>
      <c r="Z385" s="128"/>
      <c r="AA385" s="128"/>
      <c r="AB385" s="188"/>
      <c r="AC385" s="128"/>
      <c r="AD385" s="128"/>
      <c r="AE385" s="128"/>
      <c r="AF385" s="128"/>
      <c r="AG385" s="188"/>
      <c r="AH385" s="128"/>
      <c r="AI385" s="128"/>
      <c r="AJ385" s="128"/>
      <c r="AK385" s="128"/>
    </row>
    <row r="386" spans="1:37" s="89" customFormat="1" ht="12.75" customHeight="1">
      <c r="A386" s="67"/>
      <c r="B386" s="378"/>
      <c r="C386" s="188"/>
      <c r="D386" s="128"/>
      <c r="E386" s="128"/>
      <c r="F386" s="128"/>
      <c r="G386" s="128"/>
      <c r="H386" s="188"/>
      <c r="I386" s="128"/>
      <c r="J386" s="128"/>
      <c r="K386" s="128"/>
      <c r="L386" s="128"/>
      <c r="M386" s="188"/>
      <c r="N386" s="128"/>
      <c r="O386" s="128"/>
      <c r="P386" s="128"/>
      <c r="Q386" s="128"/>
      <c r="R386" s="188"/>
      <c r="S386" s="1041"/>
      <c r="T386" s="128"/>
      <c r="U386" s="128"/>
      <c r="V386" s="128"/>
      <c r="W386" s="188"/>
      <c r="X386" s="128"/>
      <c r="Y386" s="128"/>
      <c r="Z386" s="128"/>
      <c r="AA386" s="128"/>
      <c r="AB386" s="188"/>
      <c r="AC386" s="128"/>
      <c r="AD386" s="128"/>
      <c r="AE386" s="128"/>
      <c r="AF386" s="128"/>
      <c r="AG386" s="188"/>
      <c r="AH386" s="128"/>
      <c r="AI386" s="128"/>
      <c r="AJ386" s="128"/>
      <c r="AK386" s="128"/>
    </row>
    <row r="387" spans="1:37" s="89" customFormat="1" ht="12.75" customHeight="1">
      <c r="A387" s="67"/>
      <c r="B387" s="378"/>
      <c r="C387" s="189"/>
      <c r="D387" s="100"/>
      <c r="E387" s="100"/>
      <c r="F387" s="100"/>
      <c r="G387" s="100"/>
      <c r="H387" s="189"/>
      <c r="I387" s="100"/>
      <c r="J387" s="100"/>
      <c r="K387" s="100"/>
      <c r="L387" s="100"/>
      <c r="M387" s="189"/>
      <c r="N387" s="100"/>
      <c r="O387" s="100"/>
      <c r="P387" s="100"/>
      <c r="Q387" s="100"/>
      <c r="R387" s="189"/>
      <c r="S387" s="1219"/>
      <c r="T387" s="100"/>
      <c r="U387" s="100"/>
      <c r="V387" s="100"/>
      <c r="W387" s="189"/>
      <c r="X387" s="100"/>
      <c r="Y387" s="100"/>
      <c r="Z387" s="100"/>
      <c r="AA387" s="100"/>
      <c r="AB387" s="189"/>
      <c r="AC387" s="100"/>
      <c r="AD387" s="100"/>
      <c r="AE387" s="100"/>
      <c r="AF387" s="100"/>
      <c r="AG387" s="189"/>
      <c r="AH387" s="100"/>
      <c r="AI387" s="100"/>
      <c r="AJ387" s="100"/>
      <c r="AK387" s="100"/>
    </row>
    <row r="389" spans="1:37" s="89" customFormat="1" ht="12.75" customHeight="1">
      <c r="A389" s="67"/>
      <c r="B389" s="378"/>
      <c r="C389" s="190"/>
      <c r="D389" s="187"/>
      <c r="E389" s="187"/>
      <c r="F389" s="187"/>
      <c r="G389" s="187"/>
      <c r="H389" s="190"/>
      <c r="I389" s="187"/>
      <c r="J389" s="187"/>
      <c r="K389" s="187"/>
      <c r="L389" s="187"/>
      <c r="M389" s="190"/>
      <c r="N389" s="187"/>
      <c r="O389" s="187"/>
      <c r="P389" s="187"/>
      <c r="Q389" s="187"/>
      <c r="R389" s="190"/>
      <c r="S389" s="1252"/>
      <c r="T389" s="187"/>
      <c r="U389" s="187"/>
      <c r="V389" s="187"/>
      <c r="W389" s="190"/>
      <c r="X389" s="187"/>
      <c r="Y389" s="187"/>
      <c r="Z389" s="187"/>
      <c r="AA389" s="187"/>
      <c r="AB389" s="190"/>
      <c r="AC389" s="187"/>
      <c r="AD389" s="187"/>
      <c r="AE389" s="187"/>
      <c r="AF389" s="187"/>
      <c r="AG389" s="190"/>
      <c r="AH389" s="187"/>
      <c r="AI389" s="187"/>
      <c r="AJ389" s="187"/>
      <c r="AK389" s="187"/>
    </row>
    <row r="394" spans="1:37" s="89" customFormat="1" ht="12.75" customHeight="1">
      <c r="A394" s="67"/>
      <c r="B394" s="378"/>
      <c r="C394" s="190"/>
      <c r="D394" s="187"/>
      <c r="E394" s="187"/>
      <c r="F394" s="187"/>
      <c r="G394" s="187"/>
      <c r="H394" s="190"/>
      <c r="I394" s="187"/>
      <c r="J394" s="187"/>
      <c r="K394" s="187"/>
      <c r="L394" s="187"/>
      <c r="M394" s="190"/>
      <c r="N394" s="187"/>
      <c r="O394" s="187"/>
      <c r="P394" s="187"/>
      <c r="Q394" s="187"/>
      <c r="R394" s="190"/>
      <c r="S394" s="1252"/>
      <c r="T394" s="187"/>
      <c r="U394" s="187"/>
      <c r="V394" s="187"/>
      <c r="W394" s="190"/>
      <c r="X394" s="187"/>
      <c r="Y394" s="187"/>
      <c r="Z394" s="187"/>
      <c r="AA394" s="187"/>
      <c r="AB394" s="190"/>
      <c r="AC394" s="187"/>
      <c r="AD394" s="187"/>
      <c r="AE394" s="187"/>
      <c r="AF394" s="187"/>
      <c r="AG394" s="190"/>
      <c r="AH394" s="187"/>
      <c r="AI394" s="187"/>
      <c r="AJ394" s="187"/>
      <c r="AK394" s="187"/>
    </row>
    <row r="395" spans="1:37" s="89" customFormat="1" ht="12.75" customHeight="1">
      <c r="A395" s="67"/>
      <c r="B395" s="378"/>
      <c r="C395" s="127"/>
      <c r="D395" s="100"/>
      <c r="E395" s="100"/>
      <c r="F395" s="100"/>
      <c r="G395" s="100"/>
      <c r="H395" s="127"/>
      <c r="I395" s="100"/>
      <c r="J395" s="100"/>
      <c r="K395" s="100"/>
      <c r="L395" s="100"/>
      <c r="M395" s="127"/>
      <c r="N395" s="100"/>
      <c r="O395" s="100"/>
      <c r="P395" s="100"/>
      <c r="Q395" s="100"/>
      <c r="R395" s="127"/>
      <c r="S395" s="1219"/>
      <c r="T395" s="100"/>
      <c r="U395" s="100"/>
      <c r="V395" s="100"/>
      <c r="W395" s="127"/>
      <c r="X395" s="100"/>
      <c r="Y395" s="100"/>
      <c r="Z395" s="100"/>
      <c r="AA395" s="100"/>
      <c r="AB395" s="127"/>
      <c r="AC395" s="100"/>
      <c r="AD395" s="100"/>
      <c r="AE395" s="100"/>
      <c r="AF395" s="100"/>
      <c r="AG395" s="127"/>
      <c r="AH395" s="100"/>
      <c r="AI395" s="100"/>
      <c r="AJ395" s="100"/>
      <c r="AK395" s="100"/>
    </row>
    <row r="396" spans="1:37" s="89" customFormat="1" ht="12.75" customHeight="1">
      <c r="A396" s="67"/>
      <c r="B396" s="378"/>
      <c r="C396" s="127"/>
      <c r="D396" s="100"/>
      <c r="E396" s="100"/>
      <c r="F396" s="100"/>
      <c r="G396" s="100"/>
      <c r="H396" s="127"/>
      <c r="I396" s="100"/>
      <c r="J396" s="100"/>
      <c r="K396" s="100"/>
      <c r="L396" s="100"/>
      <c r="M396" s="127"/>
      <c r="N396" s="100"/>
      <c r="O396" s="100"/>
      <c r="P396" s="100"/>
      <c r="Q396" s="100"/>
      <c r="R396" s="127"/>
      <c r="S396" s="1219"/>
      <c r="T396" s="100"/>
      <c r="U396" s="100"/>
      <c r="V396" s="100"/>
      <c r="W396" s="127"/>
      <c r="X396" s="100"/>
      <c r="Y396" s="100"/>
      <c r="Z396" s="100"/>
      <c r="AA396" s="100"/>
      <c r="AB396" s="127"/>
      <c r="AC396" s="100"/>
      <c r="AD396" s="100"/>
      <c r="AE396" s="100"/>
      <c r="AF396" s="100"/>
      <c r="AG396" s="127"/>
      <c r="AH396" s="100"/>
      <c r="AI396" s="100"/>
      <c r="AJ396" s="100"/>
      <c r="AK396" s="100"/>
    </row>
    <row r="397" spans="1:37" s="89" customFormat="1" ht="12.75" customHeight="1">
      <c r="A397" s="67"/>
      <c r="B397" s="378"/>
      <c r="C397" s="127"/>
      <c r="D397" s="100"/>
      <c r="E397" s="100"/>
      <c r="F397" s="100"/>
      <c r="G397" s="100"/>
      <c r="H397" s="127"/>
      <c r="I397" s="100"/>
      <c r="J397" s="100"/>
      <c r="K397" s="100"/>
      <c r="L397" s="100"/>
      <c r="M397" s="127"/>
      <c r="N397" s="100"/>
      <c r="O397" s="100"/>
      <c r="P397" s="100"/>
      <c r="Q397" s="100"/>
      <c r="R397" s="127"/>
      <c r="S397" s="1219"/>
      <c r="T397" s="100"/>
      <c r="U397" s="100"/>
      <c r="V397" s="100"/>
      <c r="W397" s="127"/>
      <c r="X397" s="100"/>
      <c r="Y397" s="100"/>
      <c r="Z397" s="100"/>
      <c r="AA397" s="100"/>
      <c r="AB397" s="127"/>
      <c r="AC397" s="100"/>
      <c r="AD397" s="100"/>
      <c r="AE397" s="100"/>
      <c r="AF397" s="100"/>
      <c r="AG397" s="127"/>
      <c r="AH397" s="100"/>
      <c r="AI397" s="100"/>
      <c r="AJ397" s="100"/>
      <c r="AK397" s="100"/>
    </row>
    <row r="399" spans="1:37" s="89" customFormat="1" ht="12.75" customHeight="1">
      <c r="A399" s="67"/>
      <c r="B399" s="378"/>
      <c r="C399" s="191"/>
      <c r="D399" s="192"/>
      <c r="E399" s="192"/>
      <c r="F399" s="192"/>
      <c r="G399" s="192"/>
      <c r="H399" s="191"/>
      <c r="I399" s="192"/>
      <c r="J399" s="192"/>
      <c r="K399" s="192"/>
      <c r="L399" s="192"/>
      <c r="M399" s="191"/>
      <c r="N399" s="192"/>
      <c r="O399" s="192"/>
      <c r="P399" s="192"/>
      <c r="Q399" s="192"/>
      <c r="R399" s="191"/>
      <c r="S399" s="1253"/>
      <c r="T399" s="192"/>
      <c r="U399" s="192"/>
      <c r="V399" s="192"/>
      <c r="W399" s="191"/>
      <c r="X399" s="192"/>
      <c r="Y399" s="192"/>
      <c r="Z399" s="192"/>
      <c r="AA399" s="192"/>
      <c r="AB399" s="191"/>
      <c r="AC399" s="192"/>
      <c r="AD399" s="192"/>
      <c r="AE399" s="192"/>
      <c r="AF399" s="192"/>
      <c r="AG399" s="191"/>
      <c r="AH399" s="192"/>
      <c r="AI399" s="192"/>
      <c r="AJ399" s="192"/>
      <c r="AK399" s="192"/>
    </row>
    <row r="400" spans="1:37" s="89" customFormat="1" ht="12.75" customHeight="1">
      <c r="A400" s="67"/>
      <c r="B400" s="378"/>
      <c r="C400" s="189"/>
      <c r="D400" s="100"/>
      <c r="E400" s="100"/>
      <c r="F400" s="100"/>
      <c r="G400" s="100"/>
      <c r="H400" s="189"/>
      <c r="I400" s="100"/>
      <c r="J400" s="100"/>
      <c r="K400" s="100"/>
      <c r="L400" s="100"/>
      <c r="M400" s="189"/>
      <c r="N400" s="100"/>
      <c r="O400" s="100"/>
      <c r="P400" s="100"/>
      <c r="Q400" s="100"/>
      <c r="R400" s="189"/>
      <c r="S400" s="1219"/>
      <c r="T400" s="100"/>
      <c r="U400" s="100"/>
      <c r="V400" s="100"/>
      <c r="W400" s="189"/>
      <c r="X400" s="100"/>
      <c r="Y400" s="100"/>
      <c r="Z400" s="100"/>
      <c r="AA400" s="100"/>
      <c r="AB400" s="189"/>
      <c r="AC400" s="100"/>
      <c r="AD400" s="100"/>
      <c r="AE400" s="100"/>
      <c r="AF400" s="100"/>
      <c r="AG400" s="189"/>
      <c r="AH400" s="100"/>
      <c r="AI400" s="100"/>
      <c r="AJ400" s="100"/>
      <c r="AK400" s="100"/>
    </row>
    <row r="401" spans="1:37" s="89" customFormat="1" ht="12.75" customHeight="1">
      <c r="A401" s="67"/>
      <c r="B401" s="378"/>
      <c r="C401" s="189"/>
      <c r="D401" s="100"/>
      <c r="E401" s="100"/>
      <c r="F401" s="100"/>
      <c r="G401" s="100"/>
      <c r="H401" s="189"/>
      <c r="I401" s="100"/>
      <c r="J401" s="100"/>
      <c r="K401" s="100"/>
      <c r="L401" s="100"/>
      <c r="M401" s="189"/>
      <c r="N401" s="100"/>
      <c r="O401" s="100"/>
      <c r="P401" s="100"/>
      <c r="Q401" s="100"/>
      <c r="R401" s="189"/>
      <c r="S401" s="1219"/>
      <c r="T401" s="100"/>
      <c r="U401" s="100"/>
      <c r="V401" s="100"/>
      <c r="W401" s="189"/>
      <c r="X401" s="100"/>
      <c r="Y401" s="100"/>
      <c r="Z401" s="100"/>
      <c r="AA401" s="100"/>
      <c r="AB401" s="189"/>
      <c r="AC401" s="100"/>
      <c r="AD401" s="100"/>
      <c r="AE401" s="100"/>
      <c r="AF401" s="100"/>
      <c r="AG401" s="189"/>
      <c r="AH401" s="100"/>
      <c r="AI401" s="100"/>
      <c r="AJ401" s="100"/>
      <c r="AK401" s="100"/>
    </row>
    <row r="402" spans="1:37" s="89" customFormat="1" ht="12.75" customHeight="1">
      <c r="A402" s="67"/>
      <c r="B402" s="378"/>
      <c r="C402" s="189"/>
      <c r="D402" s="100"/>
      <c r="E402" s="100"/>
      <c r="F402" s="100"/>
      <c r="G402" s="100"/>
      <c r="H402" s="189"/>
      <c r="I402" s="100"/>
      <c r="J402" s="100"/>
      <c r="K402" s="100"/>
      <c r="L402" s="100"/>
      <c r="M402" s="189"/>
      <c r="N402" s="100"/>
      <c r="O402" s="100"/>
      <c r="P402" s="100"/>
      <c r="Q402" s="100"/>
      <c r="R402" s="189"/>
      <c r="S402" s="1219"/>
      <c r="T402" s="100"/>
      <c r="U402" s="100"/>
      <c r="V402" s="100"/>
      <c r="W402" s="189"/>
      <c r="X402" s="100"/>
      <c r="Y402" s="100"/>
      <c r="Z402" s="100"/>
      <c r="AA402" s="100"/>
      <c r="AB402" s="189"/>
      <c r="AC402" s="100"/>
      <c r="AD402" s="100"/>
      <c r="AE402" s="100"/>
      <c r="AF402" s="100"/>
      <c r="AG402" s="189"/>
      <c r="AH402" s="100"/>
      <c r="AI402" s="100"/>
      <c r="AJ402" s="100"/>
      <c r="AK402" s="100"/>
    </row>
    <row r="404" spans="1:37" s="89" customFormat="1" ht="12.75" customHeight="1">
      <c r="A404" s="67"/>
      <c r="B404" s="378"/>
      <c r="C404" s="193"/>
      <c r="D404" s="163"/>
      <c r="E404" s="163"/>
      <c r="F404" s="163"/>
      <c r="G404" s="163"/>
      <c r="H404" s="193"/>
      <c r="I404" s="163"/>
      <c r="J404" s="163"/>
      <c r="K404" s="163"/>
      <c r="L404" s="163"/>
      <c r="M404" s="193"/>
      <c r="N404" s="163"/>
      <c r="O404" s="163"/>
      <c r="P404" s="163"/>
      <c r="Q404" s="163"/>
      <c r="R404" s="193"/>
      <c r="S404" s="1241"/>
      <c r="T404" s="163"/>
      <c r="U404" s="163"/>
      <c r="V404" s="163"/>
      <c r="W404" s="193"/>
      <c r="X404" s="163"/>
      <c r="Y404" s="163"/>
      <c r="Z404" s="163"/>
      <c r="AA404" s="163"/>
      <c r="AB404" s="193"/>
      <c r="AC404" s="163"/>
      <c r="AD404" s="163"/>
      <c r="AE404" s="163"/>
      <c r="AF404" s="163"/>
      <c r="AG404" s="193"/>
      <c r="AH404" s="163"/>
      <c r="AI404" s="163"/>
      <c r="AJ404" s="163"/>
      <c r="AK404" s="163"/>
    </row>
    <row r="405" spans="1:37" s="89" customFormat="1" ht="12.75" customHeight="1">
      <c r="A405" s="67"/>
      <c r="B405" s="378"/>
      <c r="C405" s="194"/>
      <c r="D405" s="128"/>
      <c r="E405" s="128"/>
      <c r="F405" s="128"/>
      <c r="G405" s="128"/>
      <c r="H405" s="194"/>
      <c r="I405" s="128"/>
      <c r="J405" s="128"/>
      <c r="K405" s="128"/>
      <c r="L405" s="128"/>
      <c r="M405" s="194"/>
      <c r="N405" s="128"/>
      <c r="O405" s="128"/>
      <c r="P405" s="128"/>
      <c r="Q405" s="128"/>
      <c r="R405" s="194"/>
      <c r="S405" s="1041"/>
      <c r="T405" s="128"/>
      <c r="U405" s="128"/>
      <c r="V405" s="128"/>
      <c r="W405" s="194"/>
      <c r="X405" s="128"/>
      <c r="Y405" s="128"/>
      <c r="Z405" s="128"/>
      <c r="AA405" s="128"/>
      <c r="AB405" s="194"/>
      <c r="AC405" s="128"/>
      <c r="AD405" s="128"/>
      <c r="AE405" s="128"/>
      <c r="AF405" s="128"/>
      <c r="AG405" s="194"/>
      <c r="AH405" s="128"/>
      <c r="AI405" s="128"/>
      <c r="AJ405" s="128"/>
      <c r="AK405" s="128"/>
    </row>
    <row r="406" spans="1:37" s="89" customFormat="1" ht="12.75" customHeight="1">
      <c r="A406" s="67"/>
      <c r="B406" s="378"/>
      <c r="C406" s="194"/>
      <c r="D406" s="128"/>
      <c r="E406" s="128"/>
      <c r="F406" s="128"/>
      <c r="G406" s="128"/>
      <c r="H406" s="194"/>
      <c r="I406" s="128"/>
      <c r="J406" s="128"/>
      <c r="K406" s="128"/>
      <c r="L406" s="128"/>
      <c r="M406" s="194"/>
      <c r="N406" s="128"/>
      <c r="O406" s="128"/>
      <c r="P406" s="128"/>
      <c r="Q406" s="128"/>
      <c r="R406" s="194"/>
      <c r="S406" s="1041"/>
      <c r="T406" s="128"/>
      <c r="U406" s="128"/>
      <c r="V406" s="128"/>
      <c r="W406" s="194"/>
      <c r="X406" s="128"/>
      <c r="Y406" s="128"/>
      <c r="Z406" s="128"/>
      <c r="AA406" s="128"/>
      <c r="AB406" s="194"/>
      <c r="AC406" s="128"/>
      <c r="AD406" s="128"/>
      <c r="AE406" s="128"/>
      <c r="AF406" s="128"/>
      <c r="AG406" s="194"/>
      <c r="AH406" s="128"/>
      <c r="AI406" s="128"/>
      <c r="AJ406" s="128"/>
      <c r="AK406" s="128"/>
    </row>
    <row r="408" spans="1:37" s="89" customFormat="1" ht="12.75" customHeight="1">
      <c r="A408" s="67"/>
      <c r="B408" s="378"/>
      <c r="C408" s="195"/>
      <c r="D408" s="196"/>
      <c r="E408" s="196"/>
      <c r="F408" s="196"/>
      <c r="G408" s="196"/>
      <c r="H408" s="195"/>
      <c r="I408" s="196"/>
      <c r="J408" s="196"/>
      <c r="K408" s="196"/>
      <c r="L408" s="196"/>
      <c r="M408" s="195"/>
      <c r="N408" s="196"/>
      <c r="O408" s="196"/>
      <c r="P408" s="196"/>
      <c r="Q408" s="196"/>
      <c r="R408" s="195"/>
      <c r="S408" s="1254"/>
      <c r="T408" s="196"/>
      <c r="U408" s="196"/>
      <c r="V408" s="196"/>
      <c r="W408" s="195"/>
      <c r="X408" s="196"/>
      <c r="Y408" s="196"/>
      <c r="Z408" s="196"/>
      <c r="AA408" s="196"/>
      <c r="AB408" s="195"/>
      <c r="AC408" s="196"/>
      <c r="AD408" s="196"/>
      <c r="AE408" s="196"/>
      <c r="AF408" s="196"/>
      <c r="AG408" s="195"/>
      <c r="AH408" s="196"/>
      <c r="AI408" s="196"/>
      <c r="AJ408" s="196"/>
      <c r="AK408" s="196"/>
    </row>
    <row r="409" spans="1:37" s="89" customFormat="1" ht="12.75" customHeight="1">
      <c r="A409" s="67"/>
      <c r="B409" s="378"/>
      <c r="C409" s="197"/>
      <c r="D409" s="198"/>
      <c r="E409" s="198"/>
      <c r="F409" s="198"/>
      <c r="G409" s="198"/>
      <c r="H409" s="197"/>
      <c r="I409" s="198"/>
      <c r="J409" s="198"/>
      <c r="K409" s="198"/>
      <c r="L409" s="198"/>
      <c r="M409" s="197"/>
      <c r="N409" s="198"/>
      <c r="O409" s="198"/>
      <c r="P409" s="198"/>
      <c r="Q409" s="198"/>
      <c r="R409" s="197"/>
      <c r="S409" s="1255"/>
      <c r="T409" s="198"/>
      <c r="U409" s="198"/>
      <c r="V409" s="198"/>
      <c r="W409" s="197"/>
      <c r="X409" s="198"/>
      <c r="Y409" s="198"/>
      <c r="Z409" s="198"/>
      <c r="AA409" s="198"/>
      <c r="AB409" s="197"/>
      <c r="AC409" s="198"/>
      <c r="AD409" s="198"/>
      <c r="AE409" s="198"/>
      <c r="AF409" s="198"/>
      <c r="AG409" s="197"/>
      <c r="AH409" s="198"/>
      <c r="AI409" s="198"/>
      <c r="AJ409" s="198"/>
      <c r="AK409" s="198"/>
    </row>
    <row r="416" spans="1:37" s="89" customFormat="1" ht="12.75" customHeight="1">
      <c r="A416" s="67"/>
      <c r="B416" s="378"/>
      <c r="C416" s="127"/>
      <c r="D416" s="100"/>
      <c r="E416" s="100"/>
      <c r="F416" s="100"/>
      <c r="G416" s="100"/>
      <c r="H416" s="127"/>
      <c r="I416" s="100"/>
      <c r="J416" s="100"/>
      <c r="K416" s="100"/>
      <c r="L416" s="100"/>
      <c r="M416" s="127"/>
      <c r="N416" s="100"/>
      <c r="O416" s="100"/>
      <c r="P416" s="100"/>
      <c r="Q416" s="100"/>
      <c r="R416" s="127"/>
      <c r="S416" s="1219"/>
      <c r="T416" s="100"/>
      <c r="U416" s="100"/>
      <c r="V416" s="100"/>
      <c r="W416" s="127"/>
      <c r="X416" s="100"/>
      <c r="Y416" s="100"/>
      <c r="Z416" s="100"/>
      <c r="AA416" s="100"/>
      <c r="AB416" s="127"/>
      <c r="AC416" s="100"/>
      <c r="AD416" s="100"/>
      <c r="AE416" s="100"/>
      <c r="AF416" s="100"/>
      <c r="AG416" s="127"/>
      <c r="AH416" s="100"/>
      <c r="AI416" s="100"/>
      <c r="AJ416" s="100"/>
      <c r="AK416" s="100"/>
    </row>
    <row r="417" spans="1:37" s="89" customFormat="1" ht="12.75" customHeight="1">
      <c r="A417" s="67"/>
      <c r="B417" s="378"/>
      <c r="C417" s="127"/>
      <c r="D417" s="100"/>
      <c r="E417" s="100"/>
      <c r="F417" s="100"/>
      <c r="G417" s="100"/>
      <c r="H417" s="127"/>
      <c r="I417" s="100"/>
      <c r="J417" s="100"/>
      <c r="K417" s="100"/>
      <c r="L417" s="100"/>
      <c r="M417" s="127"/>
      <c r="N417" s="100"/>
      <c r="O417" s="100"/>
      <c r="P417" s="100"/>
      <c r="Q417" s="100"/>
      <c r="R417" s="127"/>
      <c r="S417" s="1219"/>
      <c r="T417" s="100"/>
      <c r="U417" s="100"/>
      <c r="V417" s="100"/>
      <c r="W417" s="127"/>
      <c r="X417" s="100"/>
      <c r="Y417" s="100"/>
      <c r="Z417" s="100"/>
      <c r="AA417" s="100"/>
      <c r="AB417" s="127"/>
      <c r="AC417" s="100"/>
      <c r="AD417" s="100"/>
      <c r="AE417" s="100"/>
      <c r="AF417" s="100"/>
      <c r="AG417" s="127"/>
      <c r="AH417" s="100"/>
      <c r="AI417" s="100"/>
      <c r="AJ417" s="100"/>
      <c r="AK417" s="100"/>
    </row>
    <row r="419" spans="1:37" s="89" customFormat="1" ht="12.75" customHeight="1">
      <c r="A419" s="67"/>
      <c r="B419" s="378"/>
      <c r="C419" s="127"/>
      <c r="D419" s="100"/>
      <c r="E419" s="100"/>
      <c r="F419" s="100"/>
      <c r="G419" s="100"/>
      <c r="H419" s="127"/>
      <c r="I419" s="100"/>
      <c r="J419" s="100"/>
      <c r="K419" s="100"/>
      <c r="L419" s="100"/>
      <c r="M419" s="127"/>
      <c r="N419" s="100"/>
      <c r="O419" s="100"/>
      <c r="P419" s="100"/>
      <c r="Q419" s="100"/>
      <c r="R419" s="127"/>
      <c r="S419" s="1219"/>
      <c r="T419" s="100"/>
      <c r="U419" s="100"/>
      <c r="V419" s="100"/>
      <c r="W419" s="127"/>
      <c r="X419" s="100"/>
      <c r="Y419" s="100"/>
      <c r="Z419" s="100"/>
      <c r="AA419" s="100"/>
      <c r="AB419" s="127"/>
      <c r="AC419" s="100"/>
      <c r="AD419" s="100"/>
      <c r="AE419" s="100"/>
      <c r="AF419" s="100"/>
      <c r="AG419" s="127"/>
      <c r="AH419" s="100"/>
      <c r="AI419" s="100"/>
      <c r="AJ419" s="100"/>
      <c r="AK419" s="100"/>
    </row>
    <row r="420" spans="1:37" s="89" customFormat="1" ht="12.75" customHeight="1">
      <c r="A420" s="67"/>
      <c r="B420" s="378"/>
      <c r="C420" s="127"/>
      <c r="D420" s="100"/>
      <c r="E420" s="100"/>
      <c r="F420" s="100"/>
      <c r="G420" s="100"/>
      <c r="H420" s="127"/>
      <c r="I420" s="100"/>
      <c r="J420" s="100"/>
      <c r="K420" s="100"/>
      <c r="L420" s="100"/>
      <c r="M420" s="127"/>
      <c r="N420" s="100"/>
      <c r="O420" s="100"/>
      <c r="P420" s="100"/>
      <c r="Q420" s="100"/>
      <c r="R420" s="127"/>
      <c r="S420" s="1219"/>
      <c r="T420" s="100"/>
      <c r="U420" s="100"/>
      <c r="V420" s="100"/>
      <c r="W420" s="127"/>
      <c r="X420" s="100"/>
      <c r="Y420" s="100"/>
      <c r="Z420" s="100"/>
      <c r="AA420" s="100"/>
      <c r="AB420" s="127"/>
      <c r="AC420" s="100"/>
      <c r="AD420" s="100"/>
      <c r="AE420" s="100"/>
      <c r="AF420" s="100"/>
      <c r="AG420" s="127"/>
      <c r="AH420" s="100"/>
      <c r="AI420" s="100"/>
      <c r="AJ420" s="100"/>
      <c r="AK420" s="100"/>
    </row>
    <row r="421" spans="1:37" s="89" customFormat="1" ht="12.75" customHeight="1">
      <c r="A421" s="67"/>
      <c r="B421" s="378"/>
      <c r="C421" s="199"/>
      <c r="D421" s="200"/>
      <c r="E421" s="200"/>
      <c r="F421" s="200"/>
      <c r="G421" s="200"/>
      <c r="H421" s="199"/>
      <c r="I421" s="200"/>
      <c r="J421" s="200"/>
      <c r="K421" s="200"/>
      <c r="L421" s="200"/>
      <c r="M421" s="199"/>
      <c r="N421" s="200"/>
      <c r="O421" s="200"/>
      <c r="P421" s="200"/>
      <c r="Q421" s="200"/>
      <c r="R421" s="199"/>
      <c r="S421" s="1256"/>
      <c r="T421" s="200"/>
      <c r="U421" s="200"/>
      <c r="V421" s="200"/>
      <c r="W421" s="199"/>
      <c r="X421" s="200"/>
      <c r="Y421" s="200"/>
      <c r="Z421" s="200"/>
      <c r="AA421" s="200"/>
      <c r="AB421" s="199"/>
      <c r="AC421" s="200"/>
      <c r="AD421" s="200"/>
      <c r="AE421" s="200"/>
      <c r="AF421" s="200"/>
      <c r="AG421" s="199"/>
      <c r="AH421" s="200"/>
      <c r="AI421" s="200"/>
      <c r="AJ421" s="200"/>
      <c r="AK421" s="200"/>
    </row>
    <row r="422" spans="1:37" s="89" customFormat="1" ht="12.75" customHeight="1">
      <c r="A422" s="67"/>
      <c r="B422" s="378"/>
      <c r="C422" s="127"/>
      <c r="D422" s="100"/>
      <c r="E422" s="100"/>
      <c r="F422" s="100"/>
      <c r="G422" s="100"/>
      <c r="H422" s="127"/>
      <c r="I422" s="100"/>
      <c r="J422" s="100"/>
      <c r="K422" s="100"/>
      <c r="L422" s="100"/>
      <c r="M422" s="127"/>
      <c r="N422" s="100"/>
      <c r="O422" s="100"/>
      <c r="P422" s="100"/>
      <c r="Q422" s="100"/>
      <c r="R422" s="127"/>
      <c r="S422" s="1219"/>
      <c r="T422" s="100"/>
      <c r="U422" s="100"/>
      <c r="V422" s="100"/>
      <c r="W422" s="127"/>
      <c r="X422" s="100"/>
      <c r="Y422" s="100"/>
      <c r="Z422" s="100"/>
      <c r="AA422" s="100"/>
      <c r="AB422" s="127"/>
      <c r="AC422" s="100"/>
      <c r="AD422" s="100"/>
      <c r="AE422" s="100"/>
      <c r="AF422" s="100"/>
      <c r="AG422" s="127"/>
      <c r="AH422" s="100"/>
      <c r="AI422" s="100"/>
      <c r="AJ422" s="100"/>
      <c r="AK422" s="100"/>
    </row>
    <row r="425" spans="1:37" s="89" customFormat="1" ht="12.75" customHeight="1">
      <c r="A425" s="67"/>
      <c r="B425" s="378"/>
      <c r="C425" s="201"/>
      <c r="D425" s="202"/>
      <c r="E425" s="202"/>
      <c r="F425" s="202"/>
      <c r="G425" s="202"/>
      <c r="H425" s="201"/>
      <c r="I425" s="202"/>
      <c r="J425" s="202"/>
      <c r="K425" s="202"/>
      <c r="L425" s="202"/>
      <c r="M425" s="201"/>
      <c r="N425" s="202"/>
      <c r="O425" s="202"/>
      <c r="P425" s="202"/>
      <c r="Q425" s="202"/>
      <c r="R425" s="201"/>
      <c r="S425" s="1257"/>
      <c r="T425" s="202"/>
      <c r="U425" s="202"/>
      <c r="V425" s="202"/>
      <c r="W425" s="201"/>
      <c r="X425" s="202"/>
      <c r="Y425" s="202"/>
      <c r="Z425" s="202"/>
      <c r="AA425" s="202"/>
      <c r="AB425" s="201"/>
      <c r="AC425" s="202"/>
      <c r="AD425" s="202"/>
      <c r="AE425" s="202"/>
      <c r="AF425" s="202"/>
      <c r="AG425" s="201"/>
      <c r="AH425" s="202"/>
      <c r="AI425" s="202"/>
      <c r="AJ425" s="202"/>
      <c r="AK425" s="202"/>
    </row>
    <row r="426" spans="1:37" s="89" customFormat="1" ht="12.75" customHeight="1">
      <c r="A426" s="67"/>
      <c r="B426" s="378"/>
      <c r="C426" s="127"/>
      <c r="D426" s="100"/>
      <c r="E426" s="100"/>
      <c r="F426" s="100"/>
      <c r="G426" s="100"/>
      <c r="H426" s="127"/>
      <c r="I426" s="100"/>
      <c r="J426" s="100"/>
      <c r="K426" s="100"/>
      <c r="L426" s="100"/>
      <c r="M426" s="127"/>
      <c r="N426" s="100"/>
      <c r="O426" s="100"/>
      <c r="P426" s="100"/>
      <c r="Q426" s="100"/>
      <c r="R426" s="127"/>
      <c r="S426" s="1219"/>
      <c r="T426" s="100"/>
      <c r="U426" s="100"/>
      <c r="V426" s="100"/>
      <c r="W426" s="127"/>
      <c r="X426" s="100"/>
      <c r="Y426" s="100"/>
      <c r="Z426" s="100"/>
      <c r="AA426" s="100"/>
      <c r="AB426" s="127"/>
      <c r="AC426" s="100"/>
      <c r="AD426" s="100"/>
      <c r="AE426" s="100"/>
      <c r="AF426" s="100"/>
      <c r="AG426" s="127"/>
      <c r="AH426" s="100"/>
      <c r="AI426" s="100"/>
      <c r="AJ426" s="100"/>
      <c r="AK426" s="100"/>
    </row>
    <row r="427" spans="1:37" s="89" customFormat="1" ht="12.75" customHeight="1">
      <c r="A427" s="67"/>
      <c r="B427" s="378"/>
      <c r="C427" s="127"/>
      <c r="D427" s="100"/>
      <c r="E427" s="100"/>
      <c r="F427" s="100"/>
      <c r="G427" s="100"/>
      <c r="H427" s="127"/>
      <c r="I427" s="100"/>
      <c r="J427" s="100"/>
      <c r="K427" s="100"/>
      <c r="L427" s="100"/>
      <c r="M427" s="127"/>
      <c r="N427" s="100"/>
      <c r="O427" s="100"/>
      <c r="P427" s="100"/>
      <c r="Q427" s="100"/>
      <c r="R427" s="127"/>
      <c r="S427" s="1219"/>
      <c r="T427" s="100"/>
      <c r="U427" s="100"/>
      <c r="V427" s="100"/>
      <c r="W427" s="127"/>
      <c r="X427" s="100"/>
      <c r="Y427" s="100"/>
      <c r="Z427" s="100"/>
      <c r="AA427" s="100"/>
      <c r="AB427" s="127"/>
      <c r="AC427" s="100"/>
      <c r="AD427" s="100"/>
      <c r="AE427" s="100"/>
      <c r="AF427" s="100"/>
      <c r="AG427" s="127"/>
      <c r="AH427" s="100"/>
      <c r="AI427" s="100"/>
      <c r="AJ427" s="100"/>
      <c r="AK427" s="100"/>
    </row>
    <row r="428" spans="1:37" s="89" customFormat="1" ht="12.75" customHeight="1">
      <c r="A428" s="67"/>
      <c r="B428" s="378"/>
      <c r="C428" s="201"/>
      <c r="D428" s="202"/>
      <c r="E428" s="202"/>
      <c r="F428" s="202"/>
      <c r="G428" s="202"/>
      <c r="H428" s="201"/>
      <c r="I428" s="202"/>
      <c r="J428" s="202"/>
      <c r="K428" s="202"/>
      <c r="L428" s="202"/>
      <c r="M428" s="201"/>
      <c r="N428" s="202"/>
      <c r="O428" s="202"/>
      <c r="P428" s="202"/>
      <c r="Q428" s="202"/>
      <c r="R428" s="201"/>
      <c r="S428" s="1257"/>
      <c r="T428" s="202"/>
      <c r="U428" s="202"/>
      <c r="V428" s="202"/>
      <c r="W428" s="201"/>
      <c r="X428" s="202"/>
      <c r="Y428" s="202"/>
      <c r="Z428" s="202"/>
      <c r="AA428" s="202"/>
      <c r="AB428" s="201"/>
      <c r="AC428" s="202"/>
      <c r="AD428" s="202"/>
      <c r="AE428" s="202"/>
      <c r="AF428" s="202"/>
      <c r="AG428" s="201"/>
      <c r="AH428" s="202"/>
      <c r="AI428" s="202"/>
      <c r="AJ428" s="202"/>
      <c r="AK428" s="202"/>
    </row>
    <row r="429" spans="1:37" s="89" customFormat="1" ht="12.75" customHeight="1">
      <c r="A429" s="67"/>
      <c r="B429" s="378"/>
      <c r="C429" s="127"/>
      <c r="D429" s="100"/>
      <c r="E429" s="100"/>
      <c r="F429" s="100"/>
      <c r="G429" s="100"/>
      <c r="H429" s="127"/>
      <c r="I429" s="100"/>
      <c r="J429" s="100"/>
      <c r="K429" s="100"/>
      <c r="L429" s="100"/>
      <c r="M429" s="127"/>
      <c r="N429" s="100"/>
      <c r="O429" s="100"/>
      <c r="P429" s="100"/>
      <c r="Q429" s="100"/>
      <c r="R429" s="127"/>
      <c r="S429" s="1219"/>
      <c r="T429" s="100"/>
      <c r="U429" s="100"/>
      <c r="V429" s="100"/>
      <c r="W429" s="127"/>
      <c r="X429" s="100"/>
      <c r="Y429" s="100"/>
      <c r="Z429" s="100"/>
      <c r="AA429" s="100"/>
      <c r="AB429" s="127"/>
      <c r="AC429" s="100"/>
      <c r="AD429" s="100"/>
      <c r="AE429" s="100"/>
      <c r="AF429" s="100"/>
      <c r="AG429" s="127"/>
      <c r="AH429" s="100"/>
      <c r="AI429" s="100"/>
      <c r="AJ429" s="100"/>
      <c r="AK429" s="100"/>
    </row>
    <row r="430" spans="1:37" s="89" customFormat="1" ht="12.75" customHeight="1">
      <c r="A430" s="67"/>
      <c r="B430" s="378"/>
      <c r="C430" s="127"/>
      <c r="D430" s="100"/>
      <c r="E430" s="100"/>
      <c r="F430" s="100"/>
      <c r="G430" s="100"/>
      <c r="H430" s="127"/>
      <c r="I430" s="100"/>
      <c r="J430" s="100"/>
      <c r="K430" s="100"/>
      <c r="L430" s="100"/>
      <c r="M430" s="127"/>
      <c r="N430" s="100"/>
      <c r="O430" s="100"/>
      <c r="P430" s="100"/>
      <c r="Q430" s="100"/>
      <c r="R430" s="127"/>
      <c r="S430" s="1219"/>
      <c r="T430" s="100"/>
      <c r="U430" s="100"/>
      <c r="V430" s="100"/>
      <c r="W430" s="127"/>
      <c r="X430" s="100"/>
      <c r="Y430" s="100"/>
      <c r="Z430" s="100"/>
      <c r="AA430" s="100"/>
      <c r="AB430" s="127"/>
      <c r="AC430" s="100"/>
      <c r="AD430" s="100"/>
      <c r="AE430" s="100"/>
      <c r="AF430" s="100"/>
      <c r="AG430" s="127"/>
      <c r="AH430" s="100"/>
      <c r="AI430" s="100"/>
      <c r="AJ430" s="100"/>
      <c r="AK430" s="100"/>
    </row>
    <row r="432" spans="1:37" s="89" customFormat="1" ht="12.75" customHeight="1">
      <c r="A432" s="67"/>
      <c r="B432" s="378"/>
      <c r="C432" s="127"/>
      <c r="D432" s="100"/>
      <c r="E432" s="100"/>
      <c r="F432" s="100"/>
      <c r="G432" s="100"/>
      <c r="H432" s="127"/>
      <c r="I432" s="100"/>
      <c r="J432" s="100"/>
      <c r="K432" s="100"/>
      <c r="L432" s="100"/>
      <c r="M432" s="127"/>
      <c r="N432" s="100"/>
      <c r="O432" s="100"/>
      <c r="P432" s="100"/>
      <c r="Q432" s="100"/>
      <c r="R432" s="127"/>
      <c r="S432" s="1219"/>
      <c r="T432" s="100"/>
      <c r="U432" s="100"/>
      <c r="V432" s="100"/>
      <c r="W432" s="127"/>
      <c r="X432" s="100"/>
      <c r="Y432" s="100"/>
      <c r="Z432" s="100"/>
      <c r="AA432" s="100"/>
      <c r="AB432" s="127"/>
      <c r="AC432" s="100"/>
      <c r="AD432" s="100"/>
      <c r="AE432" s="100"/>
      <c r="AF432" s="100"/>
      <c r="AG432" s="127"/>
      <c r="AH432" s="100"/>
      <c r="AI432" s="100"/>
      <c r="AJ432" s="100"/>
      <c r="AK432" s="100"/>
    </row>
    <row r="433" spans="1:37" s="89" customFormat="1" ht="12.75" customHeight="1">
      <c r="A433" s="67"/>
      <c r="B433" s="378"/>
      <c r="C433" s="127"/>
      <c r="D433" s="100"/>
      <c r="E433" s="100"/>
      <c r="F433" s="100"/>
      <c r="G433" s="100"/>
      <c r="H433" s="127"/>
      <c r="I433" s="100"/>
      <c r="J433" s="100"/>
      <c r="K433" s="100"/>
      <c r="L433" s="100"/>
      <c r="M433" s="127"/>
      <c r="N433" s="100"/>
      <c r="O433" s="100"/>
      <c r="P433" s="100"/>
      <c r="Q433" s="100"/>
      <c r="R433" s="127"/>
      <c r="S433" s="1219"/>
      <c r="T433" s="100"/>
      <c r="U433" s="100"/>
      <c r="V433" s="100"/>
      <c r="W433" s="127"/>
      <c r="X433" s="100"/>
      <c r="Y433" s="100"/>
      <c r="Z433" s="100"/>
      <c r="AA433" s="100"/>
      <c r="AB433" s="127"/>
      <c r="AC433" s="100"/>
      <c r="AD433" s="100"/>
      <c r="AE433" s="100"/>
      <c r="AF433" s="100"/>
      <c r="AG433" s="127"/>
      <c r="AH433" s="100"/>
      <c r="AI433" s="100"/>
      <c r="AJ433" s="100"/>
      <c r="AK433" s="100"/>
    </row>
    <row r="434" spans="1:37" s="89" customFormat="1" ht="12.75" customHeight="1">
      <c r="A434" s="67"/>
      <c r="B434" s="378"/>
      <c r="C434" s="127"/>
      <c r="D434" s="100"/>
      <c r="E434" s="100"/>
      <c r="F434" s="100"/>
      <c r="G434" s="100"/>
      <c r="H434" s="127"/>
      <c r="I434" s="100"/>
      <c r="J434" s="100"/>
      <c r="K434" s="100"/>
      <c r="L434" s="100"/>
      <c r="M434" s="127"/>
      <c r="N434" s="100"/>
      <c r="O434" s="100"/>
      <c r="P434" s="100"/>
      <c r="Q434" s="100"/>
      <c r="R434" s="127"/>
      <c r="S434" s="1219"/>
      <c r="T434" s="100"/>
      <c r="U434" s="100"/>
      <c r="V434" s="100"/>
      <c r="W434" s="127"/>
      <c r="X434" s="100"/>
      <c r="Y434" s="100"/>
      <c r="Z434" s="100"/>
      <c r="AA434" s="100"/>
      <c r="AB434" s="127"/>
      <c r="AC434" s="100"/>
      <c r="AD434" s="100"/>
      <c r="AE434" s="100"/>
      <c r="AF434" s="100"/>
      <c r="AG434" s="127"/>
      <c r="AH434" s="100"/>
      <c r="AI434" s="100"/>
      <c r="AJ434" s="100"/>
      <c r="AK434" s="100"/>
    </row>
    <row r="438" spans="1:37" s="89" customFormat="1" ht="12.75" customHeight="1">
      <c r="A438" s="67"/>
      <c r="B438" s="378"/>
      <c r="C438" s="127"/>
      <c r="D438" s="100"/>
      <c r="E438" s="100"/>
      <c r="F438" s="100"/>
      <c r="G438" s="100"/>
      <c r="H438" s="127"/>
      <c r="I438" s="100"/>
      <c r="J438" s="100"/>
      <c r="K438" s="100"/>
      <c r="L438" s="100"/>
      <c r="M438" s="127"/>
      <c r="N438" s="100"/>
      <c r="O438" s="100"/>
      <c r="P438" s="100"/>
      <c r="Q438" s="100"/>
      <c r="R438" s="127"/>
      <c r="S438" s="1219"/>
      <c r="T438" s="100"/>
      <c r="U438" s="100"/>
      <c r="V438" s="100"/>
      <c r="W438" s="127"/>
      <c r="X438" s="100"/>
      <c r="Y438" s="100"/>
      <c r="Z438" s="100"/>
      <c r="AA438" s="100"/>
      <c r="AB438" s="127"/>
      <c r="AC438" s="100"/>
      <c r="AD438" s="100"/>
      <c r="AE438" s="100"/>
      <c r="AF438" s="100"/>
      <c r="AG438" s="127"/>
      <c r="AH438" s="100"/>
      <c r="AI438" s="100"/>
      <c r="AJ438" s="100"/>
      <c r="AK438" s="100"/>
    </row>
    <row r="439" spans="1:37" s="89" customFormat="1" ht="12.75" customHeight="1">
      <c r="A439" s="67"/>
      <c r="B439" s="378"/>
      <c r="C439" s="127"/>
      <c r="D439" s="100"/>
      <c r="E439" s="100"/>
      <c r="F439" s="100"/>
      <c r="G439" s="100"/>
      <c r="H439" s="127"/>
      <c r="I439" s="100"/>
      <c r="J439" s="100"/>
      <c r="K439" s="100"/>
      <c r="L439" s="100"/>
      <c r="M439" s="127"/>
      <c r="N439" s="100"/>
      <c r="O439" s="100"/>
      <c r="P439" s="100"/>
      <c r="Q439" s="100"/>
      <c r="R439" s="127"/>
      <c r="S439" s="1219"/>
      <c r="T439" s="100"/>
      <c r="U439" s="100"/>
      <c r="V439" s="100"/>
      <c r="W439" s="127"/>
      <c r="X439" s="100"/>
      <c r="Y439" s="100"/>
      <c r="Z439" s="100"/>
      <c r="AA439" s="100"/>
      <c r="AB439" s="127"/>
      <c r="AC439" s="100"/>
      <c r="AD439" s="100"/>
      <c r="AE439" s="100"/>
      <c r="AF439" s="100"/>
      <c r="AG439" s="127"/>
      <c r="AH439" s="100"/>
      <c r="AI439" s="100"/>
      <c r="AJ439" s="100"/>
      <c r="AK439" s="100"/>
    </row>
    <row r="440" spans="1:37" s="89" customFormat="1" ht="12.75" customHeight="1">
      <c r="A440" s="67"/>
      <c r="B440" s="378"/>
      <c r="C440" s="127"/>
      <c r="D440" s="100"/>
      <c r="E440" s="100"/>
      <c r="F440" s="100"/>
      <c r="G440" s="100"/>
      <c r="H440" s="127"/>
      <c r="I440" s="100"/>
      <c r="J440" s="100"/>
      <c r="K440" s="100"/>
      <c r="L440" s="100"/>
      <c r="M440" s="127"/>
      <c r="N440" s="100"/>
      <c r="O440" s="100"/>
      <c r="P440" s="100"/>
      <c r="Q440" s="100"/>
      <c r="R440" s="127"/>
      <c r="S440" s="1219"/>
      <c r="T440" s="100"/>
      <c r="U440" s="100"/>
      <c r="V440" s="100"/>
      <c r="W440" s="127"/>
      <c r="X440" s="100"/>
      <c r="Y440" s="100"/>
      <c r="Z440" s="100"/>
      <c r="AA440" s="100"/>
      <c r="AB440" s="127"/>
      <c r="AC440" s="100"/>
      <c r="AD440" s="100"/>
      <c r="AE440" s="100"/>
      <c r="AF440" s="100"/>
      <c r="AG440" s="127"/>
      <c r="AH440" s="100"/>
      <c r="AI440" s="100"/>
      <c r="AJ440" s="100"/>
      <c r="AK440" s="100"/>
    </row>
    <row r="441" spans="1:37" s="89" customFormat="1" ht="12.75" customHeight="1">
      <c r="A441" s="67"/>
      <c r="B441" s="378"/>
      <c r="C441" s="127"/>
      <c r="D441" s="100"/>
      <c r="E441" s="100"/>
      <c r="F441" s="100"/>
      <c r="G441" s="100"/>
      <c r="H441" s="127"/>
      <c r="I441" s="100"/>
      <c r="J441" s="100"/>
      <c r="K441" s="100"/>
      <c r="L441" s="100"/>
      <c r="M441" s="127"/>
      <c r="N441" s="100"/>
      <c r="O441" s="100"/>
      <c r="P441" s="100"/>
      <c r="Q441" s="100"/>
      <c r="R441" s="127"/>
      <c r="S441" s="1219"/>
      <c r="T441" s="100"/>
      <c r="U441" s="100"/>
      <c r="V441" s="100"/>
      <c r="W441" s="127"/>
      <c r="X441" s="100"/>
      <c r="Y441" s="100"/>
      <c r="Z441" s="100"/>
      <c r="AA441" s="100"/>
      <c r="AB441" s="127"/>
      <c r="AC441" s="100"/>
      <c r="AD441" s="100"/>
      <c r="AE441" s="100"/>
      <c r="AF441" s="100"/>
      <c r="AG441" s="127"/>
      <c r="AH441" s="100"/>
      <c r="AI441" s="100"/>
      <c r="AJ441" s="100"/>
      <c r="AK441" s="100"/>
    </row>
    <row r="444" spans="1:37" s="89" customFormat="1" ht="12.75" customHeight="1">
      <c r="A444" s="67"/>
      <c r="B444" s="378"/>
      <c r="C444" s="155"/>
      <c r="D444" s="155"/>
      <c r="E444" s="155"/>
      <c r="F444" s="155"/>
      <c r="G444" s="155"/>
      <c r="H444" s="155"/>
      <c r="I444" s="155"/>
      <c r="J444" s="155"/>
      <c r="K444" s="155"/>
      <c r="L444" s="155"/>
      <c r="M444" s="155"/>
      <c r="N444" s="155"/>
      <c r="O444" s="155"/>
      <c r="P444" s="155"/>
      <c r="Q444" s="155"/>
      <c r="R444" s="155"/>
      <c r="S444" s="1239"/>
      <c r="T444" s="155"/>
      <c r="U444" s="155"/>
      <c r="V444" s="155"/>
      <c r="W444" s="155"/>
      <c r="X444" s="155"/>
      <c r="Y444" s="155"/>
      <c r="Z444" s="155"/>
      <c r="AA444" s="155"/>
      <c r="AB444" s="155"/>
      <c r="AC444" s="155"/>
      <c r="AD444" s="155"/>
      <c r="AE444" s="155"/>
      <c r="AF444" s="155"/>
      <c r="AG444" s="155"/>
      <c r="AH444" s="155"/>
      <c r="AI444" s="155"/>
      <c r="AJ444" s="155"/>
      <c r="AK444" s="155"/>
    </row>
    <row r="445" spans="1:37" s="89" customFormat="1" ht="12.75" customHeight="1">
      <c r="A445" s="67"/>
      <c r="B445" s="378"/>
      <c r="C445" s="155"/>
      <c r="D445" s="155"/>
      <c r="E445" s="155"/>
      <c r="F445" s="155"/>
      <c r="G445" s="155"/>
      <c r="H445" s="155"/>
      <c r="I445" s="155"/>
      <c r="J445" s="155"/>
      <c r="K445" s="155"/>
      <c r="L445" s="155"/>
      <c r="M445" s="155"/>
      <c r="N445" s="155"/>
      <c r="O445" s="155"/>
      <c r="P445" s="155"/>
      <c r="Q445" s="155"/>
      <c r="R445" s="155"/>
      <c r="S445" s="1239"/>
      <c r="T445" s="155"/>
      <c r="U445" s="155"/>
      <c r="V445" s="155"/>
      <c r="W445" s="155"/>
      <c r="X445" s="155"/>
      <c r="Y445" s="155"/>
      <c r="Z445" s="155"/>
      <c r="AA445" s="155"/>
      <c r="AB445" s="155"/>
      <c r="AC445" s="155"/>
      <c r="AD445" s="155"/>
      <c r="AE445" s="155"/>
      <c r="AF445" s="155"/>
      <c r="AG445" s="155"/>
      <c r="AH445" s="155"/>
      <c r="AI445" s="155"/>
      <c r="AJ445" s="155"/>
      <c r="AK445" s="155"/>
    </row>
    <row r="446" spans="1:37" s="89" customFormat="1" ht="12.75" customHeight="1">
      <c r="A446" s="67"/>
      <c r="B446" s="378"/>
      <c r="C446" s="155"/>
      <c r="D446" s="155"/>
      <c r="E446" s="155"/>
      <c r="F446" s="155"/>
      <c r="G446" s="155"/>
      <c r="H446" s="155"/>
      <c r="I446" s="155"/>
      <c r="J446" s="155"/>
      <c r="K446" s="155"/>
      <c r="L446" s="155"/>
      <c r="M446" s="155"/>
      <c r="N446" s="155"/>
      <c r="O446" s="155"/>
      <c r="P446" s="155"/>
      <c r="Q446" s="155"/>
      <c r="R446" s="155"/>
      <c r="S446" s="1239"/>
      <c r="T446" s="155"/>
      <c r="U446" s="155"/>
      <c r="V446" s="155"/>
      <c r="W446" s="155"/>
      <c r="X446" s="155"/>
      <c r="Y446" s="155"/>
      <c r="Z446" s="155"/>
      <c r="AA446" s="155"/>
      <c r="AB446" s="155"/>
      <c r="AC446" s="155"/>
      <c r="AD446" s="155"/>
      <c r="AE446" s="155"/>
      <c r="AF446" s="155"/>
      <c r="AG446" s="155"/>
      <c r="AH446" s="155"/>
      <c r="AI446" s="155"/>
      <c r="AJ446" s="155"/>
      <c r="AK446" s="155"/>
    </row>
    <row r="447" spans="1:37" s="89" customFormat="1" ht="12.75" customHeight="1">
      <c r="A447" s="67"/>
      <c r="B447" s="378"/>
      <c r="C447" s="101"/>
      <c r="D447" s="101"/>
      <c r="E447" s="101"/>
      <c r="F447" s="101"/>
      <c r="G447" s="101"/>
      <c r="H447" s="101"/>
      <c r="I447" s="101"/>
      <c r="J447" s="101"/>
      <c r="K447" s="101"/>
      <c r="L447" s="101"/>
      <c r="M447" s="101"/>
      <c r="N447" s="101"/>
      <c r="O447" s="101"/>
      <c r="P447" s="101"/>
      <c r="Q447" s="101"/>
      <c r="R447" s="101"/>
      <c r="S447" s="686"/>
      <c r="T447" s="101"/>
      <c r="U447" s="101"/>
      <c r="V447" s="101"/>
      <c r="W447" s="101"/>
      <c r="X447" s="101"/>
      <c r="Y447" s="101"/>
      <c r="Z447" s="101"/>
      <c r="AA447" s="101"/>
      <c r="AB447" s="101"/>
      <c r="AC447" s="101"/>
      <c r="AD447" s="101"/>
      <c r="AE447" s="101"/>
      <c r="AF447" s="101"/>
      <c r="AG447" s="101"/>
      <c r="AH447" s="101"/>
      <c r="AI447" s="101"/>
      <c r="AJ447" s="101"/>
      <c r="AK447" s="101"/>
    </row>
    <row r="448" spans="1:37" s="89" customFormat="1" ht="12.75" customHeight="1">
      <c r="A448" s="67"/>
      <c r="B448" s="378"/>
      <c r="C448" s="203"/>
      <c r="D448" s="203"/>
      <c r="E448" s="203"/>
      <c r="F448" s="203"/>
      <c r="G448" s="203"/>
      <c r="H448" s="203"/>
      <c r="I448" s="203"/>
      <c r="J448" s="203"/>
      <c r="K448" s="203"/>
      <c r="L448" s="203"/>
      <c r="M448" s="203"/>
      <c r="N448" s="203"/>
      <c r="O448" s="203"/>
      <c r="P448" s="203"/>
      <c r="Q448" s="203"/>
      <c r="R448" s="203"/>
      <c r="S448" s="1258"/>
      <c r="T448" s="203"/>
      <c r="U448" s="203"/>
      <c r="V448" s="203"/>
      <c r="W448" s="203"/>
      <c r="X448" s="203"/>
      <c r="Y448" s="203"/>
      <c r="Z448" s="203"/>
      <c r="AA448" s="203"/>
      <c r="AB448" s="203"/>
      <c r="AC448" s="203"/>
      <c r="AD448" s="203"/>
      <c r="AE448" s="203"/>
      <c r="AF448" s="203"/>
      <c r="AG448" s="203"/>
      <c r="AH448" s="203"/>
      <c r="AI448" s="203"/>
      <c r="AJ448" s="203"/>
      <c r="AK448" s="203"/>
    </row>
    <row r="449" spans="1:37" s="89" customFormat="1" ht="12.75" customHeight="1">
      <c r="A449" s="67"/>
      <c r="B449" s="378"/>
      <c r="C449" s="155"/>
      <c r="D449" s="155"/>
      <c r="E449" s="155"/>
      <c r="F449" s="155"/>
      <c r="G449" s="155"/>
      <c r="H449" s="155"/>
      <c r="I449" s="155"/>
      <c r="J449" s="155"/>
      <c r="K449" s="155"/>
      <c r="L449" s="155"/>
      <c r="M449" s="155"/>
      <c r="N449" s="155"/>
      <c r="O449" s="155"/>
      <c r="P449" s="155"/>
      <c r="Q449" s="155"/>
      <c r="R449" s="155"/>
      <c r="S449" s="1239"/>
      <c r="T449" s="155"/>
      <c r="U449" s="155"/>
      <c r="V449" s="155"/>
      <c r="W449" s="155"/>
      <c r="X449" s="155"/>
      <c r="Y449" s="155"/>
      <c r="Z449" s="155"/>
      <c r="AA449" s="155"/>
      <c r="AB449" s="155"/>
      <c r="AC449" s="155"/>
      <c r="AD449" s="155"/>
      <c r="AE449" s="155"/>
      <c r="AF449" s="155"/>
      <c r="AG449" s="155"/>
      <c r="AH449" s="155"/>
      <c r="AI449" s="155"/>
      <c r="AJ449" s="155"/>
      <c r="AK449" s="155"/>
    </row>
    <row r="450" spans="1:37" s="89" customFormat="1" ht="12.75" customHeight="1">
      <c r="A450" s="67"/>
      <c r="B450" s="378"/>
      <c r="C450" s="155"/>
      <c r="D450" s="155"/>
      <c r="E450" s="155"/>
      <c r="F450" s="155"/>
      <c r="G450" s="155"/>
      <c r="H450" s="155"/>
      <c r="I450" s="155"/>
      <c r="J450" s="155"/>
      <c r="K450" s="155"/>
      <c r="L450" s="155"/>
      <c r="M450" s="155"/>
      <c r="N450" s="155"/>
      <c r="O450" s="155"/>
      <c r="P450" s="155"/>
      <c r="Q450" s="155"/>
      <c r="R450" s="155"/>
      <c r="S450" s="1239"/>
      <c r="T450" s="155"/>
      <c r="U450" s="155"/>
      <c r="V450" s="155"/>
      <c r="W450" s="155"/>
      <c r="X450" s="155"/>
      <c r="Y450" s="155"/>
      <c r="Z450" s="155"/>
      <c r="AA450" s="155"/>
      <c r="AB450" s="155"/>
      <c r="AC450" s="155"/>
      <c r="AD450" s="155"/>
      <c r="AE450" s="155"/>
      <c r="AF450" s="155"/>
      <c r="AG450" s="155"/>
      <c r="AH450" s="155"/>
      <c r="AI450" s="155"/>
      <c r="AJ450" s="155"/>
      <c r="AK450" s="155"/>
    </row>
    <row r="451" spans="1:37" s="89" customFormat="1" ht="12.75" customHeight="1">
      <c r="A451" s="67"/>
      <c r="B451" s="378"/>
      <c r="C451" s="101"/>
      <c r="D451" s="101"/>
      <c r="E451" s="101"/>
      <c r="F451" s="101"/>
      <c r="G451" s="101"/>
      <c r="H451" s="101"/>
      <c r="I451" s="101"/>
      <c r="J451" s="101"/>
      <c r="K451" s="101"/>
      <c r="L451" s="101"/>
      <c r="M451" s="101"/>
      <c r="N451" s="101"/>
      <c r="O451" s="101"/>
      <c r="P451" s="101"/>
      <c r="Q451" s="101"/>
      <c r="R451" s="101"/>
      <c r="S451" s="686"/>
      <c r="T451" s="101"/>
      <c r="U451" s="101"/>
      <c r="V451" s="101"/>
      <c r="W451" s="101"/>
      <c r="X451" s="101"/>
      <c r="Y451" s="101"/>
      <c r="Z451" s="101"/>
      <c r="AA451" s="101"/>
      <c r="AB451" s="101"/>
      <c r="AC451" s="101"/>
      <c r="AD451" s="101"/>
      <c r="AE451" s="101"/>
      <c r="AF451" s="101"/>
      <c r="AG451" s="101"/>
      <c r="AH451" s="101"/>
      <c r="AI451" s="101"/>
      <c r="AJ451" s="101"/>
      <c r="AK451" s="101"/>
    </row>
    <row r="452" spans="1:37" s="89" customFormat="1" ht="12.75" customHeight="1">
      <c r="A452" s="67"/>
      <c r="B452" s="378"/>
      <c r="C452" s="101"/>
      <c r="D452" s="101"/>
      <c r="E452" s="101"/>
      <c r="F452" s="101"/>
      <c r="G452" s="101"/>
      <c r="H452" s="101"/>
      <c r="I452" s="101"/>
      <c r="J452" s="101"/>
      <c r="K452" s="101"/>
      <c r="L452" s="101"/>
      <c r="M452" s="101"/>
      <c r="N452" s="101"/>
      <c r="O452" s="101"/>
      <c r="P452" s="101"/>
      <c r="Q452" s="101"/>
      <c r="R452" s="101"/>
      <c r="S452" s="686"/>
      <c r="T452" s="101"/>
      <c r="U452" s="101"/>
      <c r="V452" s="101"/>
      <c r="W452" s="101"/>
      <c r="X452" s="101"/>
      <c r="Y452" s="101"/>
      <c r="Z452" s="101"/>
      <c r="AA452" s="101"/>
      <c r="AB452" s="101"/>
      <c r="AC452" s="101"/>
      <c r="AD452" s="101"/>
      <c r="AE452" s="101"/>
      <c r="AF452" s="101"/>
      <c r="AG452" s="101"/>
      <c r="AH452" s="101"/>
      <c r="AI452" s="101"/>
      <c r="AJ452" s="101"/>
      <c r="AK452" s="101"/>
    </row>
    <row r="453" spans="1:37" s="89" customFormat="1" ht="12.75" customHeight="1">
      <c r="A453" s="67"/>
      <c r="B453" s="378"/>
      <c r="C453" s="155"/>
      <c r="D453" s="155"/>
      <c r="E453" s="155"/>
      <c r="F453" s="155"/>
      <c r="G453" s="155"/>
      <c r="H453" s="155"/>
      <c r="I453" s="155"/>
      <c r="J453" s="155"/>
      <c r="K453" s="155"/>
      <c r="L453" s="155"/>
      <c r="M453" s="155"/>
      <c r="N453" s="155"/>
      <c r="O453" s="155"/>
      <c r="P453" s="155"/>
      <c r="Q453" s="155"/>
      <c r="R453" s="155"/>
      <c r="S453" s="1239"/>
      <c r="T453" s="155"/>
      <c r="U453" s="155"/>
      <c r="V453" s="155"/>
      <c r="W453" s="155"/>
      <c r="X453" s="155"/>
      <c r="Y453" s="155"/>
      <c r="Z453" s="155"/>
      <c r="AA453" s="155"/>
      <c r="AB453" s="155"/>
      <c r="AC453" s="155"/>
      <c r="AD453" s="155"/>
      <c r="AE453" s="155"/>
      <c r="AF453" s="155"/>
      <c r="AG453" s="155"/>
      <c r="AH453" s="155"/>
      <c r="AI453" s="155"/>
      <c r="AJ453" s="155"/>
      <c r="AK453" s="155"/>
    </row>
    <row r="454" spans="1:37" s="89" customFormat="1" ht="12.75" customHeight="1">
      <c r="A454" s="67"/>
      <c r="B454" s="378"/>
      <c r="C454" s="204"/>
      <c r="D454" s="204"/>
      <c r="E454" s="204"/>
      <c r="F454" s="204"/>
      <c r="G454" s="204"/>
      <c r="H454" s="204"/>
      <c r="I454" s="204"/>
      <c r="J454" s="204"/>
      <c r="K454" s="204"/>
      <c r="L454" s="204"/>
      <c r="M454" s="204"/>
      <c r="N454" s="204"/>
      <c r="O454" s="204"/>
      <c r="P454" s="204"/>
      <c r="Q454" s="204"/>
      <c r="R454" s="204"/>
      <c r="S454" s="1259"/>
      <c r="T454" s="204"/>
      <c r="U454" s="204"/>
      <c r="V454" s="204"/>
      <c r="W454" s="204"/>
      <c r="X454" s="204"/>
      <c r="Y454" s="204"/>
      <c r="Z454" s="204"/>
      <c r="AA454" s="204"/>
      <c r="AB454" s="204"/>
      <c r="AC454" s="204"/>
      <c r="AD454" s="204"/>
      <c r="AE454" s="204"/>
      <c r="AF454" s="204"/>
      <c r="AG454" s="204"/>
      <c r="AH454" s="204"/>
      <c r="AI454" s="204"/>
      <c r="AJ454" s="204"/>
      <c r="AK454" s="204"/>
    </row>
    <row r="455" spans="1:37" s="89" customFormat="1" ht="12.75" customHeight="1">
      <c r="A455" s="67"/>
      <c r="B455" s="378"/>
      <c r="C455" s="101"/>
      <c r="D455" s="101"/>
      <c r="E455" s="101"/>
      <c r="F455" s="101"/>
      <c r="G455" s="101"/>
      <c r="H455" s="101"/>
      <c r="I455" s="101"/>
      <c r="J455" s="101"/>
      <c r="K455" s="101"/>
      <c r="L455" s="101"/>
      <c r="M455" s="101"/>
      <c r="N455" s="101"/>
      <c r="O455" s="101"/>
      <c r="P455" s="101"/>
      <c r="Q455" s="101"/>
      <c r="R455" s="101"/>
      <c r="S455" s="686"/>
      <c r="T455" s="101"/>
      <c r="U455" s="101"/>
      <c r="V455" s="101"/>
      <c r="W455" s="101"/>
      <c r="X455" s="101"/>
      <c r="Y455" s="101"/>
      <c r="Z455" s="101"/>
      <c r="AA455" s="101"/>
      <c r="AB455" s="101"/>
      <c r="AC455" s="101"/>
      <c r="AD455" s="101"/>
      <c r="AE455" s="101"/>
      <c r="AF455" s="101"/>
      <c r="AG455" s="101"/>
      <c r="AH455" s="101"/>
      <c r="AI455" s="101"/>
      <c r="AJ455" s="101"/>
      <c r="AK455" s="101"/>
    </row>
    <row r="456" spans="1:37" s="89" customFormat="1" ht="12.75" customHeight="1">
      <c r="A456" s="67"/>
      <c r="B456" s="378"/>
      <c r="C456" s="101"/>
      <c r="D456" s="101"/>
      <c r="E456" s="101"/>
      <c r="F456" s="101"/>
      <c r="G456" s="101"/>
      <c r="H456" s="101"/>
      <c r="I456" s="101"/>
      <c r="J456" s="101"/>
      <c r="K456" s="101"/>
      <c r="L456" s="101"/>
      <c r="M456" s="101"/>
      <c r="N456" s="101"/>
      <c r="O456" s="101"/>
      <c r="P456" s="101"/>
      <c r="Q456" s="101"/>
      <c r="R456" s="101"/>
      <c r="S456" s="686"/>
      <c r="T456" s="101"/>
      <c r="U456" s="101"/>
      <c r="V456" s="101"/>
      <c r="W456" s="101"/>
      <c r="X456" s="101"/>
      <c r="Y456" s="101"/>
      <c r="Z456" s="101"/>
      <c r="AA456" s="101"/>
      <c r="AB456" s="101"/>
      <c r="AC456" s="101"/>
      <c r="AD456" s="101"/>
      <c r="AE456" s="101"/>
      <c r="AF456" s="101"/>
      <c r="AG456" s="101"/>
      <c r="AH456" s="101"/>
      <c r="AI456" s="101"/>
      <c r="AJ456" s="101"/>
      <c r="AK456" s="101"/>
    </row>
    <row r="457" spans="1:37" s="89" customFormat="1" ht="12.75" customHeight="1">
      <c r="A457" s="67"/>
      <c r="B457" s="378"/>
      <c r="C457" s="205"/>
      <c r="D457" s="205"/>
      <c r="E457" s="205"/>
      <c r="F457" s="205"/>
      <c r="G457" s="205"/>
      <c r="H457" s="205"/>
      <c r="I457" s="205"/>
      <c r="J457" s="205"/>
      <c r="K457" s="205"/>
      <c r="L457" s="205"/>
      <c r="M457" s="205"/>
      <c r="N457" s="205"/>
      <c r="O457" s="205"/>
      <c r="P457" s="205"/>
      <c r="Q457" s="205"/>
      <c r="R457" s="205"/>
      <c r="S457" s="1260"/>
      <c r="T457" s="205"/>
      <c r="U457" s="205"/>
      <c r="V457" s="205"/>
      <c r="W457" s="205"/>
      <c r="X457" s="205"/>
      <c r="Y457" s="205"/>
      <c r="Z457" s="205"/>
      <c r="AA457" s="205"/>
      <c r="AB457" s="205"/>
      <c r="AC457" s="205"/>
      <c r="AD457" s="205"/>
      <c r="AE457" s="205"/>
      <c r="AF457" s="205"/>
      <c r="AG457" s="205"/>
      <c r="AH457" s="205"/>
      <c r="AI457" s="205"/>
      <c r="AJ457" s="205"/>
      <c r="AK457" s="205"/>
    </row>
    <row r="458" spans="1:37" s="89" customFormat="1" ht="12.75" customHeight="1">
      <c r="A458" s="67"/>
      <c r="B458" s="378"/>
      <c r="C458" s="155"/>
      <c r="D458" s="155"/>
      <c r="E458" s="155"/>
      <c r="F458" s="155"/>
      <c r="G458" s="155"/>
      <c r="H458" s="155"/>
      <c r="I458" s="155"/>
      <c r="J458" s="155"/>
      <c r="K458" s="155"/>
      <c r="L458" s="155"/>
      <c r="M458" s="155"/>
      <c r="N458" s="155"/>
      <c r="O458" s="155"/>
      <c r="P458" s="155"/>
      <c r="Q458" s="155"/>
      <c r="R458" s="155"/>
      <c r="S458" s="1239"/>
      <c r="T458" s="155"/>
      <c r="U458" s="155"/>
      <c r="V458" s="155"/>
      <c r="W458" s="155"/>
      <c r="X458" s="155"/>
      <c r="Y458" s="155"/>
      <c r="Z458" s="155"/>
      <c r="AA458" s="155"/>
      <c r="AB458" s="155"/>
      <c r="AC458" s="155"/>
      <c r="AD458" s="155"/>
      <c r="AE458" s="155"/>
      <c r="AF458" s="155"/>
      <c r="AG458" s="155"/>
      <c r="AH458" s="155"/>
      <c r="AI458" s="155"/>
      <c r="AJ458" s="155"/>
      <c r="AK458" s="155"/>
    </row>
    <row r="459" spans="1:37" s="89" customFormat="1" ht="12.75" customHeight="1">
      <c r="A459" s="67"/>
      <c r="B459" s="378"/>
      <c r="C459" s="155"/>
      <c r="D459" s="155"/>
      <c r="E459" s="155"/>
      <c r="F459" s="155"/>
      <c r="G459" s="155"/>
      <c r="H459" s="155"/>
      <c r="I459" s="155"/>
      <c r="J459" s="155"/>
      <c r="K459" s="155"/>
      <c r="L459" s="155"/>
      <c r="M459" s="155"/>
      <c r="N459" s="155"/>
      <c r="O459" s="155"/>
      <c r="P459" s="155"/>
      <c r="Q459" s="155"/>
      <c r="R459" s="155"/>
      <c r="S459" s="1239"/>
      <c r="T459" s="155"/>
      <c r="U459" s="155"/>
      <c r="V459" s="155"/>
      <c r="W459" s="155"/>
      <c r="X459" s="155"/>
      <c r="Y459" s="155"/>
      <c r="Z459" s="155"/>
      <c r="AA459" s="155"/>
      <c r="AB459" s="155"/>
      <c r="AC459" s="155"/>
      <c r="AD459" s="155"/>
      <c r="AE459" s="155"/>
      <c r="AF459" s="155"/>
      <c r="AG459" s="155"/>
      <c r="AH459" s="155"/>
      <c r="AI459" s="155"/>
      <c r="AJ459" s="155"/>
      <c r="AK459" s="155"/>
    </row>
    <row r="460" spans="1:37" s="89" customFormat="1" ht="12.75" customHeight="1">
      <c r="A460" s="67"/>
      <c r="B460" s="378"/>
      <c r="C460" s="206"/>
      <c r="D460" s="206"/>
      <c r="E460" s="206"/>
      <c r="F460" s="206"/>
      <c r="G460" s="206"/>
      <c r="H460" s="206"/>
      <c r="I460" s="206"/>
      <c r="J460" s="206"/>
      <c r="K460" s="206"/>
      <c r="L460" s="206"/>
      <c r="M460" s="206"/>
      <c r="N460" s="206"/>
      <c r="O460" s="206"/>
      <c r="P460" s="206"/>
      <c r="Q460" s="206"/>
      <c r="R460" s="206"/>
      <c r="S460" s="1261"/>
      <c r="T460" s="206"/>
      <c r="U460" s="206"/>
      <c r="V460" s="206"/>
      <c r="W460" s="206"/>
      <c r="X460" s="206"/>
      <c r="Y460" s="206"/>
      <c r="Z460" s="206"/>
      <c r="AA460" s="206"/>
      <c r="AB460" s="206"/>
      <c r="AC460" s="206"/>
      <c r="AD460" s="206"/>
      <c r="AE460" s="206"/>
      <c r="AF460" s="206"/>
      <c r="AG460" s="206"/>
      <c r="AH460" s="206"/>
      <c r="AI460" s="206"/>
      <c r="AJ460" s="206"/>
      <c r="AK460" s="206"/>
    </row>
    <row r="461" spans="1:37" s="89" customFormat="1" ht="12.75" customHeight="1">
      <c r="A461" s="67"/>
      <c r="B461" s="378"/>
      <c r="C461" s="101"/>
      <c r="D461" s="101"/>
      <c r="E461" s="101"/>
      <c r="F461" s="101"/>
      <c r="G461" s="101"/>
      <c r="H461" s="101"/>
      <c r="I461" s="101"/>
      <c r="J461" s="101"/>
      <c r="K461" s="101"/>
      <c r="L461" s="101"/>
      <c r="M461" s="101"/>
      <c r="N461" s="101"/>
      <c r="O461" s="101"/>
      <c r="P461" s="101"/>
      <c r="Q461" s="101"/>
      <c r="R461" s="101"/>
      <c r="S461" s="686"/>
      <c r="T461" s="101"/>
      <c r="U461" s="101"/>
      <c r="V461" s="101"/>
      <c r="W461" s="101"/>
      <c r="X461" s="101"/>
      <c r="Y461" s="101"/>
      <c r="Z461" s="101"/>
      <c r="AA461" s="101"/>
      <c r="AB461" s="101"/>
      <c r="AC461" s="101"/>
      <c r="AD461" s="101"/>
      <c r="AE461" s="101"/>
      <c r="AF461" s="101"/>
      <c r="AG461" s="101"/>
      <c r="AH461" s="101"/>
      <c r="AI461" s="101"/>
      <c r="AJ461" s="101"/>
      <c r="AK461" s="101"/>
    </row>
    <row r="462" spans="1:37" s="89" customFormat="1" ht="12.75" customHeight="1">
      <c r="A462" s="67"/>
      <c r="B462" s="378"/>
      <c r="C462" s="207"/>
      <c r="D462" s="207"/>
      <c r="E462" s="207"/>
      <c r="F462" s="207"/>
      <c r="G462" s="207"/>
      <c r="H462" s="207"/>
      <c r="I462" s="207"/>
      <c r="J462" s="207"/>
      <c r="K462" s="207"/>
      <c r="L462" s="207"/>
      <c r="M462" s="207"/>
      <c r="N462" s="207"/>
      <c r="O462" s="207"/>
      <c r="P462" s="207"/>
      <c r="Q462" s="207"/>
      <c r="R462" s="207"/>
      <c r="S462" s="797"/>
      <c r="T462" s="207"/>
      <c r="U462" s="207"/>
      <c r="V462" s="207"/>
      <c r="W462" s="207"/>
      <c r="X462" s="207"/>
      <c r="Y462" s="207"/>
      <c r="Z462" s="207"/>
      <c r="AA462" s="207"/>
      <c r="AB462" s="207"/>
      <c r="AC462" s="207"/>
      <c r="AD462" s="207"/>
      <c r="AE462" s="207"/>
      <c r="AF462" s="207"/>
      <c r="AG462" s="207"/>
      <c r="AH462" s="207"/>
      <c r="AI462" s="207"/>
      <c r="AJ462" s="207"/>
      <c r="AK462" s="207"/>
    </row>
    <row r="463" spans="1:37" s="89" customFormat="1" ht="12.75" customHeight="1">
      <c r="A463" s="67"/>
      <c r="B463" s="378"/>
      <c r="C463" s="208"/>
      <c r="D463" s="208"/>
      <c r="E463" s="208"/>
      <c r="F463" s="208"/>
      <c r="G463" s="208"/>
      <c r="H463" s="208"/>
      <c r="I463" s="208"/>
      <c r="J463" s="208"/>
      <c r="K463" s="208"/>
      <c r="L463" s="208"/>
      <c r="M463" s="208"/>
      <c r="N463" s="208"/>
      <c r="O463" s="208"/>
      <c r="P463" s="208"/>
      <c r="Q463" s="208"/>
      <c r="R463" s="208"/>
      <c r="S463" s="1262"/>
      <c r="T463" s="208"/>
      <c r="U463" s="208"/>
      <c r="V463" s="208"/>
      <c r="W463" s="208"/>
      <c r="X463" s="208"/>
      <c r="Y463" s="208"/>
      <c r="Z463" s="208"/>
      <c r="AA463" s="208"/>
      <c r="AB463" s="208"/>
      <c r="AC463" s="208"/>
      <c r="AD463" s="208"/>
      <c r="AE463" s="208"/>
      <c r="AF463" s="208"/>
      <c r="AG463" s="208"/>
      <c r="AH463" s="208"/>
      <c r="AI463" s="208"/>
      <c r="AJ463" s="208"/>
      <c r="AK463" s="208"/>
    </row>
    <row r="464" spans="1:37" s="89" customFormat="1" ht="12.75" customHeight="1">
      <c r="A464" s="67"/>
      <c r="B464" s="378"/>
      <c r="C464" s="208"/>
      <c r="D464" s="208"/>
      <c r="E464" s="208"/>
      <c r="F464" s="208"/>
      <c r="G464" s="208"/>
      <c r="H464" s="208"/>
      <c r="I464" s="208"/>
      <c r="J464" s="208"/>
      <c r="K464" s="208"/>
      <c r="L464" s="208"/>
      <c r="M464" s="208"/>
      <c r="N464" s="208"/>
      <c r="O464" s="208"/>
      <c r="P464" s="208"/>
      <c r="Q464" s="208"/>
      <c r="R464" s="208"/>
      <c r="S464" s="1262"/>
      <c r="T464" s="208"/>
      <c r="U464" s="208"/>
      <c r="V464" s="208"/>
      <c r="W464" s="208"/>
      <c r="X464" s="208"/>
      <c r="Y464" s="208"/>
      <c r="Z464" s="208"/>
      <c r="AA464" s="208"/>
      <c r="AB464" s="208"/>
      <c r="AC464" s="208"/>
      <c r="AD464" s="208"/>
      <c r="AE464" s="208"/>
      <c r="AF464" s="208"/>
      <c r="AG464" s="208"/>
      <c r="AH464" s="208"/>
      <c r="AI464" s="208"/>
      <c r="AJ464" s="208"/>
      <c r="AK464" s="208"/>
    </row>
    <row r="465" spans="1:37" s="89" customFormat="1" ht="12.75" customHeight="1">
      <c r="A465" s="67"/>
      <c r="B465" s="378"/>
      <c r="C465" s="208"/>
      <c r="D465" s="208"/>
      <c r="E465" s="208"/>
      <c r="F465" s="208"/>
      <c r="G465" s="208"/>
      <c r="H465" s="208"/>
      <c r="I465" s="208"/>
      <c r="J465" s="208"/>
      <c r="K465" s="208"/>
      <c r="L465" s="208"/>
      <c r="M465" s="208"/>
      <c r="N465" s="208"/>
      <c r="O465" s="208"/>
      <c r="P465" s="208"/>
      <c r="Q465" s="208"/>
      <c r="R465" s="208"/>
      <c r="S465" s="1262"/>
      <c r="T465" s="208"/>
      <c r="U465" s="208"/>
      <c r="V465" s="208"/>
      <c r="W465" s="208"/>
      <c r="X465" s="208"/>
      <c r="Y465" s="208"/>
      <c r="Z465" s="208"/>
      <c r="AA465" s="208"/>
      <c r="AB465" s="208"/>
      <c r="AC465" s="208"/>
      <c r="AD465" s="208"/>
      <c r="AE465" s="208"/>
      <c r="AF465" s="208"/>
      <c r="AG465" s="208"/>
      <c r="AH465" s="208"/>
      <c r="AI465" s="208"/>
      <c r="AJ465" s="208"/>
      <c r="AK465" s="208"/>
    </row>
    <row r="466" spans="1:37" s="89" customFormat="1" ht="12.75" customHeight="1">
      <c r="A466" s="67"/>
      <c r="B466" s="378"/>
      <c r="C466" s="209"/>
      <c r="D466" s="210"/>
      <c r="E466" s="210"/>
      <c r="F466" s="210"/>
      <c r="G466" s="210"/>
      <c r="H466" s="209"/>
      <c r="I466" s="210"/>
      <c r="J466" s="210"/>
      <c r="K466" s="210"/>
      <c r="L466" s="210"/>
      <c r="M466" s="209"/>
      <c r="N466" s="210"/>
      <c r="O466" s="210"/>
      <c r="P466" s="210"/>
      <c r="Q466" s="210"/>
      <c r="R466" s="209"/>
      <c r="S466" s="1263"/>
      <c r="T466" s="210"/>
      <c r="U466" s="210"/>
      <c r="V466" s="210"/>
      <c r="W466" s="209"/>
      <c r="X466" s="210"/>
      <c r="Y466" s="210"/>
      <c r="Z466" s="210"/>
      <c r="AA466" s="210"/>
      <c r="AB466" s="209"/>
      <c r="AC466" s="210"/>
      <c r="AD466" s="210"/>
      <c r="AE466" s="210"/>
      <c r="AF466" s="210"/>
      <c r="AG466" s="209"/>
      <c r="AH466" s="210"/>
      <c r="AI466" s="210"/>
      <c r="AJ466" s="210"/>
      <c r="AK466" s="210"/>
    </row>
    <row r="467" spans="1:37" s="89" customFormat="1" ht="12.75" customHeight="1">
      <c r="A467" s="67"/>
      <c r="B467" s="378"/>
      <c r="C467" s="209"/>
      <c r="D467" s="210"/>
      <c r="E467" s="210"/>
      <c r="F467" s="210"/>
      <c r="G467" s="210"/>
      <c r="H467" s="209"/>
      <c r="I467" s="210"/>
      <c r="J467" s="210"/>
      <c r="K467" s="210"/>
      <c r="L467" s="210"/>
      <c r="M467" s="209"/>
      <c r="N467" s="210"/>
      <c r="O467" s="210"/>
      <c r="P467" s="210"/>
      <c r="Q467" s="210"/>
      <c r="R467" s="209"/>
      <c r="S467" s="1263"/>
      <c r="T467" s="210"/>
      <c r="U467" s="210"/>
      <c r="V467" s="210"/>
      <c r="W467" s="209"/>
      <c r="X467" s="210"/>
      <c r="Y467" s="210"/>
      <c r="Z467" s="210"/>
      <c r="AA467" s="210"/>
      <c r="AB467" s="209"/>
      <c r="AC467" s="210"/>
      <c r="AD467" s="210"/>
      <c r="AE467" s="210"/>
      <c r="AF467" s="210"/>
      <c r="AG467" s="209"/>
      <c r="AH467" s="210"/>
      <c r="AI467" s="210"/>
      <c r="AJ467" s="210"/>
      <c r="AK467" s="210"/>
    </row>
    <row r="468" spans="1:37" s="89" customFormat="1" ht="12.75" customHeight="1">
      <c r="A468" s="67"/>
      <c r="B468" s="378"/>
      <c r="C468" s="155"/>
      <c r="D468" s="155"/>
      <c r="E468" s="155"/>
      <c r="F468" s="155"/>
      <c r="G468" s="155"/>
      <c r="H468" s="155"/>
      <c r="I468" s="155"/>
      <c r="J468" s="155"/>
      <c r="K468" s="155"/>
      <c r="L468" s="155"/>
      <c r="M468" s="155"/>
      <c r="N468" s="155"/>
      <c r="O468" s="155"/>
      <c r="P468" s="155"/>
      <c r="Q468" s="155"/>
      <c r="R468" s="155"/>
      <c r="S468" s="1239"/>
      <c r="T468" s="155"/>
      <c r="U468" s="155"/>
      <c r="V468" s="155"/>
      <c r="W468" s="155"/>
      <c r="X468" s="155"/>
      <c r="Y468" s="155"/>
      <c r="Z468" s="155"/>
      <c r="AA468" s="155"/>
      <c r="AB468" s="155"/>
      <c r="AC468" s="155"/>
      <c r="AD468" s="155"/>
      <c r="AE468" s="155"/>
      <c r="AF468" s="155"/>
      <c r="AG468" s="155"/>
      <c r="AH468" s="155"/>
      <c r="AI468" s="155"/>
      <c r="AJ468" s="155"/>
      <c r="AK468" s="155"/>
    </row>
    <row r="469" spans="1:37" s="89" customFormat="1" ht="12.75" customHeight="1">
      <c r="A469" s="67"/>
      <c r="B469" s="378"/>
      <c r="C469" s="153"/>
      <c r="D469" s="153"/>
      <c r="E469" s="153"/>
      <c r="F469" s="153"/>
      <c r="G469" s="153"/>
      <c r="H469" s="153"/>
      <c r="I469" s="153"/>
      <c r="J469" s="153"/>
      <c r="K469" s="153"/>
      <c r="L469" s="153"/>
      <c r="M469" s="153"/>
      <c r="N469" s="153"/>
      <c r="O469" s="153"/>
      <c r="P469" s="153"/>
      <c r="Q469" s="153"/>
      <c r="R469" s="153"/>
      <c r="S469" s="1264"/>
      <c r="T469" s="153"/>
      <c r="U469" s="153"/>
      <c r="V469" s="153"/>
      <c r="W469" s="153"/>
      <c r="X469" s="153"/>
      <c r="Y469" s="153"/>
      <c r="Z469" s="153"/>
      <c r="AA469" s="153"/>
      <c r="AB469" s="153"/>
      <c r="AC469" s="153"/>
      <c r="AD469" s="153"/>
      <c r="AE469" s="153"/>
      <c r="AF469" s="153"/>
      <c r="AG469" s="153"/>
      <c r="AH469" s="153"/>
      <c r="AI469" s="153"/>
      <c r="AJ469" s="153"/>
      <c r="AK469" s="153"/>
    </row>
    <row r="470" spans="1:37" s="89" customFormat="1" ht="12.75" customHeight="1">
      <c r="A470" s="67"/>
      <c r="B470" s="378"/>
      <c r="C470" s="151"/>
      <c r="D470" s="151"/>
      <c r="E470" s="151"/>
      <c r="F470" s="151"/>
      <c r="G470" s="151"/>
      <c r="H470" s="151"/>
      <c r="I470" s="151"/>
      <c r="J470" s="151"/>
      <c r="K470" s="151"/>
      <c r="L470" s="151"/>
      <c r="M470" s="151"/>
      <c r="N470" s="151"/>
      <c r="O470" s="151"/>
      <c r="P470" s="151"/>
      <c r="Q470" s="151"/>
      <c r="R470" s="151"/>
      <c r="S470" s="1265"/>
      <c r="T470" s="151"/>
      <c r="U470" s="151"/>
      <c r="V470" s="151"/>
      <c r="W470" s="151"/>
      <c r="X470" s="151"/>
      <c r="Y470" s="151"/>
      <c r="Z470" s="151"/>
      <c r="AA470" s="151"/>
      <c r="AB470" s="151"/>
      <c r="AC470" s="151"/>
      <c r="AD470" s="151"/>
      <c r="AE470" s="151"/>
      <c r="AF470" s="151"/>
      <c r="AG470" s="151"/>
      <c r="AH470" s="151"/>
      <c r="AI470" s="151"/>
      <c r="AJ470" s="151"/>
      <c r="AK470" s="151"/>
    </row>
    <row r="471" spans="1:37" s="89" customFormat="1" ht="12.75" customHeight="1">
      <c r="A471" s="67"/>
      <c r="B471" s="378"/>
      <c r="C471" s="155"/>
      <c r="D471" s="155"/>
      <c r="E471" s="155"/>
      <c r="F471" s="155"/>
      <c r="G471" s="155"/>
      <c r="H471" s="155"/>
      <c r="I471" s="155"/>
      <c r="J471" s="155"/>
      <c r="K471" s="155"/>
      <c r="L471" s="155"/>
      <c r="M471" s="155"/>
      <c r="N471" s="155"/>
      <c r="O471" s="155"/>
      <c r="P471" s="155"/>
      <c r="Q471" s="155"/>
      <c r="R471" s="155"/>
      <c r="S471" s="1239"/>
      <c r="T471" s="155"/>
      <c r="U471" s="155"/>
      <c r="V471" s="155"/>
      <c r="W471" s="155"/>
      <c r="X471" s="155"/>
      <c r="Y471" s="155"/>
      <c r="Z471" s="155"/>
      <c r="AA471" s="155"/>
      <c r="AB471" s="155"/>
      <c r="AC471" s="155"/>
      <c r="AD471" s="155"/>
      <c r="AE471" s="155"/>
      <c r="AF471" s="155"/>
      <c r="AG471" s="155"/>
      <c r="AH471" s="155"/>
      <c r="AI471" s="155"/>
      <c r="AJ471" s="155"/>
      <c r="AK471" s="155"/>
    </row>
    <row r="472" spans="1:37" s="89" customFormat="1" ht="12.75" customHeight="1">
      <c r="A472" s="67"/>
      <c r="B472" s="378"/>
      <c r="C472" s="101"/>
      <c r="D472" s="101"/>
      <c r="E472" s="101"/>
      <c r="F472" s="101"/>
      <c r="G472" s="101"/>
      <c r="H472" s="101"/>
      <c r="I472" s="101"/>
      <c r="J472" s="101"/>
      <c r="K472" s="101"/>
      <c r="L472" s="101"/>
      <c r="M472" s="101"/>
      <c r="N472" s="101"/>
      <c r="O472" s="101"/>
      <c r="P472" s="101"/>
      <c r="Q472" s="101"/>
      <c r="R472" s="101"/>
      <c r="S472" s="686"/>
      <c r="T472" s="101"/>
      <c r="U472" s="101"/>
      <c r="V472" s="101"/>
      <c r="W472" s="101"/>
      <c r="X472" s="101"/>
      <c r="Y472" s="101"/>
      <c r="Z472" s="101"/>
      <c r="AA472" s="101"/>
      <c r="AB472" s="101"/>
      <c r="AC472" s="101"/>
      <c r="AD472" s="101"/>
      <c r="AE472" s="101"/>
      <c r="AF472" s="101"/>
      <c r="AG472" s="101"/>
      <c r="AH472" s="101"/>
      <c r="AI472" s="101"/>
      <c r="AJ472" s="101"/>
      <c r="AK472" s="101"/>
    </row>
    <row r="473" spans="1:37" s="89" customFormat="1" ht="12.75" customHeight="1">
      <c r="A473" s="67"/>
      <c r="B473" s="378"/>
      <c r="C473" s="155"/>
      <c r="D473" s="155"/>
      <c r="E473" s="155"/>
      <c r="F473" s="155"/>
      <c r="G473" s="155"/>
      <c r="H473" s="155"/>
      <c r="I473" s="155"/>
      <c r="J473" s="155"/>
      <c r="K473" s="155"/>
      <c r="L473" s="155"/>
      <c r="M473" s="155"/>
      <c r="N473" s="155"/>
      <c r="O473" s="155"/>
      <c r="P473" s="155"/>
      <c r="Q473" s="155"/>
      <c r="R473" s="155"/>
      <c r="S473" s="1239"/>
      <c r="T473" s="155"/>
      <c r="U473" s="155"/>
      <c r="V473" s="155"/>
      <c r="W473" s="155"/>
      <c r="X473" s="155"/>
      <c r="Y473" s="155"/>
      <c r="Z473" s="155"/>
      <c r="AA473" s="155"/>
      <c r="AB473" s="155"/>
      <c r="AC473" s="155"/>
      <c r="AD473" s="155"/>
      <c r="AE473" s="155"/>
      <c r="AF473" s="155"/>
      <c r="AG473" s="155"/>
      <c r="AH473" s="155"/>
      <c r="AI473" s="155"/>
      <c r="AJ473" s="155"/>
      <c r="AK473" s="155"/>
    </row>
    <row r="474" spans="1:37" s="89" customFormat="1" ht="12.75" customHeight="1">
      <c r="A474" s="67"/>
      <c r="B474" s="378"/>
      <c r="C474" s="155"/>
      <c r="D474" s="155"/>
      <c r="E474" s="155"/>
      <c r="F474" s="155"/>
      <c r="G474" s="155"/>
      <c r="H474" s="155"/>
      <c r="I474" s="155"/>
      <c r="J474" s="155"/>
      <c r="K474" s="155"/>
      <c r="L474" s="155"/>
      <c r="M474" s="155"/>
      <c r="N474" s="155"/>
      <c r="O474" s="155"/>
      <c r="P474" s="155"/>
      <c r="Q474" s="155"/>
      <c r="R474" s="155"/>
      <c r="S474" s="1239"/>
      <c r="T474" s="155"/>
      <c r="U474" s="155"/>
      <c r="V474" s="155"/>
      <c r="W474" s="155"/>
      <c r="X474" s="155"/>
      <c r="Y474" s="155"/>
      <c r="Z474" s="155"/>
      <c r="AA474" s="155"/>
      <c r="AB474" s="155"/>
      <c r="AC474" s="155"/>
      <c r="AD474" s="155"/>
      <c r="AE474" s="155"/>
      <c r="AF474" s="155"/>
      <c r="AG474" s="155"/>
      <c r="AH474" s="155"/>
      <c r="AI474" s="155"/>
      <c r="AJ474" s="155"/>
      <c r="AK474" s="155"/>
    </row>
    <row r="475" spans="1:37" s="89" customFormat="1" ht="12.75" customHeight="1">
      <c r="A475" s="67"/>
      <c r="B475" s="378"/>
      <c r="C475" s="155"/>
      <c r="D475" s="155"/>
      <c r="E475" s="155"/>
      <c r="F475" s="155"/>
      <c r="G475" s="155"/>
      <c r="H475" s="155"/>
      <c r="I475" s="155"/>
      <c r="J475" s="155"/>
      <c r="K475" s="155"/>
      <c r="L475" s="155"/>
      <c r="M475" s="155"/>
      <c r="N475" s="155"/>
      <c r="O475" s="155"/>
      <c r="P475" s="155"/>
      <c r="Q475" s="155"/>
      <c r="R475" s="155"/>
      <c r="S475" s="1239"/>
      <c r="T475" s="155"/>
      <c r="U475" s="155"/>
      <c r="V475" s="155"/>
      <c r="W475" s="155"/>
      <c r="X475" s="155"/>
      <c r="Y475" s="155"/>
      <c r="Z475" s="155"/>
      <c r="AA475" s="155"/>
      <c r="AB475" s="155"/>
      <c r="AC475" s="155"/>
      <c r="AD475" s="155"/>
      <c r="AE475" s="155"/>
      <c r="AF475" s="155"/>
      <c r="AG475" s="155"/>
      <c r="AH475" s="155"/>
      <c r="AI475" s="155"/>
      <c r="AJ475" s="155"/>
      <c r="AK475" s="155"/>
    </row>
    <row r="476" spans="1:37" s="89" customFormat="1" ht="12.75" customHeight="1">
      <c r="A476" s="67"/>
      <c r="B476" s="378"/>
      <c r="C476" s="155"/>
      <c r="D476" s="155"/>
      <c r="E476" s="155"/>
      <c r="F476" s="155"/>
      <c r="G476" s="155"/>
      <c r="H476" s="155"/>
      <c r="I476" s="155"/>
      <c r="J476" s="155"/>
      <c r="K476" s="155"/>
      <c r="L476" s="155"/>
      <c r="M476" s="155"/>
      <c r="N476" s="155"/>
      <c r="O476" s="155"/>
      <c r="P476" s="155"/>
      <c r="Q476" s="155"/>
      <c r="R476" s="155"/>
      <c r="S476" s="1239"/>
      <c r="T476" s="155"/>
      <c r="U476" s="155"/>
      <c r="V476" s="155"/>
      <c r="W476" s="155"/>
      <c r="X476" s="155"/>
      <c r="Y476" s="155"/>
      <c r="Z476" s="155"/>
      <c r="AA476" s="155"/>
      <c r="AB476" s="155"/>
      <c r="AC476" s="155"/>
      <c r="AD476" s="155"/>
      <c r="AE476" s="155"/>
      <c r="AF476" s="155"/>
      <c r="AG476" s="155"/>
      <c r="AH476" s="155"/>
      <c r="AI476" s="155"/>
      <c r="AJ476" s="155"/>
      <c r="AK476" s="155"/>
    </row>
    <row r="477" spans="1:37" s="89" customFormat="1" ht="12.75" customHeight="1">
      <c r="A477" s="67"/>
      <c r="B477" s="378"/>
      <c r="C477" s="155"/>
      <c r="D477" s="155"/>
      <c r="E477" s="155"/>
      <c r="F477" s="155"/>
      <c r="G477" s="155"/>
      <c r="H477" s="155"/>
      <c r="I477" s="155"/>
      <c r="J477" s="155"/>
      <c r="K477" s="155"/>
      <c r="L477" s="155"/>
      <c r="M477" s="155"/>
      <c r="N477" s="155"/>
      <c r="O477" s="155"/>
      <c r="P477" s="155"/>
      <c r="Q477" s="155"/>
      <c r="R477" s="155"/>
      <c r="S477" s="1239"/>
      <c r="T477" s="155"/>
      <c r="U477" s="155"/>
      <c r="V477" s="155"/>
      <c r="W477" s="155"/>
      <c r="X477" s="155"/>
      <c r="Y477" s="155"/>
      <c r="Z477" s="155"/>
      <c r="AA477" s="155"/>
      <c r="AB477" s="155"/>
      <c r="AC477" s="155"/>
      <c r="AD477" s="155"/>
      <c r="AE477" s="155"/>
      <c r="AF477" s="155"/>
      <c r="AG477" s="155"/>
      <c r="AH477" s="155"/>
      <c r="AI477" s="155"/>
      <c r="AJ477" s="155"/>
      <c r="AK477" s="155"/>
    </row>
    <row r="478" spans="1:37" s="89" customFormat="1" ht="12.75" customHeight="1">
      <c r="A478" s="67"/>
      <c r="B478" s="378"/>
      <c r="C478" s="155"/>
      <c r="D478" s="155"/>
      <c r="E478" s="155"/>
      <c r="F478" s="155"/>
      <c r="G478" s="155"/>
      <c r="H478" s="155"/>
      <c r="I478" s="155"/>
      <c r="J478" s="155"/>
      <c r="K478" s="155"/>
      <c r="L478" s="155"/>
      <c r="M478" s="155"/>
      <c r="N478" s="155"/>
      <c r="O478" s="155"/>
      <c r="P478" s="155"/>
      <c r="Q478" s="155"/>
      <c r="R478" s="155"/>
      <c r="S478" s="1239"/>
      <c r="T478" s="155"/>
      <c r="U478" s="155"/>
      <c r="V478" s="155"/>
      <c r="W478" s="155"/>
      <c r="X478" s="155"/>
      <c r="Y478" s="155"/>
      <c r="Z478" s="155"/>
      <c r="AA478" s="155"/>
      <c r="AB478" s="155"/>
      <c r="AC478" s="155"/>
      <c r="AD478" s="155"/>
      <c r="AE478" s="155"/>
      <c r="AF478" s="155"/>
      <c r="AG478" s="155"/>
      <c r="AH478" s="155"/>
      <c r="AI478" s="155"/>
      <c r="AJ478" s="155"/>
      <c r="AK478" s="155"/>
    </row>
    <row r="479" spans="1:37" s="89" customFormat="1" ht="12.75" customHeight="1">
      <c r="A479" s="67"/>
      <c r="B479" s="378"/>
      <c r="C479" s="211"/>
      <c r="D479" s="211"/>
      <c r="E479" s="211"/>
      <c r="F479" s="211"/>
      <c r="G479" s="211"/>
      <c r="H479" s="211"/>
      <c r="I479" s="211"/>
      <c r="J479" s="211"/>
      <c r="K479" s="211"/>
      <c r="L479" s="211"/>
      <c r="M479" s="211"/>
      <c r="N479" s="211"/>
      <c r="O479" s="211"/>
      <c r="P479" s="211"/>
      <c r="Q479" s="211"/>
      <c r="R479" s="211"/>
      <c r="S479" s="1266"/>
      <c r="T479" s="211"/>
      <c r="U479" s="211"/>
      <c r="V479" s="211"/>
      <c r="W479" s="211"/>
      <c r="X479" s="211"/>
      <c r="Y479" s="211"/>
      <c r="Z479" s="211"/>
      <c r="AA479" s="211"/>
      <c r="AB479" s="211"/>
      <c r="AC479" s="211"/>
      <c r="AD479" s="211"/>
      <c r="AE479" s="211"/>
      <c r="AF479" s="211"/>
      <c r="AG479" s="211"/>
      <c r="AH479" s="211"/>
      <c r="AI479" s="211"/>
      <c r="AJ479" s="211"/>
      <c r="AK479" s="211"/>
    </row>
    <row r="480" spans="1:37" s="89" customFormat="1" ht="12.75" customHeight="1">
      <c r="A480" s="67"/>
      <c r="B480" s="378"/>
      <c r="C480" s="101"/>
      <c r="D480" s="101"/>
      <c r="E480" s="101"/>
      <c r="F480" s="101"/>
      <c r="G480" s="101"/>
      <c r="H480" s="101"/>
      <c r="I480" s="101"/>
      <c r="J480" s="101"/>
      <c r="K480" s="101"/>
      <c r="L480" s="101"/>
      <c r="M480" s="101"/>
      <c r="N480" s="101"/>
      <c r="O480" s="101"/>
      <c r="P480" s="101"/>
      <c r="Q480" s="101"/>
      <c r="R480" s="101"/>
      <c r="S480" s="686"/>
      <c r="T480" s="101"/>
      <c r="U480" s="101"/>
      <c r="V480" s="101"/>
      <c r="W480" s="101"/>
      <c r="X480" s="101"/>
      <c r="Y480" s="101"/>
      <c r="Z480" s="101"/>
      <c r="AA480" s="101"/>
      <c r="AB480" s="101"/>
      <c r="AC480" s="101"/>
      <c r="AD480" s="101"/>
      <c r="AE480" s="101"/>
      <c r="AF480" s="101"/>
      <c r="AG480" s="101"/>
      <c r="AH480" s="101"/>
      <c r="AI480" s="101"/>
      <c r="AJ480" s="101"/>
      <c r="AK480" s="101"/>
    </row>
    <row r="481" spans="1:37" s="89" customFormat="1" ht="12.75" customHeight="1">
      <c r="A481" s="67"/>
      <c r="B481" s="378"/>
      <c r="C481" s="101"/>
      <c r="D481" s="101"/>
      <c r="E481" s="101"/>
      <c r="F481" s="101"/>
      <c r="G481" s="101"/>
      <c r="H481" s="101"/>
      <c r="I481" s="101"/>
      <c r="J481" s="101"/>
      <c r="K481" s="101"/>
      <c r="L481" s="101"/>
      <c r="M481" s="101"/>
      <c r="N481" s="101"/>
      <c r="O481" s="101"/>
      <c r="P481" s="101"/>
      <c r="Q481" s="101"/>
      <c r="R481" s="101"/>
      <c r="S481" s="686"/>
      <c r="T481" s="101"/>
      <c r="U481" s="101"/>
      <c r="V481" s="101"/>
      <c r="W481" s="101"/>
      <c r="X481" s="101"/>
      <c r="Y481" s="101"/>
      <c r="Z481" s="101"/>
      <c r="AA481" s="101"/>
      <c r="AB481" s="101"/>
      <c r="AC481" s="101"/>
      <c r="AD481" s="101"/>
      <c r="AE481" s="101"/>
      <c r="AF481" s="101"/>
      <c r="AG481" s="101"/>
      <c r="AH481" s="101"/>
      <c r="AI481" s="101"/>
      <c r="AJ481" s="101"/>
      <c r="AK481" s="101"/>
    </row>
    <row r="482" spans="1:37" s="89" customFormat="1" ht="12.75" customHeight="1">
      <c r="A482" s="67"/>
      <c r="B482" s="378"/>
      <c r="C482" s="211"/>
      <c r="D482" s="211"/>
      <c r="E482" s="211"/>
      <c r="F482" s="211"/>
      <c r="G482" s="211"/>
      <c r="H482" s="211"/>
      <c r="I482" s="211"/>
      <c r="J482" s="211"/>
      <c r="K482" s="211"/>
      <c r="L482" s="211"/>
      <c r="M482" s="211"/>
      <c r="N482" s="211"/>
      <c r="O482" s="211"/>
      <c r="P482" s="211"/>
      <c r="Q482" s="211"/>
      <c r="R482" s="211"/>
      <c r="S482" s="1266"/>
      <c r="T482" s="211"/>
      <c r="U482" s="211"/>
      <c r="V482" s="211"/>
      <c r="W482" s="211"/>
      <c r="X482" s="211"/>
      <c r="Y482" s="211"/>
      <c r="Z482" s="211"/>
      <c r="AA482" s="211"/>
      <c r="AB482" s="211"/>
      <c r="AC482" s="211"/>
      <c r="AD482" s="211"/>
      <c r="AE482" s="211"/>
      <c r="AF482" s="211"/>
      <c r="AG482" s="211"/>
      <c r="AH482" s="211"/>
      <c r="AI482" s="211"/>
      <c r="AJ482" s="211"/>
      <c r="AK482" s="211"/>
    </row>
    <row r="483" spans="1:37" s="89" customFormat="1" ht="12.75" customHeight="1">
      <c r="A483" s="67"/>
      <c r="B483" s="378"/>
      <c r="C483" s="211"/>
      <c r="D483" s="211"/>
      <c r="E483" s="211"/>
      <c r="F483" s="211"/>
      <c r="G483" s="211"/>
      <c r="H483" s="211"/>
      <c r="I483" s="211"/>
      <c r="J483" s="211"/>
      <c r="K483" s="211"/>
      <c r="L483" s="211"/>
      <c r="M483" s="211"/>
      <c r="N483" s="211"/>
      <c r="O483" s="211"/>
      <c r="P483" s="211"/>
      <c r="Q483" s="211"/>
      <c r="R483" s="211"/>
      <c r="S483" s="1266"/>
      <c r="T483" s="211"/>
      <c r="U483" s="211"/>
      <c r="V483" s="211"/>
      <c r="W483" s="211"/>
      <c r="X483" s="211"/>
      <c r="Y483" s="211"/>
      <c r="Z483" s="211"/>
      <c r="AA483" s="211"/>
      <c r="AB483" s="211"/>
      <c r="AC483" s="211"/>
      <c r="AD483" s="211"/>
      <c r="AE483" s="211"/>
      <c r="AF483" s="211"/>
      <c r="AG483" s="211"/>
      <c r="AH483" s="211"/>
      <c r="AI483" s="211"/>
      <c r="AJ483" s="211"/>
      <c r="AK483" s="211"/>
    </row>
    <row r="484" spans="1:37" s="89" customFormat="1" ht="12.75" customHeight="1">
      <c r="A484" s="67"/>
      <c r="B484" s="378"/>
      <c r="C484" s="155"/>
      <c r="D484" s="155"/>
      <c r="E484" s="155"/>
      <c r="F484" s="155"/>
      <c r="G484" s="155"/>
      <c r="H484" s="155"/>
      <c r="I484" s="155"/>
      <c r="J484" s="155"/>
      <c r="K484" s="155"/>
      <c r="L484" s="155"/>
      <c r="M484" s="155"/>
      <c r="N484" s="155"/>
      <c r="O484" s="155"/>
      <c r="P484" s="155"/>
      <c r="Q484" s="155"/>
      <c r="R484" s="155"/>
      <c r="S484" s="1239"/>
      <c r="T484" s="155"/>
      <c r="U484" s="155"/>
      <c r="V484" s="155"/>
      <c r="W484" s="155"/>
      <c r="X484" s="155"/>
      <c r="Y484" s="155"/>
      <c r="Z484" s="155"/>
      <c r="AA484" s="155"/>
      <c r="AB484" s="155"/>
      <c r="AC484" s="155"/>
      <c r="AD484" s="155"/>
      <c r="AE484" s="155"/>
      <c r="AF484" s="155"/>
      <c r="AG484" s="155"/>
      <c r="AH484" s="155"/>
      <c r="AI484" s="155"/>
      <c r="AJ484" s="155"/>
      <c r="AK484" s="155"/>
    </row>
    <row r="485" spans="1:37" s="89" customFormat="1" ht="12.75" customHeight="1">
      <c r="A485" s="67"/>
      <c r="B485" s="378"/>
      <c r="C485" s="155"/>
      <c r="D485" s="155"/>
      <c r="E485" s="155"/>
      <c r="F485" s="155"/>
      <c r="G485" s="155"/>
      <c r="H485" s="155"/>
      <c r="I485" s="155"/>
      <c r="J485" s="155"/>
      <c r="K485" s="155"/>
      <c r="L485" s="155"/>
      <c r="M485" s="155"/>
      <c r="N485" s="155"/>
      <c r="O485" s="155"/>
      <c r="P485" s="155"/>
      <c r="Q485" s="155"/>
      <c r="R485" s="155"/>
      <c r="S485" s="1239"/>
      <c r="T485" s="155"/>
      <c r="U485" s="155"/>
      <c r="V485" s="155"/>
      <c r="W485" s="155"/>
      <c r="X485" s="155"/>
      <c r="Y485" s="155"/>
      <c r="Z485" s="155"/>
      <c r="AA485" s="155"/>
      <c r="AB485" s="155"/>
      <c r="AC485" s="155"/>
      <c r="AD485" s="155"/>
      <c r="AE485" s="155"/>
      <c r="AF485" s="155"/>
      <c r="AG485" s="155"/>
      <c r="AH485" s="155"/>
      <c r="AI485" s="155"/>
      <c r="AJ485" s="155"/>
      <c r="AK485" s="155"/>
    </row>
    <row r="486" spans="1:37" s="89" customFormat="1" ht="12.75" customHeight="1">
      <c r="A486" s="67"/>
      <c r="B486" s="378"/>
      <c r="C486" s="155"/>
      <c r="D486" s="155"/>
      <c r="E486" s="155"/>
      <c r="F486" s="155"/>
      <c r="G486" s="155"/>
      <c r="H486" s="155"/>
      <c r="I486" s="155"/>
      <c r="J486" s="155"/>
      <c r="K486" s="155"/>
      <c r="L486" s="155"/>
      <c r="M486" s="155"/>
      <c r="N486" s="155"/>
      <c r="O486" s="155"/>
      <c r="P486" s="155"/>
      <c r="Q486" s="155"/>
      <c r="R486" s="155"/>
      <c r="S486" s="1239"/>
      <c r="T486" s="155"/>
      <c r="U486" s="155"/>
      <c r="V486" s="155"/>
      <c r="W486" s="155"/>
      <c r="X486" s="155"/>
      <c r="Y486" s="155"/>
      <c r="Z486" s="155"/>
      <c r="AA486" s="155"/>
      <c r="AB486" s="155"/>
      <c r="AC486" s="155"/>
      <c r="AD486" s="155"/>
      <c r="AE486" s="155"/>
      <c r="AF486" s="155"/>
      <c r="AG486" s="155"/>
      <c r="AH486" s="155"/>
      <c r="AI486" s="155"/>
      <c r="AJ486" s="155"/>
      <c r="AK486" s="155"/>
    </row>
    <row r="487" spans="1:37" s="89" customFormat="1" ht="12.75" customHeight="1">
      <c r="A487" s="67"/>
      <c r="B487" s="378"/>
      <c r="C487" s="101"/>
      <c r="D487" s="101"/>
      <c r="E487" s="101"/>
      <c r="F487" s="101"/>
      <c r="G487" s="101"/>
      <c r="H487" s="101"/>
      <c r="I487" s="101"/>
      <c r="J487" s="101"/>
      <c r="K487" s="101"/>
      <c r="L487" s="101"/>
      <c r="M487" s="101"/>
      <c r="N487" s="101"/>
      <c r="O487" s="101"/>
      <c r="P487" s="101"/>
      <c r="Q487" s="101"/>
      <c r="R487" s="101"/>
      <c r="S487" s="686"/>
      <c r="T487" s="101"/>
      <c r="U487" s="101"/>
      <c r="V487" s="101"/>
      <c r="W487" s="101"/>
      <c r="X487" s="101"/>
      <c r="Y487" s="101"/>
      <c r="Z487" s="101"/>
      <c r="AA487" s="101"/>
      <c r="AB487" s="101"/>
      <c r="AC487" s="101"/>
      <c r="AD487" s="101"/>
      <c r="AE487" s="101"/>
      <c r="AF487" s="101"/>
      <c r="AG487" s="101"/>
      <c r="AH487" s="101"/>
      <c r="AI487" s="101"/>
      <c r="AJ487" s="101"/>
      <c r="AK487" s="101"/>
    </row>
    <row r="488" spans="1:37" s="89" customFormat="1" ht="12.75" customHeight="1">
      <c r="A488" s="67"/>
      <c r="B488" s="378"/>
      <c r="C488" s="212"/>
      <c r="D488" s="101"/>
      <c r="E488" s="101"/>
      <c r="F488" s="101"/>
      <c r="G488" s="101"/>
      <c r="H488" s="212"/>
      <c r="I488" s="101"/>
      <c r="J488" s="101"/>
      <c r="K488" s="101"/>
      <c r="L488" s="101"/>
      <c r="M488" s="212"/>
      <c r="N488" s="101"/>
      <c r="O488" s="101"/>
      <c r="P488" s="101"/>
      <c r="Q488" s="101"/>
      <c r="R488" s="212"/>
      <c r="S488" s="686"/>
      <c r="T488" s="101"/>
      <c r="U488" s="101"/>
      <c r="V488" s="101"/>
      <c r="W488" s="212"/>
      <c r="X488" s="101"/>
      <c r="Y488" s="101"/>
      <c r="Z488" s="101"/>
      <c r="AA488" s="101"/>
      <c r="AB488" s="212"/>
      <c r="AC488" s="101"/>
      <c r="AD488" s="101"/>
      <c r="AE488" s="101"/>
      <c r="AF488" s="101"/>
      <c r="AG488" s="212"/>
      <c r="AH488" s="101"/>
      <c r="AI488" s="101"/>
      <c r="AJ488" s="101"/>
      <c r="AK488" s="101"/>
    </row>
    <row r="489" spans="1:37" s="89" customFormat="1" ht="12.75" customHeight="1">
      <c r="A489" s="67"/>
      <c r="B489" s="378"/>
      <c r="C489" s="101"/>
      <c r="D489" s="101"/>
      <c r="E489" s="101"/>
      <c r="F489" s="101"/>
      <c r="G489" s="101"/>
      <c r="H489" s="101"/>
      <c r="I489" s="101"/>
      <c r="J489" s="101"/>
      <c r="K489" s="101"/>
      <c r="L489" s="101"/>
      <c r="M489" s="101"/>
      <c r="N489" s="101"/>
      <c r="O489" s="101"/>
      <c r="P489" s="101"/>
      <c r="Q489" s="101"/>
      <c r="R489" s="101"/>
      <c r="S489" s="686"/>
      <c r="T489" s="101"/>
      <c r="U489" s="101"/>
      <c r="V489" s="101"/>
      <c r="W489" s="101"/>
      <c r="X489" s="101"/>
      <c r="Y489" s="101"/>
      <c r="Z489" s="101"/>
      <c r="AA489" s="101"/>
      <c r="AB489" s="101"/>
      <c r="AC489" s="101"/>
      <c r="AD489" s="101"/>
      <c r="AE489" s="101"/>
      <c r="AF489" s="101"/>
      <c r="AG489" s="101"/>
      <c r="AH489" s="101"/>
      <c r="AI489" s="101"/>
      <c r="AJ489" s="101"/>
      <c r="AK489" s="101"/>
    </row>
    <row r="490" spans="1:37" s="89" customFormat="1" ht="12.75" customHeight="1">
      <c r="A490" s="67"/>
      <c r="B490" s="378"/>
      <c r="C490" s="213"/>
      <c r="D490" s="208"/>
      <c r="E490" s="208"/>
      <c r="F490" s="208"/>
      <c r="G490" s="208"/>
      <c r="H490" s="213"/>
      <c r="I490" s="208"/>
      <c r="J490" s="208"/>
      <c r="K490" s="208"/>
      <c r="L490" s="208"/>
      <c r="M490" s="213"/>
      <c r="N490" s="208"/>
      <c r="O490" s="208"/>
      <c r="P490" s="208"/>
      <c r="Q490" s="208"/>
      <c r="R490" s="213"/>
      <c r="S490" s="1262"/>
      <c r="T490" s="208"/>
      <c r="U490" s="208"/>
      <c r="V490" s="208"/>
      <c r="W490" s="213"/>
      <c r="X490" s="208"/>
      <c r="Y490" s="208"/>
      <c r="Z490" s="208"/>
      <c r="AA490" s="208"/>
      <c r="AB490" s="213"/>
      <c r="AC490" s="208"/>
      <c r="AD490" s="208"/>
      <c r="AE490" s="208"/>
      <c r="AF490" s="208"/>
      <c r="AG490" s="213"/>
      <c r="AH490" s="208"/>
      <c r="AI490" s="208"/>
      <c r="AJ490" s="208"/>
      <c r="AK490" s="208"/>
    </row>
    <row r="491" spans="1:37" s="89" customFormat="1" ht="12.75" customHeight="1">
      <c r="A491" s="67"/>
      <c r="B491" s="378"/>
      <c r="C491" s="212"/>
      <c r="D491" s="101"/>
      <c r="E491" s="101"/>
      <c r="F491" s="101"/>
      <c r="G491" s="101"/>
      <c r="H491" s="212"/>
      <c r="I491" s="101"/>
      <c r="J491" s="101"/>
      <c r="K491" s="101"/>
      <c r="L491" s="101"/>
      <c r="M491" s="212"/>
      <c r="N491" s="101"/>
      <c r="O491" s="101"/>
      <c r="P491" s="101"/>
      <c r="Q491" s="101"/>
      <c r="R491" s="212"/>
      <c r="S491" s="686"/>
      <c r="T491" s="101"/>
      <c r="U491" s="101"/>
      <c r="V491" s="101"/>
      <c r="W491" s="212"/>
      <c r="X491" s="101"/>
      <c r="Y491" s="101"/>
      <c r="Z491" s="101"/>
      <c r="AA491" s="101"/>
      <c r="AB491" s="212"/>
      <c r="AC491" s="101"/>
      <c r="AD491" s="101"/>
      <c r="AE491" s="101"/>
      <c r="AF491" s="101"/>
      <c r="AG491" s="212"/>
      <c r="AH491" s="101"/>
      <c r="AI491" s="101"/>
      <c r="AJ491" s="101"/>
      <c r="AK491" s="101"/>
    </row>
    <row r="492" spans="1:37" s="89" customFormat="1" ht="12.75" customHeight="1">
      <c r="A492" s="67"/>
      <c r="B492" s="378"/>
      <c r="C492" s="212"/>
      <c r="D492" s="101"/>
      <c r="E492" s="101"/>
      <c r="F492" s="101"/>
      <c r="G492" s="101"/>
      <c r="H492" s="212"/>
      <c r="I492" s="101"/>
      <c r="J492" s="101"/>
      <c r="K492" s="101"/>
      <c r="L492" s="101"/>
      <c r="M492" s="212"/>
      <c r="N492" s="101"/>
      <c r="O492" s="101"/>
      <c r="P492" s="101"/>
      <c r="Q492" s="101"/>
      <c r="R492" s="212"/>
      <c r="S492" s="686"/>
      <c r="T492" s="101"/>
      <c r="U492" s="101"/>
      <c r="V492" s="101"/>
      <c r="W492" s="212"/>
      <c r="X492" s="101"/>
      <c r="Y492" s="101"/>
      <c r="Z492" s="101"/>
      <c r="AA492" s="101"/>
      <c r="AB492" s="212"/>
      <c r="AC492" s="101"/>
      <c r="AD492" s="101"/>
      <c r="AE492" s="101"/>
      <c r="AF492" s="101"/>
      <c r="AG492" s="212"/>
      <c r="AH492" s="101"/>
      <c r="AI492" s="101"/>
      <c r="AJ492" s="101"/>
      <c r="AK492" s="101"/>
    </row>
    <row r="493" spans="1:37" s="89" customFormat="1" ht="12.75" customHeight="1">
      <c r="A493" s="67"/>
      <c r="B493" s="378"/>
      <c r="C493" s="101"/>
      <c r="D493" s="101"/>
      <c r="E493" s="101"/>
      <c r="F493" s="101"/>
      <c r="G493" s="101"/>
      <c r="H493" s="101"/>
      <c r="I493" s="101"/>
      <c r="J493" s="101"/>
      <c r="K493" s="101"/>
      <c r="L493" s="101"/>
      <c r="M493" s="101"/>
      <c r="N493" s="101"/>
      <c r="O493" s="101"/>
      <c r="P493" s="101"/>
      <c r="Q493" s="101"/>
      <c r="R493" s="101"/>
      <c r="S493" s="686"/>
      <c r="T493" s="101"/>
      <c r="U493" s="101"/>
      <c r="V493" s="101"/>
      <c r="W493" s="101"/>
      <c r="X493" s="101"/>
      <c r="Y493" s="101"/>
      <c r="Z493" s="101"/>
      <c r="AA493" s="101"/>
      <c r="AB493" s="101"/>
      <c r="AC493" s="101"/>
      <c r="AD493" s="101"/>
      <c r="AE493" s="101"/>
      <c r="AF493" s="101"/>
      <c r="AG493" s="101"/>
      <c r="AH493" s="101"/>
      <c r="AI493" s="101"/>
      <c r="AJ493" s="101"/>
      <c r="AK493" s="101"/>
    </row>
    <row r="494" spans="1:37" s="89" customFormat="1" ht="12.75" customHeight="1">
      <c r="A494" s="67"/>
      <c r="B494" s="378"/>
      <c r="C494" s="101"/>
      <c r="D494" s="101"/>
      <c r="E494" s="101"/>
      <c r="F494" s="101"/>
      <c r="G494" s="101"/>
      <c r="H494" s="101"/>
      <c r="I494" s="101"/>
      <c r="J494" s="101"/>
      <c r="K494" s="101"/>
      <c r="L494" s="101"/>
      <c r="M494" s="101"/>
      <c r="N494" s="101"/>
      <c r="O494" s="101"/>
      <c r="P494" s="101"/>
      <c r="Q494" s="101"/>
      <c r="R494" s="101"/>
      <c r="S494" s="686"/>
      <c r="T494" s="101"/>
      <c r="U494" s="101"/>
      <c r="V494" s="101"/>
      <c r="W494" s="101"/>
      <c r="X494" s="101"/>
      <c r="Y494" s="101"/>
      <c r="Z494" s="101"/>
      <c r="AA494" s="101"/>
      <c r="AB494" s="101"/>
      <c r="AC494" s="101"/>
      <c r="AD494" s="101"/>
      <c r="AE494" s="101"/>
      <c r="AF494" s="101"/>
      <c r="AG494" s="101"/>
      <c r="AH494" s="101"/>
      <c r="AI494" s="101"/>
      <c r="AJ494" s="101"/>
      <c r="AK494" s="101"/>
    </row>
    <row r="495" spans="1:37" s="89" customFormat="1" ht="12.75" customHeight="1">
      <c r="A495" s="67"/>
      <c r="B495" s="378"/>
      <c r="C495" s="101"/>
      <c r="D495" s="101"/>
      <c r="E495" s="101"/>
      <c r="F495" s="101"/>
      <c r="G495" s="101"/>
      <c r="H495" s="101"/>
      <c r="I495" s="101"/>
      <c r="J495" s="101"/>
      <c r="K495" s="101"/>
      <c r="L495" s="101"/>
      <c r="M495" s="101"/>
      <c r="N495" s="101"/>
      <c r="O495" s="101"/>
      <c r="P495" s="101"/>
      <c r="Q495" s="101"/>
      <c r="R495" s="101"/>
      <c r="S495" s="686"/>
      <c r="T495" s="101"/>
      <c r="U495" s="101"/>
      <c r="V495" s="101"/>
      <c r="W495" s="101"/>
      <c r="X495" s="101"/>
      <c r="Y495" s="101"/>
      <c r="Z495" s="101"/>
      <c r="AA495" s="101"/>
      <c r="AB495" s="101"/>
      <c r="AC495" s="101"/>
      <c r="AD495" s="101"/>
      <c r="AE495" s="101"/>
      <c r="AF495" s="101"/>
      <c r="AG495" s="101"/>
      <c r="AH495" s="101"/>
      <c r="AI495" s="101"/>
      <c r="AJ495" s="101"/>
      <c r="AK495" s="101"/>
    </row>
    <row r="496" spans="1:37" s="89" customFormat="1" ht="12.75" customHeight="1">
      <c r="A496" s="67"/>
      <c r="B496" s="378"/>
      <c r="C496" s="155"/>
      <c r="D496" s="101"/>
      <c r="E496" s="101"/>
      <c r="F496" s="101"/>
      <c r="G496" s="101"/>
      <c r="H496" s="155"/>
      <c r="I496" s="101"/>
      <c r="J496" s="101"/>
      <c r="K496" s="101"/>
      <c r="L496" s="101"/>
      <c r="M496" s="155"/>
      <c r="N496" s="101"/>
      <c r="O496" s="101"/>
      <c r="P496" s="101"/>
      <c r="Q496" s="101"/>
      <c r="R496" s="155"/>
      <c r="S496" s="686"/>
      <c r="T496" s="101"/>
      <c r="U496" s="101"/>
      <c r="V496" s="101"/>
      <c r="W496" s="155"/>
      <c r="X496" s="101"/>
      <c r="Y496" s="101"/>
      <c r="Z496" s="101"/>
      <c r="AA496" s="101"/>
      <c r="AB496" s="155"/>
      <c r="AC496" s="101"/>
      <c r="AD496" s="101"/>
      <c r="AE496" s="101"/>
      <c r="AF496" s="101"/>
      <c r="AG496" s="155"/>
      <c r="AH496" s="101"/>
      <c r="AI496" s="101"/>
      <c r="AJ496" s="101"/>
      <c r="AK496" s="101"/>
    </row>
    <row r="497" spans="1:37" s="89" customFormat="1" ht="12.75" customHeight="1">
      <c r="A497" s="67"/>
      <c r="B497" s="378"/>
      <c r="C497" s="212"/>
      <c r="D497" s="101"/>
      <c r="E497" s="101"/>
      <c r="F497" s="101"/>
      <c r="G497" s="101"/>
      <c r="H497" s="212"/>
      <c r="I497" s="101"/>
      <c r="J497" s="101"/>
      <c r="K497" s="101"/>
      <c r="L497" s="101"/>
      <c r="M497" s="212"/>
      <c r="N497" s="101"/>
      <c r="O497" s="101"/>
      <c r="P497" s="101"/>
      <c r="Q497" s="101"/>
      <c r="R497" s="212"/>
      <c r="S497" s="686"/>
      <c r="T497" s="101"/>
      <c r="U497" s="101"/>
      <c r="V497" s="101"/>
      <c r="W497" s="212"/>
      <c r="X497" s="101"/>
      <c r="Y497" s="101"/>
      <c r="Z497" s="101"/>
      <c r="AA497" s="101"/>
      <c r="AB497" s="212"/>
      <c r="AC497" s="101"/>
      <c r="AD497" s="101"/>
      <c r="AE497" s="101"/>
      <c r="AF497" s="101"/>
      <c r="AG497" s="212"/>
      <c r="AH497" s="101"/>
      <c r="AI497" s="101"/>
      <c r="AJ497" s="101"/>
      <c r="AK497" s="101"/>
    </row>
    <row r="498" spans="1:37" s="89" customFormat="1" ht="12.75" customHeight="1">
      <c r="A498" s="67"/>
      <c r="B498" s="378"/>
      <c r="C498" s="212"/>
      <c r="D498" s="101"/>
      <c r="E498" s="101"/>
      <c r="F498" s="101"/>
      <c r="G498" s="101"/>
      <c r="H498" s="212"/>
      <c r="I498" s="101"/>
      <c r="J498" s="101"/>
      <c r="K498" s="101"/>
      <c r="L498" s="101"/>
      <c r="M498" s="212"/>
      <c r="N498" s="101"/>
      <c r="O498" s="101"/>
      <c r="P498" s="101"/>
      <c r="Q498" s="101"/>
      <c r="R498" s="212"/>
      <c r="S498" s="686"/>
      <c r="T498" s="101"/>
      <c r="U498" s="101"/>
      <c r="V498" s="101"/>
      <c r="W498" s="212"/>
      <c r="X498" s="101"/>
      <c r="Y498" s="101"/>
      <c r="Z498" s="101"/>
      <c r="AA498" s="101"/>
      <c r="AB498" s="212"/>
      <c r="AC498" s="101"/>
      <c r="AD498" s="101"/>
      <c r="AE498" s="101"/>
      <c r="AF498" s="101"/>
      <c r="AG498" s="212"/>
      <c r="AH498" s="101"/>
      <c r="AI498" s="101"/>
      <c r="AJ498" s="101"/>
      <c r="AK498" s="101"/>
    </row>
    <row r="499" spans="1:37" s="89" customFormat="1" ht="12.75" customHeight="1">
      <c r="A499" s="67"/>
      <c r="B499" s="378"/>
      <c r="C499" s="101"/>
      <c r="D499" s="101"/>
      <c r="E499" s="101"/>
      <c r="F499" s="101"/>
      <c r="G499" s="101"/>
      <c r="H499" s="101"/>
      <c r="I499" s="101"/>
      <c r="J499" s="101"/>
      <c r="K499" s="101"/>
      <c r="L499" s="101"/>
      <c r="M499" s="101"/>
      <c r="N499" s="101"/>
      <c r="O499" s="101"/>
      <c r="P499" s="101"/>
      <c r="Q499" s="101"/>
      <c r="R499" s="101"/>
      <c r="S499" s="686"/>
      <c r="T499" s="101"/>
      <c r="U499" s="101"/>
      <c r="V499" s="101"/>
      <c r="W499" s="101"/>
      <c r="X499" s="101"/>
      <c r="Y499" s="101"/>
      <c r="Z499" s="101"/>
      <c r="AA499" s="101"/>
      <c r="AB499" s="101"/>
      <c r="AC499" s="101"/>
      <c r="AD499" s="101"/>
      <c r="AE499" s="101"/>
      <c r="AF499" s="101"/>
      <c r="AG499" s="101"/>
      <c r="AH499" s="101"/>
      <c r="AI499" s="101"/>
      <c r="AJ499" s="101"/>
      <c r="AK499" s="101"/>
    </row>
    <row r="500" spans="1:37" s="89" customFormat="1" ht="12.75" customHeight="1">
      <c r="A500" s="67"/>
      <c r="B500" s="378"/>
      <c r="C500" s="208"/>
      <c r="D500" s="208"/>
      <c r="E500" s="208"/>
      <c r="F500" s="208"/>
      <c r="G500" s="208"/>
      <c r="H500" s="208"/>
      <c r="I500" s="208"/>
      <c r="J500" s="208"/>
      <c r="K500" s="208"/>
      <c r="L500" s="208"/>
      <c r="M500" s="208"/>
      <c r="N500" s="208"/>
      <c r="O500" s="208"/>
      <c r="P500" s="208"/>
      <c r="Q500" s="208"/>
      <c r="R500" s="208"/>
      <c r="S500" s="1262"/>
      <c r="T500" s="208"/>
      <c r="U500" s="208"/>
      <c r="V500" s="208"/>
      <c r="W500" s="208"/>
      <c r="X500" s="208"/>
      <c r="Y500" s="208"/>
      <c r="Z500" s="208"/>
      <c r="AA500" s="208"/>
      <c r="AB500" s="208"/>
      <c r="AC500" s="208"/>
      <c r="AD500" s="208"/>
      <c r="AE500" s="208"/>
      <c r="AF500" s="208"/>
      <c r="AG500" s="208"/>
      <c r="AH500" s="208"/>
      <c r="AI500" s="208"/>
      <c r="AJ500" s="208"/>
      <c r="AK500" s="208"/>
    </row>
    <row r="501" spans="1:37" s="89" customFormat="1" ht="12.75" customHeight="1">
      <c r="A501" s="67"/>
      <c r="B501" s="378"/>
      <c r="C501" s="212"/>
      <c r="D501" s="101"/>
      <c r="E501" s="101"/>
      <c r="F501" s="101"/>
      <c r="G501" s="101"/>
      <c r="H501" s="212"/>
      <c r="I501" s="101"/>
      <c r="J501" s="101"/>
      <c r="K501" s="101"/>
      <c r="L501" s="101"/>
      <c r="M501" s="212"/>
      <c r="N501" s="101"/>
      <c r="O501" s="101"/>
      <c r="P501" s="101"/>
      <c r="Q501" s="101"/>
      <c r="R501" s="212"/>
      <c r="S501" s="686"/>
      <c r="T501" s="101"/>
      <c r="U501" s="101"/>
      <c r="V501" s="101"/>
      <c r="W501" s="212"/>
      <c r="X501" s="101"/>
      <c r="Y501" s="101"/>
      <c r="Z501" s="101"/>
      <c r="AA501" s="101"/>
      <c r="AB501" s="212"/>
      <c r="AC501" s="101"/>
      <c r="AD501" s="101"/>
      <c r="AE501" s="101"/>
      <c r="AF501" s="101"/>
      <c r="AG501" s="212"/>
      <c r="AH501" s="101"/>
      <c r="AI501" s="101"/>
      <c r="AJ501" s="101"/>
      <c r="AK501" s="101"/>
    </row>
    <row r="502" spans="1:37" s="89" customFormat="1" ht="12.75" customHeight="1">
      <c r="A502" s="67"/>
      <c r="B502" s="378"/>
      <c r="C502" s="212"/>
      <c r="D502" s="101"/>
      <c r="E502" s="101"/>
      <c r="F502" s="101"/>
      <c r="G502" s="101"/>
      <c r="H502" s="212"/>
      <c r="I502" s="101"/>
      <c r="J502" s="101"/>
      <c r="K502" s="101"/>
      <c r="L502" s="101"/>
      <c r="M502" s="212"/>
      <c r="N502" s="101"/>
      <c r="O502" s="101"/>
      <c r="P502" s="101"/>
      <c r="Q502" s="101"/>
      <c r="R502" s="212"/>
      <c r="S502" s="686"/>
      <c r="T502" s="101"/>
      <c r="U502" s="101"/>
      <c r="V502" s="101"/>
      <c r="W502" s="212"/>
      <c r="X502" s="101"/>
      <c r="Y502" s="101"/>
      <c r="Z502" s="101"/>
      <c r="AA502" s="101"/>
      <c r="AB502" s="212"/>
      <c r="AC502" s="101"/>
      <c r="AD502" s="101"/>
      <c r="AE502" s="101"/>
      <c r="AF502" s="101"/>
      <c r="AG502" s="212"/>
      <c r="AH502" s="101"/>
      <c r="AI502" s="101"/>
      <c r="AJ502" s="101"/>
      <c r="AK502" s="101"/>
    </row>
    <row r="503" spans="1:37" s="89" customFormat="1" ht="12.75" customHeight="1">
      <c r="A503" s="67"/>
      <c r="B503" s="378"/>
      <c r="C503" s="211"/>
      <c r="D503" s="211"/>
      <c r="E503" s="211"/>
      <c r="F503" s="211"/>
      <c r="G503" s="211"/>
      <c r="H503" s="211"/>
      <c r="I503" s="211"/>
      <c r="J503" s="211"/>
      <c r="K503" s="211"/>
      <c r="L503" s="211"/>
      <c r="M503" s="211"/>
      <c r="N503" s="211"/>
      <c r="O503" s="211"/>
      <c r="P503" s="211"/>
      <c r="Q503" s="211"/>
      <c r="R503" s="211"/>
      <c r="S503" s="1266"/>
      <c r="T503" s="211"/>
      <c r="U503" s="211"/>
      <c r="V503" s="211"/>
      <c r="W503" s="211"/>
      <c r="X503" s="211"/>
      <c r="Y503" s="211"/>
      <c r="Z503" s="211"/>
      <c r="AA503" s="211"/>
      <c r="AB503" s="211"/>
      <c r="AC503" s="211"/>
      <c r="AD503" s="211"/>
      <c r="AE503" s="211"/>
      <c r="AF503" s="211"/>
      <c r="AG503" s="211"/>
      <c r="AH503" s="211"/>
      <c r="AI503" s="211"/>
      <c r="AJ503" s="211"/>
      <c r="AK503" s="211"/>
    </row>
    <row r="504" spans="1:37" s="89" customFormat="1" ht="12.75" customHeight="1">
      <c r="A504" s="67"/>
      <c r="B504" s="378"/>
      <c r="C504" s="206"/>
      <c r="D504" s="206"/>
      <c r="E504" s="206"/>
      <c r="F504" s="206"/>
      <c r="G504" s="206"/>
      <c r="H504" s="206"/>
      <c r="I504" s="206"/>
      <c r="J504" s="206"/>
      <c r="K504" s="206"/>
      <c r="L504" s="206"/>
      <c r="M504" s="206"/>
      <c r="N504" s="206"/>
      <c r="O504" s="206"/>
      <c r="P504" s="206"/>
      <c r="Q504" s="206"/>
      <c r="R504" s="206"/>
      <c r="S504" s="1261"/>
      <c r="T504" s="206"/>
      <c r="U504" s="206"/>
      <c r="V504" s="206"/>
      <c r="W504" s="206"/>
      <c r="X504" s="206"/>
      <c r="Y504" s="206"/>
      <c r="Z504" s="206"/>
      <c r="AA504" s="206"/>
      <c r="AB504" s="206"/>
      <c r="AC504" s="206"/>
      <c r="AD504" s="206"/>
      <c r="AE504" s="206"/>
      <c r="AF504" s="206"/>
      <c r="AG504" s="206"/>
      <c r="AH504" s="206"/>
      <c r="AI504" s="206"/>
      <c r="AJ504" s="206"/>
      <c r="AK504" s="206"/>
    </row>
    <row r="505" spans="1:37" s="89" customFormat="1" ht="12.75" customHeight="1">
      <c r="A505" s="67"/>
      <c r="B505" s="378"/>
      <c r="C505" s="101"/>
      <c r="D505" s="101"/>
      <c r="E505" s="101"/>
      <c r="F505" s="101"/>
      <c r="G505" s="101"/>
      <c r="H505" s="101"/>
      <c r="I505" s="101"/>
      <c r="J505" s="101"/>
      <c r="K505" s="101"/>
      <c r="L505" s="101"/>
      <c r="M505" s="101"/>
      <c r="N505" s="101"/>
      <c r="O505" s="101"/>
      <c r="P505" s="101"/>
      <c r="Q505" s="101"/>
      <c r="R505" s="101"/>
      <c r="S505" s="686"/>
      <c r="T505" s="101"/>
      <c r="U505" s="101"/>
      <c r="V505" s="101"/>
      <c r="W505" s="101"/>
      <c r="X505" s="101"/>
      <c r="Y505" s="101"/>
      <c r="Z505" s="101"/>
      <c r="AA505" s="101"/>
      <c r="AB505" s="101"/>
      <c r="AC505" s="101"/>
      <c r="AD505" s="101"/>
      <c r="AE505" s="101"/>
      <c r="AF505" s="101"/>
      <c r="AG505" s="101"/>
      <c r="AH505" s="101"/>
      <c r="AI505" s="101"/>
      <c r="AJ505" s="101"/>
      <c r="AK505" s="101"/>
    </row>
    <row r="506" spans="1:37" s="89" customFormat="1" ht="12.75" customHeight="1">
      <c r="A506" s="67"/>
      <c r="B506" s="378"/>
      <c r="C506" s="155"/>
      <c r="D506" s="155"/>
      <c r="E506" s="155"/>
      <c r="F506" s="155"/>
      <c r="G506" s="155"/>
      <c r="H506" s="155"/>
      <c r="I506" s="155"/>
      <c r="J506" s="155"/>
      <c r="K506" s="155"/>
      <c r="L506" s="155"/>
      <c r="M506" s="155"/>
      <c r="N506" s="155"/>
      <c r="O506" s="155"/>
      <c r="P506" s="155"/>
      <c r="Q506" s="155"/>
      <c r="R506" s="155"/>
      <c r="S506" s="1239"/>
      <c r="T506" s="155"/>
      <c r="U506" s="155"/>
      <c r="V506" s="155"/>
      <c r="W506" s="155"/>
      <c r="X506" s="155"/>
      <c r="Y506" s="155"/>
      <c r="Z506" s="155"/>
      <c r="AA506" s="155"/>
      <c r="AB506" s="155"/>
      <c r="AC506" s="155"/>
      <c r="AD506" s="155"/>
      <c r="AE506" s="155"/>
      <c r="AF506" s="155"/>
      <c r="AG506" s="155"/>
      <c r="AH506" s="155"/>
      <c r="AI506" s="155"/>
      <c r="AJ506" s="155"/>
      <c r="AK506" s="155"/>
    </row>
    <row r="507" spans="1:37" s="89" customFormat="1" ht="12.75" customHeight="1">
      <c r="A507" s="67"/>
      <c r="B507" s="378"/>
      <c r="C507" s="208"/>
      <c r="D507" s="208"/>
      <c r="E507" s="208"/>
      <c r="F507" s="208"/>
      <c r="G507" s="208"/>
      <c r="H507" s="208"/>
      <c r="I507" s="208"/>
      <c r="J507" s="208"/>
      <c r="K507" s="208"/>
      <c r="L507" s="208"/>
      <c r="M507" s="208"/>
      <c r="N507" s="208"/>
      <c r="O507" s="208"/>
      <c r="P507" s="208"/>
      <c r="Q507" s="208"/>
      <c r="R507" s="208"/>
      <c r="S507" s="1262"/>
      <c r="T507" s="208"/>
      <c r="U507" s="208"/>
      <c r="V507" s="208"/>
      <c r="W507" s="208"/>
      <c r="X507" s="208"/>
      <c r="Y507" s="208"/>
      <c r="Z507" s="208"/>
      <c r="AA507" s="208"/>
      <c r="AB507" s="208"/>
      <c r="AC507" s="208"/>
      <c r="AD507" s="208"/>
      <c r="AE507" s="208"/>
      <c r="AF507" s="208"/>
      <c r="AG507" s="208"/>
      <c r="AH507" s="208"/>
      <c r="AI507" s="208"/>
      <c r="AJ507" s="208"/>
      <c r="AK507" s="208"/>
    </row>
    <row r="508" spans="1:37" s="89" customFormat="1" ht="12.75" customHeight="1">
      <c r="A508" s="67"/>
      <c r="B508" s="378"/>
      <c r="C508" s="208"/>
      <c r="D508" s="208"/>
      <c r="E508" s="208"/>
      <c r="F508" s="208"/>
      <c r="G508" s="208"/>
      <c r="H508" s="208"/>
      <c r="I508" s="208"/>
      <c r="J508" s="208"/>
      <c r="K508" s="208"/>
      <c r="L508" s="208"/>
      <c r="M508" s="208"/>
      <c r="N508" s="208"/>
      <c r="O508" s="208"/>
      <c r="P508" s="208"/>
      <c r="Q508" s="208"/>
      <c r="R508" s="208"/>
      <c r="S508" s="1262"/>
      <c r="T508" s="208"/>
      <c r="U508" s="208"/>
      <c r="V508" s="208"/>
      <c r="W508" s="208"/>
      <c r="X508" s="208"/>
      <c r="Y508" s="208"/>
      <c r="Z508" s="208"/>
      <c r="AA508" s="208"/>
      <c r="AB508" s="208"/>
      <c r="AC508" s="208"/>
      <c r="AD508" s="208"/>
      <c r="AE508" s="208"/>
      <c r="AF508" s="208"/>
      <c r="AG508" s="208"/>
      <c r="AH508" s="208"/>
      <c r="AI508" s="208"/>
      <c r="AJ508" s="208"/>
      <c r="AK508" s="208"/>
    </row>
    <row r="509" spans="1:37" s="89" customFormat="1" ht="12.75" customHeight="1">
      <c r="A509" s="67"/>
      <c r="B509" s="378"/>
      <c r="C509" s="211"/>
      <c r="D509" s="211"/>
      <c r="E509" s="211"/>
      <c r="F509" s="211"/>
      <c r="G509" s="211"/>
      <c r="H509" s="211"/>
      <c r="I509" s="211"/>
      <c r="J509" s="211"/>
      <c r="K509" s="211"/>
      <c r="L509" s="211"/>
      <c r="M509" s="211"/>
      <c r="N509" s="211"/>
      <c r="O509" s="211"/>
      <c r="P509" s="211"/>
      <c r="Q509" s="211"/>
      <c r="R509" s="211"/>
      <c r="S509" s="1266"/>
      <c r="T509" s="211"/>
      <c r="U509" s="211"/>
      <c r="V509" s="211"/>
      <c r="W509" s="211"/>
      <c r="X509" s="211"/>
      <c r="Y509" s="211"/>
      <c r="Z509" s="211"/>
      <c r="AA509" s="211"/>
      <c r="AB509" s="211"/>
      <c r="AC509" s="211"/>
      <c r="AD509" s="211"/>
      <c r="AE509" s="211"/>
      <c r="AF509" s="211"/>
      <c r="AG509" s="211"/>
      <c r="AH509" s="211"/>
      <c r="AI509" s="211"/>
      <c r="AJ509" s="211"/>
      <c r="AK509" s="211"/>
    </row>
    <row r="510" spans="1:37" s="89" customFormat="1" ht="12.75" customHeight="1">
      <c r="A510" s="67"/>
      <c r="B510" s="378"/>
      <c r="C510" s="209"/>
      <c r="D510" s="210"/>
      <c r="E510" s="210"/>
      <c r="F510" s="210"/>
      <c r="G510" s="210"/>
      <c r="H510" s="209"/>
      <c r="I510" s="210"/>
      <c r="J510" s="210"/>
      <c r="K510" s="210"/>
      <c r="L510" s="210"/>
      <c r="M510" s="209"/>
      <c r="N510" s="210"/>
      <c r="O510" s="210"/>
      <c r="P510" s="210"/>
      <c r="Q510" s="210"/>
      <c r="R510" s="209"/>
      <c r="S510" s="1263"/>
      <c r="T510" s="210"/>
      <c r="U510" s="210"/>
      <c r="V510" s="210"/>
      <c r="W510" s="209"/>
      <c r="X510" s="210"/>
      <c r="Y510" s="210"/>
      <c r="Z510" s="210"/>
      <c r="AA510" s="210"/>
      <c r="AB510" s="209"/>
      <c r="AC510" s="210"/>
      <c r="AD510" s="210"/>
      <c r="AE510" s="210"/>
      <c r="AF510" s="210"/>
      <c r="AG510" s="209"/>
      <c r="AH510" s="210"/>
      <c r="AI510" s="210"/>
      <c r="AJ510" s="210"/>
      <c r="AK510" s="210"/>
    </row>
    <row r="511" spans="1:37" s="89" customFormat="1" ht="12.75" customHeight="1">
      <c r="A511" s="67"/>
      <c r="B511" s="378"/>
      <c r="C511" s="209"/>
      <c r="D511" s="210"/>
      <c r="E511" s="210"/>
      <c r="F511" s="210"/>
      <c r="G511" s="210"/>
      <c r="H511" s="209"/>
      <c r="I511" s="210"/>
      <c r="J511" s="210"/>
      <c r="K511" s="210"/>
      <c r="L511" s="210"/>
      <c r="M511" s="209"/>
      <c r="N511" s="210"/>
      <c r="O511" s="210"/>
      <c r="P511" s="210"/>
      <c r="Q511" s="210"/>
      <c r="R511" s="209"/>
      <c r="S511" s="1263"/>
      <c r="T511" s="210"/>
      <c r="U511" s="210"/>
      <c r="V511" s="210"/>
      <c r="W511" s="209"/>
      <c r="X511" s="210"/>
      <c r="Y511" s="210"/>
      <c r="Z511" s="210"/>
      <c r="AA511" s="210"/>
      <c r="AB511" s="209"/>
      <c r="AC511" s="210"/>
      <c r="AD511" s="210"/>
      <c r="AE511" s="210"/>
      <c r="AF511" s="210"/>
      <c r="AG511" s="209"/>
      <c r="AH511" s="210"/>
      <c r="AI511" s="210"/>
      <c r="AJ511" s="210"/>
      <c r="AK511" s="210"/>
    </row>
    <row r="512" spans="1:37" s="89" customFormat="1" ht="12.75" customHeight="1">
      <c r="A512" s="67"/>
      <c r="B512" s="378"/>
      <c r="C512" s="209"/>
      <c r="D512" s="210"/>
      <c r="E512" s="210"/>
      <c r="F512" s="210"/>
      <c r="G512" s="210"/>
      <c r="H512" s="209"/>
      <c r="I512" s="210"/>
      <c r="J512" s="210"/>
      <c r="K512" s="210"/>
      <c r="L512" s="210"/>
      <c r="M512" s="209"/>
      <c r="N512" s="210"/>
      <c r="O512" s="210"/>
      <c r="P512" s="210"/>
      <c r="Q512" s="210"/>
      <c r="R512" s="209"/>
      <c r="S512" s="1263"/>
      <c r="T512" s="210"/>
      <c r="U512" s="210"/>
      <c r="V512" s="210"/>
      <c r="W512" s="209"/>
      <c r="X512" s="210"/>
      <c r="Y512" s="210"/>
      <c r="Z512" s="210"/>
      <c r="AA512" s="210"/>
      <c r="AB512" s="209"/>
      <c r="AC512" s="210"/>
      <c r="AD512" s="210"/>
      <c r="AE512" s="210"/>
      <c r="AF512" s="210"/>
      <c r="AG512" s="209"/>
      <c r="AH512" s="210"/>
      <c r="AI512" s="210"/>
      <c r="AJ512" s="210"/>
      <c r="AK512" s="210"/>
    </row>
    <row r="513" spans="1:37" s="89" customFormat="1" ht="12.75" customHeight="1">
      <c r="A513" s="67"/>
      <c r="B513" s="378"/>
      <c r="C513" s="155"/>
      <c r="D513" s="155"/>
      <c r="E513" s="155"/>
      <c r="F513" s="155"/>
      <c r="G513" s="155"/>
      <c r="H513" s="155"/>
      <c r="I513" s="155"/>
      <c r="J513" s="155"/>
      <c r="K513" s="155"/>
      <c r="L513" s="155"/>
      <c r="M513" s="155"/>
      <c r="N513" s="155"/>
      <c r="O513" s="155"/>
      <c r="P513" s="155"/>
      <c r="Q513" s="155"/>
      <c r="R513" s="155"/>
      <c r="S513" s="1239"/>
      <c r="T513" s="155"/>
      <c r="U513" s="155"/>
      <c r="V513" s="155"/>
      <c r="W513" s="155"/>
      <c r="X513" s="155"/>
      <c r="Y513" s="155"/>
      <c r="Z513" s="155"/>
      <c r="AA513" s="155"/>
      <c r="AB513" s="155"/>
      <c r="AC513" s="155"/>
      <c r="AD513" s="155"/>
      <c r="AE513" s="155"/>
      <c r="AF513" s="155"/>
      <c r="AG513" s="155"/>
      <c r="AH513" s="155"/>
      <c r="AI513" s="155"/>
      <c r="AJ513" s="155"/>
      <c r="AK513" s="155"/>
    </row>
    <row r="514" spans="1:37" s="89" customFormat="1" ht="12.75" customHeight="1">
      <c r="A514" s="67"/>
      <c r="B514" s="378"/>
      <c r="C514" s="214"/>
      <c r="D514" s="214"/>
      <c r="E514" s="214"/>
      <c r="F514" s="214"/>
      <c r="G514" s="214"/>
      <c r="H514" s="214"/>
      <c r="I514" s="214"/>
      <c r="J514" s="214"/>
      <c r="K514" s="214"/>
      <c r="L514" s="214"/>
      <c r="M514" s="214"/>
      <c r="N514" s="214"/>
      <c r="O514" s="214"/>
      <c r="P514" s="214"/>
      <c r="Q514" s="214"/>
      <c r="R514" s="214"/>
      <c r="S514" s="1267"/>
      <c r="T514" s="214"/>
      <c r="U514" s="214"/>
      <c r="V514" s="214"/>
      <c r="W514" s="214"/>
      <c r="X514" s="214"/>
      <c r="Y514" s="214"/>
      <c r="Z514" s="214"/>
      <c r="AA514" s="214"/>
      <c r="AB514" s="214"/>
      <c r="AC514" s="214"/>
      <c r="AD514" s="214"/>
      <c r="AE514" s="214"/>
      <c r="AF514" s="214"/>
      <c r="AG514" s="214"/>
      <c r="AH514" s="214"/>
      <c r="AI514" s="214"/>
      <c r="AJ514" s="214"/>
      <c r="AK514" s="214"/>
    </row>
    <row r="515" spans="1:37" s="89" customFormat="1" ht="12.75" customHeight="1">
      <c r="A515" s="67"/>
      <c r="B515" s="378"/>
      <c r="C515" s="155"/>
      <c r="D515" s="155"/>
      <c r="E515" s="155"/>
      <c r="F515" s="155"/>
      <c r="G515" s="155"/>
      <c r="H515" s="155"/>
      <c r="I515" s="155"/>
      <c r="J515" s="155"/>
      <c r="K515" s="155"/>
      <c r="L515" s="155"/>
      <c r="M515" s="155"/>
      <c r="N515" s="155"/>
      <c r="O515" s="155"/>
      <c r="P515" s="155"/>
      <c r="Q515" s="155"/>
      <c r="R515" s="155"/>
      <c r="S515" s="1239"/>
      <c r="T515" s="155"/>
      <c r="U515" s="155"/>
      <c r="V515" s="155"/>
      <c r="W515" s="155"/>
      <c r="X515" s="155"/>
      <c r="Y515" s="155"/>
      <c r="Z515" s="155"/>
      <c r="AA515" s="155"/>
      <c r="AB515" s="155"/>
      <c r="AC515" s="155"/>
      <c r="AD515" s="155"/>
      <c r="AE515" s="155"/>
      <c r="AF515" s="155"/>
      <c r="AG515" s="155"/>
      <c r="AH515" s="155"/>
      <c r="AI515" s="155"/>
      <c r="AJ515" s="155"/>
      <c r="AK515" s="155"/>
    </row>
    <row r="516" spans="1:37" s="89" customFormat="1" ht="12.75" customHeight="1">
      <c r="A516" s="67"/>
      <c r="B516" s="378"/>
      <c r="C516" s="101"/>
      <c r="D516" s="101"/>
      <c r="E516" s="101"/>
      <c r="F516" s="101"/>
      <c r="G516" s="101"/>
      <c r="H516" s="101"/>
      <c r="I516" s="101"/>
      <c r="J516" s="101"/>
      <c r="K516" s="101"/>
      <c r="L516" s="101"/>
      <c r="M516" s="101"/>
      <c r="N516" s="101"/>
      <c r="O516" s="101"/>
      <c r="P516" s="101"/>
      <c r="Q516" s="101"/>
      <c r="R516" s="101"/>
      <c r="S516" s="686"/>
      <c r="T516" s="101"/>
      <c r="U516" s="101"/>
      <c r="V516" s="101"/>
      <c r="W516" s="101"/>
      <c r="X516" s="101"/>
      <c r="Y516" s="101"/>
      <c r="Z516" s="101"/>
      <c r="AA516" s="101"/>
      <c r="AB516" s="101"/>
      <c r="AC516" s="101"/>
      <c r="AD516" s="101"/>
      <c r="AE516" s="101"/>
      <c r="AF516" s="101"/>
      <c r="AG516" s="101"/>
      <c r="AH516" s="101"/>
      <c r="AI516" s="101"/>
      <c r="AJ516" s="101"/>
      <c r="AK516" s="101"/>
    </row>
    <row r="517" spans="1:37" s="89" customFormat="1" ht="12.75" customHeight="1">
      <c r="A517" s="67"/>
      <c r="B517" s="378"/>
      <c r="C517" s="155"/>
      <c r="D517" s="155"/>
      <c r="E517" s="155"/>
      <c r="F517" s="155"/>
      <c r="G517" s="155"/>
      <c r="H517" s="155"/>
      <c r="I517" s="155"/>
      <c r="J517" s="155"/>
      <c r="K517" s="155"/>
      <c r="L517" s="155"/>
      <c r="M517" s="155"/>
      <c r="N517" s="155"/>
      <c r="O517" s="155"/>
      <c r="P517" s="155"/>
      <c r="Q517" s="155"/>
      <c r="R517" s="155"/>
      <c r="S517" s="1239"/>
      <c r="T517" s="155"/>
      <c r="U517" s="155"/>
      <c r="V517" s="155"/>
      <c r="W517" s="155"/>
      <c r="X517" s="155"/>
      <c r="Y517" s="155"/>
      <c r="Z517" s="155"/>
      <c r="AA517" s="155"/>
      <c r="AB517" s="155"/>
      <c r="AC517" s="155"/>
      <c r="AD517" s="155"/>
      <c r="AE517" s="155"/>
      <c r="AF517" s="155"/>
      <c r="AG517" s="155"/>
      <c r="AH517" s="155"/>
      <c r="AI517" s="155"/>
      <c r="AJ517" s="155"/>
      <c r="AK517" s="155"/>
    </row>
    <row r="518" spans="1:37" s="89" customFormat="1" ht="12.75" customHeight="1">
      <c r="A518" s="67"/>
      <c r="B518" s="378"/>
      <c r="C518" s="155"/>
      <c r="D518" s="155"/>
      <c r="E518" s="155"/>
      <c r="F518" s="155"/>
      <c r="G518" s="155"/>
      <c r="H518" s="155"/>
      <c r="I518" s="155"/>
      <c r="J518" s="155"/>
      <c r="K518" s="155"/>
      <c r="L518" s="155"/>
      <c r="M518" s="155"/>
      <c r="N518" s="155"/>
      <c r="O518" s="155"/>
      <c r="P518" s="155"/>
      <c r="Q518" s="155"/>
      <c r="R518" s="155"/>
      <c r="S518" s="1239"/>
      <c r="T518" s="155"/>
      <c r="U518" s="155"/>
      <c r="V518" s="155"/>
      <c r="W518" s="155"/>
      <c r="X518" s="155"/>
      <c r="Y518" s="155"/>
      <c r="Z518" s="155"/>
      <c r="AA518" s="155"/>
      <c r="AB518" s="155"/>
      <c r="AC518" s="155"/>
      <c r="AD518" s="155"/>
      <c r="AE518" s="155"/>
      <c r="AF518" s="155"/>
      <c r="AG518" s="155"/>
      <c r="AH518" s="155"/>
      <c r="AI518" s="155"/>
      <c r="AJ518" s="155"/>
      <c r="AK518" s="155"/>
    </row>
    <row r="519" spans="1:37" s="89" customFormat="1" ht="12.75" customHeight="1">
      <c r="A519" s="67"/>
      <c r="B519" s="378"/>
      <c r="C519" s="184"/>
      <c r="D519" s="184"/>
      <c r="E519" s="184"/>
      <c r="F519" s="184"/>
      <c r="G519" s="184"/>
      <c r="H519" s="184"/>
      <c r="I519" s="184"/>
      <c r="J519" s="184"/>
      <c r="K519" s="184"/>
      <c r="L519" s="184"/>
      <c r="M519" s="184"/>
      <c r="N519" s="184"/>
      <c r="O519" s="184"/>
      <c r="P519" s="184"/>
      <c r="Q519" s="184"/>
      <c r="R519" s="184"/>
      <c r="S519" s="1268"/>
      <c r="T519" s="184"/>
      <c r="U519" s="184"/>
      <c r="V519" s="184"/>
      <c r="W519" s="184"/>
      <c r="X519" s="184"/>
      <c r="Y519" s="184"/>
      <c r="Z519" s="184"/>
      <c r="AA519" s="184"/>
      <c r="AB519" s="184"/>
      <c r="AC519" s="184"/>
      <c r="AD519" s="184"/>
      <c r="AE519" s="184"/>
      <c r="AF519" s="184"/>
      <c r="AG519" s="184"/>
      <c r="AH519" s="184"/>
      <c r="AI519" s="184"/>
      <c r="AJ519" s="184"/>
      <c r="AK519" s="184"/>
    </row>
    <row r="520" spans="1:37" s="89" customFormat="1" ht="12.75" customHeight="1">
      <c r="A520" s="67"/>
      <c r="B520" s="378"/>
      <c r="C520" s="206"/>
      <c r="D520" s="155"/>
      <c r="E520" s="155"/>
      <c r="F520" s="155"/>
      <c r="G520" s="155"/>
      <c r="H520" s="206"/>
      <c r="I520" s="155"/>
      <c r="J520" s="155"/>
      <c r="K520" s="155"/>
      <c r="L520" s="155"/>
      <c r="M520" s="206"/>
      <c r="N520" s="155"/>
      <c r="O520" s="155"/>
      <c r="P520" s="155"/>
      <c r="Q520" s="155"/>
      <c r="R520" s="206"/>
      <c r="S520" s="1239"/>
      <c r="T520" s="155"/>
      <c r="U520" s="155"/>
      <c r="V520" s="155"/>
      <c r="W520" s="206"/>
      <c r="X520" s="155"/>
      <c r="Y520" s="155"/>
      <c r="Z520" s="155"/>
      <c r="AA520" s="155"/>
      <c r="AB520" s="206"/>
      <c r="AC520" s="155"/>
      <c r="AD520" s="155"/>
      <c r="AE520" s="155"/>
      <c r="AF520" s="155"/>
      <c r="AG520" s="206"/>
      <c r="AH520" s="155"/>
      <c r="AI520" s="155"/>
      <c r="AJ520" s="155"/>
      <c r="AK520" s="155"/>
    </row>
    <row r="521" spans="1:37" s="89" customFormat="1" ht="12.75" customHeight="1">
      <c r="A521" s="67"/>
      <c r="B521" s="378"/>
      <c r="C521" s="206"/>
      <c r="D521" s="155"/>
      <c r="E521" s="155"/>
      <c r="F521" s="155"/>
      <c r="G521" s="155"/>
      <c r="H521" s="206"/>
      <c r="I521" s="155"/>
      <c r="J521" s="155"/>
      <c r="K521" s="155"/>
      <c r="L521" s="155"/>
      <c r="M521" s="206"/>
      <c r="N521" s="155"/>
      <c r="O521" s="155"/>
      <c r="P521" s="155"/>
      <c r="Q521" s="155"/>
      <c r="R521" s="206"/>
      <c r="S521" s="1239"/>
      <c r="T521" s="155"/>
      <c r="U521" s="155"/>
      <c r="V521" s="155"/>
      <c r="W521" s="206"/>
      <c r="X521" s="155"/>
      <c r="Y521" s="155"/>
      <c r="Z521" s="155"/>
      <c r="AA521" s="155"/>
      <c r="AB521" s="206"/>
      <c r="AC521" s="155"/>
      <c r="AD521" s="155"/>
      <c r="AE521" s="155"/>
      <c r="AF521" s="155"/>
      <c r="AG521" s="206"/>
      <c r="AH521" s="155"/>
      <c r="AI521" s="155"/>
      <c r="AJ521" s="155"/>
      <c r="AK521" s="155"/>
    </row>
    <row r="522" spans="1:37" s="89" customFormat="1" ht="12.75" customHeight="1">
      <c r="A522" s="67"/>
      <c r="B522" s="378"/>
      <c r="C522" s="207"/>
      <c r="D522" s="207"/>
      <c r="E522" s="207"/>
      <c r="F522" s="207"/>
      <c r="G522" s="207"/>
      <c r="H522" s="207"/>
      <c r="I522" s="207"/>
      <c r="J522" s="207"/>
      <c r="K522" s="207"/>
      <c r="L522" s="207"/>
      <c r="M522" s="207"/>
      <c r="N522" s="207"/>
      <c r="O522" s="207"/>
      <c r="P522" s="207"/>
      <c r="Q522" s="207"/>
      <c r="R522" s="207"/>
      <c r="S522" s="797"/>
      <c r="T522" s="207"/>
      <c r="U522" s="207"/>
      <c r="V522" s="207"/>
      <c r="W522" s="207"/>
      <c r="X522" s="207"/>
      <c r="Y522" s="207"/>
      <c r="Z522" s="207"/>
      <c r="AA522" s="207"/>
      <c r="AB522" s="207"/>
      <c r="AC522" s="207"/>
      <c r="AD522" s="207"/>
      <c r="AE522" s="207"/>
      <c r="AF522" s="207"/>
      <c r="AG522" s="207"/>
      <c r="AH522" s="207"/>
      <c r="AI522" s="207"/>
      <c r="AJ522" s="207"/>
      <c r="AK522" s="207"/>
    </row>
    <row r="523" spans="1:37" s="89" customFormat="1" ht="12.75" customHeight="1">
      <c r="A523" s="67"/>
      <c r="B523" s="378"/>
      <c r="C523" s="155"/>
      <c r="D523" s="155"/>
      <c r="E523" s="155"/>
      <c r="F523" s="155"/>
      <c r="G523" s="155"/>
      <c r="H523" s="155"/>
      <c r="I523" s="155"/>
      <c r="J523" s="155"/>
      <c r="K523" s="155"/>
      <c r="L523" s="155"/>
      <c r="M523" s="155"/>
      <c r="N523" s="155"/>
      <c r="O523" s="155"/>
      <c r="P523" s="155"/>
      <c r="Q523" s="155"/>
      <c r="R523" s="155"/>
      <c r="S523" s="1239"/>
      <c r="T523" s="155"/>
      <c r="U523" s="155"/>
      <c r="V523" s="155"/>
      <c r="W523" s="155"/>
      <c r="X523" s="155"/>
      <c r="Y523" s="155"/>
      <c r="Z523" s="155"/>
      <c r="AA523" s="155"/>
      <c r="AB523" s="155"/>
      <c r="AC523" s="155"/>
      <c r="AD523" s="155"/>
      <c r="AE523" s="155"/>
      <c r="AF523" s="155"/>
      <c r="AG523" s="155"/>
      <c r="AH523" s="155"/>
      <c r="AI523" s="155"/>
      <c r="AJ523" s="155"/>
      <c r="AK523" s="155"/>
    </row>
    <row r="524" spans="1:37" s="89" customFormat="1" ht="12.75" customHeight="1">
      <c r="A524" s="67"/>
      <c r="B524" s="378"/>
      <c r="C524" s="206"/>
      <c r="D524" s="155"/>
      <c r="E524" s="155"/>
      <c r="F524" s="155"/>
      <c r="G524" s="155"/>
      <c r="H524" s="206"/>
      <c r="I524" s="155"/>
      <c r="J524" s="155"/>
      <c r="K524" s="155"/>
      <c r="L524" s="155"/>
      <c r="M524" s="206"/>
      <c r="N524" s="155"/>
      <c r="O524" s="155"/>
      <c r="P524" s="155"/>
      <c r="Q524" s="155"/>
      <c r="R524" s="206"/>
      <c r="S524" s="1239"/>
      <c r="T524" s="155"/>
      <c r="U524" s="155"/>
      <c r="V524" s="155"/>
      <c r="W524" s="206"/>
      <c r="X524" s="155"/>
      <c r="Y524" s="155"/>
      <c r="Z524" s="155"/>
      <c r="AA524" s="155"/>
      <c r="AB524" s="206"/>
      <c r="AC524" s="155"/>
      <c r="AD524" s="155"/>
      <c r="AE524" s="155"/>
      <c r="AF524" s="155"/>
      <c r="AG524" s="206"/>
      <c r="AH524" s="155"/>
      <c r="AI524" s="155"/>
      <c r="AJ524" s="155"/>
      <c r="AK524" s="155"/>
    </row>
    <row r="525" spans="1:37" s="89" customFormat="1" ht="12.75" customHeight="1">
      <c r="A525" s="67"/>
      <c r="B525" s="378"/>
      <c r="C525" s="206"/>
      <c r="D525" s="155"/>
      <c r="E525" s="155"/>
      <c r="F525" s="155"/>
      <c r="G525" s="155"/>
      <c r="H525" s="206"/>
      <c r="I525" s="155"/>
      <c r="J525" s="155"/>
      <c r="K525" s="155"/>
      <c r="L525" s="155"/>
      <c r="M525" s="206"/>
      <c r="N525" s="155"/>
      <c r="O525" s="155"/>
      <c r="P525" s="155"/>
      <c r="Q525" s="155"/>
      <c r="R525" s="206"/>
      <c r="S525" s="1239"/>
      <c r="T525" s="155"/>
      <c r="U525" s="155"/>
      <c r="V525" s="155"/>
      <c r="W525" s="206"/>
      <c r="X525" s="155"/>
      <c r="Y525" s="155"/>
      <c r="Z525" s="155"/>
      <c r="AA525" s="155"/>
      <c r="AB525" s="206"/>
      <c r="AC525" s="155"/>
      <c r="AD525" s="155"/>
      <c r="AE525" s="155"/>
      <c r="AF525" s="155"/>
      <c r="AG525" s="206"/>
      <c r="AH525" s="155"/>
      <c r="AI525" s="155"/>
      <c r="AJ525" s="155"/>
      <c r="AK525" s="155"/>
    </row>
    <row r="526" spans="1:37" s="89" customFormat="1" ht="12.75" customHeight="1">
      <c r="A526" s="67"/>
      <c r="B526" s="378"/>
      <c r="C526" s="206"/>
      <c r="D526" s="155"/>
      <c r="E526" s="155"/>
      <c r="F526" s="155"/>
      <c r="G526" s="155"/>
      <c r="H526" s="206"/>
      <c r="I526" s="155"/>
      <c r="J526" s="155"/>
      <c r="K526" s="155"/>
      <c r="L526" s="155"/>
      <c r="M526" s="206"/>
      <c r="N526" s="155"/>
      <c r="O526" s="155"/>
      <c r="P526" s="155"/>
      <c r="Q526" s="155"/>
      <c r="R526" s="206"/>
      <c r="S526" s="1239"/>
      <c r="T526" s="155"/>
      <c r="U526" s="155"/>
      <c r="V526" s="155"/>
      <c r="W526" s="206"/>
      <c r="X526" s="155"/>
      <c r="Y526" s="155"/>
      <c r="Z526" s="155"/>
      <c r="AA526" s="155"/>
      <c r="AB526" s="206"/>
      <c r="AC526" s="155"/>
      <c r="AD526" s="155"/>
      <c r="AE526" s="155"/>
      <c r="AF526" s="155"/>
      <c r="AG526" s="206"/>
      <c r="AH526" s="155"/>
      <c r="AI526" s="155"/>
      <c r="AJ526" s="155"/>
      <c r="AK526" s="155"/>
    </row>
    <row r="527" spans="1:37" s="89" customFormat="1" ht="12.75" customHeight="1">
      <c r="A527" s="67"/>
      <c r="B527" s="378"/>
      <c r="C527" s="206"/>
      <c r="D527" s="155"/>
      <c r="E527" s="155"/>
      <c r="F527" s="155"/>
      <c r="G527" s="155"/>
      <c r="H527" s="206"/>
      <c r="I527" s="155"/>
      <c r="J527" s="155"/>
      <c r="K527" s="155"/>
      <c r="L527" s="155"/>
      <c r="M527" s="206"/>
      <c r="N527" s="155"/>
      <c r="O527" s="155"/>
      <c r="P527" s="155"/>
      <c r="Q527" s="155"/>
      <c r="R527" s="206"/>
      <c r="S527" s="1239"/>
      <c r="T527" s="155"/>
      <c r="U527" s="155"/>
      <c r="V527" s="155"/>
      <c r="W527" s="206"/>
      <c r="X527" s="155"/>
      <c r="Y527" s="155"/>
      <c r="Z527" s="155"/>
      <c r="AA527" s="155"/>
      <c r="AB527" s="206"/>
      <c r="AC527" s="155"/>
      <c r="AD527" s="155"/>
      <c r="AE527" s="155"/>
      <c r="AF527" s="155"/>
      <c r="AG527" s="206"/>
      <c r="AH527" s="155"/>
      <c r="AI527" s="155"/>
      <c r="AJ527" s="155"/>
      <c r="AK527" s="155"/>
    </row>
    <row r="528" spans="1:37" s="89" customFormat="1" ht="12.75" customHeight="1">
      <c r="A528" s="67"/>
      <c r="B528" s="378"/>
      <c r="C528" s="206"/>
      <c r="D528" s="155"/>
      <c r="E528" s="155"/>
      <c r="F528" s="155"/>
      <c r="G528" s="155"/>
      <c r="H528" s="206"/>
      <c r="I528" s="155"/>
      <c r="J528" s="155"/>
      <c r="K528" s="155"/>
      <c r="L528" s="155"/>
      <c r="M528" s="206"/>
      <c r="N528" s="155"/>
      <c r="O528" s="155"/>
      <c r="P528" s="155"/>
      <c r="Q528" s="155"/>
      <c r="R528" s="206"/>
      <c r="S528" s="1239"/>
      <c r="T528" s="155"/>
      <c r="U528" s="155"/>
      <c r="V528" s="155"/>
      <c r="W528" s="206"/>
      <c r="X528" s="155"/>
      <c r="Y528" s="155"/>
      <c r="Z528" s="155"/>
      <c r="AA528" s="155"/>
      <c r="AB528" s="206"/>
      <c r="AC528" s="155"/>
      <c r="AD528" s="155"/>
      <c r="AE528" s="155"/>
      <c r="AF528" s="155"/>
      <c r="AG528" s="206"/>
      <c r="AH528" s="155"/>
      <c r="AI528" s="155"/>
      <c r="AJ528" s="155"/>
      <c r="AK528" s="155"/>
    </row>
    <row r="529" spans="1:37" s="89" customFormat="1" ht="12.75" customHeight="1">
      <c r="A529" s="67"/>
      <c r="B529" s="378"/>
      <c r="C529" s="206"/>
      <c r="D529" s="155"/>
      <c r="E529" s="155"/>
      <c r="F529" s="155"/>
      <c r="G529" s="155"/>
      <c r="H529" s="206"/>
      <c r="I529" s="155"/>
      <c r="J529" s="155"/>
      <c r="K529" s="155"/>
      <c r="L529" s="155"/>
      <c r="M529" s="206"/>
      <c r="N529" s="155"/>
      <c r="O529" s="155"/>
      <c r="P529" s="155"/>
      <c r="Q529" s="155"/>
      <c r="R529" s="206"/>
      <c r="S529" s="1239"/>
      <c r="T529" s="155"/>
      <c r="U529" s="155"/>
      <c r="V529" s="155"/>
      <c r="W529" s="206"/>
      <c r="X529" s="155"/>
      <c r="Y529" s="155"/>
      <c r="Z529" s="155"/>
      <c r="AA529" s="155"/>
      <c r="AB529" s="206"/>
      <c r="AC529" s="155"/>
      <c r="AD529" s="155"/>
      <c r="AE529" s="155"/>
      <c r="AF529" s="155"/>
      <c r="AG529" s="206"/>
      <c r="AH529" s="155"/>
      <c r="AI529" s="155"/>
      <c r="AJ529" s="155"/>
      <c r="AK529" s="155"/>
    </row>
    <row r="530" spans="1:37" s="89" customFormat="1" ht="12.75" customHeight="1">
      <c r="A530" s="67"/>
      <c r="B530" s="378"/>
      <c r="C530" s="155"/>
      <c r="D530" s="155"/>
      <c r="E530" s="155"/>
      <c r="F530" s="155"/>
      <c r="G530" s="155"/>
      <c r="H530" s="155"/>
      <c r="I530" s="155"/>
      <c r="J530" s="155"/>
      <c r="K530" s="155"/>
      <c r="L530" s="155"/>
      <c r="M530" s="155"/>
      <c r="N530" s="155"/>
      <c r="O530" s="155"/>
      <c r="P530" s="155"/>
      <c r="Q530" s="155"/>
      <c r="R530" s="155"/>
      <c r="S530" s="1239"/>
      <c r="T530" s="155"/>
      <c r="U530" s="155"/>
      <c r="V530" s="155"/>
      <c r="W530" s="155"/>
      <c r="X530" s="155"/>
      <c r="Y530" s="155"/>
      <c r="Z530" s="155"/>
      <c r="AA530" s="155"/>
      <c r="AB530" s="155"/>
      <c r="AC530" s="155"/>
      <c r="AD530" s="155"/>
      <c r="AE530" s="155"/>
      <c r="AF530" s="155"/>
      <c r="AG530" s="155"/>
      <c r="AH530" s="155"/>
      <c r="AI530" s="155"/>
      <c r="AJ530" s="155"/>
      <c r="AK530" s="155"/>
    </row>
    <row r="531" spans="1:37" s="89" customFormat="1" ht="12.75" customHeight="1">
      <c r="A531" s="67"/>
      <c r="B531" s="378"/>
      <c r="C531" s="155"/>
      <c r="D531" s="155"/>
      <c r="E531" s="155"/>
      <c r="F531" s="155"/>
      <c r="G531" s="155"/>
      <c r="H531" s="155"/>
      <c r="I531" s="155"/>
      <c r="J531" s="155"/>
      <c r="K531" s="155"/>
      <c r="L531" s="155"/>
      <c r="M531" s="155"/>
      <c r="N531" s="155"/>
      <c r="O531" s="155"/>
      <c r="P531" s="155"/>
      <c r="Q531" s="155"/>
      <c r="R531" s="155"/>
      <c r="S531" s="1239"/>
      <c r="T531" s="155"/>
      <c r="U531" s="155"/>
      <c r="V531" s="155"/>
      <c r="W531" s="155"/>
      <c r="X531" s="155"/>
      <c r="Y531" s="155"/>
      <c r="Z531" s="155"/>
      <c r="AA531" s="155"/>
      <c r="AB531" s="155"/>
      <c r="AC531" s="155"/>
      <c r="AD531" s="155"/>
      <c r="AE531" s="155"/>
      <c r="AF531" s="155"/>
      <c r="AG531" s="155"/>
      <c r="AH531" s="155"/>
      <c r="AI531" s="155"/>
      <c r="AJ531" s="155"/>
      <c r="AK531" s="155"/>
    </row>
    <row r="532" spans="1:37" s="89" customFormat="1" ht="12.75" customHeight="1">
      <c r="A532" s="67"/>
      <c r="B532" s="378"/>
      <c r="C532" s="101"/>
      <c r="D532" s="101"/>
      <c r="E532" s="101"/>
      <c r="F532" s="101"/>
      <c r="G532" s="101"/>
      <c r="H532" s="101"/>
      <c r="I532" s="101"/>
      <c r="J532" s="101"/>
      <c r="K532" s="101"/>
      <c r="L532" s="101"/>
      <c r="M532" s="101"/>
      <c r="N532" s="101"/>
      <c r="O532" s="101"/>
      <c r="P532" s="101"/>
      <c r="Q532" s="101"/>
      <c r="R532" s="101"/>
      <c r="S532" s="686"/>
      <c r="T532" s="101"/>
      <c r="U532" s="101"/>
      <c r="V532" s="101"/>
      <c r="W532" s="101"/>
      <c r="X532" s="101"/>
      <c r="Y532" s="101"/>
      <c r="Z532" s="101"/>
      <c r="AA532" s="101"/>
      <c r="AB532" s="101"/>
      <c r="AC532" s="101"/>
      <c r="AD532" s="101"/>
      <c r="AE532" s="101"/>
      <c r="AF532" s="101"/>
      <c r="AG532" s="101"/>
      <c r="AH532" s="101"/>
      <c r="AI532" s="101"/>
      <c r="AJ532" s="101"/>
      <c r="AK532" s="101"/>
    </row>
    <row r="533" spans="1:37" s="89" customFormat="1" ht="12.75" customHeight="1">
      <c r="A533" s="67"/>
      <c r="B533" s="378"/>
      <c r="C533" s="133"/>
      <c r="D533" s="133"/>
      <c r="E533" s="133"/>
      <c r="F533" s="133"/>
      <c r="G533" s="133"/>
      <c r="H533" s="133"/>
      <c r="I533" s="133"/>
      <c r="J533" s="133"/>
      <c r="K533" s="133"/>
      <c r="L533" s="133"/>
      <c r="M533" s="133"/>
      <c r="N533" s="133"/>
      <c r="O533" s="133"/>
      <c r="P533" s="133"/>
      <c r="Q533" s="133"/>
      <c r="R533" s="133"/>
      <c r="S533" s="1269"/>
      <c r="T533" s="133"/>
      <c r="U533" s="133"/>
      <c r="V533" s="133"/>
      <c r="W533" s="133"/>
      <c r="X533" s="133"/>
      <c r="Y533" s="133"/>
      <c r="Z533" s="133"/>
      <c r="AA533" s="133"/>
      <c r="AB533" s="133"/>
      <c r="AC533" s="133"/>
      <c r="AD533" s="133"/>
      <c r="AE533" s="133"/>
      <c r="AF533" s="133"/>
      <c r="AG533" s="133"/>
      <c r="AH533" s="133"/>
      <c r="AI533" s="133"/>
      <c r="AJ533" s="133"/>
      <c r="AK533" s="133"/>
    </row>
    <row r="534" spans="1:37" s="89" customFormat="1" ht="12.75" customHeight="1">
      <c r="A534" s="67"/>
      <c r="B534" s="378"/>
      <c r="C534" s="215"/>
      <c r="D534" s="215"/>
      <c r="E534" s="215"/>
      <c r="F534" s="215"/>
      <c r="G534" s="215"/>
      <c r="H534" s="215"/>
      <c r="I534" s="215"/>
      <c r="J534" s="215"/>
      <c r="K534" s="215"/>
      <c r="L534" s="215"/>
      <c r="M534" s="215"/>
      <c r="N534" s="215"/>
      <c r="O534" s="215"/>
      <c r="P534" s="215"/>
      <c r="Q534" s="215"/>
      <c r="R534" s="215"/>
      <c r="S534" s="1270"/>
      <c r="T534" s="215"/>
      <c r="U534" s="215"/>
      <c r="V534" s="215"/>
      <c r="W534" s="215"/>
      <c r="X534" s="215"/>
      <c r="Y534" s="215"/>
      <c r="Z534" s="215"/>
      <c r="AA534" s="215"/>
      <c r="AB534" s="215"/>
      <c r="AC534" s="215"/>
      <c r="AD534" s="215"/>
      <c r="AE534" s="215"/>
      <c r="AF534" s="215"/>
      <c r="AG534" s="215"/>
      <c r="AH534" s="215"/>
      <c r="AI534" s="215"/>
      <c r="AJ534" s="215"/>
      <c r="AK534" s="215"/>
    </row>
    <row r="535" spans="1:37" s="89" customFormat="1" ht="12.75" customHeight="1">
      <c r="A535" s="67"/>
      <c r="B535" s="378"/>
      <c r="C535" s="215"/>
      <c r="D535" s="215"/>
      <c r="E535" s="215"/>
      <c r="F535" s="215"/>
      <c r="G535" s="215"/>
      <c r="H535" s="215"/>
      <c r="I535" s="215"/>
      <c r="J535" s="215"/>
      <c r="K535" s="215"/>
      <c r="L535" s="215"/>
      <c r="M535" s="215"/>
      <c r="N535" s="215"/>
      <c r="O535" s="215"/>
      <c r="P535" s="215"/>
      <c r="Q535" s="215"/>
      <c r="R535" s="215"/>
      <c r="S535" s="1270"/>
      <c r="T535" s="215"/>
      <c r="U535" s="215"/>
      <c r="V535" s="215"/>
      <c r="W535" s="215"/>
      <c r="X535" s="215"/>
      <c r="Y535" s="215"/>
      <c r="Z535" s="215"/>
      <c r="AA535" s="215"/>
      <c r="AB535" s="215"/>
      <c r="AC535" s="215"/>
      <c r="AD535" s="215"/>
      <c r="AE535" s="215"/>
      <c r="AF535" s="215"/>
      <c r="AG535" s="215"/>
      <c r="AH535" s="215"/>
      <c r="AI535" s="215"/>
      <c r="AJ535" s="215"/>
      <c r="AK535" s="215"/>
    </row>
    <row r="536" spans="1:37" s="89" customFormat="1" ht="12.75" customHeight="1">
      <c r="A536" s="67"/>
      <c r="B536" s="378"/>
      <c r="C536" s="216"/>
      <c r="D536" s="210"/>
      <c r="E536" s="210"/>
      <c r="F536" s="210"/>
      <c r="G536" s="210"/>
      <c r="H536" s="216"/>
      <c r="I536" s="210"/>
      <c r="J536" s="210"/>
      <c r="K536" s="210"/>
      <c r="L536" s="210"/>
      <c r="M536" s="216"/>
      <c r="N536" s="210"/>
      <c r="O536" s="210"/>
      <c r="P536" s="210"/>
      <c r="Q536" s="210"/>
      <c r="R536" s="216"/>
      <c r="S536" s="1263"/>
      <c r="T536" s="210"/>
      <c r="U536" s="210"/>
      <c r="V536" s="210"/>
      <c r="W536" s="216"/>
      <c r="X536" s="210"/>
      <c r="Y536" s="210"/>
      <c r="Z536" s="210"/>
      <c r="AA536" s="210"/>
      <c r="AB536" s="216"/>
      <c r="AC536" s="210"/>
      <c r="AD536" s="210"/>
      <c r="AE536" s="210"/>
      <c r="AF536" s="210"/>
      <c r="AG536" s="216"/>
      <c r="AH536" s="210"/>
      <c r="AI536" s="210"/>
      <c r="AJ536" s="210"/>
      <c r="AK536" s="210"/>
    </row>
    <row r="537" spans="1:37" s="89" customFormat="1" ht="12.75" customHeight="1">
      <c r="A537" s="67"/>
      <c r="B537" s="378"/>
      <c r="C537" s="217"/>
      <c r="D537" s="217"/>
      <c r="E537" s="217"/>
      <c r="F537" s="217"/>
      <c r="G537" s="217"/>
      <c r="H537" s="217"/>
      <c r="I537" s="217"/>
      <c r="J537" s="217"/>
      <c r="K537" s="217"/>
      <c r="L537" s="217"/>
      <c r="M537" s="217"/>
      <c r="N537" s="217"/>
      <c r="O537" s="217"/>
      <c r="P537" s="217"/>
      <c r="Q537" s="217"/>
      <c r="R537" s="217"/>
      <c r="S537" s="1271"/>
      <c r="T537" s="217"/>
      <c r="U537" s="217"/>
      <c r="V537" s="217"/>
      <c r="W537" s="217"/>
      <c r="X537" s="217"/>
      <c r="Y537" s="217"/>
      <c r="Z537" s="217"/>
      <c r="AA537" s="217"/>
      <c r="AB537" s="217"/>
      <c r="AC537" s="217"/>
      <c r="AD537" s="217"/>
      <c r="AE537" s="217"/>
      <c r="AF537" s="217"/>
      <c r="AG537" s="217"/>
      <c r="AH537" s="217"/>
      <c r="AI537" s="217"/>
      <c r="AJ537" s="217"/>
      <c r="AK537" s="217"/>
    </row>
    <row r="538" spans="1:37" s="89" customFormat="1" ht="12.75" customHeight="1">
      <c r="A538" s="67"/>
      <c r="B538" s="378"/>
      <c r="C538" s="206"/>
      <c r="D538" s="155"/>
      <c r="E538" s="155"/>
      <c r="F538" s="155"/>
      <c r="G538" s="155"/>
      <c r="H538" s="206"/>
      <c r="I538" s="155"/>
      <c r="J538" s="155"/>
      <c r="K538" s="155"/>
      <c r="L538" s="155"/>
      <c r="M538" s="206"/>
      <c r="N538" s="155"/>
      <c r="O538" s="155"/>
      <c r="P538" s="155"/>
      <c r="Q538" s="155"/>
      <c r="R538" s="206"/>
      <c r="S538" s="1239"/>
      <c r="T538" s="155"/>
      <c r="U538" s="155"/>
      <c r="V538" s="155"/>
      <c r="W538" s="206"/>
      <c r="X538" s="155"/>
      <c r="Y538" s="155"/>
      <c r="Z538" s="155"/>
      <c r="AA538" s="155"/>
      <c r="AB538" s="206"/>
      <c r="AC538" s="155"/>
      <c r="AD538" s="155"/>
      <c r="AE538" s="155"/>
      <c r="AF538" s="155"/>
      <c r="AG538" s="206"/>
      <c r="AH538" s="155"/>
      <c r="AI538" s="155"/>
      <c r="AJ538" s="155"/>
      <c r="AK538" s="155"/>
    </row>
    <row r="539" spans="1:37" s="89" customFormat="1" ht="12.75" customHeight="1">
      <c r="A539" s="67"/>
      <c r="B539" s="378"/>
      <c r="C539" s="155"/>
      <c r="D539" s="155"/>
      <c r="E539" s="155"/>
      <c r="F539" s="155"/>
      <c r="G539" s="155"/>
      <c r="H539" s="155"/>
      <c r="I539" s="155"/>
      <c r="J539" s="155"/>
      <c r="K539" s="155"/>
      <c r="L539" s="155"/>
      <c r="M539" s="155"/>
      <c r="N539" s="155"/>
      <c r="O539" s="155"/>
      <c r="P539" s="155"/>
      <c r="Q539" s="155"/>
      <c r="R539" s="155"/>
      <c r="S539" s="1239"/>
      <c r="T539" s="155"/>
      <c r="U539" s="155"/>
      <c r="V539" s="155"/>
      <c r="W539" s="155"/>
      <c r="X539" s="155"/>
      <c r="Y539" s="155"/>
      <c r="Z539" s="155"/>
      <c r="AA539" s="155"/>
      <c r="AB539" s="155"/>
      <c r="AC539" s="155"/>
      <c r="AD539" s="155"/>
      <c r="AE539" s="155"/>
      <c r="AF539" s="155"/>
      <c r="AG539" s="155"/>
      <c r="AH539" s="155"/>
      <c r="AI539" s="155"/>
      <c r="AJ539" s="155"/>
      <c r="AK539" s="155"/>
    </row>
    <row r="540" spans="1:37" s="89" customFormat="1" ht="12.75" customHeight="1">
      <c r="A540" s="67"/>
      <c r="B540" s="378"/>
      <c r="C540" s="155"/>
      <c r="D540" s="155"/>
      <c r="E540" s="155"/>
      <c r="F540" s="155"/>
      <c r="G540" s="155"/>
      <c r="H540" s="155"/>
      <c r="I540" s="155"/>
      <c r="J540" s="155"/>
      <c r="K540" s="155"/>
      <c r="L540" s="155"/>
      <c r="M540" s="155"/>
      <c r="N540" s="155"/>
      <c r="O540" s="155"/>
      <c r="P540" s="155"/>
      <c r="Q540" s="155"/>
      <c r="R540" s="155"/>
      <c r="S540" s="1239"/>
      <c r="T540" s="155"/>
      <c r="U540" s="155"/>
      <c r="V540" s="155"/>
      <c r="W540" s="155"/>
      <c r="X540" s="155"/>
      <c r="Y540" s="155"/>
      <c r="Z540" s="155"/>
      <c r="AA540" s="155"/>
      <c r="AB540" s="155"/>
      <c r="AC540" s="155"/>
      <c r="AD540" s="155"/>
      <c r="AE540" s="155"/>
      <c r="AF540" s="155"/>
      <c r="AG540" s="155"/>
      <c r="AH540" s="155"/>
      <c r="AI540" s="155"/>
      <c r="AJ540" s="155"/>
      <c r="AK540" s="155"/>
    </row>
    <row r="541" spans="1:37" s="89" customFormat="1" ht="12.75" customHeight="1">
      <c r="A541" s="67"/>
      <c r="B541" s="378"/>
      <c r="C541" s="155"/>
      <c r="D541" s="155"/>
      <c r="E541" s="155"/>
      <c r="F541" s="155"/>
      <c r="G541" s="155"/>
      <c r="H541" s="155"/>
      <c r="I541" s="155"/>
      <c r="J541" s="155"/>
      <c r="K541" s="155"/>
      <c r="L541" s="155"/>
      <c r="M541" s="155"/>
      <c r="N541" s="155"/>
      <c r="O541" s="155"/>
      <c r="P541" s="155"/>
      <c r="Q541" s="155"/>
      <c r="R541" s="155"/>
      <c r="S541" s="1239"/>
      <c r="T541" s="155"/>
      <c r="U541" s="155"/>
      <c r="V541" s="155"/>
      <c r="W541" s="155"/>
      <c r="X541" s="155"/>
      <c r="Y541" s="155"/>
      <c r="Z541" s="155"/>
      <c r="AA541" s="155"/>
      <c r="AB541" s="155"/>
      <c r="AC541" s="155"/>
      <c r="AD541" s="155"/>
      <c r="AE541" s="155"/>
      <c r="AF541" s="155"/>
      <c r="AG541" s="155"/>
      <c r="AH541" s="155"/>
      <c r="AI541" s="155"/>
      <c r="AJ541" s="155"/>
      <c r="AK541" s="155"/>
    </row>
    <row r="542" spans="1:37" s="89" customFormat="1" ht="12.75" customHeight="1">
      <c r="A542" s="67"/>
      <c r="B542" s="378"/>
      <c r="C542" s="155"/>
      <c r="D542" s="155"/>
      <c r="E542" s="155"/>
      <c r="F542" s="155"/>
      <c r="G542" s="155"/>
      <c r="H542" s="155"/>
      <c r="I542" s="155"/>
      <c r="J542" s="155"/>
      <c r="K542" s="155"/>
      <c r="L542" s="155"/>
      <c r="M542" s="155"/>
      <c r="N542" s="155"/>
      <c r="O542" s="155"/>
      <c r="P542" s="155"/>
      <c r="Q542" s="155"/>
      <c r="R542" s="155"/>
      <c r="S542" s="1239"/>
      <c r="T542" s="155"/>
      <c r="U542" s="155"/>
      <c r="V542" s="155"/>
      <c r="W542" s="155"/>
      <c r="X542" s="155"/>
      <c r="Y542" s="155"/>
      <c r="Z542" s="155"/>
      <c r="AA542" s="155"/>
      <c r="AB542" s="155"/>
      <c r="AC542" s="155"/>
      <c r="AD542" s="155"/>
      <c r="AE542" s="155"/>
      <c r="AF542" s="155"/>
      <c r="AG542" s="155"/>
      <c r="AH542" s="155"/>
      <c r="AI542" s="155"/>
      <c r="AJ542" s="155"/>
      <c r="AK542" s="155"/>
    </row>
    <row r="543" spans="1:37" s="89" customFormat="1" ht="12.75" customHeight="1">
      <c r="A543" s="67"/>
      <c r="B543" s="378"/>
      <c r="C543" s="155"/>
      <c r="D543" s="155"/>
      <c r="E543" s="155"/>
      <c r="F543" s="155"/>
      <c r="G543" s="155"/>
      <c r="H543" s="155"/>
      <c r="I543" s="155"/>
      <c r="J543" s="155"/>
      <c r="K543" s="155"/>
      <c r="L543" s="155"/>
      <c r="M543" s="155"/>
      <c r="N543" s="155"/>
      <c r="O543" s="155"/>
      <c r="P543" s="155"/>
      <c r="Q543" s="155"/>
      <c r="R543" s="155"/>
      <c r="S543" s="1239"/>
      <c r="T543" s="155"/>
      <c r="U543" s="155"/>
      <c r="V543" s="155"/>
      <c r="W543" s="155"/>
      <c r="X543" s="155"/>
      <c r="Y543" s="155"/>
      <c r="Z543" s="155"/>
      <c r="AA543" s="155"/>
      <c r="AB543" s="155"/>
      <c r="AC543" s="155"/>
      <c r="AD543" s="155"/>
      <c r="AE543" s="155"/>
      <c r="AF543" s="155"/>
      <c r="AG543" s="155"/>
      <c r="AH543" s="155"/>
      <c r="AI543" s="155"/>
      <c r="AJ543" s="155"/>
      <c r="AK543" s="155"/>
    </row>
    <row r="544" spans="1:37" s="89" customFormat="1" ht="12.75" customHeight="1">
      <c r="A544" s="67"/>
      <c r="B544" s="378"/>
      <c r="C544" s="206"/>
      <c r="D544" s="155"/>
      <c r="E544" s="155"/>
      <c r="F544" s="155"/>
      <c r="G544" s="155"/>
      <c r="H544" s="206"/>
      <c r="I544" s="155"/>
      <c r="J544" s="155"/>
      <c r="K544" s="155"/>
      <c r="L544" s="155"/>
      <c r="M544" s="206"/>
      <c r="N544" s="155"/>
      <c r="O544" s="155"/>
      <c r="P544" s="155"/>
      <c r="Q544" s="155"/>
      <c r="R544" s="206"/>
      <c r="S544" s="1239"/>
      <c r="T544" s="155"/>
      <c r="U544" s="155"/>
      <c r="V544" s="155"/>
      <c r="W544" s="206"/>
      <c r="X544" s="155"/>
      <c r="Y544" s="155"/>
      <c r="Z544" s="155"/>
      <c r="AA544" s="155"/>
      <c r="AB544" s="206"/>
      <c r="AC544" s="155"/>
      <c r="AD544" s="155"/>
      <c r="AE544" s="155"/>
      <c r="AF544" s="155"/>
      <c r="AG544" s="206"/>
      <c r="AH544" s="155"/>
      <c r="AI544" s="155"/>
      <c r="AJ544" s="155"/>
      <c r="AK544" s="155"/>
    </row>
    <row r="545" spans="1:37" s="89" customFormat="1" ht="12.75" customHeight="1">
      <c r="A545" s="67"/>
      <c r="B545" s="378"/>
      <c r="C545" s="216"/>
      <c r="D545" s="210"/>
      <c r="E545" s="210"/>
      <c r="F545" s="210"/>
      <c r="G545" s="210"/>
      <c r="H545" s="216"/>
      <c r="I545" s="210"/>
      <c r="J545" s="210"/>
      <c r="K545" s="210"/>
      <c r="L545" s="210"/>
      <c r="M545" s="216"/>
      <c r="N545" s="210"/>
      <c r="O545" s="210"/>
      <c r="P545" s="210"/>
      <c r="Q545" s="210"/>
      <c r="R545" s="216"/>
      <c r="S545" s="1263"/>
      <c r="T545" s="210"/>
      <c r="U545" s="210"/>
      <c r="V545" s="210"/>
      <c r="W545" s="216"/>
      <c r="X545" s="210"/>
      <c r="Y545" s="210"/>
      <c r="Z545" s="210"/>
      <c r="AA545" s="210"/>
      <c r="AB545" s="216"/>
      <c r="AC545" s="210"/>
      <c r="AD545" s="210"/>
      <c r="AE545" s="210"/>
      <c r="AF545" s="210"/>
      <c r="AG545" s="216"/>
      <c r="AH545" s="210"/>
      <c r="AI545" s="210"/>
      <c r="AJ545" s="210"/>
      <c r="AK545" s="210"/>
    </row>
    <row r="546" spans="1:37" s="89" customFormat="1" ht="12.75" customHeight="1">
      <c r="A546" s="67"/>
      <c r="B546" s="378"/>
      <c r="C546" s="217"/>
      <c r="D546" s="217"/>
      <c r="E546" s="217"/>
      <c r="F546" s="217"/>
      <c r="G546" s="217"/>
      <c r="H546" s="217"/>
      <c r="I546" s="217"/>
      <c r="J546" s="217"/>
      <c r="K546" s="217"/>
      <c r="L546" s="217"/>
      <c r="M546" s="217"/>
      <c r="N546" s="217"/>
      <c r="O546" s="217"/>
      <c r="P546" s="217"/>
      <c r="Q546" s="217"/>
      <c r="R546" s="217"/>
      <c r="S546" s="1271"/>
      <c r="T546" s="217"/>
      <c r="U546" s="217"/>
      <c r="V546" s="217"/>
      <c r="W546" s="217"/>
      <c r="X546" s="217"/>
      <c r="Y546" s="217"/>
      <c r="Z546" s="217"/>
      <c r="AA546" s="217"/>
      <c r="AB546" s="217"/>
      <c r="AC546" s="217"/>
      <c r="AD546" s="217"/>
      <c r="AE546" s="217"/>
      <c r="AF546" s="217"/>
      <c r="AG546" s="217"/>
      <c r="AH546" s="217"/>
      <c r="AI546" s="217"/>
      <c r="AJ546" s="217"/>
      <c r="AK546" s="217"/>
    </row>
    <row r="547" spans="1:37" s="89" customFormat="1" ht="12.75" customHeight="1">
      <c r="A547" s="67"/>
      <c r="B547" s="378"/>
      <c r="C547" s="217"/>
      <c r="D547" s="217"/>
      <c r="E547" s="217"/>
      <c r="F547" s="217"/>
      <c r="G547" s="217"/>
      <c r="H547" s="217"/>
      <c r="I547" s="217"/>
      <c r="J547" s="217"/>
      <c r="K547" s="217"/>
      <c r="L547" s="217"/>
      <c r="M547" s="217"/>
      <c r="N547" s="217"/>
      <c r="O547" s="217"/>
      <c r="P547" s="217"/>
      <c r="Q547" s="217"/>
      <c r="R547" s="217"/>
      <c r="S547" s="1271"/>
      <c r="T547" s="217"/>
      <c r="U547" s="217"/>
      <c r="V547" s="217"/>
      <c r="W547" s="217"/>
      <c r="X547" s="217"/>
      <c r="Y547" s="217"/>
      <c r="Z547" s="217"/>
      <c r="AA547" s="217"/>
      <c r="AB547" s="217"/>
      <c r="AC547" s="217"/>
      <c r="AD547" s="217"/>
      <c r="AE547" s="217"/>
      <c r="AF547" s="217"/>
      <c r="AG547" s="217"/>
      <c r="AH547" s="217"/>
      <c r="AI547" s="217"/>
      <c r="AJ547" s="217"/>
      <c r="AK547" s="217"/>
    </row>
    <row r="548" spans="1:37" s="89" customFormat="1" ht="12.75" customHeight="1">
      <c r="A548" s="67"/>
      <c r="B548" s="378"/>
      <c r="C548" s="218"/>
      <c r="D548" s="218"/>
      <c r="E548" s="218"/>
      <c r="F548" s="218"/>
      <c r="G548" s="218"/>
      <c r="H548" s="218"/>
      <c r="I548" s="218"/>
      <c r="J548" s="218"/>
      <c r="K548" s="218"/>
      <c r="L548" s="218"/>
      <c r="M548" s="218"/>
      <c r="N548" s="218"/>
      <c r="O548" s="218"/>
      <c r="P548" s="218"/>
      <c r="Q548" s="218"/>
      <c r="R548" s="218"/>
      <c r="S548" s="1272"/>
      <c r="T548" s="218"/>
      <c r="U548" s="218"/>
      <c r="V548" s="218"/>
      <c r="W548" s="218"/>
      <c r="X548" s="218"/>
      <c r="Y548" s="218"/>
      <c r="Z548" s="218"/>
      <c r="AA548" s="218"/>
      <c r="AB548" s="218"/>
      <c r="AC548" s="218"/>
      <c r="AD548" s="218"/>
      <c r="AE548" s="218"/>
      <c r="AF548" s="218"/>
      <c r="AG548" s="218"/>
      <c r="AH548" s="218"/>
      <c r="AI548" s="218"/>
      <c r="AJ548" s="218"/>
      <c r="AK548" s="218"/>
    </row>
    <row r="549" spans="1:37" s="89" customFormat="1" ht="12.75" customHeight="1">
      <c r="A549" s="67"/>
      <c r="B549" s="378"/>
      <c r="C549" s="218"/>
      <c r="D549" s="218"/>
      <c r="E549" s="218"/>
      <c r="F549" s="218"/>
      <c r="G549" s="218"/>
      <c r="H549" s="218"/>
      <c r="I549" s="218"/>
      <c r="J549" s="218"/>
      <c r="K549" s="218"/>
      <c r="L549" s="218"/>
      <c r="M549" s="218"/>
      <c r="N549" s="218"/>
      <c r="O549" s="218"/>
      <c r="P549" s="218"/>
      <c r="Q549" s="218"/>
      <c r="R549" s="218"/>
      <c r="S549" s="1272"/>
      <c r="T549" s="218"/>
      <c r="U549" s="218"/>
      <c r="V549" s="218"/>
      <c r="W549" s="218"/>
      <c r="X549" s="218"/>
      <c r="Y549" s="218"/>
      <c r="Z549" s="218"/>
      <c r="AA549" s="218"/>
      <c r="AB549" s="218"/>
      <c r="AC549" s="218"/>
      <c r="AD549" s="218"/>
      <c r="AE549" s="218"/>
      <c r="AF549" s="218"/>
      <c r="AG549" s="218"/>
      <c r="AH549" s="218"/>
      <c r="AI549" s="218"/>
      <c r="AJ549" s="218"/>
      <c r="AK549" s="218"/>
    </row>
    <row r="550" spans="1:37" s="89" customFormat="1" ht="12.75" customHeight="1">
      <c r="A550" s="67"/>
      <c r="B550" s="378"/>
      <c r="C550" s="217"/>
      <c r="D550" s="217"/>
      <c r="E550" s="217"/>
      <c r="F550" s="217"/>
      <c r="G550" s="217"/>
      <c r="H550" s="217"/>
      <c r="I550" s="217"/>
      <c r="J550" s="217"/>
      <c r="K550" s="217"/>
      <c r="L550" s="217"/>
      <c r="M550" s="217"/>
      <c r="N550" s="217"/>
      <c r="O550" s="217"/>
      <c r="P550" s="217"/>
      <c r="Q550" s="217"/>
      <c r="R550" s="217"/>
      <c r="S550" s="1271"/>
      <c r="T550" s="217"/>
      <c r="U550" s="217"/>
      <c r="V550" s="217"/>
      <c r="W550" s="217"/>
      <c r="X550" s="217"/>
      <c r="Y550" s="217"/>
      <c r="Z550" s="217"/>
      <c r="AA550" s="217"/>
      <c r="AB550" s="217"/>
      <c r="AC550" s="217"/>
      <c r="AD550" s="217"/>
      <c r="AE550" s="217"/>
      <c r="AF550" s="217"/>
      <c r="AG550" s="217"/>
      <c r="AH550" s="217"/>
      <c r="AI550" s="217"/>
      <c r="AJ550" s="217"/>
      <c r="AK550" s="217"/>
    </row>
    <row r="551" spans="1:37" s="89" customFormat="1" ht="12.75" customHeight="1">
      <c r="A551" s="67"/>
      <c r="B551" s="378"/>
      <c r="C551" s="218"/>
      <c r="D551" s="218"/>
      <c r="E551" s="218"/>
      <c r="F551" s="218"/>
      <c r="G551" s="218"/>
      <c r="H551" s="218"/>
      <c r="I551" s="218"/>
      <c r="J551" s="218"/>
      <c r="K551" s="218"/>
      <c r="L551" s="218"/>
      <c r="M551" s="218"/>
      <c r="N551" s="218"/>
      <c r="O551" s="218"/>
      <c r="P551" s="218"/>
      <c r="Q551" s="218"/>
      <c r="R551" s="218"/>
      <c r="S551" s="1272"/>
      <c r="T551" s="218"/>
      <c r="U551" s="218"/>
      <c r="V551" s="218"/>
      <c r="W551" s="218"/>
      <c r="X551" s="218"/>
      <c r="Y551" s="218"/>
      <c r="Z551" s="218"/>
      <c r="AA551" s="218"/>
      <c r="AB551" s="218"/>
      <c r="AC551" s="218"/>
      <c r="AD551" s="218"/>
      <c r="AE551" s="218"/>
      <c r="AF551" s="218"/>
      <c r="AG551" s="218"/>
      <c r="AH551" s="218"/>
      <c r="AI551" s="218"/>
      <c r="AJ551" s="218"/>
      <c r="AK551" s="218"/>
    </row>
    <row r="552" spans="1:37" s="89" customFormat="1" ht="12.75" customHeight="1">
      <c r="A552" s="67"/>
      <c r="B552" s="378"/>
      <c r="C552" s="218"/>
      <c r="D552" s="218"/>
      <c r="E552" s="218"/>
      <c r="F552" s="218"/>
      <c r="G552" s="218"/>
      <c r="H552" s="218"/>
      <c r="I552" s="218"/>
      <c r="J552" s="218"/>
      <c r="K552" s="218"/>
      <c r="L552" s="218"/>
      <c r="M552" s="218"/>
      <c r="N552" s="218"/>
      <c r="O552" s="218"/>
      <c r="P552" s="218"/>
      <c r="Q552" s="218"/>
      <c r="R552" s="218"/>
      <c r="S552" s="1272"/>
      <c r="T552" s="218"/>
      <c r="U552" s="218"/>
      <c r="V552" s="218"/>
      <c r="W552" s="218"/>
      <c r="X552" s="218"/>
      <c r="Y552" s="218"/>
      <c r="Z552" s="218"/>
      <c r="AA552" s="218"/>
      <c r="AB552" s="218"/>
      <c r="AC552" s="218"/>
      <c r="AD552" s="218"/>
      <c r="AE552" s="218"/>
      <c r="AF552" s="218"/>
      <c r="AG552" s="218"/>
      <c r="AH552" s="218"/>
      <c r="AI552" s="218"/>
      <c r="AJ552" s="218"/>
      <c r="AK552" s="218"/>
    </row>
    <row r="553" spans="1:37" s="89" customFormat="1" ht="12.75" customHeight="1">
      <c r="A553" s="67"/>
      <c r="B553" s="378"/>
      <c r="C553" s="217"/>
      <c r="D553" s="217"/>
      <c r="E553" s="217"/>
      <c r="F553" s="217"/>
      <c r="G553" s="217"/>
      <c r="H553" s="217"/>
      <c r="I553" s="217"/>
      <c r="J553" s="217"/>
      <c r="K553" s="217"/>
      <c r="L553" s="217"/>
      <c r="M553" s="217"/>
      <c r="N553" s="217"/>
      <c r="O553" s="217"/>
      <c r="P553" s="217"/>
      <c r="Q553" s="217"/>
      <c r="R553" s="217"/>
      <c r="S553" s="1271"/>
      <c r="T553" s="217"/>
      <c r="U553" s="217"/>
      <c r="V553" s="217"/>
      <c r="W553" s="217"/>
      <c r="X553" s="217"/>
      <c r="Y553" s="217"/>
      <c r="Z553" s="217"/>
      <c r="AA553" s="217"/>
      <c r="AB553" s="217"/>
      <c r="AC553" s="217"/>
      <c r="AD553" s="217"/>
      <c r="AE553" s="217"/>
      <c r="AF553" s="217"/>
      <c r="AG553" s="217"/>
      <c r="AH553" s="217"/>
      <c r="AI553" s="217"/>
      <c r="AJ553" s="217"/>
      <c r="AK553" s="217"/>
    </row>
    <row r="554" spans="1:37" s="89" customFormat="1" ht="12.75" customHeight="1">
      <c r="A554" s="67"/>
      <c r="B554" s="378"/>
      <c r="C554" s="206"/>
      <c r="D554" s="155"/>
      <c r="E554" s="155"/>
      <c r="F554" s="155"/>
      <c r="G554" s="155"/>
      <c r="H554" s="206"/>
      <c r="I554" s="155"/>
      <c r="J554" s="155"/>
      <c r="K554" s="155"/>
      <c r="L554" s="155"/>
      <c r="M554" s="206"/>
      <c r="N554" s="155"/>
      <c r="O554" s="155"/>
      <c r="P554" s="155"/>
      <c r="Q554" s="155"/>
      <c r="R554" s="206"/>
      <c r="S554" s="1239"/>
      <c r="T554" s="155"/>
      <c r="U554" s="155"/>
      <c r="V554" s="155"/>
      <c r="W554" s="206"/>
      <c r="X554" s="155"/>
      <c r="Y554" s="155"/>
      <c r="Z554" s="155"/>
      <c r="AA554" s="155"/>
      <c r="AB554" s="206"/>
      <c r="AC554" s="155"/>
      <c r="AD554" s="155"/>
      <c r="AE554" s="155"/>
      <c r="AF554" s="155"/>
      <c r="AG554" s="206"/>
      <c r="AH554" s="155"/>
      <c r="AI554" s="155"/>
      <c r="AJ554" s="155"/>
      <c r="AK554" s="155"/>
    </row>
    <row r="555" spans="1:37" s="89" customFormat="1" ht="12.75" customHeight="1">
      <c r="A555" s="67"/>
      <c r="B555" s="378"/>
      <c r="C555" s="184"/>
      <c r="D555" s="184"/>
      <c r="E555" s="184"/>
      <c r="F555" s="184"/>
      <c r="G555" s="184"/>
      <c r="H555" s="184"/>
      <c r="I555" s="184"/>
      <c r="J555" s="184"/>
      <c r="K555" s="184"/>
      <c r="L555" s="184"/>
      <c r="M555" s="184"/>
      <c r="N555" s="184"/>
      <c r="O555" s="184"/>
      <c r="P555" s="184"/>
      <c r="Q555" s="184"/>
      <c r="R555" s="184"/>
      <c r="S555" s="1268"/>
      <c r="T555" s="184"/>
      <c r="U555" s="184"/>
      <c r="V555" s="184"/>
      <c r="W555" s="184"/>
      <c r="X555" s="184"/>
      <c r="Y555" s="184"/>
      <c r="Z555" s="184"/>
      <c r="AA555" s="184"/>
      <c r="AB555" s="184"/>
      <c r="AC555" s="184"/>
      <c r="AD555" s="184"/>
      <c r="AE555" s="184"/>
      <c r="AF555" s="184"/>
      <c r="AG555" s="184"/>
      <c r="AH555" s="184"/>
      <c r="AI555" s="184"/>
      <c r="AJ555" s="184"/>
      <c r="AK555" s="184"/>
    </row>
    <row r="556" spans="1:37" s="89" customFormat="1" ht="12.75" customHeight="1">
      <c r="A556" s="67"/>
      <c r="B556" s="378"/>
      <c r="C556" s="155"/>
      <c r="D556" s="155"/>
      <c r="E556" s="155"/>
      <c r="F556" s="155"/>
      <c r="G556" s="155"/>
      <c r="H556" s="155"/>
      <c r="I556" s="155"/>
      <c r="J556" s="155"/>
      <c r="K556" s="155"/>
      <c r="L556" s="155"/>
      <c r="M556" s="155"/>
      <c r="N556" s="155"/>
      <c r="O556" s="155"/>
      <c r="P556" s="155"/>
      <c r="Q556" s="155"/>
      <c r="R556" s="155"/>
      <c r="S556" s="1239"/>
      <c r="T556" s="155"/>
      <c r="U556" s="155"/>
      <c r="V556" s="155"/>
      <c r="W556" s="155"/>
      <c r="X556" s="155"/>
      <c r="Y556" s="155"/>
      <c r="Z556" s="155"/>
      <c r="AA556" s="155"/>
      <c r="AB556" s="155"/>
      <c r="AC556" s="155"/>
      <c r="AD556" s="155"/>
      <c r="AE556" s="155"/>
      <c r="AF556" s="155"/>
      <c r="AG556" s="155"/>
      <c r="AH556" s="155"/>
      <c r="AI556" s="155"/>
      <c r="AJ556" s="155"/>
      <c r="AK556" s="155"/>
    </row>
    <row r="557" spans="1:37" s="89" customFormat="1" ht="12.75" customHeight="1">
      <c r="A557" s="67"/>
      <c r="B557" s="378"/>
      <c r="C557" s="155"/>
      <c r="D557" s="155"/>
      <c r="E557" s="155"/>
      <c r="F557" s="155"/>
      <c r="G557" s="155"/>
      <c r="H557" s="155"/>
      <c r="I557" s="155"/>
      <c r="J557" s="155"/>
      <c r="K557" s="155"/>
      <c r="L557" s="155"/>
      <c r="M557" s="155"/>
      <c r="N557" s="155"/>
      <c r="O557" s="155"/>
      <c r="P557" s="155"/>
      <c r="Q557" s="155"/>
      <c r="R557" s="155"/>
      <c r="S557" s="1239"/>
      <c r="T557" s="155"/>
      <c r="U557" s="155"/>
      <c r="V557" s="155"/>
      <c r="W557" s="155"/>
      <c r="X557" s="155"/>
      <c r="Y557" s="155"/>
      <c r="Z557" s="155"/>
      <c r="AA557" s="155"/>
      <c r="AB557" s="155"/>
      <c r="AC557" s="155"/>
      <c r="AD557" s="155"/>
      <c r="AE557" s="155"/>
      <c r="AF557" s="155"/>
      <c r="AG557" s="155"/>
      <c r="AH557" s="155"/>
      <c r="AI557" s="155"/>
      <c r="AJ557" s="155"/>
      <c r="AK557" s="155"/>
    </row>
    <row r="558" spans="1:37" s="89" customFormat="1" ht="12.75" customHeight="1">
      <c r="A558" s="67"/>
      <c r="B558" s="378"/>
      <c r="C558" s="155"/>
      <c r="D558" s="155"/>
      <c r="E558" s="155"/>
      <c r="F558" s="155"/>
      <c r="G558" s="155"/>
      <c r="H558" s="155"/>
      <c r="I558" s="155"/>
      <c r="J558" s="155"/>
      <c r="K558" s="155"/>
      <c r="L558" s="155"/>
      <c r="M558" s="155"/>
      <c r="N558" s="155"/>
      <c r="O558" s="155"/>
      <c r="P558" s="155"/>
      <c r="Q558" s="155"/>
      <c r="R558" s="155"/>
      <c r="S558" s="1239"/>
      <c r="T558" s="155"/>
      <c r="U558" s="155"/>
      <c r="V558" s="155"/>
      <c r="W558" s="155"/>
      <c r="X558" s="155"/>
      <c r="Y558" s="155"/>
      <c r="Z558" s="155"/>
      <c r="AA558" s="155"/>
      <c r="AB558" s="155"/>
      <c r="AC558" s="155"/>
      <c r="AD558" s="155"/>
      <c r="AE558" s="155"/>
      <c r="AF558" s="155"/>
      <c r="AG558" s="155"/>
      <c r="AH558" s="155"/>
      <c r="AI558" s="155"/>
      <c r="AJ558" s="155"/>
      <c r="AK558" s="155"/>
    </row>
    <row r="559" spans="1:37" s="89" customFormat="1" ht="12.75" customHeight="1">
      <c r="A559" s="67"/>
      <c r="B559" s="378"/>
      <c r="C559" s="155"/>
      <c r="D559" s="155"/>
      <c r="E559" s="155"/>
      <c r="F559" s="155"/>
      <c r="G559" s="155"/>
      <c r="H559" s="155"/>
      <c r="I559" s="155"/>
      <c r="J559" s="155"/>
      <c r="K559" s="155"/>
      <c r="L559" s="155"/>
      <c r="M559" s="155"/>
      <c r="N559" s="155"/>
      <c r="O559" s="155"/>
      <c r="P559" s="155"/>
      <c r="Q559" s="155"/>
      <c r="R559" s="155"/>
      <c r="S559" s="1239"/>
      <c r="T559" s="155"/>
      <c r="U559" s="155"/>
      <c r="V559" s="155"/>
      <c r="W559" s="155"/>
      <c r="X559" s="155"/>
      <c r="Y559" s="155"/>
      <c r="Z559" s="155"/>
      <c r="AA559" s="155"/>
      <c r="AB559" s="155"/>
      <c r="AC559" s="155"/>
      <c r="AD559" s="155"/>
      <c r="AE559" s="155"/>
      <c r="AF559" s="155"/>
      <c r="AG559" s="155"/>
      <c r="AH559" s="155"/>
      <c r="AI559" s="155"/>
      <c r="AJ559" s="155"/>
      <c r="AK559" s="155"/>
    </row>
    <row r="560" spans="1:37" s="89" customFormat="1" ht="12.75" customHeight="1">
      <c r="A560" s="67"/>
      <c r="B560" s="378"/>
      <c r="C560" s="206"/>
      <c r="D560" s="155"/>
      <c r="E560" s="155"/>
      <c r="F560" s="155"/>
      <c r="G560" s="155"/>
      <c r="H560" s="206"/>
      <c r="I560" s="155"/>
      <c r="J560" s="155"/>
      <c r="K560" s="155"/>
      <c r="L560" s="155"/>
      <c r="M560" s="206"/>
      <c r="N560" s="155"/>
      <c r="O560" s="155"/>
      <c r="P560" s="155"/>
      <c r="Q560" s="155"/>
      <c r="R560" s="206"/>
      <c r="S560" s="1239"/>
      <c r="T560" s="155"/>
      <c r="U560" s="155"/>
      <c r="V560" s="155"/>
      <c r="W560" s="206"/>
      <c r="X560" s="155"/>
      <c r="Y560" s="155"/>
      <c r="Z560" s="155"/>
      <c r="AA560" s="155"/>
      <c r="AB560" s="206"/>
      <c r="AC560" s="155"/>
      <c r="AD560" s="155"/>
      <c r="AE560" s="155"/>
      <c r="AF560" s="155"/>
      <c r="AG560" s="206"/>
      <c r="AH560" s="155"/>
      <c r="AI560" s="155"/>
      <c r="AJ560" s="155"/>
      <c r="AK560" s="155"/>
    </row>
    <row r="561" spans="1:37" s="89" customFormat="1" ht="12.75" customHeight="1">
      <c r="A561" s="67"/>
      <c r="B561" s="378"/>
      <c r="C561" s="206"/>
      <c r="D561" s="155"/>
      <c r="E561" s="155"/>
      <c r="F561" s="155"/>
      <c r="G561" s="155"/>
      <c r="H561" s="206"/>
      <c r="I561" s="155"/>
      <c r="J561" s="155"/>
      <c r="K561" s="155"/>
      <c r="L561" s="155"/>
      <c r="M561" s="206"/>
      <c r="N561" s="155"/>
      <c r="O561" s="155"/>
      <c r="P561" s="155"/>
      <c r="Q561" s="155"/>
      <c r="R561" s="206"/>
      <c r="S561" s="1239"/>
      <c r="T561" s="155"/>
      <c r="U561" s="155"/>
      <c r="V561" s="155"/>
      <c r="W561" s="206"/>
      <c r="X561" s="155"/>
      <c r="Y561" s="155"/>
      <c r="Z561" s="155"/>
      <c r="AA561" s="155"/>
      <c r="AB561" s="206"/>
      <c r="AC561" s="155"/>
      <c r="AD561" s="155"/>
      <c r="AE561" s="155"/>
      <c r="AF561" s="155"/>
      <c r="AG561" s="206"/>
      <c r="AH561" s="155"/>
      <c r="AI561" s="155"/>
      <c r="AJ561" s="155"/>
      <c r="AK561" s="155"/>
    </row>
    <row r="562" spans="1:37" s="89" customFormat="1" ht="12.75" customHeight="1">
      <c r="A562" s="67"/>
      <c r="B562" s="378"/>
      <c r="C562" s="206"/>
      <c r="D562" s="155"/>
      <c r="E562" s="155"/>
      <c r="F562" s="155"/>
      <c r="G562" s="155"/>
      <c r="H562" s="206"/>
      <c r="I562" s="155"/>
      <c r="J562" s="155"/>
      <c r="K562" s="155"/>
      <c r="L562" s="155"/>
      <c r="M562" s="206"/>
      <c r="N562" s="155"/>
      <c r="O562" s="155"/>
      <c r="P562" s="155"/>
      <c r="Q562" s="155"/>
      <c r="R562" s="206"/>
      <c r="S562" s="1239"/>
      <c r="T562" s="155"/>
      <c r="U562" s="155"/>
      <c r="V562" s="155"/>
      <c r="W562" s="206"/>
      <c r="X562" s="155"/>
      <c r="Y562" s="155"/>
      <c r="Z562" s="155"/>
      <c r="AA562" s="155"/>
      <c r="AB562" s="206"/>
      <c r="AC562" s="155"/>
      <c r="AD562" s="155"/>
      <c r="AE562" s="155"/>
      <c r="AF562" s="155"/>
      <c r="AG562" s="206"/>
      <c r="AH562" s="155"/>
      <c r="AI562" s="155"/>
      <c r="AJ562" s="155"/>
      <c r="AK562" s="155"/>
    </row>
    <row r="563" spans="1:37" s="89" customFormat="1" ht="12.75" customHeight="1">
      <c r="A563" s="67"/>
      <c r="B563" s="378"/>
      <c r="C563" s="206"/>
      <c r="D563" s="155"/>
      <c r="E563" s="155"/>
      <c r="F563" s="155"/>
      <c r="G563" s="155"/>
      <c r="H563" s="206"/>
      <c r="I563" s="155"/>
      <c r="J563" s="155"/>
      <c r="K563" s="155"/>
      <c r="L563" s="155"/>
      <c r="M563" s="206"/>
      <c r="N563" s="155"/>
      <c r="O563" s="155"/>
      <c r="P563" s="155"/>
      <c r="Q563" s="155"/>
      <c r="R563" s="206"/>
      <c r="S563" s="1239"/>
      <c r="T563" s="155"/>
      <c r="U563" s="155"/>
      <c r="V563" s="155"/>
      <c r="W563" s="206"/>
      <c r="X563" s="155"/>
      <c r="Y563" s="155"/>
      <c r="Z563" s="155"/>
      <c r="AA563" s="155"/>
      <c r="AB563" s="206"/>
      <c r="AC563" s="155"/>
      <c r="AD563" s="155"/>
      <c r="AE563" s="155"/>
      <c r="AF563" s="155"/>
      <c r="AG563" s="206"/>
      <c r="AH563" s="155"/>
      <c r="AI563" s="155"/>
      <c r="AJ563" s="155"/>
      <c r="AK563" s="155"/>
    </row>
    <row r="564" spans="1:37" s="89" customFormat="1" ht="12.75" customHeight="1">
      <c r="A564" s="67"/>
      <c r="B564" s="378"/>
      <c r="C564" s="206"/>
      <c r="D564" s="155"/>
      <c r="E564" s="155"/>
      <c r="F564" s="155"/>
      <c r="G564" s="155"/>
      <c r="H564" s="206"/>
      <c r="I564" s="155"/>
      <c r="J564" s="155"/>
      <c r="K564" s="155"/>
      <c r="L564" s="155"/>
      <c r="M564" s="206"/>
      <c r="N564" s="155"/>
      <c r="O564" s="155"/>
      <c r="P564" s="155"/>
      <c r="Q564" s="155"/>
      <c r="R564" s="206"/>
      <c r="S564" s="1239"/>
      <c r="T564" s="155"/>
      <c r="U564" s="155"/>
      <c r="V564" s="155"/>
      <c r="W564" s="206"/>
      <c r="X564" s="155"/>
      <c r="Y564" s="155"/>
      <c r="Z564" s="155"/>
      <c r="AA564" s="155"/>
      <c r="AB564" s="206"/>
      <c r="AC564" s="155"/>
      <c r="AD564" s="155"/>
      <c r="AE564" s="155"/>
      <c r="AF564" s="155"/>
      <c r="AG564" s="206"/>
      <c r="AH564" s="155"/>
      <c r="AI564" s="155"/>
      <c r="AJ564" s="155"/>
      <c r="AK564" s="155"/>
    </row>
    <row r="565" spans="1:37" s="89" customFormat="1" ht="12.75" customHeight="1">
      <c r="A565" s="67"/>
      <c r="B565" s="378"/>
      <c r="C565" s="206"/>
      <c r="D565" s="155"/>
      <c r="E565" s="155"/>
      <c r="F565" s="155"/>
      <c r="G565" s="155"/>
      <c r="H565" s="206"/>
      <c r="I565" s="155"/>
      <c r="J565" s="155"/>
      <c r="K565" s="155"/>
      <c r="L565" s="155"/>
      <c r="M565" s="206"/>
      <c r="N565" s="155"/>
      <c r="O565" s="155"/>
      <c r="P565" s="155"/>
      <c r="Q565" s="155"/>
      <c r="R565" s="206"/>
      <c r="S565" s="1239"/>
      <c r="T565" s="155"/>
      <c r="U565" s="155"/>
      <c r="V565" s="155"/>
      <c r="W565" s="206"/>
      <c r="X565" s="155"/>
      <c r="Y565" s="155"/>
      <c r="Z565" s="155"/>
      <c r="AA565" s="155"/>
      <c r="AB565" s="206"/>
      <c r="AC565" s="155"/>
      <c r="AD565" s="155"/>
      <c r="AE565" s="155"/>
      <c r="AF565" s="155"/>
      <c r="AG565" s="206"/>
      <c r="AH565" s="155"/>
      <c r="AI565" s="155"/>
      <c r="AJ565" s="155"/>
      <c r="AK565" s="155"/>
    </row>
    <row r="566" spans="1:37" s="89" customFormat="1" ht="12.75" customHeight="1">
      <c r="A566" s="67"/>
      <c r="B566" s="378"/>
      <c r="C566" s="219"/>
      <c r="D566" s="219"/>
      <c r="E566" s="219"/>
      <c r="F566" s="219"/>
      <c r="G566" s="219"/>
      <c r="H566" s="219"/>
      <c r="I566" s="219"/>
      <c r="J566" s="219"/>
      <c r="K566" s="219"/>
      <c r="L566" s="219"/>
      <c r="M566" s="219"/>
      <c r="N566" s="219"/>
      <c r="O566" s="219"/>
      <c r="P566" s="219"/>
      <c r="Q566" s="219"/>
      <c r="R566" s="219"/>
      <c r="S566" s="1273"/>
      <c r="T566" s="219"/>
      <c r="U566" s="219"/>
      <c r="V566" s="219"/>
      <c r="W566" s="219"/>
      <c r="X566" s="219"/>
      <c r="Y566" s="219"/>
      <c r="Z566" s="219"/>
      <c r="AA566" s="219"/>
      <c r="AB566" s="219"/>
      <c r="AC566" s="219"/>
      <c r="AD566" s="219"/>
      <c r="AE566" s="219"/>
      <c r="AF566" s="219"/>
      <c r="AG566" s="219"/>
      <c r="AH566" s="219"/>
      <c r="AI566" s="219"/>
      <c r="AJ566" s="219"/>
      <c r="AK566" s="219"/>
    </row>
    <row r="567" spans="1:37" s="89" customFormat="1" ht="12.75" customHeight="1">
      <c r="A567" s="67"/>
      <c r="B567" s="378"/>
      <c r="C567" s="206"/>
      <c r="D567" s="155"/>
      <c r="E567" s="155"/>
      <c r="F567" s="155"/>
      <c r="G567" s="155"/>
      <c r="H567" s="206"/>
      <c r="I567" s="155"/>
      <c r="J567" s="155"/>
      <c r="K567" s="155"/>
      <c r="L567" s="155"/>
      <c r="M567" s="206"/>
      <c r="N567" s="155"/>
      <c r="O567" s="155"/>
      <c r="P567" s="155"/>
      <c r="Q567" s="155"/>
      <c r="R567" s="206"/>
      <c r="S567" s="1239"/>
      <c r="T567" s="155"/>
      <c r="U567" s="155"/>
      <c r="V567" s="155"/>
      <c r="W567" s="206"/>
      <c r="X567" s="155"/>
      <c r="Y567" s="155"/>
      <c r="Z567" s="155"/>
      <c r="AA567" s="155"/>
      <c r="AB567" s="206"/>
      <c r="AC567" s="155"/>
      <c r="AD567" s="155"/>
      <c r="AE567" s="155"/>
      <c r="AF567" s="155"/>
      <c r="AG567" s="206"/>
      <c r="AH567" s="155"/>
      <c r="AI567" s="155"/>
      <c r="AJ567" s="155"/>
      <c r="AK567" s="155"/>
    </row>
    <row r="568" spans="1:37" s="89" customFormat="1" ht="12.75" customHeight="1">
      <c r="A568" s="67"/>
      <c r="B568" s="378"/>
      <c r="C568" s="206"/>
      <c r="D568" s="155"/>
      <c r="E568" s="155"/>
      <c r="F568" s="155"/>
      <c r="G568" s="155"/>
      <c r="H568" s="206"/>
      <c r="I568" s="155"/>
      <c r="J568" s="155"/>
      <c r="K568" s="155"/>
      <c r="L568" s="155"/>
      <c r="M568" s="206"/>
      <c r="N568" s="155"/>
      <c r="O568" s="155"/>
      <c r="P568" s="155"/>
      <c r="Q568" s="155"/>
      <c r="R568" s="206"/>
      <c r="S568" s="1239"/>
      <c r="T568" s="155"/>
      <c r="U568" s="155"/>
      <c r="V568" s="155"/>
      <c r="W568" s="206"/>
      <c r="X568" s="155"/>
      <c r="Y568" s="155"/>
      <c r="Z568" s="155"/>
      <c r="AA568" s="155"/>
      <c r="AB568" s="206"/>
      <c r="AC568" s="155"/>
      <c r="AD568" s="155"/>
      <c r="AE568" s="155"/>
      <c r="AF568" s="155"/>
      <c r="AG568" s="206"/>
      <c r="AH568" s="155"/>
      <c r="AI568" s="155"/>
      <c r="AJ568" s="155"/>
      <c r="AK568" s="155"/>
    </row>
    <row r="570" spans="1:37" s="89" customFormat="1" ht="12.75" customHeight="1">
      <c r="A570" s="67"/>
      <c r="B570" s="378"/>
      <c r="C570" s="206"/>
      <c r="D570" s="155"/>
      <c r="E570" s="155"/>
      <c r="F570" s="155"/>
      <c r="G570" s="155"/>
      <c r="H570" s="206"/>
      <c r="I570" s="155"/>
      <c r="J570" s="155"/>
      <c r="K570" s="155"/>
      <c r="L570" s="155"/>
      <c r="M570" s="206"/>
      <c r="N570" s="155"/>
      <c r="O570" s="155"/>
      <c r="P570" s="155"/>
      <c r="Q570" s="155"/>
      <c r="R570" s="206"/>
      <c r="S570" s="1239"/>
      <c r="T570" s="155"/>
      <c r="U570" s="155"/>
      <c r="V570" s="155"/>
      <c r="W570" s="206"/>
      <c r="X570" s="155"/>
      <c r="Y570" s="155"/>
      <c r="Z570" s="155"/>
      <c r="AA570" s="155"/>
      <c r="AB570" s="206"/>
      <c r="AC570" s="155"/>
      <c r="AD570" s="155"/>
      <c r="AE570" s="155"/>
      <c r="AF570" s="155"/>
      <c r="AG570" s="206"/>
      <c r="AH570" s="155"/>
      <c r="AI570" s="155"/>
      <c r="AJ570" s="155"/>
      <c r="AK570" s="155"/>
    </row>
    <row r="571" spans="1:37" s="89" customFormat="1" ht="12.75" customHeight="1">
      <c r="A571" s="67"/>
      <c r="B571" s="378"/>
      <c r="C571" s="206"/>
      <c r="D571" s="155"/>
      <c r="E571" s="155"/>
      <c r="F571" s="155"/>
      <c r="G571" s="155"/>
      <c r="H571" s="206"/>
      <c r="I571" s="155"/>
      <c r="J571" s="155"/>
      <c r="K571" s="155"/>
      <c r="L571" s="155"/>
      <c r="M571" s="206"/>
      <c r="N571" s="155"/>
      <c r="O571" s="155"/>
      <c r="P571" s="155"/>
      <c r="Q571" s="155"/>
      <c r="R571" s="206"/>
      <c r="S571" s="1239"/>
      <c r="T571" s="155"/>
      <c r="U571" s="155"/>
      <c r="V571" s="155"/>
      <c r="W571" s="206"/>
      <c r="X571" s="155"/>
      <c r="Y571" s="155"/>
      <c r="Z571" s="155"/>
      <c r="AA571" s="155"/>
      <c r="AB571" s="206"/>
      <c r="AC571" s="155"/>
      <c r="AD571" s="155"/>
      <c r="AE571" s="155"/>
      <c r="AF571" s="155"/>
      <c r="AG571" s="206"/>
      <c r="AH571" s="155"/>
      <c r="AI571" s="155"/>
      <c r="AJ571" s="155"/>
      <c r="AK571" s="155"/>
    </row>
    <row r="572" spans="1:37" s="89" customFormat="1" ht="12.75" customHeight="1">
      <c r="A572" s="67"/>
      <c r="B572" s="378"/>
      <c r="C572" s="206"/>
      <c r="D572" s="155"/>
      <c r="E572" s="155"/>
      <c r="F572" s="155"/>
      <c r="G572" s="155"/>
      <c r="H572" s="206"/>
      <c r="I572" s="155"/>
      <c r="J572" s="155"/>
      <c r="K572" s="155"/>
      <c r="L572" s="155"/>
      <c r="M572" s="206"/>
      <c r="N572" s="155"/>
      <c r="O572" s="155"/>
      <c r="P572" s="155"/>
      <c r="Q572" s="155"/>
      <c r="R572" s="206"/>
      <c r="S572" s="1239"/>
      <c r="T572" s="155"/>
      <c r="U572" s="155"/>
      <c r="V572" s="155"/>
      <c r="W572" s="206"/>
      <c r="X572" s="155"/>
      <c r="Y572" s="155"/>
      <c r="Z572" s="155"/>
      <c r="AA572" s="155"/>
      <c r="AB572" s="206"/>
      <c r="AC572" s="155"/>
      <c r="AD572" s="155"/>
      <c r="AE572" s="155"/>
      <c r="AF572" s="155"/>
      <c r="AG572" s="206"/>
      <c r="AH572" s="155"/>
      <c r="AI572" s="155"/>
      <c r="AJ572" s="155"/>
      <c r="AK572" s="155"/>
    </row>
    <row r="573" spans="1:37" s="89" customFormat="1" ht="12.75" customHeight="1">
      <c r="A573" s="67"/>
      <c r="B573" s="378"/>
      <c r="C573" s="206"/>
      <c r="D573" s="155"/>
      <c r="E573" s="155"/>
      <c r="F573" s="155"/>
      <c r="G573" s="155"/>
      <c r="H573" s="206"/>
      <c r="I573" s="155"/>
      <c r="J573" s="155"/>
      <c r="K573" s="155"/>
      <c r="L573" s="155"/>
      <c r="M573" s="206"/>
      <c r="N573" s="155"/>
      <c r="O573" s="155"/>
      <c r="P573" s="155"/>
      <c r="Q573" s="155"/>
      <c r="R573" s="206"/>
      <c r="S573" s="1239"/>
      <c r="T573" s="155"/>
      <c r="U573" s="155"/>
      <c r="V573" s="155"/>
      <c r="W573" s="206"/>
      <c r="X573" s="155"/>
      <c r="Y573" s="155"/>
      <c r="Z573" s="155"/>
      <c r="AA573" s="155"/>
      <c r="AB573" s="206"/>
      <c r="AC573" s="155"/>
      <c r="AD573" s="155"/>
      <c r="AE573" s="155"/>
      <c r="AF573" s="155"/>
      <c r="AG573" s="206"/>
      <c r="AH573" s="155"/>
      <c r="AI573" s="155"/>
      <c r="AJ573" s="155"/>
      <c r="AK573" s="155"/>
    </row>
    <row r="574" spans="1:37" s="89" customFormat="1" ht="12.75" customHeight="1">
      <c r="A574" s="67"/>
      <c r="B574" s="378"/>
      <c r="C574" s="206"/>
      <c r="D574" s="155"/>
      <c r="E574" s="155"/>
      <c r="F574" s="155"/>
      <c r="G574" s="155"/>
      <c r="H574" s="206"/>
      <c r="I574" s="155"/>
      <c r="J574" s="155"/>
      <c r="K574" s="155"/>
      <c r="L574" s="155"/>
      <c r="M574" s="206"/>
      <c r="N574" s="155"/>
      <c r="O574" s="155"/>
      <c r="P574" s="155"/>
      <c r="Q574" s="155"/>
      <c r="R574" s="206"/>
      <c r="S574" s="1239"/>
      <c r="T574" s="155"/>
      <c r="U574" s="155"/>
      <c r="V574" s="155"/>
      <c r="W574" s="206"/>
      <c r="X574" s="155"/>
      <c r="Y574" s="155"/>
      <c r="Z574" s="155"/>
      <c r="AA574" s="155"/>
      <c r="AB574" s="206"/>
      <c r="AC574" s="155"/>
      <c r="AD574" s="155"/>
      <c r="AE574" s="155"/>
      <c r="AF574" s="155"/>
      <c r="AG574" s="206"/>
      <c r="AH574" s="155"/>
      <c r="AI574" s="155"/>
      <c r="AJ574" s="155"/>
      <c r="AK574" s="155"/>
    </row>
    <row r="575" spans="1:37" s="89" customFormat="1" ht="12.75" customHeight="1">
      <c r="A575" s="67"/>
      <c r="B575" s="378"/>
      <c r="C575" s="206"/>
      <c r="D575" s="155"/>
      <c r="E575" s="155"/>
      <c r="F575" s="155"/>
      <c r="G575" s="155"/>
      <c r="H575" s="206"/>
      <c r="I575" s="155"/>
      <c r="J575" s="155"/>
      <c r="K575" s="155"/>
      <c r="L575" s="155"/>
      <c r="M575" s="206"/>
      <c r="N575" s="155"/>
      <c r="O575" s="155"/>
      <c r="P575" s="155"/>
      <c r="Q575" s="155"/>
      <c r="R575" s="206"/>
      <c r="S575" s="1239"/>
      <c r="T575" s="155"/>
      <c r="U575" s="155"/>
      <c r="V575" s="155"/>
      <c r="W575" s="206"/>
      <c r="X575" s="155"/>
      <c r="Y575" s="155"/>
      <c r="Z575" s="155"/>
      <c r="AA575" s="155"/>
      <c r="AB575" s="206"/>
      <c r="AC575" s="155"/>
      <c r="AD575" s="155"/>
      <c r="AE575" s="155"/>
      <c r="AF575" s="155"/>
      <c r="AG575" s="206"/>
      <c r="AH575" s="155"/>
      <c r="AI575" s="155"/>
      <c r="AJ575" s="155"/>
      <c r="AK575" s="155"/>
    </row>
    <row r="576" spans="1:37" s="89" customFormat="1" ht="12.75" customHeight="1">
      <c r="A576" s="67"/>
      <c r="B576" s="378"/>
      <c r="C576" s="206"/>
      <c r="D576" s="155"/>
      <c r="E576" s="155"/>
      <c r="F576" s="155"/>
      <c r="G576" s="155"/>
      <c r="H576" s="206"/>
      <c r="I576" s="155"/>
      <c r="J576" s="155"/>
      <c r="K576" s="155"/>
      <c r="L576" s="155"/>
      <c r="M576" s="206"/>
      <c r="N576" s="155"/>
      <c r="O576" s="155"/>
      <c r="P576" s="155"/>
      <c r="Q576" s="155"/>
      <c r="R576" s="206"/>
      <c r="S576" s="1239"/>
      <c r="T576" s="155"/>
      <c r="U576" s="155"/>
      <c r="V576" s="155"/>
      <c r="W576" s="206"/>
      <c r="X576" s="155"/>
      <c r="Y576" s="155"/>
      <c r="Z576" s="155"/>
      <c r="AA576" s="155"/>
      <c r="AB576" s="206"/>
      <c r="AC576" s="155"/>
      <c r="AD576" s="155"/>
      <c r="AE576" s="155"/>
      <c r="AF576" s="155"/>
      <c r="AG576" s="206"/>
      <c r="AH576" s="155"/>
      <c r="AI576" s="155"/>
      <c r="AJ576" s="155"/>
      <c r="AK576" s="155"/>
    </row>
    <row r="577" spans="1:37" s="89" customFormat="1" ht="12.75" customHeight="1">
      <c r="A577" s="67"/>
      <c r="B577" s="378"/>
      <c r="C577" s="206"/>
      <c r="D577" s="155"/>
      <c r="E577" s="155"/>
      <c r="F577" s="155"/>
      <c r="G577" s="155"/>
      <c r="H577" s="206"/>
      <c r="I577" s="155"/>
      <c r="J577" s="155"/>
      <c r="K577" s="155"/>
      <c r="L577" s="155"/>
      <c r="M577" s="206"/>
      <c r="N577" s="155"/>
      <c r="O577" s="155"/>
      <c r="P577" s="155"/>
      <c r="Q577" s="155"/>
      <c r="R577" s="206"/>
      <c r="S577" s="1239"/>
      <c r="T577" s="155"/>
      <c r="U577" s="155"/>
      <c r="V577" s="155"/>
      <c r="W577" s="206"/>
      <c r="X577" s="155"/>
      <c r="Y577" s="155"/>
      <c r="Z577" s="155"/>
      <c r="AA577" s="155"/>
      <c r="AB577" s="206"/>
      <c r="AC577" s="155"/>
      <c r="AD577" s="155"/>
      <c r="AE577" s="155"/>
      <c r="AF577" s="155"/>
      <c r="AG577" s="206"/>
      <c r="AH577" s="155"/>
      <c r="AI577" s="155"/>
      <c r="AJ577" s="155"/>
      <c r="AK577" s="155"/>
    </row>
    <row r="578" spans="1:37" s="89" customFormat="1" ht="12.75" customHeight="1">
      <c r="A578" s="67"/>
      <c r="B578" s="378"/>
      <c r="C578" s="206"/>
      <c r="D578" s="155"/>
      <c r="E578" s="155"/>
      <c r="F578" s="155"/>
      <c r="G578" s="155"/>
      <c r="H578" s="206"/>
      <c r="I578" s="155"/>
      <c r="J578" s="155"/>
      <c r="K578" s="155"/>
      <c r="L578" s="155"/>
      <c r="M578" s="206"/>
      <c r="N578" s="155"/>
      <c r="O578" s="155"/>
      <c r="P578" s="155"/>
      <c r="Q578" s="155"/>
      <c r="R578" s="206"/>
      <c r="S578" s="1239"/>
      <c r="T578" s="155"/>
      <c r="U578" s="155"/>
      <c r="V578" s="155"/>
      <c r="W578" s="206"/>
      <c r="X578" s="155"/>
      <c r="Y578" s="155"/>
      <c r="Z578" s="155"/>
      <c r="AA578" s="155"/>
      <c r="AB578" s="206"/>
      <c r="AC578" s="155"/>
      <c r="AD578" s="155"/>
      <c r="AE578" s="155"/>
      <c r="AF578" s="155"/>
      <c r="AG578" s="206"/>
      <c r="AH578" s="155"/>
      <c r="AI578" s="155"/>
      <c r="AJ578" s="155"/>
      <c r="AK578" s="155"/>
    </row>
    <row r="579" spans="1:37" s="89" customFormat="1" ht="12.75" customHeight="1">
      <c r="A579" s="67"/>
      <c r="B579" s="378"/>
      <c r="C579" s="206"/>
      <c r="D579" s="155"/>
      <c r="E579" s="155"/>
      <c r="F579" s="155"/>
      <c r="G579" s="155"/>
      <c r="H579" s="206"/>
      <c r="I579" s="155"/>
      <c r="J579" s="155"/>
      <c r="K579" s="155"/>
      <c r="L579" s="155"/>
      <c r="M579" s="206"/>
      <c r="N579" s="155"/>
      <c r="O579" s="155"/>
      <c r="P579" s="155"/>
      <c r="Q579" s="155"/>
      <c r="R579" s="206"/>
      <c r="S579" s="1239"/>
      <c r="T579" s="155"/>
      <c r="U579" s="155"/>
      <c r="V579" s="155"/>
      <c r="W579" s="206"/>
      <c r="X579" s="155"/>
      <c r="Y579" s="155"/>
      <c r="Z579" s="155"/>
      <c r="AA579" s="155"/>
      <c r="AB579" s="206"/>
      <c r="AC579" s="155"/>
      <c r="AD579" s="155"/>
      <c r="AE579" s="155"/>
      <c r="AF579" s="155"/>
      <c r="AG579" s="206"/>
      <c r="AH579" s="155"/>
      <c r="AI579" s="155"/>
      <c r="AJ579" s="155"/>
      <c r="AK579" s="155"/>
    </row>
    <row r="580" spans="1:37" s="89" customFormat="1" ht="12.75" customHeight="1">
      <c r="A580" s="67"/>
      <c r="B580" s="378"/>
      <c r="C580" s="206"/>
      <c r="D580" s="155"/>
      <c r="E580" s="155"/>
      <c r="F580" s="155"/>
      <c r="G580" s="155"/>
      <c r="H580" s="206"/>
      <c r="I580" s="155"/>
      <c r="J580" s="155"/>
      <c r="K580" s="155"/>
      <c r="L580" s="155"/>
      <c r="M580" s="206"/>
      <c r="N580" s="155"/>
      <c r="O580" s="155"/>
      <c r="P580" s="155"/>
      <c r="Q580" s="155"/>
      <c r="R580" s="206"/>
      <c r="S580" s="1239"/>
      <c r="T580" s="155"/>
      <c r="U580" s="155"/>
      <c r="V580" s="155"/>
      <c r="W580" s="206"/>
      <c r="X580" s="155"/>
      <c r="Y580" s="155"/>
      <c r="Z580" s="155"/>
      <c r="AA580" s="155"/>
      <c r="AB580" s="206"/>
      <c r="AC580" s="155"/>
      <c r="AD580" s="155"/>
      <c r="AE580" s="155"/>
      <c r="AF580" s="155"/>
      <c r="AG580" s="206"/>
      <c r="AH580" s="155"/>
      <c r="AI580" s="155"/>
      <c r="AJ580" s="155"/>
      <c r="AK580" s="155"/>
    </row>
    <row r="581" spans="1:37" s="89" customFormat="1" ht="12.75" customHeight="1">
      <c r="A581" s="67"/>
      <c r="B581" s="378"/>
      <c r="C581" s="206"/>
      <c r="D581" s="155"/>
      <c r="E581" s="155"/>
      <c r="F581" s="155"/>
      <c r="G581" s="155"/>
      <c r="H581" s="206"/>
      <c r="I581" s="155"/>
      <c r="J581" s="155"/>
      <c r="K581" s="155"/>
      <c r="L581" s="155"/>
      <c r="M581" s="206"/>
      <c r="N581" s="155"/>
      <c r="O581" s="155"/>
      <c r="P581" s="155"/>
      <c r="Q581" s="155"/>
      <c r="R581" s="206"/>
      <c r="S581" s="1239"/>
      <c r="T581" s="155"/>
      <c r="U581" s="155"/>
      <c r="V581" s="155"/>
      <c r="W581" s="206"/>
      <c r="X581" s="155"/>
      <c r="Y581" s="155"/>
      <c r="Z581" s="155"/>
      <c r="AA581" s="155"/>
      <c r="AB581" s="206"/>
      <c r="AC581" s="155"/>
      <c r="AD581" s="155"/>
      <c r="AE581" s="155"/>
      <c r="AF581" s="155"/>
      <c r="AG581" s="206"/>
      <c r="AH581" s="155"/>
      <c r="AI581" s="155"/>
      <c r="AJ581" s="155"/>
      <c r="AK581" s="155"/>
    </row>
    <row r="582" spans="1:37" s="89" customFormat="1" ht="12.75" customHeight="1">
      <c r="A582" s="67"/>
      <c r="B582" s="378"/>
      <c r="C582" s="206"/>
      <c r="D582" s="155"/>
      <c r="E582" s="155"/>
      <c r="F582" s="155"/>
      <c r="G582" s="155"/>
      <c r="H582" s="206"/>
      <c r="I582" s="155"/>
      <c r="J582" s="155"/>
      <c r="K582" s="155"/>
      <c r="L582" s="155"/>
      <c r="M582" s="206"/>
      <c r="N582" s="155"/>
      <c r="O582" s="155"/>
      <c r="P582" s="155"/>
      <c r="Q582" s="155"/>
      <c r="R582" s="206"/>
      <c r="S582" s="1239"/>
      <c r="T582" s="155"/>
      <c r="U582" s="155"/>
      <c r="V582" s="155"/>
      <c r="W582" s="206"/>
      <c r="X582" s="155"/>
      <c r="Y582" s="155"/>
      <c r="Z582" s="155"/>
      <c r="AA582" s="155"/>
      <c r="AB582" s="206"/>
      <c r="AC582" s="155"/>
      <c r="AD582" s="155"/>
      <c r="AE582" s="155"/>
      <c r="AF582" s="155"/>
      <c r="AG582" s="206"/>
      <c r="AH582" s="155"/>
      <c r="AI582" s="155"/>
      <c r="AJ582" s="155"/>
      <c r="AK582" s="155"/>
    </row>
    <row r="583" spans="1:37" s="89" customFormat="1" ht="12.75" customHeight="1">
      <c r="A583" s="67"/>
      <c r="B583" s="378"/>
      <c r="C583" s="206"/>
      <c r="D583" s="155"/>
      <c r="E583" s="155"/>
      <c r="F583" s="155"/>
      <c r="G583" s="155"/>
      <c r="H583" s="206"/>
      <c r="I583" s="155"/>
      <c r="J583" s="155"/>
      <c r="K583" s="155"/>
      <c r="L583" s="155"/>
      <c r="M583" s="206"/>
      <c r="N583" s="155"/>
      <c r="O583" s="155"/>
      <c r="P583" s="155"/>
      <c r="Q583" s="155"/>
      <c r="R583" s="206"/>
      <c r="S583" s="1239"/>
      <c r="T583" s="155"/>
      <c r="U583" s="155"/>
      <c r="V583" s="155"/>
      <c r="W583" s="206"/>
      <c r="X583" s="155"/>
      <c r="Y583" s="155"/>
      <c r="Z583" s="155"/>
      <c r="AA583" s="155"/>
      <c r="AB583" s="206"/>
      <c r="AC583" s="155"/>
      <c r="AD583" s="155"/>
      <c r="AE583" s="155"/>
      <c r="AF583" s="155"/>
      <c r="AG583" s="206"/>
      <c r="AH583" s="155"/>
      <c r="AI583" s="155"/>
      <c r="AJ583" s="155"/>
      <c r="AK583" s="155"/>
    </row>
    <row r="584" spans="1:37" s="89" customFormat="1" ht="12.75" customHeight="1">
      <c r="A584" s="67"/>
      <c r="B584" s="378"/>
      <c r="C584" s="220"/>
      <c r="D584" s="220"/>
      <c r="E584" s="220"/>
      <c r="F584" s="220"/>
      <c r="G584" s="220"/>
      <c r="H584" s="220"/>
      <c r="I584" s="220"/>
      <c r="J584" s="220"/>
      <c r="K584" s="220"/>
      <c r="L584" s="220"/>
      <c r="M584" s="220"/>
      <c r="N584" s="220"/>
      <c r="O584" s="220"/>
      <c r="P584" s="220"/>
      <c r="Q584" s="220"/>
      <c r="R584" s="220"/>
      <c r="S584" s="1274"/>
      <c r="T584" s="220"/>
      <c r="U584" s="220"/>
      <c r="V584" s="220"/>
      <c r="W584" s="220"/>
      <c r="X584" s="220"/>
      <c r="Y584" s="220"/>
      <c r="Z584" s="220"/>
      <c r="AA584" s="220"/>
      <c r="AB584" s="220"/>
      <c r="AC584" s="220"/>
      <c r="AD584" s="220"/>
      <c r="AE584" s="220"/>
      <c r="AF584" s="220"/>
      <c r="AG584" s="220"/>
      <c r="AH584" s="220"/>
      <c r="AI584" s="220"/>
      <c r="AJ584" s="220"/>
      <c r="AK584" s="220"/>
    </row>
    <row r="585" spans="1:37" s="89" customFormat="1" ht="12.75" customHeight="1">
      <c r="A585" s="67"/>
      <c r="B585" s="378"/>
      <c r="C585" s="101"/>
      <c r="D585" s="101"/>
      <c r="E585" s="101"/>
      <c r="F585" s="101"/>
      <c r="G585" s="101"/>
      <c r="H585" s="101"/>
      <c r="I585" s="101"/>
      <c r="J585" s="101"/>
      <c r="K585" s="101"/>
      <c r="L585" s="101"/>
      <c r="M585" s="101"/>
      <c r="N585" s="101"/>
      <c r="O585" s="101"/>
      <c r="P585" s="101"/>
      <c r="Q585" s="101"/>
      <c r="R585" s="101"/>
      <c r="S585" s="686"/>
      <c r="T585" s="101"/>
      <c r="U585" s="101"/>
      <c r="V585" s="101"/>
      <c r="W585" s="101"/>
      <c r="X585" s="101"/>
      <c r="Y585" s="101"/>
      <c r="Z585" s="101"/>
      <c r="AA585" s="101"/>
      <c r="AB585" s="101"/>
      <c r="AC585" s="101"/>
      <c r="AD585" s="101"/>
      <c r="AE585" s="101"/>
      <c r="AF585" s="101"/>
      <c r="AG585" s="101"/>
      <c r="AH585" s="101"/>
      <c r="AI585" s="101"/>
      <c r="AJ585" s="101"/>
      <c r="AK585" s="101"/>
    </row>
    <row r="586" spans="1:37" s="89" customFormat="1" ht="12.75" customHeight="1">
      <c r="A586" s="67"/>
      <c r="B586" s="378"/>
      <c r="C586" s="206"/>
      <c r="D586" s="155"/>
      <c r="E586" s="155"/>
      <c r="F586" s="155"/>
      <c r="G586" s="155"/>
      <c r="H586" s="206"/>
      <c r="I586" s="155"/>
      <c r="J586" s="155"/>
      <c r="K586" s="155"/>
      <c r="L586" s="155"/>
      <c r="M586" s="206"/>
      <c r="N586" s="155"/>
      <c r="O586" s="155"/>
      <c r="P586" s="155"/>
      <c r="Q586" s="155"/>
      <c r="R586" s="206"/>
      <c r="S586" s="1239"/>
      <c r="T586" s="155"/>
      <c r="U586" s="155"/>
      <c r="V586" s="155"/>
      <c r="W586" s="206"/>
      <c r="X586" s="155"/>
      <c r="Y586" s="155"/>
      <c r="Z586" s="155"/>
      <c r="AA586" s="155"/>
      <c r="AB586" s="206"/>
      <c r="AC586" s="155"/>
      <c r="AD586" s="155"/>
      <c r="AE586" s="155"/>
      <c r="AF586" s="155"/>
      <c r="AG586" s="206"/>
      <c r="AH586" s="155"/>
      <c r="AI586" s="155"/>
      <c r="AJ586" s="155"/>
      <c r="AK586" s="155"/>
    </row>
    <row r="587" spans="1:37" s="89" customFormat="1" ht="12.75" customHeight="1">
      <c r="A587" s="67"/>
      <c r="B587" s="378"/>
      <c r="C587" s="220"/>
      <c r="D587" s="220"/>
      <c r="E587" s="220"/>
      <c r="F587" s="220"/>
      <c r="G587" s="220"/>
      <c r="H587" s="220"/>
      <c r="I587" s="220"/>
      <c r="J587" s="220"/>
      <c r="K587" s="220"/>
      <c r="L587" s="220"/>
      <c r="M587" s="220"/>
      <c r="N587" s="220"/>
      <c r="O587" s="220"/>
      <c r="P587" s="220"/>
      <c r="Q587" s="220"/>
      <c r="R587" s="220"/>
      <c r="S587" s="1274"/>
      <c r="T587" s="220"/>
      <c r="U587" s="220"/>
      <c r="V587" s="220"/>
      <c r="W587" s="220"/>
      <c r="X587" s="220"/>
      <c r="Y587" s="220"/>
      <c r="Z587" s="220"/>
      <c r="AA587" s="220"/>
      <c r="AB587" s="220"/>
      <c r="AC587" s="220"/>
      <c r="AD587" s="220"/>
      <c r="AE587" s="220"/>
      <c r="AF587" s="220"/>
      <c r="AG587" s="220"/>
      <c r="AH587" s="220"/>
      <c r="AI587" s="220"/>
      <c r="AJ587" s="220"/>
      <c r="AK587" s="220"/>
    </row>
    <row r="588" spans="1:37" ht="12.75" customHeight="1">
      <c r="C588" s="101"/>
      <c r="D588" s="101"/>
      <c r="E588" s="101"/>
      <c r="F588" s="101"/>
      <c r="G588" s="101"/>
      <c r="H588" s="101"/>
      <c r="I588" s="101"/>
      <c r="J588" s="101"/>
      <c r="K588" s="101"/>
      <c r="L588" s="101"/>
      <c r="M588" s="101"/>
      <c r="N588" s="101"/>
      <c r="O588" s="101"/>
      <c r="P588" s="101"/>
      <c r="Q588" s="101"/>
      <c r="R588" s="101"/>
      <c r="S588" s="686"/>
      <c r="T588" s="101"/>
      <c r="U588" s="101"/>
      <c r="V588" s="101"/>
      <c r="W588" s="101"/>
      <c r="X588" s="101"/>
      <c r="Y588" s="101"/>
      <c r="Z588" s="101"/>
      <c r="AA588" s="101"/>
      <c r="AB588" s="101"/>
      <c r="AC588" s="101"/>
      <c r="AD588" s="101"/>
      <c r="AE588" s="101"/>
      <c r="AF588" s="101"/>
      <c r="AG588" s="101"/>
      <c r="AH588" s="101"/>
      <c r="AI588" s="101"/>
      <c r="AJ588" s="101"/>
      <c r="AK588" s="101"/>
    </row>
  </sheetData>
  <pageMargins left="0.7" right="0.7" top="0.75" bottom="0.75" header="0.3" footer="0.3"/>
  <pageSetup orientation="portrait" r:id="rId1"/>
  <customProperties>
    <customPr name="Qube.Worksheet.Visibility" r:id="rId2"/>
  </customPropertie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C284F-4076-4024-962B-358205C24490}">
  <sheetPr codeName="Sheet14">
    <tabColor rgb="FF002060"/>
  </sheetPr>
  <dimension ref="A1:AK592"/>
  <sheetViews>
    <sheetView showGridLines="0" zoomScaleNormal="100" workbookViewId="0">
      <pane xSplit="2" ySplit="8" topLeftCell="R9" activePane="bottomRight" state="frozen"/>
      <selection activeCell="DD115" sqref="DD115"/>
      <selection pane="topRight" activeCell="DD115" sqref="DD115"/>
      <selection pane="bottomLeft" activeCell="DD115" sqref="DD115"/>
      <selection pane="bottomRight"/>
    </sheetView>
  </sheetViews>
  <sheetFormatPr defaultColWidth="9.140625" defaultRowHeight="12.75" customHeight="1" outlineLevelRow="1" outlineLevelCol="1"/>
  <cols>
    <col min="1" max="1" width="3.7109375" style="416" customWidth="1"/>
    <col min="2" max="2" width="79" style="378" bestFit="1" customWidth="1"/>
    <col min="3" max="3" width="10.7109375" style="90" hidden="1" customWidth="1" outlineLevel="1"/>
    <col min="4" max="6" width="10.7109375" style="128" hidden="1" customWidth="1" outlineLevel="1"/>
    <col min="7" max="7" width="10.7109375" style="128" customWidth="1" collapsed="1"/>
    <col min="8" max="8" width="10.7109375" style="90" hidden="1" customWidth="1" outlineLevel="1"/>
    <col min="9" max="11" width="10.7109375" style="128" hidden="1" customWidth="1" outlineLevel="1"/>
    <col min="12" max="12" width="10.7109375" style="128" customWidth="1" collapsed="1"/>
    <col min="13" max="13" width="11.28515625" style="90" hidden="1" customWidth="1" outlineLevel="1"/>
    <col min="14" max="16" width="11.28515625" style="128" hidden="1" customWidth="1" outlineLevel="1"/>
    <col min="17" max="17" width="11.85546875" style="128" bestFit="1" customWidth="1" collapsed="1"/>
    <col min="18" max="18" width="11.85546875" style="90" customWidth="1" outlineLevel="1"/>
    <col min="19" max="19" width="11.85546875" style="1041" customWidth="1" outlineLevel="1"/>
    <col min="20" max="21" width="11.85546875" style="128" customWidth="1" outlineLevel="1"/>
    <col min="22" max="22" width="11.85546875" style="128" bestFit="1" customWidth="1"/>
    <col min="23" max="23" width="11.85546875" style="90" customWidth="1" outlineLevel="1"/>
    <col min="24" max="26" width="11.85546875" style="128" customWidth="1" outlineLevel="1"/>
    <col min="27" max="27" width="11.85546875" style="128" bestFit="1" customWidth="1"/>
    <col min="28" max="28" width="11.85546875" style="90" customWidth="1" outlineLevel="1"/>
    <col min="29" max="31" width="11.85546875" style="128" customWidth="1" outlineLevel="1"/>
    <col min="32" max="32" width="11.85546875" style="128" bestFit="1" customWidth="1"/>
    <col min="33" max="33" width="11.85546875" style="90" hidden="1" customWidth="1" outlineLevel="1"/>
    <col min="34" max="36" width="11.85546875" style="128" hidden="1" customWidth="1" outlineLevel="1"/>
    <col min="37" max="37" width="11.85546875" style="128" bestFit="1" customWidth="1" collapsed="1"/>
    <col min="38" max="16384" width="9.140625" style="89"/>
  </cols>
  <sheetData>
    <row r="1" spans="1:37" s="378" customFormat="1" ht="12.75" customHeight="1">
      <c r="A1" s="416"/>
      <c r="C1" s="744"/>
      <c r="D1" s="745"/>
      <c r="E1" s="745"/>
      <c r="F1" s="745"/>
      <c r="G1" s="745"/>
      <c r="H1" s="744"/>
      <c r="I1" s="745"/>
      <c r="J1" s="745"/>
      <c r="K1" s="745"/>
      <c r="L1" s="745"/>
      <c r="M1" s="744"/>
      <c r="N1" s="746"/>
      <c r="O1" s="745"/>
      <c r="P1" s="745"/>
      <c r="Q1" s="745"/>
      <c r="R1" s="744"/>
      <c r="S1" s="746"/>
      <c r="T1" s="745"/>
      <c r="U1" s="745"/>
      <c r="V1" s="745"/>
      <c r="W1" s="744"/>
      <c r="X1" s="745"/>
      <c r="Y1" s="745"/>
      <c r="Z1" s="745"/>
      <c r="AA1" s="745"/>
      <c r="AB1" s="744"/>
      <c r="AC1" s="745"/>
      <c r="AD1" s="745"/>
      <c r="AE1" s="745"/>
      <c r="AF1" s="745"/>
      <c r="AG1" s="744"/>
      <c r="AH1" s="745"/>
      <c r="AI1" s="745"/>
      <c r="AJ1" s="745"/>
      <c r="AK1" s="745"/>
    </row>
    <row r="2" spans="1:37" s="378" customFormat="1" ht="12.75" customHeight="1">
      <c r="A2" s="416"/>
      <c r="B2" s="475" t="s">
        <v>231</v>
      </c>
      <c r="C2" s="744"/>
      <c r="D2" s="745"/>
      <c r="E2" s="745"/>
      <c r="F2" s="745"/>
      <c r="G2" s="745"/>
      <c r="H2" s="744"/>
      <c r="I2" s="745"/>
      <c r="J2" s="745"/>
      <c r="K2" s="745"/>
      <c r="L2" s="745"/>
      <c r="M2" s="744"/>
      <c r="N2" s="746"/>
      <c r="O2" s="745"/>
      <c r="P2" s="745"/>
      <c r="Q2" s="745"/>
      <c r="R2" s="744"/>
      <c r="S2" s="746"/>
      <c r="T2" s="745"/>
      <c r="U2" s="745"/>
      <c r="V2" s="745"/>
      <c r="W2" s="744"/>
      <c r="X2" s="745"/>
      <c r="Y2" s="745"/>
      <c r="Z2" s="745"/>
      <c r="AA2" s="745"/>
      <c r="AB2" s="744"/>
      <c r="AC2" s="745"/>
      <c r="AD2" s="745"/>
      <c r="AE2" s="745"/>
      <c r="AF2" s="745"/>
      <c r="AG2" s="744"/>
      <c r="AH2" s="745"/>
      <c r="AI2" s="745"/>
      <c r="AJ2" s="745"/>
      <c r="AK2" s="745"/>
    </row>
    <row r="3" spans="1:37" s="378" customFormat="1" ht="12.75" customHeight="1">
      <c r="A3" s="416"/>
      <c r="B3" s="475" t="s">
        <v>169</v>
      </c>
      <c r="C3" s="744"/>
      <c r="D3" s="744"/>
      <c r="E3" s="744"/>
      <c r="F3" s="744"/>
      <c r="G3" s="745"/>
      <c r="H3" s="744"/>
      <c r="I3" s="744"/>
      <c r="J3" s="744"/>
      <c r="K3" s="744"/>
      <c r="L3" s="745"/>
      <c r="M3" s="744"/>
      <c r="N3" s="747"/>
      <c r="O3" s="744"/>
      <c r="P3" s="744"/>
      <c r="Q3" s="745"/>
      <c r="R3" s="744"/>
      <c r="S3" s="747"/>
      <c r="T3" s="744"/>
      <c r="U3" s="744"/>
      <c r="V3" s="745"/>
      <c r="W3" s="744"/>
      <c r="X3" s="744"/>
      <c r="Y3" s="744"/>
      <c r="Z3" s="744"/>
      <c r="AA3" s="745"/>
      <c r="AB3" s="744"/>
      <c r="AC3" s="744"/>
      <c r="AD3" s="744"/>
      <c r="AE3" s="744"/>
      <c r="AF3" s="745"/>
      <c r="AG3" s="744"/>
      <c r="AH3" s="744"/>
      <c r="AI3" s="744"/>
      <c r="AJ3" s="744"/>
      <c r="AK3" s="745"/>
    </row>
    <row r="4" spans="1:37" s="379" customFormat="1" ht="12.75" customHeight="1">
      <c r="A4" s="464"/>
      <c r="B4" s="475" t="s">
        <v>24</v>
      </c>
      <c r="C4" s="747"/>
      <c r="D4" s="746"/>
      <c r="E4" s="746"/>
      <c r="F4" s="746"/>
      <c r="G4" s="746"/>
      <c r="H4" s="747"/>
      <c r="I4" s="746"/>
      <c r="J4" s="746"/>
      <c r="K4" s="746"/>
      <c r="L4" s="746"/>
      <c r="M4" s="748"/>
      <c r="N4" s="748"/>
      <c r="O4" s="748"/>
      <c r="P4" s="746"/>
      <c r="Q4" s="746"/>
      <c r="R4" s="747"/>
      <c r="S4" s="747"/>
      <c r="T4" s="747"/>
      <c r="U4" s="747"/>
      <c r="V4" s="747"/>
      <c r="W4" s="747"/>
      <c r="X4" s="747"/>
      <c r="Y4" s="747"/>
      <c r="Z4" s="747"/>
      <c r="AA4" s="747"/>
      <c r="AB4" s="747"/>
      <c r="AC4" s="747"/>
      <c r="AD4" s="747"/>
      <c r="AE4" s="747"/>
      <c r="AF4" s="747"/>
      <c r="AG4" s="747"/>
      <c r="AH4" s="747"/>
      <c r="AI4" s="747"/>
      <c r="AJ4" s="747"/>
      <c r="AK4" s="747"/>
    </row>
    <row r="5" spans="1:37" s="378" customFormat="1" ht="12.75" customHeight="1">
      <c r="A5" s="416"/>
      <c r="C5" s="744"/>
      <c r="D5" s="745"/>
      <c r="E5" s="745"/>
      <c r="F5" s="745"/>
      <c r="G5" s="745"/>
      <c r="H5" s="744"/>
      <c r="I5" s="745"/>
      <c r="J5" s="745"/>
      <c r="K5" s="745"/>
      <c r="L5" s="745"/>
      <c r="M5" s="744"/>
      <c r="N5" s="751"/>
      <c r="O5" s="752"/>
      <c r="P5" s="745"/>
      <c r="Q5" s="745"/>
      <c r="R5" s="744"/>
      <c r="S5" s="746"/>
      <c r="T5" s="745"/>
      <c r="U5" s="745"/>
      <c r="V5" s="745"/>
      <c r="W5" s="744"/>
      <c r="X5" s="752"/>
      <c r="Y5" s="752"/>
      <c r="Z5" s="752"/>
      <c r="AA5" s="745"/>
      <c r="AB5" s="744"/>
      <c r="AC5" s="745"/>
      <c r="AD5" s="745"/>
      <c r="AE5" s="745"/>
      <c r="AF5" s="745"/>
      <c r="AG5" s="744"/>
      <c r="AH5" s="745"/>
      <c r="AI5" s="745"/>
      <c r="AJ5" s="745"/>
      <c r="AK5" s="745"/>
    </row>
    <row r="6" spans="1:37" ht="12.75" customHeight="1">
      <c r="C6" s="46" t="str">
        <f>Dates!C3</f>
        <v>2022 (A)</v>
      </c>
      <c r="D6" s="46"/>
      <c r="E6" s="46"/>
      <c r="F6" s="46"/>
      <c r="G6" s="89"/>
      <c r="H6" s="46" t="str">
        <f>Dates!H3</f>
        <v>2023 (A)</v>
      </c>
      <c r="I6" s="46"/>
      <c r="J6" s="46"/>
      <c r="K6" s="46"/>
      <c r="L6" s="89"/>
      <c r="M6" s="46" t="str">
        <f>Dates!M3</f>
        <v>2024 (A)</v>
      </c>
      <c r="N6" s="427"/>
      <c r="O6" s="46"/>
      <c r="P6" s="46"/>
      <c r="Q6" s="89"/>
      <c r="R6" s="46" t="str">
        <f>Dates!R3</f>
        <v>2025 (E)</v>
      </c>
      <c r="S6" s="427"/>
      <c r="T6" s="46"/>
      <c r="U6" s="46"/>
      <c r="V6" s="89"/>
      <c r="W6" s="46" t="str">
        <f>Dates!W3</f>
        <v>2026 (E)</v>
      </c>
      <c r="X6" s="46"/>
      <c r="Y6" s="46"/>
      <c r="Z6" s="46"/>
      <c r="AA6" s="89"/>
      <c r="AB6" s="46" t="str">
        <f>Dates!AB3</f>
        <v>2027 (E)</v>
      </c>
      <c r="AC6" s="46"/>
      <c r="AD6" s="46"/>
      <c r="AE6" s="46"/>
      <c r="AF6" s="89"/>
      <c r="AG6" s="46" t="str">
        <f>Dates!AG3</f>
        <v>2028 (E)</v>
      </c>
      <c r="AH6" s="46"/>
      <c r="AI6" s="46"/>
      <c r="AJ6" s="46"/>
      <c r="AK6" s="89"/>
    </row>
    <row r="7" spans="1:37" ht="12.75" customHeight="1">
      <c r="C7" s="91" t="str">
        <f>Dates!C4</f>
        <v>1Q22 (A)</v>
      </c>
      <c r="D7" s="91" t="str">
        <f>Dates!D4</f>
        <v>2Q22 (A)</v>
      </c>
      <c r="E7" s="91" t="str">
        <f>Dates!E4</f>
        <v>3Q22 (A)</v>
      </c>
      <c r="F7" s="91" t="str">
        <f>Dates!F4</f>
        <v>4Q22 (A)</v>
      </c>
      <c r="G7" s="92" t="str">
        <f>Dates!G4</f>
        <v>FY22 (A)</v>
      </c>
      <c r="H7" s="91" t="str">
        <f>Dates!H4</f>
        <v>1Q23 (A)</v>
      </c>
      <c r="I7" s="91" t="str">
        <f>Dates!I4</f>
        <v>2Q23 (A)</v>
      </c>
      <c r="J7" s="91" t="str">
        <f>Dates!J4</f>
        <v>3Q23 (A)</v>
      </c>
      <c r="K7" s="91" t="str">
        <f>Dates!K4</f>
        <v>4Q23 (A)</v>
      </c>
      <c r="L7" s="92" t="str">
        <f>Dates!L4</f>
        <v>FY23 (A)</v>
      </c>
      <c r="M7" s="91" t="str">
        <f>Dates!M4</f>
        <v>1Q24 (A)</v>
      </c>
      <c r="N7" s="428" t="str">
        <f>Dates!N4</f>
        <v>2Q24 (A)</v>
      </c>
      <c r="O7" s="91" t="str">
        <f>Dates!O4</f>
        <v>3Q24 (A)</v>
      </c>
      <c r="P7" s="91" t="str">
        <f>Dates!P4</f>
        <v>4Q24 (A)</v>
      </c>
      <c r="Q7" s="92" t="str">
        <f>Dates!Q4</f>
        <v>FY24 (A)</v>
      </c>
      <c r="R7" s="91" t="str">
        <f>Dates!R4</f>
        <v>1Q25 (A)</v>
      </c>
      <c r="S7" s="428" t="str">
        <f>Dates!S4</f>
        <v>2Q25 (A)</v>
      </c>
      <c r="T7" s="91" t="str">
        <f>Dates!T4</f>
        <v>3Q25 (A)</v>
      </c>
      <c r="U7" s="91" t="str">
        <f>Dates!U4</f>
        <v>4Q25 (E)</v>
      </c>
      <c r="V7" s="92" t="str">
        <f>Dates!V4</f>
        <v>FY25 (E)</v>
      </c>
      <c r="W7" s="91" t="str">
        <f>Dates!W4</f>
        <v>1Q26 (E)</v>
      </c>
      <c r="X7" s="91" t="str">
        <f>Dates!X4</f>
        <v>2Q26 (E)</v>
      </c>
      <c r="Y7" s="91" t="str">
        <f>Dates!Y4</f>
        <v>3Q26 (E)</v>
      </c>
      <c r="Z7" s="91" t="str">
        <f>Dates!Z4</f>
        <v>4Q26 (E)</v>
      </c>
      <c r="AA7" s="92" t="str">
        <f>Dates!AA4</f>
        <v>FY26 (E)</v>
      </c>
      <c r="AB7" s="91" t="str">
        <f>Dates!AB4</f>
        <v>1Q27 (E)</v>
      </c>
      <c r="AC7" s="91" t="str">
        <f>Dates!AC4</f>
        <v>2Q27 (E)</v>
      </c>
      <c r="AD7" s="91" t="str">
        <f>Dates!AD4</f>
        <v>3Q27 (E)</v>
      </c>
      <c r="AE7" s="91" t="str">
        <f>Dates!AE4</f>
        <v>4Q27 (E)</v>
      </c>
      <c r="AF7" s="92" t="str">
        <f>Dates!AF4</f>
        <v>FY27 (E)</v>
      </c>
      <c r="AG7" s="91" t="str">
        <f>Dates!AG4</f>
        <v>1Q28 (E)</v>
      </c>
      <c r="AH7" s="91" t="str">
        <f>Dates!AH4</f>
        <v>2Q28 (E)</v>
      </c>
      <c r="AI7" s="91" t="str">
        <f>Dates!AI4</f>
        <v>3Q28 (E)</v>
      </c>
      <c r="AJ7" s="91" t="str">
        <f>Dates!AJ4</f>
        <v>4Q28 (E)</v>
      </c>
      <c r="AK7" s="92" t="str">
        <f>Dates!AK4</f>
        <v>FY28 (E)</v>
      </c>
    </row>
    <row r="8" spans="1:37" ht="12.75" customHeight="1">
      <c r="C8" s="93">
        <f>Dates!C5</f>
        <v>44651</v>
      </c>
      <c r="D8" s="93">
        <f>Dates!D5</f>
        <v>44742</v>
      </c>
      <c r="E8" s="93">
        <f>Dates!E5</f>
        <v>44834</v>
      </c>
      <c r="F8" s="93">
        <f>Dates!F5</f>
        <v>44926</v>
      </c>
      <c r="G8" s="94">
        <f>Dates!G5</f>
        <v>44926</v>
      </c>
      <c r="H8" s="93">
        <f>Dates!H5</f>
        <v>45016</v>
      </c>
      <c r="I8" s="93">
        <f>Dates!I5</f>
        <v>45107</v>
      </c>
      <c r="J8" s="93">
        <f>Dates!J5</f>
        <v>45199</v>
      </c>
      <c r="K8" s="93">
        <f>Dates!K5</f>
        <v>45291</v>
      </c>
      <c r="L8" s="94">
        <f>Dates!L5</f>
        <v>45291</v>
      </c>
      <c r="M8" s="93">
        <f>Dates!M5</f>
        <v>45382</v>
      </c>
      <c r="N8" s="423">
        <f>Dates!N5</f>
        <v>45473</v>
      </c>
      <c r="O8" s="93">
        <f>Dates!O5</f>
        <v>45565</v>
      </c>
      <c r="P8" s="93">
        <f>Dates!P5</f>
        <v>45657</v>
      </c>
      <c r="Q8" s="94">
        <f>Dates!Q5</f>
        <v>45657</v>
      </c>
      <c r="R8" s="93">
        <f>Dates!R5</f>
        <v>45747</v>
      </c>
      <c r="S8" s="423">
        <f>Dates!S5</f>
        <v>45838</v>
      </c>
      <c r="T8" s="93">
        <f>Dates!T5</f>
        <v>45930</v>
      </c>
      <c r="U8" s="93">
        <f>Dates!U5</f>
        <v>46022</v>
      </c>
      <c r="V8" s="94">
        <f>Dates!V5</f>
        <v>46022</v>
      </c>
      <c r="W8" s="93">
        <f>Dates!W5</f>
        <v>46112</v>
      </c>
      <c r="X8" s="93">
        <f>Dates!X5</f>
        <v>46203</v>
      </c>
      <c r="Y8" s="93">
        <f>Dates!Y5</f>
        <v>46295</v>
      </c>
      <c r="Z8" s="93">
        <f>Dates!Z5</f>
        <v>46387</v>
      </c>
      <c r="AA8" s="94">
        <f>Dates!AA5</f>
        <v>46387</v>
      </c>
      <c r="AB8" s="93">
        <f>Dates!AB5</f>
        <v>46477</v>
      </c>
      <c r="AC8" s="93">
        <f>Dates!AC5</f>
        <v>46568</v>
      </c>
      <c r="AD8" s="93">
        <f>Dates!AD5</f>
        <v>46660</v>
      </c>
      <c r="AE8" s="93">
        <f>Dates!AE5</f>
        <v>46752</v>
      </c>
      <c r="AF8" s="94">
        <f>Dates!AF5</f>
        <v>46752</v>
      </c>
      <c r="AG8" s="93">
        <f>Dates!AG5</f>
        <v>46843</v>
      </c>
      <c r="AH8" s="93">
        <f>Dates!AH5</f>
        <v>46934</v>
      </c>
      <c r="AI8" s="93">
        <f>Dates!AI5</f>
        <v>47026</v>
      </c>
      <c r="AJ8" s="93">
        <f>Dates!AJ5</f>
        <v>47118</v>
      </c>
      <c r="AK8" s="94">
        <f>Dates!AK5</f>
        <v>47118</v>
      </c>
    </row>
    <row r="9" spans="1:37" s="286" customFormat="1" ht="12.75" customHeight="1">
      <c r="A9" s="416"/>
      <c r="B9" s="386" t="s">
        <v>69</v>
      </c>
      <c r="C9" s="424"/>
      <c r="D9" s="424"/>
      <c r="E9" s="424"/>
      <c r="F9" s="424"/>
      <c r="G9" s="425"/>
      <c r="H9" s="424"/>
      <c r="I9" s="424"/>
      <c r="J9" s="424"/>
      <c r="K9" s="424"/>
      <c r="L9" s="425"/>
      <c r="M9" s="424"/>
      <c r="N9" s="630"/>
      <c r="O9" s="424"/>
      <c r="P9" s="424"/>
      <c r="Q9" s="425"/>
      <c r="R9" s="424"/>
      <c r="S9" s="630"/>
      <c r="T9" s="424"/>
      <c r="U9" s="424"/>
      <c r="V9" s="425"/>
      <c r="W9" s="424"/>
      <c r="X9" s="424"/>
      <c r="Y9" s="424"/>
      <c r="Z9" s="424"/>
      <c r="AA9" s="425"/>
      <c r="AB9" s="424"/>
      <c r="AC9" s="424"/>
      <c r="AD9" s="424"/>
      <c r="AE9" s="424"/>
      <c r="AF9" s="425"/>
      <c r="AG9" s="424"/>
      <c r="AH9" s="424"/>
      <c r="AI9" s="424"/>
      <c r="AJ9" s="424"/>
      <c r="AK9" s="425"/>
    </row>
    <row r="10" spans="1:37" s="1551" customFormat="1" ht="12.75" customHeight="1">
      <c r="A10" s="1419"/>
      <c r="B10" s="1548" t="s">
        <v>262</v>
      </c>
      <c r="C10" s="1549"/>
      <c r="D10" s="1549"/>
      <c r="E10" s="1549"/>
      <c r="F10" s="1549"/>
      <c r="G10" s="1525">
        <f>'IS (GAAP)'!G78</f>
        <v>-31.055000000000007</v>
      </c>
      <c r="H10" s="1549"/>
      <c r="I10" s="1549"/>
      <c r="J10" s="1549"/>
      <c r="K10" s="1549"/>
      <c r="L10" s="1525">
        <f>'IS (GAAP)'!L78</f>
        <v>-593.74800000000005</v>
      </c>
      <c r="M10" s="1550">
        <f>'IS (GAAP)'!M78</f>
        <v>-129.24800000000002</v>
      </c>
      <c r="N10" s="1549">
        <f>'IS (GAAP)'!N78</f>
        <v>-323.02100000000002</v>
      </c>
      <c r="O10" s="1549">
        <f>'IS (GAAP)'!O78</f>
        <v>-359.80700000000002</v>
      </c>
      <c r="P10" s="1549">
        <f>'IS (GAAP)'!P78</f>
        <v>-51.372000000000057</v>
      </c>
      <c r="Q10" s="1525">
        <f>'IS (GAAP)'!Q78</f>
        <v>-863.44800000000009</v>
      </c>
      <c r="R10" s="1550">
        <f>'IS (GAAP)'!R78</f>
        <v>-314.64100000000013</v>
      </c>
      <c r="S10" s="1550">
        <f>'IS (GAAP)'!S78</f>
        <v>-290.50899999999996</v>
      </c>
      <c r="T10" s="1549">
        <f>'IS (GAAP)'!T78</f>
        <v>-110.12400000000019</v>
      </c>
      <c r="U10" s="1549">
        <f>'IS (GAAP)'!U78</f>
        <v>-286.48372060546524</v>
      </c>
      <c r="V10" s="1525">
        <f>'IS (GAAP)'!V78</f>
        <v>-957.35072060546463</v>
      </c>
      <c r="W10" s="1549">
        <f>'IS (GAAP)'!W78</f>
        <v>-228.43756468435436</v>
      </c>
      <c r="X10" s="1549">
        <f>'IS (GAAP)'!X78</f>
        <v>-111.59709491477179</v>
      </c>
      <c r="Y10" s="1549">
        <f>'IS (GAAP)'!Y78</f>
        <v>-142.02727034282458</v>
      </c>
      <c r="Z10" s="1549">
        <f>'IS (GAAP)'!Z78</f>
        <v>-70.069495342724906</v>
      </c>
      <c r="AA10" s="1525">
        <f>'IS (GAAP)'!AA78</f>
        <v>-552.13142528467688</v>
      </c>
      <c r="AB10" s="1549">
        <f>'IS (GAAP)'!AB78</f>
        <v>-46.831040160273886</v>
      </c>
      <c r="AC10" s="1549">
        <f>'IS (GAAP)'!AC78</f>
        <v>5.1281655456858957</v>
      </c>
      <c r="AD10" s="1549">
        <f>'IS (GAAP)'!AD78</f>
        <v>34.265395698936999</v>
      </c>
      <c r="AE10" s="1549">
        <f>'IS (GAAP)'!AE78</f>
        <v>-74.7701687864852</v>
      </c>
      <c r="AF10" s="1525">
        <f>'IS (GAAP)'!AF78</f>
        <v>-82.207647702134707</v>
      </c>
      <c r="AG10" s="1549">
        <f>'IS (GAAP)'!AG78</f>
        <v>-39.736798198243235</v>
      </c>
      <c r="AH10" s="1549">
        <f>'IS (GAAP)'!AH78</f>
        <v>20.845339740901327</v>
      </c>
      <c r="AI10" s="1549">
        <f>'IS (GAAP)'!AI78</f>
        <v>3.2040506817936141</v>
      </c>
      <c r="AJ10" s="1549">
        <f>'IS (GAAP)'!AJ78</f>
        <v>-117.29317040087567</v>
      </c>
      <c r="AK10" s="1525">
        <f>'IS (GAAP)'!AK78</f>
        <v>-132.98057817642115</v>
      </c>
    </row>
    <row r="11" spans="1:37" s="1551" customFormat="1" ht="12.75" hidden="1" customHeight="1" outlineLevel="1">
      <c r="A11" s="1419"/>
      <c r="B11" s="1552" t="s">
        <v>268</v>
      </c>
      <c r="C11" s="1549"/>
      <c r="D11" s="1549"/>
      <c r="E11" s="1549"/>
      <c r="F11" s="1549"/>
      <c r="G11" s="1525">
        <f>'IS (GAAP)'!G77</f>
        <v>-0.189</v>
      </c>
      <c r="H11" s="1549"/>
      <c r="I11" s="1549"/>
      <c r="J11" s="1549"/>
      <c r="K11" s="1549"/>
      <c r="L11" s="1525">
        <f>'IS (GAAP)'!L77</f>
        <v>0</v>
      </c>
      <c r="M11" s="1549"/>
      <c r="N11" s="1549"/>
      <c r="O11" s="1549"/>
      <c r="P11" s="1549">
        <f>'IS (GAAP)'!P77</f>
        <v>0</v>
      </c>
      <c r="Q11" s="1525">
        <f>'IS (GAAP)'!Q77</f>
        <v>0</v>
      </c>
      <c r="R11" s="1550">
        <f>'IS (GAAP)'!R77</f>
        <v>0</v>
      </c>
      <c r="S11" s="1550">
        <f>'IS (GAAP)'!S77</f>
        <v>0</v>
      </c>
      <c r="T11" s="1549">
        <f>'IS (GAAP)'!T77</f>
        <v>0</v>
      </c>
      <c r="U11" s="1549">
        <f>'IS (GAAP)'!U77</f>
        <v>0</v>
      </c>
      <c r="V11" s="1525">
        <f>'IS (GAAP)'!V77</f>
        <v>0</v>
      </c>
      <c r="W11" s="1549">
        <f>'IS (GAAP)'!W77</f>
        <v>0</v>
      </c>
      <c r="X11" s="1549">
        <f>'IS (GAAP)'!X77</f>
        <v>0</v>
      </c>
      <c r="Y11" s="1549">
        <f>'IS (GAAP)'!Y77</f>
        <v>0</v>
      </c>
      <c r="Z11" s="1549">
        <f>'IS (GAAP)'!Z77</f>
        <v>0</v>
      </c>
      <c r="AA11" s="1525">
        <f>'IS (GAAP)'!AA77</f>
        <v>0</v>
      </c>
      <c r="AB11" s="1549">
        <f>'IS (GAAP)'!AB77</f>
        <v>0</v>
      </c>
      <c r="AC11" s="1549">
        <f>'IS (GAAP)'!AC77</f>
        <v>0</v>
      </c>
      <c r="AD11" s="1549">
        <f>'IS (GAAP)'!AD77</f>
        <v>0</v>
      </c>
      <c r="AE11" s="1549">
        <f>'IS (GAAP)'!AE77</f>
        <v>0</v>
      </c>
      <c r="AF11" s="1525">
        <f>'IS (GAAP)'!AF77</f>
        <v>0</v>
      </c>
      <c r="AG11" s="1549">
        <f>'IS (GAAP)'!AG77</f>
        <v>0</v>
      </c>
      <c r="AH11" s="1549">
        <f>'IS (GAAP)'!AH77</f>
        <v>0</v>
      </c>
      <c r="AI11" s="1549">
        <f>'IS (GAAP)'!AI77</f>
        <v>0</v>
      </c>
      <c r="AJ11" s="1549">
        <f>'IS (GAAP)'!AJ77</f>
        <v>0</v>
      </c>
      <c r="AK11" s="1525">
        <f>'IS (GAAP)'!AK77</f>
        <v>0</v>
      </c>
    </row>
    <row r="12" spans="1:37" s="1551" customFormat="1" ht="12.75" hidden="1" customHeight="1" outlineLevel="1">
      <c r="A12" s="1419"/>
      <c r="B12" s="1552" t="s">
        <v>269</v>
      </c>
      <c r="C12" s="1549"/>
      <c r="D12" s="1549"/>
      <c r="E12" s="1549"/>
      <c r="F12" s="1549"/>
      <c r="G12" s="1553">
        <f>G10-G11</f>
        <v>-30.866000000000007</v>
      </c>
      <c r="H12" s="1554"/>
      <c r="I12" s="1554"/>
      <c r="J12" s="1554"/>
      <c r="K12" s="1554"/>
      <c r="L12" s="1553">
        <f>L10-L11</f>
        <v>-593.74800000000005</v>
      </c>
      <c r="M12" s="1554">
        <f>M10-M11</f>
        <v>-129.24800000000002</v>
      </c>
      <c r="N12" s="1554">
        <f>N10-N11</f>
        <v>-323.02100000000002</v>
      </c>
      <c r="O12" s="1554">
        <f>O10-O11</f>
        <v>-359.80700000000002</v>
      </c>
      <c r="P12" s="1554">
        <f t="shared" ref="P12:U12" si="0">P10-P11</f>
        <v>-51.372000000000057</v>
      </c>
      <c r="Q12" s="1553">
        <f t="shared" si="0"/>
        <v>-863.44800000000009</v>
      </c>
      <c r="R12" s="1555">
        <f t="shared" si="0"/>
        <v>-314.64100000000013</v>
      </c>
      <c r="S12" s="1555">
        <f t="shared" si="0"/>
        <v>-290.50899999999996</v>
      </c>
      <c r="T12" s="1554">
        <f t="shared" si="0"/>
        <v>-110.12400000000019</v>
      </c>
      <c r="U12" s="1554">
        <f t="shared" si="0"/>
        <v>-286.48372060546524</v>
      </c>
      <c r="V12" s="1553">
        <f t="shared" ref="V12:AA12" si="1">V10-V11</f>
        <v>-957.35072060546463</v>
      </c>
      <c r="W12" s="1554">
        <f t="shared" si="1"/>
        <v>-228.43756468435436</v>
      </c>
      <c r="X12" s="1554">
        <f t="shared" si="1"/>
        <v>-111.59709491477179</v>
      </c>
      <c r="Y12" s="1554">
        <f t="shared" si="1"/>
        <v>-142.02727034282458</v>
      </c>
      <c r="Z12" s="1554">
        <f t="shared" si="1"/>
        <v>-70.069495342724906</v>
      </c>
      <c r="AA12" s="1553">
        <f t="shared" si="1"/>
        <v>-552.13142528467688</v>
      </c>
      <c r="AB12" s="1554">
        <f t="shared" ref="AB12:AK12" si="2">AB10-AB11</f>
        <v>-46.831040160273886</v>
      </c>
      <c r="AC12" s="1554">
        <f t="shared" si="2"/>
        <v>5.1281655456858957</v>
      </c>
      <c r="AD12" s="1554">
        <f t="shared" si="2"/>
        <v>34.265395698936999</v>
      </c>
      <c r="AE12" s="1554">
        <f t="shared" si="2"/>
        <v>-74.7701687864852</v>
      </c>
      <c r="AF12" s="1553">
        <f t="shared" si="2"/>
        <v>-82.207647702134707</v>
      </c>
      <c r="AG12" s="1554">
        <f t="shared" si="2"/>
        <v>-39.736798198243235</v>
      </c>
      <c r="AH12" s="1554">
        <f t="shared" si="2"/>
        <v>20.845339740901327</v>
      </c>
      <c r="AI12" s="1554">
        <f t="shared" si="2"/>
        <v>3.2040506817936141</v>
      </c>
      <c r="AJ12" s="1554">
        <f t="shared" si="2"/>
        <v>-117.29317040087567</v>
      </c>
      <c r="AK12" s="1553">
        <f t="shared" si="2"/>
        <v>-132.98057817642115</v>
      </c>
    </row>
    <row r="13" spans="1:37" s="1551" customFormat="1" ht="12.75" customHeight="1" collapsed="1">
      <c r="A13" s="1419"/>
      <c r="B13" s="1548"/>
      <c r="C13" s="1549"/>
      <c r="D13" s="1549"/>
      <c r="E13" s="1549"/>
      <c r="F13" s="1549"/>
      <c r="G13" s="1525"/>
      <c r="H13" s="1549"/>
      <c r="I13" s="1549"/>
      <c r="J13" s="1549"/>
      <c r="K13" s="1549"/>
      <c r="L13" s="1525"/>
      <c r="M13" s="1549"/>
      <c r="N13" s="1549"/>
      <c r="O13" s="1549"/>
      <c r="P13" s="1549"/>
      <c r="Q13" s="1525"/>
      <c r="R13" s="1550"/>
      <c r="S13" s="1550"/>
      <c r="T13" s="1549"/>
      <c r="U13" s="1549"/>
      <c r="V13" s="1525"/>
      <c r="W13" s="1549"/>
      <c r="X13" s="1549"/>
      <c r="Y13" s="1549"/>
      <c r="Z13" s="1549"/>
      <c r="AA13" s="1525"/>
      <c r="AB13" s="1549"/>
      <c r="AC13" s="1549"/>
      <c r="AD13" s="1549"/>
      <c r="AE13" s="1549"/>
      <c r="AF13" s="1525"/>
      <c r="AG13" s="1549"/>
      <c r="AH13" s="1549"/>
      <c r="AI13" s="1549"/>
      <c r="AJ13" s="1549"/>
      <c r="AK13" s="1525"/>
    </row>
    <row r="14" spans="1:37" s="1551" customFormat="1" ht="12.75" customHeight="1">
      <c r="A14" s="1419"/>
      <c r="B14" s="1556" t="s">
        <v>168</v>
      </c>
      <c r="C14" s="1557"/>
      <c r="D14" s="1557"/>
      <c r="E14" s="1557"/>
      <c r="F14" s="1557"/>
      <c r="G14" s="1558">
        <v>11.695</v>
      </c>
      <c r="H14" s="1549"/>
      <c r="I14" s="1549"/>
      <c r="J14" s="1549"/>
      <c r="K14" s="1549"/>
      <c r="L14" s="1558">
        <v>103.21</v>
      </c>
      <c r="M14" s="1559">
        <v>79.510000000000005</v>
      </c>
      <c r="N14" s="1559">
        <v>164.46</v>
      </c>
      <c r="O14" s="1557">
        <v>254.024</v>
      </c>
      <c r="P14" s="1557">
        <v>365.41899999999998</v>
      </c>
      <c r="Q14" s="1558">
        <v>863.41300000000001</v>
      </c>
      <c r="R14" s="1559">
        <v>443.49700000000001</v>
      </c>
      <c r="S14" s="1559">
        <v>559.48099999999999</v>
      </c>
      <c r="T14" s="1559">
        <v>630.47900000000004</v>
      </c>
      <c r="U14" s="1549">
        <f>'Depreciation Build'!U23</f>
        <v>785.14887528361112</v>
      </c>
      <c r="V14" s="1553">
        <f>'Depreciation Build'!V23</f>
        <v>2123.8543615085878</v>
      </c>
      <c r="W14" s="1549">
        <f>'Depreciation Build'!W23</f>
        <v>1175.5894636081887</v>
      </c>
      <c r="X14" s="1549">
        <f>'Depreciation Build'!X23</f>
        <v>1380.6780392585222</v>
      </c>
      <c r="Y14" s="1549">
        <f>'Depreciation Build'!Y23</f>
        <v>1513.2447761080389</v>
      </c>
      <c r="Z14" s="1549">
        <f>'Depreciation Build'!Z23</f>
        <v>1646.1933827419577</v>
      </c>
      <c r="AA14" s="1553">
        <f>'Depreciation Build'!AA23</f>
        <v>5715.7056617167073</v>
      </c>
      <c r="AB14" s="1549">
        <f>'Depreciation Build'!AB23</f>
        <v>1863.3323690668949</v>
      </c>
      <c r="AC14" s="1549">
        <f>'Depreciation Build'!AC23</f>
        <v>2081.5041356817528</v>
      </c>
      <c r="AD14" s="1549">
        <f>'Depreciation Build'!AD23</f>
        <v>2299.277505421187</v>
      </c>
      <c r="AE14" s="1549">
        <f>'Depreciation Build'!AE23</f>
        <v>2518.3587441657987</v>
      </c>
      <c r="AF14" s="1553">
        <f>'Depreciation Build'!AF23</f>
        <v>8762.472754335633</v>
      </c>
      <c r="AG14" s="1549">
        <f>'Depreciation Build'!AG23</f>
        <v>2705.1133576629231</v>
      </c>
      <c r="AH14" s="1549">
        <f>'Depreciation Build'!AH23</f>
        <v>2905.0519633823087</v>
      </c>
      <c r="AI14" s="1549">
        <f>'Depreciation Build'!AI23</f>
        <v>3103.8403016294069</v>
      </c>
      <c r="AJ14" s="1549">
        <f>'Depreciation Build'!AJ23</f>
        <v>3304.1983024500328</v>
      </c>
      <c r="AK14" s="1553">
        <f>'Depreciation Build'!AK23</f>
        <v>12018.20392512467</v>
      </c>
    </row>
    <row r="15" spans="1:37" s="1551" customFormat="1" ht="12.75" customHeight="1">
      <c r="A15" s="1419"/>
      <c r="B15" s="1556" t="s">
        <v>270</v>
      </c>
      <c r="C15" s="1557"/>
      <c r="D15" s="1557"/>
      <c r="E15" s="1557"/>
      <c r="F15" s="1557"/>
      <c r="G15" s="1558">
        <v>1.6E-2</v>
      </c>
      <c r="H15" s="1549"/>
      <c r="I15" s="1549"/>
      <c r="J15" s="1549"/>
      <c r="K15" s="1549"/>
      <c r="L15" s="1558">
        <v>20.404</v>
      </c>
      <c r="M15" s="1557">
        <v>15.09</v>
      </c>
      <c r="N15" s="1557">
        <v>26.925000000000001</v>
      </c>
      <c r="O15" s="1549"/>
      <c r="P15" s="1557">
        <v>0</v>
      </c>
      <c r="Q15" s="1558">
        <v>122.748</v>
      </c>
      <c r="R15" s="1559">
        <v>66.869</v>
      </c>
      <c r="S15" s="1559">
        <v>77.244</v>
      </c>
      <c r="T15" s="1559">
        <v>89.722999999999999</v>
      </c>
      <c r="U15" s="1557"/>
      <c r="V15" s="1553">
        <f>SUM(R15:U15)</f>
        <v>233.83600000000001</v>
      </c>
      <c r="W15" s="1557"/>
      <c r="X15" s="1557"/>
      <c r="Y15" s="1557"/>
      <c r="Z15" s="1557"/>
      <c r="AA15" s="1553">
        <f>SUM(W15:Z15)</f>
        <v>0</v>
      </c>
      <c r="AB15" s="1557"/>
      <c r="AC15" s="1557"/>
      <c r="AD15" s="1557"/>
      <c r="AE15" s="1557"/>
      <c r="AF15" s="1553">
        <f>SUM(AB15:AE15)</f>
        <v>0</v>
      </c>
      <c r="AG15" s="1557"/>
      <c r="AH15" s="1557"/>
      <c r="AI15" s="1557"/>
      <c r="AJ15" s="1557"/>
      <c r="AK15" s="1553">
        <f>SUM(AG15:AJ15)</f>
        <v>0</v>
      </c>
    </row>
    <row r="16" spans="1:37" s="1551" customFormat="1" ht="12.75" customHeight="1">
      <c r="A16" s="1419"/>
      <c r="B16" s="1556" t="s">
        <v>271</v>
      </c>
      <c r="C16" s="1557"/>
      <c r="D16" s="1557"/>
      <c r="E16" s="1557"/>
      <c r="F16" s="1557"/>
      <c r="G16" s="1558">
        <v>3.8029999999999999</v>
      </c>
      <c r="H16" s="1549"/>
      <c r="I16" s="1549"/>
      <c r="J16" s="1549"/>
      <c r="K16" s="1549"/>
      <c r="L16" s="1558">
        <v>16.533000000000001</v>
      </c>
      <c r="M16" s="1559">
        <v>8.0579999999999998</v>
      </c>
      <c r="N16" s="1559">
        <v>7.5469999999999997</v>
      </c>
      <c r="O16" s="1549"/>
      <c r="P16" s="1557">
        <v>0</v>
      </c>
      <c r="Q16" s="1558">
        <v>33.375999999999998</v>
      </c>
      <c r="R16" s="1559">
        <v>37.691000000000003</v>
      </c>
      <c r="S16" s="1559">
        <v>29.036000000000001</v>
      </c>
      <c r="T16" s="1559">
        <v>21.048999999999999</v>
      </c>
      <c r="U16" s="1549">
        <f>-'Debt Model'!U79</f>
        <v>6.8462500000000004</v>
      </c>
      <c r="V16" s="1553">
        <f>-'Debt Model'!V79</f>
        <v>94.622250000000008</v>
      </c>
      <c r="W16" s="1550">
        <f>-'Debt Model'!W79</f>
        <v>12.321250000000001</v>
      </c>
      <c r="X16" s="1549">
        <f>-'Debt Model'!X79</f>
        <v>16.971250000000001</v>
      </c>
      <c r="Y16" s="1549">
        <f>-'Debt Model'!Y79</f>
        <v>19.221250000000001</v>
      </c>
      <c r="Z16" s="1549">
        <f>-'Debt Model'!Z79</f>
        <v>19.971250000000001</v>
      </c>
      <c r="AA16" s="1553">
        <f>-'Debt Model'!AA79</f>
        <v>68.484999999999999</v>
      </c>
      <c r="AB16" s="1550">
        <f>-'Debt Model'!AB79</f>
        <v>22.37125</v>
      </c>
      <c r="AC16" s="1549">
        <f>-'Debt Model'!AC79</f>
        <v>26.421249999999997</v>
      </c>
      <c r="AD16" s="1549">
        <f>-'Debt Model'!AD79</f>
        <v>29.271249999999998</v>
      </c>
      <c r="AE16" s="1549">
        <f>-'Debt Model'!AE79</f>
        <v>30.321249999999999</v>
      </c>
      <c r="AF16" s="1553">
        <f>-'Debt Model'!AF79</f>
        <v>108.38499999999999</v>
      </c>
      <c r="AG16" s="1550">
        <f>-'Debt Model'!AG79</f>
        <v>32.946249999999999</v>
      </c>
      <c r="AH16" s="1549">
        <f>-'Debt Model'!AH79</f>
        <v>36.171250000000001</v>
      </c>
      <c r="AI16" s="1549">
        <f>-'Debt Model'!AI79</f>
        <v>38.496249999999996</v>
      </c>
      <c r="AJ16" s="1549">
        <f>-'Debt Model'!AJ79</f>
        <v>39.246249999999996</v>
      </c>
      <c r="AK16" s="1553">
        <f>-'Debt Model'!AK79</f>
        <v>146.86000000000001</v>
      </c>
    </row>
    <row r="17" spans="1:37" s="1551" customFormat="1" ht="12.75" customHeight="1">
      <c r="A17" s="1419"/>
      <c r="B17" s="1556" t="s">
        <v>547</v>
      </c>
      <c r="C17" s="1557"/>
      <c r="D17" s="1557"/>
      <c r="E17" s="1557"/>
      <c r="F17" s="1557"/>
      <c r="G17" s="1525">
        <v>0</v>
      </c>
      <c r="H17" s="1557">
        <v>0</v>
      </c>
      <c r="I17" s="1557">
        <v>0</v>
      </c>
      <c r="J17" s="1557">
        <v>0</v>
      </c>
      <c r="K17" s="1557">
        <v>0</v>
      </c>
      <c r="L17" s="1553">
        <f>SUM(H17:K17)</f>
        <v>0</v>
      </c>
      <c r="M17" s="1557">
        <v>0</v>
      </c>
      <c r="N17" s="1557">
        <v>0</v>
      </c>
      <c r="O17" s="1557"/>
      <c r="P17" s="1557">
        <v>0</v>
      </c>
      <c r="Q17" s="1553">
        <f>SUM(M17:P17)</f>
        <v>0</v>
      </c>
      <c r="R17" s="1559">
        <v>0</v>
      </c>
      <c r="S17" s="1559">
        <v>0</v>
      </c>
      <c r="T17" s="1559">
        <v>0</v>
      </c>
      <c r="U17" s="1557">
        <v>8.2059999999999995</v>
      </c>
      <c r="V17" s="1553">
        <f>SUM(R17:U17)</f>
        <v>8.2059999999999995</v>
      </c>
      <c r="W17" s="1559">
        <v>16.853999999999999</v>
      </c>
      <c r="X17" s="1557">
        <v>17.2</v>
      </c>
      <c r="Y17" s="1557">
        <v>17.388999999999999</v>
      </c>
      <c r="Z17" s="1557">
        <v>17.388999999999999</v>
      </c>
      <c r="AA17" s="1553">
        <f>SUM(W17:Z17)</f>
        <v>68.831999999999994</v>
      </c>
      <c r="AB17" s="1559">
        <f>68.991/4</f>
        <v>17.24775</v>
      </c>
      <c r="AC17" s="1557">
        <f>68.991/4</f>
        <v>17.24775</v>
      </c>
      <c r="AD17" s="1557">
        <f>68.991/4</f>
        <v>17.24775</v>
      </c>
      <c r="AE17" s="1557">
        <f>68.991/4</f>
        <v>17.24775</v>
      </c>
      <c r="AF17" s="1553">
        <f>SUM(AB17:AE17)</f>
        <v>68.991</v>
      </c>
      <c r="AG17" s="1559">
        <f>68.991/4</f>
        <v>17.24775</v>
      </c>
      <c r="AH17" s="1557">
        <f>68.991/4</f>
        <v>17.24775</v>
      </c>
      <c r="AI17" s="1557">
        <f>68.991/4</f>
        <v>17.24775</v>
      </c>
      <c r="AJ17" s="1557">
        <f>68.991/4</f>
        <v>17.24775</v>
      </c>
      <c r="AK17" s="1553">
        <f>SUM(AG17:AJ17)</f>
        <v>68.991</v>
      </c>
    </row>
    <row r="18" spans="1:37" s="1551" customFormat="1" ht="12.75" customHeight="1">
      <c r="A18" s="1419"/>
      <c r="B18" s="1560" t="s">
        <v>629</v>
      </c>
      <c r="C18" s="1557"/>
      <c r="D18" s="1557"/>
      <c r="E18" s="1557"/>
      <c r="F18" s="1557"/>
      <c r="G18" s="1558">
        <v>2.8839999999999999</v>
      </c>
      <c r="H18" s="1549"/>
      <c r="I18" s="1549"/>
      <c r="J18" s="1549"/>
      <c r="K18" s="1549"/>
      <c r="L18" s="1558">
        <v>533.952</v>
      </c>
      <c r="M18" s="1557">
        <v>97.5</v>
      </c>
      <c r="N18" s="1557">
        <v>310.23099999999999</v>
      </c>
      <c r="O18" s="1549"/>
      <c r="P18" s="1557">
        <v>7.0650000000000004</v>
      </c>
      <c r="Q18" s="1558">
        <v>755.92899999999997</v>
      </c>
      <c r="R18" s="1559">
        <v>-26.837</v>
      </c>
      <c r="S18" s="1559">
        <v>0</v>
      </c>
      <c r="T18" s="1559">
        <v>0</v>
      </c>
      <c r="U18" s="1549"/>
      <c r="V18" s="1553">
        <f>SUM(R18:U18)</f>
        <v>-26.837</v>
      </c>
      <c r="W18" s="1549"/>
      <c r="X18" s="1549"/>
      <c r="Y18" s="1549"/>
      <c r="Z18" s="1549"/>
      <c r="AA18" s="1553">
        <f>SUM(W18:Z18)</f>
        <v>0</v>
      </c>
      <c r="AB18" s="1549"/>
      <c r="AC18" s="1549"/>
      <c r="AD18" s="1549"/>
      <c r="AE18" s="1549"/>
      <c r="AF18" s="1553">
        <f>SUM(AB18:AE18)</f>
        <v>0</v>
      </c>
      <c r="AG18" s="1549"/>
      <c r="AH18" s="1549"/>
      <c r="AI18" s="1549"/>
      <c r="AJ18" s="1549"/>
      <c r="AK18" s="1553">
        <f>SUM(AG18:AJ18)</f>
        <v>0</v>
      </c>
    </row>
    <row r="19" spans="1:37" s="1551" customFormat="1" ht="12.75" customHeight="1">
      <c r="A19" s="1419"/>
      <c r="B19" s="1560" t="s">
        <v>70</v>
      </c>
      <c r="C19" s="1557"/>
      <c r="D19" s="1557"/>
      <c r="E19" s="1557"/>
      <c r="F19" s="1557"/>
      <c r="G19" s="1525">
        <f>'IS (Non-GAAP)'!G106</f>
        <v>1.49</v>
      </c>
      <c r="H19" s="1549"/>
      <c r="I19" s="1549"/>
      <c r="J19" s="1549"/>
      <c r="K19" s="1549"/>
      <c r="L19" s="1525">
        <f>'IS (Non-GAAP)'!L106</f>
        <v>15.154</v>
      </c>
      <c r="M19" s="1550">
        <f>'IS (Non-GAAP)'!M106</f>
        <v>8.1890000000000001</v>
      </c>
      <c r="N19" s="1550">
        <f>'IS (Non-GAAP)'!N106</f>
        <v>7.66</v>
      </c>
      <c r="O19" s="1550">
        <f>'IS (Non-GAAP)'!O106</f>
        <v>7.617</v>
      </c>
      <c r="P19" s="1550">
        <f>'IS (Non-GAAP)'!P106</f>
        <v>8.0220000000000002</v>
      </c>
      <c r="Q19" s="1525">
        <f>'IS (Non-GAAP)'!Q106</f>
        <v>31.488</v>
      </c>
      <c r="R19" s="1549">
        <f>'IS (Non-GAAP)'!R106</f>
        <v>183.97300000000001</v>
      </c>
      <c r="S19" s="1549">
        <f>'IS (Non-GAAP)'!S106</f>
        <v>145.005</v>
      </c>
      <c r="T19" s="1549">
        <f>'IS (Non-GAAP)'!T106</f>
        <v>144.43099999999998</v>
      </c>
      <c r="U19" s="1549">
        <f>'IS (Non-GAAP)'!U106</f>
        <v>69.429592725087801</v>
      </c>
      <c r="V19" s="1525">
        <f>'IS (Non-GAAP)'!V106</f>
        <v>542.83859272508778</v>
      </c>
      <c r="W19" s="1549">
        <f>'IS (Non-GAAP)'!W106</f>
        <v>142.53614041665696</v>
      </c>
      <c r="X19" s="1549">
        <f>'IS (Non-GAAP)'!X106</f>
        <v>103.74673143662145</v>
      </c>
      <c r="Y19" s="1549">
        <f>'IS (Non-GAAP)'!Y106</f>
        <v>108.55957656139807</v>
      </c>
      <c r="Z19" s="1549">
        <f>'IS (Non-GAAP)'!Z106</f>
        <v>109.1397100679437</v>
      </c>
      <c r="AA19" s="1525">
        <f>'IS (Non-GAAP)'!AA106</f>
        <v>463.98215848262021</v>
      </c>
      <c r="AB19" s="1549">
        <f>'IS (Non-GAAP)'!AB106</f>
        <v>97.196142489706745</v>
      </c>
      <c r="AC19" s="1549">
        <f>'IS (Non-GAAP)'!AC106</f>
        <v>137.74515456001143</v>
      </c>
      <c r="AD19" s="1549">
        <f>'IS (Non-GAAP)'!AD106</f>
        <v>89.476654755576817</v>
      </c>
      <c r="AE19" s="1549">
        <f>'IS (Non-GAAP)'!AE106</f>
        <v>131.9785322632568</v>
      </c>
      <c r="AF19" s="1525">
        <f>'IS (Non-GAAP)'!AF106</f>
        <v>456.39648406855179</v>
      </c>
      <c r="AG19" s="1549">
        <f>'IS (Non-GAAP)'!AG106</f>
        <v>113.42429100132455</v>
      </c>
      <c r="AH19" s="1549">
        <f>'IS (Non-GAAP)'!AH106</f>
        <v>112.02074421184531</v>
      </c>
      <c r="AI19" s="1549">
        <f>'IS (Non-GAAP)'!AI106</f>
        <v>91.95042839736405</v>
      </c>
      <c r="AJ19" s="1549">
        <f>'IS (Non-GAAP)'!AJ106</f>
        <v>88.259444090504218</v>
      </c>
      <c r="AK19" s="1525">
        <f>'IS (Non-GAAP)'!AK106</f>
        <v>405.6549077010381</v>
      </c>
    </row>
    <row r="20" spans="1:37" s="1551" customFormat="1" ht="12.75" customHeight="1">
      <c r="A20" s="1419"/>
      <c r="B20" s="1556" t="s">
        <v>272</v>
      </c>
      <c r="C20" s="1557"/>
      <c r="D20" s="1557"/>
      <c r="E20" s="1557"/>
      <c r="F20" s="1557"/>
      <c r="G20" s="1558">
        <v>0</v>
      </c>
      <c r="H20" s="1557">
        <v>0</v>
      </c>
      <c r="I20" s="1557">
        <v>0</v>
      </c>
      <c r="J20" s="1557">
        <v>0</v>
      </c>
      <c r="K20" s="1557">
        <v>0</v>
      </c>
      <c r="L20" s="1553">
        <f>SUM(H20:K20)</f>
        <v>0</v>
      </c>
      <c r="M20" s="1557">
        <v>0</v>
      </c>
      <c r="N20" s="1557">
        <v>0</v>
      </c>
      <c r="O20" s="1549"/>
      <c r="P20" s="1557">
        <v>0</v>
      </c>
      <c r="Q20" s="1558">
        <v>11.708</v>
      </c>
      <c r="R20" s="1559">
        <v>0</v>
      </c>
      <c r="S20" s="1559">
        <v>0</v>
      </c>
      <c r="T20" s="1559">
        <v>14.486000000000001</v>
      </c>
      <c r="U20" s="1557"/>
      <c r="V20" s="1553">
        <f>SUM(R20:U20)</f>
        <v>14.486000000000001</v>
      </c>
      <c r="W20" s="1557"/>
      <c r="X20" s="1557"/>
      <c r="Y20" s="1557"/>
      <c r="Z20" s="1557"/>
      <c r="AA20" s="1553">
        <f>SUM(W20:Z20)</f>
        <v>0</v>
      </c>
      <c r="AB20" s="1557"/>
      <c r="AC20" s="1557"/>
      <c r="AD20" s="1557"/>
      <c r="AE20" s="1557"/>
      <c r="AF20" s="1553">
        <f>SUM(AB20:AE20)</f>
        <v>0</v>
      </c>
      <c r="AG20" s="1557"/>
      <c r="AH20" s="1557"/>
      <c r="AI20" s="1557"/>
      <c r="AJ20" s="1557"/>
      <c r="AK20" s="1553">
        <f>SUM(AG20:AJ20)</f>
        <v>0</v>
      </c>
    </row>
    <row r="21" spans="1:37" s="1551" customFormat="1" ht="12.75" customHeight="1">
      <c r="A21" s="1419"/>
      <c r="B21" s="1556" t="s">
        <v>273</v>
      </c>
      <c r="C21" s="1557"/>
      <c r="D21" s="1557"/>
      <c r="E21" s="1557"/>
      <c r="F21" s="1557"/>
      <c r="G21" s="1558">
        <v>-1.284</v>
      </c>
      <c r="H21" s="1549"/>
      <c r="I21" s="1549"/>
      <c r="J21" s="1549"/>
      <c r="K21" s="1549"/>
      <c r="L21" s="1558">
        <v>35.816000000000003</v>
      </c>
      <c r="M21" s="1559">
        <v>14.686</v>
      </c>
      <c r="N21" s="1559">
        <v>28.521000000000001</v>
      </c>
      <c r="O21" s="1549"/>
      <c r="P21" s="1557">
        <v>32.533000000000001</v>
      </c>
      <c r="Q21" s="1558">
        <v>112.785</v>
      </c>
      <c r="R21" s="1559">
        <v>44.616999999999997</v>
      </c>
      <c r="S21" s="1559">
        <v>46.267000000000003</v>
      </c>
      <c r="T21" s="1559">
        <v>-128.02500000000001</v>
      </c>
      <c r="U21" s="1549">
        <f>BS!U44-BS!T44</f>
        <v>49.999999999999986</v>
      </c>
      <c r="V21" s="1553">
        <f>SUM(R21:U21)</f>
        <v>12.85899999999998</v>
      </c>
      <c r="W21" s="1549">
        <f>BS!W44-BS!V44</f>
        <v>50</v>
      </c>
      <c r="X21" s="1549">
        <f>BS!X44-BS!W44</f>
        <v>100</v>
      </c>
      <c r="Y21" s="1549">
        <f>BS!Y44-BS!X44</f>
        <v>125</v>
      </c>
      <c r="Z21" s="1549">
        <f>BS!Z44-BS!Y44</f>
        <v>150.00000000000006</v>
      </c>
      <c r="AA21" s="1553">
        <f>SUM(W21:Z21)</f>
        <v>425.00000000000006</v>
      </c>
      <c r="AB21" s="1549">
        <f>BS!AB44-BS!AA44</f>
        <v>100</v>
      </c>
      <c r="AC21" s="1549">
        <f>BS!AC44-BS!AB44</f>
        <v>100</v>
      </c>
      <c r="AD21" s="1549">
        <f>BS!AD44-BS!AC44</f>
        <v>100</v>
      </c>
      <c r="AE21" s="1549">
        <f>BS!AE44-BS!AD44</f>
        <v>100</v>
      </c>
      <c r="AF21" s="1553">
        <f>SUM(AB21:AE21)</f>
        <v>400</v>
      </c>
      <c r="AG21" s="1549">
        <f>BS!AG44-BS!AF44</f>
        <v>100</v>
      </c>
      <c r="AH21" s="1549">
        <f>BS!AH44-BS!AG44</f>
        <v>100</v>
      </c>
      <c r="AI21" s="1549">
        <f>BS!AI44-BS!AH44</f>
        <v>100</v>
      </c>
      <c r="AJ21" s="1549">
        <f>BS!AJ44-BS!AI44</f>
        <v>100</v>
      </c>
      <c r="AK21" s="1553">
        <f>SUM(AG21:AJ21)</f>
        <v>400</v>
      </c>
    </row>
    <row r="22" spans="1:37" s="1551" customFormat="1" ht="12.75" customHeight="1">
      <c r="A22" s="1419"/>
      <c r="B22" s="1556" t="s">
        <v>630</v>
      </c>
      <c r="C22" s="1557"/>
      <c r="D22" s="1557"/>
      <c r="E22" s="1557"/>
      <c r="F22" s="1557"/>
      <c r="G22" s="1558">
        <v>0</v>
      </c>
      <c r="H22" s="1549"/>
      <c r="I22" s="1549"/>
      <c r="J22" s="1549"/>
      <c r="K22" s="1549"/>
      <c r="L22" s="1558">
        <v>0.63200000000000001</v>
      </c>
      <c r="M22" s="1557">
        <v>-0.88600000000000001</v>
      </c>
      <c r="N22" s="1557">
        <v>-2.9620000000000002</v>
      </c>
      <c r="O22" s="1549"/>
      <c r="P22" s="1557">
        <v>0</v>
      </c>
      <c r="Q22" s="1558">
        <v>3.286</v>
      </c>
      <c r="R22" s="1559">
        <v>22.722999999999999</v>
      </c>
      <c r="S22" s="1559">
        <v>17.408999999999999</v>
      </c>
      <c r="T22" s="1559">
        <v>9.2560000000000002</v>
      </c>
      <c r="U22" s="1557"/>
      <c r="V22" s="1553">
        <f>SUM(R22:U22)</f>
        <v>49.387999999999998</v>
      </c>
      <c r="W22" s="1557"/>
      <c r="X22" s="1557"/>
      <c r="Y22" s="1557"/>
      <c r="Z22" s="1557"/>
      <c r="AA22" s="1553">
        <f>SUM(W22:Z22)</f>
        <v>0</v>
      </c>
      <c r="AB22" s="1557"/>
      <c r="AC22" s="1557"/>
      <c r="AD22" s="1557"/>
      <c r="AE22" s="1557"/>
      <c r="AF22" s="1553">
        <f>SUM(AB22:AE22)</f>
        <v>0</v>
      </c>
      <c r="AG22" s="1557"/>
      <c r="AH22" s="1557"/>
      <c r="AI22" s="1557"/>
      <c r="AJ22" s="1557"/>
      <c r="AK22" s="1553">
        <f>SUM(AG22:AJ22)</f>
        <v>0</v>
      </c>
    </row>
    <row r="23" spans="1:37" s="1565" customFormat="1" ht="12.75" customHeight="1">
      <c r="A23" s="1419"/>
      <c r="B23" s="1556"/>
      <c r="C23" s="1561"/>
      <c r="D23" s="1562"/>
      <c r="E23" s="1562"/>
      <c r="F23" s="1562"/>
      <c r="G23" s="1553"/>
      <c r="H23" s="1549"/>
      <c r="I23" s="1549"/>
      <c r="J23" s="1549"/>
      <c r="K23" s="1549"/>
      <c r="L23" s="1553"/>
      <c r="M23" s="1557"/>
      <c r="N23" s="1557"/>
      <c r="O23" s="1549"/>
      <c r="P23" s="1557"/>
      <c r="Q23" s="1553"/>
      <c r="R23" s="1563"/>
      <c r="S23" s="1564"/>
      <c r="T23" s="1564"/>
      <c r="U23" s="1562"/>
      <c r="V23" s="1553"/>
      <c r="W23" s="1561"/>
      <c r="X23" s="1562"/>
      <c r="Y23" s="1562"/>
      <c r="Z23" s="1562"/>
      <c r="AA23" s="1553"/>
      <c r="AB23" s="1561"/>
      <c r="AC23" s="1562"/>
      <c r="AD23" s="1562"/>
      <c r="AE23" s="1562"/>
      <c r="AF23" s="1553"/>
      <c r="AG23" s="1561"/>
      <c r="AH23" s="1562"/>
      <c r="AI23" s="1562"/>
      <c r="AJ23" s="1562"/>
      <c r="AK23" s="1553"/>
    </row>
    <row r="24" spans="1:37" s="1565" customFormat="1" ht="12.75" customHeight="1">
      <c r="A24" s="1419"/>
      <c r="B24" s="1566" t="s">
        <v>71</v>
      </c>
      <c r="C24" s="1562"/>
      <c r="D24" s="1562"/>
      <c r="E24" s="1562"/>
      <c r="F24" s="1562"/>
      <c r="G24" s="1553"/>
      <c r="H24" s="1549"/>
      <c r="I24" s="1549"/>
      <c r="J24" s="1549"/>
      <c r="K24" s="1549"/>
      <c r="L24" s="1553"/>
      <c r="M24" s="1557"/>
      <c r="N24" s="1557"/>
      <c r="O24" s="1549"/>
      <c r="P24" s="1557"/>
      <c r="Q24" s="1553"/>
      <c r="R24" s="1564"/>
      <c r="S24" s="1564"/>
      <c r="T24" s="1564"/>
      <c r="U24" s="1562"/>
      <c r="V24" s="1553"/>
      <c r="W24" s="1562"/>
      <c r="X24" s="1562"/>
      <c r="Y24" s="1562"/>
      <c r="Z24" s="1562"/>
      <c r="AA24" s="1553"/>
      <c r="AB24" s="1562"/>
      <c r="AC24" s="1562"/>
      <c r="AD24" s="1562"/>
      <c r="AE24" s="1562"/>
      <c r="AF24" s="1553"/>
      <c r="AG24" s="1562"/>
      <c r="AH24" s="1562"/>
      <c r="AI24" s="1562"/>
      <c r="AJ24" s="1562"/>
      <c r="AK24" s="1553"/>
    </row>
    <row r="25" spans="1:37" s="1565" customFormat="1" ht="12.75" customHeight="1">
      <c r="A25" s="1419"/>
      <c r="B25" s="1556" t="s">
        <v>274</v>
      </c>
      <c r="C25" s="1557"/>
      <c r="D25" s="1557"/>
      <c r="E25" s="1557"/>
      <c r="F25" s="1557"/>
      <c r="G25" s="1558">
        <v>-1.893</v>
      </c>
      <c r="H25" s="1549"/>
      <c r="I25" s="1549"/>
      <c r="J25" s="1549"/>
      <c r="K25" s="1549"/>
      <c r="L25" s="1558">
        <v>-162.41300000000001</v>
      </c>
      <c r="M25" s="1559">
        <v>54.328000000000003</v>
      </c>
      <c r="N25" s="1559">
        <v>-235.07599999999999</v>
      </c>
      <c r="O25" s="1549"/>
      <c r="P25" s="1557">
        <v>81.619</v>
      </c>
      <c r="Q25" s="1558">
        <v>-279.72000000000003</v>
      </c>
      <c r="R25" s="1559">
        <v>-638.75</v>
      </c>
      <c r="S25" s="1559">
        <v>-865.94600000000003</v>
      </c>
      <c r="T25" s="1559">
        <v>252.18899999999999</v>
      </c>
      <c r="U25" s="1549">
        <f>BS!T13-BS!U13</f>
        <v>631.32358265550147</v>
      </c>
      <c r="V25" s="1553">
        <f t="shared" ref="V25:V32" si="3">SUM(R25:U25)</f>
        <v>-621.18341734449837</v>
      </c>
      <c r="W25" s="1549">
        <f>BS!V13-BS!W13</f>
        <v>-616.88415866562173</v>
      </c>
      <c r="X25" s="1550">
        <f>BS!W13-BS!X13</f>
        <v>-1975.2506242440334</v>
      </c>
      <c r="Y25" s="1549">
        <f>BS!X13-BS!Y13</f>
        <v>-674.7522381920212</v>
      </c>
      <c r="Z25" s="1549">
        <f>BS!Y13-BS!Z13</f>
        <v>1987.5239495359501</v>
      </c>
      <c r="AA25" s="1553">
        <f t="shared" ref="AA25:AA32" si="4">SUM(W25:Z25)</f>
        <v>-1279.3630715657259</v>
      </c>
      <c r="AB25" s="1549">
        <f>BS!AA13-BS!AB13</f>
        <v>-465.35285576740262</v>
      </c>
      <c r="AC25" s="1549">
        <f>BS!AB13-BS!AC13</f>
        <v>-2254.792520146003</v>
      </c>
      <c r="AD25" s="1549">
        <f>BS!AC13-BS!AD13</f>
        <v>-764.69547558865452</v>
      </c>
      <c r="AE25" s="1549">
        <f>BS!AD13-BS!AE13</f>
        <v>2716.959738398225</v>
      </c>
      <c r="AF25" s="1553">
        <f t="shared" ref="AF25:AF32" si="5">SUM(AB25:AE25)</f>
        <v>-767.8811131038351</v>
      </c>
      <c r="AG25" s="1549">
        <f>BS!AF13-BS!AG13</f>
        <v>-550.92048268282178</v>
      </c>
      <c r="AH25" s="1549">
        <f>BS!AG13-BS!AH13</f>
        <v>-2765.8230862969272</v>
      </c>
      <c r="AI25" s="1549">
        <f>BS!AH13-BS!AI13</f>
        <v>-693.71025521841966</v>
      </c>
      <c r="AJ25" s="1549">
        <f>BS!AI13-BS!AJ13</f>
        <v>3481.8506067385201</v>
      </c>
      <c r="AK25" s="1553">
        <f t="shared" ref="AK25:AK32" si="6">SUM(AG25:AJ25)</f>
        <v>-528.60321745964848</v>
      </c>
    </row>
    <row r="26" spans="1:37" s="1565" customFormat="1" ht="12.75" customHeight="1">
      <c r="A26" s="1419"/>
      <c r="B26" s="1556" t="s">
        <v>188</v>
      </c>
      <c r="C26" s="1557"/>
      <c r="D26" s="1557"/>
      <c r="E26" s="1557"/>
      <c r="F26" s="1557"/>
      <c r="G26" s="1558">
        <v>-1.0469999999999999</v>
      </c>
      <c r="H26" s="1549"/>
      <c r="I26" s="1549"/>
      <c r="J26" s="1549"/>
      <c r="K26" s="1549"/>
      <c r="L26" s="1558">
        <v>-71.963999999999999</v>
      </c>
      <c r="M26" s="1559">
        <v>23.228000000000002</v>
      </c>
      <c r="N26" s="1559">
        <v>-21.591999999999999</v>
      </c>
      <c r="O26" s="1549"/>
      <c r="P26" s="1557">
        <v>27.451000000000001</v>
      </c>
      <c r="Q26" s="1558">
        <v>-29.2</v>
      </c>
      <c r="R26" s="1559">
        <v>-9.9290000000000003</v>
      </c>
      <c r="S26" s="1559">
        <v>-110.51900000000001</v>
      </c>
      <c r="T26" s="1559">
        <v>-50.585999999999999</v>
      </c>
      <c r="U26" s="1549">
        <f>BS!T14-BS!U14</f>
        <v>33.441931765443371</v>
      </c>
      <c r="V26" s="1553">
        <f t="shared" si="3"/>
        <v>-137.59206823455662</v>
      </c>
      <c r="W26" s="1549">
        <f>BS!V14-BS!W14</f>
        <v>-42.345628276742389</v>
      </c>
      <c r="X26" s="1550">
        <f>BS!W14-BS!X14</f>
        <v>-303.42469600038658</v>
      </c>
      <c r="Y26" s="1549">
        <f>BS!X14-BS!Y14</f>
        <v>-119.94136175089488</v>
      </c>
      <c r="Z26" s="1549">
        <f>BS!Y14-BS!Z14</f>
        <v>-24.57508942796153</v>
      </c>
      <c r="AA26" s="1553">
        <f t="shared" si="4"/>
        <v>-490.28677545598538</v>
      </c>
      <c r="AB26" s="1549">
        <f>BS!AA14-BS!AB14</f>
        <v>10.887817220939041</v>
      </c>
      <c r="AC26" s="1549">
        <f>BS!AB14-BS!AC14</f>
        <v>-41.238421963961969</v>
      </c>
      <c r="AD26" s="1549">
        <f>BS!AC14-BS!AD14</f>
        <v>-40.6820815461964</v>
      </c>
      <c r="AE26" s="1549">
        <f>BS!AD14-BS!AE14</f>
        <v>-82.136868175265136</v>
      </c>
      <c r="AF26" s="1553">
        <f t="shared" si="5"/>
        <v>-153.16955446448446</v>
      </c>
      <c r="AG26" s="1549">
        <f>BS!AF14-BS!AG14</f>
        <v>-8.2920548971969765E-2</v>
      </c>
      <c r="AH26" s="1549">
        <f>BS!AG14-BS!AH14</f>
        <v>-25.317938835662062</v>
      </c>
      <c r="AI26" s="1549">
        <f>BS!AH14-BS!AI14</f>
        <v>20.636788272010108</v>
      </c>
      <c r="AJ26" s="1549">
        <f>BS!AI14-BS!AJ14</f>
        <v>-39.681063669009518</v>
      </c>
      <c r="AK26" s="1553">
        <f t="shared" si="6"/>
        <v>-44.445134781633442</v>
      </c>
    </row>
    <row r="27" spans="1:37" s="1568" customFormat="1" ht="12.75" customHeight="1">
      <c r="A27" s="1567"/>
      <c r="B27" s="1556" t="s">
        <v>275</v>
      </c>
      <c r="C27" s="1557"/>
      <c r="D27" s="1557"/>
      <c r="E27" s="1557"/>
      <c r="F27" s="1557"/>
      <c r="G27" s="1558">
        <v>1.4039999999999999</v>
      </c>
      <c r="H27" s="1549"/>
      <c r="I27" s="1549"/>
      <c r="J27" s="1549"/>
      <c r="K27" s="1549"/>
      <c r="L27" s="1558">
        <v>26.806999999999999</v>
      </c>
      <c r="M27" s="1559">
        <v>515.29499999999996</v>
      </c>
      <c r="N27" s="1559">
        <v>182.553</v>
      </c>
      <c r="O27" s="1549"/>
      <c r="P27" s="1557">
        <v>-209.21299999999999</v>
      </c>
      <c r="Q27" s="1558">
        <v>510.56799999999998</v>
      </c>
      <c r="R27" s="1559">
        <v>62.326999999999998</v>
      </c>
      <c r="S27" s="1559">
        <v>-351.5</v>
      </c>
      <c r="T27" s="1559">
        <v>622.38400000000001</v>
      </c>
      <c r="U27" s="1549">
        <f>(BS!U30-BS!T30)+(BS!U31-BS!T31)</f>
        <v>1350.1792383959219</v>
      </c>
      <c r="V27" s="1553">
        <f t="shared" si="3"/>
        <v>1683.3902383959219</v>
      </c>
      <c r="W27" s="1550">
        <f>(BS!W30-BS!V30)+(BS!W31-BS!V31)</f>
        <v>632.67850964740774</v>
      </c>
      <c r="X27" s="1550">
        <f>(BS!X30-BS!W30)+(BS!X31-BS!W31)</f>
        <v>-1144.2679085427935</v>
      </c>
      <c r="Y27" s="1549">
        <f>(BS!Y30-BS!X30)+(BS!Y31-BS!X31)</f>
        <v>-540.58368763244289</v>
      </c>
      <c r="Z27" s="1549">
        <f>(BS!Z30-BS!Y30)+(BS!Z31-BS!Y31)</f>
        <v>-4.2178694121048466E-2</v>
      </c>
      <c r="AA27" s="1553">
        <f t="shared" si="4"/>
        <v>-1052.2152652219497</v>
      </c>
      <c r="AB27" s="1549">
        <f>(BS!AB30-BS!AA30)+(BS!AB31-BS!AA31)</f>
        <v>-447.479213974652</v>
      </c>
      <c r="AC27" s="1549">
        <f>(BS!AC30-BS!AB30)+(BS!AC31-BS!AB31)</f>
        <v>515.31013755078163</v>
      </c>
      <c r="AD27" s="1549">
        <f>(BS!AD30-BS!AC30)+(BS!AD31-BS!AC31)</f>
        <v>-237.77051166358797</v>
      </c>
      <c r="AE27" s="1549">
        <f>(BS!AE30-BS!AD30)+(BS!AE31-BS!AD31)</f>
        <v>67.582473419800635</v>
      </c>
      <c r="AF27" s="1553">
        <f t="shared" si="5"/>
        <v>-102.3571146676577</v>
      </c>
      <c r="AG27" s="1549">
        <f>(BS!AG30-BS!AF30)+(BS!AG31-BS!AF31)</f>
        <v>-53.987221866885193</v>
      </c>
      <c r="AH27" s="1549">
        <f>(BS!AH30-BS!AG30)+(BS!AH31-BS!AG31)</f>
        <v>157.88408000469735</v>
      </c>
      <c r="AI27" s="1549">
        <f>(BS!AI30-BS!AH30)+(BS!AI31-BS!AH31)</f>
        <v>19.54366001770768</v>
      </c>
      <c r="AJ27" s="1549">
        <f>(BS!AJ30-BS!AI30)+(BS!AJ31-BS!AI31)</f>
        <v>-5.3004218241835588</v>
      </c>
      <c r="AK27" s="1553">
        <f t="shared" si="6"/>
        <v>118.14009633133628</v>
      </c>
    </row>
    <row r="28" spans="1:37" s="1568" customFormat="1" ht="12.75" customHeight="1">
      <c r="A28" s="1567"/>
      <c r="B28" s="1556" t="s">
        <v>103</v>
      </c>
      <c r="C28" s="1557"/>
      <c r="D28" s="1557"/>
      <c r="E28" s="1557"/>
      <c r="F28" s="1557"/>
      <c r="G28" s="1558">
        <v>9.3539999999999992</v>
      </c>
      <c r="H28" s="1549"/>
      <c r="I28" s="1549"/>
      <c r="J28" s="1549"/>
      <c r="K28" s="1549"/>
      <c r="L28" s="1558">
        <v>1986.3040000000001</v>
      </c>
      <c r="M28" s="1559">
        <v>1439.5709999999999</v>
      </c>
      <c r="N28" s="1559">
        <v>84.915999999999997</v>
      </c>
      <c r="O28" s="1549"/>
      <c r="P28" s="1557">
        <v>-365.44400000000002</v>
      </c>
      <c r="Q28" s="1558">
        <v>2049.0680000000002</v>
      </c>
      <c r="R28" s="1559">
        <v>-15.904</v>
      </c>
      <c r="S28" s="1559">
        <v>758.79600000000005</v>
      </c>
      <c r="T28" s="1559">
        <v>659.27200000000005</v>
      </c>
      <c r="U28" s="1549">
        <f>'Def. Revenue &amp; Billings'!U35</f>
        <v>-418.47815999999966</v>
      </c>
      <c r="V28" s="1553">
        <f t="shared" si="3"/>
        <v>983.68584000000055</v>
      </c>
      <c r="W28" s="1549">
        <f>'Def. Revenue &amp; Billings'!W35</f>
        <v>466.51483000000007</v>
      </c>
      <c r="X28" s="1549">
        <f>'Def. Revenue &amp; Billings'!X35</f>
        <v>1136.0743849999999</v>
      </c>
      <c r="Y28" s="1549">
        <f>'Def. Revenue &amp; Billings'!Y35</f>
        <v>763.45667499999945</v>
      </c>
      <c r="Z28" s="1549">
        <f>'Def. Revenue &amp; Billings'!Z35</f>
        <v>-395.08875844229897</v>
      </c>
      <c r="AA28" s="1553">
        <f t="shared" si="4"/>
        <v>1970.9571315577004</v>
      </c>
      <c r="AB28" s="1549">
        <f>'Def. Revenue &amp; Billings'!AB35</f>
        <v>3.0325260422996507</v>
      </c>
      <c r="AC28" s="1549">
        <f>'Def. Revenue &amp; Billings'!AC35</f>
        <v>1454.1752128000007</v>
      </c>
      <c r="AD28" s="1549">
        <f>'Def. Revenue &amp; Billings'!AD35</f>
        <v>977.22454399999879</v>
      </c>
      <c r="AE28" s="1549">
        <f>'Def. Revenue &amp; Billings'!AE35</f>
        <v>-505.71361080614224</v>
      </c>
      <c r="AF28" s="1553">
        <f t="shared" si="5"/>
        <v>1928.7186720361569</v>
      </c>
      <c r="AG28" s="1549">
        <f>'Def. Revenue &amp; Billings'!AG35</f>
        <v>3.8816333341437712</v>
      </c>
      <c r="AH28" s="1549">
        <f>'Def. Revenue &amp; Billings'!AH35</f>
        <v>1861.3442723839999</v>
      </c>
      <c r="AI28" s="1549">
        <f>'Def. Revenue &amp; Billings'!AI35</f>
        <v>1250.847416319999</v>
      </c>
      <c r="AJ28" s="1549">
        <f>'Def. Revenue &amp; Billings'!AJ35</f>
        <v>-647.3134218318628</v>
      </c>
      <c r="AK28" s="1553">
        <f t="shared" si="6"/>
        <v>2468.7599002062798</v>
      </c>
    </row>
    <row r="29" spans="1:37" s="1568" customFormat="1" ht="12.75" customHeight="1">
      <c r="A29" s="1567"/>
      <c r="B29" s="1556" t="s">
        <v>276</v>
      </c>
      <c r="C29" s="1557"/>
      <c r="D29" s="1557"/>
      <c r="E29" s="1557"/>
      <c r="F29" s="1557"/>
      <c r="G29" s="1558">
        <v>0</v>
      </c>
      <c r="H29" s="1549"/>
      <c r="I29" s="1549"/>
      <c r="J29" s="1549"/>
      <c r="K29" s="1549"/>
      <c r="L29" s="1558">
        <v>-9.3019999999999996</v>
      </c>
      <c r="M29" s="1559">
        <v>-5.819</v>
      </c>
      <c r="N29" s="1559">
        <v>-14.888999999999999</v>
      </c>
      <c r="O29" s="1550"/>
      <c r="P29" s="1557">
        <v>808.18600000000004</v>
      </c>
      <c r="Q29" s="1558">
        <v>-87.611000000000004</v>
      </c>
      <c r="R29" s="1559">
        <v>-51.109000000000002</v>
      </c>
      <c r="S29" s="1559">
        <v>-59.341999999999999</v>
      </c>
      <c r="T29" s="1559">
        <v>-70.61</v>
      </c>
      <c r="U29" s="1550">
        <f>(BS!U34-BS!T34)+(BS!U42-BS!T42)</f>
        <v>616.91984017067512</v>
      </c>
      <c r="V29" s="1553">
        <f t="shared" si="3"/>
        <v>435.85884017067514</v>
      </c>
      <c r="W29" s="1550">
        <f>(BS!W34-BS!V34)+(BS!W42-BS!V42)</f>
        <v>1571.6113509608765</v>
      </c>
      <c r="X29" s="1550">
        <f>(BS!X34-BS!W34)+(BS!X42-BS!W42)</f>
        <v>2287.8069438269713</v>
      </c>
      <c r="Y29" s="1550">
        <f>(BS!Y34-BS!X34)+(BS!Y42-BS!X42)</f>
        <v>1010.3074929707798</v>
      </c>
      <c r="Z29" s="1550">
        <f>(BS!Z34-BS!Y34)+(BS!Z42-BS!Y42)</f>
        <v>716.8604398661198</v>
      </c>
      <c r="AA29" s="1553">
        <f t="shared" si="4"/>
        <v>5586.5862276247481</v>
      </c>
      <c r="AB29" s="1550">
        <f>(BS!AB34-BS!AA34)+(BS!AB42-BS!AA42)</f>
        <v>-636.49080417941741</v>
      </c>
      <c r="AC29" s="1550">
        <f>(BS!AC34-BS!AB34)+(BS!AC42-BS!AB42)</f>
        <v>924.35726287011641</v>
      </c>
      <c r="AD29" s="1550">
        <f>(BS!AD34-BS!AC34)+(BS!AD42-BS!AC42)</f>
        <v>863.63486551674669</v>
      </c>
      <c r="AE29" s="1550">
        <f>(BS!AE34-BS!AD34)+(BS!AE42-BS!AD42)</f>
        <v>803.63607232260995</v>
      </c>
      <c r="AF29" s="1553">
        <f t="shared" si="5"/>
        <v>1955.1373965300554</v>
      </c>
      <c r="AG29" s="1550">
        <f>(BS!AG34-BS!AF34)+(BS!AG42-BS!AF42)</f>
        <v>15.50506980046157</v>
      </c>
      <c r="AH29" s="1550">
        <f>(BS!AH34-BS!AG34)+(BS!AH42-BS!AG42)</f>
        <v>532.55780854862417</v>
      </c>
      <c r="AI29" s="1550">
        <f>(BS!AI34-BS!AH34)+(BS!AI42-BS!AH42)</f>
        <v>477.50591487750944</v>
      </c>
      <c r="AJ29" s="1550">
        <f>(BS!AJ34-BS!AI34)+(BS!AJ42-BS!AI42)</f>
        <v>424.18136951821145</v>
      </c>
      <c r="AK29" s="1553">
        <f t="shared" si="6"/>
        <v>1449.7501627448064</v>
      </c>
    </row>
    <row r="30" spans="1:37" s="1568" customFormat="1" ht="12.75" customHeight="1">
      <c r="A30" s="1567"/>
      <c r="B30" s="1556" t="s">
        <v>441</v>
      </c>
      <c r="C30" s="1557"/>
      <c r="D30" s="1557"/>
      <c r="E30" s="1557"/>
      <c r="F30" s="1557"/>
      <c r="G30" s="1558">
        <v>0</v>
      </c>
      <c r="H30" s="1557">
        <v>0</v>
      </c>
      <c r="I30" s="1557">
        <v>0</v>
      </c>
      <c r="J30" s="1557">
        <v>0</v>
      </c>
      <c r="K30" s="1557">
        <v>0</v>
      </c>
      <c r="L30" s="1553">
        <f>SUM(H30:K30)</f>
        <v>0</v>
      </c>
      <c r="M30" s="1559">
        <v>0</v>
      </c>
      <c r="N30" s="1559">
        <v>0</v>
      </c>
      <c r="O30" s="1549"/>
      <c r="P30" s="1557">
        <v>-796.66200000000003</v>
      </c>
      <c r="Q30" s="1558"/>
      <c r="R30" s="1559">
        <v>0</v>
      </c>
      <c r="S30" s="1559">
        <v>0</v>
      </c>
      <c r="T30" s="1559">
        <v>-394.79</v>
      </c>
      <c r="U30" s="1549">
        <f>BS!T23-BS!U23</f>
        <v>-610.74534139452226</v>
      </c>
      <c r="V30" s="1553">
        <f t="shared" si="3"/>
        <v>-1005.5353413945222</v>
      </c>
      <c r="W30" s="1549">
        <f>BS!V23-BS!W23</f>
        <v>-1555.8817346781325</v>
      </c>
      <c r="X30" s="1549">
        <f>BS!W23-BS!X23</f>
        <v>-2264.9092182961695</v>
      </c>
      <c r="Y30" s="1549">
        <f>BS!X23-BS!Y23</f>
        <v>-1000.1957378079678</v>
      </c>
      <c r="Z30" s="1549">
        <f>BS!Y23-BS!Z23</f>
        <v>-709.6856764359145</v>
      </c>
      <c r="AA30" s="1553">
        <f t="shared" si="4"/>
        <v>-5530.6723672181843</v>
      </c>
      <c r="AB30" s="1549">
        <f>BS!AA23-BS!AB23</f>
        <v>630.12042761582416</v>
      </c>
      <c r="AC30" s="1549">
        <f>BS!AB23-BS!AC23</f>
        <v>-915.10574846470809</v>
      </c>
      <c r="AD30" s="1549">
        <f>BS!AC23-BS!AD23</f>
        <v>-854.99109679194771</v>
      </c>
      <c r="AE30" s="1549">
        <f>BS!AD23-BS!AE23</f>
        <v>-795.59280701984972</v>
      </c>
      <c r="AF30" s="1553">
        <f t="shared" si="5"/>
        <v>-1935.5692246606814</v>
      </c>
      <c r="AG30" s="1549">
        <f>BS!AF23-BS!AG23</f>
        <v>-15.349885887944765</v>
      </c>
      <c r="AH30" s="1549">
        <f>BS!AG23-BS!AH23</f>
        <v>-527.2276548998052</v>
      </c>
      <c r="AI30" s="1549">
        <f>BS!AH23-BS!AI23</f>
        <v>-472.72675315335255</v>
      </c>
      <c r="AJ30" s="1549">
        <f>BS!AI23-BS!AJ23</f>
        <v>-419.93591139478121</v>
      </c>
      <c r="AK30" s="1553">
        <f t="shared" si="6"/>
        <v>-1435.2402053358837</v>
      </c>
    </row>
    <row r="31" spans="1:37" s="1568" customFormat="1" ht="12.75" customHeight="1">
      <c r="A31" s="1567"/>
      <c r="B31" s="1556" t="s">
        <v>238</v>
      </c>
      <c r="C31" s="1557"/>
      <c r="D31" s="1557"/>
      <c r="E31" s="1557"/>
      <c r="F31" s="1557"/>
      <c r="G31" s="1558">
        <v>8.6999999999999994E-2</v>
      </c>
      <c r="H31" s="1549"/>
      <c r="I31" s="1549"/>
      <c r="J31" s="1549"/>
      <c r="K31" s="1549"/>
      <c r="L31" s="1558">
        <v>-67.316999999999993</v>
      </c>
      <c r="M31" s="1557">
        <v>-80.463999999999999</v>
      </c>
      <c r="N31" s="1557">
        <v>-333.09699999999998</v>
      </c>
      <c r="O31" s="1549"/>
      <c r="P31" s="1557">
        <v>-172.21899999999999</v>
      </c>
      <c r="Q31" s="1558">
        <v>-485.33199999999999</v>
      </c>
      <c r="R31" s="1559">
        <v>256.64100000000002</v>
      </c>
      <c r="S31" s="1559">
        <v>-206.673</v>
      </c>
      <c r="T31" s="1559">
        <v>0</v>
      </c>
      <c r="U31" s="1549"/>
      <c r="V31" s="1553">
        <f t="shared" si="3"/>
        <v>49.968000000000018</v>
      </c>
      <c r="W31" s="1550"/>
      <c r="X31" s="1549"/>
      <c r="Y31" s="1549"/>
      <c r="Z31" s="1549"/>
      <c r="AA31" s="1553">
        <f t="shared" si="4"/>
        <v>0</v>
      </c>
      <c r="AB31" s="1550"/>
      <c r="AC31" s="1549"/>
      <c r="AD31" s="1549"/>
      <c r="AE31" s="1549"/>
      <c r="AF31" s="1553">
        <f t="shared" si="5"/>
        <v>0</v>
      </c>
      <c r="AG31" s="1550"/>
      <c r="AH31" s="1549"/>
      <c r="AI31" s="1549"/>
      <c r="AJ31" s="1549"/>
      <c r="AK31" s="1553">
        <f t="shared" si="6"/>
        <v>0</v>
      </c>
    </row>
    <row r="32" spans="1:37" s="1568" customFormat="1" ht="12.75" customHeight="1">
      <c r="A32" s="1567"/>
      <c r="B32" s="1556" t="s">
        <v>277</v>
      </c>
      <c r="C32" s="1557"/>
      <c r="D32" s="1557"/>
      <c r="E32" s="1557"/>
      <c r="F32" s="1557"/>
      <c r="G32" s="1558">
        <v>0</v>
      </c>
      <c r="H32" s="1549"/>
      <c r="I32" s="1549"/>
      <c r="J32" s="1549"/>
      <c r="K32" s="1549"/>
      <c r="L32" s="1558">
        <v>-1.4179999999999999</v>
      </c>
      <c r="M32" s="1559">
        <v>0</v>
      </c>
      <c r="N32" s="1559">
        <v>0</v>
      </c>
      <c r="O32" s="1549"/>
      <c r="P32" s="1557">
        <v>-40.238999999999997</v>
      </c>
      <c r="Q32" s="1558">
        <v>0.111</v>
      </c>
      <c r="R32" s="1559">
        <v>0</v>
      </c>
      <c r="S32" s="1559">
        <v>0</v>
      </c>
      <c r="T32" s="1559">
        <v>0</v>
      </c>
      <c r="U32" s="1549">
        <f>(BS!U36-BS!T36)+(BS!U45-BS!T45)</f>
        <v>35.049721724230096</v>
      </c>
      <c r="V32" s="1553">
        <f t="shared" si="3"/>
        <v>35.049721724230096</v>
      </c>
      <c r="W32" s="1549">
        <f>(BS!W36-BS!V36)+(BS!W45-BS!V45)</f>
        <v>89.289623907346652</v>
      </c>
      <c r="X32" s="1549">
        <f>(BS!X36-BS!W36)+(BS!X45-BS!W45)</f>
        <v>129.97960434813092</v>
      </c>
      <c r="Y32" s="1549">
        <f>(BS!Y36-BS!X36)+(BS!Y45-BS!X45)</f>
        <v>57.399672013682789</v>
      </c>
      <c r="Z32" s="1549">
        <f>(BS!Z36-BS!Y36)+(BS!Z45-BS!Y45)</f>
        <v>40.727753099114921</v>
      </c>
      <c r="AA32" s="1553">
        <f t="shared" si="4"/>
        <v>317.39665336827528</v>
      </c>
      <c r="AB32" s="1549">
        <f>(BS!AB36-BS!AA36)+(BS!AB45-BS!AA45)</f>
        <v>-36.161627676535886</v>
      </c>
      <c r="AC32" s="1549">
        <f>(BS!AC36-BS!AB36)+(BS!AC45-BS!AB45)</f>
        <v>52.516490357005296</v>
      </c>
      <c r="AD32" s="1549">
        <f>(BS!AD36-BS!AC36)+(BS!AD45-BS!AC45)</f>
        <v>49.066604340898493</v>
      </c>
      <c r="AE32" s="1549">
        <f>(BS!AE36-BS!AD36)+(BS!AE45-BS!AD45)</f>
        <v>45.657829215977358</v>
      </c>
      <c r="AF32" s="1553">
        <f t="shared" si="5"/>
        <v>111.07929623734526</v>
      </c>
      <c r="AG32" s="1549">
        <f>(BS!AG36-BS!AF36)+(BS!AG45-BS!AF45)</f>
        <v>0.88090598880819471</v>
      </c>
      <c r="AH32" s="1549">
        <f>(BS!AH36-BS!AG36)+(BS!AH45-BS!AG45)</f>
        <v>30.256772073549996</v>
      </c>
      <c r="AI32" s="1549">
        <f>(BS!AI36-BS!AH36)+(BS!AI45-BS!AH45)</f>
        <v>27.129050402237681</v>
      </c>
      <c r="AJ32" s="1549">
        <f>(BS!AJ36-BS!AI36)+(BS!AJ45-BS!AI45)</f>
        <v>24.099466404100212</v>
      </c>
      <c r="AK32" s="1553">
        <f t="shared" si="6"/>
        <v>82.366194868696084</v>
      </c>
    </row>
    <row r="33" spans="1:37" s="1568" customFormat="1" ht="12.75" hidden="1" customHeight="1" outlineLevel="1">
      <c r="A33" s="1567"/>
      <c r="B33" s="1556"/>
      <c r="C33" s="1557"/>
      <c r="D33" s="1557"/>
      <c r="E33" s="1557"/>
      <c r="F33" s="1557"/>
      <c r="G33" s="1553"/>
      <c r="H33" s="1549"/>
      <c r="I33" s="1549"/>
      <c r="J33" s="1549"/>
      <c r="K33" s="1549"/>
      <c r="L33" s="1553"/>
      <c r="M33" s="1549"/>
      <c r="N33" s="1549"/>
      <c r="O33" s="1549"/>
      <c r="P33" s="1549"/>
      <c r="Q33" s="1553"/>
      <c r="R33" s="1550"/>
      <c r="S33" s="1550"/>
      <c r="T33" s="1549"/>
      <c r="U33" s="1549"/>
      <c r="V33" s="1553"/>
      <c r="W33" s="1549"/>
      <c r="X33" s="1549"/>
      <c r="Y33" s="1549"/>
      <c r="Z33" s="1549"/>
      <c r="AA33" s="1553"/>
      <c r="AB33" s="1549"/>
      <c r="AC33" s="1549"/>
      <c r="AD33" s="1549"/>
      <c r="AE33" s="1549"/>
      <c r="AF33" s="1553"/>
      <c r="AG33" s="1549"/>
      <c r="AH33" s="1549"/>
      <c r="AI33" s="1549"/>
      <c r="AJ33" s="1549"/>
      <c r="AK33" s="1553"/>
    </row>
    <row r="34" spans="1:37" s="1569" customFormat="1" ht="12.75" hidden="1" customHeight="1" outlineLevel="1">
      <c r="A34" s="1567"/>
      <c r="B34" s="1552" t="s">
        <v>278</v>
      </c>
      <c r="C34" s="1554"/>
      <c r="D34" s="1554"/>
      <c r="E34" s="1554"/>
      <c r="F34" s="1554"/>
      <c r="G34" s="1553">
        <f>G12+SUM(G14:G22)+SUM(G25:G32)</f>
        <v>-4.3570000000000082</v>
      </c>
      <c r="H34" s="1554"/>
      <c r="I34" s="1554"/>
      <c r="J34" s="1554"/>
      <c r="K34" s="1554"/>
      <c r="L34" s="1553">
        <f>L12+SUM(L14:L22)+SUM(L25:L32)</f>
        <v>1832.65</v>
      </c>
      <c r="M34" s="1555">
        <f t="shared" ref="M34:AK34" si="7">M12+SUM(M14:M22)+SUM(M25:M32)</f>
        <v>2039.038</v>
      </c>
      <c r="N34" s="1555">
        <f>N12+SUM(N14:N22)+SUM(N25:N32)</f>
        <v>-117.82400000000007</v>
      </c>
      <c r="O34" s="1554"/>
      <c r="P34" s="1554">
        <f t="shared" si="7"/>
        <v>-304.85400000000004</v>
      </c>
      <c r="Q34" s="1553">
        <f t="shared" si="7"/>
        <v>2749.1690000000008</v>
      </c>
      <c r="R34" s="1555">
        <f t="shared" si="7"/>
        <v>61.167999999999779</v>
      </c>
      <c r="S34" s="1555">
        <f t="shared" si="7"/>
        <v>-251.25100000000009</v>
      </c>
      <c r="T34" s="1554">
        <f t="shared" si="7"/>
        <v>1689.134</v>
      </c>
      <c r="U34" s="1554">
        <f t="shared" si="7"/>
        <v>2270.837810720484</v>
      </c>
      <c r="V34" s="1553">
        <f t="shared" si="7"/>
        <v>3519.5442969454607</v>
      </c>
      <c r="W34" s="1554">
        <f t="shared" si="7"/>
        <v>1713.8460822356255</v>
      </c>
      <c r="X34" s="1554">
        <f t="shared" si="7"/>
        <v>-626.99258812790845</v>
      </c>
      <c r="Y34" s="1554">
        <f t="shared" si="7"/>
        <v>1137.0781469277476</v>
      </c>
      <c r="Z34" s="1554">
        <f t="shared" si="7"/>
        <v>3488.3442869680657</v>
      </c>
      <c r="AA34" s="1553">
        <f t="shared" si="7"/>
        <v>5712.2759280035289</v>
      </c>
      <c r="AB34" s="1554">
        <f t="shared" si="7"/>
        <v>1111.8727406773828</v>
      </c>
      <c r="AC34" s="1554">
        <f t="shared" si="7"/>
        <v>2103.2688687906812</v>
      </c>
      <c r="AD34" s="1554">
        <f t="shared" si="7"/>
        <v>2561.3254041429582</v>
      </c>
      <c r="AE34" s="1554">
        <f t="shared" si="7"/>
        <v>4973.5289349979266</v>
      </c>
      <c r="AF34" s="1553">
        <f t="shared" si="7"/>
        <v>10749.995948608948</v>
      </c>
      <c r="AG34" s="1554">
        <f t="shared" si="7"/>
        <v>2328.9219486027941</v>
      </c>
      <c r="AH34" s="1554">
        <f t="shared" si="7"/>
        <v>2455.011300313532</v>
      </c>
      <c r="AI34" s="1554">
        <f t="shared" si="7"/>
        <v>3983.9646022262564</v>
      </c>
      <c r="AJ34" s="1554">
        <f t="shared" si="7"/>
        <v>6249.5592000806555</v>
      </c>
      <c r="AK34" s="1553">
        <f t="shared" si="7"/>
        <v>15017.457051223242</v>
      </c>
    </row>
    <row r="35" spans="1:37" s="1568" customFormat="1" ht="12.75" hidden="1" customHeight="1" outlineLevel="1">
      <c r="A35" s="1567"/>
      <c r="B35" s="1556" t="s">
        <v>279</v>
      </c>
      <c r="C35" s="1557"/>
      <c r="D35" s="1557"/>
      <c r="E35" s="1557"/>
      <c r="F35" s="1557"/>
      <c r="G35" s="1558">
        <v>5.2670000000000003</v>
      </c>
      <c r="H35" s="1549"/>
      <c r="I35" s="1549"/>
      <c r="J35" s="1549"/>
      <c r="K35" s="1549"/>
      <c r="L35" s="1553">
        <f>SUM(H35:K35)</f>
        <v>0</v>
      </c>
      <c r="M35" s="1559">
        <f>K35</f>
        <v>0</v>
      </c>
      <c r="N35" s="1559">
        <f>L35</f>
        <v>0</v>
      </c>
      <c r="O35" s="1557"/>
      <c r="P35" s="1557">
        <v>0</v>
      </c>
      <c r="Q35" s="1553">
        <f>SUM(M35:P35)</f>
        <v>0</v>
      </c>
      <c r="R35" s="1559">
        <f>P35</f>
        <v>0</v>
      </c>
      <c r="S35" s="1559">
        <f>R35</f>
        <v>0</v>
      </c>
      <c r="T35" s="1557">
        <f>S35</f>
        <v>0</v>
      </c>
      <c r="U35" s="1557">
        <f>T35</f>
        <v>0</v>
      </c>
      <c r="V35" s="1553">
        <f>SUM(R35:U35)</f>
        <v>0</v>
      </c>
      <c r="W35" s="1557">
        <f>U35</f>
        <v>0</v>
      </c>
      <c r="X35" s="1557">
        <f>W35</f>
        <v>0</v>
      </c>
      <c r="Y35" s="1557">
        <f>X35</f>
        <v>0</v>
      </c>
      <c r="Z35" s="1557">
        <f>Y35</f>
        <v>0</v>
      </c>
      <c r="AA35" s="1553">
        <f>SUM(W35:Z35)</f>
        <v>0</v>
      </c>
      <c r="AB35" s="1557">
        <f>Z35</f>
        <v>0</v>
      </c>
      <c r="AC35" s="1557">
        <f>AB35</f>
        <v>0</v>
      </c>
      <c r="AD35" s="1557">
        <f>AC35</f>
        <v>0</v>
      </c>
      <c r="AE35" s="1557">
        <f>AD35</f>
        <v>0</v>
      </c>
      <c r="AF35" s="1553">
        <f>SUM(AB35:AE35)</f>
        <v>0</v>
      </c>
      <c r="AG35" s="1557">
        <f>AE35</f>
        <v>0</v>
      </c>
      <c r="AH35" s="1557">
        <f>AG35</f>
        <v>0</v>
      </c>
      <c r="AI35" s="1557">
        <f>AH35</f>
        <v>0</v>
      </c>
      <c r="AJ35" s="1557">
        <f>AI35</f>
        <v>0</v>
      </c>
      <c r="AK35" s="1553">
        <f>SUM(AG35:AJ35)</f>
        <v>0</v>
      </c>
    </row>
    <row r="36" spans="1:37" s="1574" customFormat="1" ht="12.75" customHeight="1" collapsed="1">
      <c r="A36" s="1419"/>
      <c r="B36" s="1570" t="s">
        <v>42</v>
      </c>
      <c r="C36" s="1571"/>
      <c r="D36" s="1571"/>
      <c r="E36" s="1571"/>
      <c r="F36" s="1571"/>
      <c r="G36" s="1572">
        <f>SUM(G34:G35)</f>
        <v>0.90999999999999215</v>
      </c>
      <c r="H36" s="1571"/>
      <c r="I36" s="1571"/>
      <c r="J36" s="1571"/>
      <c r="K36" s="1571"/>
      <c r="L36" s="1572">
        <f>SUM(L34:L35)</f>
        <v>1832.65</v>
      </c>
      <c r="M36" s="1573">
        <f>SUM(M34:M35)</f>
        <v>2039.038</v>
      </c>
      <c r="N36" s="1573">
        <f>SUM(N34:N35)</f>
        <v>-117.82400000000007</v>
      </c>
      <c r="O36" s="1571"/>
      <c r="P36" s="1571">
        <f t="shared" ref="P36:AE36" si="8">SUM(P34:P35)</f>
        <v>-304.85400000000004</v>
      </c>
      <c r="Q36" s="1572">
        <f t="shared" si="8"/>
        <v>2749.1690000000008</v>
      </c>
      <c r="R36" s="1573">
        <f t="shared" si="8"/>
        <v>61.167999999999779</v>
      </c>
      <c r="S36" s="1573">
        <f t="shared" si="8"/>
        <v>-251.25100000000009</v>
      </c>
      <c r="T36" s="1571">
        <f t="shared" si="8"/>
        <v>1689.134</v>
      </c>
      <c r="U36" s="1571">
        <f t="shared" si="8"/>
        <v>2270.837810720484</v>
      </c>
      <c r="V36" s="1572">
        <f>SUM(R36:U36)</f>
        <v>3769.8888107204839</v>
      </c>
      <c r="W36" s="1571">
        <f>SUM(W34:W35)</f>
        <v>1713.8460822356255</v>
      </c>
      <c r="X36" s="1571">
        <f>SUM(X34:X35)</f>
        <v>-626.99258812790845</v>
      </c>
      <c r="Y36" s="1571">
        <f>SUM(Y34:Y35)</f>
        <v>1137.0781469277476</v>
      </c>
      <c r="Z36" s="1571">
        <f>SUM(Z34:Z35)</f>
        <v>3488.3442869680657</v>
      </c>
      <c r="AA36" s="1572">
        <f>SUM(W36:Z36)</f>
        <v>5712.2759280035307</v>
      </c>
      <c r="AB36" s="1571">
        <f t="shared" si="8"/>
        <v>1111.8727406773828</v>
      </c>
      <c r="AC36" s="1571">
        <f t="shared" si="8"/>
        <v>2103.2688687906812</v>
      </c>
      <c r="AD36" s="1571">
        <f t="shared" si="8"/>
        <v>2561.3254041429582</v>
      </c>
      <c r="AE36" s="1571">
        <f t="shared" si="8"/>
        <v>4973.5289349979266</v>
      </c>
      <c r="AF36" s="1572">
        <f t="shared" ref="AF36:AK36" si="9">SUM(AF34:AF35)</f>
        <v>10749.995948608948</v>
      </c>
      <c r="AG36" s="1571">
        <f t="shared" si="9"/>
        <v>2328.9219486027941</v>
      </c>
      <c r="AH36" s="1571">
        <f t="shared" si="9"/>
        <v>2455.011300313532</v>
      </c>
      <c r="AI36" s="1571">
        <f t="shared" si="9"/>
        <v>3983.9646022262564</v>
      </c>
      <c r="AJ36" s="1571">
        <f t="shared" si="9"/>
        <v>6249.5592000806555</v>
      </c>
      <c r="AK36" s="1572">
        <f t="shared" si="9"/>
        <v>15017.457051223242</v>
      </c>
    </row>
    <row r="37" spans="1:37" s="299" customFormat="1" ht="12.75" customHeight="1">
      <c r="A37" s="416" t="s">
        <v>136</v>
      </c>
      <c r="B37" s="677" t="s">
        <v>137</v>
      </c>
      <c r="C37" s="675"/>
      <c r="D37" s="675"/>
      <c r="E37" s="675"/>
      <c r="F37" s="675"/>
      <c r="G37" s="674">
        <f>G36/'KPI Summary'!G$10</f>
        <v>5.7485786481364001E-2</v>
      </c>
      <c r="H37" s="675"/>
      <c r="I37" s="675"/>
      <c r="J37" s="675"/>
      <c r="K37" s="675"/>
      <c r="L37" s="674">
        <f>L36/'KPI Summary'!L$10</f>
        <v>8.0048308967734325</v>
      </c>
      <c r="M37" s="891">
        <f>M36/'KPI Summary'!M$10</f>
        <v>10.806629072947361</v>
      </c>
      <c r="N37" s="891">
        <f>N36/'KPI Summary'!N$10</f>
        <v>-0.29800870574726035</v>
      </c>
      <c r="O37" s="675"/>
      <c r="P37" s="675">
        <f>P36/'KPI Summary'!P$10</f>
        <v>-0.4078696332766949</v>
      </c>
      <c r="Q37" s="674">
        <f>Q36/'KPI Summary'!Q$10</f>
        <v>1.4352781052361203</v>
      </c>
      <c r="R37" s="891">
        <f>R36/'KPI Summary'!R$10</f>
        <v>6.231255704785478E-2</v>
      </c>
      <c r="S37" s="891">
        <f>S36/'KPI Summary'!S$10</f>
        <v>-0.20716811182168696</v>
      </c>
      <c r="T37" s="675">
        <f>T36/'KPI Summary'!T$10</f>
        <v>1.2377546025576767</v>
      </c>
      <c r="U37" s="675">
        <f>U36/'KPI Summary'!U$10</f>
        <v>1.4718176712780444</v>
      </c>
      <c r="V37" s="674">
        <f>V36/'KPI Summary'!V$10</f>
        <v>0.73890761739682298</v>
      </c>
      <c r="W37" s="675">
        <f>W36/'KPI Summary'!W$10</f>
        <v>0.7695321968340737</v>
      </c>
      <c r="X37" s="675">
        <f>X36/'KPI Summary'!X$10</f>
        <v>-0.21152223574274984</v>
      </c>
      <c r="Y37" s="675">
        <f>Y36/'KPI Summary'!Y$10</f>
        <v>0.34564964268623</v>
      </c>
      <c r="Z37" s="675">
        <f>Z36/'KPI Summary'!Z$10</f>
        <v>0.99082792897919114</v>
      </c>
      <c r="AA37" s="674">
        <f>AA36/'KPI Summary'!AA$10</f>
        <v>0.47595796752654412</v>
      </c>
      <c r="AB37" s="675">
        <f>AB36/'KPI Summary'!AB$10</f>
        <v>0.29170658588920723</v>
      </c>
      <c r="AC37" s="675">
        <f>AC36/'KPI Summary'!AC$10</f>
        <v>0.50632765649052858</v>
      </c>
      <c r="AD37" s="675">
        <f>AD36/'KPI Summary'!AD$10</f>
        <v>0.5725125533894232</v>
      </c>
      <c r="AE37" s="675">
        <f>AE36/'KPI Summary'!AE$10</f>
        <v>1.0423460621007188</v>
      </c>
      <c r="AF37" s="674">
        <f>AF36/'KPI Summary'!AF$10</f>
        <v>0.62460430752865936</v>
      </c>
      <c r="AG37" s="675">
        <f>AG36/'KPI Summary'!AG$10</f>
        <v>0.45500547137333797</v>
      </c>
      <c r="AH37" s="675">
        <f>AH36/'KPI Summary'!AH$10</f>
        <v>0.46062144812290845</v>
      </c>
      <c r="AI37" s="675">
        <f>AI36/'KPI Summary'!AI$10</f>
        <v>0.72182854763552518</v>
      </c>
      <c r="AJ37" s="675">
        <f>AJ36/'KPI Summary'!AJ$10</f>
        <v>1.0988056078606425</v>
      </c>
      <c r="AK37" s="674">
        <f>AK36/'KPI Summary'!AK$10</f>
        <v>0.69348396207189422</v>
      </c>
    </row>
    <row r="38" spans="1:37" s="286" customFormat="1" ht="12.75" customHeight="1">
      <c r="A38" s="416"/>
      <c r="B38" s="408"/>
      <c r="C38" s="482"/>
      <c r="D38" s="482"/>
      <c r="E38" s="482"/>
      <c r="F38" s="482"/>
      <c r="G38" s="483"/>
      <c r="H38" s="482"/>
      <c r="I38" s="482"/>
      <c r="J38" s="482"/>
      <c r="K38" s="482"/>
      <c r="L38" s="483"/>
      <c r="M38" s="482"/>
      <c r="N38" s="482"/>
      <c r="O38" s="482"/>
      <c r="P38" s="482"/>
      <c r="Q38" s="483"/>
      <c r="R38" s="1025"/>
      <c r="S38" s="1216"/>
      <c r="T38" s="482"/>
      <c r="U38" s="482"/>
      <c r="V38" s="483"/>
      <c r="W38" s="482"/>
      <c r="X38" s="482"/>
      <c r="Y38" s="482"/>
      <c r="Z38" s="482"/>
      <c r="AA38" s="483"/>
      <c r="AB38" s="482"/>
      <c r="AC38" s="482"/>
      <c r="AD38" s="482"/>
      <c r="AE38" s="482"/>
      <c r="AF38" s="483"/>
      <c r="AG38" s="482"/>
      <c r="AH38" s="482"/>
      <c r="AI38" s="482"/>
      <c r="AJ38" s="482"/>
      <c r="AK38" s="483"/>
    </row>
    <row r="39" spans="1:37" s="286" customFormat="1" ht="12.75" customHeight="1">
      <c r="A39" s="416"/>
      <c r="B39" s="386" t="s">
        <v>72</v>
      </c>
      <c r="C39" s="422"/>
      <c r="D39" s="284"/>
      <c r="E39" s="284"/>
      <c r="F39" s="284"/>
      <c r="G39" s="109"/>
      <c r="H39" s="422"/>
      <c r="I39" s="284"/>
      <c r="J39" s="284"/>
      <c r="K39" s="284"/>
      <c r="L39" s="109"/>
      <c r="M39" s="422"/>
      <c r="N39" s="422"/>
      <c r="O39" s="284"/>
      <c r="P39" s="284"/>
      <c r="Q39" s="109"/>
      <c r="R39" s="892"/>
      <c r="S39" s="1217"/>
      <c r="T39" s="284"/>
      <c r="U39" s="284"/>
      <c r="V39" s="372"/>
      <c r="W39" s="422"/>
      <c r="X39" s="284"/>
      <c r="Y39" s="284"/>
      <c r="Z39" s="284"/>
      <c r="AA39" s="372"/>
      <c r="AB39" s="422"/>
      <c r="AC39" s="284"/>
      <c r="AD39" s="284"/>
      <c r="AE39" s="284"/>
      <c r="AF39" s="372"/>
      <c r="AG39" s="422"/>
      <c r="AH39" s="284"/>
      <c r="AI39" s="284"/>
      <c r="AJ39" s="284"/>
      <c r="AK39" s="372"/>
    </row>
    <row r="40" spans="1:37" s="1565" customFormat="1" ht="12.75" customHeight="1">
      <c r="A40" s="1419"/>
      <c r="B40" s="1552" t="s">
        <v>280</v>
      </c>
      <c r="C40" s="1557"/>
      <c r="D40" s="1557"/>
      <c r="E40" s="1557"/>
      <c r="F40" s="1557"/>
      <c r="G40" s="1558">
        <v>-72.403999999999996</v>
      </c>
      <c r="H40" s="1549"/>
      <c r="I40" s="1549"/>
      <c r="J40" s="1549"/>
      <c r="K40" s="1549"/>
      <c r="L40" s="1558">
        <v>-2943.13</v>
      </c>
      <c r="M40" s="1559">
        <v>-1741.9349999999999</v>
      </c>
      <c r="N40" s="1559">
        <v>-2247.1610000000001</v>
      </c>
      <c r="O40" s="1549"/>
      <c r="P40" s="1557">
        <v>-3151.1979999999999</v>
      </c>
      <c r="Q40" s="1558">
        <v>-8702.0779999999995</v>
      </c>
      <c r="R40" s="1559">
        <v>-1407.3589999999999</v>
      </c>
      <c r="S40" s="1559">
        <v>-2452.9920000000002</v>
      </c>
      <c r="T40" s="1559">
        <v>-3278.7860000000001</v>
      </c>
      <c r="U40" s="1549">
        <f>-'Revenue and CapEx Build'!U46</f>
        <v>-8358.3420051049998</v>
      </c>
      <c r="V40" s="1525">
        <f>-'Revenue and CapEx Build'!V46</f>
        <v>-15497.479005105</v>
      </c>
      <c r="W40" s="1549">
        <f>-'Revenue and CapEx Build'!W46</f>
        <v>-8819.5947919299997</v>
      </c>
      <c r="X40" s="1549">
        <f>-'Revenue and CapEx Build'!X46</f>
        <v>-5074.7968646079999</v>
      </c>
      <c r="Y40" s="1549">
        <f>-'Revenue and CapEx Build'!Y46</f>
        <v>-3588.3477235884015</v>
      </c>
      <c r="Z40" s="1549">
        <f>-'Revenue and CapEx Build'!Z46</f>
        <v>-3442.7787603365532</v>
      </c>
      <c r="AA40" s="1525">
        <f>-'Revenue and CapEx Build'!AA46</f>
        <v>-20925.518140462955</v>
      </c>
      <c r="AB40" s="1549">
        <f>-'Revenue and CapEx Build'!AB46</f>
        <v>-4275.9522215168945</v>
      </c>
      <c r="AC40" s="1549">
        <f>-'Revenue and CapEx Build'!AC46</f>
        <v>-6860.1832461378735</v>
      </c>
      <c r="AD40" s="1549">
        <f>-'Revenue and CapEx Build'!AD46</f>
        <v>-5696.2371110928079</v>
      </c>
      <c r="AE40" s="1549">
        <f>-'Revenue and CapEx Build'!AE46</f>
        <v>-5957.3636537733573</v>
      </c>
      <c r="AF40" s="1525">
        <f>-'Revenue and CapEx Build'!AF46</f>
        <v>-22789.736232520932</v>
      </c>
      <c r="AG40" s="1549">
        <f>-'Revenue and CapEx Build'!AG46</f>
        <v>-5527.3864199194886</v>
      </c>
      <c r="AH40" s="1549">
        <f>-'Revenue and CapEx Build'!AH46</f>
        <v>-6317.1606054980048</v>
      </c>
      <c r="AI40" s="1549">
        <f>-'Revenue and CapEx Build'!AI46</f>
        <v>-6489.2090657656963</v>
      </c>
      <c r="AJ40" s="1549">
        <f>-'Revenue and CapEx Build'!AJ46</f>
        <v>-6448.6564497883573</v>
      </c>
      <c r="AK40" s="1525">
        <f>-'Revenue and CapEx Build'!AK46</f>
        <v>-24782.412540971549</v>
      </c>
    </row>
    <row r="41" spans="1:37" s="1565" customFormat="1" ht="12.75" customHeight="1">
      <c r="A41" s="1419"/>
      <c r="B41" s="1552" t="s">
        <v>442</v>
      </c>
      <c r="C41" s="1557"/>
      <c r="D41" s="1557"/>
      <c r="E41" s="1557"/>
      <c r="F41" s="1557"/>
      <c r="G41" s="1553">
        <v>0</v>
      </c>
      <c r="H41" s="1557">
        <v>0</v>
      </c>
      <c r="I41" s="1557">
        <v>0</v>
      </c>
      <c r="J41" s="1557">
        <v>0</v>
      </c>
      <c r="K41" s="1557">
        <v>0</v>
      </c>
      <c r="L41" s="1553">
        <f>SUM(H41:K41)</f>
        <v>0</v>
      </c>
      <c r="M41" s="1557">
        <v>0</v>
      </c>
      <c r="N41" s="1557">
        <v>0</v>
      </c>
      <c r="O41" s="1557"/>
      <c r="P41" s="1557">
        <v>0</v>
      </c>
      <c r="Q41" s="1553">
        <f>SUM(M41:P41)</f>
        <v>0</v>
      </c>
      <c r="R41" s="1559">
        <v>0</v>
      </c>
      <c r="S41" s="1559">
        <v>0</v>
      </c>
      <c r="T41" s="1559">
        <v>0</v>
      </c>
      <c r="U41" s="1549"/>
      <c r="V41" s="1553">
        <f t="shared" ref="V41:V49" si="10">SUM(R41:U41)</f>
        <v>0</v>
      </c>
      <c r="W41" s="1549"/>
      <c r="X41" s="1549"/>
      <c r="Y41" s="1549"/>
      <c r="Z41" s="1549"/>
      <c r="AA41" s="1553">
        <f>SUM(W41:Z41)</f>
        <v>0</v>
      </c>
      <c r="AB41" s="1549"/>
      <c r="AC41" s="1549"/>
      <c r="AD41" s="1549"/>
      <c r="AE41" s="1549"/>
      <c r="AF41" s="1553">
        <f>SUM(AB41:AE41)</f>
        <v>0</v>
      </c>
      <c r="AG41" s="1549"/>
      <c r="AH41" s="1549"/>
      <c r="AI41" s="1549"/>
      <c r="AJ41" s="1549"/>
      <c r="AK41" s="1553">
        <f>SUM(AG41:AJ41)</f>
        <v>0</v>
      </c>
    </row>
    <row r="42" spans="1:37" s="1565" customFormat="1" ht="12.75" customHeight="1">
      <c r="A42" s="1419"/>
      <c r="B42" s="1552" t="s">
        <v>281</v>
      </c>
      <c r="C42" s="1557"/>
      <c r="D42" s="1557"/>
      <c r="E42" s="1557"/>
      <c r="F42" s="1557"/>
      <c r="G42" s="1558">
        <v>7</v>
      </c>
      <c r="H42" s="1549"/>
      <c r="I42" s="1549"/>
      <c r="J42" s="1549"/>
      <c r="K42" s="1549"/>
      <c r="L42" s="1558">
        <v>5.6890000000000001</v>
      </c>
      <c r="M42" s="1557">
        <v>0</v>
      </c>
      <c r="N42" s="1557">
        <v>0.84</v>
      </c>
      <c r="O42" s="1549"/>
      <c r="P42" s="1557">
        <v>1.2110000000000001</v>
      </c>
      <c r="Q42" s="1558">
        <v>2.4700000000000002</v>
      </c>
      <c r="R42" s="1559">
        <v>0</v>
      </c>
      <c r="S42" s="1559">
        <v>0</v>
      </c>
      <c r="T42" s="1559">
        <v>0</v>
      </c>
      <c r="U42" s="1549"/>
      <c r="V42" s="1553">
        <f t="shared" si="10"/>
        <v>0</v>
      </c>
      <c r="W42" s="1549"/>
      <c r="X42" s="1549"/>
      <c r="Y42" s="1549"/>
      <c r="Z42" s="1549"/>
      <c r="AA42" s="1553">
        <f>SUM(W42:Z42)</f>
        <v>0</v>
      </c>
      <c r="AB42" s="1549"/>
      <c r="AC42" s="1549"/>
      <c r="AD42" s="1549"/>
      <c r="AE42" s="1549"/>
      <c r="AF42" s="1553">
        <f>SUM(AB42:AE42)</f>
        <v>0</v>
      </c>
      <c r="AG42" s="1549"/>
      <c r="AH42" s="1549"/>
      <c r="AI42" s="1549"/>
      <c r="AJ42" s="1549"/>
      <c r="AK42" s="1553">
        <f>SUM(AG42:AJ42)</f>
        <v>0</v>
      </c>
    </row>
    <row r="43" spans="1:37" s="1565" customFormat="1" ht="12.75" customHeight="1">
      <c r="A43" s="1419"/>
      <c r="B43" s="1552" t="s">
        <v>282</v>
      </c>
      <c r="C43" s="1557"/>
      <c r="D43" s="1557"/>
      <c r="E43" s="1557"/>
      <c r="F43" s="1557"/>
      <c r="G43" s="1558">
        <v>0</v>
      </c>
      <c r="H43" s="1557">
        <v>0</v>
      </c>
      <c r="I43" s="1557">
        <v>0</v>
      </c>
      <c r="J43" s="1557">
        <v>0</v>
      </c>
      <c r="K43" s="1557">
        <v>0</v>
      </c>
      <c r="L43" s="1553">
        <f>SUM(H43:K43)</f>
        <v>0</v>
      </c>
      <c r="M43" s="1557">
        <v>0</v>
      </c>
      <c r="N43" s="1557">
        <v>47.822000000000003</v>
      </c>
      <c r="O43" s="1549"/>
      <c r="P43" s="1557">
        <v>0</v>
      </c>
      <c r="Q43" s="1558">
        <v>185.21799999999999</v>
      </c>
      <c r="R43" s="1559">
        <v>29.308</v>
      </c>
      <c r="S43" s="1559">
        <v>0</v>
      </c>
      <c r="T43" s="1559"/>
      <c r="U43" s="1549"/>
      <c r="V43" s="1553">
        <f t="shared" si="10"/>
        <v>29.308</v>
      </c>
      <c r="W43" s="1549"/>
      <c r="X43" s="1549"/>
      <c r="Y43" s="1549"/>
      <c r="Z43" s="1549"/>
      <c r="AA43" s="1553">
        <f>SUM(W43:Z43)</f>
        <v>0</v>
      </c>
      <c r="AB43" s="1549"/>
      <c r="AC43" s="1549"/>
      <c r="AD43" s="1549"/>
      <c r="AE43" s="1549"/>
      <c r="AF43" s="1553">
        <f>SUM(AB43:AE43)</f>
        <v>0</v>
      </c>
      <c r="AG43" s="1549"/>
      <c r="AH43" s="1549"/>
      <c r="AI43" s="1549"/>
      <c r="AJ43" s="1549"/>
      <c r="AK43" s="1553">
        <f>SUM(AG43:AJ43)</f>
        <v>0</v>
      </c>
    </row>
    <row r="44" spans="1:37" s="1565" customFormat="1" ht="12.75" customHeight="1">
      <c r="A44" s="1419"/>
      <c r="B44" s="1552" t="s">
        <v>283</v>
      </c>
      <c r="C44" s="1557"/>
      <c r="D44" s="1557"/>
      <c r="E44" s="1557"/>
      <c r="F44" s="1557"/>
      <c r="G44" s="1558">
        <v>0</v>
      </c>
      <c r="H44" s="1549"/>
      <c r="I44" s="1549"/>
      <c r="J44" s="1549"/>
      <c r="K44" s="1549"/>
      <c r="L44" s="1558">
        <v>-171.73400000000001</v>
      </c>
      <c r="M44" s="1557">
        <v>-29.308</v>
      </c>
      <c r="N44" s="1557">
        <v>0</v>
      </c>
      <c r="O44" s="1549"/>
      <c r="P44" s="1557">
        <v>74.341999999999999</v>
      </c>
      <c r="Q44" s="1558">
        <v>-34.052999999999997</v>
      </c>
      <c r="R44" s="1559">
        <v>0</v>
      </c>
      <c r="S44" s="1559">
        <v>0</v>
      </c>
      <c r="T44" s="1559">
        <v>-47.246000000000002</v>
      </c>
      <c r="U44" s="1549"/>
      <c r="V44" s="1553">
        <f t="shared" si="10"/>
        <v>-47.246000000000002</v>
      </c>
      <c r="W44" s="1549"/>
      <c r="X44" s="1549"/>
      <c r="Y44" s="1549"/>
      <c r="Z44" s="1549"/>
      <c r="AA44" s="1553">
        <f>SUM(W44:Z44)</f>
        <v>0</v>
      </c>
      <c r="AB44" s="1549"/>
      <c r="AC44" s="1549"/>
      <c r="AD44" s="1549"/>
      <c r="AE44" s="1549"/>
      <c r="AF44" s="1553">
        <f>SUM(AB44:AE44)</f>
        <v>0</v>
      </c>
      <c r="AG44" s="1549"/>
      <c r="AH44" s="1549"/>
      <c r="AI44" s="1549"/>
      <c r="AJ44" s="1549"/>
      <c r="AK44" s="1553">
        <f>SUM(AG44:AJ44)</f>
        <v>0</v>
      </c>
    </row>
    <row r="45" spans="1:37" s="1565" customFormat="1" ht="12.75" customHeight="1">
      <c r="A45" s="1419"/>
      <c r="B45" s="1552" t="s">
        <v>284</v>
      </c>
      <c r="C45" s="1557"/>
      <c r="D45" s="1557"/>
      <c r="E45" s="1557"/>
      <c r="F45" s="1557"/>
      <c r="G45" s="1558">
        <v>0</v>
      </c>
      <c r="H45" s="1549"/>
      <c r="I45" s="1549"/>
      <c r="J45" s="1549"/>
      <c r="K45" s="1549"/>
      <c r="L45" s="1558">
        <v>-33</v>
      </c>
      <c r="M45" s="1557">
        <v>0</v>
      </c>
      <c r="N45" s="1557">
        <v>-50</v>
      </c>
      <c r="O45" s="1549"/>
      <c r="P45" s="1557">
        <v>0</v>
      </c>
      <c r="Q45" s="1558">
        <v>-50</v>
      </c>
      <c r="R45" s="1559">
        <v>0</v>
      </c>
      <c r="S45" s="1559">
        <v>0</v>
      </c>
      <c r="T45" s="1559"/>
      <c r="U45" s="1549"/>
      <c r="V45" s="1553">
        <f t="shared" si="10"/>
        <v>0</v>
      </c>
      <c r="W45" s="1549"/>
      <c r="X45" s="1549"/>
      <c r="Y45" s="1549"/>
      <c r="Z45" s="1549"/>
      <c r="AA45" s="1553">
        <f>SUM(W45:Z45)</f>
        <v>0</v>
      </c>
      <c r="AB45" s="1549"/>
      <c r="AC45" s="1549"/>
      <c r="AD45" s="1549"/>
      <c r="AE45" s="1549"/>
      <c r="AF45" s="1553">
        <f>SUM(AB45:AE45)</f>
        <v>0</v>
      </c>
      <c r="AG45" s="1549"/>
      <c r="AH45" s="1549"/>
      <c r="AI45" s="1549"/>
      <c r="AJ45" s="1549"/>
      <c r="AK45" s="1553">
        <f>SUM(AG45:AJ45)</f>
        <v>0</v>
      </c>
    </row>
    <row r="46" spans="1:37" s="1565" customFormat="1" ht="12.75" customHeight="1">
      <c r="A46" s="1419"/>
      <c r="B46" s="1552" t="s">
        <v>683</v>
      </c>
      <c r="C46" s="1557"/>
      <c r="D46" s="1557"/>
      <c r="E46" s="1557"/>
      <c r="F46" s="1557"/>
      <c r="G46" s="1558"/>
      <c r="H46" s="1549"/>
      <c r="I46" s="1549"/>
      <c r="J46" s="1549"/>
      <c r="K46" s="1549"/>
      <c r="L46" s="1558"/>
      <c r="M46" s="1557">
        <v>0</v>
      </c>
      <c r="N46" s="1557">
        <v>0</v>
      </c>
      <c r="O46" s="1549"/>
      <c r="P46" s="1557"/>
      <c r="Q46" s="1558"/>
      <c r="R46" s="1559">
        <v>0</v>
      </c>
      <c r="S46" s="1559">
        <v>100.645</v>
      </c>
      <c r="T46" s="1559"/>
      <c r="U46" s="1549"/>
      <c r="V46" s="1553">
        <f t="shared" si="10"/>
        <v>100.645</v>
      </c>
      <c r="W46" s="1549"/>
      <c r="X46" s="1549"/>
      <c r="Y46" s="1549"/>
      <c r="Z46" s="1549"/>
      <c r="AA46" s="1553"/>
      <c r="AB46" s="1549"/>
      <c r="AC46" s="1549"/>
      <c r="AD46" s="1549"/>
      <c r="AE46" s="1549"/>
      <c r="AF46" s="1553"/>
      <c r="AG46" s="1549"/>
      <c r="AH46" s="1549"/>
      <c r="AI46" s="1549"/>
      <c r="AJ46" s="1549"/>
      <c r="AK46" s="1553"/>
    </row>
    <row r="47" spans="1:37" s="1565" customFormat="1" ht="12.75" customHeight="1">
      <c r="A47" s="1419"/>
      <c r="B47" s="1552" t="s">
        <v>684</v>
      </c>
      <c r="C47" s="1557"/>
      <c r="D47" s="1557"/>
      <c r="E47" s="1557"/>
      <c r="F47" s="1557"/>
      <c r="G47" s="1558"/>
      <c r="H47" s="1549"/>
      <c r="I47" s="1549"/>
      <c r="J47" s="1549"/>
      <c r="K47" s="1549"/>
      <c r="L47" s="1558"/>
      <c r="M47" s="1557">
        <v>0</v>
      </c>
      <c r="N47" s="1557">
        <v>0</v>
      </c>
      <c r="O47" s="1549"/>
      <c r="P47" s="1557"/>
      <c r="Q47" s="1558"/>
      <c r="R47" s="1559">
        <v>0</v>
      </c>
      <c r="S47" s="1559">
        <v>-45.706000000000003</v>
      </c>
      <c r="T47" s="1559">
        <v>-10.212</v>
      </c>
      <c r="U47" s="1549"/>
      <c r="V47" s="1553">
        <f t="shared" si="10"/>
        <v>-55.918000000000006</v>
      </c>
      <c r="W47" s="1549"/>
      <c r="X47" s="1549"/>
      <c r="Y47" s="1549"/>
      <c r="Z47" s="1549"/>
      <c r="AA47" s="1553"/>
      <c r="AB47" s="1549"/>
      <c r="AC47" s="1549"/>
      <c r="AD47" s="1549"/>
      <c r="AE47" s="1549"/>
      <c r="AF47" s="1553"/>
      <c r="AG47" s="1549"/>
      <c r="AH47" s="1549"/>
      <c r="AI47" s="1549"/>
      <c r="AJ47" s="1549"/>
      <c r="AK47" s="1553"/>
    </row>
    <row r="48" spans="1:37" s="1565" customFormat="1" ht="12.75" customHeight="1">
      <c r="A48" s="1419"/>
      <c r="B48" s="1552" t="s">
        <v>548</v>
      </c>
      <c r="C48" s="1557"/>
      <c r="D48" s="1557"/>
      <c r="E48" s="1557"/>
      <c r="F48" s="1557"/>
      <c r="G48" s="1558">
        <v>0</v>
      </c>
      <c r="H48" s="1557">
        <v>0</v>
      </c>
      <c r="I48" s="1557">
        <v>0</v>
      </c>
      <c r="J48" s="1557">
        <v>0</v>
      </c>
      <c r="K48" s="1557">
        <v>0</v>
      </c>
      <c r="L48" s="1553">
        <f>SUM(H48:K48)</f>
        <v>0</v>
      </c>
      <c r="M48" s="1557">
        <v>0</v>
      </c>
      <c r="N48" s="1557">
        <v>0</v>
      </c>
      <c r="O48" s="1549"/>
      <c r="P48" s="1557">
        <v>0</v>
      </c>
      <c r="Q48" s="1558">
        <v>-59.615000000000002</v>
      </c>
      <c r="R48" s="1559">
        <v>-55</v>
      </c>
      <c r="S48" s="1559">
        <v>-18</v>
      </c>
      <c r="T48" s="1559"/>
      <c r="U48" s="1549"/>
      <c r="V48" s="1553">
        <f t="shared" si="10"/>
        <v>-73</v>
      </c>
      <c r="W48" s="1549"/>
      <c r="X48" s="1549"/>
      <c r="Y48" s="1549"/>
      <c r="Z48" s="1549"/>
      <c r="AA48" s="1553"/>
      <c r="AB48" s="1549"/>
      <c r="AC48" s="1549"/>
      <c r="AD48" s="1549"/>
      <c r="AE48" s="1549"/>
      <c r="AF48" s="1553"/>
      <c r="AG48" s="1549"/>
      <c r="AH48" s="1549"/>
      <c r="AI48" s="1549"/>
      <c r="AJ48" s="1549"/>
      <c r="AK48" s="1553"/>
    </row>
    <row r="49" spans="1:37" s="1565" customFormat="1" ht="12.75" customHeight="1">
      <c r="A49" s="1419"/>
      <c r="B49" s="1552" t="s">
        <v>285</v>
      </c>
      <c r="C49" s="1557"/>
      <c r="D49" s="1557"/>
      <c r="E49" s="1557"/>
      <c r="F49" s="1557"/>
      <c r="G49" s="1558">
        <v>-14.852</v>
      </c>
      <c r="H49" s="1549"/>
      <c r="I49" s="1549"/>
      <c r="J49" s="1549"/>
      <c r="K49" s="1549"/>
      <c r="L49" s="1558">
        <v>-5.5350000000000001</v>
      </c>
      <c r="M49" s="1557">
        <v>0</v>
      </c>
      <c r="N49" s="1557">
        <v>-1.4330000000000001</v>
      </c>
      <c r="O49" s="1557"/>
      <c r="P49" s="1557">
        <v>0</v>
      </c>
      <c r="Q49" s="1553"/>
      <c r="R49" s="1559">
        <v>0</v>
      </c>
      <c r="S49" s="1559">
        <v>-26.109000000000002</v>
      </c>
      <c r="T49" s="1557">
        <v>-23.74</v>
      </c>
      <c r="U49" s="1549"/>
      <c r="V49" s="1553">
        <f t="shared" si="10"/>
        <v>-49.849000000000004</v>
      </c>
      <c r="W49" s="1549"/>
      <c r="X49" s="1549"/>
      <c r="Y49" s="1549"/>
      <c r="Z49" s="1549"/>
      <c r="AA49" s="1553">
        <f>SUM(W49:Z49)</f>
        <v>0</v>
      </c>
      <c r="AB49" s="1549"/>
      <c r="AC49" s="1549"/>
      <c r="AD49" s="1549"/>
      <c r="AE49" s="1549"/>
      <c r="AF49" s="1553">
        <f>SUM(AB49:AE49)</f>
        <v>0</v>
      </c>
      <c r="AG49" s="1549"/>
      <c r="AH49" s="1549"/>
      <c r="AI49" s="1549"/>
      <c r="AJ49" s="1549"/>
      <c r="AK49" s="1553">
        <f>SUM(AG49:AJ49)</f>
        <v>0</v>
      </c>
    </row>
    <row r="50" spans="1:37" s="1565" customFormat="1" ht="12.75" hidden="1" customHeight="1" outlineLevel="1">
      <c r="A50" s="1419"/>
      <c r="B50" s="1552"/>
      <c r="C50" s="1557"/>
      <c r="D50" s="1557"/>
      <c r="E50" s="1557"/>
      <c r="F50" s="1557"/>
      <c r="G50" s="1553"/>
      <c r="H50" s="1557"/>
      <c r="I50" s="1557"/>
      <c r="J50" s="1557"/>
      <c r="K50" s="1557"/>
      <c r="L50" s="1553"/>
      <c r="M50" s="1557"/>
      <c r="N50" s="1557"/>
      <c r="O50" s="1557"/>
      <c r="P50" s="1557"/>
      <c r="Q50" s="1553"/>
      <c r="R50" s="1550"/>
      <c r="S50" s="1550"/>
      <c r="T50" s="1549"/>
      <c r="U50" s="1549"/>
      <c r="V50" s="1553"/>
      <c r="W50" s="1549"/>
      <c r="X50" s="1549"/>
      <c r="Y50" s="1549"/>
      <c r="Z50" s="1549"/>
      <c r="AA50" s="1553"/>
      <c r="AB50" s="1549"/>
      <c r="AC50" s="1549"/>
      <c r="AD50" s="1549"/>
      <c r="AE50" s="1549"/>
      <c r="AF50" s="1553"/>
      <c r="AG50" s="1549"/>
      <c r="AH50" s="1549"/>
      <c r="AI50" s="1549"/>
      <c r="AJ50" s="1549"/>
      <c r="AK50" s="1553"/>
    </row>
    <row r="51" spans="1:37" s="1501" customFormat="1" ht="12.75" hidden="1" customHeight="1" outlineLevel="1">
      <c r="A51" s="1419"/>
      <c r="B51" s="1552" t="s">
        <v>286</v>
      </c>
      <c r="C51" s="1554"/>
      <c r="D51" s="1554"/>
      <c r="E51" s="1554"/>
      <c r="F51" s="1554"/>
      <c r="G51" s="1553">
        <f>SUM(G40:G49)</f>
        <v>-80.256</v>
      </c>
      <c r="H51" s="1554"/>
      <c r="I51" s="1554"/>
      <c r="J51" s="1554"/>
      <c r="K51" s="1554"/>
      <c r="L51" s="1553">
        <f>SUM(L40:L49)</f>
        <v>-3147.71</v>
      </c>
      <c r="M51" s="1555">
        <f t="shared" ref="M51:AF51" si="11">SUM(M40:M49)</f>
        <v>-1771.2429999999999</v>
      </c>
      <c r="N51" s="1555">
        <f>SUM(N40:N49)</f>
        <v>-2249.9319999999998</v>
      </c>
      <c r="O51" s="1554"/>
      <c r="P51" s="1554">
        <f t="shared" si="11"/>
        <v>-3075.645</v>
      </c>
      <c r="Q51" s="1553">
        <f t="shared" si="11"/>
        <v>-8658.0579999999991</v>
      </c>
      <c r="R51" s="1555">
        <f t="shared" si="11"/>
        <v>-1433.0509999999999</v>
      </c>
      <c r="S51" s="1555">
        <f t="shared" si="11"/>
        <v>-2442.1620000000003</v>
      </c>
      <c r="T51" s="1554">
        <f t="shared" si="11"/>
        <v>-3359.9839999999999</v>
      </c>
      <c r="U51" s="1554">
        <f t="shared" si="11"/>
        <v>-8358.3420051049998</v>
      </c>
      <c r="V51" s="1553">
        <f t="shared" si="11"/>
        <v>-15593.539005104998</v>
      </c>
      <c r="W51" s="1554">
        <f t="shared" si="11"/>
        <v>-8819.5947919299997</v>
      </c>
      <c r="X51" s="1554">
        <f t="shared" si="11"/>
        <v>-5074.7968646079999</v>
      </c>
      <c r="Y51" s="1554">
        <f t="shared" si="11"/>
        <v>-3588.3477235884015</v>
      </c>
      <c r="Z51" s="1554">
        <f t="shared" si="11"/>
        <v>-3442.7787603365532</v>
      </c>
      <c r="AA51" s="1553">
        <f t="shared" si="11"/>
        <v>-20925.518140462955</v>
      </c>
      <c r="AB51" s="1554">
        <f t="shared" si="11"/>
        <v>-4275.9522215168945</v>
      </c>
      <c r="AC51" s="1554">
        <f t="shared" si="11"/>
        <v>-6860.1832461378735</v>
      </c>
      <c r="AD51" s="1554">
        <f t="shared" si="11"/>
        <v>-5696.2371110928079</v>
      </c>
      <c r="AE51" s="1554">
        <f t="shared" si="11"/>
        <v>-5957.3636537733573</v>
      </c>
      <c r="AF51" s="1553">
        <f t="shared" si="11"/>
        <v>-22789.736232520932</v>
      </c>
      <c r="AG51" s="1554">
        <f>SUM(AG40:AG49)</f>
        <v>-5527.3864199194886</v>
      </c>
      <c r="AH51" s="1554">
        <f>SUM(AH40:AH49)</f>
        <v>-6317.1606054980048</v>
      </c>
      <c r="AI51" s="1554">
        <f>SUM(AI40:AI49)</f>
        <v>-6489.2090657656963</v>
      </c>
      <c r="AJ51" s="1554">
        <f>SUM(AJ40:AJ49)</f>
        <v>-6448.6564497883573</v>
      </c>
      <c r="AK51" s="1553">
        <f>SUM(AK40:AK49)</f>
        <v>-24782.412540971549</v>
      </c>
    </row>
    <row r="52" spans="1:37" s="1565" customFormat="1" ht="12.75" hidden="1" customHeight="1" outlineLevel="1">
      <c r="A52" s="1419"/>
      <c r="B52" s="1552" t="s">
        <v>287</v>
      </c>
      <c r="C52" s="1557"/>
      <c r="D52" s="1557"/>
      <c r="E52" s="1557"/>
      <c r="F52" s="1557"/>
      <c r="G52" s="1558">
        <v>1.073</v>
      </c>
      <c r="H52" s="1549"/>
      <c r="I52" s="1549"/>
      <c r="J52" s="1549"/>
      <c r="K52" s="1549"/>
      <c r="L52" s="1553">
        <f>SUM(H52:K52)</f>
        <v>0</v>
      </c>
      <c r="M52" s="1559">
        <f>K52</f>
        <v>0</v>
      </c>
      <c r="N52" s="1559">
        <f>L52</f>
        <v>0</v>
      </c>
      <c r="O52" s="1557"/>
      <c r="P52" s="1549">
        <v>0</v>
      </c>
      <c r="Q52" s="1553">
        <f>SUM(M52:P52)</f>
        <v>0</v>
      </c>
      <c r="R52" s="1559">
        <f>P52</f>
        <v>0</v>
      </c>
      <c r="S52" s="1559">
        <f>R52</f>
        <v>0</v>
      </c>
      <c r="T52" s="1557">
        <f>S52</f>
        <v>0</v>
      </c>
      <c r="U52" s="1557">
        <f>T52</f>
        <v>0</v>
      </c>
      <c r="V52" s="1553">
        <f>SUM(R52:U52)</f>
        <v>0</v>
      </c>
      <c r="W52" s="1557">
        <f>U52</f>
        <v>0</v>
      </c>
      <c r="X52" s="1557">
        <f>W52</f>
        <v>0</v>
      </c>
      <c r="Y52" s="1557">
        <f>X52</f>
        <v>0</v>
      </c>
      <c r="Z52" s="1557">
        <f>Y52</f>
        <v>0</v>
      </c>
      <c r="AA52" s="1553">
        <f>SUM(W52:Z52)</f>
        <v>0</v>
      </c>
      <c r="AB52" s="1557">
        <f>Z52</f>
        <v>0</v>
      </c>
      <c r="AC52" s="1557">
        <f>AB52</f>
        <v>0</v>
      </c>
      <c r="AD52" s="1557">
        <f>AC52</f>
        <v>0</v>
      </c>
      <c r="AE52" s="1557">
        <f>AD52</f>
        <v>0</v>
      </c>
      <c r="AF52" s="1553">
        <f>SUM(AB52:AE52)</f>
        <v>0</v>
      </c>
      <c r="AG52" s="1557">
        <f>AE52</f>
        <v>0</v>
      </c>
      <c r="AH52" s="1557">
        <f>AG52</f>
        <v>0</v>
      </c>
      <c r="AI52" s="1557">
        <f>AH52</f>
        <v>0</v>
      </c>
      <c r="AJ52" s="1557">
        <f>AI52</f>
        <v>0</v>
      </c>
      <c r="AK52" s="1553">
        <f>SUM(AG52:AJ52)</f>
        <v>0</v>
      </c>
    </row>
    <row r="53" spans="1:37" s="1574" customFormat="1" ht="12.75" customHeight="1" collapsed="1">
      <c r="A53" s="1575"/>
      <c r="B53" s="1570" t="s">
        <v>73</v>
      </c>
      <c r="C53" s="1571"/>
      <c r="D53" s="1571"/>
      <c r="E53" s="1571"/>
      <c r="F53" s="1571"/>
      <c r="G53" s="1572">
        <f>SUM(G51:G52)</f>
        <v>-79.183000000000007</v>
      </c>
      <c r="H53" s="1571"/>
      <c r="I53" s="1571"/>
      <c r="J53" s="1571"/>
      <c r="K53" s="1571"/>
      <c r="L53" s="1572">
        <f>SUM(L51:L52)</f>
        <v>-3147.71</v>
      </c>
      <c r="M53" s="1573">
        <f>SUM(M51:M52)</f>
        <v>-1771.2429999999999</v>
      </c>
      <c r="N53" s="1573">
        <f>SUM(N51:N52)</f>
        <v>-2249.9319999999998</v>
      </c>
      <c r="O53" s="1571"/>
      <c r="P53" s="1571">
        <f t="shared" ref="P53:AF53" si="12">SUM(P51:P52)</f>
        <v>-3075.645</v>
      </c>
      <c r="Q53" s="1572">
        <f t="shared" si="12"/>
        <v>-8658.0579999999991</v>
      </c>
      <c r="R53" s="1573">
        <f>SUM(R51:R52)</f>
        <v>-1433.0509999999999</v>
      </c>
      <c r="S53" s="1573">
        <f t="shared" si="12"/>
        <v>-2442.1620000000003</v>
      </c>
      <c r="T53" s="1571">
        <f t="shared" si="12"/>
        <v>-3359.9839999999999</v>
      </c>
      <c r="U53" s="1571">
        <f t="shared" si="12"/>
        <v>-8358.3420051049998</v>
      </c>
      <c r="V53" s="1572">
        <f>SUM(R53:U53)</f>
        <v>-15593.539005105</v>
      </c>
      <c r="W53" s="1571">
        <f>SUM(W51:W52)</f>
        <v>-8819.5947919299997</v>
      </c>
      <c r="X53" s="1571">
        <f>SUM(X51:X52)</f>
        <v>-5074.7968646079999</v>
      </c>
      <c r="Y53" s="1571">
        <f>SUM(Y51:Y52)</f>
        <v>-3588.3477235884015</v>
      </c>
      <c r="Z53" s="1571">
        <f>SUM(Z51:Z52)</f>
        <v>-3442.7787603365532</v>
      </c>
      <c r="AA53" s="1572">
        <f>SUM(W53:Z53)</f>
        <v>-20925.518140462955</v>
      </c>
      <c r="AB53" s="1571">
        <f t="shared" si="12"/>
        <v>-4275.9522215168945</v>
      </c>
      <c r="AC53" s="1571">
        <f t="shared" si="12"/>
        <v>-6860.1832461378735</v>
      </c>
      <c r="AD53" s="1571">
        <f t="shared" si="12"/>
        <v>-5696.2371110928079</v>
      </c>
      <c r="AE53" s="1571">
        <f t="shared" si="12"/>
        <v>-5957.3636537733573</v>
      </c>
      <c r="AF53" s="1572">
        <f t="shared" si="12"/>
        <v>-22789.736232520932</v>
      </c>
      <c r="AG53" s="1571">
        <f>SUM(AG51:AG52)</f>
        <v>-5527.3864199194886</v>
      </c>
      <c r="AH53" s="1571">
        <f>SUM(AH51:AH52)</f>
        <v>-6317.1606054980048</v>
      </c>
      <c r="AI53" s="1571">
        <f>SUM(AI51:AI52)</f>
        <v>-6489.2090657656963</v>
      </c>
      <c r="AJ53" s="1571">
        <f>SUM(AJ51:AJ52)</f>
        <v>-6448.6564497883573</v>
      </c>
      <c r="AK53" s="1572">
        <f>SUM(AK51:AK52)</f>
        <v>-24782.412540971549</v>
      </c>
    </row>
    <row r="54" spans="1:37" s="589" customFormat="1" ht="12.75" customHeight="1">
      <c r="A54" s="481"/>
      <c r="B54" s="592"/>
      <c r="C54" s="593"/>
      <c r="D54" s="593"/>
      <c r="E54" s="593"/>
      <c r="F54" s="593"/>
      <c r="G54" s="594"/>
      <c r="H54" s="593"/>
      <c r="I54" s="593"/>
      <c r="J54" s="593"/>
      <c r="K54" s="593"/>
      <c r="L54" s="594"/>
      <c r="M54" s="593"/>
      <c r="N54" s="593"/>
      <c r="O54" s="593"/>
      <c r="P54" s="593"/>
      <c r="Q54" s="594"/>
      <c r="R54" s="595"/>
      <c r="S54" s="595"/>
      <c r="T54" s="593"/>
      <c r="U54" s="593"/>
      <c r="V54" s="594"/>
      <c r="W54" s="593"/>
      <c r="X54" s="593"/>
      <c r="Y54" s="593"/>
      <c r="Z54" s="593"/>
      <c r="AA54" s="594"/>
      <c r="AB54" s="593"/>
      <c r="AC54" s="593"/>
      <c r="AD54" s="593"/>
      <c r="AE54" s="593"/>
      <c r="AF54" s="594"/>
      <c r="AG54" s="593"/>
      <c r="AH54" s="593"/>
      <c r="AI54" s="593"/>
      <c r="AJ54" s="593"/>
      <c r="AK54" s="594"/>
    </row>
    <row r="55" spans="1:37" s="551" customFormat="1" ht="12.75" customHeight="1">
      <c r="A55" s="416"/>
      <c r="B55" s="589" t="s">
        <v>74</v>
      </c>
      <c r="C55" s="596"/>
      <c r="D55" s="597"/>
      <c r="E55" s="597"/>
      <c r="F55" s="586"/>
      <c r="G55" s="561"/>
      <c r="H55" s="596"/>
      <c r="I55" s="597"/>
      <c r="J55" s="597"/>
      <c r="K55" s="597"/>
      <c r="L55" s="561"/>
      <c r="M55" s="596"/>
      <c r="N55" s="596"/>
      <c r="O55" s="597"/>
      <c r="P55" s="597"/>
      <c r="Q55" s="561"/>
      <c r="R55" s="849"/>
      <c r="S55" s="598"/>
      <c r="T55" s="598"/>
      <c r="U55" s="586"/>
      <c r="V55" s="561"/>
      <c r="W55" s="596"/>
      <c r="X55" s="597"/>
      <c r="Y55" s="597"/>
      <c r="Z55" s="586"/>
      <c r="AA55" s="561"/>
      <c r="AB55" s="596"/>
      <c r="AC55" s="597"/>
      <c r="AD55" s="597"/>
      <c r="AE55" s="586"/>
      <c r="AF55" s="561"/>
      <c r="AG55" s="596"/>
      <c r="AH55" s="597"/>
      <c r="AI55" s="597"/>
      <c r="AJ55" s="586"/>
      <c r="AK55" s="561"/>
    </row>
    <row r="56" spans="1:37" s="1565" customFormat="1" ht="12.75" customHeight="1">
      <c r="A56" s="1419"/>
      <c r="B56" s="1552" t="s">
        <v>288</v>
      </c>
      <c r="C56" s="1557"/>
      <c r="D56" s="1557"/>
      <c r="E56" s="1557"/>
      <c r="F56" s="1557"/>
      <c r="G56" s="1558">
        <v>60</v>
      </c>
      <c r="H56" s="1549"/>
      <c r="I56" s="1549"/>
      <c r="J56" s="1549"/>
      <c r="K56" s="1549"/>
      <c r="L56" s="1558">
        <v>1415.8620000000001</v>
      </c>
      <c r="M56" s="1559">
        <v>931.64700000000005</v>
      </c>
      <c r="N56" s="1559">
        <v>889.89400000000001</v>
      </c>
      <c r="O56" s="1549"/>
      <c r="P56" s="1557">
        <v>3475.268</v>
      </c>
      <c r="Q56" s="1558">
        <v>7022.2910000000002</v>
      </c>
      <c r="R56" s="1559">
        <v>784.95600000000002</v>
      </c>
      <c r="S56" s="1559">
        <v>3647.7669999999998</v>
      </c>
      <c r="T56" s="1559">
        <v>4019.8609999999999</v>
      </c>
      <c r="U56" s="1549">
        <f>'Debt Model'!U73</f>
        <v>6809.5110000000004</v>
      </c>
      <c r="V56" s="1525">
        <f>'Debt Model'!V73</f>
        <v>8976.2810000000009</v>
      </c>
      <c r="W56" s="1549">
        <f>'Debt Model'!W73</f>
        <v>7773.4009999999998</v>
      </c>
      <c r="X56" s="1549">
        <f>'Debt Model'!X73</f>
        <v>6598.6639999999998</v>
      </c>
      <c r="Y56" s="1549">
        <f>'Debt Model'!Y73</f>
        <v>3427.0810000000001</v>
      </c>
      <c r="Z56" s="1549">
        <f>'Debt Model'!Z73</f>
        <v>1290.94</v>
      </c>
      <c r="AA56" s="1525">
        <f>'Debt Model'!AA73</f>
        <v>19090.085999999999</v>
      </c>
      <c r="AB56" s="1549">
        <f>'Debt Model'!AB73</f>
        <v>3725.8779050000003</v>
      </c>
      <c r="AC56" s="1549">
        <f>'Debt Model'!AC73</f>
        <v>5950.9197100000001</v>
      </c>
      <c r="AD56" s="1549">
        <f>'Debt Model'!AD73</f>
        <v>4350.9197100000001</v>
      </c>
      <c r="AE56" s="1549">
        <f>'Debt Model'!AE73</f>
        <v>1950.9197100000001</v>
      </c>
      <c r="AF56" s="1525">
        <f>'Debt Model'!AF73</f>
        <v>15978.637035</v>
      </c>
      <c r="AG56" s="1549">
        <f>'Debt Model'!AG73</f>
        <v>3973.3779050000003</v>
      </c>
      <c r="AH56" s="1549">
        <f>'Debt Model'!AH73</f>
        <v>4795.9197100000001</v>
      </c>
      <c r="AI56" s="1549">
        <f>'Debt Model'!AI73</f>
        <v>3595.9197100000001</v>
      </c>
      <c r="AJ56" s="1549">
        <f>'Debt Model'!AJ73</f>
        <v>1495.9197100000001</v>
      </c>
      <c r="AK56" s="1525">
        <f>'Debt Model'!AK73</f>
        <v>13861.137035</v>
      </c>
    </row>
    <row r="57" spans="1:37" s="1565" customFormat="1" ht="12.75" customHeight="1">
      <c r="A57" s="1419"/>
      <c r="B57" s="1552" t="s">
        <v>289</v>
      </c>
      <c r="C57" s="1557"/>
      <c r="D57" s="1557"/>
      <c r="E57" s="1557"/>
      <c r="F57" s="1557"/>
      <c r="G57" s="1558">
        <v>30</v>
      </c>
      <c r="H57" s="1549"/>
      <c r="I57" s="1549"/>
      <c r="J57" s="1549"/>
      <c r="K57" s="1549"/>
      <c r="L57" s="1553"/>
      <c r="M57" s="1559">
        <v>0</v>
      </c>
      <c r="N57" s="1559">
        <v>0</v>
      </c>
      <c r="O57" s="1557"/>
      <c r="P57" s="1557">
        <v>0</v>
      </c>
      <c r="Q57" s="1553">
        <f>SUM(M57:P57)</f>
        <v>0</v>
      </c>
      <c r="R57" s="1559">
        <v>0</v>
      </c>
      <c r="S57" s="1559">
        <v>0</v>
      </c>
      <c r="T57" s="1559"/>
      <c r="U57" s="1557"/>
      <c r="V57" s="1553">
        <f>SUM(R57:U57)</f>
        <v>0</v>
      </c>
      <c r="W57" s="1557"/>
      <c r="X57" s="1557"/>
      <c r="Y57" s="1557"/>
      <c r="Z57" s="1557"/>
      <c r="AA57" s="1553">
        <f>SUM(W57:Z57)</f>
        <v>0</v>
      </c>
      <c r="AB57" s="1557"/>
      <c r="AC57" s="1557"/>
      <c r="AD57" s="1557"/>
      <c r="AE57" s="1557"/>
      <c r="AF57" s="1553">
        <f>SUM(AB57:AE57)</f>
        <v>0</v>
      </c>
      <c r="AG57" s="1557"/>
      <c r="AH57" s="1557"/>
      <c r="AI57" s="1557"/>
      <c r="AJ57" s="1557"/>
      <c r="AK57" s="1553">
        <f>SUM(AG57:AJ57)</f>
        <v>0</v>
      </c>
    </row>
    <row r="58" spans="1:37" s="1565" customFormat="1" ht="12.75" customHeight="1">
      <c r="A58" s="1419"/>
      <c r="B58" s="1552" t="s">
        <v>290</v>
      </c>
      <c r="C58" s="1557"/>
      <c r="D58" s="1557"/>
      <c r="E58" s="1557"/>
      <c r="F58" s="1557"/>
      <c r="G58" s="1558">
        <v>-3.0550000000000002</v>
      </c>
      <c r="H58" s="1549"/>
      <c r="I58" s="1549"/>
      <c r="J58" s="1549"/>
      <c r="K58" s="1549"/>
      <c r="L58" s="1558">
        <v>-2.1800000000000002</v>
      </c>
      <c r="M58" s="1559">
        <v>-4.9560000000000004</v>
      </c>
      <c r="N58" s="1559">
        <v>-69.459999999999994</v>
      </c>
      <c r="O58" s="1549"/>
      <c r="P58" s="1557">
        <v>0</v>
      </c>
      <c r="Q58" s="1558">
        <v>-588.55499999999995</v>
      </c>
      <c r="R58" s="1559">
        <v>-271.10399999999998</v>
      </c>
      <c r="S58" s="1559">
        <v>-1303.7629999999999</v>
      </c>
      <c r="T58" s="1559">
        <v>-1403.9829999999999</v>
      </c>
      <c r="U58" s="1549">
        <f>'Debt Model'!U85</f>
        <v>-1300.7460000000001</v>
      </c>
      <c r="V58" s="1553">
        <f>'Debt Model'!V85</f>
        <v>-3377.598</v>
      </c>
      <c r="W58" s="1549">
        <f>'Debt Model'!W85</f>
        <v>-715.11504000000002</v>
      </c>
      <c r="X58" s="1549">
        <f>'Debt Model'!X85</f>
        <v>-773.85153660000003</v>
      </c>
      <c r="Y58" s="1549">
        <f>'Debt Model'!Y85</f>
        <v>-860.06596022300005</v>
      </c>
      <c r="Z58" s="1549">
        <f>'Debt Model'!Z85</f>
        <v>-880.84411705416005</v>
      </c>
      <c r="AA58" s="1553">
        <f>'Debt Model'!AA85</f>
        <v>-3229.8766538771602</v>
      </c>
      <c r="AB58" s="1549">
        <f>'Debt Model'!AB85</f>
        <v>-871.41826115105562</v>
      </c>
      <c r="AC58" s="1549">
        <f>'Debt Model'!AC85</f>
        <v>-871.41826115105562</v>
      </c>
      <c r="AD58" s="1549">
        <f>'Debt Model'!AD85</f>
        <v>-871.41826115105562</v>
      </c>
      <c r="AE58" s="1549">
        <f>'Debt Model'!AE85</f>
        <v>-871.41826115105562</v>
      </c>
      <c r="AF58" s="1553">
        <f>'Debt Model'!AF85</f>
        <v>-3485.6730446042225</v>
      </c>
      <c r="AG58" s="1549">
        <f>'Debt Model'!AG85</f>
        <v>-971.84502028667566</v>
      </c>
      <c r="AH58" s="1549">
        <f>'Debt Model'!AH85</f>
        <v>-776.34502028667566</v>
      </c>
      <c r="AI58" s="1549">
        <f>'Debt Model'!AI85</f>
        <v>-776.34502028667566</v>
      </c>
      <c r="AJ58" s="1549">
        <f>'Debt Model'!AJ85</f>
        <v>-776.34502028667566</v>
      </c>
      <c r="AK58" s="1553">
        <f>'Debt Model'!AK85</f>
        <v>-3300.8800811467027</v>
      </c>
    </row>
    <row r="59" spans="1:37" s="1565" customFormat="1" ht="12.75" customHeight="1">
      <c r="A59" s="1419"/>
      <c r="B59" s="1552" t="s">
        <v>291</v>
      </c>
      <c r="C59" s="1557"/>
      <c r="D59" s="1557"/>
      <c r="E59" s="1557"/>
      <c r="F59" s="1557"/>
      <c r="G59" s="1558">
        <v>-1.651</v>
      </c>
      <c r="H59" s="1549"/>
      <c r="I59" s="1549"/>
      <c r="J59" s="1549"/>
      <c r="K59" s="1549"/>
      <c r="L59" s="1558">
        <v>-12.053000000000001</v>
      </c>
      <c r="M59" s="1559">
        <v>0</v>
      </c>
      <c r="N59" s="1559">
        <v>-3.4790000000000001</v>
      </c>
      <c r="O59" s="1549"/>
      <c r="P59" s="1557">
        <v>0</v>
      </c>
      <c r="Q59" s="1558">
        <v>-3.786</v>
      </c>
      <c r="R59" s="1559">
        <v>0</v>
      </c>
      <c r="S59" s="1559">
        <v>-36.536000000000001</v>
      </c>
      <c r="T59" s="1559">
        <v>-9.5500000000000007</v>
      </c>
      <c r="U59" s="1549">
        <f>'Debt Model'!U82</f>
        <v>-75</v>
      </c>
      <c r="V59" s="1525">
        <f>'Debt Model'!V82</f>
        <v>-121.086</v>
      </c>
      <c r="W59" s="1549">
        <f>'Debt Model'!W82</f>
        <v>-109.5</v>
      </c>
      <c r="X59" s="1549">
        <f>'Debt Model'!X82</f>
        <v>-93</v>
      </c>
      <c r="Y59" s="1549">
        <f>'Debt Model'!Y82</f>
        <v>-45</v>
      </c>
      <c r="Z59" s="1549">
        <f>'Debt Model'!Z82</f>
        <v>-15</v>
      </c>
      <c r="AA59" s="1525">
        <f>'Debt Model'!AA82</f>
        <v>-262.5</v>
      </c>
      <c r="AB59" s="1549">
        <f>'Debt Model'!AB82</f>
        <v>-48</v>
      </c>
      <c r="AC59" s="1549">
        <f>'Debt Model'!AC82</f>
        <v>-81</v>
      </c>
      <c r="AD59" s="1549">
        <f>'Debt Model'!AD82</f>
        <v>-57</v>
      </c>
      <c r="AE59" s="1549">
        <f>'Debt Model'!AE82</f>
        <v>-21</v>
      </c>
      <c r="AF59" s="1525">
        <f>'Debt Model'!AF82</f>
        <v>-207</v>
      </c>
      <c r="AG59" s="1549">
        <f>'Debt Model'!AG82</f>
        <v>-52.5</v>
      </c>
      <c r="AH59" s="1549">
        <f>'Debt Model'!AH82</f>
        <v>-64.5</v>
      </c>
      <c r="AI59" s="1549">
        <f>'Debt Model'!AI82</f>
        <v>-46.5</v>
      </c>
      <c r="AJ59" s="1549">
        <f>'Debt Model'!AJ82</f>
        <v>-15</v>
      </c>
      <c r="AK59" s="1525">
        <f>'Debt Model'!AK82</f>
        <v>-178.5</v>
      </c>
    </row>
    <row r="60" spans="1:37" s="1565" customFormat="1" ht="12.75" customHeight="1">
      <c r="A60" s="1419"/>
      <c r="B60" s="1552" t="s">
        <v>443</v>
      </c>
      <c r="C60" s="1557"/>
      <c r="D60" s="1557"/>
      <c r="E60" s="1557"/>
      <c r="F60" s="1557"/>
      <c r="G60" s="1558">
        <v>0</v>
      </c>
      <c r="H60" s="1549"/>
      <c r="I60" s="1549"/>
      <c r="J60" s="1549"/>
      <c r="K60" s="1549"/>
      <c r="L60" s="1558"/>
      <c r="M60" s="1559">
        <v>0</v>
      </c>
      <c r="N60" s="1559">
        <v>0</v>
      </c>
      <c r="O60" s="1549"/>
      <c r="P60" s="1557">
        <v>59.225000000000001</v>
      </c>
      <c r="Q60" s="1558">
        <v>0</v>
      </c>
      <c r="R60" s="1559">
        <v>0</v>
      </c>
      <c r="S60" s="1559">
        <v>0</v>
      </c>
      <c r="T60" s="1559">
        <v>0</v>
      </c>
      <c r="U60" s="1549">
        <f>(BS!U35-BS!T35)+(BS!U43-BS!T43)</f>
        <v>-12.281794016596578</v>
      </c>
      <c r="V60" s="1553">
        <f t="shared" ref="V60:V72" si="13">SUM(R60:U60)</f>
        <v>-12.281794016596578</v>
      </c>
      <c r="W60" s="1549">
        <f>(BS!W35-BS!V35)+(BS!W43-BS!V43)</f>
        <v>-17.976425017278469</v>
      </c>
      <c r="X60" s="1549">
        <f>(BS!X35-BS!W35)+(BS!X43-BS!W43)</f>
        <v>-14.707698673446183</v>
      </c>
      <c r="Y60" s="1549">
        <f>(BS!Y35-BS!X35)+(BS!Y43-BS!X43)</f>
        <v>-4.0360822926787714</v>
      </c>
      <c r="Z60" s="1549">
        <f>(BS!Z35-BS!Y35)+(BS!Z43-BS!Y43)</f>
        <v>0</v>
      </c>
      <c r="AA60" s="1553">
        <f t="shared" ref="AA60:AA72" si="14">SUM(W60:Z60)</f>
        <v>-36.720205983403424</v>
      </c>
      <c r="AB60" s="1549">
        <f>(BS!AB35-BS!AA35)+(BS!AB43-BS!AA43)</f>
        <v>0</v>
      </c>
      <c r="AC60" s="1549">
        <f>(BS!AC35-BS!AB35)+(BS!AC43-BS!AB43)</f>
        <v>0</v>
      </c>
      <c r="AD60" s="1549">
        <f>(BS!AD35-BS!AC35)+(BS!AD43-BS!AC43)</f>
        <v>0</v>
      </c>
      <c r="AE60" s="1549">
        <f>(BS!AE35-BS!AD35)+(BS!AE43-BS!AD43)</f>
        <v>0</v>
      </c>
      <c r="AF60" s="1553">
        <f t="shared" ref="AF60:AF71" si="15">SUM(AB60:AE60)</f>
        <v>0</v>
      </c>
      <c r="AG60" s="1549">
        <f>(BS!AG35-BS!AF35)+(BS!AG43-BS!AF43)</f>
        <v>0</v>
      </c>
      <c r="AH60" s="1549">
        <f>(BS!AH35-BS!AG35)+(BS!AH43-BS!AG43)</f>
        <v>0</v>
      </c>
      <c r="AI60" s="1549">
        <f>(BS!AI35-BS!AH35)+(BS!AI43-BS!AH43)</f>
        <v>0</v>
      </c>
      <c r="AJ60" s="1549">
        <f>(BS!AJ35-BS!AI35)+(BS!AJ43-BS!AI43)</f>
        <v>0</v>
      </c>
      <c r="AK60" s="1553">
        <f t="shared" ref="AK60:AK71" si="16">SUM(AG60:AJ60)</f>
        <v>0</v>
      </c>
    </row>
    <row r="61" spans="1:37" s="1565" customFormat="1" ht="12.75" customHeight="1">
      <c r="A61" s="1419"/>
      <c r="B61" s="1552" t="s">
        <v>292</v>
      </c>
      <c r="C61" s="1557"/>
      <c r="D61" s="1557"/>
      <c r="E61" s="1557"/>
      <c r="F61" s="1557"/>
      <c r="G61" s="1558">
        <v>0</v>
      </c>
      <c r="H61" s="1549"/>
      <c r="I61" s="1549"/>
      <c r="J61" s="1549"/>
      <c r="K61" s="1549"/>
      <c r="L61" s="1558">
        <v>420.76499999999999</v>
      </c>
      <c r="M61" s="1557">
        <v>25</v>
      </c>
      <c r="N61" s="1557">
        <v>1147.4760000000001</v>
      </c>
      <c r="O61" s="1549"/>
      <c r="P61" s="1557">
        <v>0</v>
      </c>
      <c r="Q61" s="1558">
        <v>1172.4760000000001</v>
      </c>
      <c r="R61" s="1559">
        <v>0</v>
      </c>
      <c r="S61" s="1559">
        <v>0</v>
      </c>
      <c r="T61" s="1559"/>
      <c r="U61" s="1557"/>
      <c r="V61" s="1553">
        <f t="shared" si="13"/>
        <v>0</v>
      </c>
      <c r="W61" s="1557"/>
      <c r="X61" s="1557"/>
      <c r="Y61" s="1557"/>
      <c r="Z61" s="1557"/>
      <c r="AA61" s="1553">
        <f t="shared" si="14"/>
        <v>0</v>
      </c>
      <c r="AB61" s="1557"/>
      <c r="AC61" s="1557"/>
      <c r="AD61" s="1557"/>
      <c r="AE61" s="1557"/>
      <c r="AF61" s="1553">
        <f t="shared" si="15"/>
        <v>0</v>
      </c>
      <c r="AG61" s="1557"/>
      <c r="AH61" s="1557"/>
      <c r="AI61" s="1557"/>
      <c r="AJ61" s="1557"/>
      <c r="AK61" s="1553">
        <f t="shared" si="16"/>
        <v>0</v>
      </c>
    </row>
    <row r="62" spans="1:37" s="1565" customFormat="1" ht="12.75" customHeight="1">
      <c r="A62" s="1419"/>
      <c r="B62" s="1552" t="s">
        <v>478</v>
      </c>
      <c r="C62" s="1557"/>
      <c r="D62" s="1557"/>
      <c r="E62" s="1557"/>
      <c r="F62" s="1557"/>
      <c r="G62" s="1558">
        <v>0</v>
      </c>
      <c r="H62" s="1549"/>
      <c r="I62" s="1549"/>
      <c r="J62" s="1549"/>
      <c r="K62" s="1549"/>
      <c r="L62" s="1558">
        <v>0</v>
      </c>
      <c r="M62" s="1557">
        <v>0</v>
      </c>
      <c r="N62" s="1557">
        <v>0</v>
      </c>
      <c r="O62" s="1549"/>
      <c r="P62" s="1557">
        <v>0</v>
      </c>
      <c r="Q62" s="1558">
        <v>-57.744999999999997</v>
      </c>
      <c r="R62" s="1559">
        <v>0</v>
      </c>
      <c r="S62" s="1559">
        <v>0</v>
      </c>
      <c r="T62" s="1559"/>
      <c r="U62" s="1557"/>
      <c r="V62" s="1553">
        <f t="shared" si="13"/>
        <v>0</v>
      </c>
      <c r="W62" s="1557"/>
      <c r="X62" s="1557"/>
      <c r="Y62" s="1557"/>
      <c r="Z62" s="1557"/>
      <c r="AA62" s="1553">
        <f t="shared" si="14"/>
        <v>0</v>
      </c>
      <c r="AB62" s="1557"/>
      <c r="AC62" s="1557"/>
      <c r="AD62" s="1557"/>
      <c r="AE62" s="1557"/>
      <c r="AF62" s="1553">
        <f t="shared" si="15"/>
        <v>0</v>
      </c>
      <c r="AG62" s="1557"/>
      <c r="AH62" s="1557"/>
      <c r="AI62" s="1557"/>
      <c r="AJ62" s="1557"/>
      <c r="AK62" s="1553">
        <f t="shared" si="16"/>
        <v>0</v>
      </c>
    </row>
    <row r="63" spans="1:37" s="1565" customFormat="1" ht="12.75" customHeight="1">
      <c r="A63" s="1419"/>
      <c r="B63" s="1552" t="s">
        <v>293</v>
      </c>
      <c r="C63" s="1557"/>
      <c r="D63" s="1557"/>
      <c r="E63" s="1557"/>
      <c r="F63" s="1557"/>
      <c r="G63" s="1558">
        <v>0</v>
      </c>
      <c r="H63" s="1549"/>
      <c r="I63" s="1549"/>
      <c r="J63" s="1549"/>
      <c r="K63" s="1549"/>
      <c r="L63" s="1553"/>
      <c r="M63" s="1557">
        <v>0</v>
      </c>
      <c r="N63" s="1557">
        <v>0</v>
      </c>
      <c r="O63" s="1549"/>
      <c r="P63" s="1557">
        <v>0</v>
      </c>
      <c r="Q63" s="1553">
        <f>SUM(M63:P63)</f>
        <v>0</v>
      </c>
      <c r="R63" s="1559">
        <v>-26.100999999999999</v>
      </c>
      <c r="S63" s="1559">
        <v>-2.5920000000000001</v>
      </c>
      <c r="T63" s="1559"/>
      <c r="U63" s="1557"/>
      <c r="V63" s="1553">
        <f t="shared" si="13"/>
        <v>-28.692999999999998</v>
      </c>
      <c r="W63" s="1557"/>
      <c r="X63" s="1557"/>
      <c r="Y63" s="1557"/>
      <c r="Z63" s="1557"/>
      <c r="AA63" s="1553">
        <f t="shared" si="14"/>
        <v>0</v>
      </c>
      <c r="AB63" s="1557"/>
      <c r="AC63" s="1557"/>
      <c r="AD63" s="1557"/>
      <c r="AE63" s="1557"/>
      <c r="AF63" s="1553">
        <f t="shared" si="15"/>
        <v>0</v>
      </c>
      <c r="AG63" s="1557"/>
      <c r="AH63" s="1557"/>
      <c r="AI63" s="1557"/>
      <c r="AJ63" s="1557"/>
      <c r="AK63" s="1553">
        <f t="shared" si="16"/>
        <v>0</v>
      </c>
    </row>
    <row r="64" spans="1:37" s="1565" customFormat="1" ht="12.75" customHeight="1">
      <c r="A64" s="1419"/>
      <c r="B64" s="1552" t="s">
        <v>294</v>
      </c>
      <c r="C64" s="1557"/>
      <c r="D64" s="1557"/>
      <c r="E64" s="1557"/>
      <c r="F64" s="1557"/>
      <c r="G64" s="1558">
        <v>0</v>
      </c>
      <c r="H64" s="1549"/>
      <c r="I64" s="1549"/>
      <c r="J64" s="1549"/>
      <c r="K64" s="1549"/>
      <c r="L64" s="1558">
        <v>1.669</v>
      </c>
      <c r="M64" s="1557">
        <v>4.4999999999999998E-2</v>
      </c>
      <c r="N64" s="1557">
        <v>0.59699999999999998</v>
      </c>
      <c r="O64" s="1549"/>
      <c r="P64" s="1557">
        <v>0</v>
      </c>
      <c r="Q64" s="1558">
        <v>2.89</v>
      </c>
      <c r="R64" s="1559">
        <v>2.794</v>
      </c>
      <c r="S64" s="1559">
        <v>1.744</v>
      </c>
      <c r="T64" s="1559">
        <v>12.981</v>
      </c>
      <c r="U64" s="1557"/>
      <c r="V64" s="1553">
        <f t="shared" si="13"/>
        <v>17.518999999999998</v>
      </c>
      <c r="W64" s="1557"/>
      <c r="X64" s="1557"/>
      <c r="Y64" s="1557"/>
      <c r="Z64" s="1557"/>
      <c r="AA64" s="1553">
        <f t="shared" si="14"/>
        <v>0</v>
      </c>
      <c r="AB64" s="1557"/>
      <c r="AC64" s="1557"/>
      <c r="AD64" s="1557"/>
      <c r="AE64" s="1557"/>
      <c r="AF64" s="1553">
        <f t="shared" si="15"/>
        <v>0</v>
      </c>
      <c r="AG64" s="1557"/>
      <c r="AH64" s="1557"/>
      <c r="AI64" s="1557"/>
      <c r="AJ64" s="1557"/>
      <c r="AK64" s="1553">
        <f t="shared" si="16"/>
        <v>0</v>
      </c>
    </row>
    <row r="65" spans="1:37" s="1565" customFormat="1" ht="12.75" customHeight="1">
      <c r="A65" s="1419"/>
      <c r="B65" s="1552" t="s">
        <v>686</v>
      </c>
      <c r="C65" s="1557"/>
      <c r="D65" s="1557"/>
      <c r="E65" s="1557"/>
      <c r="F65" s="1557"/>
      <c r="G65" s="1558">
        <v>0</v>
      </c>
      <c r="H65" s="1549"/>
      <c r="I65" s="1549"/>
      <c r="J65" s="1549"/>
      <c r="K65" s="1549"/>
      <c r="L65" s="1553"/>
      <c r="M65" s="1557">
        <v>0</v>
      </c>
      <c r="N65" s="1557">
        <v>0</v>
      </c>
      <c r="O65" s="1549"/>
      <c r="P65" s="1557">
        <v>0</v>
      </c>
      <c r="Q65" s="1553">
        <f>SUM(M65:P65)</f>
        <v>0</v>
      </c>
      <c r="R65" s="1559">
        <v>1422.6189999999999</v>
      </c>
      <c r="S65" s="1559">
        <v>0</v>
      </c>
      <c r="T65" s="1559"/>
      <c r="U65" s="1557"/>
      <c r="V65" s="1553">
        <f>SUM(R65:U65)</f>
        <v>1422.6189999999999</v>
      </c>
      <c r="W65" s="1557"/>
      <c r="X65" s="1557"/>
      <c r="Y65" s="1557"/>
      <c r="Z65" s="1557"/>
      <c r="AA65" s="1553">
        <f t="shared" si="14"/>
        <v>0</v>
      </c>
      <c r="AB65" s="1557"/>
      <c r="AC65" s="1557"/>
      <c r="AD65" s="1557"/>
      <c r="AE65" s="1557"/>
      <c r="AF65" s="1553">
        <f t="shared" si="15"/>
        <v>0</v>
      </c>
      <c r="AG65" s="1557"/>
      <c r="AH65" s="1557"/>
      <c r="AI65" s="1557"/>
      <c r="AJ65" s="1557"/>
      <c r="AK65" s="1553">
        <f t="shared" si="16"/>
        <v>0</v>
      </c>
    </row>
    <row r="66" spans="1:37" s="1565" customFormat="1" ht="12.75" customHeight="1">
      <c r="A66" s="1419"/>
      <c r="B66" s="1552" t="s">
        <v>685</v>
      </c>
      <c r="C66" s="1557"/>
      <c r="D66" s="1557"/>
      <c r="E66" s="1557"/>
      <c r="F66" s="1557"/>
      <c r="G66" s="1558"/>
      <c r="H66" s="1549"/>
      <c r="I66" s="1549"/>
      <c r="J66" s="1549"/>
      <c r="K66" s="1549"/>
      <c r="L66" s="1553"/>
      <c r="M66" s="1557"/>
      <c r="N66" s="1557">
        <v>0</v>
      </c>
      <c r="O66" s="1549"/>
      <c r="P66" s="1557"/>
      <c r="Q66" s="1553"/>
      <c r="R66" s="1559">
        <v>0</v>
      </c>
      <c r="S66" s="1559">
        <v>67.668999999999997</v>
      </c>
      <c r="T66" s="1559"/>
      <c r="U66" s="1557"/>
      <c r="V66" s="1553">
        <f>SUM(R66:U66)</f>
        <v>67.668999999999997</v>
      </c>
      <c r="W66" s="1557"/>
      <c r="X66" s="1557"/>
      <c r="Y66" s="1557"/>
      <c r="Z66" s="1557"/>
      <c r="AA66" s="1553">
        <f t="shared" si="14"/>
        <v>0</v>
      </c>
      <c r="AB66" s="1557"/>
      <c r="AC66" s="1557"/>
      <c r="AD66" s="1557"/>
      <c r="AE66" s="1557"/>
      <c r="AF66" s="1553">
        <f t="shared" si="15"/>
        <v>0</v>
      </c>
      <c r="AG66" s="1557"/>
      <c r="AH66" s="1557"/>
      <c r="AI66" s="1557"/>
      <c r="AJ66" s="1557"/>
      <c r="AK66" s="1553">
        <f t="shared" si="16"/>
        <v>0</v>
      </c>
    </row>
    <row r="67" spans="1:37" s="1565" customFormat="1" ht="12.75" customHeight="1">
      <c r="A67" s="1419"/>
      <c r="B67" s="1552" t="s">
        <v>600</v>
      </c>
      <c r="C67" s="1557"/>
      <c r="D67" s="1557"/>
      <c r="E67" s="1557"/>
      <c r="F67" s="1557"/>
      <c r="G67" s="1558">
        <v>0</v>
      </c>
      <c r="H67" s="1549"/>
      <c r="I67" s="1549"/>
      <c r="J67" s="1549"/>
      <c r="K67" s="1549"/>
      <c r="L67" s="1553"/>
      <c r="M67" s="1557">
        <v>0</v>
      </c>
      <c r="N67" s="1557">
        <v>0</v>
      </c>
      <c r="O67" s="1549"/>
      <c r="P67" s="1557">
        <v>0</v>
      </c>
      <c r="Q67" s="1553">
        <f>SUM(M67:P67)</f>
        <v>0</v>
      </c>
      <c r="R67" s="1559">
        <v>-15.685</v>
      </c>
      <c r="S67" s="1559">
        <v>-116.873</v>
      </c>
      <c r="T67" s="1559">
        <v>-11.484999999999999</v>
      </c>
      <c r="U67" s="1557"/>
      <c r="V67" s="1553">
        <f>SUM(R67:U67)</f>
        <v>-144.04300000000001</v>
      </c>
      <c r="W67" s="1557"/>
      <c r="X67" s="1557"/>
      <c r="Y67" s="1557"/>
      <c r="Z67" s="1557"/>
      <c r="AA67" s="1553">
        <f t="shared" si="14"/>
        <v>0</v>
      </c>
      <c r="AB67" s="1557"/>
      <c r="AC67" s="1557"/>
      <c r="AD67" s="1557"/>
      <c r="AE67" s="1557"/>
      <c r="AF67" s="1553">
        <f t="shared" si="15"/>
        <v>0</v>
      </c>
      <c r="AG67" s="1557"/>
      <c r="AH67" s="1557"/>
      <c r="AI67" s="1557"/>
      <c r="AJ67" s="1557"/>
      <c r="AK67" s="1553">
        <f t="shared" si="16"/>
        <v>0</v>
      </c>
    </row>
    <row r="68" spans="1:37" s="1565" customFormat="1" ht="12.75" customHeight="1">
      <c r="A68" s="1419"/>
      <c r="B68" s="1552" t="s">
        <v>601</v>
      </c>
      <c r="C68" s="1557"/>
      <c r="D68" s="1557"/>
      <c r="E68" s="1557"/>
      <c r="F68" s="1557"/>
      <c r="G68" s="1558">
        <v>0</v>
      </c>
      <c r="H68" s="1549"/>
      <c r="I68" s="1549"/>
      <c r="J68" s="1549"/>
      <c r="K68" s="1549"/>
      <c r="L68" s="1553"/>
      <c r="M68" s="1557">
        <v>0</v>
      </c>
      <c r="N68" s="1557">
        <v>0</v>
      </c>
      <c r="O68" s="1549"/>
      <c r="P68" s="1557">
        <v>0</v>
      </c>
      <c r="Q68" s="1553">
        <f>SUM(M68:P68)</f>
        <v>0</v>
      </c>
      <c r="R68" s="1559">
        <v>-16.87</v>
      </c>
      <c r="S68" s="1559">
        <v>-10.893000000000001</v>
      </c>
      <c r="T68" s="1559">
        <v>-1.006</v>
      </c>
      <c r="U68" s="1557"/>
      <c r="V68" s="1553">
        <f>SUM(R68:U68)</f>
        <v>-28.769000000000002</v>
      </c>
      <c r="W68" s="1557"/>
      <c r="X68" s="1557"/>
      <c r="Y68" s="1557"/>
      <c r="Z68" s="1557"/>
      <c r="AA68" s="1553">
        <f t="shared" si="14"/>
        <v>0</v>
      </c>
      <c r="AB68" s="1557"/>
      <c r="AC68" s="1557"/>
      <c r="AD68" s="1557"/>
      <c r="AE68" s="1557"/>
      <c r="AF68" s="1553">
        <f t="shared" si="15"/>
        <v>0</v>
      </c>
      <c r="AG68" s="1557"/>
      <c r="AH68" s="1557"/>
      <c r="AI68" s="1557"/>
      <c r="AJ68" s="1557"/>
      <c r="AK68" s="1553">
        <f t="shared" si="16"/>
        <v>0</v>
      </c>
    </row>
    <row r="69" spans="1:37" s="1565" customFormat="1" ht="12.75" customHeight="1">
      <c r="A69" s="1419"/>
      <c r="B69" s="1552" t="s">
        <v>297</v>
      </c>
      <c r="C69" s="1557"/>
      <c r="D69" s="1557"/>
      <c r="E69" s="1557"/>
      <c r="F69" s="1557"/>
      <c r="G69" s="1558">
        <v>-3.84</v>
      </c>
      <c r="H69" s="1549"/>
      <c r="I69" s="1549"/>
      <c r="J69" s="1549"/>
      <c r="K69" s="1549"/>
      <c r="L69" s="1558">
        <v>-19.094999999999999</v>
      </c>
      <c r="M69" s="1557">
        <v>-32.241</v>
      </c>
      <c r="N69" s="1557">
        <v>-24.739000000000001</v>
      </c>
      <c r="O69" s="1549"/>
      <c r="P69" s="1557">
        <v>0</v>
      </c>
      <c r="Q69" s="1558">
        <v>-81.453000000000003</v>
      </c>
      <c r="R69" s="1559">
        <v>-26.742999999999999</v>
      </c>
      <c r="S69" s="1559">
        <v>-17.343</v>
      </c>
      <c r="T69" s="1559">
        <v>-20.86</v>
      </c>
      <c r="U69" s="1557"/>
      <c r="V69" s="1553">
        <f t="shared" si="13"/>
        <v>-64.945999999999998</v>
      </c>
      <c r="W69" s="1557"/>
      <c r="X69" s="1557"/>
      <c r="Y69" s="1557"/>
      <c r="Z69" s="1557"/>
      <c r="AA69" s="1553">
        <f t="shared" si="14"/>
        <v>0</v>
      </c>
      <c r="AB69" s="1557"/>
      <c r="AC69" s="1557"/>
      <c r="AD69" s="1557"/>
      <c r="AE69" s="1557"/>
      <c r="AF69" s="1553">
        <f t="shared" si="15"/>
        <v>0</v>
      </c>
      <c r="AG69" s="1557"/>
      <c r="AH69" s="1557"/>
      <c r="AI69" s="1557"/>
      <c r="AJ69" s="1557"/>
      <c r="AK69" s="1553">
        <f t="shared" si="16"/>
        <v>0</v>
      </c>
    </row>
    <row r="70" spans="1:37" s="1565" customFormat="1" ht="12.75" customHeight="1">
      <c r="A70" s="1419"/>
      <c r="B70" s="1552" t="s">
        <v>295</v>
      </c>
      <c r="C70" s="1557"/>
      <c r="D70" s="1557"/>
      <c r="E70" s="1557"/>
      <c r="F70" s="1557"/>
      <c r="G70" s="1558">
        <v>0</v>
      </c>
      <c r="H70" s="1549"/>
      <c r="I70" s="1549"/>
      <c r="J70" s="1549"/>
      <c r="K70" s="1549"/>
      <c r="L70" s="1558">
        <v>-32.054000000000002</v>
      </c>
      <c r="M70" s="1557">
        <v>0</v>
      </c>
      <c r="N70" s="1557">
        <v>0</v>
      </c>
      <c r="O70" s="1549"/>
      <c r="P70" s="1557">
        <v>0</v>
      </c>
      <c r="Q70" s="1558">
        <v>-1.47</v>
      </c>
      <c r="R70" s="1559">
        <v>0</v>
      </c>
      <c r="S70" s="1559">
        <v>0</v>
      </c>
      <c r="T70" s="1559"/>
      <c r="U70" s="1557"/>
      <c r="V70" s="1553">
        <f t="shared" si="13"/>
        <v>0</v>
      </c>
      <c r="W70" s="1557"/>
      <c r="X70" s="1557"/>
      <c r="Y70" s="1557"/>
      <c r="Z70" s="1557"/>
      <c r="AA70" s="1553">
        <f t="shared" si="14"/>
        <v>0</v>
      </c>
      <c r="AB70" s="1557"/>
      <c r="AC70" s="1557"/>
      <c r="AD70" s="1557"/>
      <c r="AE70" s="1557"/>
      <c r="AF70" s="1553">
        <f t="shared" si="15"/>
        <v>0</v>
      </c>
      <c r="AG70" s="1557"/>
      <c r="AH70" s="1557"/>
      <c r="AI70" s="1557"/>
      <c r="AJ70" s="1557"/>
      <c r="AK70" s="1553">
        <f t="shared" si="16"/>
        <v>0</v>
      </c>
    </row>
    <row r="71" spans="1:37" s="1565" customFormat="1" ht="12.75" customHeight="1">
      <c r="A71" s="1419"/>
      <c r="B71" s="1552" t="s">
        <v>296</v>
      </c>
      <c r="C71" s="1557"/>
      <c r="D71" s="1557"/>
      <c r="E71" s="1557"/>
      <c r="F71" s="1557"/>
      <c r="G71" s="1553"/>
      <c r="H71" s="1549"/>
      <c r="I71" s="1549"/>
      <c r="J71" s="1549"/>
      <c r="K71" s="1549"/>
      <c r="L71" s="1558">
        <v>14.837</v>
      </c>
      <c r="M71" s="1557">
        <v>0</v>
      </c>
      <c r="N71" s="1557">
        <v>0</v>
      </c>
      <c r="O71" s="1549"/>
      <c r="P71" s="1557">
        <v>-18.478000000000002</v>
      </c>
      <c r="Q71" s="1553">
        <v>0</v>
      </c>
      <c r="R71" s="1559">
        <v>0</v>
      </c>
      <c r="S71" s="1559">
        <v>0</v>
      </c>
      <c r="T71" s="1559">
        <v>0</v>
      </c>
      <c r="U71" s="1549">
        <f>(BS!U49-BS!T49)+(BS!U51-BS!T51)+(BS!U53-BS!T53)+(BS!U54-BS!T54)+(BS!U55-BS!T55)-U62-'IS (Non-GAAP)'!U106</f>
        <v>0</v>
      </c>
      <c r="V71" s="1553">
        <f t="shared" si="13"/>
        <v>0</v>
      </c>
      <c r="W71" s="1549">
        <f>(BS!W49-BS!V49)+(BS!W51-BS!V51)+(BS!W53-BS!V53)+(BS!W54-BS!V54)+(BS!W55-BS!V55)-W62-'IS (Non-GAAP)'!W106</f>
        <v>0</v>
      </c>
      <c r="X71" s="1549">
        <f>(BS!X49-BS!W49)+(BS!X51-BS!W51)+(BS!X53-BS!W53)+(BS!X54-BS!W54)+(BS!X55-BS!W55)-X62-'IS (Non-GAAP)'!X106</f>
        <v>-1.4210854715202004E-13</v>
      </c>
      <c r="Y71" s="1549">
        <f>(BS!Y49-BS!X49)+(BS!Y51-BS!X51)+(BS!Y53-BS!X53)+(BS!Y54-BS!X54)+(BS!Y55-BS!X55)-Y62-'IS (Non-GAAP)'!Y106</f>
        <v>0</v>
      </c>
      <c r="Z71" s="1549">
        <f>(BS!Z49-BS!Y49)+(BS!Z51-BS!Y51)+(BS!Z53-BS!Y53)+(BS!Z54-BS!Y54)+(BS!Z55-BS!Y55)-Z62-'IS (Non-GAAP)'!Z106</f>
        <v>-4.2632564145606011E-13</v>
      </c>
      <c r="AA71" s="1553">
        <f t="shared" si="14"/>
        <v>-5.6843418860808015E-13</v>
      </c>
      <c r="AB71" s="1549">
        <f>(BS!AB49-BS!AA49)+(BS!AB51-BS!AA51)+(BS!AB53-BS!AA53)+(BS!AB54-BS!AA54)+(BS!AB55-BS!AA55)-AB62-'IS (Non-GAAP)'!AB106</f>
        <v>-4.5474735088646412E-13</v>
      </c>
      <c r="AC71" s="1549">
        <f>(BS!AC49-BS!AB49)+(BS!AC51-BS!AB51)+(BS!AC53-BS!AB53)+(BS!AC54-BS!AB54)+(BS!AC55-BS!AB55)-AC62-'IS (Non-GAAP)'!AC106</f>
        <v>0</v>
      </c>
      <c r="AD71" s="1549">
        <f>(BS!AD49-BS!AC49)+(BS!AD51-BS!AC51)+(BS!AD53-BS!AC53)+(BS!AD54-BS!AC54)+(BS!AD55-BS!AC55)-AD62-'IS (Non-GAAP)'!AD106</f>
        <v>-3.979039320256561E-13</v>
      </c>
      <c r="AE71" s="1549">
        <f>(BS!AE49-BS!AD49)+(BS!AE51-BS!AD51)+(BS!AE53-BS!AD53)+(BS!AE54-BS!AD54)+(BS!AE55-BS!AD55)-AE62-'IS (Non-GAAP)'!AE106</f>
        <v>0</v>
      </c>
      <c r="AF71" s="1553">
        <f t="shared" si="15"/>
        <v>-8.5265128291212022E-13</v>
      </c>
      <c r="AG71" s="1549">
        <f>(BS!AG49-BS!AF49)+(BS!AG51-BS!AF51)+(BS!AG53-BS!AF53)+(BS!AG54-BS!AF54)+(BS!AG55-BS!AF55)-AG62-'IS (Non-GAAP)'!AG106</f>
        <v>0</v>
      </c>
      <c r="AH71" s="1549">
        <f>(BS!AH49-BS!AG49)+(BS!AH51-BS!AG51)+(BS!AH53-BS!AG53)+(BS!AH54-BS!AG54)+(BS!AH55-BS!AG55)-AH62-'IS (Non-GAAP)'!AH106</f>
        <v>0</v>
      </c>
      <c r="AI71" s="1549">
        <f>(BS!AI49-BS!AH49)+(BS!AI51-BS!AH51)+(BS!AI53-BS!AH53)+(BS!AI54-BS!AH54)+(BS!AI55-BS!AH55)-AI62-'IS (Non-GAAP)'!AI106</f>
        <v>-2.5579538487363607E-13</v>
      </c>
      <c r="AJ71" s="1549">
        <f>(BS!AJ49-BS!AI49)+(BS!AJ51-BS!AI51)+(BS!AJ53-BS!AI53)+(BS!AJ54-BS!AI54)+(BS!AJ55-BS!AI55)-AJ62-'IS (Non-GAAP)'!AJ106</f>
        <v>-1.4210854715202004E-13</v>
      </c>
      <c r="AK71" s="1553">
        <f t="shared" si="16"/>
        <v>-3.979039320256561E-13</v>
      </c>
    </row>
    <row r="72" spans="1:37" s="1574" customFormat="1" ht="12.75" customHeight="1">
      <c r="A72" s="1575"/>
      <c r="B72" s="1570" t="s">
        <v>75</v>
      </c>
      <c r="C72" s="1571"/>
      <c r="D72" s="1571"/>
      <c r="E72" s="1571"/>
      <c r="F72" s="1571"/>
      <c r="G72" s="1572">
        <f>SUM(G56:G71)</f>
        <v>81.453999999999994</v>
      </c>
      <c r="H72" s="1571"/>
      <c r="I72" s="1571"/>
      <c r="J72" s="1571"/>
      <c r="K72" s="1571"/>
      <c r="L72" s="1572">
        <f t="shared" ref="L72:U72" si="17">SUM(L56:L71)</f>
        <v>1787.7509999999997</v>
      </c>
      <c r="M72" s="1571">
        <f t="shared" si="17"/>
        <v>919.495</v>
      </c>
      <c r="N72" s="1571">
        <f t="shared" si="17"/>
        <v>1940.289</v>
      </c>
      <c r="O72" s="1571"/>
      <c r="P72" s="1571">
        <f t="shared" si="17"/>
        <v>3516.0149999999999</v>
      </c>
      <c r="Q72" s="1572">
        <f t="shared" si="17"/>
        <v>7464.6479999999992</v>
      </c>
      <c r="R72" s="1571">
        <f t="shared" si="17"/>
        <v>1853.8660000000002</v>
      </c>
      <c r="S72" s="1573">
        <f t="shared" si="17"/>
        <v>2229.1799999999998</v>
      </c>
      <c r="T72" s="1571">
        <f t="shared" si="17"/>
        <v>2585.9579999999996</v>
      </c>
      <c r="U72" s="1571">
        <f t="shared" si="17"/>
        <v>5421.4832059834034</v>
      </c>
      <c r="V72" s="1572">
        <f t="shared" si="13"/>
        <v>12090.487205983403</v>
      </c>
      <c r="W72" s="1571">
        <f>SUM(W56:W71)</f>
        <v>6930.8095349827217</v>
      </c>
      <c r="X72" s="1571">
        <f>SUM(X56:X71)</f>
        <v>5717.1047647265532</v>
      </c>
      <c r="Y72" s="1571">
        <f>SUM(Y56:Y71)</f>
        <v>2517.9789574843217</v>
      </c>
      <c r="Z72" s="1571">
        <f>SUM(Z56:Z71)</f>
        <v>395.09588294583955</v>
      </c>
      <c r="AA72" s="1572">
        <f t="shared" si="14"/>
        <v>15560.989140139436</v>
      </c>
      <c r="AB72" s="1571">
        <f t="shared" ref="AB72:AK72" si="18">SUM(AB56:AB71)</f>
        <v>2806.4596438489443</v>
      </c>
      <c r="AC72" s="1571">
        <f t="shared" si="18"/>
        <v>4998.5014488489442</v>
      </c>
      <c r="AD72" s="1571">
        <f t="shared" si="18"/>
        <v>3422.5014488489442</v>
      </c>
      <c r="AE72" s="1571">
        <f t="shared" si="18"/>
        <v>1058.5014488489446</v>
      </c>
      <c r="AF72" s="1572">
        <f t="shared" si="18"/>
        <v>12285.963990395778</v>
      </c>
      <c r="AG72" s="1571">
        <f t="shared" si="18"/>
        <v>2949.0328847133246</v>
      </c>
      <c r="AH72" s="1571">
        <f t="shared" si="18"/>
        <v>3955.0746897133245</v>
      </c>
      <c r="AI72" s="1571">
        <f t="shared" si="18"/>
        <v>2773.074689713324</v>
      </c>
      <c r="AJ72" s="1571">
        <f t="shared" si="18"/>
        <v>704.57468971332435</v>
      </c>
      <c r="AK72" s="1572">
        <f t="shared" si="18"/>
        <v>10381.756953853297</v>
      </c>
    </row>
    <row r="73" spans="1:37" s="551" customFormat="1" ht="12.75" customHeight="1">
      <c r="A73" s="416"/>
      <c r="B73" s="589"/>
      <c r="C73" s="599"/>
      <c r="D73" s="597"/>
      <c r="E73" s="597"/>
      <c r="F73" s="597"/>
      <c r="G73" s="561"/>
      <c r="H73" s="599"/>
      <c r="I73" s="597"/>
      <c r="J73" s="597"/>
      <c r="K73" s="597"/>
      <c r="L73" s="561"/>
      <c r="M73" s="599"/>
      <c r="N73" s="597"/>
      <c r="O73" s="597"/>
      <c r="P73" s="597"/>
      <c r="Q73" s="561"/>
      <c r="R73" s="599"/>
      <c r="S73" s="598"/>
      <c r="T73" s="597"/>
      <c r="U73" s="597"/>
      <c r="V73" s="561"/>
      <c r="W73" s="599"/>
      <c r="X73" s="597"/>
      <c r="Y73" s="597"/>
      <c r="Z73" s="597"/>
      <c r="AA73" s="561"/>
      <c r="AB73" s="599"/>
      <c r="AC73" s="597"/>
      <c r="AD73" s="597"/>
      <c r="AE73" s="597"/>
      <c r="AF73" s="561"/>
      <c r="AG73" s="599"/>
      <c r="AH73" s="597"/>
      <c r="AI73" s="597"/>
      <c r="AJ73" s="597"/>
      <c r="AK73" s="561"/>
    </row>
    <row r="74" spans="1:37" s="551" customFormat="1" ht="12.75" customHeight="1">
      <c r="A74" s="416"/>
      <c r="B74" s="589" t="s">
        <v>67</v>
      </c>
      <c r="C74" s="599"/>
      <c r="D74" s="597"/>
      <c r="E74" s="597"/>
      <c r="F74" s="597"/>
      <c r="G74" s="561"/>
      <c r="H74" s="599"/>
      <c r="I74" s="597"/>
      <c r="J74" s="597"/>
      <c r="K74" s="597"/>
      <c r="L74" s="561"/>
      <c r="M74" s="599"/>
      <c r="N74" s="597"/>
      <c r="O74" s="597"/>
      <c r="P74" s="597"/>
      <c r="Q74" s="561"/>
      <c r="R74" s="599"/>
      <c r="S74" s="598"/>
      <c r="T74" s="597"/>
      <c r="U74" s="597"/>
      <c r="V74" s="561"/>
      <c r="W74" s="599"/>
      <c r="X74" s="597"/>
      <c r="Y74" s="597"/>
      <c r="Z74" s="597"/>
      <c r="AA74" s="561"/>
      <c r="AB74" s="599"/>
      <c r="AC74" s="597"/>
      <c r="AD74" s="597"/>
      <c r="AE74" s="597"/>
      <c r="AF74" s="561"/>
      <c r="AG74" s="599"/>
      <c r="AH74" s="597"/>
      <c r="AI74" s="597"/>
      <c r="AJ74" s="597"/>
      <c r="AK74" s="561"/>
    </row>
    <row r="75" spans="1:37" s="1501" customFormat="1" ht="12.75" hidden="1" customHeight="1" outlineLevel="1">
      <c r="A75" s="1419"/>
      <c r="B75" s="1548" t="s">
        <v>197</v>
      </c>
      <c r="C75" s="1554"/>
      <c r="D75" s="1554"/>
      <c r="E75" s="1554"/>
      <c r="F75" s="1554"/>
      <c r="G75" s="1553">
        <f>G36+G53+G72</f>
        <v>3.1809999999999832</v>
      </c>
      <c r="H75" s="1554"/>
      <c r="I75" s="1554"/>
      <c r="J75" s="1554"/>
      <c r="K75" s="1554"/>
      <c r="L75" s="1553">
        <f t="shared" ref="L75:AK75" si="19">L36+L53+L72</f>
        <v>472.6909999999998</v>
      </c>
      <c r="M75" s="1554">
        <f t="shared" si="19"/>
        <v>1187.29</v>
      </c>
      <c r="N75" s="1554">
        <f>N36+N53+N72</f>
        <v>-427.46699999999987</v>
      </c>
      <c r="O75" s="1554"/>
      <c r="P75" s="1554">
        <f t="shared" si="19"/>
        <v>135.51600000000008</v>
      </c>
      <c r="Q75" s="1553">
        <f t="shared" si="19"/>
        <v>1555.7590000000009</v>
      </c>
      <c r="R75" s="1554">
        <f t="shared" si="19"/>
        <v>481.98299999999995</v>
      </c>
      <c r="S75" s="1554">
        <f>S36+S53+S72</f>
        <v>-464.23300000000063</v>
      </c>
      <c r="T75" s="1554">
        <f>T36+T53+T72</f>
        <v>915.10799999999972</v>
      </c>
      <c r="U75" s="1554">
        <f t="shared" si="19"/>
        <v>-666.02098840111194</v>
      </c>
      <c r="V75" s="1553">
        <f t="shared" si="19"/>
        <v>266.83701159888733</v>
      </c>
      <c r="W75" s="1554">
        <f t="shared" si="19"/>
        <v>-174.93917471165241</v>
      </c>
      <c r="X75" s="1554">
        <f t="shared" si="19"/>
        <v>15.315311990644659</v>
      </c>
      <c r="Y75" s="1554">
        <f t="shared" si="19"/>
        <v>66.709380823667743</v>
      </c>
      <c r="Z75" s="1554">
        <f t="shared" si="19"/>
        <v>440.66140957735206</v>
      </c>
      <c r="AA75" s="1553">
        <f t="shared" si="19"/>
        <v>347.74692768001296</v>
      </c>
      <c r="AB75" s="1554">
        <f t="shared" si="19"/>
        <v>-357.61983699056736</v>
      </c>
      <c r="AC75" s="1554">
        <f t="shared" si="19"/>
        <v>241.58707150175178</v>
      </c>
      <c r="AD75" s="1554">
        <f t="shared" si="19"/>
        <v>287.58974189909441</v>
      </c>
      <c r="AE75" s="1554">
        <f t="shared" si="19"/>
        <v>74.666730073513918</v>
      </c>
      <c r="AF75" s="1553">
        <f t="shared" si="19"/>
        <v>246.22370648379365</v>
      </c>
      <c r="AG75" s="1554">
        <f t="shared" si="19"/>
        <v>-249.43158660336985</v>
      </c>
      <c r="AH75" s="1554">
        <f t="shared" si="19"/>
        <v>92.925384528851737</v>
      </c>
      <c r="AI75" s="1554">
        <f t="shared" si="19"/>
        <v>267.83022617388406</v>
      </c>
      <c r="AJ75" s="1554">
        <f t="shared" si="19"/>
        <v>505.4774400056225</v>
      </c>
      <c r="AK75" s="1553">
        <f t="shared" si="19"/>
        <v>616.80146410499037</v>
      </c>
    </row>
    <row r="76" spans="1:37" s="1501" customFormat="1" ht="12.75" hidden="1" customHeight="1" outlineLevel="1">
      <c r="A76" s="1419"/>
      <c r="B76" s="1576" t="s">
        <v>198</v>
      </c>
      <c r="C76" s="1522"/>
      <c r="D76" s="1577"/>
      <c r="E76" s="1577"/>
      <c r="F76" s="1577"/>
      <c r="G76" s="1558">
        <v>4.2030000000000003</v>
      </c>
      <c r="H76" s="1522"/>
      <c r="I76" s="1522"/>
      <c r="J76" s="1522"/>
      <c r="K76" s="1522"/>
      <c r="L76" s="1553">
        <f>G77</f>
        <v>7.3839999999999835</v>
      </c>
      <c r="M76" s="1522">
        <f>L82</f>
        <v>480.07499999999999</v>
      </c>
      <c r="N76" s="1522">
        <f>M82</f>
        <v>1667.365</v>
      </c>
      <c r="O76" s="1522"/>
      <c r="P76" s="1522">
        <f>O77</f>
        <v>0</v>
      </c>
      <c r="Q76" s="1553">
        <f>L77</f>
        <v>480.07499999999976</v>
      </c>
      <c r="R76" s="1522">
        <f>Q82</f>
        <v>2035.8330000000001</v>
      </c>
      <c r="S76" s="1522">
        <f>R82</f>
        <v>2517.8159999999998</v>
      </c>
      <c r="T76" s="1522">
        <f>S82</f>
        <v>2053.5830000000001</v>
      </c>
      <c r="U76" s="1522">
        <f>T77</f>
        <v>2968.6909999999998</v>
      </c>
      <c r="V76" s="1553">
        <f>Q82</f>
        <v>2035.8330000000001</v>
      </c>
      <c r="W76" s="1522">
        <f>V77</f>
        <v>2302.6700115988874</v>
      </c>
      <c r="X76" s="1522">
        <f>W77</f>
        <v>2127.730836887235</v>
      </c>
      <c r="Y76" s="1522">
        <f>X77</f>
        <v>2143.0461488778797</v>
      </c>
      <c r="Z76" s="1522">
        <f>Y77</f>
        <v>2209.7555297015474</v>
      </c>
      <c r="AA76" s="1553">
        <f>V82</f>
        <v>2302.6700115988879</v>
      </c>
      <c r="AB76" s="1522">
        <f>AA77</f>
        <v>2650.4169392789008</v>
      </c>
      <c r="AC76" s="1522">
        <f>AB77</f>
        <v>2292.7971022883335</v>
      </c>
      <c r="AD76" s="1522">
        <f>AC77</f>
        <v>2534.3841737900852</v>
      </c>
      <c r="AE76" s="1522">
        <f>AD77</f>
        <v>2821.9739156891796</v>
      </c>
      <c r="AF76" s="1553">
        <f>AA82</f>
        <v>2650.4169392788995</v>
      </c>
      <c r="AG76" s="1522">
        <f>AF77</f>
        <v>2896.6406457626931</v>
      </c>
      <c r="AH76" s="1522">
        <f>AG77</f>
        <v>2647.2090591593233</v>
      </c>
      <c r="AI76" s="1522">
        <f>AH77</f>
        <v>2740.134443688175</v>
      </c>
      <c r="AJ76" s="1522">
        <f>AI77</f>
        <v>3007.9646698620591</v>
      </c>
      <c r="AK76" s="1553">
        <f>AF82</f>
        <v>2896.6406457626936</v>
      </c>
    </row>
    <row r="77" spans="1:37" s="1569" customFormat="1" ht="12.75" hidden="1" customHeight="1" outlineLevel="1">
      <c r="A77" s="1507"/>
      <c r="B77" s="1548" t="s">
        <v>199</v>
      </c>
      <c r="C77" s="1554"/>
      <c r="D77" s="1554"/>
      <c r="E77" s="1554"/>
      <c r="F77" s="1554"/>
      <c r="G77" s="1553">
        <f>G75+G76</f>
        <v>7.3839999999999835</v>
      </c>
      <c r="H77" s="1554"/>
      <c r="I77" s="1554"/>
      <c r="J77" s="1554"/>
      <c r="K77" s="1554"/>
      <c r="L77" s="1553">
        <f>L75+L76</f>
        <v>480.07499999999976</v>
      </c>
      <c r="M77" s="1554">
        <f t="shared" ref="M77:R77" si="20">M75+M76</f>
        <v>1667.365</v>
      </c>
      <c r="N77" s="1554">
        <f>N75+N76</f>
        <v>1239.8980000000001</v>
      </c>
      <c r="O77" s="1554"/>
      <c r="P77" s="1554">
        <f t="shared" si="20"/>
        <v>135.51600000000008</v>
      </c>
      <c r="Q77" s="1553">
        <f t="shared" si="20"/>
        <v>2035.8340000000007</v>
      </c>
      <c r="R77" s="1554">
        <f t="shared" si="20"/>
        <v>2517.8159999999998</v>
      </c>
      <c r="S77" s="1554">
        <f>S75+S76</f>
        <v>2053.5829999999992</v>
      </c>
      <c r="T77" s="1554">
        <f>T75+T76</f>
        <v>2968.6909999999998</v>
      </c>
      <c r="U77" s="1554">
        <f t="shared" ref="U77:AE77" si="21">U75+U76</f>
        <v>2302.6700115988879</v>
      </c>
      <c r="V77" s="1553">
        <f t="shared" ref="V77:AA77" si="22">V75+V76</f>
        <v>2302.6700115988874</v>
      </c>
      <c r="W77" s="1554">
        <f t="shared" si="22"/>
        <v>2127.730836887235</v>
      </c>
      <c r="X77" s="1554">
        <f t="shared" si="22"/>
        <v>2143.0461488778797</v>
      </c>
      <c r="Y77" s="1554">
        <f t="shared" si="22"/>
        <v>2209.7555297015474</v>
      </c>
      <c r="Z77" s="1554">
        <f t="shared" si="22"/>
        <v>2650.4169392788995</v>
      </c>
      <c r="AA77" s="1553">
        <f t="shared" si="22"/>
        <v>2650.4169392789008</v>
      </c>
      <c r="AB77" s="1554">
        <f t="shared" si="21"/>
        <v>2292.7971022883335</v>
      </c>
      <c r="AC77" s="1554">
        <f t="shared" si="21"/>
        <v>2534.3841737900852</v>
      </c>
      <c r="AD77" s="1554">
        <f t="shared" si="21"/>
        <v>2821.9739156891796</v>
      </c>
      <c r="AE77" s="1554">
        <f t="shared" si="21"/>
        <v>2896.6406457626936</v>
      </c>
      <c r="AF77" s="1553">
        <f t="shared" ref="AF77:AK77" si="23">AF75+AF76</f>
        <v>2896.6406457626931</v>
      </c>
      <c r="AG77" s="1554">
        <f t="shared" si="23"/>
        <v>2647.2090591593233</v>
      </c>
      <c r="AH77" s="1554">
        <f t="shared" si="23"/>
        <v>2740.134443688175</v>
      </c>
      <c r="AI77" s="1554">
        <f t="shared" si="23"/>
        <v>3007.9646698620591</v>
      </c>
      <c r="AJ77" s="1554">
        <f t="shared" si="23"/>
        <v>3513.4421098676817</v>
      </c>
      <c r="AK77" s="1553">
        <f t="shared" si="23"/>
        <v>3513.4421098676839</v>
      </c>
    </row>
    <row r="78" spans="1:37" s="1565" customFormat="1" ht="12.75" hidden="1" customHeight="1" outlineLevel="1">
      <c r="A78" s="1419"/>
      <c r="B78" s="1576"/>
      <c r="C78" s="1578"/>
      <c r="D78" s="1578"/>
      <c r="E78" s="1578"/>
      <c r="F78" s="1578"/>
      <c r="G78" s="1558"/>
      <c r="H78" s="1578"/>
      <c r="I78" s="1578"/>
      <c r="J78" s="1578"/>
      <c r="K78" s="1578"/>
      <c r="L78" s="1558"/>
      <c r="M78" s="1578"/>
      <c r="N78" s="1579"/>
      <c r="O78" s="1578"/>
      <c r="P78" s="1578"/>
      <c r="Q78" s="1558"/>
      <c r="R78" s="1578"/>
      <c r="S78" s="1578"/>
      <c r="T78" s="1578"/>
      <c r="U78" s="1578"/>
      <c r="V78" s="1558"/>
      <c r="W78" s="1578"/>
      <c r="X78" s="1579"/>
      <c r="Y78" s="1578"/>
      <c r="Z78" s="1578"/>
      <c r="AA78" s="1558"/>
      <c r="AB78" s="1578"/>
      <c r="AC78" s="1579"/>
      <c r="AD78" s="1578"/>
      <c r="AE78" s="1578"/>
      <c r="AF78" s="1558"/>
      <c r="AG78" s="1578"/>
      <c r="AH78" s="1579"/>
      <c r="AI78" s="1578"/>
      <c r="AJ78" s="1578"/>
      <c r="AK78" s="1558"/>
    </row>
    <row r="79" spans="1:37" s="1565" customFormat="1" ht="12.75" hidden="1" customHeight="1" outlineLevel="1">
      <c r="A79" s="1419"/>
      <c r="B79" s="1576" t="s">
        <v>195</v>
      </c>
      <c r="C79" s="1580"/>
      <c r="D79" s="1580"/>
      <c r="E79" s="1580"/>
      <c r="F79" s="1580"/>
      <c r="G79" s="1525">
        <f>BS!G10</f>
        <v>7.3839999999999835</v>
      </c>
      <c r="H79" s="1580"/>
      <c r="I79" s="1580"/>
      <c r="J79" s="1580"/>
      <c r="K79" s="1580"/>
      <c r="L79" s="1525">
        <f>BS!L10</f>
        <v>217.14699999999999</v>
      </c>
      <c r="M79" s="1580">
        <f>BS!M10</f>
        <v>1306.8720000000001</v>
      </c>
      <c r="N79" s="1580">
        <f>BS!N10</f>
        <v>1028.0440000000001</v>
      </c>
      <c r="O79" s="1580"/>
      <c r="P79" s="1580">
        <f>BS!P10</f>
        <v>1361.0830000000001</v>
      </c>
      <c r="Q79" s="1525">
        <f>BS!Q10</f>
        <v>1361.0830000000001</v>
      </c>
      <c r="R79" s="1580">
        <f>BS!R10</f>
        <v>1276.4559999999999</v>
      </c>
      <c r="S79" s="1580">
        <f>BS!S10</f>
        <v>1152.883</v>
      </c>
      <c r="T79" s="1580">
        <f>BS!T10</f>
        <v>1894.3989999999999</v>
      </c>
      <c r="U79" s="1580">
        <f>BS!U10</f>
        <v>1228.378011598888</v>
      </c>
      <c r="V79" s="1525">
        <f>BS!V10</f>
        <v>1228.378011598888</v>
      </c>
      <c r="W79" s="1580">
        <f>BS!W10</f>
        <v>1053.4388368872351</v>
      </c>
      <c r="X79" s="1581">
        <f>BS!X10</f>
        <v>1068.7541488778797</v>
      </c>
      <c r="Y79" s="1580">
        <f>BS!Y10</f>
        <v>1135.4635297015475</v>
      </c>
      <c r="Z79" s="1580">
        <f>BS!Z10</f>
        <v>1576.1249392788995</v>
      </c>
      <c r="AA79" s="1525">
        <f>BS!AA10</f>
        <v>1576.1249392788995</v>
      </c>
      <c r="AB79" s="1580">
        <f>BS!AB10</f>
        <v>1218.5051022883335</v>
      </c>
      <c r="AC79" s="1581">
        <f>BS!AC10</f>
        <v>1460.0921737900853</v>
      </c>
      <c r="AD79" s="1580">
        <f>BS!AD10</f>
        <v>1747.6819156891797</v>
      </c>
      <c r="AE79" s="1580">
        <f>BS!AE10</f>
        <v>1822.3486457626936</v>
      </c>
      <c r="AF79" s="1525">
        <f>BS!AF10</f>
        <v>1822.3486457626936</v>
      </c>
      <c r="AG79" s="1580">
        <f>BS!AG10</f>
        <v>1572.9170591593233</v>
      </c>
      <c r="AH79" s="1581">
        <f>BS!AH10</f>
        <v>1665.8424436881751</v>
      </c>
      <c r="AI79" s="1580">
        <f>BS!AI10</f>
        <v>1933.6726698620591</v>
      </c>
      <c r="AJ79" s="1580">
        <f>BS!AJ10</f>
        <v>2439.1501098676817</v>
      </c>
      <c r="AK79" s="1525">
        <f>BS!AK10</f>
        <v>2439.1501098676817</v>
      </c>
    </row>
    <row r="80" spans="1:37" s="1565" customFormat="1" ht="12.75" hidden="1" customHeight="1" outlineLevel="1">
      <c r="A80" s="1419"/>
      <c r="B80" s="1582" t="s">
        <v>306</v>
      </c>
      <c r="C80" s="1583"/>
      <c r="D80" s="1583"/>
      <c r="E80" s="1583"/>
      <c r="F80" s="1583"/>
      <c r="G80" s="1525">
        <f>BS!G11</f>
        <v>0</v>
      </c>
      <c r="H80" s="1549"/>
      <c r="I80" s="1549"/>
      <c r="J80" s="1549"/>
      <c r="K80" s="1549"/>
      <c r="L80" s="1525">
        <f>BS!L11</f>
        <v>42.94</v>
      </c>
      <c r="M80" s="1549">
        <f>BS!M11</f>
        <v>35.493000000000002</v>
      </c>
      <c r="N80" s="1549">
        <f>BS!N11</f>
        <v>79.724999999999994</v>
      </c>
      <c r="O80" s="1549"/>
      <c r="P80" s="1549">
        <f>BS!P11</f>
        <v>37.393999999999998</v>
      </c>
      <c r="Q80" s="1525">
        <f>P80</f>
        <v>37.393999999999998</v>
      </c>
      <c r="R80" s="1549">
        <f>BS!R11</f>
        <v>624.25</v>
      </c>
      <c r="S80" s="1549">
        <f>BS!S11</f>
        <v>560.173</v>
      </c>
      <c r="T80" s="1549">
        <f>BS!T11</f>
        <v>596.77700000000004</v>
      </c>
      <c r="U80" s="1557">
        <f>T80</f>
        <v>596.77700000000004</v>
      </c>
      <c r="V80" s="1553">
        <f>U80</f>
        <v>596.77700000000004</v>
      </c>
      <c r="W80" s="1557">
        <f>U80</f>
        <v>596.77700000000004</v>
      </c>
      <c r="X80" s="1557">
        <f t="shared" ref="X80:AA81" si="24">W80</f>
        <v>596.77700000000004</v>
      </c>
      <c r="Y80" s="1557">
        <f t="shared" si="24"/>
        <v>596.77700000000004</v>
      </c>
      <c r="Z80" s="1557">
        <f t="shared" si="24"/>
        <v>596.77700000000004</v>
      </c>
      <c r="AA80" s="1553">
        <f t="shared" si="24"/>
        <v>596.77700000000004</v>
      </c>
      <c r="AB80" s="1557">
        <f>Z80</f>
        <v>596.77700000000004</v>
      </c>
      <c r="AC80" s="1557">
        <f t="shared" ref="AC80:AF81" si="25">AB80</f>
        <v>596.77700000000004</v>
      </c>
      <c r="AD80" s="1557">
        <f t="shared" si="25"/>
        <v>596.77700000000004</v>
      </c>
      <c r="AE80" s="1557">
        <f t="shared" si="25"/>
        <v>596.77700000000004</v>
      </c>
      <c r="AF80" s="1553">
        <f t="shared" si="25"/>
        <v>596.77700000000004</v>
      </c>
      <c r="AG80" s="1557">
        <f>AE80</f>
        <v>596.77700000000004</v>
      </c>
      <c r="AH80" s="1557">
        <f t="shared" ref="AH80:AK81" si="26">AG80</f>
        <v>596.77700000000004</v>
      </c>
      <c r="AI80" s="1557">
        <f t="shared" si="26"/>
        <v>596.77700000000004</v>
      </c>
      <c r="AJ80" s="1557">
        <f t="shared" si="26"/>
        <v>596.77700000000004</v>
      </c>
      <c r="AK80" s="1553">
        <f t="shared" si="26"/>
        <v>596.77700000000004</v>
      </c>
    </row>
    <row r="81" spans="1:37" s="1565" customFormat="1" ht="12.75" hidden="1" customHeight="1" outlineLevel="1">
      <c r="A81" s="1419"/>
      <c r="B81" s="1582" t="s">
        <v>307</v>
      </c>
      <c r="C81" s="1583"/>
      <c r="D81" s="1583"/>
      <c r="E81" s="1583"/>
      <c r="F81" s="1583"/>
      <c r="G81" s="1525">
        <f>BS!G18</f>
        <v>0</v>
      </c>
      <c r="H81" s="1549"/>
      <c r="I81" s="1549"/>
      <c r="J81" s="1549"/>
      <c r="K81" s="1549"/>
      <c r="L81" s="1525">
        <f>BS!L18</f>
        <v>219.988</v>
      </c>
      <c r="M81" s="1549">
        <f>BS!M18</f>
        <v>325</v>
      </c>
      <c r="N81" s="1549">
        <f>BS!N18</f>
        <v>132.1292</v>
      </c>
      <c r="O81" s="1549"/>
      <c r="P81" s="1549">
        <f>BS!P18</f>
        <v>637.35599999999999</v>
      </c>
      <c r="Q81" s="1525">
        <f>P81</f>
        <v>637.35599999999999</v>
      </c>
      <c r="R81" s="1549">
        <f>BS!R18</f>
        <v>617.11</v>
      </c>
      <c r="S81" s="1549">
        <f>BS!S18</f>
        <v>340.52699999999999</v>
      </c>
      <c r="T81" s="1549">
        <f>BS!T18</f>
        <v>477.51499999999999</v>
      </c>
      <c r="U81" s="1557">
        <f>T81</f>
        <v>477.51499999999999</v>
      </c>
      <c r="V81" s="1553">
        <f>U81</f>
        <v>477.51499999999999</v>
      </c>
      <c r="W81" s="1557">
        <f>U81</f>
        <v>477.51499999999999</v>
      </c>
      <c r="X81" s="1557">
        <f t="shared" si="24"/>
        <v>477.51499999999999</v>
      </c>
      <c r="Y81" s="1557">
        <f t="shared" si="24"/>
        <v>477.51499999999999</v>
      </c>
      <c r="Z81" s="1557">
        <f t="shared" si="24"/>
        <v>477.51499999999999</v>
      </c>
      <c r="AA81" s="1553">
        <f t="shared" si="24"/>
        <v>477.51499999999999</v>
      </c>
      <c r="AB81" s="1557">
        <f>Z81</f>
        <v>477.51499999999999</v>
      </c>
      <c r="AC81" s="1557">
        <f t="shared" si="25"/>
        <v>477.51499999999999</v>
      </c>
      <c r="AD81" s="1557">
        <f t="shared" si="25"/>
        <v>477.51499999999999</v>
      </c>
      <c r="AE81" s="1557">
        <f t="shared" si="25"/>
        <v>477.51499999999999</v>
      </c>
      <c r="AF81" s="1553">
        <f t="shared" si="25"/>
        <v>477.51499999999999</v>
      </c>
      <c r="AG81" s="1557">
        <f>AE81</f>
        <v>477.51499999999999</v>
      </c>
      <c r="AH81" s="1557">
        <f t="shared" si="26"/>
        <v>477.51499999999999</v>
      </c>
      <c r="AI81" s="1557">
        <f t="shared" si="26"/>
        <v>477.51499999999999</v>
      </c>
      <c r="AJ81" s="1557">
        <f t="shared" si="26"/>
        <v>477.51499999999999</v>
      </c>
      <c r="AK81" s="1553">
        <f t="shared" si="26"/>
        <v>477.51499999999999</v>
      </c>
    </row>
    <row r="82" spans="1:37" s="1501" customFormat="1" ht="12.75" hidden="1" customHeight="1" outlineLevel="1">
      <c r="A82" s="1419"/>
      <c r="B82" s="1548" t="s">
        <v>196</v>
      </c>
      <c r="C82" s="1584"/>
      <c r="D82" s="1584"/>
      <c r="E82" s="1584"/>
      <c r="F82" s="1584"/>
      <c r="G82" s="1553">
        <f>SUM(G79:G81)</f>
        <v>7.3839999999999835</v>
      </c>
      <c r="H82" s="1584"/>
      <c r="I82" s="1584"/>
      <c r="J82" s="1584"/>
      <c r="K82" s="1584"/>
      <c r="L82" s="1553">
        <f t="shared" ref="L82:Q82" si="27">SUM(L79:L81)</f>
        <v>480.07499999999999</v>
      </c>
      <c r="M82" s="1584">
        <f t="shared" si="27"/>
        <v>1667.365</v>
      </c>
      <c r="N82" s="1584">
        <f>SUM(N79:N81)</f>
        <v>1239.8982000000001</v>
      </c>
      <c r="O82" s="1584"/>
      <c r="P82" s="1584">
        <f>SUM(P79:P81)</f>
        <v>2035.8330000000001</v>
      </c>
      <c r="Q82" s="1553">
        <f t="shared" si="27"/>
        <v>2035.8330000000001</v>
      </c>
      <c r="R82" s="1584">
        <f>SUM(R79:R81)</f>
        <v>2517.8159999999998</v>
      </c>
      <c r="S82" s="1584">
        <f>SUM(S79:S81)</f>
        <v>2053.5830000000001</v>
      </c>
      <c r="T82" s="1584">
        <f>SUM(T79:T81)</f>
        <v>2968.6909999999998</v>
      </c>
      <c r="U82" s="1584">
        <f t="shared" ref="U82:AF82" si="28">SUM(U79:U81)</f>
        <v>2302.6700115988879</v>
      </c>
      <c r="V82" s="1553">
        <f t="shared" si="28"/>
        <v>2302.6700115988879</v>
      </c>
      <c r="W82" s="1584">
        <f t="shared" si="28"/>
        <v>2127.730836887235</v>
      </c>
      <c r="X82" s="1584">
        <f t="shared" si="28"/>
        <v>2143.0461488778797</v>
      </c>
      <c r="Y82" s="1584">
        <f t="shared" si="28"/>
        <v>2209.7555297015474</v>
      </c>
      <c r="Z82" s="1584">
        <f t="shared" si="28"/>
        <v>2650.4169392788995</v>
      </c>
      <c r="AA82" s="1553">
        <f>SUM(AA79:AA81)</f>
        <v>2650.4169392788995</v>
      </c>
      <c r="AB82" s="1584">
        <f t="shared" si="28"/>
        <v>2292.7971022883335</v>
      </c>
      <c r="AC82" s="1584">
        <f t="shared" si="28"/>
        <v>2534.3841737900852</v>
      </c>
      <c r="AD82" s="1584">
        <f t="shared" si="28"/>
        <v>2821.9739156891796</v>
      </c>
      <c r="AE82" s="1584">
        <f t="shared" si="28"/>
        <v>2896.6406457626936</v>
      </c>
      <c r="AF82" s="1553">
        <f t="shared" si="28"/>
        <v>2896.6406457626936</v>
      </c>
      <c r="AG82" s="1584">
        <f>SUM(AG79:AG81)</f>
        <v>2647.2090591593233</v>
      </c>
      <c r="AH82" s="1584">
        <f>SUM(AH79:AH81)</f>
        <v>2740.134443688175</v>
      </c>
      <c r="AI82" s="1584">
        <f>SUM(AI79:AI81)</f>
        <v>3007.9646698620591</v>
      </c>
      <c r="AJ82" s="1584">
        <f>SUM(AJ79:AJ81)</f>
        <v>3513.4421098676817</v>
      </c>
      <c r="AK82" s="1553">
        <f>SUM(AK79:AK81)</f>
        <v>3513.4421098676817</v>
      </c>
    </row>
    <row r="83" spans="1:37" s="600" customFormat="1" ht="12.75" hidden="1" customHeight="1" outlineLevel="1">
      <c r="A83" s="416"/>
      <c r="B83" s="583"/>
      <c r="C83" s="667"/>
      <c r="D83" s="667"/>
      <c r="E83" s="667"/>
      <c r="F83" s="667"/>
      <c r="G83" s="584"/>
      <c r="H83" s="667"/>
      <c r="I83" s="667"/>
      <c r="J83" s="667"/>
      <c r="K83" s="667"/>
      <c r="L83" s="584"/>
      <c r="M83" s="667"/>
      <c r="N83" s="667"/>
      <c r="O83" s="667"/>
      <c r="P83" s="667"/>
      <c r="Q83" s="584"/>
      <c r="R83" s="667"/>
      <c r="S83" s="667"/>
      <c r="T83" s="667"/>
      <c r="U83" s="667"/>
      <c r="V83" s="584"/>
      <c r="W83" s="667"/>
      <c r="X83" s="667"/>
      <c r="Y83" s="667"/>
      <c r="Z83" s="667"/>
      <c r="AA83" s="584"/>
      <c r="AB83" s="667"/>
      <c r="AC83" s="667"/>
      <c r="AD83" s="667"/>
      <c r="AE83" s="667"/>
      <c r="AF83" s="584"/>
      <c r="AG83" s="667"/>
      <c r="AH83" s="667"/>
      <c r="AI83" s="667"/>
      <c r="AJ83" s="667"/>
      <c r="AK83" s="584"/>
    </row>
    <row r="84" spans="1:37" s="299" customFormat="1" ht="12.75" hidden="1" customHeight="1" outlineLevel="1">
      <c r="A84" s="283"/>
      <c r="B84" s="1200" t="s">
        <v>603</v>
      </c>
      <c r="C84" s="1201"/>
      <c r="D84" s="1201"/>
      <c r="E84" s="1201"/>
      <c r="F84" s="1201"/>
      <c r="G84" s="418">
        <f>G80+G81</f>
        <v>0</v>
      </c>
      <c r="H84" s="1201"/>
      <c r="I84" s="1201"/>
      <c r="J84" s="1201"/>
      <c r="K84" s="1201"/>
      <c r="L84" s="418">
        <f>L80+L81</f>
        <v>262.928</v>
      </c>
      <c r="M84" s="1201">
        <f t="shared" ref="M84:AK84" si="29">M80+M81</f>
        <v>360.49299999999999</v>
      </c>
      <c r="N84" s="1201">
        <f>N80+N81</f>
        <v>211.85419999999999</v>
      </c>
      <c r="O84" s="1201"/>
      <c r="P84" s="1201">
        <f t="shared" si="29"/>
        <v>674.75</v>
      </c>
      <c r="Q84" s="418">
        <f>Q80+Q81</f>
        <v>674.75</v>
      </c>
      <c r="R84" s="1201">
        <f t="shared" si="29"/>
        <v>1241.3600000000001</v>
      </c>
      <c r="S84" s="1201">
        <f>S80+S81</f>
        <v>900.7</v>
      </c>
      <c r="T84" s="1201">
        <f>T80+T81</f>
        <v>1074.2919999999999</v>
      </c>
      <c r="U84" s="1201">
        <f t="shared" si="29"/>
        <v>1074.2919999999999</v>
      </c>
      <c r="V84" s="418">
        <f t="shared" si="29"/>
        <v>1074.2919999999999</v>
      </c>
      <c r="W84" s="1201">
        <f t="shared" si="29"/>
        <v>1074.2919999999999</v>
      </c>
      <c r="X84" s="1201">
        <f t="shared" si="29"/>
        <v>1074.2919999999999</v>
      </c>
      <c r="Y84" s="1201">
        <f t="shared" si="29"/>
        <v>1074.2919999999999</v>
      </c>
      <c r="Z84" s="1201">
        <f t="shared" si="29"/>
        <v>1074.2919999999999</v>
      </c>
      <c r="AA84" s="418">
        <f t="shared" si="29"/>
        <v>1074.2919999999999</v>
      </c>
      <c r="AB84" s="1201">
        <f t="shared" si="29"/>
        <v>1074.2919999999999</v>
      </c>
      <c r="AC84" s="1201">
        <f t="shared" si="29"/>
        <v>1074.2919999999999</v>
      </c>
      <c r="AD84" s="1201">
        <f t="shared" si="29"/>
        <v>1074.2919999999999</v>
      </c>
      <c r="AE84" s="1201">
        <f t="shared" si="29"/>
        <v>1074.2919999999999</v>
      </c>
      <c r="AF84" s="418">
        <f t="shared" si="29"/>
        <v>1074.2919999999999</v>
      </c>
      <c r="AG84" s="1201">
        <f t="shared" si="29"/>
        <v>1074.2919999999999</v>
      </c>
      <c r="AH84" s="1201">
        <f t="shared" si="29"/>
        <v>1074.2919999999999</v>
      </c>
      <c r="AI84" s="1201">
        <f t="shared" si="29"/>
        <v>1074.2919999999999</v>
      </c>
      <c r="AJ84" s="1201">
        <f t="shared" si="29"/>
        <v>1074.2919999999999</v>
      </c>
      <c r="AK84" s="418">
        <f t="shared" si="29"/>
        <v>1074.2919999999999</v>
      </c>
    </row>
    <row r="85" spans="1:37" s="299" customFormat="1" ht="12.75" hidden="1" customHeight="1" outlineLevel="1">
      <c r="A85" s="283"/>
      <c r="B85" s="1202" t="s">
        <v>604</v>
      </c>
      <c r="C85" s="1201"/>
      <c r="D85" s="1201"/>
      <c r="E85" s="1201"/>
      <c r="F85" s="1201"/>
      <c r="G85" s="1204">
        <f>G84/G77</f>
        <v>0</v>
      </c>
      <c r="H85" s="1201"/>
      <c r="I85" s="1201"/>
      <c r="J85" s="1201"/>
      <c r="K85" s="1201"/>
      <c r="L85" s="1204">
        <f>L84/L77</f>
        <v>0.54768109149612065</v>
      </c>
      <c r="M85" s="1203">
        <f t="shared" ref="M85:AK85" si="30">M84/M77</f>
        <v>0.21620521001700288</v>
      </c>
      <c r="N85" s="1203">
        <f>N84/N77</f>
        <v>0.17086421625004636</v>
      </c>
      <c r="O85" s="1203"/>
      <c r="P85" s="1203">
        <f t="shared" si="30"/>
        <v>4.9791168570500872</v>
      </c>
      <c r="Q85" s="1204">
        <f>Q84/Q77</f>
        <v>0.33143664955001229</v>
      </c>
      <c r="R85" s="1203">
        <f t="shared" si="30"/>
        <v>0.49303046767515984</v>
      </c>
      <c r="S85" s="1203">
        <f>S84/S77</f>
        <v>0.43859926771890906</v>
      </c>
      <c r="T85" s="1203">
        <f>T84/T77</f>
        <v>0.36187397071638644</v>
      </c>
      <c r="U85" s="1203">
        <f t="shared" si="30"/>
        <v>0.46654188163680987</v>
      </c>
      <c r="V85" s="1204">
        <f t="shared" si="30"/>
        <v>0.46654188163680993</v>
      </c>
      <c r="W85" s="1203">
        <f t="shared" si="30"/>
        <v>0.50490032920312233</v>
      </c>
      <c r="X85" s="1203">
        <f t="shared" si="30"/>
        <v>0.50129205129927323</v>
      </c>
      <c r="Y85" s="1203">
        <f t="shared" si="30"/>
        <v>0.48615875627884286</v>
      </c>
      <c r="Z85" s="1203">
        <f t="shared" si="30"/>
        <v>0.40532943480669242</v>
      </c>
      <c r="AA85" s="1204">
        <f t="shared" si="30"/>
        <v>0.4053294348066922</v>
      </c>
      <c r="AB85" s="1203">
        <f t="shared" si="30"/>
        <v>0.46855083641190898</v>
      </c>
      <c r="AC85" s="1203">
        <f t="shared" si="30"/>
        <v>0.42388680102647297</v>
      </c>
      <c r="AD85" s="1203">
        <f t="shared" si="30"/>
        <v>0.38068813961295506</v>
      </c>
      <c r="AE85" s="1203">
        <f t="shared" si="30"/>
        <v>0.3708751382645657</v>
      </c>
      <c r="AF85" s="1204">
        <f t="shared" si="30"/>
        <v>0.37087513826456581</v>
      </c>
      <c r="AG85" s="1203">
        <f t="shared" si="30"/>
        <v>0.40582061181868417</v>
      </c>
      <c r="AH85" s="1203">
        <f t="shared" si="30"/>
        <v>0.39205813513077881</v>
      </c>
      <c r="AI85" s="1203">
        <f t="shared" si="30"/>
        <v>0.35714914166504003</v>
      </c>
      <c r="AJ85" s="1203">
        <f t="shared" si="30"/>
        <v>0.30576624472701458</v>
      </c>
      <c r="AK85" s="1204">
        <f t="shared" si="30"/>
        <v>0.30576624472701436</v>
      </c>
    </row>
    <row r="86" spans="1:37" s="246" customFormat="1" ht="12.75" hidden="1" customHeight="1" outlineLevel="1">
      <c r="A86" s="416"/>
      <c r="B86" s="387"/>
      <c r="C86" s="231"/>
      <c r="D86" s="231"/>
      <c r="E86" s="231"/>
      <c r="F86" s="231"/>
      <c r="G86" s="584"/>
      <c r="H86" s="231"/>
      <c r="I86" s="231"/>
      <c r="J86" s="231"/>
      <c r="K86" s="231"/>
      <c r="L86" s="584"/>
      <c r="M86" s="231"/>
      <c r="N86" s="231"/>
      <c r="O86" s="231"/>
      <c r="P86" s="231"/>
      <c r="Q86" s="584"/>
      <c r="R86" s="231"/>
      <c r="S86" s="231"/>
      <c r="T86" s="231"/>
      <c r="U86" s="231"/>
      <c r="V86" s="584"/>
      <c r="W86" s="231"/>
      <c r="X86" s="231"/>
      <c r="Y86" s="231"/>
      <c r="Z86" s="231"/>
      <c r="AA86" s="584"/>
      <c r="AB86" s="231"/>
      <c r="AC86" s="231"/>
      <c r="AD86" s="231"/>
      <c r="AE86" s="231"/>
      <c r="AF86" s="584"/>
      <c r="AG86" s="231"/>
      <c r="AH86" s="231"/>
      <c r="AI86" s="231"/>
      <c r="AJ86" s="231"/>
      <c r="AK86" s="584"/>
    </row>
    <row r="87" spans="1:37" s="238" customFormat="1" ht="12.75" hidden="1" customHeight="1" outlineLevel="1">
      <c r="A87" s="434"/>
      <c r="B87" s="485" t="s">
        <v>67</v>
      </c>
      <c r="C87" s="480"/>
      <c r="D87" s="480"/>
      <c r="E87" s="480"/>
      <c r="F87" s="480"/>
      <c r="G87" s="682" t="str">
        <f>IF(AND(G77-G82&lt;0.0005,G77-G82&gt;-0.0005),"OK",G77-G82)</f>
        <v>OK</v>
      </c>
      <c r="H87" s="681"/>
      <c r="I87" s="681"/>
      <c r="J87" s="681"/>
      <c r="K87" s="681"/>
      <c r="L87" s="682" t="str">
        <f>IF(AND(L77-L82&lt;0.0005,L77-L82&gt;-0.0005),"OK",L77-L82)</f>
        <v>OK</v>
      </c>
      <c r="M87" s="681" t="str">
        <f>IF(AND(M77-M82&lt;0.0005,M77-M82&gt;-0.0005),"OK",M77-M82)</f>
        <v>OK</v>
      </c>
      <c r="N87" s="681" t="str">
        <f>IF(AND(N77-N82&lt;0.0005,N77-N82&gt;-0.0005),"OK",N77-N82)</f>
        <v>OK</v>
      </c>
      <c r="O87" s="681"/>
      <c r="P87" s="1218"/>
      <c r="Q87" s="682">
        <f t="shared" ref="Q87:V87" si="31">IF(AND(Q77-Q82&lt;0.0005,Q77-Q82&gt;-0.0005),"OK",Q77-Q82)</f>
        <v>1.0000000006584742E-3</v>
      </c>
      <c r="R87" s="681" t="str">
        <f t="shared" si="31"/>
        <v>OK</v>
      </c>
      <c r="S87" s="681" t="str">
        <f>IF(AND(S77-S82&lt;0.0005,S77-S82&gt;-0.0005),"OK",S77-S82)</f>
        <v>OK</v>
      </c>
      <c r="T87" s="681" t="str">
        <f t="shared" si="31"/>
        <v>OK</v>
      </c>
      <c r="U87" s="681" t="str">
        <f t="shared" si="31"/>
        <v>OK</v>
      </c>
      <c r="V87" s="682" t="str">
        <f t="shared" si="31"/>
        <v>OK</v>
      </c>
      <c r="W87" s="681" t="str">
        <f t="shared" ref="W87:AF87" si="32">IF(AND(W77-W82&lt;0.0005,W77-W82&gt;-0.0005),"OK",W77-W82)</f>
        <v>OK</v>
      </c>
      <c r="X87" s="681" t="str">
        <f t="shared" si="32"/>
        <v>OK</v>
      </c>
      <c r="Y87" s="681" t="str">
        <f t="shared" si="32"/>
        <v>OK</v>
      </c>
      <c r="Z87" s="681" t="str">
        <f t="shared" si="32"/>
        <v>OK</v>
      </c>
      <c r="AA87" s="682" t="str">
        <f t="shared" si="32"/>
        <v>OK</v>
      </c>
      <c r="AB87" s="681" t="str">
        <f t="shared" si="32"/>
        <v>OK</v>
      </c>
      <c r="AC87" s="681" t="str">
        <f t="shared" si="32"/>
        <v>OK</v>
      </c>
      <c r="AD87" s="681" t="str">
        <f t="shared" si="32"/>
        <v>OK</v>
      </c>
      <c r="AE87" s="681" t="str">
        <f t="shared" si="32"/>
        <v>OK</v>
      </c>
      <c r="AF87" s="682" t="str">
        <f t="shared" si="32"/>
        <v>OK</v>
      </c>
      <c r="AG87" s="681" t="str">
        <f>IF(AND(AG77-AG82&lt;0.0005,AG77-AG82&gt;-0.0005),"OK",AG77-AG82)</f>
        <v>OK</v>
      </c>
      <c r="AH87" s="681" t="str">
        <f>IF(AND(AH77-AH82&lt;0.0005,AH77-AH82&gt;-0.0005),"OK",AH77-AH82)</f>
        <v>OK</v>
      </c>
      <c r="AI87" s="681" t="str">
        <f>IF(AND(AI77-AI82&lt;0.0005,AI77-AI82&gt;-0.0005),"OK",AI77-AI82)</f>
        <v>OK</v>
      </c>
      <c r="AJ87" s="681" t="str">
        <f>IF(AND(AJ77-AJ82&lt;0.0005,AJ77-AJ82&gt;-0.0005),"OK",AJ77-AJ82)</f>
        <v>OK</v>
      </c>
      <c r="AK87" s="682" t="str">
        <f>IF(AND(AK77-AK82&lt;0.0005,AK77-AK82&gt;-0.0005),"OK",AK77-AK82)</f>
        <v>OK</v>
      </c>
    </row>
    <row r="88" spans="1:37" s="237" customFormat="1" ht="12.75" customHeight="1" collapsed="1">
      <c r="A88" s="416"/>
      <c r="B88" s="378"/>
      <c r="C88" s="101"/>
      <c r="D88" s="102"/>
      <c r="E88" s="102"/>
      <c r="F88" s="102"/>
      <c r="G88" s="236"/>
      <c r="H88" s="234"/>
      <c r="I88" s="234"/>
      <c r="J88" s="234"/>
      <c r="K88" s="234"/>
      <c r="L88" s="236"/>
      <c r="M88" s="101"/>
      <c r="N88" s="234"/>
      <c r="O88" s="102"/>
      <c r="P88" s="234"/>
      <c r="Q88" s="236"/>
      <c r="R88" s="101"/>
      <c r="S88" s="101"/>
      <c r="T88" s="102"/>
      <c r="U88" s="102"/>
      <c r="V88" s="236"/>
      <c r="W88" s="101"/>
      <c r="X88" s="234"/>
      <c r="Y88" s="102"/>
      <c r="Z88" s="102"/>
      <c r="AA88" s="236"/>
      <c r="AB88" s="101"/>
      <c r="AC88" s="234"/>
      <c r="AD88" s="102"/>
      <c r="AE88" s="102"/>
      <c r="AF88" s="236"/>
      <c r="AG88" s="101"/>
      <c r="AH88" s="234"/>
      <c r="AI88" s="102"/>
      <c r="AJ88" s="102"/>
      <c r="AK88" s="236"/>
    </row>
    <row r="89" spans="1:37" ht="12.75" customHeight="1">
      <c r="B89" s="386" t="s">
        <v>200</v>
      </c>
      <c r="C89" s="127"/>
      <c r="D89" s="100"/>
      <c r="E89" s="100"/>
      <c r="F89" s="100"/>
      <c r="G89" s="227"/>
      <c r="H89" s="127"/>
      <c r="I89" s="100"/>
      <c r="J89" s="100"/>
      <c r="K89" s="100"/>
      <c r="L89" s="227"/>
      <c r="M89" s="127"/>
      <c r="N89" s="100"/>
      <c r="O89" s="100"/>
      <c r="P89" s="100"/>
      <c r="Q89" s="227"/>
      <c r="R89" s="127"/>
      <c r="S89" s="127"/>
      <c r="T89" s="100"/>
      <c r="U89" s="100"/>
      <c r="V89" s="227"/>
      <c r="W89" s="127"/>
      <c r="X89" s="100"/>
      <c r="Y89" s="100"/>
      <c r="Z89" s="100"/>
      <c r="AA89" s="227"/>
      <c r="AB89" s="127"/>
      <c r="AC89" s="100"/>
      <c r="AD89" s="100"/>
      <c r="AE89" s="100"/>
      <c r="AF89" s="227"/>
      <c r="AG89" s="127"/>
      <c r="AH89" s="100"/>
      <c r="AI89" s="100"/>
      <c r="AJ89" s="100"/>
      <c r="AK89" s="227"/>
    </row>
    <row r="90" spans="1:37" s="286" customFormat="1" ht="12.75" hidden="1" customHeight="1" outlineLevel="1">
      <c r="A90" s="416" t="s">
        <v>41</v>
      </c>
      <c r="B90" s="484" t="s">
        <v>76</v>
      </c>
      <c r="C90" s="431"/>
      <c r="D90" s="431"/>
      <c r="E90" s="431"/>
      <c r="F90" s="431"/>
      <c r="G90" s="418">
        <f>G36</f>
        <v>0.90999999999999215</v>
      </c>
      <c r="H90" s="678"/>
      <c r="I90" s="678"/>
      <c r="J90" s="678"/>
      <c r="K90" s="678"/>
      <c r="L90" s="418">
        <f>L36</f>
        <v>1832.65</v>
      </c>
      <c r="M90" s="678">
        <f>M36</f>
        <v>2039.038</v>
      </c>
      <c r="N90" s="678">
        <f>N36</f>
        <v>-117.82400000000007</v>
      </c>
      <c r="O90" s="678"/>
      <c r="P90" s="678">
        <f t="shared" ref="P90:AK90" si="33">P36</f>
        <v>-304.85400000000004</v>
      </c>
      <c r="Q90" s="418">
        <f t="shared" si="33"/>
        <v>2749.1690000000008</v>
      </c>
      <c r="R90" s="678">
        <f t="shared" si="33"/>
        <v>61.167999999999779</v>
      </c>
      <c r="S90" s="678">
        <f>S36</f>
        <v>-251.25100000000009</v>
      </c>
      <c r="T90" s="678">
        <f t="shared" si="33"/>
        <v>1689.134</v>
      </c>
      <c r="U90" s="678">
        <f t="shared" si="33"/>
        <v>2270.837810720484</v>
      </c>
      <c r="V90" s="418">
        <f t="shared" si="33"/>
        <v>3769.8888107204839</v>
      </c>
      <c r="W90" s="678">
        <f t="shared" si="33"/>
        <v>1713.8460822356255</v>
      </c>
      <c r="X90" s="678">
        <f t="shared" si="33"/>
        <v>-626.99258812790845</v>
      </c>
      <c r="Y90" s="678">
        <f t="shared" si="33"/>
        <v>1137.0781469277476</v>
      </c>
      <c r="Z90" s="678">
        <f t="shared" si="33"/>
        <v>3488.3442869680657</v>
      </c>
      <c r="AA90" s="418">
        <f t="shared" si="33"/>
        <v>5712.2759280035307</v>
      </c>
      <c r="AB90" s="678">
        <f t="shared" si="33"/>
        <v>1111.8727406773828</v>
      </c>
      <c r="AC90" s="678">
        <f t="shared" si="33"/>
        <v>2103.2688687906812</v>
      </c>
      <c r="AD90" s="678">
        <f t="shared" si="33"/>
        <v>2561.3254041429582</v>
      </c>
      <c r="AE90" s="678">
        <f t="shared" si="33"/>
        <v>4973.5289349979266</v>
      </c>
      <c r="AF90" s="418">
        <f t="shared" si="33"/>
        <v>10749.995948608948</v>
      </c>
      <c r="AG90" s="678">
        <f t="shared" si="33"/>
        <v>2328.9219486027941</v>
      </c>
      <c r="AH90" s="678">
        <f t="shared" si="33"/>
        <v>2455.011300313532</v>
      </c>
      <c r="AI90" s="678">
        <f t="shared" si="33"/>
        <v>3983.9646022262564</v>
      </c>
      <c r="AJ90" s="678">
        <f t="shared" si="33"/>
        <v>6249.5592000806555</v>
      </c>
      <c r="AK90" s="418">
        <f t="shared" si="33"/>
        <v>15017.457051223242</v>
      </c>
    </row>
    <row r="91" spans="1:37" s="299" customFormat="1" ht="12.75" hidden="1" customHeight="1" outlineLevel="1">
      <c r="A91" s="416" t="s">
        <v>142</v>
      </c>
      <c r="B91" s="388" t="s">
        <v>194</v>
      </c>
      <c r="C91" s="678"/>
      <c r="D91" s="678"/>
      <c r="E91" s="678"/>
      <c r="F91" s="678"/>
      <c r="G91" s="418">
        <f>G40</f>
        <v>-72.403999999999996</v>
      </c>
      <c r="H91" s="678"/>
      <c r="I91" s="678"/>
      <c r="J91" s="678"/>
      <c r="K91" s="678"/>
      <c r="L91" s="418">
        <f>L40</f>
        <v>-2943.13</v>
      </c>
      <c r="M91" s="678">
        <f>M40</f>
        <v>-1741.9349999999999</v>
      </c>
      <c r="N91" s="678">
        <f>N40</f>
        <v>-2247.1610000000001</v>
      </c>
      <c r="O91" s="678"/>
      <c r="P91" s="678">
        <f t="shared" ref="P91:AK91" si="34">P40</f>
        <v>-3151.1979999999999</v>
      </c>
      <c r="Q91" s="418">
        <f t="shared" si="34"/>
        <v>-8702.0779999999995</v>
      </c>
      <c r="R91" s="678">
        <f t="shared" si="34"/>
        <v>-1407.3589999999999</v>
      </c>
      <c r="S91" s="678">
        <f>S40</f>
        <v>-2452.9920000000002</v>
      </c>
      <c r="T91" s="678">
        <f t="shared" si="34"/>
        <v>-3278.7860000000001</v>
      </c>
      <c r="U91" s="678">
        <f t="shared" si="34"/>
        <v>-8358.3420051049998</v>
      </c>
      <c r="V91" s="418">
        <f t="shared" si="34"/>
        <v>-15497.479005105</v>
      </c>
      <c r="W91" s="678">
        <f t="shared" si="34"/>
        <v>-8819.5947919299997</v>
      </c>
      <c r="X91" s="678">
        <f t="shared" si="34"/>
        <v>-5074.7968646079999</v>
      </c>
      <c r="Y91" s="678">
        <f t="shared" si="34"/>
        <v>-3588.3477235884015</v>
      </c>
      <c r="Z91" s="678">
        <f t="shared" si="34"/>
        <v>-3442.7787603365532</v>
      </c>
      <c r="AA91" s="418">
        <f t="shared" si="34"/>
        <v>-20925.518140462955</v>
      </c>
      <c r="AB91" s="678">
        <f t="shared" si="34"/>
        <v>-4275.9522215168945</v>
      </c>
      <c r="AC91" s="678">
        <f t="shared" si="34"/>
        <v>-6860.1832461378735</v>
      </c>
      <c r="AD91" s="678">
        <f t="shared" si="34"/>
        <v>-5696.2371110928079</v>
      </c>
      <c r="AE91" s="678">
        <f t="shared" si="34"/>
        <v>-5957.3636537733573</v>
      </c>
      <c r="AF91" s="418">
        <f t="shared" si="34"/>
        <v>-22789.736232520932</v>
      </c>
      <c r="AG91" s="678">
        <f t="shared" si="34"/>
        <v>-5527.3864199194886</v>
      </c>
      <c r="AH91" s="678">
        <f t="shared" si="34"/>
        <v>-6317.1606054980048</v>
      </c>
      <c r="AI91" s="678">
        <f t="shared" si="34"/>
        <v>-6489.2090657656963</v>
      </c>
      <c r="AJ91" s="678">
        <f t="shared" si="34"/>
        <v>-6448.6564497883573</v>
      </c>
      <c r="AK91" s="418">
        <f t="shared" si="34"/>
        <v>-24782.412540971549</v>
      </c>
    </row>
    <row r="92" spans="1:37" s="492" customFormat="1" ht="12.75" hidden="1" customHeight="1" outlineLevel="1">
      <c r="A92" s="416" t="s">
        <v>44</v>
      </c>
      <c r="B92" s="441" t="s">
        <v>200</v>
      </c>
      <c r="C92" s="421"/>
      <c r="D92" s="421"/>
      <c r="E92" s="421"/>
      <c r="F92" s="421"/>
      <c r="G92" s="443">
        <f>G90+G91</f>
        <v>-71.494</v>
      </c>
      <c r="H92" s="421"/>
      <c r="I92" s="421"/>
      <c r="J92" s="421"/>
      <c r="K92" s="421"/>
      <c r="L92" s="443">
        <f>L90+L91</f>
        <v>-1110.48</v>
      </c>
      <c r="M92" s="421">
        <f>M90+M91</f>
        <v>297.10300000000007</v>
      </c>
      <c r="N92" s="421">
        <f>N90+N91</f>
        <v>-2364.9850000000001</v>
      </c>
      <c r="O92" s="421"/>
      <c r="P92" s="421">
        <f>P90+P91</f>
        <v>-3456.0519999999997</v>
      </c>
      <c r="Q92" s="443">
        <f>Q90+Q91</f>
        <v>-5952.9089999999987</v>
      </c>
      <c r="R92" s="421">
        <f t="shared" ref="R92:AF92" si="35">R90+R91</f>
        <v>-1346.1910000000003</v>
      </c>
      <c r="S92" s="421">
        <f>S90+S91</f>
        <v>-2704.2430000000004</v>
      </c>
      <c r="T92" s="421">
        <f t="shared" si="35"/>
        <v>-1589.652</v>
      </c>
      <c r="U92" s="421">
        <f t="shared" si="35"/>
        <v>-6087.5041943845154</v>
      </c>
      <c r="V92" s="443">
        <f t="shared" si="35"/>
        <v>-11727.590194384517</v>
      </c>
      <c r="W92" s="421">
        <f t="shared" si="35"/>
        <v>-7105.7487096943742</v>
      </c>
      <c r="X92" s="421">
        <f t="shared" si="35"/>
        <v>-5701.7894527359085</v>
      </c>
      <c r="Y92" s="421">
        <f t="shared" si="35"/>
        <v>-2451.2695766606539</v>
      </c>
      <c r="Z92" s="421">
        <f t="shared" si="35"/>
        <v>45.565526631512512</v>
      </c>
      <c r="AA92" s="443">
        <f t="shared" si="35"/>
        <v>-15213.242212459423</v>
      </c>
      <c r="AB92" s="421">
        <f t="shared" si="35"/>
        <v>-3164.0794808395117</v>
      </c>
      <c r="AC92" s="421">
        <f t="shared" si="35"/>
        <v>-4756.9143773471924</v>
      </c>
      <c r="AD92" s="421">
        <f t="shared" si="35"/>
        <v>-3134.9117069498498</v>
      </c>
      <c r="AE92" s="421">
        <f t="shared" si="35"/>
        <v>-983.8347187754307</v>
      </c>
      <c r="AF92" s="443">
        <f t="shared" si="35"/>
        <v>-12039.740283911984</v>
      </c>
      <c r="AG92" s="421">
        <f>AG90+AG91</f>
        <v>-3198.4644713166945</v>
      </c>
      <c r="AH92" s="421">
        <f>AH90+AH91</f>
        <v>-3862.1493051844727</v>
      </c>
      <c r="AI92" s="421">
        <f>AI90+AI91</f>
        <v>-2505.2444635394399</v>
      </c>
      <c r="AJ92" s="421">
        <f>AJ90+AJ91</f>
        <v>-199.09724970770185</v>
      </c>
      <c r="AK92" s="443">
        <f>AK90+AK91</f>
        <v>-9764.9554897483067</v>
      </c>
    </row>
    <row r="93" spans="1:37" s="679" customFormat="1" ht="12.75" hidden="1" customHeight="1" outlineLevel="1">
      <c r="A93" s="434" t="s">
        <v>120</v>
      </c>
      <c r="B93" s="680" t="s">
        <v>138</v>
      </c>
      <c r="C93" s="514"/>
      <c r="D93" s="514"/>
      <c r="E93" s="514"/>
      <c r="F93" s="514"/>
      <c r="G93" s="674">
        <f>G92/'KPI Summary'!G$10</f>
        <v>-4.5163613392293112</v>
      </c>
      <c r="H93" s="514"/>
      <c r="I93" s="514"/>
      <c r="J93" s="514"/>
      <c r="K93" s="514"/>
      <c r="L93" s="674">
        <f>L92/'KPI Summary'!L$10</f>
        <v>-4.8504649628946943</v>
      </c>
      <c r="M93" s="514">
        <f>M92/'KPI Summary'!M$10</f>
        <v>1.5746062199232582</v>
      </c>
      <c r="N93" s="514">
        <f>N92/'KPI Summary'!N$10</f>
        <v>-5.9816855560979443</v>
      </c>
      <c r="O93" s="514"/>
      <c r="P93" s="514">
        <f>P92/'KPI Summary'!P$10</f>
        <v>-4.6239139451186064</v>
      </c>
      <c r="Q93" s="674">
        <f>Q92/'KPI Summary'!Q$10</f>
        <v>-3.1078773077111821</v>
      </c>
      <c r="R93" s="514">
        <f>R92/'KPI Summary'!R$10</f>
        <v>-1.3713805173425482</v>
      </c>
      <c r="S93" s="514">
        <f>S92/'KPI Summary'!S$10</f>
        <v>-2.2297738763905977</v>
      </c>
      <c r="T93" s="514">
        <f>T92/'KPI Summary'!T$10</f>
        <v>-1.1648567132418246</v>
      </c>
      <c r="U93" s="514">
        <f>U92/'KPI Summary'!U$10</f>
        <v>-3.945546531318167</v>
      </c>
      <c r="V93" s="674">
        <f>V92/'KPI Summary'!V$10</f>
        <v>-2.2986369528184776</v>
      </c>
      <c r="W93" s="514">
        <f>W92/'KPI Summary'!W$10</f>
        <v>-3.1905446302325662</v>
      </c>
      <c r="X93" s="514">
        <f>X92/'KPI Summary'!X$10</f>
        <v>-1.9235558372040762</v>
      </c>
      <c r="Y93" s="514">
        <f>Y92/'KPI Summary'!Y$10</f>
        <v>-0.74513827883301964</v>
      </c>
      <c r="Z93" s="514">
        <f>Z92/'KPI Summary'!Z$10</f>
        <v>1.2942414128620393E-2</v>
      </c>
      <c r="AA93" s="674">
        <f>AA92/'KPI Summary'!AA$10</f>
        <v>-1.2675970023496275</v>
      </c>
      <c r="AB93" s="514">
        <f>AB92/'KPI Summary'!AB$10</f>
        <v>-0.8301155240801058</v>
      </c>
      <c r="AC93" s="514">
        <f>AC92/'KPI Summary'!AC$10</f>
        <v>-1.1451495072967808</v>
      </c>
      <c r="AD93" s="514">
        <f>AD92/'KPI Summary'!AD$10</f>
        <v>-0.70072170568143866</v>
      </c>
      <c r="AE93" s="514">
        <f>AE92/'KPI Summary'!AE$10</f>
        <v>-0.20619086734517325</v>
      </c>
      <c r="AF93" s="674">
        <f>AF92/'KPI Summary'!AF$10</f>
        <v>-0.69954199785822702</v>
      </c>
      <c r="AG93" s="514">
        <f>AG92/'KPI Summary'!AG$10</f>
        <v>-0.62488948387275323</v>
      </c>
      <c r="AH93" s="514">
        <f>AH92/'KPI Summary'!AH$10</f>
        <v>-0.72463568929143418</v>
      </c>
      <c r="AI93" s="514">
        <f>AI92/'KPI Summary'!AI$10</f>
        <v>-0.45390889557053216</v>
      </c>
      <c r="AJ93" s="514">
        <f>AJ92/'KPI Summary'!AJ$10</f>
        <v>-3.5005536788199412E-2</v>
      </c>
      <c r="AK93" s="674">
        <f>AK92/'KPI Summary'!AK$10</f>
        <v>-0.45093120622141231</v>
      </c>
    </row>
    <row r="94" spans="1:37" s="516" customFormat="1" ht="12.75" customHeight="1" collapsed="1">
      <c r="A94" s="434"/>
      <c r="B94" s="513"/>
      <c r="C94" s="514"/>
      <c r="D94" s="514"/>
      <c r="E94" s="514"/>
      <c r="F94" s="514"/>
      <c r="G94" s="515"/>
      <c r="H94" s="514"/>
      <c r="I94" s="514"/>
      <c r="J94" s="514"/>
      <c r="K94" s="514"/>
      <c r="L94" s="515"/>
      <c r="M94" s="514"/>
      <c r="N94" s="514"/>
      <c r="O94" s="514"/>
      <c r="P94" s="514"/>
      <c r="Q94" s="515"/>
      <c r="R94" s="514"/>
      <c r="S94" s="1220"/>
      <c r="T94" s="514"/>
      <c r="U94" s="514"/>
      <c r="V94" s="515"/>
      <c r="W94" s="514"/>
      <c r="X94" s="514"/>
      <c r="Y94" s="514"/>
      <c r="Z94" s="514"/>
      <c r="AA94" s="515"/>
      <c r="AB94" s="514"/>
      <c r="AC94" s="514"/>
      <c r="AD94" s="514"/>
      <c r="AE94" s="514"/>
      <c r="AF94" s="515"/>
      <c r="AG94" s="514"/>
      <c r="AH94" s="514"/>
      <c r="AI94" s="514"/>
      <c r="AJ94" s="514"/>
      <c r="AK94" s="515"/>
    </row>
    <row r="95" spans="1:37" s="516" customFormat="1" ht="12.75" customHeight="1">
      <c r="A95" s="434"/>
      <c r="B95" s="386" t="s">
        <v>298</v>
      </c>
      <c r="C95" s="514"/>
      <c r="D95" s="514"/>
      <c r="E95" s="514"/>
      <c r="F95" s="514"/>
      <c r="G95" s="515"/>
      <c r="H95" s="514"/>
      <c r="I95" s="514"/>
      <c r="J95" s="514"/>
      <c r="K95" s="514"/>
      <c r="L95" s="515"/>
      <c r="M95" s="514"/>
      <c r="N95" s="514"/>
      <c r="O95" s="514"/>
      <c r="P95" s="514"/>
      <c r="Q95" s="515"/>
      <c r="R95" s="514"/>
      <c r="S95" s="1350"/>
      <c r="T95" s="514"/>
      <c r="U95" s="514"/>
      <c r="V95" s="515"/>
      <c r="W95" s="514"/>
      <c r="X95" s="514"/>
      <c r="Y95" s="514"/>
      <c r="Z95" s="514"/>
      <c r="AA95" s="515"/>
      <c r="AB95" s="514"/>
      <c r="AC95" s="514"/>
      <c r="AD95" s="514"/>
      <c r="AE95" s="514"/>
      <c r="AF95" s="515"/>
      <c r="AG95" s="514"/>
      <c r="AH95" s="514"/>
      <c r="AI95" s="514"/>
      <c r="AJ95" s="514"/>
      <c r="AK95" s="515"/>
    </row>
    <row r="96" spans="1:37" s="551" customFormat="1" ht="12.75" hidden="1" customHeight="1" outlineLevel="1">
      <c r="A96" s="416"/>
      <c r="B96" s="590" t="s">
        <v>623</v>
      </c>
      <c r="C96" s="542"/>
      <c r="D96" s="542"/>
      <c r="E96" s="542"/>
      <c r="F96" s="542"/>
      <c r="G96" s="601">
        <v>5.1239999999999997</v>
      </c>
      <c r="H96" s="542"/>
      <c r="I96" s="542"/>
      <c r="J96" s="542"/>
      <c r="K96" s="542"/>
      <c r="L96" s="601">
        <v>0.105</v>
      </c>
      <c r="M96" s="542">
        <v>1.9710000000000001</v>
      </c>
      <c r="N96" s="542">
        <f>24.862-M96</f>
        <v>22.890999999999998</v>
      </c>
      <c r="O96" s="542"/>
      <c r="P96" s="620"/>
      <c r="Q96" s="601">
        <v>183.65700000000001</v>
      </c>
      <c r="R96" s="542">
        <v>142.19300000000001</v>
      </c>
      <c r="S96" s="620">
        <f>361.557-R96</f>
        <v>219.364</v>
      </c>
      <c r="T96" s="620">
        <v>557.12400000000002</v>
      </c>
      <c r="U96" s="542"/>
      <c r="V96" s="584"/>
      <c r="W96" s="542"/>
      <c r="X96" s="542"/>
      <c r="Y96" s="542"/>
      <c r="Z96" s="542"/>
      <c r="AA96" s="584"/>
      <c r="AB96" s="542"/>
      <c r="AC96" s="542"/>
      <c r="AD96" s="542"/>
      <c r="AE96" s="542"/>
      <c r="AF96" s="584"/>
      <c r="AG96" s="542"/>
      <c r="AH96" s="542"/>
      <c r="AI96" s="542"/>
      <c r="AJ96" s="542"/>
      <c r="AK96" s="584"/>
    </row>
    <row r="97" spans="1:37" s="551" customFormat="1" ht="12.75" hidden="1" customHeight="1" outlineLevel="1">
      <c r="A97" s="416"/>
      <c r="B97" s="590" t="s">
        <v>299</v>
      </c>
      <c r="C97" s="542"/>
      <c r="D97" s="542"/>
      <c r="E97" s="542"/>
      <c r="F97" s="542"/>
      <c r="G97" s="601">
        <v>0.255</v>
      </c>
      <c r="H97" s="542"/>
      <c r="I97" s="542"/>
      <c r="J97" s="542"/>
      <c r="K97" s="542"/>
      <c r="L97" s="601">
        <v>0.214</v>
      </c>
      <c r="M97" s="542">
        <v>0</v>
      </c>
      <c r="N97" s="542">
        <v>0</v>
      </c>
      <c r="O97" s="542"/>
      <c r="P97" s="620"/>
      <c r="Q97" s="601">
        <v>14.332000000000001</v>
      </c>
      <c r="R97" s="542">
        <v>0</v>
      </c>
      <c r="S97" s="620">
        <v>0</v>
      </c>
      <c r="T97" s="620">
        <v>0</v>
      </c>
      <c r="U97" s="542"/>
      <c r="V97" s="584"/>
      <c r="W97" s="542"/>
      <c r="X97" s="542"/>
      <c r="Y97" s="542"/>
      <c r="Z97" s="542"/>
      <c r="AA97" s="584"/>
      <c r="AB97" s="542"/>
      <c r="AC97" s="542"/>
      <c r="AD97" s="542"/>
      <c r="AE97" s="542"/>
      <c r="AF97" s="584"/>
      <c r="AG97" s="542"/>
      <c r="AH97" s="542"/>
      <c r="AI97" s="542"/>
      <c r="AJ97" s="542"/>
      <c r="AK97" s="584"/>
    </row>
    <row r="98" spans="1:37" s="551" customFormat="1" ht="12.75" customHeight="1" collapsed="1">
      <c r="A98" s="416"/>
      <c r="B98" s="590"/>
      <c r="C98" s="542"/>
      <c r="D98" s="542"/>
      <c r="E98" s="542"/>
      <c r="F98" s="542"/>
      <c r="G98" s="584"/>
      <c r="H98" s="542"/>
      <c r="I98" s="542"/>
      <c r="J98" s="542"/>
      <c r="K98" s="542"/>
      <c r="L98" s="584"/>
      <c r="M98" s="542"/>
      <c r="N98" s="542"/>
      <c r="O98" s="542"/>
      <c r="P98" s="542"/>
      <c r="Q98" s="584"/>
      <c r="R98" s="542"/>
      <c r="S98" s="620"/>
      <c r="T98" s="620"/>
      <c r="U98" s="542"/>
      <c r="V98" s="584"/>
      <c r="W98" s="542"/>
      <c r="X98" s="542"/>
      <c r="Y98" s="542"/>
      <c r="Z98" s="542"/>
      <c r="AA98" s="584"/>
      <c r="AB98" s="542"/>
      <c r="AC98" s="542"/>
      <c r="AD98" s="542"/>
      <c r="AE98" s="542"/>
      <c r="AF98" s="584"/>
      <c r="AG98" s="542"/>
      <c r="AH98" s="542"/>
      <c r="AI98" s="542"/>
      <c r="AJ98" s="542"/>
      <c r="AK98" s="584"/>
    </row>
    <row r="99" spans="1:37" s="551" customFormat="1" ht="12.75" customHeight="1">
      <c r="A99" s="416"/>
      <c r="B99" s="589" t="s">
        <v>305</v>
      </c>
      <c r="C99" s="542"/>
      <c r="D99" s="542"/>
      <c r="E99" s="542"/>
      <c r="F99" s="542"/>
      <c r="G99" s="584"/>
      <c r="H99" s="542"/>
      <c r="I99" s="542"/>
      <c r="J99" s="542"/>
      <c r="K99" s="542"/>
      <c r="L99" s="584"/>
      <c r="M99" s="542"/>
      <c r="N99" s="542"/>
      <c r="O99" s="542"/>
      <c r="P99" s="542"/>
      <c r="Q99" s="584"/>
      <c r="R99" s="620"/>
      <c r="S99" s="620"/>
      <c r="T99" s="620"/>
      <c r="U99" s="542"/>
      <c r="V99" s="584"/>
      <c r="W99" s="542"/>
      <c r="X99" s="542"/>
      <c r="Y99" s="542"/>
      <c r="Z99" s="542"/>
      <c r="AA99" s="584"/>
      <c r="AB99" s="542"/>
      <c r="AC99" s="542"/>
      <c r="AD99" s="542"/>
      <c r="AE99" s="542"/>
      <c r="AF99" s="584"/>
      <c r="AG99" s="542"/>
      <c r="AH99" s="542"/>
      <c r="AI99" s="542"/>
      <c r="AJ99" s="542"/>
      <c r="AK99" s="584"/>
    </row>
    <row r="100" spans="1:37" s="607" customFormat="1" ht="12.75" hidden="1" customHeight="1" outlineLevel="1">
      <c r="A100" s="416"/>
      <c r="B100" s="590" t="s">
        <v>300</v>
      </c>
      <c r="C100" s="542"/>
      <c r="D100" s="542"/>
      <c r="E100" s="542"/>
      <c r="F100" s="542"/>
      <c r="G100" s="584">
        <f>SUM(C100:F100)</f>
        <v>0</v>
      </c>
      <c r="H100" s="542"/>
      <c r="I100" s="542"/>
      <c r="J100" s="542"/>
      <c r="K100" s="542"/>
      <c r="L100" s="601">
        <v>41.375999999999998</v>
      </c>
      <c r="M100" s="542">
        <v>48.215000000000003</v>
      </c>
      <c r="N100" s="542"/>
      <c r="O100" s="542"/>
      <c r="P100" s="542"/>
      <c r="Q100" s="601">
        <v>31.713999999999999</v>
      </c>
      <c r="R100" s="542">
        <v>10.776</v>
      </c>
      <c r="S100" s="620">
        <f>21.98-R100</f>
        <v>11.204000000000001</v>
      </c>
      <c r="T100" s="620">
        <v>27.113000000000003</v>
      </c>
      <c r="U100" s="542"/>
      <c r="V100" s="601"/>
      <c r="W100" s="542"/>
      <c r="X100" s="542"/>
      <c r="Y100" s="542"/>
      <c r="Z100" s="542"/>
      <c r="AA100" s="601"/>
      <c r="AB100" s="542"/>
      <c r="AC100" s="542"/>
      <c r="AD100" s="542"/>
      <c r="AE100" s="542"/>
      <c r="AF100" s="601"/>
      <c r="AG100" s="542"/>
      <c r="AH100" s="542"/>
      <c r="AI100" s="542"/>
      <c r="AJ100" s="542"/>
      <c r="AK100" s="601"/>
    </row>
    <row r="101" spans="1:37" s="607" customFormat="1" ht="12.75" hidden="1" customHeight="1" outlineLevel="1">
      <c r="A101" s="416"/>
      <c r="B101" s="590" t="s">
        <v>301</v>
      </c>
      <c r="C101" s="542"/>
      <c r="D101" s="542"/>
      <c r="E101" s="542"/>
      <c r="F101" s="542"/>
      <c r="G101" s="601">
        <v>1.21</v>
      </c>
      <c r="H101" s="542"/>
      <c r="I101" s="542"/>
      <c r="J101" s="542"/>
      <c r="K101" s="542"/>
      <c r="L101" s="601">
        <v>481.14499999999998</v>
      </c>
      <c r="M101" s="542">
        <v>431.83800000000002</v>
      </c>
      <c r="N101" s="542"/>
      <c r="O101" s="542"/>
      <c r="P101" s="542"/>
      <c r="Q101" s="601">
        <v>2222.2570000000001</v>
      </c>
      <c r="R101" s="542">
        <v>535.524</v>
      </c>
      <c r="S101" s="620">
        <f>968.63-R101</f>
        <v>433.10599999999999</v>
      </c>
      <c r="T101" s="620">
        <v>1354.5720000000001</v>
      </c>
      <c r="U101" s="542"/>
      <c r="V101" s="601"/>
      <c r="W101" s="542"/>
      <c r="X101" s="542"/>
      <c r="Y101" s="542"/>
      <c r="Z101" s="542"/>
      <c r="AA101" s="601"/>
      <c r="AB101" s="542"/>
      <c r="AC101" s="542"/>
      <c r="AD101" s="542"/>
      <c r="AE101" s="542"/>
      <c r="AF101" s="601"/>
      <c r="AG101" s="542"/>
      <c r="AH101" s="542"/>
      <c r="AI101" s="542"/>
      <c r="AJ101" s="542"/>
      <c r="AK101" s="601"/>
    </row>
    <row r="102" spans="1:37" s="607" customFormat="1" ht="12.75" hidden="1" customHeight="1" outlineLevel="1">
      <c r="A102" s="416"/>
      <c r="B102" s="590" t="s">
        <v>624</v>
      </c>
      <c r="C102" s="542"/>
      <c r="D102" s="542"/>
      <c r="E102" s="542"/>
      <c r="F102" s="542"/>
      <c r="G102" s="584">
        <f>SUM(C102:F102)</f>
        <v>0</v>
      </c>
      <c r="H102" s="542"/>
      <c r="I102" s="542"/>
      <c r="J102" s="542"/>
      <c r="K102" s="542"/>
      <c r="L102" s="584">
        <f>SUM(H102:K102)</f>
        <v>0</v>
      </c>
      <c r="M102" s="542">
        <v>0</v>
      </c>
      <c r="N102" s="542">
        <v>0</v>
      </c>
      <c r="O102" s="542"/>
      <c r="P102" s="542"/>
      <c r="Q102" s="601">
        <v>18.986999999999998</v>
      </c>
      <c r="R102" s="542">
        <v>0</v>
      </c>
      <c r="S102" s="620">
        <v>0</v>
      </c>
      <c r="T102" s="620">
        <v>0</v>
      </c>
      <c r="U102" s="542"/>
      <c r="V102" s="601"/>
      <c r="W102" s="542"/>
      <c r="X102" s="542"/>
      <c r="Y102" s="542"/>
      <c r="Z102" s="542"/>
      <c r="AA102" s="601"/>
      <c r="AB102" s="542"/>
      <c r="AC102" s="542"/>
      <c r="AD102" s="542"/>
      <c r="AE102" s="542"/>
      <c r="AF102" s="601"/>
      <c r="AG102" s="542"/>
      <c r="AH102" s="542"/>
      <c r="AI102" s="542"/>
      <c r="AJ102" s="542"/>
      <c r="AK102" s="601"/>
    </row>
    <row r="103" spans="1:37" s="607" customFormat="1" ht="12.75" hidden="1" customHeight="1" outlineLevel="1">
      <c r="A103" s="416"/>
      <c r="B103" s="590" t="s">
        <v>302</v>
      </c>
      <c r="C103" s="542"/>
      <c r="D103" s="542"/>
      <c r="E103" s="542"/>
      <c r="F103" s="542"/>
      <c r="G103" s="601">
        <v>14.622</v>
      </c>
      <c r="H103" s="542"/>
      <c r="I103" s="542"/>
      <c r="J103" s="542"/>
      <c r="K103" s="542"/>
      <c r="L103" s="584">
        <f>SUM(H103:K103)</f>
        <v>0</v>
      </c>
      <c r="M103" s="542">
        <v>0</v>
      </c>
      <c r="N103" s="542">
        <v>0</v>
      </c>
      <c r="O103" s="542"/>
      <c r="P103" s="542"/>
      <c r="Q103" s="601">
        <v>141.916</v>
      </c>
      <c r="R103" s="542">
        <v>0</v>
      </c>
      <c r="S103" s="620">
        <v>0</v>
      </c>
      <c r="T103" s="620">
        <v>0</v>
      </c>
      <c r="U103" s="542"/>
      <c r="V103" s="601"/>
      <c r="W103" s="542"/>
      <c r="X103" s="542"/>
      <c r="Y103" s="542"/>
      <c r="Z103" s="542"/>
      <c r="AA103" s="601"/>
      <c r="AB103" s="542"/>
      <c r="AC103" s="542"/>
      <c r="AD103" s="542"/>
      <c r="AE103" s="542"/>
      <c r="AF103" s="601"/>
      <c r="AG103" s="542"/>
      <c r="AH103" s="542"/>
      <c r="AI103" s="542"/>
      <c r="AJ103" s="542"/>
      <c r="AK103" s="601"/>
    </row>
    <row r="104" spans="1:37" s="607" customFormat="1" ht="12.75" hidden="1" customHeight="1" outlineLevel="1">
      <c r="A104" s="416"/>
      <c r="B104" s="590" t="s">
        <v>303</v>
      </c>
      <c r="C104" s="542"/>
      <c r="D104" s="542"/>
      <c r="E104" s="542"/>
      <c r="F104" s="542"/>
      <c r="G104" s="601">
        <v>10.840999999999999</v>
      </c>
      <c r="H104" s="542"/>
      <c r="I104" s="542"/>
      <c r="J104" s="542"/>
      <c r="K104" s="542"/>
      <c r="L104" s="584">
        <f>SUM(H104:K104)</f>
        <v>0</v>
      </c>
      <c r="M104" s="542">
        <v>0</v>
      </c>
      <c r="N104" s="542">
        <v>0</v>
      </c>
      <c r="O104" s="542"/>
      <c r="P104" s="542"/>
      <c r="Q104" s="584">
        <f>SUM(M104:P104)</f>
        <v>0</v>
      </c>
      <c r="R104" s="542">
        <v>0</v>
      </c>
      <c r="S104" s="620">
        <v>0</v>
      </c>
      <c r="T104" s="620">
        <v>0</v>
      </c>
      <c r="U104" s="542"/>
      <c r="V104" s="601"/>
      <c r="W104" s="542"/>
      <c r="X104" s="542"/>
      <c r="Y104" s="542"/>
      <c r="Z104" s="542"/>
      <c r="AA104" s="601"/>
      <c r="AB104" s="542"/>
      <c r="AC104" s="542"/>
      <c r="AD104" s="542"/>
      <c r="AE104" s="542"/>
      <c r="AF104" s="601"/>
      <c r="AG104" s="542"/>
      <c r="AH104" s="542"/>
      <c r="AI104" s="542"/>
      <c r="AJ104" s="542"/>
      <c r="AK104" s="601"/>
    </row>
    <row r="105" spans="1:37" s="607" customFormat="1" ht="12.75" hidden="1" customHeight="1" outlineLevel="1">
      <c r="A105" s="416"/>
      <c r="B105" s="590" t="s">
        <v>625</v>
      </c>
      <c r="C105" s="542"/>
      <c r="D105" s="542"/>
      <c r="E105" s="542"/>
      <c r="F105" s="542"/>
      <c r="G105" s="584">
        <f t="shared" ref="G105:G118" si="36">SUM(C105:F105)</f>
        <v>0</v>
      </c>
      <c r="H105" s="542"/>
      <c r="I105" s="542"/>
      <c r="J105" s="542"/>
      <c r="K105" s="542"/>
      <c r="L105" s="601">
        <v>482.33</v>
      </c>
      <c r="M105" s="542">
        <v>287.79500000000002</v>
      </c>
      <c r="N105" s="542">
        <f>146.867-M105</f>
        <v>-140.92800000000003</v>
      </c>
      <c r="O105" s="542"/>
      <c r="P105" s="542"/>
      <c r="Q105" s="601">
        <v>892.63199999999995</v>
      </c>
      <c r="R105" s="542">
        <v>2008.056</v>
      </c>
      <c r="S105" s="620">
        <f>2132.972-R105</f>
        <v>124.91600000000017</v>
      </c>
      <c r="T105" s="620">
        <v>2655.3709999999996</v>
      </c>
      <c r="U105" s="542"/>
      <c r="V105" s="601"/>
      <c r="W105" s="542"/>
      <c r="X105" s="542"/>
      <c r="Y105" s="542"/>
      <c r="Z105" s="542"/>
      <c r="AA105" s="601"/>
      <c r="AB105" s="542"/>
      <c r="AC105" s="542"/>
      <c r="AD105" s="542"/>
      <c r="AE105" s="542"/>
      <c r="AF105" s="601"/>
      <c r="AG105" s="542"/>
      <c r="AH105" s="542"/>
      <c r="AI105" s="542"/>
      <c r="AJ105" s="542"/>
      <c r="AK105" s="601"/>
    </row>
    <row r="106" spans="1:37" s="607" customFormat="1" ht="12.75" hidden="1" customHeight="1" outlineLevel="1">
      <c r="A106" s="416"/>
      <c r="B106" s="590" t="s">
        <v>631</v>
      </c>
      <c r="C106" s="542"/>
      <c r="D106" s="542"/>
      <c r="E106" s="542"/>
      <c r="F106" s="542"/>
      <c r="G106" s="584">
        <f t="shared" si="36"/>
        <v>0</v>
      </c>
      <c r="H106" s="542"/>
      <c r="I106" s="542"/>
      <c r="J106" s="542"/>
      <c r="K106" s="542"/>
      <c r="L106" s="584">
        <f t="shared" ref="L106:L112" si="37">SUM(H106:K106)</f>
        <v>0</v>
      </c>
      <c r="M106" s="542">
        <v>0</v>
      </c>
      <c r="N106" s="542">
        <v>0</v>
      </c>
      <c r="O106" s="542"/>
      <c r="P106" s="542"/>
      <c r="Q106" s="584">
        <f>SUM(M106:P106)</f>
        <v>0</v>
      </c>
      <c r="R106" s="542">
        <v>350</v>
      </c>
      <c r="S106" s="620">
        <f>350-R106</f>
        <v>0</v>
      </c>
      <c r="T106" s="620">
        <v>0</v>
      </c>
      <c r="U106" s="542"/>
      <c r="V106" s="601"/>
      <c r="W106" s="542"/>
      <c r="X106" s="542"/>
      <c r="Y106" s="542"/>
      <c r="Z106" s="542"/>
      <c r="AA106" s="601"/>
      <c r="AB106" s="542"/>
      <c r="AC106" s="542"/>
      <c r="AD106" s="542"/>
      <c r="AE106" s="542"/>
      <c r="AF106" s="601"/>
      <c r="AG106" s="542"/>
      <c r="AH106" s="542"/>
      <c r="AI106" s="542"/>
      <c r="AJ106" s="542"/>
      <c r="AK106" s="601"/>
    </row>
    <row r="107" spans="1:37" s="607" customFormat="1" ht="12.75" hidden="1" customHeight="1" outlineLevel="1">
      <c r="A107" s="416"/>
      <c r="B107" s="590" t="s">
        <v>710</v>
      </c>
      <c r="C107" s="542"/>
      <c r="D107" s="542"/>
      <c r="E107" s="542"/>
      <c r="F107" s="542"/>
      <c r="G107" s="584"/>
      <c r="H107" s="542"/>
      <c r="I107" s="542"/>
      <c r="J107" s="542"/>
      <c r="K107" s="542"/>
      <c r="L107" s="584"/>
      <c r="M107" s="542"/>
      <c r="N107" s="542"/>
      <c r="O107" s="542"/>
      <c r="P107" s="542"/>
      <c r="Q107" s="584"/>
      <c r="R107" s="542"/>
      <c r="S107" s="620"/>
      <c r="T107" s="620">
        <v>1163.1590000000001</v>
      </c>
      <c r="U107" s="542"/>
      <c r="V107" s="601"/>
      <c r="W107" s="542"/>
      <c r="X107" s="542"/>
      <c r="Y107" s="542"/>
      <c r="Z107" s="542"/>
      <c r="AA107" s="601"/>
      <c r="AB107" s="542"/>
      <c r="AC107" s="542"/>
      <c r="AD107" s="542"/>
      <c r="AE107" s="542"/>
      <c r="AF107" s="601"/>
      <c r="AG107" s="542"/>
      <c r="AH107" s="542"/>
      <c r="AI107" s="542"/>
      <c r="AJ107" s="542"/>
      <c r="AK107" s="601"/>
    </row>
    <row r="108" spans="1:37" s="607" customFormat="1" ht="12.75" hidden="1" customHeight="1" outlineLevel="1">
      <c r="A108" s="416"/>
      <c r="B108" s="590" t="s">
        <v>632</v>
      </c>
      <c r="C108" s="542"/>
      <c r="D108" s="542"/>
      <c r="E108" s="542"/>
      <c r="F108" s="542"/>
      <c r="G108" s="584">
        <f t="shared" si="36"/>
        <v>0</v>
      </c>
      <c r="H108" s="542"/>
      <c r="I108" s="542"/>
      <c r="J108" s="542"/>
      <c r="K108" s="542"/>
      <c r="L108" s="584">
        <f t="shared" si="37"/>
        <v>0</v>
      </c>
      <c r="M108" s="542">
        <v>0</v>
      </c>
      <c r="N108" s="542">
        <v>0</v>
      </c>
      <c r="O108" s="542"/>
      <c r="P108" s="542"/>
      <c r="Q108" s="584">
        <f>SUM(M108:P108)</f>
        <v>0</v>
      </c>
      <c r="R108" s="542">
        <v>1722.14</v>
      </c>
      <c r="S108" s="620">
        <f>1722.14-R108</f>
        <v>0</v>
      </c>
      <c r="T108" s="620">
        <v>0</v>
      </c>
      <c r="U108" s="542"/>
      <c r="V108" s="601"/>
      <c r="W108" s="542"/>
      <c r="X108" s="542"/>
      <c r="Y108" s="542"/>
      <c r="Z108" s="542"/>
      <c r="AA108" s="601"/>
      <c r="AB108" s="542"/>
      <c r="AC108" s="542"/>
      <c r="AD108" s="542"/>
      <c r="AE108" s="542"/>
      <c r="AF108" s="601"/>
      <c r="AG108" s="542"/>
      <c r="AH108" s="542"/>
      <c r="AI108" s="542"/>
      <c r="AJ108" s="542"/>
      <c r="AK108" s="601"/>
    </row>
    <row r="109" spans="1:37" s="607" customFormat="1" ht="12.75" hidden="1" customHeight="1" outlineLevel="1">
      <c r="A109" s="416"/>
      <c r="B109" s="590" t="s">
        <v>691</v>
      </c>
      <c r="C109" s="542"/>
      <c r="D109" s="542"/>
      <c r="E109" s="542"/>
      <c r="F109" s="542"/>
      <c r="G109" s="584"/>
      <c r="H109" s="542"/>
      <c r="I109" s="542"/>
      <c r="J109" s="542"/>
      <c r="K109" s="542"/>
      <c r="L109" s="584">
        <f t="shared" si="37"/>
        <v>0</v>
      </c>
      <c r="M109" s="542">
        <v>0</v>
      </c>
      <c r="N109" s="542">
        <v>0</v>
      </c>
      <c r="O109" s="542"/>
      <c r="P109" s="542"/>
      <c r="Q109" s="584">
        <f>SUM(M109:P109)</f>
        <v>0</v>
      </c>
      <c r="R109" s="542">
        <v>0</v>
      </c>
      <c r="S109" s="620">
        <v>928.9</v>
      </c>
      <c r="T109" s="620">
        <v>9.9540000000000646</v>
      </c>
      <c r="U109" s="542"/>
      <c r="V109" s="601"/>
      <c r="W109" s="542"/>
      <c r="X109" s="542"/>
      <c r="Y109" s="542"/>
      <c r="Z109" s="542"/>
      <c r="AA109" s="601"/>
      <c r="AB109" s="542"/>
      <c r="AC109" s="542"/>
      <c r="AD109" s="542"/>
      <c r="AE109" s="542"/>
      <c r="AF109" s="601"/>
      <c r="AG109" s="542"/>
      <c r="AH109" s="542"/>
      <c r="AI109" s="542"/>
      <c r="AJ109" s="542"/>
      <c r="AK109" s="601"/>
    </row>
    <row r="110" spans="1:37" s="607" customFormat="1" ht="12.75" hidden="1" customHeight="1" outlineLevel="1">
      <c r="A110" s="416"/>
      <c r="B110" s="590" t="s">
        <v>692</v>
      </c>
      <c r="C110" s="542"/>
      <c r="D110" s="542"/>
      <c r="E110" s="542"/>
      <c r="F110" s="542"/>
      <c r="G110" s="584"/>
      <c r="H110" s="542"/>
      <c r="I110" s="542"/>
      <c r="J110" s="542"/>
      <c r="K110" s="542"/>
      <c r="L110" s="584">
        <f t="shared" si="37"/>
        <v>0</v>
      </c>
      <c r="M110" s="542">
        <v>0</v>
      </c>
      <c r="N110" s="542">
        <v>0</v>
      </c>
      <c r="O110" s="542"/>
      <c r="P110" s="542"/>
      <c r="Q110" s="584">
        <f>SUM(M110:P110)</f>
        <v>0</v>
      </c>
      <c r="R110" s="542">
        <v>0</v>
      </c>
      <c r="S110" s="620">
        <v>3.8610000000000002</v>
      </c>
      <c r="T110" s="620">
        <v>0</v>
      </c>
      <c r="U110" s="542"/>
      <c r="V110" s="601"/>
      <c r="W110" s="542"/>
      <c r="X110" s="542"/>
      <c r="Y110" s="542"/>
      <c r="Z110" s="542"/>
      <c r="AA110" s="601"/>
      <c r="AB110" s="542"/>
      <c r="AC110" s="542"/>
      <c r="AD110" s="542"/>
      <c r="AE110" s="542"/>
      <c r="AF110" s="601"/>
      <c r="AG110" s="542"/>
      <c r="AH110" s="542"/>
      <c r="AI110" s="542"/>
      <c r="AJ110" s="542"/>
      <c r="AK110" s="601"/>
    </row>
    <row r="111" spans="1:37" s="607" customFormat="1" ht="12.75" hidden="1" customHeight="1" outlineLevel="1">
      <c r="A111" s="416"/>
      <c r="B111" s="590" t="s">
        <v>633</v>
      </c>
      <c r="C111" s="542"/>
      <c r="D111" s="542"/>
      <c r="E111" s="542"/>
      <c r="F111" s="542"/>
      <c r="G111" s="584">
        <f t="shared" si="36"/>
        <v>0</v>
      </c>
      <c r="H111" s="542"/>
      <c r="I111" s="542"/>
      <c r="J111" s="542"/>
      <c r="K111" s="542"/>
      <c r="L111" s="584">
        <f t="shared" si="37"/>
        <v>0</v>
      </c>
      <c r="M111" s="542">
        <v>0</v>
      </c>
      <c r="N111" s="542">
        <v>0</v>
      </c>
      <c r="O111" s="542"/>
      <c r="P111" s="542"/>
      <c r="Q111" s="584">
        <f>SUM(M111:P111)</f>
        <v>0</v>
      </c>
      <c r="R111" s="542">
        <v>172.80799999999999</v>
      </c>
      <c r="S111" s="620">
        <f>172.808-R111</f>
        <v>0</v>
      </c>
      <c r="T111" s="620">
        <v>0</v>
      </c>
      <c r="U111" s="542"/>
      <c r="V111" s="601"/>
      <c r="W111" s="542"/>
      <c r="X111" s="542"/>
      <c r="Y111" s="542"/>
      <c r="Z111" s="542"/>
      <c r="AA111" s="601"/>
      <c r="AB111" s="542"/>
      <c r="AC111" s="542"/>
      <c r="AD111" s="542"/>
      <c r="AE111" s="542"/>
      <c r="AF111" s="601"/>
      <c r="AG111" s="542"/>
      <c r="AH111" s="542"/>
      <c r="AI111" s="542"/>
      <c r="AJ111" s="542"/>
      <c r="AK111" s="601"/>
    </row>
    <row r="112" spans="1:37" s="607" customFormat="1" ht="12.75" hidden="1" customHeight="1" outlineLevel="1">
      <c r="A112" s="416"/>
      <c r="B112" s="590" t="s">
        <v>624</v>
      </c>
      <c r="C112" s="542"/>
      <c r="D112" s="542"/>
      <c r="E112" s="542"/>
      <c r="F112" s="542"/>
      <c r="G112" s="584">
        <f t="shared" si="36"/>
        <v>0</v>
      </c>
      <c r="H112" s="542"/>
      <c r="I112" s="542"/>
      <c r="J112" s="542"/>
      <c r="K112" s="542"/>
      <c r="L112" s="584">
        <f t="shared" si="37"/>
        <v>0</v>
      </c>
      <c r="M112" s="542">
        <v>0</v>
      </c>
      <c r="N112" s="542">
        <v>0</v>
      </c>
      <c r="O112" s="542"/>
      <c r="P112" s="542"/>
      <c r="Q112" s="601">
        <v>1080.2950000000001</v>
      </c>
      <c r="R112" s="542">
        <v>0</v>
      </c>
      <c r="S112" s="620">
        <v>0</v>
      </c>
      <c r="T112" s="620">
        <v>0</v>
      </c>
      <c r="U112" s="542"/>
      <c r="V112" s="601"/>
      <c r="W112" s="542"/>
      <c r="X112" s="542"/>
      <c r="Y112" s="542"/>
      <c r="Z112" s="542"/>
      <c r="AA112" s="601"/>
      <c r="AB112" s="542"/>
      <c r="AC112" s="542"/>
      <c r="AD112" s="542"/>
      <c r="AE112" s="542"/>
      <c r="AF112" s="601"/>
      <c r="AG112" s="542"/>
      <c r="AH112" s="542"/>
      <c r="AI112" s="542"/>
      <c r="AJ112" s="542"/>
      <c r="AK112" s="601"/>
    </row>
    <row r="113" spans="1:37" s="607" customFormat="1" ht="12.75" hidden="1" customHeight="1" outlineLevel="1">
      <c r="A113" s="416"/>
      <c r="B113" s="590" t="s">
        <v>626</v>
      </c>
      <c r="C113" s="542"/>
      <c r="D113" s="542"/>
      <c r="E113" s="542"/>
      <c r="F113" s="542"/>
      <c r="G113" s="584">
        <f t="shared" si="36"/>
        <v>0</v>
      </c>
      <c r="H113" s="542"/>
      <c r="I113" s="542"/>
      <c r="J113" s="542"/>
      <c r="K113" s="542"/>
      <c r="L113" s="601">
        <v>45.530999999999999</v>
      </c>
      <c r="M113" s="542">
        <v>69.597999999999999</v>
      </c>
      <c r="N113" s="542">
        <v>0</v>
      </c>
      <c r="O113" s="542"/>
      <c r="P113" s="542"/>
      <c r="Q113" s="584">
        <f>SUM(M113:P113)</f>
        <v>69.597999999999999</v>
      </c>
      <c r="R113" s="542">
        <v>0</v>
      </c>
      <c r="S113" s="620">
        <v>0</v>
      </c>
      <c r="T113" s="620">
        <v>0</v>
      </c>
      <c r="U113" s="542"/>
      <c r="V113" s="601"/>
      <c r="W113" s="542"/>
      <c r="X113" s="542"/>
      <c r="Y113" s="542"/>
      <c r="Z113" s="542"/>
      <c r="AA113" s="601"/>
      <c r="AB113" s="542"/>
      <c r="AC113" s="542"/>
      <c r="AD113" s="542"/>
      <c r="AE113" s="542"/>
      <c r="AF113" s="601"/>
      <c r="AG113" s="542"/>
      <c r="AH113" s="542"/>
      <c r="AI113" s="542"/>
      <c r="AJ113" s="542"/>
      <c r="AK113" s="601"/>
    </row>
    <row r="114" spans="1:37" s="607" customFormat="1" ht="12.75" hidden="1" customHeight="1" outlineLevel="1">
      <c r="A114" s="416"/>
      <c r="B114" s="590" t="s">
        <v>634</v>
      </c>
      <c r="C114" s="542"/>
      <c r="D114" s="542"/>
      <c r="E114" s="542"/>
      <c r="F114" s="542"/>
      <c r="G114" s="584">
        <f t="shared" si="36"/>
        <v>0</v>
      </c>
      <c r="H114" s="542"/>
      <c r="I114" s="542"/>
      <c r="J114" s="542"/>
      <c r="K114" s="542"/>
      <c r="L114" s="584">
        <f>SUM(H114:K114)</f>
        <v>0</v>
      </c>
      <c r="M114" s="542">
        <v>0</v>
      </c>
      <c r="N114" s="542">
        <v>0</v>
      </c>
      <c r="O114" s="542"/>
      <c r="P114" s="542"/>
      <c r="Q114" s="584">
        <f>SUM(M114:P114)</f>
        <v>0</v>
      </c>
      <c r="R114" s="542">
        <v>230.244</v>
      </c>
      <c r="S114" s="620">
        <v>0</v>
      </c>
      <c r="T114" s="620">
        <v>0</v>
      </c>
      <c r="U114" s="542"/>
      <c r="V114" s="601"/>
      <c r="W114" s="542"/>
      <c r="X114" s="542"/>
      <c r="Y114" s="542"/>
      <c r="Z114" s="542"/>
      <c r="AA114" s="601"/>
      <c r="AB114" s="542"/>
      <c r="AC114" s="542"/>
      <c r="AD114" s="542"/>
      <c r="AE114" s="542"/>
      <c r="AF114" s="601"/>
      <c r="AG114" s="542"/>
      <c r="AH114" s="542"/>
      <c r="AI114" s="542"/>
      <c r="AJ114" s="542"/>
      <c r="AK114" s="601"/>
    </row>
    <row r="115" spans="1:37" s="607" customFormat="1" ht="12.75" hidden="1" customHeight="1" outlineLevel="1">
      <c r="A115" s="416"/>
      <c r="B115" s="590" t="s">
        <v>304</v>
      </c>
      <c r="C115" s="542"/>
      <c r="D115" s="542"/>
      <c r="E115" s="542"/>
      <c r="F115" s="542"/>
      <c r="G115" s="584">
        <f t="shared" si="36"/>
        <v>0</v>
      </c>
      <c r="H115" s="542"/>
      <c r="I115" s="542"/>
      <c r="J115" s="542"/>
      <c r="K115" s="542"/>
      <c r="L115" s="584">
        <f>SUM(H115:K115)</f>
        <v>0</v>
      </c>
      <c r="M115" s="542">
        <v>0</v>
      </c>
      <c r="N115" s="542">
        <v>7.633</v>
      </c>
      <c r="O115" s="542"/>
      <c r="P115" s="542"/>
      <c r="Q115" s="601">
        <v>10.132999999999999</v>
      </c>
      <c r="R115" s="542">
        <v>0</v>
      </c>
      <c r="S115" s="620">
        <v>714.947</v>
      </c>
      <c r="T115" s="620">
        <v>-640.64200000000005</v>
      </c>
      <c r="U115" s="542"/>
      <c r="V115" s="601"/>
      <c r="W115" s="542"/>
      <c r="X115" s="542"/>
      <c r="Y115" s="542"/>
      <c r="Z115" s="542"/>
      <c r="AA115" s="601"/>
      <c r="AB115" s="542"/>
      <c r="AC115" s="542"/>
      <c r="AD115" s="542"/>
      <c r="AE115" s="542"/>
      <c r="AF115" s="601"/>
      <c r="AG115" s="542"/>
      <c r="AH115" s="542"/>
      <c r="AI115" s="542"/>
      <c r="AJ115" s="542"/>
      <c r="AK115" s="601"/>
    </row>
    <row r="116" spans="1:37" s="607" customFormat="1" ht="12.75" hidden="1" customHeight="1" outlineLevel="1">
      <c r="A116" s="416"/>
      <c r="B116" s="590" t="s">
        <v>693</v>
      </c>
      <c r="C116" s="542"/>
      <c r="D116" s="542"/>
      <c r="E116" s="542"/>
      <c r="F116" s="542"/>
      <c r="G116" s="584"/>
      <c r="H116" s="542"/>
      <c r="I116" s="542"/>
      <c r="J116" s="542"/>
      <c r="K116" s="542"/>
      <c r="L116" s="584">
        <f>SUM(H116:K116)</f>
        <v>0</v>
      </c>
      <c r="M116" s="542">
        <v>0</v>
      </c>
      <c r="N116" s="542">
        <v>0</v>
      </c>
      <c r="O116" s="542"/>
      <c r="P116" s="542"/>
      <c r="Q116" s="584">
        <f>SUM(M116:P116)</f>
        <v>0</v>
      </c>
      <c r="R116" s="542">
        <v>0</v>
      </c>
      <c r="S116" s="620">
        <v>89.956000000000003</v>
      </c>
      <c r="T116" s="620">
        <v>132.37599999999998</v>
      </c>
      <c r="U116" s="542"/>
      <c r="V116" s="601"/>
      <c r="W116" s="542"/>
      <c r="X116" s="542"/>
      <c r="Y116" s="542"/>
      <c r="Z116" s="542"/>
      <c r="AA116" s="601"/>
      <c r="AB116" s="542"/>
      <c r="AC116" s="542"/>
      <c r="AD116" s="542"/>
      <c r="AE116" s="542"/>
      <c r="AF116" s="601"/>
      <c r="AG116" s="542"/>
      <c r="AH116" s="542"/>
      <c r="AI116" s="542"/>
      <c r="AJ116" s="542"/>
      <c r="AK116" s="601"/>
    </row>
    <row r="117" spans="1:37" s="607" customFormat="1" ht="12.75" hidden="1" customHeight="1" outlineLevel="1">
      <c r="A117" s="416"/>
      <c r="B117" s="590" t="s">
        <v>627</v>
      </c>
      <c r="C117" s="542"/>
      <c r="D117" s="542"/>
      <c r="E117" s="542"/>
      <c r="F117" s="542"/>
      <c r="G117" s="584">
        <f t="shared" si="36"/>
        <v>0</v>
      </c>
      <c r="H117" s="542"/>
      <c r="I117" s="542"/>
      <c r="J117" s="542"/>
      <c r="K117" s="542"/>
      <c r="L117" s="601">
        <v>2.2160000000000002</v>
      </c>
      <c r="M117" s="542">
        <v>0</v>
      </c>
      <c r="N117" s="542">
        <v>0</v>
      </c>
      <c r="O117" s="542"/>
      <c r="P117" s="542"/>
      <c r="Q117" s="601">
        <v>7.1</v>
      </c>
      <c r="R117" s="542">
        <v>0</v>
      </c>
      <c r="S117" s="620">
        <v>0</v>
      </c>
      <c r="T117" s="620">
        <v>0</v>
      </c>
      <c r="U117" s="542"/>
      <c r="V117" s="601"/>
      <c r="W117" s="542"/>
      <c r="X117" s="542"/>
      <c r="Y117" s="542"/>
      <c r="Z117" s="542"/>
      <c r="AA117" s="601"/>
      <c r="AB117" s="542"/>
      <c r="AC117" s="542"/>
      <c r="AD117" s="542"/>
      <c r="AE117" s="542"/>
      <c r="AF117" s="601"/>
      <c r="AG117" s="542"/>
      <c r="AH117" s="542"/>
      <c r="AI117" s="542"/>
      <c r="AJ117" s="542"/>
      <c r="AK117" s="601"/>
    </row>
    <row r="118" spans="1:37" s="607" customFormat="1" ht="12.75" hidden="1" customHeight="1" outlineLevel="1">
      <c r="A118" s="416"/>
      <c r="B118" s="590" t="s">
        <v>628</v>
      </c>
      <c r="C118" s="542"/>
      <c r="D118" s="542"/>
      <c r="E118" s="542"/>
      <c r="F118" s="542"/>
      <c r="G118" s="584">
        <f t="shared" si="36"/>
        <v>0</v>
      </c>
      <c r="H118" s="542"/>
      <c r="I118" s="542"/>
      <c r="J118" s="542"/>
      <c r="K118" s="542"/>
      <c r="L118" s="584">
        <f>SUM(H118:K118)</f>
        <v>0</v>
      </c>
      <c r="M118" s="542">
        <v>0</v>
      </c>
      <c r="N118" s="542">
        <v>0</v>
      </c>
      <c r="O118" s="542"/>
      <c r="P118" s="542"/>
      <c r="Q118" s="601">
        <v>7.9509999999999996</v>
      </c>
      <c r="R118" s="542">
        <v>11.898999999999999</v>
      </c>
      <c r="S118" s="620">
        <v>0</v>
      </c>
      <c r="T118" s="620">
        <v>0</v>
      </c>
      <c r="U118" s="542"/>
      <c r="V118" s="601"/>
      <c r="W118" s="542"/>
      <c r="X118" s="542"/>
      <c r="Y118" s="542"/>
      <c r="Z118" s="542"/>
      <c r="AA118" s="601"/>
      <c r="AB118" s="542"/>
      <c r="AC118" s="542"/>
      <c r="AD118" s="542"/>
      <c r="AE118" s="542"/>
      <c r="AF118" s="601"/>
      <c r="AG118" s="542"/>
      <c r="AH118" s="542"/>
      <c r="AI118" s="542"/>
      <c r="AJ118" s="542"/>
      <c r="AK118" s="601"/>
    </row>
    <row r="119" spans="1:37" ht="12.75" customHeight="1" collapsed="1">
      <c r="G119" s="132"/>
      <c r="L119" s="132"/>
      <c r="Q119" s="132"/>
      <c r="V119" s="132"/>
      <c r="AA119" s="132"/>
      <c r="AF119" s="132"/>
      <c r="AK119" s="132"/>
    </row>
    <row r="120" spans="1:37" s="230" customFormat="1" ht="12.75" customHeight="1">
      <c r="A120" s="416"/>
      <c r="B120" s="395"/>
      <c r="C120" s="243"/>
      <c r="D120" s="243"/>
      <c r="E120" s="243"/>
      <c r="F120" s="243"/>
      <c r="G120" s="242"/>
      <c r="H120" s="243"/>
      <c r="I120" s="243"/>
      <c r="J120" s="243"/>
      <c r="K120" s="243"/>
      <c r="L120" s="242"/>
      <c r="M120" s="243"/>
      <c r="N120" s="243"/>
      <c r="O120" s="243"/>
      <c r="P120" s="243"/>
      <c r="Q120" s="242"/>
      <c r="R120" s="243"/>
      <c r="S120" s="1221"/>
      <c r="T120" s="243"/>
      <c r="U120" s="243"/>
      <c r="V120" s="242"/>
      <c r="W120" s="243"/>
      <c r="X120" s="243"/>
      <c r="Y120" s="243"/>
      <c r="Z120" s="243"/>
      <c r="AA120" s="242"/>
      <c r="AB120" s="243"/>
      <c r="AC120" s="243"/>
      <c r="AD120" s="243"/>
      <c r="AE120" s="243"/>
      <c r="AF120" s="242"/>
      <c r="AG120" s="243"/>
      <c r="AH120" s="243"/>
      <c r="AI120" s="243"/>
      <c r="AJ120" s="243"/>
      <c r="AK120" s="242"/>
    </row>
    <row r="121" spans="1:37" s="233" customFormat="1" ht="12.75" customHeight="1">
      <c r="A121" s="434"/>
      <c r="B121" s="395"/>
      <c r="C121" s="181"/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222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81"/>
      <c r="AJ121" s="181"/>
      <c r="AK121" s="181"/>
    </row>
    <row r="122" spans="1:37" ht="12.75" customHeight="1">
      <c r="B122" s="395"/>
    </row>
    <row r="123" spans="1:37" ht="12.75" customHeight="1">
      <c r="B123" s="386"/>
    </row>
    <row r="124" spans="1:37" ht="12.75" customHeight="1">
      <c r="B124" s="387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1223"/>
      <c r="T124" s="98"/>
      <c r="U124" s="98"/>
      <c r="V124" s="98"/>
      <c r="W124" s="98"/>
      <c r="X124" s="98"/>
      <c r="Y124" s="98"/>
      <c r="Z124" s="98"/>
      <c r="AA124" s="98"/>
      <c r="AB124" s="98"/>
      <c r="AC124" s="98"/>
      <c r="AD124" s="98"/>
      <c r="AE124" s="98"/>
      <c r="AF124" s="98"/>
      <c r="AG124" s="98"/>
      <c r="AH124" s="98"/>
      <c r="AI124" s="98"/>
      <c r="AJ124" s="98"/>
      <c r="AK124" s="98"/>
    </row>
    <row r="125" spans="1:37" ht="12.75" customHeight="1">
      <c r="B125" s="387"/>
      <c r="C125" s="239"/>
      <c r="D125" s="239"/>
      <c r="E125" s="239"/>
      <c r="F125" s="239"/>
      <c r="G125" s="98"/>
      <c r="H125" s="239"/>
      <c r="I125" s="239"/>
      <c r="J125" s="239"/>
      <c r="K125" s="239"/>
      <c r="L125" s="98"/>
      <c r="M125" s="239"/>
      <c r="N125" s="239"/>
      <c r="O125" s="239"/>
      <c r="P125" s="239"/>
      <c r="Q125" s="98"/>
      <c r="R125" s="239"/>
      <c r="S125" s="241"/>
      <c r="T125" s="239"/>
      <c r="U125" s="239"/>
      <c r="V125" s="98"/>
      <c r="W125" s="239"/>
      <c r="X125" s="239"/>
      <c r="Y125" s="239"/>
      <c r="Z125" s="239"/>
      <c r="AA125" s="98"/>
      <c r="AB125" s="239"/>
      <c r="AC125" s="239"/>
      <c r="AD125" s="239"/>
      <c r="AE125" s="239"/>
      <c r="AF125" s="98"/>
      <c r="AG125" s="239"/>
      <c r="AH125" s="239"/>
      <c r="AI125" s="239"/>
      <c r="AJ125" s="239"/>
      <c r="AK125" s="98"/>
    </row>
    <row r="126" spans="1:37" ht="12.75" customHeight="1">
      <c r="B126" s="387"/>
      <c r="C126" s="98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1223"/>
      <c r="T126" s="98"/>
      <c r="U126" s="98"/>
      <c r="V126" s="98"/>
      <c r="W126" s="98"/>
      <c r="X126" s="98"/>
      <c r="Y126" s="98"/>
      <c r="Z126" s="98"/>
      <c r="AA126" s="98"/>
      <c r="AB126" s="98"/>
      <c r="AC126" s="98"/>
      <c r="AD126" s="98"/>
      <c r="AE126" s="98"/>
      <c r="AF126" s="98"/>
      <c r="AG126" s="98"/>
      <c r="AH126" s="98"/>
      <c r="AI126" s="98"/>
      <c r="AJ126" s="98"/>
      <c r="AK126" s="98"/>
    </row>
    <row r="127" spans="1:37" ht="12.75" customHeight="1">
      <c r="B127" s="387"/>
      <c r="C127" s="239"/>
      <c r="D127" s="239"/>
      <c r="E127" s="239"/>
      <c r="F127" s="239"/>
      <c r="G127" s="98"/>
      <c r="H127" s="239"/>
      <c r="I127" s="239"/>
      <c r="J127" s="239"/>
      <c r="K127" s="239"/>
      <c r="L127" s="98"/>
      <c r="M127" s="239"/>
      <c r="N127" s="239"/>
      <c r="O127" s="239"/>
      <c r="P127" s="239"/>
      <c r="Q127" s="98"/>
      <c r="R127" s="239"/>
      <c r="S127" s="241"/>
      <c r="T127" s="239"/>
      <c r="U127" s="239"/>
      <c r="V127" s="98"/>
      <c r="W127" s="239"/>
      <c r="X127" s="239"/>
      <c r="Y127" s="239"/>
      <c r="Z127" s="239"/>
      <c r="AA127" s="98"/>
      <c r="AB127" s="239"/>
      <c r="AC127" s="239"/>
      <c r="AD127" s="239"/>
      <c r="AE127" s="239"/>
      <c r="AF127" s="98"/>
      <c r="AG127" s="239"/>
      <c r="AH127" s="239"/>
      <c r="AI127" s="239"/>
      <c r="AJ127" s="239"/>
      <c r="AK127" s="98"/>
    </row>
    <row r="128" spans="1:37" ht="12.75" customHeight="1">
      <c r="B128" s="387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1223"/>
      <c r="T128" s="98"/>
      <c r="U128" s="98"/>
      <c r="V128" s="98"/>
      <c r="W128" s="98"/>
      <c r="X128" s="98"/>
      <c r="Y128" s="98"/>
      <c r="Z128" s="98"/>
      <c r="AA128" s="98"/>
      <c r="AB128" s="98"/>
      <c r="AC128" s="98"/>
      <c r="AD128" s="98"/>
      <c r="AE128" s="98"/>
      <c r="AF128" s="98"/>
      <c r="AG128" s="98"/>
      <c r="AH128" s="98"/>
      <c r="AI128" s="98"/>
      <c r="AJ128" s="98"/>
      <c r="AK128" s="98"/>
    </row>
    <row r="130" spans="2:37" ht="12.75" customHeight="1">
      <c r="B130" s="387"/>
      <c r="C130" s="243"/>
      <c r="D130" s="244"/>
      <c r="E130" s="244"/>
      <c r="F130" s="240"/>
      <c r="G130" s="242"/>
      <c r="H130" s="243"/>
      <c r="I130" s="244"/>
      <c r="J130" s="244"/>
      <c r="K130" s="240"/>
      <c r="L130" s="242"/>
      <c r="M130" s="243"/>
      <c r="N130" s="244"/>
      <c r="O130" s="244"/>
      <c r="P130" s="240"/>
      <c r="Q130" s="242"/>
      <c r="R130" s="243"/>
      <c r="S130" s="1224"/>
      <c r="T130" s="244"/>
      <c r="U130" s="240"/>
      <c r="V130" s="242"/>
      <c r="W130" s="243"/>
      <c r="X130" s="244"/>
      <c r="Y130" s="244"/>
      <c r="Z130" s="240"/>
      <c r="AA130" s="242"/>
      <c r="AB130" s="243"/>
      <c r="AC130" s="244"/>
      <c r="AD130" s="244"/>
      <c r="AE130" s="240"/>
      <c r="AF130" s="242"/>
      <c r="AG130" s="243"/>
      <c r="AH130" s="244"/>
      <c r="AI130" s="244"/>
      <c r="AJ130" s="240"/>
      <c r="AK130" s="242"/>
    </row>
    <row r="194" spans="3:37" ht="12.75" customHeight="1">
      <c r="C194" s="134"/>
      <c r="D194" s="134"/>
      <c r="E194" s="134"/>
      <c r="F194" s="134"/>
      <c r="G194" s="134"/>
      <c r="H194" s="134"/>
      <c r="I194" s="134"/>
      <c r="J194" s="134"/>
      <c r="K194" s="134"/>
      <c r="L194" s="134"/>
      <c r="M194" s="134"/>
      <c r="N194" s="134"/>
      <c r="O194" s="134"/>
      <c r="P194" s="134"/>
      <c r="Q194" s="134"/>
      <c r="R194" s="134"/>
      <c r="S194" s="1225"/>
      <c r="T194" s="134"/>
      <c r="U194" s="134"/>
      <c r="V194" s="134"/>
      <c r="W194" s="134"/>
      <c r="X194" s="134"/>
      <c r="Y194" s="134"/>
      <c r="Z194" s="134"/>
      <c r="AA194" s="134"/>
      <c r="AB194" s="134"/>
      <c r="AC194" s="134"/>
      <c r="AD194" s="134"/>
      <c r="AE194" s="134"/>
      <c r="AF194" s="134"/>
      <c r="AG194" s="134"/>
      <c r="AH194" s="134"/>
      <c r="AI194" s="134"/>
      <c r="AJ194" s="134"/>
      <c r="AK194" s="134"/>
    </row>
    <row r="195" spans="3:37" ht="12.75" customHeight="1">
      <c r="C195" s="134"/>
      <c r="D195" s="134"/>
      <c r="E195" s="134"/>
      <c r="F195" s="134"/>
      <c r="G195" s="134"/>
      <c r="H195" s="134"/>
      <c r="I195" s="134"/>
      <c r="J195" s="134"/>
      <c r="K195" s="134"/>
      <c r="L195" s="134"/>
      <c r="M195" s="134"/>
      <c r="N195" s="134"/>
      <c r="O195" s="134"/>
      <c r="P195" s="134"/>
      <c r="Q195" s="134"/>
      <c r="R195" s="134"/>
      <c r="S195" s="1225"/>
      <c r="T195" s="134"/>
      <c r="U195" s="134"/>
      <c r="V195" s="134"/>
      <c r="W195" s="134"/>
      <c r="X195" s="134"/>
      <c r="Y195" s="134"/>
      <c r="Z195" s="134"/>
      <c r="AA195" s="134"/>
      <c r="AB195" s="134"/>
      <c r="AC195" s="134"/>
      <c r="AD195" s="134"/>
      <c r="AE195" s="134"/>
      <c r="AF195" s="134"/>
      <c r="AG195" s="134"/>
      <c r="AH195" s="134"/>
      <c r="AI195" s="134"/>
      <c r="AJ195" s="134"/>
      <c r="AK195" s="134"/>
    </row>
    <row r="196" spans="3:37" ht="12.75" customHeight="1">
      <c r="C196" s="135"/>
      <c r="D196" s="134"/>
      <c r="E196" s="134"/>
      <c r="F196" s="134"/>
      <c r="G196" s="134"/>
      <c r="H196" s="135"/>
      <c r="I196" s="134"/>
      <c r="J196" s="134"/>
      <c r="K196" s="134"/>
      <c r="L196" s="134"/>
      <c r="M196" s="135"/>
      <c r="N196" s="134"/>
      <c r="O196" s="134"/>
      <c r="P196" s="134"/>
      <c r="Q196" s="134"/>
      <c r="R196" s="135"/>
      <c r="S196" s="1225"/>
      <c r="T196" s="134"/>
      <c r="U196" s="134"/>
      <c r="V196" s="134"/>
      <c r="W196" s="135"/>
      <c r="X196" s="134"/>
      <c r="Y196" s="134"/>
      <c r="Z196" s="134"/>
      <c r="AA196" s="134"/>
      <c r="AB196" s="135"/>
      <c r="AC196" s="134"/>
      <c r="AD196" s="134"/>
      <c r="AE196" s="134"/>
      <c r="AF196" s="134"/>
      <c r="AG196" s="135"/>
      <c r="AH196" s="134"/>
      <c r="AI196" s="134"/>
      <c r="AJ196" s="134"/>
      <c r="AK196" s="134"/>
    </row>
    <row r="197" spans="3:37" ht="12.75" customHeight="1">
      <c r="C197" s="136"/>
      <c r="D197" s="134"/>
      <c r="E197" s="134"/>
      <c r="F197" s="134"/>
      <c r="G197" s="134"/>
      <c r="H197" s="136"/>
      <c r="I197" s="134"/>
      <c r="J197" s="134"/>
      <c r="K197" s="134"/>
      <c r="L197" s="134"/>
      <c r="M197" s="136"/>
      <c r="N197" s="134"/>
      <c r="O197" s="134"/>
      <c r="P197" s="134"/>
      <c r="Q197" s="134"/>
      <c r="R197" s="136"/>
      <c r="S197" s="1225"/>
      <c r="T197" s="134"/>
      <c r="U197" s="134"/>
      <c r="V197" s="134"/>
      <c r="W197" s="136"/>
      <c r="X197" s="134"/>
      <c r="Y197" s="134"/>
      <c r="Z197" s="134"/>
      <c r="AA197" s="134"/>
      <c r="AB197" s="136"/>
      <c r="AC197" s="134"/>
      <c r="AD197" s="134"/>
      <c r="AE197" s="134"/>
      <c r="AF197" s="134"/>
      <c r="AG197" s="136"/>
      <c r="AH197" s="134"/>
      <c r="AI197" s="134"/>
      <c r="AJ197" s="134"/>
      <c r="AK197" s="134"/>
    </row>
    <row r="198" spans="3:37" ht="12.75" customHeight="1">
      <c r="C198" s="137"/>
      <c r="D198" s="138"/>
      <c r="E198" s="138"/>
      <c r="F198" s="138"/>
      <c r="G198" s="138"/>
      <c r="H198" s="137"/>
      <c r="I198" s="138"/>
      <c r="J198" s="138"/>
      <c r="K198" s="138"/>
      <c r="L198" s="138"/>
      <c r="M198" s="137"/>
      <c r="N198" s="138"/>
      <c r="O198" s="138"/>
      <c r="P198" s="138"/>
      <c r="Q198" s="138"/>
      <c r="R198" s="137"/>
      <c r="S198" s="1226"/>
      <c r="T198" s="138"/>
      <c r="U198" s="138"/>
      <c r="V198" s="138"/>
      <c r="W198" s="137"/>
      <c r="X198" s="138"/>
      <c r="Y198" s="138"/>
      <c r="Z198" s="138"/>
      <c r="AA198" s="138"/>
      <c r="AB198" s="137"/>
      <c r="AC198" s="138"/>
      <c r="AD198" s="138"/>
      <c r="AE198" s="138"/>
      <c r="AF198" s="138"/>
      <c r="AG198" s="137"/>
      <c r="AH198" s="138"/>
      <c r="AI198" s="138"/>
      <c r="AJ198" s="138"/>
      <c r="AK198" s="138"/>
    </row>
    <row r="199" spans="3:37" ht="12.75" customHeight="1">
      <c r="C199" s="139"/>
      <c r="D199" s="140"/>
      <c r="E199" s="140"/>
      <c r="F199" s="140"/>
      <c r="G199" s="140"/>
      <c r="H199" s="139"/>
      <c r="I199" s="140"/>
      <c r="J199" s="140"/>
      <c r="K199" s="140"/>
      <c r="L199" s="140"/>
      <c r="M199" s="139"/>
      <c r="N199" s="140"/>
      <c r="O199" s="140"/>
      <c r="P199" s="140"/>
      <c r="Q199" s="140"/>
      <c r="R199" s="139"/>
      <c r="S199" s="1227"/>
      <c r="T199" s="140"/>
      <c r="U199" s="140"/>
      <c r="V199" s="140"/>
      <c r="W199" s="139"/>
      <c r="X199" s="140"/>
      <c r="Y199" s="140"/>
      <c r="Z199" s="140"/>
      <c r="AA199" s="140"/>
      <c r="AB199" s="139"/>
      <c r="AC199" s="140"/>
      <c r="AD199" s="140"/>
      <c r="AE199" s="140"/>
      <c r="AF199" s="140"/>
      <c r="AG199" s="139"/>
      <c r="AH199" s="140"/>
      <c r="AI199" s="140"/>
      <c r="AJ199" s="140"/>
      <c r="AK199" s="140"/>
    </row>
    <row r="200" spans="3:37" ht="12.75" customHeight="1">
      <c r="C200" s="139"/>
      <c r="D200" s="140"/>
      <c r="E200" s="140"/>
      <c r="F200" s="140"/>
      <c r="G200" s="140"/>
      <c r="H200" s="139"/>
      <c r="I200" s="140"/>
      <c r="J200" s="140"/>
      <c r="K200" s="140"/>
      <c r="L200" s="140"/>
      <c r="M200" s="139"/>
      <c r="N200" s="140"/>
      <c r="O200" s="140"/>
      <c r="P200" s="140"/>
      <c r="Q200" s="140"/>
      <c r="R200" s="139"/>
      <c r="S200" s="1227"/>
      <c r="T200" s="140"/>
      <c r="U200" s="140"/>
      <c r="V200" s="140"/>
      <c r="W200" s="139"/>
      <c r="X200" s="140"/>
      <c r="Y200" s="140"/>
      <c r="Z200" s="140"/>
      <c r="AA200" s="140"/>
      <c r="AB200" s="139"/>
      <c r="AC200" s="140"/>
      <c r="AD200" s="140"/>
      <c r="AE200" s="140"/>
      <c r="AF200" s="140"/>
      <c r="AG200" s="139"/>
      <c r="AH200" s="140"/>
      <c r="AI200" s="140"/>
      <c r="AJ200" s="140"/>
      <c r="AK200" s="140"/>
    </row>
    <row r="201" spans="3:37" ht="12.75" customHeight="1">
      <c r="C201" s="139"/>
      <c r="D201" s="140"/>
      <c r="E201" s="140"/>
      <c r="F201" s="140"/>
      <c r="G201" s="140"/>
      <c r="H201" s="139"/>
      <c r="I201" s="140"/>
      <c r="J201" s="140"/>
      <c r="K201" s="140"/>
      <c r="L201" s="140"/>
      <c r="M201" s="139"/>
      <c r="N201" s="140"/>
      <c r="O201" s="140"/>
      <c r="P201" s="140"/>
      <c r="Q201" s="140"/>
      <c r="R201" s="139"/>
      <c r="S201" s="1227"/>
      <c r="T201" s="140"/>
      <c r="U201" s="140"/>
      <c r="V201" s="140"/>
      <c r="W201" s="139"/>
      <c r="X201" s="140"/>
      <c r="Y201" s="140"/>
      <c r="Z201" s="140"/>
      <c r="AA201" s="140"/>
      <c r="AB201" s="139"/>
      <c r="AC201" s="140"/>
      <c r="AD201" s="140"/>
      <c r="AE201" s="140"/>
      <c r="AF201" s="140"/>
      <c r="AG201" s="139"/>
      <c r="AH201" s="140"/>
      <c r="AI201" s="140"/>
      <c r="AJ201" s="140"/>
      <c r="AK201" s="140"/>
    </row>
    <row r="202" spans="3:37" ht="12.75" customHeight="1">
      <c r="C202" s="141"/>
      <c r="D202" s="142"/>
      <c r="E202" s="142"/>
      <c r="F202" s="142"/>
      <c r="G202" s="142"/>
      <c r="H202" s="141"/>
      <c r="I202" s="142"/>
      <c r="J202" s="142"/>
      <c r="K202" s="142"/>
      <c r="L202" s="142"/>
      <c r="M202" s="141"/>
      <c r="N202" s="142"/>
      <c r="O202" s="142"/>
      <c r="P202" s="142"/>
      <c r="Q202" s="142"/>
      <c r="R202" s="141"/>
      <c r="S202" s="1228"/>
      <c r="T202" s="142"/>
      <c r="U202" s="142"/>
      <c r="V202" s="142"/>
      <c r="W202" s="141"/>
      <c r="X202" s="142"/>
      <c r="Y202" s="142"/>
      <c r="Z202" s="142"/>
      <c r="AA202" s="142"/>
      <c r="AB202" s="141"/>
      <c r="AC202" s="142"/>
      <c r="AD202" s="142"/>
      <c r="AE202" s="142"/>
      <c r="AF202" s="142"/>
      <c r="AG202" s="141"/>
      <c r="AH202" s="142"/>
      <c r="AI202" s="142"/>
      <c r="AJ202" s="142"/>
      <c r="AK202" s="142"/>
    </row>
    <row r="203" spans="3:37" ht="12.75" customHeight="1">
      <c r="C203" s="143"/>
      <c r="D203" s="140"/>
      <c r="E203" s="140"/>
      <c r="F203" s="140"/>
      <c r="G203" s="140"/>
      <c r="H203" s="143"/>
      <c r="I203" s="140"/>
      <c r="J203" s="140"/>
      <c r="K203" s="140"/>
      <c r="L203" s="140"/>
      <c r="M203" s="143"/>
      <c r="N203" s="140"/>
      <c r="O203" s="140"/>
      <c r="P203" s="140"/>
      <c r="Q203" s="140"/>
      <c r="R203" s="143"/>
      <c r="S203" s="1227"/>
      <c r="T203" s="140"/>
      <c r="U203" s="140"/>
      <c r="V203" s="140"/>
      <c r="W203" s="143"/>
      <c r="X203" s="140"/>
      <c r="Y203" s="140"/>
      <c r="Z203" s="140"/>
      <c r="AA203" s="140"/>
      <c r="AB203" s="143"/>
      <c r="AC203" s="140"/>
      <c r="AD203" s="140"/>
      <c r="AE203" s="140"/>
      <c r="AF203" s="140"/>
      <c r="AG203" s="143"/>
      <c r="AH203" s="140"/>
      <c r="AI203" s="140"/>
      <c r="AJ203" s="140"/>
      <c r="AK203" s="140"/>
    </row>
    <row r="204" spans="3:37" ht="12.75" customHeight="1">
      <c r="C204" s="143"/>
      <c r="D204" s="140"/>
      <c r="E204" s="140"/>
      <c r="F204" s="140"/>
      <c r="G204" s="140"/>
      <c r="H204" s="143"/>
      <c r="I204" s="140"/>
      <c r="J204" s="140"/>
      <c r="K204" s="140"/>
      <c r="L204" s="140"/>
      <c r="M204" s="143"/>
      <c r="N204" s="140"/>
      <c r="O204" s="140"/>
      <c r="P204" s="140"/>
      <c r="Q204" s="140"/>
      <c r="R204" s="143"/>
      <c r="S204" s="1227"/>
      <c r="T204" s="140"/>
      <c r="U204" s="140"/>
      <c r="V204" s="140"/>
      <c r="W204" s="143"/>
      <c r="X204" s="140"/>
      <c r="Y204" s="140"/>
      <c r="Z204" s="140"/>
      <c r="AA204" s="140"/>
      <c r="AB204" s="143"/>
      <c r="AC204" s="140"/>
      <c r="AD204" s="140"/>
      <c r="AE204" s="140"/>
      <c r="AF204" s="140"/>
      <c r="AG204" s="143"/>
      <c r="AH204" s="140"/>
      <c r="AI204" s="140"/>
      <c r="AJ204" s="140"/>
      <c r="AK204" s="140"/>
    </row>
    <row r="205" spans="3:37" ht="12.75" customHeight="1">
      <c r="C205" s="143"/>
      <c r="D205" s="140"/>
      <c r="E205" s="140"/>
      <c r="F205" s="140"/>
      <c r="G205" s="140"/>
      <c r="H205" s="143"/>
      <c r="I205" s="140"/>
      <c r="J205" s="140"/>
      <c r="K205" s="140"/>
      <c r="L205" s="140"/>
      <c r="M205" s="143"/>
      <c r="N205" s="140"/>
      <c r="O205" s="140"/>
      <c r="P205" s="140"/>
      <c r="Q205" s="140"/>
      <c r="R205" s="143"/>
      <c r="S205" s="1227"/>
      <c r="T205" s="140"/>
      <c r="U205" s="140"/>
      <c r="V205" s="140"/>
      <c r="W205" s="143"/>
      <c r="X205" s="140"/>
      <c r="Y205" s="140"/>
      <c r="Z205" s="140"/>
      <c r="AA205" s="140"/>
      <c r="AB205" s="143"/>
      <c r="AC205" s="140"/>
      <c r="AD205" s="140"/>
      <c r="AE205" s="140"/>
      <c r="AF205" s="140"/>
      <c r="AG205" s="143"/>
      <c r="AH205" s="140"/>
      <c r="AI205" s="140"/>
      <c r="AJ205" s="140"/>
      <c r="AK205" s="140"/>
    </row>
    <row r="206" spans="3:37" ht="12.75" customHeight="1">
      <c r="C206" s="141"/>
      <c r="D206" s="142"/>
      <c r="E206" s="142"/>
      <c r="F206" s="142"/>
      <c r="G206" s="142"/>
      <c r="H206" s="141"/>
      <c r="I206" s="142"/>
      <c r="J206" s="142"/>
      <c r="K206" s="142"/>
      <c r="L206" s="142"/>
      <c r="M206" s="141"/>
      <c r="N206" s="142"/>
      <c r="O206" s="142"/>
      <c r="P206" s="142"/>
      <c r="Q206" s="142"/>
      <c r="R206" s="141"/>
      <c r="S206" s="1228"/>
      <c r="T206" s="142"/>
      <c r="U206" s="142"/>
      <c r="V206" s="142"/>
      <c r="W206" s="141"/>
      <c r="X206" s="142"/>
      <c r="Y206" s="142"/>
      <c r="Z206" s="142"/>
      <c r="AA206" s="142"/>
      <c r="AB206" s="141"/>
      <c r="AC206" s="142"/>
      <c r="AD206" s="142"/>
      <c r="AE206" s="142"/>
      <c r="AF206" s="142"/>
      <c r="AG206" s="141"/>
      <c r="AH206" s="142"/>
      <c r="AI206" s="142"/>
      <c r="AJ206" s="142"/>
      <c r="AK206" s="142"/>
    </row>
    <row r="207" spans="3:37" ht="12.75" customHeight="1">
      <c r="C207" s="144"/>
      <c r="D207" s="140"/>
      <c r="E207" s="140"/>
      <c r="F207" s="140"/>
      <c r="G207" s="140"/>
      <c r="H207" s="144"/>
      <c r="I207" s="140"/>
      <c r="J207" s="140"/>
      <c r="K207" s="140"/>
      <c r="L207" s="140"/>
      <c r="M207" s="144"/>
      <c r="N207" s="140"/>
      <c r="O207" s="140"/>
      <c r="P207" s="140"/>
      <c r="Q207" s="140"/>
      <c r="R207" s="144"/>
      <c r="S207" s="1227"/>
      <c r="T207" s="140"/>
      <c r="U207" s="140"/>
      <c r="V207" s="140"/>
      <c r="W207" s="144"/>
      <c r="X207" s="140"/>
      <c r="Y207" s="140"/>
      <c r="Z207" s="140"/>
      <c r="AA207" s="140"/>
      <c r="AB207" s="144"/>
      <c r="AC207" s="140"/>
      <c r="AD207" s="140"/>
      <c r="AE207" s="140"/>
      <c r="AF207" s="140"/>
      <c r="AG207" s="144"/>
      <c r="AH207" s="140"/>
      <c r="AI207" s="140"/>
      <c r="AJ207" s="140"/>
      <c r="AK207" s="140"/>
    </row>
    <row r="208" spans="3:37" ht="12.75" customHeight="1">
      <c r="C208" s="144"/>
      <c r="D208" s="140"/>
      <c r="E208" s="140"/>
      <c r="F208" s="140"/>
      <c r="G208" s="140"/>
      <c r="H208" s="144"/>
      <c r="I208" s="140"/>
      <c r="J208" s="140"/>
      <c r="K208" s="140"/>
      <c r="L208" s="140"/>
      <c r="M208" s="144"/>
      <c r="N208" s="140"/>
      <c r="O208" s="140"/>
      <c r="P208" s="140"/>
      <c r="Q208" s="140"/>
      <c r="R208" s="144"/>
      <c r="S208" s="1227"/>
      <c r="T208" s="140"/>
      <c r="U208" s="140"/>
      <c r="V208" s="140"/>
      <c r="W208" s="144"/>
      <c r="X208" s="140"/>
      <c r="Y208" s="140"/>
      <c r="Z208" s="140"/>
      <c r="AA208" s="140"/>
      <c r="AB208" s="144"/>
      <c r="AC208" s="140"/>
      <c r="AD208" s="140"/>
      <c r="AE208" s="140"/>
      <c r="AF208" s="140"/>
      <c r="AG208" s="144"/>
      <c r="AH208" s="140"/>
      <c r="AI208" s="140"/>
      <c r="AJ208" s="140"/>
      <c r="AK208" s="140"/>
    </row>
    <row r="209" spans="3:37" ht="12.75" customHeight="1">
      <c r="C209" s="144"/>
      <c r="D209" s="140"/>
      <c r="E209" s="140"/>
      <c r="F209" s="140"/>
      <c r="G209" s="140"/>
      <c r="H209" s="144"/>
      <c r="I209" s="140"/>
      <c r="J209" s="140"/>
      <c r="K209" s="140"/>
      <c r="L209" s="140"/>
      <c r="M209" s="144"/>
      <c r="N209" s="140"/>
      <c r="O209" s="140"/>
      <c r="P209" s="140"/>
      <c r="Q209" s="140"/>
      <c r="R209" s="144"/>
      <c r="S209" s="1227"/>
      <c r="T209" s="140"/>
      <c r="U209" s="140"/>
      <c r="V209" s="140"/>
      <c r="W209" s="144"/>
      <c r="X209" s="140"/>
      <c r="Y209" s="140"/>
      <c r="Z209" s="140"/>
      <c r="AA209" s="140"/>
      <c r="AB209" s="144"/>
      <c r="AC209" s="140"/>
      <c r="AD209" s="140"/>
      <c r="AE209" s="140"/>
      <c r="AF209" s="140"/>
      <c r="AG209" s="144"/>
      <c r="AH209" s="140"/>
      <c r="AI209" s="140"/>
      <c r="AJ209" s="140"/>
      <c r="AK209" s="140"/>
    </row>
    <row r="210" spans="3:37" ht="12.75" customHeight="1">
      <c r="C210" s="141"/>
      <c r="D210" s="142"/>
      <c r="E210" s="142"/>
      <c r="F210" s="142"/>
      <c r="G210" s="142"/>
      <c r="H210" s="141"/>
      <c r="I210" s="142"/>
      <c r="J210" s="142"/>
      <c r="K210" s="142"/>
      <c r="L210" s="142"/>
      <c r="M210" s="141"/>
      <c r="N210" s="142"/>
      <c r="O210" s="142"/>
      <c r="P210" s="142"/>
      <c r="Q210" s="142"/>
      <c r="R210" s="141"/>
      <c r="S210" s="1228"/>
      <c r="T210" s="142"/>
      <c r="U210" s="142"/>
      <c r="V210" s="142"/>
      <c r="W210" s="141"/>
      <c r="X210" s="142"/>
      <c r="Y210" s="142"/>
      <c r="Z210" s="142"/>
      <c r="AA210" s="142"/>
      <c r="AB210" s="141"/>
      <c r="AC210" s="142"/>
      <c r="AD210" s="142"/>
      <c r="AE210" s="142"/>
      <c r="AF210" s="142"/>
      <c r="AG210" s="141"/>
      <c r="AH210" s="142"/>
      <c r="AI210" s="142"/>
      <c r="AJ210" s="142"/>
      <c r="AK210" s="142"/>
    </row>
    <row r="211" spans="3:37" ht="12.75" customHeight="1">
      <c r="C211" s="144"/>
      <c r="D211" s="140"/>
      <c r="E211" s="140"/>
      <c r="F211" s="140"/>
      <c r="G211" s="140"/>
      <c r="H211" s="144"/>
      <c r="I211" s="140"/>
      <c r="J211" s="140"/>
      <c r="K211" s="140"/>
      <c r="L211" s="140"/>
      <c r="M211" s="144"/>
      <c r="N211" s="140"/>
      <c r="O211" s="140"/>
      <c r="P211" s="140"/>
      <c r="Q211" s="140"/>
      <c r="R211" s="144"/>
      <c r="S211" s="1227"/>
      <c r="T211" s="140"/>
      <c r="U211" s="140"/>
      <c r="V211" s="140"/>
      <c r="W211" s="144"/>
      <c r="X211" s="140"/>
      <c r="Y211" s="140"/>
      <c r="Z211" s="140"/>
      <c r="AA211" s="140"/>
      <c r="AB211" s="144"/>
      <c r="AC211" s="140"/>
      <c r="AD211" s="140"/>
      <c r="AE211" s="140"/>
      <c r="AF211" s="140"/>
      <c r="AG211" s="144"/>
      <c r="AH211" s="140"/>
      <c r="AI211" s="140"/>
      <c r="AJ211" s="140"/>
      <c r="AK211" s="140"/>
    </row>
    <row r="212" spans="3:37" ht="12.75" customHeight="1">
      <c r="C212" s="144"/>
      <c r="D212" s="140"/>
      <c r="E212" s="140"/>
      <c r="F212" s="140"/>
      <c r="G212" s="140"/>
      <c r="H212" s="144"/>
      <c r="I212" s="140"/>
      <c r="J212" s="140"/>
      <c r="K212" s="140"/>
      <c r="L212" s="140"/>
      <c r="M212" s="144"/>
      <c r="N212" s="140"/>
      <c r="O212" s="140"/>
      <c r="P212" s="140"/>
      <c r="Q212" s="140"/>
      <c r="R212" s="144"/>
      <c r="S212" s="1227"/>
      <c r="T212" s="140"/>
      <c r="U212" s="140"/>
      <c r="V212" s="140"/>
      <c r="W212" s="144"/>
      <c r="X212" s="140"/>
      <c r="Y212" s="140"/>
      <c r="Z212" s="140"/>
      <c r="AA212" s="140"/>
      <c r="AB212" s="144"/>
      <c r="AC212" s="140"/>
      <c r="AD212" s="140"/>
      <c r="AE212" s="140"/>
      <c r="AF212" s="140"/>
      <c r="AG212" s="144"/>
      <c r="AH212" s="140"/>
      <c r="AI212" s="140"/>
      <c r="AJ212" s="140"/>
      <c r="AK212" s="140"/>
    </row>
    <row r="213" spans="3:37" ht="12.75" customHeight="1">
      <c r="C213" s="144"/>
      <c r="D213" s="140"/>
      <c r="E213" s="140"/>
      <c r="F213" s="140"/>
      <c r="G213" s="140"/>
      <c r="H213" s="144"/>
      <c r="I213" s="140"/>
      <c r="J213" s="140"/>
      <c r="K213" s="140"/>
      <c r="L213" s="140"/>
      <c r="M213" s="144"/>
      <c r="N213" s="140"/>
      <c r="O213" s="140"/>
      <c r="P213" s="140"/>
      <c r="Q213" s="140"/>
      <c r="R213" s="144"/>
      <c r="S213" s="1227"/>
      <c r="T213" s="140"/>
      <c r="U213" s="140"/>
      <c r="V213" s="140"/>
      <c r="W213" s="144"/>
      <c r="X213" s="140"/>
      <c r="Y213" s="140"/>
      <c r="Z213" s="140"/>
      <c r="AA213" s="140"/>
      <c r="AB213" s="144"/>
      <c r="AC213" s="140"/>
      <c r="AD213" s="140"/>
      <c r="AE213" s="140"/>
      <c r="AF213" s="140"/>
      <c r="AG213" s="144"/>
      <c r="AH213" s="140"/>
      <c r="AI213" s="140"/>
      <c r="AJ213" s="140"/>
      <c r="AK213" s="140"/>
    </row>
    <row r="214" spans="3:37" ht="12.75" customHeight="1">
      <c r="C214" s="137"/>
      <c r="D214" s="142"/>
      <c r="E214" s="142"/>
      <c r="F214" s="142"/>
      <c r="G214" s="142"/>
      <c r="H214" s="137"/>
      <c r="I214" s="142"/>
      <c r="J214" s="142"/>
      <c r="K214" s="142"/>
      <c r="L214" s="142"/>
      <c r="M214" s="137"/>
      <c r="N214" s="142"/>
      <c r="O214" s="142"/>
      <c r="P214" s="142"/>
      <c r="Q214" s="142"/>
      <c r="R214" s="137"/>
      <c r="S214" s="1228"/>
      <c r="T214" s="142"/>
      <c r="U214" s="142"/>
      <c r="V214" s="142"/>
      <c r="W214" s="137"/>
      <c r="X214" s="142"/>
      <c r="Y214" s="142"/>
      <c r="Z214" s="142"/>
      <c r="AA214" s="142"/>
      <c r="AB214" s="137"/>
      <c r="AC214" s="142"/>
      <c r="AD214" s="142"/>
      <c r="AE214" s="142"/>
      <c r="AF214" s="142"/>
      <c r="AG214" s="137"/>
      <c r="AH214" s="142"/>
      <c r="AI214" s="142"/>
      <c r="AJ214" s="142"/>
      <c r="AK214" s="142"/>
    </row>
    <row r="215" spans="3:37" ht="12.75" customHeight="1">
      <c r="C215" s="139"/>
      <c r="D215" s="140"/>
      <c r="E215" s="140"/>
      <c r="F215" s="140"/>
      <c r="G215" s="140"/>
      <c r="H215" s="139"/>
      <c r="I215" s="140"/>
      <c r="J215" s="140"/>
      <c r="K215" s="140"/>
      <c r="L215" s="140"/>
      <c r="M215" s="139"/>
      <c r="N215" s="140"/>
      <c r="O215" s="140"/>
      <c r="P215" s="140"/>
      <c r="Q215" s="140"/>
      <c r="R215" s="139"/>
      <c r="S215" s="1227"/>
      <c r="T215" s="140"/>
      <c r="U215" s="140"/>
      <c r="V215" s="140"/>
      <c r="W215" s="139"/>
      <c r="X215" s="140"/>
      <c r="Y215" s="140"/>
      <c r="Z215" s="140"/>
      <c r="AA215" s="140"/>
      <c r="AB215" s="139"/>
      <c r="AC215" s="140"/>
      <c r="AD215" s="140"/>
      <c r="AE215" s="140"/>
      <c r="AF215" s="140"/>
      <c r="AG215" s="139"/>
      <c r="AH215" s="140"/>
      <c r="AI215" s="140"/>
      <c r="AJ215" s="140"/>
      <c r="AK215" s="140"/>
    </row>
    <row r="216" spans="3:37" ht="12.75" customHeight="1">
      <c r="C216" s="139"/>
      <c r="D216" s="140"/>
      <c r="E216" s="140"/>
      <c r="F216" s="140"/>
      <c r="G216" s="140"/>
      <c r="H216" s="139"/>
      <c r="I216" s="140"/>
      <c r="J216" s="140"/>
      <c r="K216" s="140"/>
      <c r="L216" s="140"/>
      <c r="M216" s="139"/>
      <c r="N216" s="140"/>
      <c r="O216" s="140"/>
      <c r="P216" s="140"/>
      <c r="Q216" s="140"/>
      <c r="R216" s="139"/>
      <c r="S216" s="1227"/>
      <c r="T216" s="140"/>
      <c r="U216" s="140"/>
      <c r="V216" s="140"/>
      <c r="W216" s="139"/>
      <c r="X216" s="140"/>
      <c r="Y216" s="140"/>
      <c r="Z216" s="140"/>
      <c r="AA216" s="140"/>
      <c r="AB216" s="139"/>
      <c r="AC216" s="140"/>
      <c r="AD216" s="140"/>
      <c r="AE216" s="140"/>
      <c r="AF216" s="140"/>
      <c r="AG216" s="139"/>
      <c r="AH216" s="140"/>
      <c r="AI216" s="140"/>
      <c r="AJ216" s="140"/>
      <c r="AK216" s="140"/>
    </row>
    <row r="217" spans="3:37" ht="12.75" customHeight="1">
      <c r="C217" s="139"/>
      <c r="D217" s="140"/>
      <c r="E217" s="140"/>
      <c r="F217" s="140"/>
      <c r="G217" s="140"/>
      <c r="H217" s="139"/>
      <c r="I217" s="140"/>
      <c r="J217" s="140"/>
      <c r="K217" s="140"/>
      <c r="L217" s="140"/>
      <c r="M217" s="139"/>
      <c r="N217" s="140"/>
      <c r="O217" s="140"/>
      <c r="P217" s="140"/>
      <c r="Q217" s="140"/>
      <c r="R217" s="139"/>
      <c r="S217" s="1227"/>
      <c r="T217" s="140"/>
      <c r="U217" s="140"/>
      <c r="V217" s="140"/>
      <c r="W217" s="139"/>
      <c r="X217" s="140"/>
      <c r="Y217" s="140"/>
      <c r="Z217" s="140"/>
      <c r="AA217" s="140"/>
      <c r="AB217" s="139"/>
      <c r="AC217" s="140"/>
      <c r="AD217" s="140"/>
      <c r="AE217" s="140"/>
      <c r="AF217" s="140"/>
      <c r="AG217" s="139"/>
      <c r="AH217" s="140"/>
      <c r="AI217" s="140"/>
      <c r="AJ217" s="140"/>
      <c r="AK217" s="140"/>
    </row>
    <row r="218" spans="3:37" ht="12.75" customHeight="1">
      <c r="C218" s="145"/>
      <c r="D218" s="146"/>
      <c r="E218" s="146"/>
      <c r="F218" s="146"/>
      <c r="G218" s="146"/>
      <c r="H218" s="145"/>
      <c r="I218" s="146"/>
      <c r="J218" s="146"/>
      <c r="K218" s="146"/>
      <c r="L218" s="146"/>
      <c r="M218" s="145"/>
      <c r="N218" s="146"/>
      <c r="O218" s="146"/>
      <c r="P218" s="146"/>
      <c r="Q218" s="146"/>
      <c r="R218" s="145"/>
      <c r="S218" s="1229"/>
      <c r="T218" s="146"/>
      <c r="U218" s="146"/>
      <c r="V218" s="146"/>
      <c r="W218" s="145"/>
      <c r="X218" s="146"/>
      <c r="Y218" s="146"/>
      <c r="Z218" s="146"/>
      <c r="AA218" s="146"/>
      <c r="AB218" s="145"/>
      <c r="AC218" s="146"/>
      <c r="AD218" s="146"/>
      <c r="AE218" s="146"/>
      <c r="AF218" s="146"/>
      <c r="AG218" s="145"/>
      <c r="AH218" s="146"/>
      <c r="AI218" s="146"/>
      <c r="AJ218" s="146"/>
      <c r="AK218" s="146"/>
    </row>
    <row r="219" spans="3:37" ht="12.75" customHeight="1">
      <c r="C219" s="139"/>
      <c r="D219" s="140"/>
      <c r="E219" s="140"/>
      <c r="F219" s="140"/>
      <c r="G219" s="140"/>
      <c r="H219" s="139"/>
      <c r="I219" s="140"/>
      <c r="J219" s="140"/>
      <c r="K219" s="140"/>
      <c r="L219" s="140"/>
      <c r="M219" s="139"/>
      <c r="N219" s="140"/>
      <c r="O219" s="140"/>
      <c r="P219" s="140"/>
      <c r="Q219" s="140"/>
      <c r="R219" s="139"/>
      <c r="S219" s="1227"/>
      <c r="T219" s="140"/>
      <c r="U219" s="140"/>
      <c r="V219" s="140"/>
      <c r="W219" s="139"/>
      <c r="X219" s="140"/>
      <c r="Y219" s="140"/>
      <c r="Z219" s="140"/>
      <c r="AA219" s="140"/>
      <c r="AB219" s="139"/>
      <c r="AC219" s="140"/>
      <c r="AD219" s="140"/>
      <c r="AE219" s="140"/>
      <c r="AF219" s="140"/>
      <c r="AG219" s="139"/>
      <c r="AH219" s="140"/>
      <c r="AI219" s="140"/>
      <c r="AJ219" s="140"/>
      <c r="AK219" s="140"/>
    </row>
    <row r="220" spans="3:37" ht="12.75" customHeight="1">
      <c r="C220" s="139"/>
      <c r="D220" s="140"/>
      <c r="E220" s="140"/>
      <c r="F220" s="140"/>
      <c r="G220" s="140"/>
      <c r="H220" s="139"/>
      <c r="I220" s="140"/>
      <c r="J220" s="140"/>
      <c r="K220" s="140"/>
      <c r="L220" s="140"/>
      <c r="M220" s="139"/>
      <c r="N220" s="140"/>
      <c r="O220" s="140"/>
      <c r="P220" s="140"/>
      <c r="Q220" s="140"/>
      <c r="R220" s="139"/>
      <c r="S220" s="1227"/>
      <c r="T220" s="140"/>
      <c r="U220" s="140"/>
      <c r="V220" s="140"/>
      <c r="W220" s="139"/>
      <c r="X220" s="140"/>
      <c r="Y220" s="140"/>
      <c r="Z220" s="140"/>
      <c r="AA220" s="140"/>
      <c r="AB220" s="139"/>
      <c r="AC220" s="140"/>
      <c r="AD220" s="140"/>
      <c r="AE220" s="140"/>
      <c r="AF220" s="140"/>
      <c r="AG220" s="139"/>
      <c r="AH220" s="140"/>
      <c r="AI220" s="140"/>
      <c r="AJ220" s="140"/>
      <c r="AK220" s="140"/>
    </row>
    <row r="221" spans="3:37" ht="12.75" customHeight="1">
      <c r="C221" s="139"/>
      <c r="D221" s="140"/>
      <c r="E221" s="140"/>
      <c r="F221" s="140"/>
      <c r="G221" s="140"/>
      <c r="H221" s="139"/>
      <c r="I221" s="140"/>
      <c r="J221" s="140"/>
      <c r="K221" s="140"/>
      <c r="L221" s="140"/>
      <c r="M221" s="139"/>
      <c r="N221" s="140"/>
      <c r="O221" s="140"/>
      <c r="P221" s="140"/>
      <c r="Q221" s="140"/>
      <c r="R221" s="139"/>
      <c r="S221" s="1227"/>
      <c r="T221" s="140"/>
      <c r="U221" s="140"/>
      <c r="V221" s="140"/>
      <c r="W221" s="139"/>
      <c r="X221" s="140"/>
      <c r="Y221" s="140"/>
      <c r="Z221" s="140"/>
      <c r="AA221" s="140"/>
      <c r="AB221" s="139"/>
      <c r="AC221" s="140"/>
      <c r="AD221" s="140"/>
      <c r="AE221" s="140"/>
      <c r="AF221" s="140"/>
      <c r="AG221" s="139"/>
      <c r="AH221" s="140"/>
      <c r="AI221" s="140"/>
      <c r="AJ221" s="140"/>
      <c r="AK221" s="140"/>
    </row>
    <row r="222" spans="3:37" ht="12.75" customHeight="1">
      <c r="C222" s="137"/>
      <c r="D222" s="142"/>
      <c r="E222" s="142"/>
      <c r="F222" s="142"/>
      <c r="G222" s="142"/>
      <c r="H222" s="137"/>
      <c r="I222" s="142"/>
      <c r="J222" s="142"/>
      <c r="K222" s="142"/>
      <c r="L222" s="142"/>
      <c r="M222" s="137"/>
      <c r="N222" s="142"/>
      <c r="O222" s="142"/>
      <c r="P222" s="142"/>
      <c r="Q222" s="142"/>
      <c r="R222" s="137"/>
      <c r="S222" s="1228"/>
      <c r="T222" s="142"/>
      <c r="U222" s="142"/>
      <c r="V222" s="142"/>
      <c r="W222" s="137"/>
      <c r="X222" s="142"/>
      <c r="Y222" s="142"/>
      <c r="Z222" s="142"/>
      <c r="AA222" s="142"/>
      <c r="AB222" s="137"/>
      <c r="AC222" s="142"/>
      <c r="AD222" s="142"/>
      <c r="AE222" s="142"/>
      <c r="AF222" s="142"/>
      <c r="AG222" s="137"/>
      <c r="AH222" s="142"/>
      <c r="AI222" s="142"/>
      <c r="AJ222" s="142"/>
      <c r="AK222" s="142"/>
    </row>
    <row r="223" spans="3:37" ht="12.75" customHeight="1">
      <c r="C223" s="139"/>
      <c r="D223" s="140"/>
      <c r="E223" s="140"/>
      <c r="F223" s="140"/>
      <c r="G223" s="140"/>
      <c r="H223" s="139"/>
      <c r="I223" s="140"/>
      <c r="J223" s="140"/>
      <c r="K223" s="140"/>
      <c r="L223" s="140"/>
      <c r="M223" s="139"/>
      <c r="N223" s="140"/>
      <c r="O223" s="140"/>
      <c r="P223" s="140"/>
      <c r="Q223" s="140"/>
      <c r="R223" s="139"/>
      <c r="S223" s="1227"/>
      <c r="T223" s="140"/>
      <c r="U223" s="140"/>
      <c r="V223" s="140"/>
      <c r="W223" s="139"/>
      <c r="X223" s="140"/>
      <c r="Y223" s="140"/>
      <c r="Z223" s="140"/>
      <c r="AA223" s="140"/>
      <c r="AB223" s="139"/>
      <c r="AC223" s="140"/>
      <c r="AD223" s="140"/>
      <c r="AE223" s="140"/>
      <c r="AF223" s="140"/>
      <c r="AG223" s="139"/>
      <c r="AH223" s="140"/>
      <c r="AI223" s="140"/>
      <c r="AJ223" s="140"/>
      <c r="AK223" s="140"/>
    </row>
    <row r="224" spans="3:37" ht="12.75" customHeight="1">
      <c r="C224" s="139"/>
      <c r="D224" s="140"/>
      <c r="E224" s="140"/>
      <c r="F224" s="140"/>
      <c r="G224" s="140"/>
      <c r="H224" s="139"/>
      <c r="I224" s="140"/>
      <c r="J224" s="140"/>
      <c r="K224" s="140"/>
      <c r="L224" s="140"/>
      <c r="M224" s="139"/>
      <c r="N224" s="140"/>
      <c r="O224" s="140"/>
      <c r="P224" s="140"/>
      <c r="Q224" s="140"/>
      <c r="R224" s="139"/>
      <c r="S224" s="1227"/>
      <c r="T224" s="140"/>
      <c r="U224" s="140"/>
      <c r="V224" s="140"/>
      <c r="W224" s="139"/>
      <c r="X224" s="140"/>
      <c r="Y224" s="140"/>
      <c r="Z224" s="140"/>
      <c r="AA224" s="140"/>
      <c r="AB224" s="139"/>
      <c r="AC224" s="140"/>
      <c r="AD224" s="140"/>
      <c r="AE224" s="140"/>
      <c r="AF224" s="140"/>
      <c r="AG224" s="139"/>
      <c r="AH224" s="140"/>
      <c r="AI224" s="140"/>
      <c r="AJ224" s="140"/>
      <c r="AK224" s="140"/>
    </row>
    <row r="225" spans="3:37" ht="12.75" customHeight="1">
      <c r="C225" s="139"/>
      <c r="D225" s="140"/>
      <c r="E225" s="140"/>
      <c r="F225" s="140"/>
      <c r="G225" s="140"/>
      <c r="H225" s="139"/>
      <c r="I225" s="140"/>
      <c r="J225" s="140"/>
      <c r="K225" s="140"/>
      <c r="L225" s="140"/>
      <c r="M225" s="139"/>
      <c r="N225" s="140"/>
      <c r="O225" s="140"/>
      <c r="P225" s="140"/>
      <c r="Q225" s="140"/>
      <c r="R225" s="139"/>
      <c r="S225" s="1227"/>
      <c r="T225" s="140"/>
      <c r="U225" s="140"/>
      <c r="V225" s="140"/>
      <c r="W225" s="139"/>
      <c r="X225" s="140"/>
      <c r="Y225" s="140"/>
      <c r="Z225" s="140"/>
      <c r="AA225" s="140"/>
      <c r="AB225" s="139"/>
      <c r="AC225" s="140"/>
      <c r="AD225" s="140"/>
      <c r="AE225" s="140"/>
      <c r="AF225" s="140"/>
      <c r="AG225" s="139"/>
      <c r="AH225" s="140"/>
      <c r="AI225" s="140"/>
      <c r="AJ225" s="140"/>
      <c r="AK225" s="140"/>
    </row>
    <row r="226" spans="3:37" ht="12.75" customHeight="1">
      <c r="C226" s="147"/>
      <c r="D226" s="148"/>
      <c r="E226" s="148"/>
      <c r="F226" s="148"/>
      <c r="G226" s="148"/>
      <c r="H226" s="147"/>
      <c r="I226" s="148"/>
      <c r="J226" s="148"/>
      <c r="K226" s="148"/>
      <c r="L226" s="148"/>
      <c r="M226" s="147"/>
      <c r="N226" s="148"/>
      <c r="O226" s="148"/>
      <c r="P226" s="148"/>
      <c r="Q226" s="148"/>
      <c r="R226" s="147"/>
      <c r="S226" s="1230"/>
      <c r="T226" s="148"/>
      <c r="U226" s="148"/>
      <c r="V226" s="148"/>
      <c r="W226" s="147"/>
      <c r="X226" s="148"/>
      <c r="Y226" s="148"/>
      <c r="Z226" s="148"/>
      <c r="AA226" s="148"/>
      <c r="AB226" s="147"/>
      <c r="AC226" s="148"/>
      <c r="AD226" s="148"/>
      <c r="AE226" s="148"/>
      <c r="AF226" s="148"/>
      <c r="AG226" s="147"/>
      <c r="AH226" s="148"/>
      <c r="AI226" s="148"/>
      <c r="AJ226" s="148"/>
      <c r="AK226" s="148"/>
    </row>
    <row r="227" spans="3:37" ht="12.75" customHeight="1">
      <c r="C227" s="139"/>
      <c r="D227" s="140"/>
      <c r="E227" s="140"/>
      <c r="F227" s="140"/>
      <c r="G227" s="140"/>
      <c r="H227" s="139"/>
      <c r="I227" s="140"/>
      <c r="J227" s="140"/>
      <c r="K227" s="140"/>
      <c r="L227" s="140"/>
      <c r="M227" s="139"/>
      <c r="N227" s="140"/>
      <c r="O227" s="140"/>
      <c r="P227" s="140"/>
      <c r="Q227" s="140"/>
      <c r="R227" s="139"/>
      <c r="S227" s="1227"/>
      <c r="T227" s="140"/>
      <c r="U227" s="140"/>
      <c r="V227" s="140"/>
      <c r="W227" s="139"/>
      <c r="X227" s="140"/>
      <c r="Y227" s="140"/>
      <c r="Z227" s="140"/>
      <c r="AA227" s="140"/>
      <c r="AB227" s="139"/>
      <c r="AC227" s="140"/>
      <c r="AD227" s="140"/>
      <c r="AE227" s="140"/>
      <c r="AF227" s="140"/>
      <c r="AG227" s="139"/>
      <c r="AH227" s="140"/>
      <c r="AI227" s="140"/>
      <c r="AJ227" s="140"/>
      <c r="AK227" s="140"/>
    </row>
    <row r="228" spans="3:37" ht="12.75" customHeight="1">
      <c r="C228" s="139"/>
      <c r="D228" s="140"/>
      <c r="E228" s="140"/>
      <c r="F228" s="140"/>
      <c r="G228" s="140"/>
      <c r="H228" s="139"/>
      <c r="I228" s="140"/>
      <c r="J228" s="140"/>
      <c r="K228" s="140"/>
      <c r="L228" s="140"/>
      <c r="M228" s="139"/>
      <c r="N228" s="140"/>
      <c r="O228" s="140"/>
      <c r="P228" s="140"/>
      <c r="Q228" s="140"/>
      <c r="R228" s="139"/>
      <c r="S228" s="1227"/>
      <c r="T228" s="140"/>
      <c r="U228" s="140"/>
      <c r="V228" s="140"/>
      <c r="W228" s="139"/>
      <c r="X228" s="140"/>
      <c r="Y228" s="140"/>
      <c r="Z228" s="140"/>
      <c r="AA228" s="140"/>
      <c r="AB228" s="139"/>
      <c r="AC228" s="140"/>
      <c r="AD228" s="140"/>
      <c r="AE228" s="140"/>
      <c r="AF228" s="140"/>
      <c r="AG228" s="139"/>
      <c r="AH228" s="140"/>
      <c r="AI228" s="140"/>
      <c r="AJ228" s="140"/>
      <c r="AK228" s="140"/>
    </row>
    <row r="229" spans="3:37" ht="12.75" customHeight="1">
      <c r="C229" s="149"/>
      <c r="D229" s="150"/>
      <c r="E229" s="150"/>
      <c r="F229" s="150"/>
      <c r="G229" s="150"/>
      <c r="H229" s="149"/>
      <c r="I229" s="150"/>
      <c r="J229" s="150"/>
      <c r="K229" s="150"/>
      <c r="L229" s="150"/>
      <c r="M229" s="149"/>
      <c r="N229" s="150"/>
      <c r="O229" s="150"/>
      <c r="P229" s="150"/>
      <c r="Q229" s="150"/>
      <c r="R229" s="149"/>
      <c r="S229" s="1231"/>
      <c r="T229" s="150"/>
      <c r="U229" s="150"/>
      <c r="V229" s="150"/>
      <c r="W229" s="149"/>
      <c r="X229" s="150"/>
      <c r="Y229" s="150"/>
      <c r="Z229" s="150"/>
      <c r="AA229" s="150"/>
      <c r="AB229" s="149"/>
      <c r="AC229" s="150"/>
      <c r="AD229" s="150"/>
      <c r="AE229" s="150"/>
      <c r="AF229" s="150"/>
      <c r="AG229" s="149"/>
      <c r="AH229" s="150"/>
      <c r="AI229" s="150"/>
      <c r="AJ229" s="150"/>
      <c r="AK229" s="150"/>
    </row>
    <row r="231" spans="3:37" ht="12.75" customHeight="1">
      <c r="C231" s="151"/>
      <c r="D231" s="152"/>
      <c r="E231" s="152"/>
      <c r="F231" s="152"/>
      <c r="G231" s="152"/>
      <c r="H231" s="151"/>
      <c r="I231" s="152"/>
      <c r="J231" s="152"/>
      <c r="K231" s="152"/>
      <c r="L231" s="152"/>
      <c r="M231" s="151"/>
      <c r="N231" s="152"/>
      <c r="O231" s="152"/>
      <c r="P231" s="152"/>
      <c r="Q231" s="152"/>
      <c r="R231" s="151"/>
      <c r="S231" s="1232"/>
      <c r="T231" s="152"/>
      <c r="U231" s="152"/>
      <c r="V231" s="152"/>
      <c r="W231" s="151"/>
      <c r="X231" s="152"/>
      <c r="Y231" s="152"/>
      <c r="Z231" s="152"/>
      <c r="AA231" s="152"/>
      <c r="AB231" s="151"/>
      <c r="AC231" s="152"/>
      <c r="AD231" s="152"/>
      <c r="AE231" s="152"/>
      <c r="AF231" s="152"/>
      <c r="AG231" s="151"/>
      <c r="AH231" s="152"/>
      <c r="AI231" s="152"/>
      <c r="AJ231" s="152"/>
      <c r="AK231" s="152"/>
    </row>
    <row r="232" spans="3:37" ht="12.75" customHeight="1">
      <c r="C232" s="153"/>
      <c r="D232" s="154"/>
      <c r="E232" s="154"/>
      <c r="F232" s="154"/>
      <c r="G232" s="154"/>
      <c r="H232" s="153"/>
      <c r="I232" s="154"/>
      <c r="J232" s="154"/>
      <c r="K232" s="154"/>
      <c r="L232" s="154"/>
      <c r="M232" s="153"/>
      <c r="N232" s="154"/>
      <c r="O232" s="154"/>
      <c r="P232" s="154"/>
      <c r="Q232" s="154"/>
      <c r="R232" s="153"/>
      <c r="S232" s="1233"/>
      <c r="T232" s="154"/>
      <c r="U232" s="154"/>
      <c r="V232" s="154"/>
      <c r="W232" s="153"/>
      <c r="X232" s="154"/>
      <c r="Y232" s="154"/>
      <c r="Z232" s="154"/>
      <c r="AA232" s="154"/>
      <c r="AB232" s="153"/>
      <c r="AC232" s="154"/>
      <c r="AD232" s="154"/>
      <c r="AE232" s="154"/>
      <c r="AF232" s="154"/>
      <c r="AG232" s="153"/>
      <c r="AH232" s="154"/>
      <c r="AI232" s="154"/>
      <c r="AJ232" s="154"/>
      <c r="AK232" s="154"/>
    </row>
    <row r="233" spans="3:37" ht="12.75" customHeight="1">
      <c r="C233" s="155"/>
      <c r="D233" s="156"/>
      <c r="E233" s="156"/>
      <c r="F233" s="156"/>
      <c r="G233" s="156"/>
      <c r="H233" s="155"/>
      <c r="I233" s="156"/>
      <c r="J233" s="156"/>
      <c r="K233" s="156"/>
      <c r="L233" s="156"/>
      <c r="M233" s="155"/>
      <c r="N233" s="156"/>
      <c r="O233" s="156"/>
      <c r="P233" s="156"/>
      <c r="Q233" s="156"/>
      <c r="R233" s="155"/>
      <c r="S233" s="1234"/>
      <c r="T233" s="156"/>
      <c r="U233" s="156"/>
      <c r="V233" s="156"/>
      <c r="W233" s="155"/>
      <c r="X233" s="156"/>
      <c r="Y233" s="156"/>
      <c r="Z233" s="156"/>
      <c r="AA233" s="156"/>
      <c r="AB233" s="155"/>
      <c r="AC233" s="156"/>
      <c r="AD233" s="156"/>
      <c r="AE233" s="156"/>
      <c r="AF233" s="156"/>
      <c r="AG233" s="155"/>
      <c r="AH233" s="156"/>
      <c r="AI233" s="156"/>
      <c r="AJ233" s="156"/>
      <c r="AK233" s="156"/>
    </row>
    <row r="234" spans="3:37" ht="12.75" customHeight="1">
      <c r="C234" s="157"/>
      <c r="D234" s="157"/>
      <c r="E234" s="157"/>
      <c r="F234" s="157"/>
      <c r="G234" s="157"/>
      <c r="H234" s="157"/>
      <c r="I234" s="157"/>
      <c r="J234" s="157"/>
      <c r="K234" s="157"/>
      <c r="L234" s="157"/>
      <c r="M234" s="157"/>
      <c r="N234" s="157"/>
      <c r="O234" s="157"/>
      <c r="P234" s="157"/>
      <c r="Q234" s="157"/>
      <c r="R234" s="157"/>
      <c r="S234" s="1235"/>
      <c r="T234" s="157"/>
      <c r="U234" s="157"/>
      <c r="V234" s="157"/>
      <c r="W234" s="157"/>
      <c r="X234" s="157"/>
      <c r="Y234" s="157"/>
      <c r="Z234" s="157"/>
      <c r="AA234" s="157"/>
      <c r="AB234" s="157"/>
      <c r="AC234" s="157"/>
      <c r="AD234" s="157"/>
      <c r="AE234" s="157"/>
      <c r="AF234" s="157"/>
      <c r="AG234" s="157"/>
      <c r="AH234" s="157"/>
      <c r="AI234" s="157"/>
      <c r="AJ234" s="157"/>
      <c r="AK234" s="157"/>
    </row>
    <row r="235" spans="3:37" ht="12.75" customHeight="1">
      <c r="D235" s="158"/>
      <c r="E235" s="158"/>
      <c r="F235" s="158"/>
      <c r="G235" s="158"/>
      <c r="I235" s="158"/>
      <c r="J235" s="158"/>
      <c r="K235" s="158"/>
      <c r="L235" s="158"/>
      <c r="N235" s="158"/>
      <c r="O235" s="158"/>
      <c r="P235" s="158"/>
      <c r="Q235" s="158"/>
      <c r="S235" s="1236"/>
      <c r="T235" s="158"/>
      <c r="U235" s="158"/>
      <c r="V235" s="158"/>
      <c r="X235" s="158"/>
      <c r="Y235" s="158"/>
      <c r="Z235" s="158"/>
      <c r="AA235" s="158"/>
      <c r="AC235" s="158"/>
      <c r="AD235" s="158"/>
      <c r="AE235" s="158"/>
      <c r="AF235" s="158"/>
      <c r="AH235" s="158"/>
      <c r="AI235" s="158"/>
      <c r="AJ235" s="158"/>
      <c r="AK235" s="158"/>
    </row>
    <row r="236" spans="3:37" ht="12.75" customHeight="1">
      <c r="C236" s="144"/>
      <c r="D236" s="139"/>
      <c r="E236" s="139"/>
      <c r="F236" s="139"/>
      <c r="G236" s="139"/>
      <c r="H236" s="144"/>
      <c r="I236" s="139"/>
      <c r="J236" s="139"/>
      <c r="K236" s="139"/>
      <c r="L236" s="139"/>
      <c r="M236" s="144"/>
      <c r="N236" s="139"/>
      <c r="O236" s="139"/>
      <c r="P236" s="139"/>
      <c r="Q236" s="139"/>
      <c r="R236" s="144"/>
      <c r="S236" s="1237"/>
      <c r="T236" s="139"/>
      <c r="U236" s="139"/>
      <c r="V236" s="139"/>
      <c r="W236" s="144"/>
      <c r="X236" s="139"/>
      <c r="Y236" s="139"/>
      <c r="Z236" s="139"/>
      <c r="AA236" s="139"/>
      <c r="AB236" s="144"/>
      <c r="AC236" s="139"/>
      <c r="AD236" s="139"/>
      <c r="AE236" s="139"/>
      <c r="AF236" s="139"/>
      <c r="AG236" s="144"/>
      <c r="AH236" s="139"/>
      <c r="AI236" s="139"/>
      <c r="AJ236" s="139"/>
      <c r="AK236" s="139"/>
    </row>
    <row r="237" spans="3:37" ht="12.75" customHeight="1">
      <c r="C237" s="144"/>
      <c r="D237" s="139"/>
      <c r="E237" s="139"/>
      <c r="F237" s="139"/>
      <c r="G237" s="139"/>
      <c r="H237" s="144"/>
      <c r="I237" s="139"/>
      <c r="J237" s="139"/>
      <c r="K237" s="139"/>
      <c r="L237" s="139"/>
      <c r="M237" s="144"/>
      <c r="N237" s="139"/>
      <c r="O237" s="139"/>
      <c r="P237" s="139"/>
      <c r="Q237" s="139"/>
      <c r="R237" s="144"/>
      <c r="S237" s="1237"/>
      <c r="T237" s="139"/>
      <c r="U237" s="139"/>
      <c r="V237" s="139"/>
      <c r="W237" s="144"/>
      <c r="X237" s="139"/>
      <c r="Y237" s="139"/>
      <c r="Z237" s="139"/>
      <c r="AA237" s="139"/>
      <c r="AB237" s="144"/>
      <c r="AC237" s="139"/>
      <c r="AD237" s="139"/>
      <c r="AE237" s="139"/>
      <c r="AF237" s="139"/>
      <c r="AG237" s="144"/>
      <c r="AH237" s="139"/>
      <c r="AI237" s="139"/>
      <c r="AJ237" s="139"/>
      <c r="AK237" s="139"/>
    </row>
    <row r="238" spans="3:37" ht="12.75" customHeight="1">
      <c r="C238" s="144"/>
      <c r="D238" s="139"/>
      <c r="E238" s="139"/>
      <c r="F238" s="139"/>
      <c r="G238" s="139"/>
      <c r="H238" s="144"/>
      <c r="I238" s="139"/>
      <c r="J238" s="139"/>
      <c r="K238" s="139"/>
      <c r="L238" s="139"/>
      <c r="M238" s="144"/>
      <c r="N238" s="139"/>
      <c r="O238" s="139"/>
      <c r="P238" s="139"/>
      <c r="Q238" s="139"/>
      <c r="R238" s="144"/>
      <c r="S238" s="1237"/>
      <c r="T238" s="139"/>
      <c r="U238" s="139"/>
      <c r="V238" s="139"/>
      <c r="W238" s="144"/>
      <c r="X238" s="139"/>
      <c r="Y238" s="139"/>
      <c r="Z238" s="139"/>
      <c r="AA238" s="139"/>
      <c r="AB238" s="144"/>
      <c r="AC238" s="139"/>
      <c r="AD238" s="139"/>
      <c r="AE238" s="139"/>
      <c r="AF238" s="139"/>
      <c r="AG238" s="144"/>
      <c r="AH238" s="139"/>
      <c r="AI238" s="139"/>
      <c r="AJ238" s="139"/>
      <c r="AK238" s="139"/>
    </row>
    <row r="239" spans="3:37" ht="12.75" customHeight="1">
      <c r="C239" s="144"/>
      <c r="D239" s="139"/>
      <c r="E239" s="139"/>
      <c r="F239" s="139"/>
      <c r="G239" s="139"/>
      <c r="H239" s="144"/>
      <c r="I239" s="139"/>
      <c r="J239" s="139"/>
      <c r="K239" s="139"/>
      <c r="L239" s="139"/>
      <c r="M239" s="144"/>
      <c r="N239" s="139"/>
      <c r="O239" s="139"/>
      <c r="P239" s="139"/>
      <c r="Q239" s="139"/>
      <c r="R239" s="144"/>
      <c r="S239" s="1237"/>
      <c r="T239" s="139"/>
      <c r="U239" s="139"/>
      <c r="V239" s="139"/>
      <c r="W239" s="144"/>
      <c r="X239" s="139"/>
      <c r="Y239" s="139"/>
      <c r="Z239" s="139"/>
      <c r="AA239" s="139"/>
      <c r="AB239" s="144"/>
      <c r="AC239" s="139"/>
      <c r="AD239" s="139"/>
      <c r="AE239" s="139"/>
      <c r="AF239" s="139"/>
      <c r="AG239" s="144"/>
      <c r="AH239" s="139"/>
      <c r="AI239" s="139"/>
      <c r="AJ239" s="139"/>
      <c r="AK239" s="139"/>
    </row>
    <row r="240" spans="3:37" ht="12.75" customHeight="1">
      <c r="C240" s="144"/>
      <c r="D240" s="139"/>
      <c r="E240" s="139"/>
      <c r="F240" s="139"/>
      <c r="G240" s="139"/>
      <c r="H240" s="144"/>
      <c r="I240" s="139"/>
      <c r="J240" s="139"/>
      <c r="K240" s="139"/>
      <c r="L240" s="139"/>
      <c r="M240" s="144"/>
      <c r="N240" s="139"/>
      <c r="O240" s="139"/>
      <c r="P240" s="139"/>
      <c r="Q240" s="139"/>
      <c r="R240" s="144"/>
      <c r="S240" s="1237"/>
      <c r="T240" s="139"/>
      <c r="U240" s="139"/>
      <c r="V240" s="139"/>
      <c r="W240" s="144"/>
      <c r="X240" s="139"/>
      <c r="Y240" s="139"/>
      <c r="Z240" s="139"/>
      <c r="AA240" s="139"/>
      <c r="AB240" s="144"/>
      <c r="AC240" s="139"/>
      <c r="AD240" s="139"/>
      <c r="AE240" s="139"/>
      <c r="AF240" s="139"/>
      <c r="AG240" s="144"/>
      <c r="AH240" s="139"/>
      <c r="AI240" s="139"/>
      <c r="AJ240" s="139"/>
      <c r="AK240" s="139"/>
    </row>
    <row r="242" spans="3:37" ht="12.75" customHeight="1">
      <c r="C242" s="159"/>
      <c r="D242" s="159"/>
      <c r="E242" s="159"/>
      <c r="F242" s="159"/>
      <c r="G242" s="159"/>
      <c r="H242" s="159"/>
      <c r="I242" s="159"/>
      <c r="J242" s="159"/>
      <c r="K242" s="159"/>
      <c r="L242" s="159"/>
      <c r="M242" s="159"/>
      <c r="N242" s="159"/>
      <c r="O242" s="159"/>
      <c r="P242" s="159"/>
      <c r="Q242" s="159"/>
      <c r="R242" s="159"/>
      <c r="S242" s="1238"/>
      <c r="T242" s="159"/>
      <c r="U242" s="159"/>
      <c r="V242" s="159"/>
      <c r="W242" s="159"/>
      <c r="X242" s="159"/>
      <c r="Y242" s="159"/>
      <c r="Z242" s="159"/>
      <c r="AA242" s="159"/>
      <c r="AB242" s="159"/>
      <c r="AC242" s="159"/>
      <c r="AD242" s="159"/>
      <c r="AE242" s="159"/>
      <c r="AF242" s="159"/>
      <c r="AG242" s="159"/>
      <c r="AH242" s="159"/>
      <c r="AI242" s="159"/>
      <c r="AJ242" s="159"/>
      <c r="AK242" s="159"/>
    </row>
    <row r="243" spans="3:37" ht="12.75" customHeight="1">
      <c r="C243" s="155"/>
      <c r="D243" s="155"/>
      <c r="E243" s="155"/>
      <c r="F243" s="155"/>
      <c r="G243" s="155"/>
      <c r="H243" s="155"/>
      <c r="I243" s="155"/>
      <c r="J243" s="155"/>
      <c r="K243" s="155"/>
      <c r="L243" s="155"/>
      <c r="M243" s="155"/>
      <c r="N243" s="155"/>
      <c r="O243" s="155"/>
      <c r="P243" s="155"/>
      <c r="Q243" s="155"/>
      <c r="R243" s="155"/>
      <c r="S243" s="1239"/>
      <c r="T243" s="155"/>
      <c r="U243" s="155"/>
      <c r="V243" s="155"/>
      <c r="W243" s="155"/>
      <c r="X243" s="155"/>
      <c r="Y243" s="155"/>
      <c r="Z243" s="155"/>
      <c r="AA243" s="155"/>
      <c r="AB243" s="155"/>
      <c r="AC243" s="155"/>
      <c r="AD243" s="155"/>
      <c r="AE243" s="155"/>
      <c r="AF243" s="155"/>
      <c r="AG243" s="155"/>
      <c r="AH243" s="155"/>
      <c r="AI243" s="155"/>
      <c r="AJ243" s="155"/>
      <c r="AK243" s="155"/>
    </row>
    <row r="244" spans="3:37" ht="12.75" customHeight="1">
      <c r="C244" s="155"/>
      <c r="D244" s="155"/>
      <c r="E244" s="155"/>
      <c r="F244" s="155"/>
      <c r="G244" s="155"/>
      <c r="H244" s="155"/>
      <c r="I244" s="155"/>
      <c r="J244" s="155"/>
      <c r="K244" s="155"/>
      <c r="L244" s="155"/>
      <c r="M244" s="155"/>
      <c r="N244" s="155"/>
      <c r="O244" s="155"/>
      <c r="P244" s="155"/>
      <c r="Q244" s="155"/>
      <c r="R244" s="155"/>
      <c r="S244" s="1239"/>
      <c r="T244" s="155"/>
      <c r="U244" s="155"/>
      <c r="V244" s="155"/>
      <c r="W244" s="155"/>
      <c r="X244" s="155"/>
      <c r="Y244" s="155"/>
      <c r="Z244" s="155"/>
      <c r="AA244" s="155"/>
      <c r="AB244" s="155"/>
      <c r="AC244" s="155"/>
      <c r="AD244" s="155"/>
      <c r="AE244" s="155"/>
      <c r="AF244" s="155"/>
      <c r="AG244" s="155"/>
      <c r="AH244" s="155"/>
      <c r="AI244" s="155"/>
      <c r="AJ244" s="155"/>
      <c r="AK244" s="155"/>
    </row>
    <row r="246" spans="3:37" ht="12.75" customHeight="1">
      <c r="C246" s="160"/>
      <c r="D246" s="161"/>
      <c r="E246" s="161"/>
      <c r="F246" s="161"/>
      <c r="G246" s="161"/>
      <c r="H246" s="160"/>
      <c r="I246" s="161"/>
      <c r="J246" s="161"/>
      <c r="K246" s="161"/>
      <c r="L246" s="161"/>
      <c r="M246" s="160"/>
      <c r="N246" s="161"/>
      <c r="O246" s="161"/>
      <c r="P246" s="161"/>
      <c r="Q246" s="161"/>
      <c r="R246" s="160"/>
      <c r="S246" s="1240"/>
      <c r="T246" s="161"/>
      <c r="U246" s="161"/>
      <c r="V246" s="161"/>
      <c r="W246" s="160"/>
      <c r="X246" s="161"/>
      <c r="Y246" s="161"/>
      <c r="Z246" s="161"/>
      <c r="AA246" s="161"/>
      <c r="AB246" s="160"/>
      <c r="AC246" s="161"/>
      <c r="AD246" s="161"/>
      <c r="AE246" s="161"/>
      <c r="AF246" s="161"/>
      <c r="AG246" s="160"/>
      <c r="AH246" s="161"/>
      <c r="AI246" s="161"/>
      <c r="AJ246" s="161"/>
      <c r="AK246" s="161"/>
    </row>
    <row r="247" spans="3:37" ht="12.75" customHeight="1">
      <c r="C247" s="162"/>
      <c r="D247" s="163"/>
      <c r="E247" s="163"/>
      <c r="F247" s="163"/>
      <c r="G247" s="163"/>
      <c r="H247" s="162"/>
      <c r="I247" s="163"/>
      <c r="J247" s="163"/>
      <c r="K247" s="163"/>
      <c r="L247" s="163"/>
      <c r="M247" s="162"/>
      <c r="N247" s="163"/>
      <c r="O247" s="163"/>
      <c r="P247" s="163"/>
      <c r="Q247" s="163"/>
      <c r="R247" s="162"/>
      <c r="S247" s="1241"/>
      <c r="T247" s="163"/>
      <c r="U247" s="163"/>
      <c r="V247" s="163"/>
      <c r="W247" s="162"/>
      <c r="X247" s="163"/>
      <c r="Y247" s="163"/>
      <c r="Z247" s="163"/>
      <c r="AA247" s="163"/>
      <c r="AB247" s="162"/>
      <c r="AC247" s="163"/>
      <c r="AD247" s="163"/>
      <c r="AE247" s="163"/>
      <c r="AF247" s="163"/>
      <c r="AG247" s="162"/>
      <c r="AH247" s="163"/>
      <c r="AI247" s="163"/>
      <c r="AJ247" s="163"/>
      <c r="AK247" s="163"/>
    </row>
    <row r="248" spans="3:37" ht="12.75" customHeight="1">
      <c r="C248" s="127"/>
      <c r="D248" s="100"/>
      <c r="E248" s="100"/>
      <c r="F248" s="100"/>
      <c r="G248" s="100"/>
      <c r="H248" s="127"/>
      <c r="I248" s="100"/>
      <c r="J248" s="100"/>
      <c r="K248" s="100"/>
      <c r="L248" s="100"/>
      <c r="M248" s="127"/>
      <c r="N248" s="100"/>
      <c r="O248" s="100"/>
      <c r="P248" s="100"/>
      <c r="Q248" s="100"/>
      <c r="R248" s="127"/>
      <c r="S248" s="1219"/>
      <c r="T248" s="100"/>
      <c r="U248" s="100"/>
      <c r="V248" s="100"/>
      <c r="W248" s="127"/>
      <c r="X248" s="100"/>
      <c r="Y248" s="100"/>
      <c r="Z248" s="100"/>
      <c r="AA248" s="100"/>
      <c r="AB248" s="127"/>
      <c r="AC248" s="100"/>
      <c r="AD248" s="100"/>
      <c r="AE248" s="100"/>
      <c r="AF248" s="100"/>
      <c r="AG248" s="127"/>
      <c r="AH248" s="100"/>
      <c r="AI248" s="100"/>
      <c r="AJ248" s="100"/>
      <c r="AK248" s="100"/>
    </row>
    <row r="249" spans="3:37" ht="12.75" customHeight="1">
      <c r="C249" s="127"/>
      <c r="D249" s="100"/>
      <c r="E249" s="100"/>
      <c r="F249" s="100"/>
      <c r="G249" s="100"/>
      <c r="H249" s="127"/>
      <c r="I249" s="100"/>
      <c r="J249" s="100"/>
      <c r="K249" s="100"/>
      <c r="L249" s="100"/>
      <c r="M249" s="127"/>
      <c r="N249" s="100"/>
      <c r="O249" s="100"/>
      <c r="P249" s="100"/>
      <c r="Q249" s="100"/>
      <c r="R249" s="127"/>
      <c r="S249" s="1219"/>
      <c r="T249" s="100"/>
      <c r="U249" s="100"/>
      <c r="V249" s="100"/>
      <c r="W249" s="127"/>
      <c r="X249" s="100"/>
      <c r="Y249" s="100"/>
      <c r="Z249" s="100"/>
      <c r="AA249" s="100"/>
      <c r="AB249" s="127"/>
      <c r="AC249" s="100"/>
      <c r="AD249" s="100"/>
      <c r="AE249" s="100"/>
      <c r="AF249" s="100"/>
      <c r="AG249" s="127"/>
      <c r="AH249" s="100"/>
      <c r="AI249" s="100"/>
      <c r="AJ249" s="100"/>
      <c r="AK249" s="100"/>
    </row>
    <row r="250" spans="3:37" ht="12.75" customHeight="1">
      <c r="C250" s="127"/>
      <c r="D250" s="100"/>
      <c r="E250" s="100"/>
      <c r="F250" s="100"/>
      <c r="G250" s="100"/>
      <c r="H250" s="127"/>
      <c r="I250" s="100"/>
      <c r="J250" s="100"/>
      <c r="K250" s="100"/>
      <c r="L250" s="100"/>
      <c r="M250" s="127"/>
      <c r="N250" s="100"/>
      <c r="O250" s="100"/>
      <c r="P250" s="100"/>
      <c r="Q250" s="100"/>
      <c r="R250" s="127"/>
      <c r="S250" s="1219"/>
      <c r="T250" s="100"/>
      <c r="U250" s="100"/>
      <c r="V250" s="100"/>
      <c r="W250" s="127"/>
      <c r="X250" s="100"/>
      <c r="Y250" s="100"/>
      <c r="Z250" s="100"/>
      <c r="AA250" s="100"/>
      <c r="AB250" s="127"/>
      <c r="AC250" s="100"/>
      <c r="AD250" s="100"/>
      <c r="AE250" s="100"/>
      <c r="AF250" s="100"/>
      <c r="AG250" s="127"/>
      <c r="AH250" s="100"/>
      <c r="AI250" s="100"/>
      <c r="AJ250" s="100"/>
      <c r="AK250" s="100"/>
    </row>
    <row r="251" spans="3:37" ht="12.75" customHeight="1">
      <c r="C251" s="162"/>
      <c r="D251" s="163"/>
      <c r="E251" s="163"/>
      <c r="F251" s="163"/>
      <c r="G251" s="163"/>
      <c r="H251" s="162"/>
      <c r="I251" s="163"/>
      <c r="J251" s="163"/>
      <c r="K251" s="163"/>
      <c r="L251" s="163"/>
      <c r="M251" s="162"/>
      <c r="N251" s="163"/>
      <c r="O251" s="163"/>
      <c r="P251" s="163"/>
      <c r="Q251" s="163"/>
      <c r="R251" s="162"/>
      <c r="S251" s="1241"/>
      <c r="T251" s="163"/>
      <c r="U251" s="163"/>
      <c r="V251" s="163"/>
      <c r="W251" s="162"/>
      <c r="X251" s="163"/>
      <c r="Y251" s="163"/>
      <c r="Z251" s="163"/>
      <c r="AA251" s="163"/>
      <c r="AB251" s="162"/>
      <c r="AC251" s="163"/>
      <c r="AD251" s="163"/>
      <c r="AE251" s="163"/>
      <c r="AF251" s="163"/>
      <c r="AG251" s="162"/>
      <c r="AH251" s="163"/>
      <c r="AI251" s="163"/>
      <c r="AJ251" s="163"/>
      <c r="AK251" s="163"/>
    </row>
    <row r="252" spans="3:37" ht="12.75" customHeight="1">
      <c r="C252" s="101"/>
      <c r="D252" s="102"/>
      <c r="E252" s="102"/>
      <c r="F252" s="102"/>
      <c r="G252" s="102"/>
      <c r="H252" s="101"/>
      <c r="I252" s="102"/>
      <c r="J252" s="102"/>
      <c r="K252" s="102"/>
      <c r="L252" s="102"/>
      <c r="M252" s="101"/>
      <c r="N252" s="102"/>
      <c r="O252" s="102"/>
      <c r="P252" s="102"/>
      <c r="Q252" s="102"/>
      <c r="R252" s="101"/>
      <c r="S252" s="291"/>
      <c r="T252" s="102"/>
      <c r="U252" s="102"/>
      <c r="V252" s="102"/>
      <c r="W252" s="101"/>
      <c r="X252" s="102"/>
      <c r="Y252" s="102"/>
      <c r="Z252" s="102"/>
      <c r="AA252" s="102"/>
      <c r="AB252" s="101"/>
      <c r="AC252" s="102"/>
      <c r="AD252" s="102"/>
      <c r="AE252" s="102"/>
      <c r="AF252" s="102"/>
      <c r="AG252" s="101"/>
      <c r="AH252" s="102"/>
      <c r="AI252" s="102"/>
      <c r="AJ252" s="102"/>
      <c r="AK252" s="102"/>
    </row>
    <row r="253" spans="3:37" ht="12.75" customHeight="1">
      <c r="C253" s="101"/>
      <c r="D253" s="102"/>
      <c r="E253" s="102"/>
      <c r="F253" s="102"/>
      <c r="G253" s="102"/>
      <c r="H253" s="101"/>
      <c r="I253" s="102"/>
      <c r="J253" s="102"/>
      <c r="K253" s="102"/>
      <c r="L253" s="102"/>
      <c r="M253" s="101"/>
      <c r="N253" s="102"/>
      <c r="O253" s="102"/>
      <c r="P253" s="102"/>
      <c r="Q253" s="102"/>
      <c r="R253" s="101"/>
      <c r="S253" s="291"/>
      <c r="T253" s="102"/>
      <c r="U253" s="102"/>
      <c r="V253" s="102"/>
      <c r="W253" s="101"/>
      <c r="X253" s="102"/>
      <c r="Y253" s="102"/>
      <c r="Z253" s="102"/>
      <c r="AA253" s="102"/>
      <c r="AB253" s="101"/>
      <c r="AC253" s="102"/>
      <c r="AD253" s="102"/>
      <c r="AE253" s="102"/>
      <c r="AF253" s="102"/>
      <c r="AG253" s="101"/>
      <c r="AH253" s="102"/>
      <c r="AI253" s="102"/>
      <c r="AJ253" s="102"/>
      <c r="AK253" s="102"/>
    </row>
    <row r="254" spans="3:37" ht="12.75" customHeight="1">
      <c r="C254" s="101"/>
      <c r="D254" s="102"/>
      <c r="E254" s="102"/>
      <c r="F254" s="102"/>
      <c r="G254" s="102"/>
      <c r="H254" s="101"/>
      <c r="I254" s="102"/>
      <c r="J254" s="102"/>
      <c r="K254" s="102"/>
      <c r="L254" s="102"/>
      <c r="M254" s="101"/>
      <c r="N254" s="102"/>
      <c r="O254" s="102"/>
      <c r="P254" s="102"/>
      <c r="Q254" s="102"/>
      <c r="R254" s="101"/>
      <c r="S254" s="291"/>
      <c r="T254" s="102"/>
      <c r="U254" s="102"/>
      <c r="V254" s="102"/>
      <c r="W254" s="101"/>
      <c r="X254" s="102"/>
      <c r="Y254" s="102"/>
      <c r="Z254" s="102"/>
      <c r="AA254" s="102"/>
      <c r="AB254" s="101"/>
      <c r="AC254" s="102"/>
      <c r="AD254" s="102"/>
      <c r="AE254" s="102"/>
      <c r="AF254" s="102"/>
      <c r="AG254" s="101"/>
      <c r="AH254" s="102"/>
      <c r="AI254" s="102"/>
      <c r="AJ254" s="102"/>
      <c r="AK254" s="102"/>
    </row>
    <row r="255" spans="3:37" ht="12.75" customHeight="1">
      <c r="C255" s="164"/>
      <c r="D255" s="165"/>
      <c r="E255" s="165"/>
      <c r="F255" s="165"/>
      <c r="G255" s="165"/>
      <c r="H255" s="164"/>
      <c r="I255" s="165"/>
      <c r="J255" s="165"/>
      <c r="K255" s="165"/>
      <c r="L255" s="165"/>
      <c r="M255" s="164"/>
      <c r="N255" s="165"/>
      <c r="O255" s="165"/>
      <c r="P255" s="165"/>
      <c r="Q255" s="165"/>
      <c r="R255" s="164"/>
      <c r="S255" s="1242"/>
      <c r="T255" s="165"/>
      <c r="U255" s="165"/>
      <c r="V255" s="165"/>
      <c r="W255" s="164"/>
      <c r="X255" s="165"/>
      <c r="Y255" s="165"/>
      <c r="Z255" s="165"/>
      <c r="AA255" s="165"/>
      <c r="AB255" s="164"/>
      <c r="AC255" s="165"/>
      <c r="AD255" s="165"/>
      <c r="AE255" s="165"/>
      <c r="AF255" s="165"/>
      <c r="AG255" s="164"/>
      <c r="AH255" s="165"/>
      <c r="AI255" s="165"/>
      <c r="AJ255" s="165"/>
      <c r="AK255" s="165"/>
    </row>
    <row r="256" spans="3:37" ht="12.75" customHeight="1">
      <c r="C256" s="101"/>
      <c r="D256" s="102"/>
      <c r="E256" s="102"/>
      <c r="F256" s="102"/>
      <c r="G256" s="102"/>
      <c r="H256" s="101"/>
      <c r="I256" s="102"/>
      <c r="J256" s="102"/>
      <c r="K256" s="102"/>
      <c r="L256" s="102"/>
      <c r="M256" s="101"/>
      <c r="N256" s="102"/>
      <c r="O256" s="102"/>
      <c r="P256" s="102"/>
      <c r="Q256" s="102"/>
      <c r="R256" s="101"/>
      <c r="S256" s="291"/>
      <c r="T256" s="102"/>
      <c r="U256" s="102"/>
      <c r="V256" s="102"/>
      <c r="W256" s="101"/>
      <c r="X256" s="102"/>
      <c r="Y256" s="102"/>
      <c r="Z256" s="102"/>
      <c r="AA256" s="102"/>
      <c r="AB256" s="101"/>
      <c r="AC256" s="102"/>
      <c r="AD256" s="102"/>
      <c r="AE256" s="102"/>
      <c r="AF256" s="102"/>
      <c r="AG256" s="101"/>
      <c r="AH256" s="102"/>
      <c r="AI256" s="102"/>
      <c r="AJ256" s="102"/>
      <c r="AK256" s="102"/>
    </row>
    <row r="257" spans="3:37" ht="12.75" customHeight="1">
      <c r="C257" s="162"/>
      <c r="D257" s="102"/>
      <c r="E257" s="102"/>
      <c r="F257" s="102"/>
      <c r="G257" s="102"/>
      <c r="H257" s="162"/>
      <c r="I257" s="102"/>
      <c r="J257" s="102"/>
      <c r="K257" s="102"/>
      <c r="L257" s="102"/>
      <c r="M257" s="162"/>
      <c r="N257" s="102"/>
      <c r="O257" s="102"/>
      <c r="P257" s="102"/>
      <c r="Q257" s="102"/>
      <c r="R257" s="162"/>
      <c r="S257" s="291"/>
      <c r="T257" s="102"/>
      <c r="U257" s="102"/>
      <c r="V257" s="102"/>
      <c r="W257" s="162"/>
      <c r="X257" s="102"/>
      <c r="Y257" s="102"/>
      <c r="Z257" s="102"/>
      <c r="AA257" s="102"/>
      <c r="AB257" s="162"/>
      <c r="AC257" s="102"/>
      <c r="AD257" s="102"/>
      <c r="AE257" s="102"/>
      <c r="AF257" s="102"/>
      <c r="AG257" s="162"/>
      <c r="AH257" s="102"/>
      <c r="AI257" s="102"/>
      <c r="AJ257" s="102"/>
      <c r="AK257" s="102"/>
    </row>
    <row r="258" spans="3:37" ht="12.75" customHeight="1">
      <c r="C258" s="101"/>
      <c r="D258" s="102"/>
      <c r="E258" s="102"/>
      <c r="F258" s="102"/>
      <c r="G258" s="102"/>
      <c r="H258" s="101"/>
      <c r="I258" s="102"/>
      <c r="J258" s="102"/>
      <c r="K258" s="102"/>
      <c r="L258" s="102"/>
      <c r="M258" s="101"/>
      <c r="N258" s="102"/>
      <c r="O258" s="102"/>
      <c r="P258" s="102"/>
      <c r="Q258" s="102"/>
      <c r="R258" s="101"/>
      <c r="S258" s="291"/>
      <c r="T258" s="102"/>
      <c r="U258" s="102"/>
      <c r="V258" s="102"/>
      <c r="W258" s="101"/>
      <c r="X258" s="102"/>
      <c r="Y258" s="102"/>
      <c r="Z258" s="102"/>
      <c r="AA258" s="102"/>
      <c r="AB258" s="101"/>
      <c r="AC258" s="102"/>
      <c r="AD258" s="102"/>
      <c r="AE258" s="102"/>
      <c r="AF258" s="102"/>
      <c r="AG258" s="101"/>
      <c r="AH258" s="102"/>
      <c r="AI258" s="102"/>
      <c r="AJ258" s="102"/>
      <c r="AK258" s="102"/>
    </row>
    <row r="259" spans="3:37" ht="12.75" customHeight="1">
      <c r="C259" s="101"/>
      <c r="D259" s="166"/>
      <c r="E259" s="166"/>
      <c r="F259" s="166"/>
      <c r="G259" s="166"/>
      <c r="H259" s="101"/>
      <c r="I259" s="166"/>
      <c r="J259" s="166"/>
      <c r="K259" s="166"/>
      <c r="L259" s="166"/>
      <c r="M259" s="101"/>
      <c r="N259" s="166"/>
      <c r="O259" s="166"/>
      <c r="P259" s="166"/>
      <c r="Q259" s="166"/>
      <c r="R259" s="101"/>
      <c r="S259" s="1243"/>
      <c r="T259" s="166"/>
      <c r="U259" s="166"/>
      <c r="V259" s="166"/>
      <c r="W259" s="101"/>
      <c r="X259" s="166"/>
      <c r="Y259" s="166"/>
      <c r="Z259" s="166"/>
      <c r="AA259" s="166"/>
      <c r="AB259" s="101"/>
      <c r="AC259" s="166"/>
      <c r="AD259" s="166"/>
      <c r="AE259" s="166"/>
      <c r="AF259" s="166"/>
      <c r="AG259" s="101"/>
      <c r="AH259" s="166"/>
      <c r="AI259" s="166"/>
      <c r="AJ259" s="166"/>
      <c r="AK259" s="166"/>
    </row>
    <row r="260" spans="3:37" ht="12.75" customHeight="1">
      <c r="C260" s="167"/>
      <c r="D260" s="168"/>
      <c r="E260" s="168"/>
      <c r="F260" s="168"/>
      <c r="G260" s="168"/>
      <c r="H260" s="167"/>
      <c r="I260" s="168"/>
      <c r="J260" s="168"/>
      <c r="K260" s="168"/>
      <c r="L260" s="168"/>
      <c r="M260" s="167"/>
      <c r="N260" s="168"/>
      <c r="O260" s="168"/>
      <c r="P260" s="168"/>
      <c r="Q260" s="168"/>
      <c r="R260" s="167"/>
      <c r="S260" s="1244"/>
      <c r="T260" s="168"/>
      <c r="U260" s="168"/>
      <c r="V260" s="168"/>
      <c r="W260" s="167"/>
      <c r="X260" s="168"/>
      <c r="Y260" s="168"/>
      <c r="Z260" s="168"/>
      <c r="AA260" s="168"/>
      <c r="AB260" s="167"/>
      <c r="AC260" s="168"/>
      <c r="AD260" s="168"/>
      <c r="AE260" s="168"/>
      <c r="AF260" s="168"/>
      <c r="AG260" s="167"/>
      <c r="AH260" s="168"/>
      <c r="AI260" s="168"/>
      <c r="AJ260" s="168"/>
      <c r="AK260" s="168"/>
    </row>
    <row r="263" spans="3:37" ht="12.75" customHeight="1">
      <c r="C263" s="127"/>
      <c r="D263" s="100"/>
      <c r="E263" s="100"/>
      <c r="F263" s="100"/>
      <c r="G263" s="100"/>
      <c r="H263" s="127"/>
      <c r="I263" s="100"/>
      <c r="J263" s="100"/>
      <c r="K263" s="100"/>
      <c r="L263" s="100"/>
      <c r="M263" s="127"/>
      <c r="N263" s="100"/>
      <c r="O263" s="100"/>
      <c r="P263" s="100"/>
      <c r="Q263" s="100"/>
      <c r="R263" s="127"/>
      <c r="S263" s="1219"/>
      <c r="T263" s="100"/>
      <c r="U263" s="100"/>
      <c r="V263" s="100"/>
      <c r="W263" s="127"/>
      <c r="X263" s="100"/>
      <c r="Y263" s="100"/>
      <c r="Z263" s="100"/>
      <c r="AA263" s="100"/>
      <c r="AB263" s="127"/>
      <c r="AC263" s="100"/>
      <c r="AD263" s="100"/>
      <c r="AE263" s="100"/>
      <c r="AF263" s="100"/>
      <c r="AG263" s="127"/>
      <c r="AH263" s="100"/>
      <c r="AI263" s="100"/>
      <c r="AJ263" s="100"/>
      <c r="AK263" s="100"/>
    </row>
    <row r="266" spans="3:37" ht="12.75" customHeight="1">
      <c r="C266" s="169"/>
      <c r="D266" s="170"/>
      <c r="E266" s="170"/>
      <c r="F266" s="170"/>
      <c r="G266" s="170"/>
      <c r="H266" s="169"/>
      <c r="I266" s="170"/>
      <c r="J266" s="170"/>
      <c r="K266" s="170"/>
      <c r="L266" s="170"/>
      <c r="M266" s="169"/>
      <c r="N266" s="170"/>
      <c r="O266" s="170"/>
      <c r="P266" s="170"/>
      <c r="Q266" s="170"/>
      <c r="R266" s="169"/>
      <c r="S266" s="1245"/>
      <c r="T266" s="170"/>
      <c r="U266" s="170"/>
      <c r="V266" s="170"/>
      <c r="W266" s="169"/>
      <c r="X266" s="170"/>
      <c r="Y266" s="170"/>
      <c r="Z266" s="170"/>
      <c r="AA266" s="170"/>
      <c r="AB266" s="169"/>
      <c r="AC266" s="170"/>
      <c r="AD266" s="170"/>
      <c r="AE266" s="170"/>
      <c r="AF266" s="170"/>
      <c r="AG266" s="169"/>
      <c r="AH266" s="170"/>
      <c r="AI266" s="170"/>
      <c r="AJ266" s="170"/>
      <c r="AK266" s="170"/>
    </row>
    <row r="269" spans="3:37" ht="12.75" customHeight="1">
      <c r="C269" s="127"/>
      <c r="D269" s="100"/>
      <c r="E269" s="100"/>
      <c r="F269" s="100"/>
      <c r="G269" s="100"/>
      <c r="H269" s="127"/>
      <c r="I269" s="100"/>
      <c r="J269" s="100"/>
      <c r="K269" s="100"/>
      <c r="L269" s="100"/>
      <c r="M269" s="127"/>
      <c r="N269" s="100"/>
      <c r="O269" s="100"/>
      <c r="P269" s="100"/>
      <c r="Q269" s="100"/>
      <c r="R269" s="127"/>
      <c r="S269" s="1219"/>
      <c r="T269" s="100"/>
      <c r="U269" s="100"/>
      <c r="V269" s="100"/>
      <c r="W269" s="127"/>
      <c r="X269" s="100"/>
      <c r="Y269" s="100"/>
      <c r="Z269" s="100"/>
      <c r="AA269" s="100"/>
      <c r="AB269" s="127"/>
      <c r="AC269" s="100"/>
      <c r="AD269" s="100"/>
      <c r="AE269" s="100"/>
      <c r="AF269" s="100"/>
      <c r="AG269" s="127"/>
      <c r="AH269" s="100"/>
      <c r="AI269" s="100"/>
      <c r="AJ269" s="100"/>
      <c r="AK269" s="100"/>
    </row>
    <row r="270" spans="3:37" ht="12.75" customHeight="1">
      <c r="C270" s="171"/>
      <c r="D270" s="172"/>
      <c r="E270" s="172"/>
      <c r="F270" s="172"/>
      <c r="G270" s="172"/>
      <c r="H270" s="171"/>
      <c r="I270" s="172"/>
      <c r="J270" s="172"/>
      <c r="K270" s="172"/>
      <c r="L270" s="172"/>
      <c r="M270" s="171"/>
      <c r="N270" s="172"/>
      <c r="O270" s="172"/>
      <c r="P270" s="172"/>
      <c r="Q270" s="172"/>
      <c r="R270" s="171"/>
      <c r="S270" s="1246"/>
      <c r="T270" s="172"/>
      <c r="U270" s="172"/>
      <c r="V270" s="172"/>
      <c r="W270" s="171"/>
      <c r="X270" s="172"/>
      <c r="Y270" s="172"/>
      <c r="Z270" s="172"/>
      <c r="AA270" s="172"/>
      <c r="AB270" s="171"/>
      <c r="AC270" s="172"/>
      <c r="AD270" s="172"/>
      <c r="AE270" s="172"/>
      <c r="AF270" s="172"/>
      <c r="AG270" s="171"/>
      <c r="AH270" s="172"/>
      <c r="AI270" s="172"/>
      <c r="AJ270" s="172"/>
      <c r="AK270" s="172"/>
    </row>
    <row r="271" spans="3:37" ht="12.75" customHeight="1">
      <c r="C271" s="167"/>
      <c r="D271" s="100"/>
      <c r="E271" s="100"/>
      <c r="F271" s="100"/>
      <c r="G271" s="100"/>
      <c r="H271" s="167"/>
      <c r="I271" s="100"/>
      <c r="J271" s="100"/>
      <c r="K271" s="100"/>
      <c r="L271" s="100"/>
      <c r="M271" s="167"/>
      <c r="N271" s="100"/>
      <c r="O271" s="100"/>
      <c r="P271" s="100"/>
      <c r="Q271" s="100"/>
      <c r="R271" s="167"/>
      <c r="S271" s="1219"/>
      <c r="T271" s="100"/>
      <c r="U271" s="100"/>
      <c r="V271" s="100"/>
      <c r="W271" s="167"/>
      <c r="X271" s="100"/>
      <c r="Y271" s="100"/>
      <c r="Z271" s="100"/>
      <c r="AA271" s="100"/>
      <c r="AB271" s="167"/>
      <c r="AC271" s="100"/>
      <c r="AD271" s="100"/>
      <c r="AE271" s="100"/>
      <c r="AF271" s="100"/>
      <c r="AG271" s="167"/>
      <c r="AH271" s="100"/>
      <c r="AI271" s="100"/>
      <c r="AJ271" s="100"/>
      <c r="AK271" s="100"/>
    </row>
    <row r="273" spans="3:37" ht="12.75" customHeight="1">
      <c r="C273" s="162"/>
      <c r="D273" s="163"/>
      <c r="E273" s="163"/>
      <c r="F273" s="163"/>
      <c r="G273" s="163"/>
      <c r="H273" s="162"/>
      <c r="I273" s="163"/>
      <c r="J273" s="163"/>
      <c r="K273" s="163"/>
      <c r="L273" s="163"/>
      <c r="M273" s="162"/>
      <c r="N273" s="163"/>
      <c r="O273" s="163"/>
      <c r="P273" s="163"/>
      <c r="Q273" s="163"/>
      <c r="R273" s="162"/>
      <c r="S273" s="1241"/>
      <c r="T273" s="163"/>
      <c r="U273" s="163"/>
      <c r="V273" s="163"/>
      <c r="W273" s="162"/>
      <c r="X273" s="163"/>
      <c r="Y273" s="163"/>
      <c r="Z273" s="163"/>
      <c r="AA273" s="163"/>
      <c r="AB273" s="162"/>
      <c r="AC273" s="163"/>
      <c r="AD273" s="163"/>
      <c r="AE273" s="163"/>
      <c r="AF273" s="163"/>
      <c r="AG273" s="162"/>
      <c r="AH273" s="163"/>
      <c r="AI273" s="163"/>
      <c r="AJ273" s="163"/>
      <c r="AK273" s="163"/>
    </row>
    <row r="274" spans="3:37" ht="12.75" customHeight="1">
      <c r="C274" s="127"/>
      <c r="D274" s="100"/>
      <c r="E274" s="100"/>
      <c r="F274" s="100"/>
      <c r="G274" s="100"/>
      <c r="H274" s="127"/>
      <c r="I274" s="100"/>
      <c r="J274" s="100"/>
      <c r="K274" s="100"/>
      <c r="L274" s="100"/>
      <c r="M274" s="127"/>
      <c r="N274" s="100"/>
      <c r="O274" s="100"/>
      <c r="P274" s="100"/>
      <c r="Q274" s="100"/>
      <c r="R274" s="127"/>
      <c r="S274" s="1219"/>
      <c r="T274" s="100"/>
      <c r="U274" s="100"/>
      <c r="V274" s="100"/>
      <c r="W274" s="127"/>
      <c r="X274" s="100"/>
      <c r="Y274" s="100"/>
      <c r="Z274" s="100"/>
      <c r="AA274" s="100"/>
      <c r="AB274" s="127"/>
      <c r="AC274" s="100"/>
      <c r="AD274" s="100"/>
      <c r="AE274" s="100"/>
      <c r="AF274" s="100"/>
      <c r="AG274" s="127"/>
      <c r="AH274" s="100"/>
      <c r="AI274" s="100"/>
      <c r="AJ274" s="100"/>
      <c r="AK274" s="100"/>
    </row>
    <row r="276" spans="3:37" ht="12.75" customHeight="1">
      <c r="C276" s="173"/>
      <c r="D276" s="166"/>
      <c r="E276" s="166"/>
      <c r="F276" s="166"/>
      <c r="G276" s="166"/>
      <c r="H276" s="173"/>
      <c r="I276" s="166"/>
      <c r="J276" s="166"/>
      <c r="K276" s="166"/>
      <c r="L276" s="166"/>
      <c r="M276" s="173"/>
      <c r="N276" s="166"/>
      <c r="O276" s="166"/>
      <c r="P276" s="166"/>
      <c r="Q276" s="166"/>
      <c r="R276" s="173"/>
      <c r="S276" s="1243"/>
      <c r="T276" s="166"/>
      <c r="U276" s="166"/>
      <c r="V276" s="166"/>
      <c r="W276" s="173"/>
      <c r="X276" s="166"/>
      <c r="Y276" s="166"/>
      <c r="Z276" s="166"/>
      <c r="AA276" s="166"/>
      <c r="AB276" s="173"/>
      <c r="AC276" s="166"/>
      <c r="AD276" s="166"/>
      <c r="AE276" s="166"/>
      <c r="AF276" s="166"/>
      <c r="AG276" s="173"/>
      <c r="AH276" s="166"/>
      <c r="AI276" s="166"/>
      <c r="AJ276" s="166"/>
      <c r="AK276" s="166"/>
    </row>
    <row r="277" spans="3:37" ht="12.75" customHeight="1">
      <c r="C277" s="167"/>
      <c r="D277" s="168"/>
      <c r="E277" s="168"/>
      <c r="F277" s="168"/>
      <c r="G277" s="168"/>
      <c r="H277" s="167"/>
      <c r="I277" s="168"/>
      <c r="J277" s="168"/>
      <c r="K277" s="168"/>
      <c r="L277" s="168"/>
      <c r="M277" s="167"/>
      <c r="N277" s="168"/>
      <c r="O277" s="168"/>
      <c r="P277" s="168"/>
      <c r="Q277" s="168"/>
      <c r="R277" s="167"/>
      <c r="S277" s="1244"/>
      <c r="T277" s="168"/>
      <c r="U277" s="168"/>
      <c r="V277" s="168"/>
      <c r="W277" s="167"/>
      <c r="X277" s="168"/>
      <c r="Y277" s="168"/>
      <c r="Z277" s="168"/>
      <c r="AA277" s="168"/>
      <c r="AB277" s="167"/>
      <c r="AC277" s="168"/>
      <c r="AD277" s="168"/>
      <c r="AE277" s="168"/>
      <c r="AF277" s="168"/>
      <c r="AG277" s="167"/>
      <c r="AH277" s="168"/>
      <c r="AI277" s="168"/>
      <c r="AJ277" s="168"/>
      <c r="AK277" s="168"/>
    </row>
    <row r="279" spans="3:37" ht="12.75" customHeight="1">
      <c r="C279" s="162"/>
      <c r="D279" s="163"/>
      <c r="E279" s="163"/>
      <c r="F279" s="163"/>
      <c r="G279" s="163"/>
      <c r="H279" s="162"/>
      <c r="I279" s="163"/>
      <c r="J279" s="163"/>
      <c r="K279" s="163"/>
      <c r="L279" s="163"/>
      <c r="M279" s="162"/>
      <c r="N279" s="163"/>
      <c r="O279" s="163"/>
      <c r="P279" s="163"/>
      <c r="Q279" s="163"/>
      <c r="R279" s="162"/>
      <c r="S279" s="1241"/>
      <c r="T279" s="163"/>
      <c r="U279" s="163"/>
      <c r="V279" s="163"/>
      <c r="W279" s="162"/>
      <c r="X279" s="163"/>
      <c r="Y279" s="163"/>
      <c r="Z279" s="163"/>
      <c r="AA279" s="163"/>
      <c r="AB279" s="162"/>
      <c r="AC279" s="163"/>
      <c r="AD279" s="163"/>
      <c r="AE279" s="163"/>
      <c r="AF279" s="163"/>
      <c r="AG279" s="162"/>
      <c r="AH279" s="163"/>
      <c r="AI279" s="163"/>
      <c r="AJ279" s="163"/>
      <c r="AK279" s="163"/>
    </row>
    <row r="280" spans="3:37" ht="12.75" customHeight="1">
      <c r="C280" s="127"/>
      <c r="D280" s="100"/>
      <c r="E280" s="100"/>
      <c r="F280" s="100"/>
      <c r="G280" s="100"/>
      <c r="H280" s="127"/>
      <c r="I280" s="100"/>
      <c r="J280" s="100"/>
      <c r="K280" s="100"/>
      <c r="L280" s="100"/>
      <c r="M280" s="127"/>
      <c r="N280" s="100"/>
      <c r="O280" s="100"/>
      <c r="P280" s="100"/>
      <c r="Q280" s="100"/>
      <c r="R280" s="127"/>
      <c r="S280" s="1219"/>
      <c r="T280" s="100"/>
      <c r="U280" s="100"/>
      <c r="V280" s="100"/>
      <c r="W280" s="127"/>
      <c r="X280" s="100"/>
      <c r="Y280" s="100"/>
      <c r="Z280" s="100"/>
      <c r="AA280" s="100"/>
      <c r="AB280" s="127"/>
      <c r="AC280" s="100"/>
      <c r="AD280" s="100"/>
      <c r="AE280" s="100"/>
      <c r="AF280" s="100"/>
      <c r="AG280" s="127"/>
      <c r="AH280" s="100"/>
      <c r="AI280" s="100"/>
      <c r="AJ280" s="100"/>
      <c r="AK280" s="100"/>
    </row>
    <row r="282" spans="3:37" ht="12.75" customHeight="1">
      <c r="C282" s="127"/>
      <c r="D282" s="100"/>
      <c r="E282" s="100"/>
      <c r="F282" s="100"/>
      <c r="G282" s="100"/>
      <c r="H282" s="127"/>
      <c r="I282" s="100"/>
      <c r="J282" s="100"/>
      <c r="K282" s="100"/>
      <c r="L282" s="100"/>
      <c r="M282" s="127"/>
      <c r="N282" s="100"/>
      <c r="O282" s="100"/>
      <c r="P282" s="100"/>
      <c r="Q282" s="100"/>
      <c r="R282" s="127"/>
      <c r="S282" s="1219"/>
      <c r="T282" s="100"/>
      <c r="U282" s="100"/>
      <c r="V282" s="100"/>
      <c r="W282" s="127"/>
      <c r="X282" s="100"/>
      <c r="Y282" s="100"/>
      <c r="Z282" s="100"/>
      <c r="AA282" s="100"/>
      <c r="AB282" s="127"/>
      <c r="AC282" s="100"/>
      <c r="AD282" s="100"/>
      <c r="AE282" s="100"/>
      <c r="AF282" s="100"/>
      <c r="AG282" s="127"/>
      <c r="AH282" s="100"/>
      <c r="AI282" s="100"/>
      <c r="AJ282" s="100"/>
      <c r="AK282" s="100"/>
    </row>
    <row r="285" spans="3:37" ht="12.75" customHeight="1">
      <c r="C285" s="174"/>
      <c r="D285" s="175"/>
      <c r="E285" s="175"/>
      <c r="F285" s="175"/>
      <c r="G285" s="175"/>
      <c r="H285" s="174"/>
      <c r="I285" s="175"/>
      <c r="J285" s="175"/>
      <c r="K285" s="175"/>
      <c r="L285" s="175"/>
      <c r="M285" s="174"/>
      <c r="N285" s="175"/>
      <c r="O285" s="175"/>
      <c r="P285" s="175"/>
      <c r="Q285" s="175"/>
      <c r="R285" s="174"/>
      <c r="S285" s="1247"/>
      <c r="T285" s="175"/>
      <c r="U285" s="175"/>
      <c r="V285" s="175"/>
      <c r="W285" s="174"/>
      <c r="X285" s="175"/>
      <c r="Y285" s="175"/>
      <c r="Z285" s="175"/>
      <c r="AA285" s="175"/>
      <c r="AB285" s="174"/>
      <c r="AC285" s="175"/>
      <c r="AD285" s="175"/>
      <c r="AE285" s="175"/>
      <c r="AF285" s="175"/>
      <c r="AG285" s="174"/>
      <c r="AH285" s="175"/>
      <c r="AI285" s="175"/>
      <c r="AJ285" s="175"/>
      <c r="AK285" s="175"/>
    </row>
    <row r="286" spans="3:37" ht="12.75" customHeight="1">
      <c r="C286" s="127"/>
      <c r="D286" s="100"/>
      <c r="E286" s="100"/>
      <c r="F286" s="100"/>
      <c r="G286" s="100"/>
      <c r="H286" s="127"/>
      <c r="I286" s="100"/>
      <c r="J286" s="100"/>
      <c r="K286" s="100"/>
      <c r="L286" s="100"/>
      <c r="M286" s="127"/>
      <c r="N286" s="100"/>
      <c r="O286" s="100"/>
      <c r="P286" s="100"/>
      <c r="Q286" s="100"/>
      <c r="R286" s="127"/>
      <c r="S286" s="1219"/>
      <c r="T286" s="100"/>
      <c r="U286" s="100"/>
      <c r="V286" s="100"/>
      <c r="W286" s="127"/>
      <c r="X286" s="100"/>
      <c r="Y286" s="100"/>
      <c r="Z286" s="100"/>
      <c r="AA286" s="100"/>
      <c r="AB286" s="127"/>
      <c r="AC286" s="100"/>
      <c r="AD286" s="100"/>
      <c r="AE286" s="100"/>
      <c r="AF286" s="100"/>
      <c r="AG286" s="127"/>
      <c r="AH286" s="100"/>
      <c r="AI286" s="100"/>
      <c r="AJ286" s="100"/>
      <c r="AK286" s="100"/>
    </row>
    <row r="289" spans="3:37" ht="12.75" customHeight="1">
      <c r="C289" s="162"/>
      <c r="D289" s="163"/>
      <c r="E289" s="163"/>
      <c r="F289" s="163"/>
      <c r="G289" s="163"/>
      <c r="H289" s="162"/>
      <c r="I289" s="163"/>
      <c r="J289" s="163"/>
      <c r="K289" s="163"/>
      <c r="L289" s="163"/>
      <c r="M289" s="162"/>
      <c r="N289" s="163"/>
      <c r="O289" s="163"/>
      <c r="P289" s="163"/>
      <c r="Q289" s="163"/>
      <c r="R289" s="162"/>
      <c r="S289" s="1241"/>
      <c r="T289" s="163"/>
      <c r="U289" s="163"/>
      <c r="V289" s="163"/>
      <c r="W289" s="162"/>
      <c r="X289" s="163"/>
      <c r="Y289" s="163"/>
      <c r="Z289" s="163"/>
      <c r="AA289" s="163"/>
      <c r="AB289" s="162"/>
      <c r="AC289" s="163"/>
      <c r="AD289" s="163"/>
      <c r="AE289" s="163"/>
      <c r="AF289" s="163"/>
      <c r="AG289" s="162"/>
      <c r="AH289" s="163"/>
      <c r="AI289" s="163"/>
      <c r="AJ289" s="163"/>
      <c r="AK289" s="163"/>
    </row>
    <row r="290" spans="3:37" ht="12.75" customHeight="1">
      <c r="C290" s="101"/>
      <c r="D290" s="102"/>
      <c r="E290" s="102"/>
      <c r="F290" s="102"/>
      <c r="G290" s="102"/>
      <c r="H290" s="101"/>
      <c r="I290" s="102"/>
      <c r="J290" s="102"/>
      <c r="K290" s="102"/>
      <c r="L290" s="102"/>
      <c r="M290" s="101"/>
      <c r="N290" s="102"/>
      <c r="O290" s="102"/>
      <c r="P290" s="102"/>
      <c r="Q290" s="102"/>
      <c r="R290" s="101"/>
      <c r="S290" s="291"/>
      <c r="T290" s="102"/>
      <c r="U290" s="102"/>
      <c r="V290" s="102"/>
      <c r="W290" s="101"/>
      <c r="X290" s="102"/>
      <c r="Y290" s="102"/>
      <c r="Z290" s="102"/>
      <c r="AA290" s="102"/>
      <c r="AB290" s="101"/>
      <c r="AC290" s="102"/>
      <c r="AD290" s="102"/>
      <c r="AE290" s="102"/>
      <c r="AF290" s="102"/>
      <c r="AG290" s="101"/>
      <c r="AH290" s="102"/>
      <c r="AI290" s="102"/>
      <c r="AJ290" s="102"/>
      <c r="AK290" s="102"/>
    </row>
    <row r="291" spans="3:37" ht="12.75" customHeight="1">
      <c r="C291" s="101"/>
      <c r="D291" s="102"/>
      <c r="E291" s="102"/>
      <c r="F291" s="102"/>
      <c r="G291" s="102"/>
      <c r="H291" s="101"/>
      <c r="I291" s="102"/>
      <c r="J291" s="102"/>
      <c r="K291" s="102"/>
      <c r="L291" s="102"/>
      <c r="M291" s="101"/>
      <c r="N291" s="102"/>
      <c r="O291" s="102"/>
      <c r="P291" s="102"/>
      <c r="Q291" s="102"/>
      <c r="R291" s="101"/>
      <c r="S291" s="291"/>
      <c r="T291" s="102"/>
      <c r="U291" s="102"/>
      <c r="V291" s="102"/>
      <c r="W291" s="101"/>
      <c r="X291" s="102"/>
      <c r="Y291" s="102"/>
      <c r="Z291" s="102"/>
      <c r="AA291" s="102"/>
      <c r="AB291" s="101"/>
      <c r="AC291" s="102"/>
      <c r="AD291" s="102"/>
      <c r="AE291" s="102"/>
      <c r="AF291" s="102"/>
      <c r="AG291" s="101"/>
      <c r="AH291" s="102"/>
      <c r="AI291" s="102"/>
      <c r="AJ291" s="102"/>
      <c r="AK291" s="102"/>
    </row>
    <row r="292" spans="3:37" ht="12.75" customHeight="1">
      <c r="C292" s="173"/>
      <c r="D292" s="166"/>
      <c r="E292" s="166"/>
      <c r="F292" s="166"/>
      <c r="G292" s="166"/>
      <c r="H292" s="173"/>
      <c r="I292" s="166"/>
      <c r="J292" s="166"/>
      <c r="K292" s="166"/>
      <c r="L292" s="166"/>
      <c r="M292" s="173"/>
      <c r="N292" s="166"/>
      <c r="O292" s="166"/>
      <c r="P292" s="166"/>
      <c r="Q292" s="166"/>
      <c r="R292" s="173"/>
      <c r="S292" s="1243"/>
      <c r="T292" s="166"/>
      <c r="U292" s="166"/>
      <c r="V292" s="166"/>
      <c r="W292" s="173"/>
      <c r="X292" s="166"/>
      <c r="Y292" s="166"/>
      <c r="Z292" s="166"/>
      <c r="AA292" s="166"/>
      <c r="AB292" s="173"/>
      <c r="AC292" s="166"/>
      <c r="AD292" s="166"/>
      <c r="AE292" s="166"/>
      <c r="AF292" s="166"/>
      <c r="AG292" s="173"/>
      <c r="AH292" s="166"/>
      <c r="AI292" s="166"/>
      <c r="AJ292" s="166"/>
      <c r="AK292" s="166"/>
    </row>
    <row r="293" spans="3:37" ht="12.75" customHeight="1">
      <c r="C293" s="167"/>
      <c r="D293" s="168"/>
      <c r="E293" s="168"/>
      <c r="F293" s="168"/>
      <c r="G293" s="168"/>
      <c r="H293" s="167"/>
      <c r="I293" s="168"/>
      <c r="J293" s="168"/>
      <c r="K293" s="168"/>
      <c r="L293" s="168"/>
      <c r="M293" s="167"/>
      <c r="N293" s="168"/>
      <c r="O293" s="168"/>
      <c r="P293" s="168"/>
      <c r="Q293" s="168"/>
      <c r="R293" s="167"/>
      <c r="S293" s="1244"/>
      <c r="T293" s="168"/>
      <c r="U293" s="168"/>
      <c r="V293" s="168"/>
      <c r="W293" s="167"/>
      <c r="X293" s="168"/>
      <c r="Y293" s="168"/>
      <c r="Z293" s="168"/>
      <c r="AA293" s="168"/>
      <c r="AB293" s="167"/>
      <c r="AC293" s="168"/>
      <c r="AD293" s="168"/>
      <c r="AE293" s="168"/>
      <c r="AF293" s="168"/>
      <c r="AG293" s="167"/>
      <c r="AH293" s="168"/>
      <c r="AI293" s="168"/>
      <c r="AJ293" s="168"/>
      <c r="AK293" s="168"/>
    </row>
    <row r="294" spans="3:37" ht="12.75" customHeight="1">
      <c r="C294" s="101"/>
      <c r="D294" s="102"/>
      <c r="E294" s="102"/>
      <c r="F294" s="102"/>
      <c r="G294" s="102"/>
      <c r="H294" s="101"/>
      <c r="I294" s="102"/>
      <c r="J294" s="102"/>
      <c r="K294" s="102"/>
      <c r="L294" s="102"/>
      <c r="M294" s="101"/>
      <c r="N294" s="102"/>
      <c r="O294" s="102"/>
      <c r="P294" s="102"/>
      <c r="Q294" s="102"/>
      <c r="R294" s="101"/>
      <c r="S294" s="291"/>
      <c r="T294" s="102"/>
      <c r="U294" s="102"/>
      <c r="V294" s="102"/>
      <c r="W294" s="101"/>
      <c r="X294" s="102"/>
      <c r="Y294" s="102"/>
      <c r="Z294" s="102"/>
      <c r="AA294" s="102"/>
      <c r="AB294" s="101"/>
      <c r="AC294" s="102"/>
      <c r="AD294" s="102"/>
      <c r="AE294" s="102"/>
      <c r="AF294" s="102"/>
      <c r="AG294" s="101"/>
      <c r="AH294" s="102"/>
      <c r="AI294" s="102"/>
      <c r="AJ294" s="102"/>
      <c r="AK294" s="102"/>
    </row>
    <row r="295" spans="3:37" ht="12.75" customHeight="1">
      <c r="C295" s="174"/>
      <c r="D295" s="175"/>
      <c r="E295" s="175"/>
      <c r="F295" s="175"/>
      <c r="G295" s="175"/>
      <c r="H295" s="174"/>
      <c r="I295" s="175"/>
      <c r="J295" s="175"/>
      <c r="K295" s="175"/>
      <c r="L295" s="175"/>
      <c r="M295" s="174"/>
      <c r="N295" s="175"/>
      <c r="O295" s="175"/>
      <c r="P295" s="175"/>
      <c r="Q295" s="175"/>
      <c r="R295" s="174"/>
      <c r="S295" s="1247"/>
      <c r="T295" s="175"/>
      <c r="U295" s="175"/>
      <c r="V295" s="175"/>
      <c r="W295" s="174"/>
      <c r="X295" s="175"/>
      <c r="Y295" s="175"/>
      <c r="Z295" s="175"/>
      <c r="AA295" s="175"/>
      <c r="AB295" s="174"/>
      <c r="AC295" s="175"/>
      <c r="AD295" s="175"/>
      <c r="AE295" s="175"/>
      <c r="AF295" s="175"/>
      <c r="AG295" s="174"/>
      <c r="AH295" s="175"/>
      <c r="AI295" s="175"/>
      <c r="AJ295" s="175"/>
      <c r="AK295" s="175"/>
    </row>
    <row r="296" spans="3:37" ht="12.75" customHeight="1">
      <c r="C296" s="127"/>
      <c r="D296" s="100"/>
      <c r="E296" s="100"/>
      <c r="F296" s="100"/>
      <c r="G296" s="100"/>
      <c r="H296" s="127"/>
      <c r="I296" s="100"/>
      <c r="J296" s="100"/>
      <c r="K296" s="100"/>
      <c r="L296" s="100"/>
      <c r="M296" s="127"/>
      <c r="N296" s="100"/>
      <c r="O296" s="100"/>
      <c r="P296" s="100"/>
      <c r="Q296" s="100"/>
      <c r="R296" s="127"/>
      <c r="S296" s="1219"/>
      <c r="T296" s="100"/>
      <c r="U296" s="100"/>
      <c r="V296" s="100"/>
      <c r="W296" s="127"/>
      <c r="X296" s="100"/>
      <c r="Y296" s="100"/>
      <c r="Z296" s="100"/>
      <c r="AA296" s="100"/>
      <c r="AB296" s="127"/>
      <c r="AC296" s="100"/>
      <c r="AD296" s="100"/>
      <c r="AE296" s="100"/>
      <c r="AF296" s="100"/>
      <c r="AG296" s="127"/>
      <c r="AH296" s="100"/>
      <c r="AI296" s="100"/>
      <c r="AJ296" s="100"/>
      <c r="AK296" s="100"/>
    </row>
    <row r="302" spans="3:37" ht="12.75" customHeight="1">
      <c r="C302" s="176"/>
      <c r="D302" s="177"/>
      <c r="E302" s="177"/>
      <c r="F302" s="177"/>
      <c r="G302" s="177"/>
      <c r="H302" s="176"/>
      <c r="I302" s="177"/>
      <c r="J302" s="177"/>
      <c r="K302" s="177"/>
      <c r="L302" s="177"/>
      <c r="M302" s="176"/>
      <c r="N302" s="177"/>
      <c r="O302" s="177"/>
      <c r="P302" s="177"/>
      <c r="Q302" s="177"/>
      <c r="R302" s="176"/>
      <c r="S302" s="1248"/>
      <c r="T302" s="177"/>
      <c r="U302" s="177"/>
      <c r="V302" s="177"/>
      <c r="W302" s="176"/>
      <c r="X302" s="177"/>
      <c r="Y302" s="177"/>
      <c r="Z302" s="177"/>
      <c r="AA302" s="177"/>
      <c r="AB302" s="176"/>
      <c r="AC302" s="177"/>
      <c r="AD302" s="177"/>
      <c r="AE302" s="177"/>
      <c r="AF302" s="177"/>
      <c r="AG302" s="176"/>
      <c r="AH302" s="177"/>
      <c r="AI302" s="177"/>
      <c r="AJ302" s="177"/>
      <c r="AK302" s="177"/>
    </row>
    <row r="303" spans="3:37" ht="12.75" customHeight="1">
      <c r="C303" s="178"/>
      <c r="D303" s="179"/>
      <c r="E303" s="179"/>
      <c r="F303" s="179"/>
      <c r="G303" s="179"/>
      <c r="H303" s="178"/>
      <c r="I303" s="179"/>
      <c r="J303" s="179"/>
      <c r="K303" s="179"/>
      <c r="L303" s="179"/>
      <c r="M303" s="178"/>
      <c r="N303" s="179"/>
      <c r="O303" s="179"/>
      <c r="P303" s="179"/>
      <c r="Q303" s="179"/>
      <c r="R303" s="178"/>
      <c r="S303" s="1249"/>
      <c r="T303" s="179"/>
      <c r="U303" s="179"/>
      <c r="V303" s="179"/>
      <c r="W303" s="178"/>
      <c r="X303" s="179"/>
      <c r="Y303" s="179"/>
      <c r="Z303" s="179"/>
      <c r="AA303" s="179"/>
      <c r="AB303" s="178"/>
      <c r="AC303" s="179"/>
      <c r="AD303" s="179"/>
      <c r="AE303" s="179"/>
      <c r="AF303" s="179"/>
      <c r="AG303" s="178"/>
      <c r="AH303" s="179"/>
      <c r="AI303" s="179"/>
      <c r="AJ303" s="179"/>
      <c r="AK303" s="179"/>
    </row>
    <row r="304" spans="3:37" ht="12.75" customHeight="1">
      <c r="C304" s="167"/>
      <c r="D304" s="168"/>
      <c r="E304" s="168"/>
      <c r="F304" s="168"/>
      <c r="G304" s="168"/>
      <c r="H304" s="167"/>
      <c r="I304" s="168"/>
      <c r="J304" s="168"/>
      <c r="K304" s="168"/>
      <c r="L304" s="168"/>
      <c r="M304" s="167"/>
      <c r="N304" s="168"/>
      <c r="O304" s="168"/>
      <c r="P304" s="168"/>
      <c r="Q304" s="168"/>
      <c r="R304" s="167"/>
      <c r="S304" s="1244"/>
      <c r="T304" s="168"/>
      <c r="U304" s="168"/>
      <c r="V304" s="168"/>
      <c r="W304" s="167"/>
      <c r="X304" s="168"/>
      <c r="Y304" s="168"/>
      <c r="Z304" s="168"/>
      <c r="AA304" s="168"/>
      <c r="AB304" s="167"/>
      <c r="AC304" s="168"/>
      <c r="AD304" s="168"/>
      <c r="AE304" s="168"/>
      <c r="AF304" s="168"/>
      <c r="AG304" s="167"/>
      <c r="AH304" s="168"/>
      <c r="AI304" s="168"/>
      <c r="AJ304" s="168"/>
      <c r="AK304" s="168"/>
    </row>
    <row r="306" spans="3:37" ht="12.75" customHeight="1">
      <c r="C306" s="162"/>
      <c r="D306" s="163"/>
      <c r="E306" s="163"/>
      <c r="F306" s="163"/>
      <c r="G306" s="163"/>
      <c r="H306" s="162"/>
      <c r="I306" s="163"/>
      <c r="J306" s="163"/>
      <c r="K306" s="163"/>
      <c r="L306" s="163"/>
      <c r="M306" s="162"/>
      <c r="N306" s="163"/>
      <c r="O306" s="163"/>
      <c r="P306" s="163"/>
      <c r="Q306" s="163"/>
      <c r="R306" s="162"/>
      <c r="S306" s="1241"/>
      <c r="T306" s="163"/>
      <c r="U306" s="163"/>
      <c r="V306" s="163"/>
      <c r="W306" s="162"/>
      <c r="X306" s="163"/>
      <c r="Y306" s="163"/>
      <c r="Z306" s="163"/>
      <c r="AA306" s="163"/>
      <c r="AB306" s="162"/>
      <c r="AC306" s="163"/>
      <c r="AD306" s="163"/>
      <c r="AE306" s="163"/>
      <c r="AF306" s="163"/>
      <c r="AG306" s="162"/>
      <c r="AH306" s="163"/>
      <c r="AI306" s="163"/>
      <c r="AJ306" s="163"/>
      <c r="AK306" s="163"/>
    </row>
    <row r="307" spans="3:37" ht="12.75" customHeight="1">
      <c r="C307" s="127"/>
      <c r="D307" s="100"/>
      <c r="E307" s="100"/>
      <c r="F307" s="100"/>
      <c r="G307" s="100"/>
      <c r="H307" s="127"/>
      <c r="I307" s="100"/>
      <c r="J307" s="100"/>
      <c r="K307" s="100"/>
      <c r="L307" s="100"/>
      <c r="M307" s="127"/>
      <c r="N307" s="100"/>
      <c r="O307" s="100"/>
      <c r="P307" s="100"/>
      <c r="Q307" s="100"/>
      <c r="R307" s="127"/>
      <c r="S307" s="1219"/>
      <c r="T307" s="100"/>
      <c r="U307" s="100"/>
      <c r="V307" s="100"/>
      <c r="W307" s="127"/>
      <c r="X307" s="100"/>
      <c r="Y307" s="100"/>
      <c r="Z307" s="100"/>
      <c r="AA307" s="100"/>
      <c r="AB307" s="127"/>
      <c r="AC307" s="100"/>
      <c r="AD307" s="100"/>
      <c r="AE307" s="100"/>
      <c r="AF307" s="100"/>
      <c r="AG307" s="127"/>
      <c r="AH307" s="100"/>
      <c r="AI307" s="100"/>
      <c r="AJ307" s="100"/>
      <c r="AK307" s="100"/>
    </row>
    <row r="309" spans="3:37" ht="12.75" customHeight="1">
      <c r="C309" s="173"/>
      <c r="D309" s="166"/>
      <c r="E309" s="166"/>
      <c r="F309" s="166"/>
      <c r="G309" s="166"/>
      <c r="H309" s="173"/>
      <c r="I309" s="166"/>
      <c r="J309" s="166"/>
      <c r="K309" s="166"/>
      <c r="L309" s="166"/>
      <c r="M309" s="173"/>
      <c r="N309" s="166"/>
      <c r="O309" s="166"/>
      <c r="P309" s="166"/>
      <c r="Q309" s="166"/>
      <c r="R309" s="173"/>
      <c r="S309" s="1243"/>
      <c r="T309" s="166"/>
      <c r="U309" s="166"/>
      <c r="V309" s="166"/>
      <c r="W309" s="173"/>
      <c r="X309" s="166"/>
      <c r="Y309" s="166"/>
      <c r="Z309" s="166"/>
      <c r="AA309" s="166"/>
      <c r="AB309" s="173"/>
      <c r="AC309" s="166"/>
      <c r="AD309" s="166"/>
      <c r="AE309" s="166"/>
      <c r="AF309" s="166"/>
      <c r="AG309" s="173"/>
      <c r="AH309" s="166"/>
      <c r="AI309" s="166"/>
      <c r="AJ309" s="166"/>
      <c r="AK309" s="166"/>
    </row>
    <row r="310" spans="3:37" ht="12.75" customHeight="1">
      <c r="C310" s="167"/>
      <c r="D310" s="168"/>
      <c r="E310" s="168"/>
      <c r="F310" s="168"/>
      <c r="G310" s="168"/>
      <c r="H310" s="167"/>
      <c r="I310" s="168"/>
      <c r="J310" s="168"/>
      <c r="K310" s="168"/>
      <c r="L310" s="168"/>
      <c r="M310" s="167"/>
      <c r="N310" s="168"/>
      <c r="O310" s="168"/>
      <c r="P310" s="168"/>
      <c r="Q310" s="168"/>
      <c r="R310" s="167"/>
      <c r="S310" s="1244"/>
      <c r="T310" s="168"/>
      <c r="U310" s="168"/>
      <c r="V310" s="168"/>
      <c r="W310" s="167"/>
      <c r="X310" s="168"/>
      <c r="Y310" s="168"/>
      <c r="Z310" s="168"/>
      <c r="AA310" s="168"/>
      <c r="AB310" s="167"/>
      <c r="AC310" s="168"/>
      <c r="AD310" s="168"/>
      <c r="AE310" s="168"/>
      <c r="AF310" s="168"/>
      <c r="AG310" s="167"/>
      <c r="AH310" s="168"/>
      <c r="AI310" s="168"/>
      <c r="AJ310" s="168"/>
      <c r="AK310" s="168"/>
    </row>
    <row r="312" spans="3:37" ht="12.75" customHeight="1">
      <c r="C312" s="162"/>
      <c r="D312" s="163"/>
      <c r="E312" s="163"/>
      <c r="F312" s="163"/>
      <c r="G312" s="163"/>
      <c r="H312" s="162"/>
      <c r="I312" s="163"/>
      <c r="J312" s="163"/>
      <c r="K312" s="163"/>
      <c r="L312" s="163"/>
      <c r="M312" s="162"/>
      <c r="N312" s="163"/>
      <c r="O312" s="163"/>
      <c r="P312" s="163"/>
      <c r="Q312" s="163"/>
      <c r="R312" s="162"/>
      <c r="S312" s="1241"/>
      <c r="T312" s="163"/>
      <c r="U312" s="163"/>
      <c r="V312" s="163"/>
      <c r="W312" s="162"/>
      <c r="X312" s="163"/>
      <c r="Y312" s="163"/>
      <c r="Z312" s="163"/>
      <c r="AA312" s="163"/>
      <c r="AB312" s="162"/>
      <c r="AC312" s="163"/>
      <c r="AD312" s="163"/>
      <c r="AE312" s="163"/>
      <c r="AF312" s="163"/>
      <c r="AG312" s="162"/>
      <c r="AH312" s="163"/>
      <c r="AI312" s="163"/>
      <c r="AJ312" s="163"/>
      <c r="AK312" s="163"/>
    </row>
    <row r="313" spans="3:37" ht="12.75" customHeight="1">
      <c r="C313" s="127"/>
      <c r="D313" s="100"/>
      <c r="E313" s="100"/>
      <c r="F313" s="100"/>
      <c r="G313" s="100"/>
      <c r="H313" s="127"/>
      <c r="I313" s="100"/>
      <c r="J313" s="100"/>
      <c r="K313" s="100"/>
      <c r="L313" s="100"/>
      <c r="M313" s="127"/>
      <c r="N313" s="100"/>
      <c r="O313" s="100"/>
      <c r="P313" s="100"/>
      <c r="Q313" s="100"/>
      <c r="R313" s="127"/>
      <c r="S313" s="1219"/>
      <c r="T313" s="100"/>
      <c r="U313" s="100"/>
      <c r="V313" s="100"/>
      <c r="W313" s="127"/>
      <c r="X313" s="100"/>
      <c r="Y313" s="100"/>
      <c r="Z313" s="100"/>
      <c r="AA313" s="100"/>
      <c r="AB313" s="127"/>
      <c r="AC313" s="100"/>
      <c r="AD313" s="100"/>
      <c r="AE313" s="100"/>
      <c r="AF313" s="100"/>
      <c r="AG313" s="127"/>
      <c r="AH313" s="100"/>
      <c r="AI313" s="100"/>
      <c r="AJ313" s="100"/>
      <c r="AK313" s="100"/>
    </row>
    <row r="317" spans="3:37" ht="12.75" customHeight="1">
      <c r="C317" s="169"/>
      <c r="D317" s="170"/>
      <c r="E317" s="170"/>
      <c r="F317" s="170"/>
      <c r="G317" s="170"/>
      <c r="H317" s="169"/>
      <c r="I317" s="170"/>
      <c r="J317" s="170"/>
      <c r="K317" s="170"/>
      <c r="L317" s="170"/>
      <c r="M317" s="169"/>
      <c r="N317" s="170"/>
      <c r="O317" s="170"/>
      <c r="P317" s="170"/>
      <c r="Q317" s="170"/>
      <c r="R317" s="169"/>
      <c r="S317" s="1245"/>
      <c r="T317" s="170"/>
      <c r="U317" s="170"/>
      <c r="V317" s="170"/>
      <c r="W317" s="169"/>
      <c r="X317" s="170"/>
      <c r="Y317" s="170"/>
      <c r="Z317" s="170"/>
      <c r="AA317" s="170"/>
      <c r="AB317" s="169"/>
      <c r="AC317" s="170"/>
      <c r="AD317" s="170"/>
      <c r="AE317" s="170"/>
      <c r="AF317" s="170"/>
      <c r="AG317" s="169"/>
      <c r="AH317" s="170"/>
      <c r="AI317" s="170"/>
      <c r="AJ317" s="170"/>
      <c r="AK317" s="170"/>
    </row>
    <row r="318" spans="3:37" ht="12.75" customHeight="1">
      <c r="C318" s="174"/>
      <c r="D318" s="175"/>
      <c r="E318" s="175"/>
      <c r="F318" s="175"/>
      <c r="G318" s="175"/>
      <c r="H318" s="174"/>
      <c r="I318" s="175"/>
      <c r="J318" s="175"/>
      <c r="K318" s="175"/>
      <c r="L318" s="175"/>
      <c r="M318" s="174"/>
      <c r="N318" s="175"/>
      <c r="O318" s="175"/>
      <c r="P318" s="175"/>
      <c r="Q318" s="175"/>
      <c r="R318" s="174"/>
      <c r="S318" s="1247"/>
      <c r="T318" s="175"/>
      <c r="U318" s="175"/>
      <c r="V318" s="175"/>
      <c r="W318" s="174"/>
      <c r="X318" s="175"/>
      <c r="Y318" s="175"/>
      <c r="Z318" s="175"/>
      <c r="AA318" s="175"/>
      <c r="AB318" s="174"/>
      <c r="AC318" s="175"/>
      <c r="AD318" s="175"/>
      <c r="AE318" s="175"/>
      <c r="AF318" s="175"/>
      <c r="AG318" s="174"/>
      <c r="AH318" s="175"/>
      <c r="AI318" s="175"/>
      <c r="AJ318" s="175"/>
      <c r="AK318" s="175"/>
    </row>
    <row r="319" spans="3:37" ht="12.75" customHeight="1">
      <c r="C319" s="127"/>
      <c r="D319" s="100"/>
      <c r="E319" s="100"/>
      <c r="F319" s="100"/>
      <c r="G319" s="100"/>
      <c r="H319" s="127"/>
      <c r="I319" s="100"/>
      <c r="J319" s="100"/>
      <c r="K319" s="100"/>
      <c r="L319" s="100"/>
      <c r="M319" s="127"/>
      <c r="N319" s="100"/>
      <c r="O319" s="100"/>
      <c r="P319" s="100"/>
      <c r="Q319" s="100"/>
      <c r="R319" s="127"/>
      <c r="S319" s="1219"/>
      <c r="T319" s="100"/>
      <c r="U319" s="100"/>
      <c r="V319" s="100"/>
      <c r="W319" s="127"/>
      <c r="X319" s="100"/>
      <c r="Y319" s="100"/>
      <c r="Z319" s="100"/>
      <c r="AA319" s="100"/>
      <c r="AB319" s="127"/>
      <c r="AC319" s="100"/>
      <c r="AD319" s="100"/>
      <c r="AE319" s="100"/>
      <c r="AF319" s="100"/>
      <c r="AG319" s="127"/>
      <c r="AH319" s="100"/>
      <c r="AI319" s="100"/>
      <c r="AJ319" s="100"/>
      <c r="AK319" s="100"/>
    </row>
    <row r="322" spans="3:37" ht="12.75" customHeight="1">
      <c r="C322" s="162"/>
      <c r="D322" s="163"/>
      <c r="E322" s="163"/>
      <c r="F322" s="163"/>
      <c r="G322" s="163"/>
      <c r="H322" s="162"/>
      <c r="I322" s="163"/>
      <c r="J322" s="163"/>
      <c r="K322" s="163"/>
      <c r="L322" s="163"/>
      <c r="M322" s="162"/>
      <c r="N322" s="163"/>
      <c r="O322" s="163"/>
      <c r="P322" s="163"/>
      <c r="Q322" s="163"/>
      <c r="R322" s="162"/>
      <c r="S322" s="1241"/>
      <c r="T322" s="163"/>
      <c r="U322" s="163"/>
      <c r="V322" s="163"/>
      <c r="W322" s="162"/>
      <c r="X322" s="163"/>
      <c r="Y322" s="163"/>
      <c r="Z322" s="163"/>
      <c r="AA322" s="163"/>
      <c r="AB322" s="162"/>
      <c r="AC322" s="163"/>
      <c r="AD322" s="163"/>
      <c r="AE322" s="163"/>
      <c r="AF322" s="163"/>
      <c r="AG322" s="162"/>
      <c r="AH322" s="163"/>
      <c r="AI322" s="163"/>
      <c r="AJ322" s="163"/>
      <c r="AK322" s="163"/>
    </row>
    <row r="323" spans="3:37" ht="12.75" customHeight="1">
      <c r="C323" s="101"/>
      <c r="D323" s="102"/>
      <c r="E323" s="102"/>
      <c r="F323" s="102"/>
      <c r="G323" s="102"/>
      <c r="H323" s="101"/>
      <c r="I323" s="102"/>
      <c r="J323" s="102"/>
      <c r="K323" s="102"/>
      <c r="L323" s="102"/>
      <c r="M323" s="101"/>
      <c r="N323" s="102"/>
      <c r="O323" s="102"/>
      <c r="P323" s="102"/>
      <c r="Q323" s="102"/>
      <c r="R323" s="101"/>
      <c r="S323" s="291"/>
      <c r="T323" s="102"/>
      <c r="U323" s="102"/>
      <c r="V323" s="102"/>
      <c r="W323" s="101"/>
      <c r="X323" s="102"/>
      <c r="Y323" s="102"/>
      <c r="Z323" s="102"/>
      <c r="AA323" s="102"/>
      <c r="AB323" s="101"/>
      <c r="AC323" s="102"/>
      <c r="AD323" s="102"/>
      <c r="AE323" s="102"/>
      <c r="AF323" s="102"/>
      <c r="AG323" s="101"/>
      <c r="AH323" s="102"/>
      <c r="AI323" s="102"/>
      <c r="AJ323" s="102"/>
      <c r="AK323" s="102"/>
    </row>
    <row r="324" spans="3:37" ht="12.75" customHeight="1">
      <c r="C324" s="101"/>
      <c r="D324" s="102"/>
      <c r="E324" s="102"/>
      <c r="F324" s="102"/>
      <c r="G324" s="102"/>
      <c r="H324" s="101"/>
      <c r="I324" s="102"/>
      <c r="J324" s="102"/>
      <c r="K324" s="102"/>
      <c r="L324" s="102"/>
      <c r="M324" s="101"/>
      <c r="N324" s="102"/>
      <c r="O324" s="102"/>
      <c r="P324" s="102"/>
      <c r="Q324" s="102"/>
      <c r="R324" s="101"/>
      <c r="S324" s="291"/>
      <c r="T324" s="102"/>
      <c r="U324" s="102"/>
      <c r="V324" s="102"/>
      <c r="W324" s="101"/>
      <c r="X324" s="102"/>
      <c r="Y324" s="102"/>
      <c r="Z324" s="102"/>
      <c r="AA324" s="102"/>
      <c r="AB324" s="101"/>
      <c r="AC324" s="102"/>
      <c r="AD324" s="102"/>
      <c r="AE324" s="102"/>
      <c r="AF324" s="102"/>
      <c r="AG324" s="101"/>
      <c r="AH324" s="102"/>
      <c r="AI324" s="102"/>
      <c r="AJ324" s="102"/>
      <c r="AK324" s="102"/>
    </row>
    <row r="325" spans="3:37" ht="12.75" customHeight="1">
      <c r="C325" s="101"/>
      <c r="D325" s="102"/>
      <c r="E325" s="102"/>
      <c r="F325" s="102"/>
      <c r="G325" s="102"/>
      <c r="H325" s="101"/>
      <c r="I325" s="102"/>
      <c r="J325" s="102"/>
      <c r="K325" s="102"/>
      <c r="L325" s="102"/>
      <c r="M325" s="101"/>
      <c r="N325" s="102"/>
      <c r="O325" s="102"/>
      <c r="P325" s="102"/>
      <c r="Q325" s="102"/>
      <c r="R325" s="101"/>
      <c r="S325" s="291"/>
      <c r="T325" s="102"/>
      <c r="U325" s="102"/>
      <c r="V325" s="102"/>
      <c r="W325" s="101"/>
      <c r="X325" s="102"/>
      <c r="Y325" s="102"/>
      <c r="Z325" s="102"/>
      <c r="AA325" s="102"/>
      <c r="AB325" s="101"/>
      <c r="AC325" s="102"/>
      <c r="AD325" s="102"/>
      <c r="AE325" s="102"/>
      <c r="AF325" s="102"/>
      <c r="AG325" s="101"/>
      <c r="AH325" s="102"/>
      <c r="AI325" s="102"/>
      <c r="AJ325" s="102"/>
      <c r="AK325" s="102"/>
    </row>
    <row r="326" spans="3:37" ht="12.75" customHeight="1">
      <c r="C326" s="164"/>
      <c r="D326" s="102"/>
      <c r="E326" s="102"/>
      <c r="F326" s="102"/>
      <c r="G326" s="102"/>
      <c r="H326" s="164"/>
      <c r="I326" s="102"/>
      <c r="J326" s="102"/>
      <c r="K326" s="102"/>
      <c r="L326" s="102"/>
      <c r="M326" s="164"/>
      <c r="N326" s="102"/>
      <c r="O326" s="102"/>
      <c r="P326" s="102"/>
      <c r="Q326" s="102"/>
      <c r="R326" s="164"/>
      <c r="S326" s="291"/>
      <c r="T326" s="102"/>
      <c r="U326" s="102"/>
      <c r="V326" s="102"/>
      <c r="W326" s="164"/>
      <c r="X326" s="102"/>
      <c r="Y326" s="102"/>
      <c r="Z326" s="102"/>
      <c r="AA326" s="102"/>
      <c r="AB326" s="164"/>
      <c r="AC326" s="102"/>
      <c r="AD326" s="102"/>
      <c r="AE326" s="102"/>
      <c r="AF326" s="102"/>
      <c r="AG326" s="164"/>
      <c r="AH326" s="102"/>
      <c r="AI326" s="102"/>
      <c r="AJ326" s="102"/>
      <c r="AK326" s="102"/>
    </row>
    <row r="327" spans="3:37" ht="12.75" customHeight="1">
      <c r="C327" s="101"/>
      <c r="D327" s="102"/>
      <c r="E327" s="102"/>
      <c r="F327" s="102"/>
      <c r="G327" s="102"/>
      <c r="H327" s="101"/>
      <c r="I327" s="102"/>
      <c r="J327" s="102"/>
      <c r="K327" s="102"/>
      <c r="L327" s="102"/>
      <c r="M327" s="101"/>
      <c r="N327" s="102"/>
      <c r="O327" s="102"/>
      <c r="P327" s="102"/>
      <c r="Q327" s="102"/>
      <c r="R327" s="101"/>
      <c r="S327" s="291"/>
      <c r="T327" s="102"/>
      <c r="U327" s="102"/>
      <c r="V327" s="102"/>
      <c r="W327" s="101"/>
      <c r="X327" s="102"/>
      <c r="Y327" s="102"/>
      <c r="Z327" s="102"/>
      <c r="AA327" s="102"/>
      <c r="AB327" s="101"/>
      <c r="AC327" s="102"/>
      <c r="AD327" s="102"/>
      <c r="AE327" s="102"/>
      <c r="AF327" s="102"/>
      <c r="AG327" s="101"/>
      <c r="AH327" s="102"/>
      <c r="AI327" s="102"/>
      <c r="AJ327" s="102"/>
      <c r="AK327" s="102"/>
    </row>
    <row r="328" spans="3:37" ht="12.75" customHeight="1">
      <c r="C328" s="162"/>
      <c r="D328" s="102"/>
      <c r="E328" s="102"/>
      <c r="F328" s="102"/>
      <c r="G328" s="102"/>
      <c r="H328" s="162"/>
      <c r="I328" s="102"/>
      <c r="J328" s="102"/>
      <c r="K328" s="102"/>
      <c r="L328" s="102"/>
      <c r="M328" s="162"/>
      <c r="N328" s="102"/>
      <c r="O328" s="102"/>
      <c r="P328" s="102"/>
      <c r="Q328" s="102"/>
      <c r="R328" s="162"/>
      <c r="S328" s="291"/>
      <c r="T328" s="102"/>
      <c r="U328" s="102"/>
      <c r="V328" s="102"/>
      <c r="W328" s="162"/>
      <c r="X328" s="102"/>
      <c r="Y328" s="102"/>
      <c r="Z328" s="102"/>
      <c r="AA328" s="102"/>
      <c r="AB328" s="162"/>
      <c r="AC328" s="102"/>
      <c r="AD328" s="102"/>
      <c r="AE328" s="102"/>
      <c r="AF328" s="102"/>
      <c r="AG328" s="162"/>
      <c r="AH328" s="102"/>
      <c r="AI328" s="102"/>
      <c r="AJ328" s="102"/>
      <c r="AK328" s="102"/>
    </row>
    <row r="329" spans="3:37" ht="12.75" customHeight="1">
      <c r="C329" s="101"/>
      <c r="D329" s="102"/>
      <c r="E329" s="102"/>
      <c r="F329" s="102"/>
      <c r="G329" s="102"/>
      <c r="H329" s="101"/>
      <c r="I329" s="102"/>
      <c r="J329" s="102"/>
      <c r="K329" s="102"/>
      <c r="L329" s="102"/>
      <c r="M329" s="101"/>
      <c r="N329" s="102"/>
      <c r="O329" s="102"/>
      <c r="P329" s="102"/>
      <c r="Q329" s="102"/>
      <c r="R329" s="101"/>
      <c r="S329" s="291"/>
      <c r="T329" s="102"/>
      <c r="U329" s="102"/>
      <c r="V329" s="102"/>
      <c r="W329" s="101"/>
      <c r="X329" s="102"/>
      <c r="Y329" s="102"/>
      <c r="Z329" s="102"/>
      <c r="AA329" s="102"/>
      <c r="AB329" s="101"/>
      <c r="AC329" s="102"/>
      <c r="AD329" s="102"/>
      <c r="AE329" s="102"/>
      <c r="AF329" s="102"/>
      <c r="AG329" s="101"/>
      <c r="AH329" s="102"/>
      <c r="AI329" s="102"/>
      <c r="AJ329" s="102"/>
      <c r="AK329" s="102"/>
    </row>
    <row r="330" spans="3:37" ht="12.75" customHeight="1">
      <c r="C330" s="101"/>
      <c r="D330" s="102"/>
      <c r="E330" s="102"/>
      <c r="F330" s="102"/>
      <c r="G330" s="102"/>
      <c r="H330" s="101"/>
      <c r="I330" s="102"/>
      <c r="J330" s="102"/>
      <c r="K330" s="102"/>
      <c r="L330" s="102"/>
      <c r="M330" s="101"/>
      <c r="N330" s="102"/>
      <c r="O330" s="102"/>
      <c r="P330" s="102"/>
      <c r="Q330" s="102"/>
      <c r="R330" s="101"/>
      <c r="S330" s="291"/>
      <c r="T330" s="102"/>
      <c r="U330" s="102"/>
      <c r="V330" s="102"/>
      <c r="W330" s="101"/>
      <c r="X330" s="102"/>
      <c r="Y330" s="102"/>
      <c r="Z330" s="102"/>
      <c r="AA330" s="102"/>
      <c r="AB330" s="101"/>
      <c r="AC330" s="102"/>
      <c r="AD330" s="102"/>
      <c r="AE330" s="102"/>
      <c r="AF330" s="102"/>
      <c r="AG330" s="101"/>
      <c r="AH330" s="102"/>
      <c r="AI330" s="102"/>
      <c r="AJ330" s="102"/>
      <c r="AK330" s="102"/>
    </row>
    <row r="331" spans="3:37" ht="12.75" customHeight="1">
      <c r="C331" s="178"/>
      <c r="D331" s="179"/>
      <c r="E331" s="179"/>
      <c r="F331" s="179"/>
      <c r="G331" s="179"/>
      <c r="H331" s="178"/>
      <c r="I331" s="179"/>
      <c r="J331" s="179"/>
      <c r="K331" s="179"/>
      <c r="L331" s="179"/>
      <c r="M331" s="178"/>
      <c r="N331" s="179"/>
      <c r="O331" s="179"/>
      <c r="P331" s="179"/>
      <c r="Q331" s="179"/>
      <c r="R331" s="178"/>
      <c r="S331" s="1249"/>
      <c r="T331" s="179"/>
      <c r="U331" s="179"/>
      <c r="V331" s="179"/>
      <c r="W331" s="178"/>
      <c r="X331" s="179"/>
      <c r="Y331" s="179"/>
      <c r="Z331" s="179"/>
      <c r="AA331" s="179"/>
      <c r="AB331" s="178"/>
      <c r="AC331" s="179"/>
      <c r="AD331" s="179"/>
      <c r="AE331" s="179"/>
      <c r="AF331" s="179"/>
      <c r="AG331" s="178"/>
      <c r="AH331" s="179"/>
      <c r="AI331" s="179"/>
      <c r="AJ331" s="179"/>
      <c r="AK331" s="179"/>
    </row>
    <row r="332" spans="3:37" ht="12.75" customHeight="1">
      <c r="C332" s="167"/>
      <c r="D332" s="168"/>
      <c r="E332" s="168"/>
      <c r="F332" s="168"/>
      <c r="G332" s="168"/>
      <c r="H332" s="167"/>
      <c r="I332" s="168"/>
      <c r="J332" s="168"/>
      <c r="K332" s="168"/>
      <c r="L332" s="168"/>
      <c r="M332" s="167"/>
      <c r="N332" s="168"/>
      <c r="O332" s="168"/>
      <c r="P332" s="168"/>
      <c r="Q332" s="168"/>
      <c r="R332" s="167"/>
      <c r="S332" s="1244"/>
      <c r="T332" s="168"/>
      <c r="U332" s="168"/>
      <c r="V332" s="168"/>
      <c r="W332" s="167"/>
      <c r="X332" s="168"/>
      <c r="Y332" s="168"/>
      <c r="Z332" s="168"/>
      <c r="AA332" s="168"/>
      <c r="AB332" s="167"/>
      <c r="AC332" s="168"/>
      <c r="AD332" s="168"/>
      <c r="AE332" s="168"/>
      <c r="AF332" s="168"/>
      <c r="AG332" s="167"/>
      <c r="AH332" s="168"/>
      <c r="AI332" s="168"/>
      <c r="AJ332" s="168"/>
      <c r="AK332" s="168"/>
    </row>
    <row r="333" spans="3:37" ht="12.75" customHeight="1">
      <c r="C333" s="101"/>
      <c r="D333" s="102"/>
      <c r="E333" s="102"/>
      <c r="F333" s="102"/>
      <c r="G333" s="102"/>
      <c r="H333" s="101"/>
      <c r="I333" s="102"/>
      <c r="J333" s="102"/>
      <c r="K333" s="102"/>
      <c r="L333" s="102"/>
      <c r="M333" s="101"/>
      <c r="N333" s="102"/>
      <c r="O333" s="102"/>
      <c r="P333" s="102"/>
      <c r="Q333" s="102"/>
      <c r="R333" s="101"/>
      <c r="S333" s="291"/>
      <c r="T333" s="102"/>
      <c r="U333" s="102"/>
      <c r="V333" s="102"/>
      <c r="W333" s="101"/>
      <c r="X333" s="102"/>
      <c r="Y333" s="102"/>
      <c r="Z333" s="102"/>
      <c r="AA333" s="102"/>
      <c r="AB333" s="101"/>
      <c r="AC333" s="102"/>
      <c r="AD333" s="102"/>
      <c r="AE333" s="102"/>
      <c r="AF333" s="102"/>
      <c r="AG333" s="101"/>
      <c r="AH333" s="102"/>
      <c r="AI333" s="102"/>
      <c r="AJ333" s="102"/>
      <c r="AK333" s="102"/>
    </row>
    <row r="334" spans="3:37" ht="12.75" customHeight="1">
      <c r="C334" s="127"/>
      <c r="D334" s="100"/>
      <c r="E334" s="100"/>
      <c r="F334" s="100"/>
      <c r="G334" s="100"/>
      <c r="H334" s="127"/>
      <c r="I334" s="100"/>
      <c r="J334" s="100"/>
      <c r="K334" s="100"/>
      <c r="L334" s="100"/>
      <c r="M334" s="127"/>
      <c r="N334" s="100"/>
      <c r="O334" s="100"/>
      <c r="P334" s="100"/>
      <c r="Q334" s="100"/>
      <c r="R334" s="127"/>
      <c r="S334" s="1219"/>
      <c r="T334" s="100"/>
      <c r="U334" s="100"/>
      <c r="V334" s="100"/>
      <c r="W334" s="127"/>
      <c r="X334" s="100"/>
      <c r="Y334" s="100"/>
      <c r="Z334" s="100"/>
      <c r="AA334" s="100"/>
      <c r="AB334" s="127"/>
      <c r="AC334" s="100"/>
      <c r="AD334" s="100"/>
      <c r="AE334" s="100"/>
      <c r="AF334" s="100"/>
      <c r="AG334" s="127"/>
      <c r="AH334" s="100"/>
      <c r="AI334" s="100"/>
      <c r="AJ334" s="100"/>
      <c r="AK334" s="100"/>
    </row>
    <row r="336" spans="3:37" ht="12.75" customHeight="1">
      <c r="C336" s="174"/>
      <c r="D336" s="175"/>
      <c r="E336" s="175"/>
      <c r="F336" s="175"/>
      <c r="G336" s="175"/>
      <c r="H336" s="174"/>
      <c r="I336" s="175"/>
      <c r="J336" s="175"/>
      <c r="K336" s="175"/>
      <c r="L336" s="175"/>
      <c r="M336" s="174"/>
      <c r="N336" s="175"/>
      <c r="O336" s="175"/>
      <c r="P336" s="175"/>
      <c r="Q336" s="175"/>
      <c r="R336" s="174"/>
      <c r="S336" s="1247"/>
      <c r="T336" s="175"/>
      <c r="U336" s="175"/>
      <c r="V336" s="175"/>
      <c r="W336" s="174"/>
      <c r="X336" s="175"/>
      <c r="Y336" s="175"/>
      <c r="Z336" s="175"/>
      <c r="AA336" s="175"/>
      <c r="AB336" s="174"/>
      <c r="AC336" s="175"/>
      <c r="AD336" s="175"/>
      <c r="AE336" s="175"/>
      <c r="AF336" s="175"/>
      <c r="AG336" s="174"/>
      <c r="AH336" s="175"/>
      <c r="AI336" s="175"/>
      <c r="AJ336" s="175"/>
      <c r="AK336" s="175"/>
    </row>
    <row r="337" spans="3:37" ht="12.75" customHeight="1">
      <c r="C337" s="127"/>
      <c r="D337" s="100"/>
      <c r="E337" s="100"/>
      <c r="F337" s="100"/>
      <c r="G337" s="100"/>
      <c r="H337" s="127"/>
      <c r="I337" s="100"/>
      <c r="J337" s="100"/>
      <c r="K337" s="100"/>
      <c r="L337" s="100"/>
      <c r="M337" s="127"/>
      <c r="N337" s="100"/>
      <c r="O337" s="100"/>
      <c r="P337" s="100"/>
      <c r="Q337" s="100"/>
      <c r="R337" s="127"/>
      <c r="S337" s="1219"/>
      <c r="T337" s="100"/>
      <c r="U337" s="100"/>
      <c r="V337" s="100"/>
      <c r="W337" s="127"/>
      <c r="X337" s="100"/>
      <c r="Y337" s="100"/>
      <c r="Z337" s="100"/>
      <c r="AA337" s="100"/>
      <c r="AB337" s="127"/>
      <c r="AC337" s="100"/>
      <c r="AD337" s="100"/>
      <c r="AE337" s="100"/>
      <c r="AF337" s="100"/>
      <c r="AG337" s="127"/>
      <c r="AH337" s="100"/>
      <c r="AI337" s="100"/>
      <c r="AJ337" s="100"/>
      <c r="AK337" s="100"/>
    </row>
    <row r="340" spans="3:37" ht="12.75" customHeight="1">
      <c r="C340" s="169"/>
      <c r="D340" s="170"/>
      <c r="E340" s="170"/>
      <c r="F340" s="170"/>
      <c r="G340" s="170"/>
      <c r="H340" s="169"/>
      <c r="I340" s="170"/>
      <c r="J340" s="170"/>
      <c r="K340" s="170"/>
      <c r="L340" s="170"/>
      <c r="M340" s="169"/>
      <c r="N340" s="170"/>
      <c r="O340" s="170"/>
      <c r="P340" s="170"/>
      <c r="Q340" s="170"/>
      <c r="R340" s="169"/>
      <c r="S340" s="1245"/>
      <c r="T340" s="170"/>
      <c r="U340" s="170"/>
      <c r="V340" s="170"/>
      <c r="W340" s="169"/>
      <c r="X340" s="170"/>
      <c r="Y340" s="170"/>
      <c r="Z340" s="170"/>
      <c r="AA340" s="170"/>
      <c r="AB340" s="169"/>
      <c r="AC340" s="170"/>
      <c r="AD340" s="170"/>
      <c r="AE340" s="170"/>
      <c r="AF340" s="170"/>
      <c r="AG340" s="169"/>
      <c r="AH340" s="170"/>
      <c r="AI340" s="170"/>
      <c r="AJ340" s="170"/>
      <c r="AK340" s="170"/>
    </row>
    <row r="343" spans="3:37" ht="12.75" customHeight="1">
      <c r="C343" s="178"/>
      <c r="D343" s="179"/>
      <c r="E343" s="179"/>
      <c r="F343" s="179"/>
      <c r="G343" s="179"/>
      <c r="H343" s="178"/>
      <c r="I343" s="179"/>
      <c r="J343" s="179"/>
      <c r="K343" s="179"/>
      <c r="L343" s="179"/>
      <c r="M343" s="178"/>
      <c r="N343" s="179"/>
      <c r="O343" s="179"/>
      <c r="P343" s="179"/>
      <c r="Q343" s="179"/>
      <c r="R343" s="178"/>
      <c r="S343" s="1249"/>
      <c r="T343" s="179"/>
      <c r="U343" s="179"/>
      <c r="V343" s="179"/>
      <c r="W343" s="178"/>
      <c r="X343" s="179"/>
      <c r="Y343" s="179"/>
      <c r="Z343" s="179"/>
      <c r="AA343" s="179"/>
      <c r="AB343" s="178"/>
      <c r="AC343" s="179"/>
      <c r="AD343" s="179"/>
      <c r="AE343" s="179"/>
      <c r="AF343" s="179"/>
      <c r="AG343" s="178"/>
      <c r="AH343" s="179"/>
      <c r="AI343" s="179"/>
      <c r="AJ343" s="179"/>
      <c r="AK343" s="179"/>
    </row>
    <row r="344" spans="3:37" ht="12.75" customHeight="1">
      <c r="C344" s="167"/>
      <c r="D344" s="168"/>
      <c r="E344" s="168"/>
      <c r="F344" s="168"/>
      <c r="G344" s="168"/>
      <c r="H344" s="167"/>
      <c r="I344" s="168"/>
      <c r="J344" s="168"/>
      <c r="K344" s="168"/>
      <c r="L344" s="168"/>
      <c r="M344" s="167"/>
      <c r="N344" s="168"/>
      <c r="O344" s="168"/>
      <c r="P344" s="168"/>
      <c r="Q344" s="168"/>
      <c r="R344" s="167"/>
      <c r="S344" s="1244"/>
      <c r="T344" s="168"/>
      <c r="U344" s="168"/>
      <c r="V344" s="168"/>
      <c r="W344" s="167"/>
      <c r="X344" s="168"/>
      <c r="Y344" s="168"/>
      <c r="Z344" s="168"/>
      <c r="AA344" s="168"/>
      <c r="AB344" s="167"/>
      <c r="AC344" s="168"/>
      <c r="AD344" s="168"/>
      <c r="AE344" s="168"/>
      <c r="AF344" s="168"/>
      <c r="AG344" s="167"/>
      <c r="AH344" s="168"/>
      <c r="AI344" s="168"/>
      <c r="AJ344" s="168"/>
      <c r="AK344" s="168"/>
    </row>
    <row r="346" spans="3:37" ht="12.75" customHeight="1">
      <c r="C346" s="127"/>
      <c r="D346" s="100"/>
      <c r="E346" s="100"/>
      <c r="F346" s="100"/>
      <c r="G346" s="100"/>
      <c r="H346" s="127"/>
      <c r="I346" s="100"/>
      <c r="J346" s="100"/>
      <c r="K346" s="100"/>
      <c r="L346" s="100"/>
      <c r="M346" s="127"/>
      <c r="N346" s="100"/>
      <c r="O346" s="100"/>
      <c r="P346" s="100"/>
      <c r="Q346" s="100"/>
      <c r="R346" s="127"/>
      <c r="S346" s="1219"/>
      <c r="T346" s="100"/>
      <c r="U346" s="100"/>
      <c r="V346" s="100"/>
      <c r="W346" s="127"/>
      <c r="X346" s="100"/>
      <c r="Y346" s="100"/>
      <c r="Z346" s="100"/>
      <c r="AA346" s="100"/>
      <c r="AB346" s="127"/>
      <c r="AC346" s="100"/>
      <c r="AD346" s="100"/>
      <c r="AE346" s="100"/>
      <c r="AF346" s="100"/>
      <c r="AG346" s="127"/>
      <c r="AH346" s="100"/>
      <c r="AI346" s="100"/>
      <c r="AJ346" s="100"/>
      <c r="AK346" s="100"/>
    </row>
    <row r="349" spans="3:37" ht="12.75" customHeight="1">
      <c r="C349" s="127"/>
      <c r="D349" s="100"/>
      <c r="E349" s="100"/>
      <c r="F349" s="100"/>
      <c r="G349" s="100"/>
      <c r="H349" s="127"/>
      <c r="I349" s="100"/>
      <c r="J349" s="100"/>
      <c r="K349" s="100"/>
      <c r="L349" s="100"/>
      <c r="M349" s="127"/>
      <c r="N349" s="100"/>
      <c r="O349" s="100"/>
      <c r="P349" s="100"/>
      <c r="Q349" s="100"/>
      <c r="R349" s="127"/>
      <c r="S349" s="1219"/>
      <c r="T349" s="100"/>
      <c r="U349" s="100"/>
      <c r="V349" s="100"/>
      <c r="W349" s="127"/>
      <c r="X349" s="100"/>
      <c r="Y349" s="100"/>
      <c r="Z349" s="100"/>
      <c r="AA349" s="100"/>
      <c r="AB349" s="127"/>
      <c r="AC349" s="100"/>
      <c r="AD349" s="100"/>
      <c r="AE349" s="100"/>
      <c r="AF349" s="100"/>
      <c r="AG349" s="127"/>
      <c r="AH349" s="100"/>
      <c r="AI349" s="100"/>
      <c r="AJ349" s="100"/>
      <c r="AK349" s="100"/>
    </row>
    <row r="351" spans="3:37" ht="12.75" customHeight="1">
      <c r="C351" s="173"/>
      <c r="D351" s="166"/>
      <c r="E351" s="166"/>
      <c r="F351" s="166"/>
      <c r="G351" s="166"/>
      <c r="H351" s="173"/>
      <c r="I351" s="166"/>
      <c r="J351" s="166"/>
      <c r="K351" s="166"/>
      <c r="L351" s="166"/>
      <c r="M351" s="173"/>
      <c r="N351" s="166"/>
      <c r="O351" s="166"/>
      <c r="P351" s="166"/>
      <c r="Q351" s="166"/>
      <c r="R351" s="173"/>
      <c r="S351" s="1243"/>
      <c r="T351" s="166"/>
      <c r="U351" s="166"/>
      <c r="V351" s="166"/>
      <c r="W351" s="173"/>
      <c r="X351" s="166"/>
      <c r="Y351" s="166"/>
      <c r="Z351" s="166"/>
      <c r="AA351" s="166"/>
      <c r="AB351" s="173"/>
      <c r="AC351" s="166"/>
      <c r="AD351" s="166"/>
      <c r="AE351" s="166"/>
      <c r="AF351" s="166"/>
      <c r="AG351" s="173"/>
      <c r="AH351" s="166"/>
      <c r="AI351" s="166"/>
      <c r="AJ351" s="166"/>
      <c r="AK351" s="166"/>
    </row>
    <row r="352" spans="3:37" ht="12.75" customHeight="1">
      <c r="C352" s="167"/>
      <c r="D352" s="168"/>
      <c r="E352" s="168"/>
      <c r="F352" s="168"/>
      <c r="G352" s="168"/>
      <c r="H352" s="167"/>
      <c r="I352" s="168"/>
      <c r="J352" s="168"/>
      <c r="K352" s="168"/>
      <c r="L352" s="168"/>
      <c r="M352" s="167"/>
      <c r="N352" s="168"/>
      <c r="O352" s="168"/>
      <c r="P352" s="168"/>
      <c r="Q352" s="168"/>
      <c r="R352" s="167"/>
      <c r="S352" s="1244"/>
      <c r="T352" s="168"/>
      <c r="U352" s="168"/>
      <c r="V352" s="168"/>
      <c r="W352" s="167"/>
      <c r="X352" s="168"/>
      <c r="Y352" s="168"/>
      <c r="Z352" s="168"/>
      <c r="AA352" s="168"/>
      <c r="AB352" s="167"/>
      <c r="AC352" s="168"/>
      <c r="AD352" s="168"/>
      <c r="AE352" s="168"/>
      <c r="AF352" s="168"/>
      <c r="AG352" s="167"/>
      <c r="AH352" s="168"/>
      <c r="AI352" s="168"/>
      <c r="AJ352" s="168"/>
      <c r="AK352" s="168"/>
    </row>
    <row r="354" spans="3:37" ht="12.75" customHeight="1">
      <c r="C354" s="127"/>
      <c r="D354" s="100"/>
      <c r="E354" s="100"/>
      <c r="F354" s="100"/>
      <c r="G354" s="100"/>
      <c r="H354" s="127"/>
      <c r="I354" s="100"/>
      <c r="J354" s="100"/>
      <c r="K354" s="100"/>
      <c r="L354" s="100"/>
      <c r="M354" s="127"/>
      <c r="N354" s="100"/>
      <c r="O354" s="100"/>
      <c r="P354" s="100"/>
      <c r="Q354" s="100"/>
      <c r="R354" s="127"/>
      <c r="S354" s="1219"/>
      <c r="T354" s="100"/>
      <c r="U354" s="100"/>
      <c r="V354" s="100"/>
      <c r="W354" s="127"/>
      <c r="X354" s="100"/>
      <c r="Y354" s="100"/>
      <c r="Z354" s="100"/>
      <c r="AA354" s="100"/>
      <c r="AB354" s="127"/>
      <c r="AC354" s="100"/>
      <c r="AD354" s="100"/>
      <c r="AE354" s="100"/>
      <c r="AF354" s="100"/>
      <c r="AG354" s="127"/>
      <c r="AH354" s="100"/>
      <c r="AI354" s="100"/>
      <c r="AJ354" s="100"/>
      <c r="AK354" s="100"/>
    </row>
    <row r="356" spans="3:37" ht="12.75" customHeight="1">
      <c r="C356" s="162"/>
      <c r="D356" s="163"/>
      <c r="E356" s="163"/>
      <c r="F356" s="163"/>
      <c r="G356" s="163"/>
      <c r="H356" s="162"/>
      <c r="I356" s="163"/>
      <c r="J356" s="163"/>
      <c r="K356" s="163"/>
      <c r="L356" s="163"/>
      <c r="M356" s="162"/>
      <c r="N356" s="163"/>
      <c r="O356" s="163"/>
      <c r="P356" s="163"/>
      <c r="Q356" s="163"/>
      <c r="R356" s="162"/>
      <c r="S356" s="1241"/>
      <c r="T356" s="163"/>
      <c r="U356" s="163"/>
      <c r="V356" s="163"/>
      <c r="W356" s="162"/>
      <c r="X356" s="163"/>
      <c r="Y356" s="163"/>
      <c r="Z356" s="163"/>
      <c r="AA356" s="163"/>
      <c r="AB356" s="162"/>
      <c r="AC356" s="163"/>
      <c r="AD356" s="163"/>
      <c r="AE356" s="163"/>
      <c r="AF356" s="163"/>
      <c r="AG356" s="162"/>
      <c r="AH356" s="163"/>
      <c r="AI356" s="163"/>
      <c r="AJ356" s="163"/>
      <c r="AK356" s="163"/>
    </row>
    <row r="357" spans="3:37" ht="12.75" customHeight="1">
      <c r="C357" s="127"/>
      <c r="D357" s="100"/>
      <c r="E357" s="100"/>
      <c r="F357" s="100"/>
      <c r="G357" s="100"/>
      <c r="H357" s="127"/>
      <c r="I357" s="100"/>
      <c r="J357" s="100"/>
      <c r="K357" s="100"/>
      <c r="L357" s="100"/>
      <c r="M357" s="127"/>
      <c r="N357" s="100"/>
      <c r="O357" s="100"/>
      <c r="P357" s="100"/>
      <c r="Q357" s="100"/>
      <c r="R357" s="127"/>
      <c r="S357" s="1219"/>
      <c r="T357" s="100"/>
      <c r="U357" s="100"/>
      <c r="V357" s="100"/>
      <c r="W357" s="127"/>
      <c r="X357" s="100"/>
      <c r="Y357" s="100"/>
      <c r="Z357" s="100"/>
      <c r="AA357" s="100"/>
      <c r="AB357" s="127"/>
      <c r="AC357" s="100"/>
      <c r="AD357" s="100"/>
      <c r="AE357" s="100"/>
      <c r="AF357" s="100"/>
      <c r="AG357" s="127"/>
      <c r="AH357" s="100"/>
      <c r="AI357" s="100"/>
      <c r="AJ357" s="100"/>
      <c r="AK357" s="100"/>
    </row>
    <row r="361" spans="3:37" ht="12.75" customHeight="1">
      <c r="C361" s="127"/>
      <c r="D361" s="100"/>
      <c r="E361" s="100"/>
      <c r="F361" s="100"/>
      <c r="G361" s="100"/>
      <c r="H361" s="127"/>
      <c r="I361" s="100"/>
      <c r="J361" s="100"/>
      <c r="K361" s="100"/>
      <c r="L361" s="100"/>
      <c r="M361" s="127"/>
      <c r="N361" s="100"/>
      <c r="O361" s="100"/>
      <c r="P361" s="100"/>
      <c r="Q361" s="100"/>
      <c r="R361" s="127"/>
      <c r="S361" s="1219"/>
      <c r="T361" s="100"/>
      <c r="U361" s="100"/>
      <c r="V361" s="100"/>
      <c r="W361" s="127"/>
      <c r="X361" s="100"/>
      <c r="Y361" s="100"/>
      <c r="Z361" s="100"/>
      <c r="AA361" s="100"/>
      <c r="AB361" s="127"/>
      <c r="AC361" s="100"/>
      <c r="AD361" s="100"/>
      <c r="AE361" s="100"/>
      <c r="AF361" s="100"/>
      <c r="AG361" s="127"/>
      <c r="AH361" s="100"/>
      <c r="AI361" s="100"/>
      <c r="AJ361" s="100"/>
      <c r="AK361" s="100"/>
    </row>
    <row r="362" spans="3:37" ht="12.75" customHeight="1">
      <c r="C362" s="127"/>
      <c r="D362" s="100"/>
      <c r="E362" s="100"/>
      <c r="F362" s="100"/>
      <c r="G362" s="100"/>
      <c r="H362" s="127"/>
      <c r="I362" s="100"/>
      <c r="J362" s="100"/>
      <c r="K362" s="100"/>
      <c r="L362" s="100"/>
      <c r="M362" s="127"/>
      <c r="N362" s="100"/>
      <c r="O362" s="100"/>
      <c r="P362" s="100"/>
      <c r="Q362" s="100"/>
      <c r="R362" s="127"/>
      <c r="S362" s="1219"/>
      <c r="T362" s="100"/>
      <c r="U362" s="100"/>
      <c r="V362" s="100"/>
      <c r="W362" s="127"/>
      <c r="X362" s="100"/>
      <c r="Y362" s="100"/>
      <c r="Z362" s="100"/>
      <c r="AA362" s="100"/>
      <c r="AB362" s="127"/>
      <c r="AC362" s="100"/>
      <c r="AD362" s="100"/>
      <c r="AE362" s="100"/>
      <c r="AF362" s="100"/>
      <c r="AG362" s="127"/>
      <c r="AH362" s="100"/>
      <c r="AI362" s="100"/>
      <c r="AJ362" s="100"/>
      <c r="AK362" s="100"/>
    </row>
    <row r="363" spans="3:37" ht="12.75" customHeight="1">
      <c r="C363" s="169"/>
      <c r="D363" s="170"/>
      <c r="E363" s="170"/>
      <c r="F363" s="170"/>
      <c r="G363" s="170"/>
      <c r="H363" s="169"/>
      <c r="I363" s="170"/>
      <c r="J363" s="170"/>
      <c r="K363" s="170"/>
      <c r="L363" s="170"/>
      <c r="M363" s="169"/>
      <c r="N363" s="170"/>
      <c r="O363" s="170"/>
      <c r="P363" s="170"/>
      <c r="Q363" s="170"/>
      <c r="R363" s="169"/>
      <c r="S363" s="1245"/>
      <c r="T363" s="170"/>
      <c r="U363" s="170"/>
      <c r="V363" s="170"/>
      <c r="W363" s="169"/>
      <c r="X363" s="170"/>
      <c r="Y363" s="170"/>
      <c r="Z363" s="170"/>
      <c r="AA363" s="170"/>
      <c r="AB363" s="169"/>
      <c r="AC363" s="170"/>
      <c r="AD363" s="170"/>
      <c r="AE363" s="170"/>
      <c r="AF363" s="170"/>
      <c r="AG363" s="169"/>
      <c r="AH363" s="170"/>
      <c r="AI363" s="170"/>
      <c r="AJ363" s="170"/>
      <c r="AK363" s="170"/>
    </row>
    <row r="364" spans="3:37" ht="12.75" customHeight="1">
      <c r="C364" s="127"/>
      <c r="D364" s="100"/>
      <c r="E364" s="100"/>
      <c r="F364" s="100"/>
      <c r="G364" s="100"/>
      <c r="H364" s="127"/>
      <c r="I364" s="100"/>
      <c r="J364" s="100"/>
      <c r="K364" s="100"/>
      <c r="L364" s="100"/>
      <c r="M364" s="127"/>
      <c r="N364" s="100"/>
      <c r="O364" s="100"/>
      <c r="P364" s="100"/>
      <c r="Q364" s="100"/>
      <c r="R364" s="127"/>
      <c r="S364" s="1219"/>
      <c r="T364" s="100"/>
      <c r="U364" s="100"/>
      <c r="V364" s="100"/>
      <c r="W364" s="127"/>
      <c r="X364" s="100"/>
      <c r="Y364" s="100"/>
      <c r="Z364" s="100"/>
      <c r="AA364" s="100"/>
      <c r="AB364" s="127"/>
      <c r="AC364" s="100"/>
      <c r="AD364" s="100"/>
      <c r="AE364" s="100"/>
      <c r="AF364" s="100"/>
      <c r="AG364" s="127"/>
      <c r="AH364" s="100"/>
      <c r="AI364" s="100"/>
      <c r="AJ364" s="100"/>
      <c r="AK364" s="100"/>
    </row>
    <row r="365" spans="3:37" ht="12.75" customHeight="1">
      <c r="C365" s="176"/>
      <c r="D365" s="177"/>
      <c r="E365" s="177"/>
      <c r="F365" s="177"/>
      <c r="G365" s="177"/>
      <c r="H365" s="176"/>
      <c r="I365" s="177"/>
      <c r="J365" s="177"/>
      <c r="K365" s="177"/>
      <c r="L365" s="177"/>
      <c r="M365" s="176"/>
      <c r="N365" s="177"/>
      <c r="O365" s="177"/>
      <c r="P365" s="177"/>
      <c r="Q365" s="177"/>
      <c r="R365" s="176"/>
      <c r="S365" s="1248"/>
      <c r="T365" s="177"/>
      <c r="U365" s="177"/>
      <c r="V365" s="177"/>
      <c r="W365" s="176"/>
      <c r="X365" s="177"/>
      <c r="Y365" s="177"/>
      <c r="Z365" s="177"/>
      <c r="AA365" s="177"/>
      <c r="AB365" s="176"/>
      <c r="AC365" s="177"/>
      <c r="AD365" s="177"/>
      <c r="AE365" s="177"/>
      <c r="AF365" s="177"/>
      <c r="AG365" s="176"/>
      <c r="AH365" s="177"/>
      <c r="AI365" s="177"/>
      <c r="AJ365" s="177"/>
      <c r="AK365" s="177"/>
    </row>
    <row r="368" spans="3:37" ht="12.75" customHeight="1">
      <c r="C368" s="169"/>
      <c r="D368" s="170"/>
      <c r="E368" s="170"/>
      <c r="F368" s="170"/>
      <c r="G368" s="170"/>
      <c r="H368" s="169"/>
      <c r="I368" s="170"/>
      <c r="J368" s="170"/>
      <c r="K368" s="170"/>
      <c r="L368" s="170"/>
      <c r="M368" s="169"/>
      <c r="N368" s="170"/>
      <c r="O368" s="170"/>
      <c r="P368" s="170"/>
      <c r="Q368" s="170"/>
      <c r="R368" s="169"/>
      <c r="S368" s="1245"/>
      <c r="T368" s="170"/>
      <c r="U368" s="170"/>
      <c r="V368" s="170"/>
      <c r="W368" s="169"/>
      <c r="X368" s="170"/>
      <c r="Y368" s="170"/>
      <c r="Z368" s="170"/>
      <c r="AA368" s="170"/>
      <c r="AB368" s="169"/>
      <c r="AC368" s="170"/>
      <c r="AD368" s="170"/>
      <c r="AE368" s="170"/>
      <c r="AF368" s="170"/>
      <c r="AG368" s="169"/>
      <c r="AH368" s="170"/>
      <c r="AI368" s="170"/>
      <c r="AJ368" s="170"/>
      <c r="AK368" s="170"/>
    </row>
    <row r="369" spans="3:37" ht="12.75" customHeight="1">
      <c r="C369" s="127"/>
      <c r="D369" s="100"/>
      <c r="E369" s="100"/>
      <c r="F369" s="100"/>
      <c r="G369" s="100"/>
      <c r="H369" s="127"/>
      <c r="I369" s="100"/>
      <c r="J369" s="100"/>
      <c r="K369" s="100"/>
      <c r="L369" s="100"/>
      <c r="M369" s="127"/>
      <c r="N369" s="100"/>
      <c r="O369" s="100"/>
      <c r="P369" s="100"/>
      <c r="Q369" s="100"/>
      <c r="R369" s="127"/>
      <c r="S369" s="1219"/>
      <c r="T369" s="100"/>
      <c r="U369" s="100"/>
      <c r="V369" s="100"/>
      <c r="W369" s="127"/>
      <c r="X369" s="100"/>
      <c r="Y369" s="100"/>
      <c r="Z369" s="100"/>
      <c r="AA369" s="100"/>
      <c r="AB369" s="127"/>
      <c r="AC369" s="100"/>
      <c r="AD369" s="100"/>
      <c r="AE369" s="100"/>
      <c r="AF369" s="100"/>
      <c r="AG369" s="127"/>
      <c r="AH369" s="100"/>
      <c r="AI369" s="100"/>
      <c r="AJ369" s="100"/>
      <c r="AK369" s="100"/>
    </row>
    <row r="370" spans="3:37" ht="12.75" customHeight="1">
      <c r="C370" s="176"/>
      <c r="D370" s="177"/>
      <c r="E370" s="177"/>
      <c r="F370" s="177"/>
      <c r="G370" s="177"/>
      <c r="H370" s="176"/>
      <c r="I370" s="177"/>
      <c r="J370" s="177"/>
      <c r="K370" s="177"/>
      <c r="L370" s="177"/>
      <c r="M370" s="176"/>
      <c r="N370" s="177"/>
      <c r="O370" s="177"/>
      <c r="P370" s="177"/>
      <c r="Q370" s="177"/>
      <c r="R370" s="176"/>
      <c r="S370" s="1248"/>
      <c r="T370" s="177"/>
      <c r="U370" s="177"/>
      <c r="V370" s="177"/>
      <c r="W370" s="176"/>
      <c r="X370" s="177"/>
      <c r="Y370" s="177"/>
      <c r="Z370" s="177"/>
      <c r="AA370" s="177"/>
      <c r="AB370" s="176"/>
      <c r="AC370" s="177"/>
      <c r="AD370" s="177"/>
      <c r="AE370" s="177"/>
      <c r="AF370" s="177"/>
      <c r="AG370" s="176"/>
      <c r="AH370" s="177"/>
      <c r="AI370" s="177"/>
      <c r="AJ370" s="177"/>
      <c r="AK370" s="177"/>
    </row>
    <row r="372" spans="3:37" ht="12.75" customHeight="1">
      <c r="C372" s="180"/>
      <c r="D372" s="181"/>
      <c r="E372" s="181"/>
      <c r="F372" s="181"/>
      <c r="G372" s="181"/>
      <c r="H372" s="180"/>
      <c r="I372" s="181"/>
      <c r="J372" s="181"/>
      <c r="K372" s="181"/>
      <c r="L372" s="181"/>
      <c r="M372" s="180"/>
      <c r="N372" s="181"/>
      <c r="O372" s="181"/>
      <c r="P372" s="181"/>
      <c r="Q372" s="181"/>
      <c r="R372" s="180"/>
      <c r="S372" s="1222"/>
      <c r="T372" s="181"/>
      <c r="U372" s="181"/>
      <c r="V372" s="181"/>
      <c r="W372" s="180"/>
      <c r="X372" s="181"/>
      <c r="Y372" s="181"/>
      <c r="Z372" s="181"/>
      <c r="AA372" s="181"/>
      <c r="AB372" s="180"/>
      <c r="AC372" s="181"/>
      <c r="AD372" s="181"/>
      <c r="AE372" s="181"/>
      <c r="AF372" s="181"/>
      <c r="AG372" s="180"/>
      <c r="AH372" s="181"/>
      <c r="AI372" s="181"/>
      <c r="AJ372" s="181"/>
      <c r="AK372" s="181"/>
    </row>
    <row r="373" spans="3:37" ht="12.75" customHeight="1">
      <c r="C373" s="174"/>
      <c r="D373" s="175"/>
      <c r="E373" s="175"/>
      <c r="F373" s="175"/>
      <c r="G373" s="175"/>
      <c r="H373" s="174"/>
      <c r="I373" s="175"/>
      <c r="J373" s="175"/>
      <c r="K373" s="175"/>
      <c r="L373" s="175"/>
      <c r="M373" s="174"/>
      <c r="N373" s="175"/>
      <c r="O373" s="175"/>
      <c r="P373" s="175"/>
      <c r="Q373" s="175"/>
      <c r="R373" s="174"/>
      <c r="S373" s="1247"/>
      <c r="T373" s="175"/>
      <c r="U373" s="175"/>
      <c r="V373" s="175"/>
      <c r="W373" s="174"/>
      <c r="X373" s="175"/>
      <c r="Y373" s="175"/>
      <c r="Z373" s="175"/>
      <c r="AA373" s="175"/>
      <c r="AB373" s="174"/>
      <c r="AC373" s="175"/>
      <c r="AD373" s="175"/>
      <c r="AE373" s="175"/>
      <c r="AF373" s="175"/>
      <c r="AG373" s="174"/>
      <c r="AH373" s="175"/>
      <c r="AI373" s="175"/>
      <c r="AJ373" s="175"/>
      <c r="AK373" s="175"/>
    </row>
    <row r="374" spans="3:37" ht="12.75" customHeight="1">
      <c r="C374" s="127"/>
      <c r="D374" s="100"/>
      <c r="E374" s="100"/>
      <c r="F374" s="100"/>
      <c r="G374" s="100"/>
      <c r="H374" s="127"/>
      <c r="I374" s="100"/>
      <c r="J374" s="100"/>
      <c r="K374" s="100"/>
      <c r="L374" s="100"/>
      <c r="M374" s="127"/>
      <c r="N374" s="100"/>
      <c r="O374" s="100"/>
      <c r="P374" s="100"/>
      <c r="Q374" s="100"/>
      <c r="R374" s="127"/>
      <c r="S374" s="1219"/>
      <c r="T374" s="100"/>
      <c r="U374" s="100"/>
      <c r="V374" s="100"/>
      <c r="W374" s="127"/>
      <c r="X374" s="100"/>
      <c r="Y374" s="100"/>
      <c r="Z374" s="100"/>
      <c r="AA374" s="100"/>
      <c r="AB374" s="127"/>
      <c r="AC374" s="100"/>
      <c r="AD374" s="100"/>
      <c r="AE374" s="100"/>
      <c r="AF374" s="100"/>
      <c r="AG374" s="127"/>
      <c r="AH374" s="100"/>
      <c r="AI374" s="100"/>
      <c r="AJ374" s="100"/>
      <c r="AK374" s="100"/>
    </row>
    <row r="375" spans="3:37" ht="12.75" customHeight="1">
      <c r="C375" s="176"/>
      <c r="D375" s="177"/>
      <c r="E375" s="177"/>
      <c r="F375" s="177"/>
      <c r="G375" s="177"/>
      <c r="H375" s="176"/>
      <c r="I375" s="177"/>
      <c r="J375" s="177"/>
      <c r="K375" s="177"/>
      <c r="L375" s="177"/>
      <c r="M375" s="176"/>
      <c r="N375" s="177"/>
      <c r="O375" s="177"/>
      <c r="P375" s="177"/>
      <c r="Q375" s="177"/>
      <c r="R375" s="176"/>
      <c r="S375" s="1248"/>
      <c r="T375" s="177"/>
      <c r="U375" s="177"/>
      <c r="V375" s="177"/>
      <c r="W375" s="176"/>
      <c r="X375" s="177"/>
      <c r="Y375" s="177"/>
      <c r="Z375" s="177"/>
      <c r="AA375" s="177"/>
      <c r="AB375" s="176"/>
      <c r="AC375" s="177"/>
      <c r="AD375" s="177"/>
      <c r="AE375" s="177"/>
      <c r="AF375" s="177"/>
      <c r="AG375" s="176"/>
      <c r="AH375" s="177"/>
      <c r="AI375" s="177"/>
      <c r="AJ375" s="177"/>
      <c r="AK375" s="177"/>
    </row>
    <row r="377" spans="3:37" ht="12.75" customHeight="1">
      <c r="C377" s="182"/>
      <c r="D377" s="183"/>
      <c r="E377" s="183"/>
      <c r="F377" s="183"/>
      <c r="G377" s="183"/>
      <c r="H377" s="182"/>
      <c r="I377" s="183"/>
      <c r="J377" s="183"/>
      <c r="K377" s="183"/>
      <c r="L377" s="183"/>
      <c r="M377" s="182"/>
      <c r="N377" s="183"/>
      <c r="O377" s="183"/>
      <c r="P377" s="183"/>
      <c r="Q377" s="183"/>
      <c r="R377" s="182"/>
      <c r="S377" s="1250"/>
      <c r="T377" s="183"/>
      <c r="U377" s="183"/>
      <c r="V377" s="183"/>
      <c r="W377" s="182"/>
      <c r="X377" s="183"/>
      <c r="Y377" s="183"/>
      <c r="Z377" s="183"/>
      <c r="AA377" s="183"/>
      <c r="AB377" s="182"/>
      <c r="AC377" s="183"/>
      <c r="AD377" s="183"/>
      <c r="AE377" s="183"/>
      <c r="AF377" s="183"/>
      <c r="AG377" s="182"/>
      <c r="AH377" s="183"/>
      <c r="AI377" s="183"/>
      <c r="AJ377" s="183"/>
      <c r="AK377" s="183"/>
    </row>
    <row r="378" spans="3:37" ht="12.75" customHeight="1">
      <c r="C378" s="184"/>
      <c r="D378" s="185"/>
      <c r="E378" s="185"/>
      <c r="F378" s="185"/>
      <c r="G378" s="185"/>
      <c r="H378" s="184"/>
      <c r="I378" s="185"/>
      <c r="J378" s="185"/>
      <c r="K378" s="185"/>
      <c r="L378" s="185"/>
      <c r="M378" s="184"/>
      <c r="N378" s="185"/>
      <c r="O378" s="185"/>
      <c r="P378" s="185"/>
      <c r="Q378" s="185"/>
      <c r="R378" s="184"/>
      <c r="S378" s="1251"/>
      <c r="T378" s="185"/>
      <c r="U378" s="185"/>
      <c r="V378" s="185"/>
      <c r="W378" s="184"/>
      <c r="X378" s="185"/>
      <c r="Y378" s="185"/>
      <c r="Z378" s="185"/>
      <c r="AA378" s="185"/>
      <c r="AB378" s="184"/>
      <c r="AC378" s="185"/>
      <c r="AD378" s="185"/>
      <c r="AE378" s="185"/>
      <c r="AF378" s="185"/>
      <c r="AG378" s="184"/>
      <c r="AH378" s="185"/>
      <c r="AI378" s="185"/>
      <c r="AJ378" s="185"/>
      <c r="AK378" s="185"/>
    </row>
    <row r="379" spans="3:37" ht="12.75" customHeight="1">
      <c r="C379" s="127"/>
      <c r="D379" s="100"/>
      <c r="E379" s="100"/>
      <c r="F379" s="100"/>
      <c r="G379" s="100"/>
      <c r="H379" s="127"/>
      <c r="I379" s="100"/>
      <c r="J379" s="100"/>
      <c r="K379" s="100"/>
      <c r="L379" s="100"/>
      <c r="M379" s="127"/>
      <c r="N379" s="100"/>
      <c r="O379" s="100"/>
      <c r="P379" s="100"/>
      <c r="Q379" s="100"/>
      <c r="R379" s="127"/>
      <c r="S379" s="1219"/>
      <c r="T379" s="100"/>
      <c r="U379" s="100"/>
      <c r="V379" s="100"/>
      <c r="W379" s="127"/>
      <c r="X379" s="100"/>
      <c r="Y379" s="100"/>
      <c r="Z379" s="100"/>
      <c r="AA379" s="100"/>
      <c r="AB379" s="127"/>
      <c r="AC379" s="100"/>
      <c r="AD379" s="100"/>
      <c r="AE379" s="100"/>
      <c r="AF379" s="100"/>
      <c r="AG379" s="127"/>
      <c r="AH379" s="100"/>
      <c r="AI379" s="100"/>
      <c r="AJ379" s="100"/>
      <c r="AK379" s="100"/>
    </row>
    <row r="380" spans="3:37" ht="12.75" customHeight="1">
      <c r="C380" s="127"/>
      <c r="D380" s="100"/>
      <c r="E380" s="100"/>
      <c r="F380" s="100"/>
      <c r="G380" s="100"/>
      <c r="H380" s="127"/>
      <c r="I380" s="100"/>
      <c r="J380" s="100"/>
      <c r="K380" s="100"/>
      <c r="L380" s="100"/>
      <c r="M380" s="127"/>
      <c r="N380" s="100"/>
      <c r="O380" s="100"/>
      <c r="P380" s="100"/>
      <c r="Q380" s="100"/>
      <c r="R380" s="127"/>
      <c r="S380" s="1219"/>
      <c r="T380" s="100"/>
      <c r="U380" s="100"/>
      <c r="V380" s="100"/>
      <c r="W380" s="127"/>
      <c r="X380" s="100"/>
      <c r="Y380" s="100"/>
      <c r="Z380" s="100"/>
      <c r="AA380" s="100"/>
      <c r="AB380" s="127"/>
      <c r="AC380" s="100"/>
      <c r="AD380" s="100"/>
      <c r="AE380" s="100"/>
      <c r="AF380" s="100"/>
      <c r="AG380" s="127"/>
      <c r="AH380" s="100"/>
      <c r="AI380" s="100"/>
      <c r="AJ380" s="100"/>
      <c r="AK380" s="100"/>
    </row>
    <row r="381" spans="3:37" ht="12.75" customHeight="1">
      <c r="C381" s="127"/>
      <c r="D381" s="100"/>
      <c r="E381" s="100"/>
      <c r="F381" s="100"/>
      <c r="G381" s="100"/>
      <c r="H381" s="127"/>
      <c r="I381" s="100"/>
      <c r="J381" s="100"/>
      <c r="K381" s="100"/>
      <c r="L381" s="100"/>
      <c r="M381" s="127"/>
      <c r="N381" s="100"/>
      <c r="O381" s="100"/>
      <c r="P381" s="100"/>
      <c r="Q381" s="100"/>
      <c r="R381" s="127"/>
      <c r="S381" s="1219"/>
      <c r="T381" s="100"/>
      <c r="U381" s="100"/>
      <c r="V381" s="100"/>
      <c r="W381" s="127"/>
      <c r="X381" s="100"/>
      <c r="Y381" s="100"/>
      <c r="Z381" s="100"/>
      <c r="AA381" s="100"/>
      <c r="AB381" s="127"/>
      <c r="AC381" s="100"/>
      <c r="AD381" s="100"/>
      <c r="AE381" s="100"/>
      <c r="AF381" s="100"/>
      <c r="AG381" s="127"/>
      <c r="AH381" s="100"/>
      <c r="AI381" s="100"/>
      <c r="AJ381" s="100"/>
      <c r="AK381" s="100"/>
    </row>
    <row r="382" spans="3:37" ht="12.75" customHeight="1">
      <c r="C382" s="127"/>
      <c r="D382" s="100"/>
      <c r="E382" s="100"/>
      <c r="F382" s="100"/>
      <c r="G382" s="100"/>
      <c r="H382" s="127"/>
      <c r="I382" s="100"/>
      <c r="J382" s="100"/>
      <c r="K382" s="100"/>
      <c r="L382" s="100"/>
      <c r="M382" s="127"/>
      <c r="N382" s="100"/>
      <c r="O382" s="100"/>
      <c r="P382" s="100"/>
      <c r="Q382" s="100"/>
      <c r="R382" s="127"/>
      <c r="S382" s="1219"/>
      <c r="T382" s="100"/>
      <c r="U382" s="100"/>
      <c r="V382" s="100"/>
      <c r="W382" s="127"/>
      <c r="X382" s="100"/>
      <c r="Y382" s="100"/>
      <c r="Z382" s="100"/>
      <c r="AA382" s="100"/>
      <c r="AB382" s="127"/>
      <c r="AC382" s="100"/>
      <c r="AD382" s="100"/>
      <c r="AE382" s="100"/>
      <c r="AF382" s="100"/>
      <c r="AG382" s="127"/>
      <c r="AH382" s="100"/>
      <c r="AI382" s="100"/>
      <c r="AJ382" s="100"/>
      <c r="AK382" s="100"/>
    </row>
    <row r="383" spans="3:37" ht="12.75" customHeight="1">
      <c r="C383" s="186"/>
      <c r="D383" s="187"/>
      <c r="E383" s="187"/>
      <c r="F383" s="187"/>
      <c r="G383" s="187"/>
      <c r="H383" s="186"/>
      <c r="I383" s="187"/>
      <c r="J383" s="187"/>
      <c r="K383" s="187"/>
      <c r="L383" s="187"/>
      <c r="M383" s="186"/>
      <c r="N383" s="187"/>
      <c r="O383" s="187"/>
      <c r="P383" s="187"/>
      <c r="Q383" s="187"/>
      <c r="R383" s="186"/>
      <c r="S383" s="1252"/>
      <c r="T383" s="187"/>
      <c r="U383" s="187"/>
      <c r="V383" s="187"/>
      <c r="W383" s="186"/>
      <c r="X383" s="187"/>
      <c r="Y383" s="187"/>
      <c r="Z383" s="187"/>
      <c r="AA383" s="187"/>
      <c r="AB383" s="186"/>
      <c r="AC383" s="187"/>
      <c r="AD383" s="187"/>
      <c r="AE383" s="187"/>
      <c r="AF383" s="187"/>
      <c r="AG383" s="186"/>
      <c r="AH383" s="187"/>
      <c r="AI383" s="187"/>
      <c r="AJ383" s="187"/>
      <c r="AK383" s="187"/>
    </row>
    <row r="384" spans="3:37" ht="12.75" customHeight="1">
      <c r="C384" s="188"/>
      <c r="H384" s="188"/>
      <c r="M384" s="188"/>
      <c r="R384" s="188"/>
      <c r="W384" s="188"/>
      <c r="AB384" s="188"/>
      <c r="AG384" s="188"/>
    </row>
    <row r="385" spans="3:37" ht="12.75" customHeight="1">
      <c r="C385" s="188"/>
      <c r="H385" s="188"/>
      <c r="M385" s="188"/>
      <c r="R385" s="188"/>
      <c r="W385" s="188"/>
      <c r="AB385" s="188"/>
      <c r="AG385" s="188"/>
    </row>
    <row r="386" spans="3:37" ht="12.75" customHeight="1">
      <c r="C386" s="189"/>
      <c r="D386" s="100"/>
      <c r="E386" s="100"/>
      <c r="F386" s="100"/>
      <c r="G386" s="100"/>
      <c r="H386" s="189"/>
      <c r="I386" s="100"/>
      <c r="J386" s="100"/>
      <c r="K386" s="100"/>
      <c r="L386" s="100"/>
      <c r="M386" s="189"/>
      <c r="N386" s="100"/>
      <c r="O386" s="100"/>
      <c r="P386" s="100"/>
      <c r="Q386" s="100"/>
      <c r="R386" s="189"/>
      <c r="S386" s="1219"/>
      <c r="T386" s="100"/>
      <c r="U386" s="100"/>
      <c r="V386" s="100"/>
      <c r="W386" s="189"/>
      <c r="X386" s="100"/>
      <c r="Y386" s="100"/>
      <c r="Z386" s="100"/>
      <c r="AA386" s="100"/>
      <c r="AB386" s="189"/>
      <c r="AC386" s="100"/>
      <c r="AD386" s="100"/>
      <c r="AE386" s="100"/>
      <c r="AF386" s="100"/>
      <c r="AG386" s="189"/>
      <c r="AH386" s="100"/>
      <c r="AI386" s="100"/>
      <c r="AJ386" s="100"/>
      <c r="AK386" s="100"/>
    </row>
    <row r="388" spans="3:37" ht="12.75" customHeight="1">
      <c r="C388" s="190"/>
      <c r="D388" s="187"/>
      <c r="E388" s="187"/>
      <c r="F388" s="187"/>
      <c r="G388" s="187"/>
      <c r="H388" s="190"/>
      <c r="I388" s="187"/>
      <c r="J388" s="187"/>
      <c r="K388" s="187"/>
      <c r="L388" s="187"/>
      <c r="M388" s="190"/>
      <c r="N388" s="187"/>
      <c r="O388" s="187"/>
      <c r="P388" s="187"/>
      <c r="Q388" s="187"/>
      <c r="R388" s="190"/>
      <c r="S388" s="1252"/>
      <c r="T388" s="187"/>
      <c r="U388" s="187"/>
      <c r="V388" s="187"/>
      <c r="W388" s="190"/>
      <c r="X388" s="187"/>
      <c r="Y388" s="187"/>
      <c r="Z388" s="187"/>
      <c r="AA388" s="187"/>
      <c r="AB388" s="190"/>
      <c r="AC388" s="187"/>
      <c r="AD388" s="187"/>
      <c r="AE388" s="187"/>
      <c r="AF388" s="187"/>
      <c r="AG388" s="190"/>
      <c r="AH388" s="187"/>
      <c r="AI388" s="187"/>
      <c r="AJ388" s="187"/>
      <c r="AK388" s="187"/>
    </row>
    <row r="393" spans="3:37" ht="12.75" customHeight="1">
      <c r="C393" s="190"/>
      <c r="D393" s="187"/>
      <c r="E393" s="187"/>
      <c r="F393" s="187"/>
      <c r="G393" s="187"/>
      <c r="H393" s="190"/>
      <c r="I393" s="187"/>
      <c r="J393" s="187"/>
      <c r="K393" s="187"/>
      <c r="L393" s="187"/>
      <c r="M393" s="190"/>
      <c r="N393" s="187"/>
      <c r="O393" s="187"/>
      <c r="P393" s="187"/>
      <c r="Q393" s="187"/>
      <c r="R393" s="190"/>
      <c r="S393" s="1252"/>
      <c r="T393" s="187"/>
      <c r="U393" s="187"/>
      <c r="V393" s="187"/>
      <c r="W393" s="190"/>
      <c r="X393" s="187"/>
      <c r="Y393" s="187"/>
      <c r="Z393" s="187"/>
      <c r="AA393" s="187"/>
      <c r="AB393" s="190"/>
      <c r="AC393" s="187"/>
      <c r="AD393" s="187"/>
      <c r="AE393" s="187"/>
      <c r="AF393" s="187"/>
      <c r="AG393" s="190"/>
      <c r="AH393" s="187"/>
      <c r="AI393" s="187"/>
      <c r="AJ393" s="187"/>
      <c r="AK393" s="187"/>
    </row>
    <row r="394" spans="3:37" ht="12.75" customHeight="1">
      <c r="C394" s="127"/>
      <c r="D394" s="100"/>
      <c r="E394" s="100"/>
      <c r="F394" s="100"/>
      <c r="G394" s="100"/>
      <c r="H394" s="127"/>
      <c r="I394" s="100"/>
      <c r="J394" s="100"/>
      <c r="K394" s="100"/>
      <c r="L394" s="100"/>
      <c r="M394" s="127"/>
      <c r="N394" s="100"/>
      <c r="O394" s="100"/>
      <c r="P394" s="100"/>
      <c r="Q394" s="100"/>
      <c r="R394" s="127"/>
      <c r="S394" s="1219"/>
      <c r="T394" s="100"/>
      <c r="U394" s="100"/>
      <c r="V394" s="100"/>
      <c r="W394" s="127"/>
      <c r="X394" s="100"/>
      <c r="Y394" s="100"/>
      <c r="Z394" s="100"/>
      <c r="AA394" s="100"/>
      <c r="AB394" s="127"/>
      <c r="AC394" s="100"/>
      <c r="AD394" s="100"/>
      <c r="AE394" s="100"/>
      <c r="AF394" s="100"/>
      <c r="AG394" s="127"/>
      <c r="AH394" s="100"/>
      <c r="AI394" s="100"/>
      <c r="AJ394" s="100"/>
      <c r="AK394" s="100"/>
    </row>
    <row r="395" spans="3:37" ht="12.75" customHeight="1">
      <c r="C395" s="127"/>
      <c r="D395" s="100"/>
      <c r="E395" s="100"/>
      <c r="F395" s="100"/>
      <c r="G395" s="100"/>
      <c r="H395" s="127"/>
      <c r="I395" s="100"/>
      <c r="J395" s="100"/>
      <c r="K395" s="100"/>
      <c r="L395" s="100"/>
      <c r="M395" s="127"/>
      <c r="N395" s="100"/>
      <c r="O395" s="100"/>
      <c r="P395" s="100"/>
      <c r="Q395" s="100"/>
      <c r="R395" s="127"/>
      <c r="S395" s="1219"/>
      <c r="T395" s="100"/>
      <c r="U395" s="100"/>
      <c r="V395" s="100"/>
      <c r="W395" s="127"/>
      <c r="X395" s="100"/>
      <c r="Y395" s="100"/>
      <c r="Z395" s="100"/>
      <c r="AA395" s="100"/>
      <c r="AB395" s="127"/>
      <c r="AC395" s="100"/>
      <c r="AD395" s="100"/>
      <c r="AE395" s="100"/>
      <c r="AF395" s="100"/>
      <c r="AG395" s="127"/>
      <c r="AH395" s="100"/>
      <c r="AI395" s="100"/>
      <c r="AJ395" s="100"/>
      <c r="AK395" s="100"/>
    </row>
    <row r="396" spans="3:37" ht="12.75" customHeight="1">
      <c r="C396" s="127"/>
      <c r="D396" s="100"/>
      <c r="E396" s="100"/>
      <c r="F396" s="100"/>
      <c r="G396" s="100"/>
      <c r="H396" s="127"/>
      <c r="I396" s="100"/>
      <c r="J396" s="100"/>
      <c r="K396" s="100"/>
      <c r="L396" s="100"/>
      <c r="M396" s="127"/>
      <c r="N396" s="100"/>
      <c r="O396" s="100"/>
      <c r="P396" s="100"/>
      <c r="Q396" s="100"/>
      <c r="R396" s="127"/>
      <c r="S396" s="1219"/>
      <c r="T396" s="100"/>
      <c r="U396" s="100"/>
      <c r="V396" s="100"/>
      <c r="W396" s="127"/>
      <c r="X396" s="100"/>
      <c r="Y396" s="100"/>
      <c r="Z396" s="100"/>
      <c r="AA396" s="100"/>
      <c r="AB396" s="127"/>
      <c r="AC396" s="100"/>
      <c r="AD396" s="100"/>
      <c r="AE396" s="100"/>
      <c r="AF396" s="100"/>
      <c r="AG396" s="127"/>
      <c r="AH396" s="100"/>
      <c r="AI396" s="100"/>
      <c r="AJ396" s="100"/>
      <c r="AK396" s="100"/>
    </row>
    <row r="398" spans="3:37" ht="12.75" customHeight="1">
      <c r="C398" s="191"/>
      <c r="D398" s="192"/>
      <c r="E398" s="192"/>
      <c r="F398" s="192"/>
      <c r="G398" s="192"/>
      <c r="H398" s="191"/>
      <c r="I398" s="192"/>
      <c r="J398" s="192"/>
      <c r="K398" s="192"/>
      <c r="L398" s="192"/>
      <c r="M398" s="191"/>
      <c r="N398" s="192"/>
      <c r="O398" s="192"/>
      <c r="P398" s="192"/>
      <c r="Q398" s="192"/>
      <c r="R398" s="191"/>
      <c r="S398" s="1253"/>
      <c r="T398" s="192"/>
      <c r="U398" s="192"/>
      <c r="V398" s="192"/>
      <c r="W398" s="191"/>
      <c r="X398" s="192"/>
      <c r="Y398" s="192"/>
      <c r="Z398" s="192"/>
      <c r="AA398" s="192"/>
      <c r="AB398" s="191"/>
      <c r="AC398" s="192"/>
      <c r="AD398" s="192"/>
      <c r="AE398" s="192"/>
      <c r="AF398" s="192"/>
      <c r="AG398" s="191"/>
      <c r="AH398" s="192"/>
      <c r="AI398" s="192"/>
      <c r="AJ398" s="192"/>
      <c r="AK398" s="192"/>
    </row>
    <row r="399" spans="3:37" ht="12.75" customHeight="1">
      <c r="C399" s="189"/>
      <c r="D399" s="100"/>
      <c r="E399" s="100"/>
      <c r="F399" s="100"/>
      <c r="G399" s="100"/>
      <c r="H399" s="189"/>
      <c r="I399" s="100"/>
      <c r="J399" s="100"/>
      <c r="K399" s="100"/>
      <c r="L399" s="100"/>
      <c r="M399" s="189"/>
      <c r="N399" s="100"/>
      <c r="O399" s="100"/>
      <c r="P399" s="100"/>
      <c r="Q399" s="100"/>
      <c r="R399" s="189"/>
      <c r="S399" s="1219"/>
      <c r="T399" s="100"/>
      <c r="U399" s="100"/>
      <c r="V399" s="100"/>
      <c r="W399" s="189"/>
      <c r="X399" s="100"/>
      <c r="Y399" s="100"/>
      <c r="Z399" s="100"/>
      <c r="AA399" s="100"/>
      <c r="AB399" s="189"/>
      <c r="AC399" s="100"/>
      <c r="AD399" s="100"/>
      <c r="AE399" s="100"/>
      <c r="AF399" s="100"/>
      <c r="AG399" s="189"/>
      <c r="AH399" s="100"/>
      <c r="AI399" s="100"/>
      <c r="AJ399" s="100"/>
      <c r="AK399" s="100"/>
    </row>
    <row r="400" spans="3:37" ht="12.75" customHeight="1">
      <c r="C400" s="189"/>
      <c r="D400" s="100"/>
      <c r="E400" s="100"/>
      <c r="F400" s="100"/>
      <c r="G400" s="100"/>
      <c r="H400" s="189"/>
      <c r="I400" s="100"/>
      <c r="J400" s="100"/>
      <c r="K400" s="100"/>
      <c r="L400" s="100"/>
      <c r="M400" s="189"/>
      <c r="N400" s="100"/>
      <c r="O400" s="100"/>
      <c r="P400" s="100"/>
      <c r="Q400" s="100"/>
      <c r="R400" s="189"/>
      <c r="S400" s="1219"/>
      <c r="T400" s="100"/>
      <c r="U400" s="100"/>
      <c r="V400" s="100"/>
      <c r="W400" s="189"/>
      <c r="X400" s="100"/>
      <c r="Y400" s="100"/>
      <c r="Z400" s="100"/>
      <c r="AA400" s="100"/>
      <c r="AB400" s="189"/>
      <c r="AC400" s="100"/>
      <c r="AD400" s="100"/>
      <c r="AE400" s="100"/>
      <c r="AF400" s="100"/>
      <c r="AG400" s="189"/>
      <c r="AH400" s="100"/>
      <c r="AI400" s="100"/>
      <c r="AJ400" s="100"/>
      <c r="AK400" s="100"/>
    </row>
    <row r="401" spans="3:37" ht="12.75" customHeight="1">
      <c r="C401" s="189"/>
      <c r="D401" s="100"/>
      <c r="E401" s="100"/>
      <c r="F401" s="100"/>
      <c r="G401" s="100"/>
      <c r="H401" s="189"/>
      <c r="I401" s="100"/>
      <c r="J401" s="100"/>
      <c r="K401" s="100"/>
      <c r="L401" s="100"/>
      <c r="M401" s="189"/>
      <c r="N401" s="100"/>
      <c r="O401" s="100"/>
      <c r="P401" s="100"/>
      <c r="Q401" s="100"/>
      <c r="R401" s="189"/>
      <c r="S401" s="1219"/>
      <c r="T401" s="100"/>
      <c r="U401" s="100"/>
      <c r="V401" s="100"/>
      <c r="W401" s="189"/>
      <c r="X401" s="100"/>
      <c r="Y401" s="100"/>
      <c r="Z401" s="100"/>
      <c r="AA401" s="100"/>
      <c r="AB401" s="189"/>
      <c r="AC401" s="100"/>
      <c r="AD401" s="100"/>
      <c r="AE401" s="100"/>
      <c r="AF401" s="100"/>
      <c r="AG401" s="189"/>
      <c r="AH401" s="100"/>
      <c r="AI401" s="100"/>
      <c r="AJ401" s="100"/>
      <c r="AK401" s="100"/>
    </row>
    <row r="403" spans="3:37" ht="12.75" customHeight="1">
      <c r="C403" s="193"/>
      <c r="D403" s="163"/>
      <c r="E403" s="163"/>
      <c r="F403" s="163"/>
      <c r="G403" s="163"/>
      <c r="H403" s="193"/>
      <c r="I403" s="163"/>
      <c r="J403" s="163"/>
      <c r="K403" s="163"/>
      <c r="L403" s="163"/>
      <c r="M403" s="193"/>
      <c r="N403" s="163"/>
      <c r="O403" s="163"/>
      <c r="P403" s="163"/>
      <c r="Q403" s="163"/>
      <c r="R403" s="193"/>
      <c r="S403" s="1241"/>
      <c r="T403" s="163"/>
      <c r="U403" s="163"/>
      <c r="V403" s="163"/>
      <c r="W403" s="193"/>
      <c r="X403" s="163"/>
      <c r="Y403" s="163"/>
      <c r="Z403" s="163"/>
      <c r="AA403" s="163"/>
      <c r="AB403" s="193"/>
      <c r="AC403" s="163"/>
      <c r="AD403" s="163"/>
      <c r="AE403" s="163"/>
      <c r="AF403" s="163"/>
      <c r="AG403" s="193"/>
      <c r="AH403" s="163"/>
      <c r="AI403" s="163"/>
      <c r="AJ403" s="163"/>
      <c r="AK403" s="163"/>
    </row>
    <row r="404" spans="3:37" ht="12.75" customHeight="1">
      <c r="C404" s="194"/>
      <c r="H404" s="194"/>
      <c r="M404" s="194"/>
      <c r="R404" s="194"/>
      <c r="W404" s="194"/>
      <c r="AB404" s="194"/>
      <c r="AG404" s="194"/>
    </row>
    <row r="405" spans="3:37" ht="12.75" customHeight="1">
      <c r="C405" s="194"/>
      <c r="H405" s="194"/>
      <c r="M405" s="194"/>
      <c r="R405" s="194"/>
      <c r="W405" s="194"/>
      <c r="AB405" s="194"/>
      <c r="AG405" s="194"/>
    </row>
    <row r="407" spans="3:37" ht="12.75" customHeight="1">
      <c r="C407" s="195"/>
      <c r="D407" s="196"/>
      <c r="E407" s="196"/>
      <c r="F407" s="196"/>
      <c r="G407" s="196"/>
      <c r="H407" s="195"/>
      <c r="I407" s="196"/>
      <c r="J407" s="196"/>
      <c r="K407" s="196"/>
      <c r="L407" s="196"/>
      <c r="M407" s="195"/>
      <c r="N407" s="196"/>
      <c r="O407" s="196"/>
      <c r="P407" s="196"/>
      <c r="Q407" s="196"/>
      <c r="R407" s="195"/>
      <c r="S407" s="1254"/>
      <c r="T407" s="196"/>
      <c r="U407" s="196"/>
      <c r="V407" s="196"/>
      <c r="W407" s="195"/>
      <c r="X407" s="196"/>
      <c r="Y407" s="196"/>
      <c r="Z407" s="196"/>
      <c r="AA407" s="196"/>
      <c r="AB407" s="195"/>
      <c r="AC407" s="196"/>
      <c r="AD407" s="196"/>
      <c r="AE407" s="196"/>
      <c r="AF407" s="196"/>
      <c r="AG407" s="195"/>
      <c r="AH407" s="196"/>
      <c r="AI407" s="196"/>
      <c r="AJ407" s="196"/>
      <c r="AK407" s="196"/>
    </row>
    <row r="408" spans="3:37" ht="12.75" customHeight="1">
      <c r="C408" s="197"/>
      <c r="D408" s="198"/>
      <c r="E408" s="198"/>
      <c r="F408" s="198"/>
      <c r="G408" s="198"/>
      <c r="H408" s="197"/>
      <c r="I408" s="198"/>
      <c r="J408" s="198"/>
      <c r="K408" s="198"/>
      <c r="L408" s="198"/>
      <c r="M408" s="197"/>
      <c r="N408" s="198"/>
      <c r="O408" s="198"/>
      <c r="P408" s="198"/>
      <c r="Q408" s="198"/>
      <c r="R408" s="197"/>
      <c r="S408" s="1255"/>
      <c r="T408" s="198"/>
      <c r="U408" s="198"/>
      <c r="V408" s="198"/>
      <c r="W408" s="197"/>
      <c r="X408" s="198"/>
      <c r="Y408" s="198"/>
      <c r="Z408" s="198"/>
      <c r="AA408" s="198"/>
      <c r="AB408" s="197"/>
      <c r="AC408" s="198"/>
      <c r="AD408" s="198"/>
      <c r="AE408" s="198"/>
      <c r="AF408" s="198"/>
      <c r="AG408" s="197"/>
      <c r="AH408" s="198"/>
      <c r="AI408" s="198"/>
      <c r="AJ408" s="198"/>
      <c r="AK408" s="198"/>
    </row>
    <row r="415" spans="3:37" ht="12.75" customHeight="1">
      <c r="C415" s="127"/>
      <c r="D415" s="100"/>
      <c r="E415" s="100"/>
      <c r="F415" s="100"/>
      <c r="G415" s="100"/>
      <c r="H415" s="127"/>
      <c r="I415" s="100"/>
      <c r="J415" s="100"/>
      <c r="K415" s="100"/>
      <c r="L415" s="100"/>
      <c r="M415" s="127"/>
      <c r="N415" s="100"/>
      <c r="O415" s="100"/>
      <c r="P415" s="100"/>
      <c r="Q415" s="100"/>
      <c r="R415" s="127"/>
      <c r="S415" s="1219"/>
      <c r="T415" s="100"/>
      <c r="U415" s="100"/>
      <c r="V415" s="100"/>
      <c r="W415" s="127"/>
      <c r="X415" s="100"/>
      <c r="Y415" s="100"/>
      <c r="Z415" s="100"/>
      <c r="AA415" s="100"/>
      <c r="AB415" s="127"/>
      <c r="AC415" s="100"/>
      <c r="AD415" s="100"/>
      <c r="AE415" s="100"/>
      <c r="AF415" s="100"/>
      <c r="AG415" s="127"/>
      <c r="AH415" s="100"/>
      <c r="AI415" s="100"/>
      <c r="AJ415" s="100"/>
      <c r="AK415" s="100"/>
    </row>
    <row r="416" spans="3:37" ht="12.75" customHeight="1">
      <c r="C416" s="127"/>
      <c r="D416" s="100"/>
      <c r="E416" s="100"/>
      <c r="F416" s="100"/>
      <c r="G416" s="100"/>
      <c r="H416" s="127"/>
      <c r="I416" s="100"/>
      <c r="J416" s="100"/>
      <c r="K416" s="100"/>
      <c r="L416" s="100"/>
      <c r="M416" s="127"/>
      <c r="N416" s="100"/>
      <c r="O416" s="100"/>
      <c r="P416" s="100"/>
      <c r="Q416" s="100"/>
      <c r="R416" s="127"/>
      <c r="S416" s="1219"/>
      <c r="T416" s="100"/>
      <c r="U416" s="100"/>
      <c r="V416" s="100"/>
      <c r="W416" s="127"/>
      <c r="X416" s="100"/>
      <c r="Y416" s="100"/>
      <c r="Z416" s="100"/>
      <c r="AA416" s="100"/>
      <c r="AB416" s="127"/>
      <c r="AC416" s="100"/>
      <c r="AD416" s="100"/>
      <c r="AE416" s="100"/>
      <c r="AF416" s="100"/>
      <c r="AG416" s="127"/>
      <c r="AH416" s="100"/>
      <c r="AI416" s="100"/>
      <c r="AJ416" s="100"/>
      <c r="AK416" s="100"/>
    </row>
    <row r="418" spans="3:37" ht="12.75" customHeight="1">
      <c r="C418" s="127"/>
      <c r="D418" s="100"/>
      <c r="E418" s="100"/>
      <c r="F418" s="100"/>
      <c r="G418" s="100"/>
      <c r="H418" s="127"/>
      <c r="I418" s="100"/>
      <c r="J418" s="100"/>
      <c r="K418" s="100"/>
      <c r="L418" s="100"/>
      <c r="M418" s="127"/>
      <c r="N418" s="100"/>
      <c r="O418" s="100"/>
      <c r="P418" s="100"/>
      <c r="Q418" s="100"/>
      <c r="R418" s="127"/>
      <c r="S418" s="1219"/>
      <c r="T418" s="100"/>
      <c r="U418" s="100"/>
      <c r="V418" s="100"/>
      <c r="W418" s="127"/>
      <c r="X418" s="100"/>
      <c r="Y418" s="100"/>
      <c r="Z418" s="100"/>
      <c r="AA418" s="100"/>
      <c r="AB418" s="127"/>
      <c r="AC418" s="100"/>
      <c r="AD418" s="100"/>
      <c r="AE418" s="100"/>
      <c r="AF418" s="100"/>
      <c r="AG418" s="127"/>
      <c r="AH418" s="100"/>
      <c r="AI418" s="100"/>
      <c r="AJ418" s="100"/>
      <c r="AK418" s="100"/>
    </row>
    <row r="419" spans="3:37" ht="12.75" customHeight="1">
      <c r="C419" s="127"/>
      <c r="D419" s="100"/>
      <c r="E419" s="100"/>
      <c r="F419" s="100"/>
      <c r="G419" s="100"/>
      <c r="H419" s="127"/>
      <c r="I419" s="100"/>
      <c r="J419" s="100"/>
      <c r="K419" s="100"/>
      <c r="L419" s="100"/>
      <c r="M419" s="127"/>
      <c r="N419" s="100"/>
      <c r="O419" s="100"/>
      <c r="P419" s="100"/>
      <c r="Q419" s="100"/>
      <c r="R419" s="127"/>
      <c r="S419" s="1219"/>
      <c r="T419" s="100"/>
      <c r="U419" s="100"/>
      <c r="V419" s="100"/>
      <c r="W419" s="127"/>
      <c r="X419" s="100"/>
      <c r="Y419" s="100"/>
      <c r="Z419" s="100"/>
      <c r="AA419" s="100"/>
      <c r="AB419" s="127"/>
      <c r="AC419" s="100"/>
      <c r="AD419" s="100"/>
      <c r="AE419" s="100"/>
      <c r="AF419" s="100"/>
      <c r="AG419" s="127"/>
      <c r="AH419" s="100"/>
      <c r="AI419" s="100"/>
      <c r="AJ419" s="100"/>
      <c r="AK419" s="100"/>
    </row>
    <row r="420" spans="3:37" ht="12.75" customHeight="1">
      <c r="C420" s="199"/>
      <c r="D420" s="200"/>
      <c r="E420" s="200"/>
      <c r="F420" s="200"/>
      <c r="G420" s="200"/>
      <c r="H420" s="199"/>
      <c r="I420" s="200"/>
      <c r="J420" s="200"/>
      <c r="K420" s="200"/>
      <c r="L420" s="200"/>
      <c r="M420" s="199"/>
      <c r="N420" s="200"/>
      <c r="O420" s="200"/>
      <c r="P420" s="200"/>
      <c r="Q420" s="200"/>
      <c r="R420" s="199"/>
      <c r="S420" s="1256"/>
      <c r="T420" s="200"/>
      <c r="U420" s="200"/>
      <c r="V420" s="200"/>
      <c r="W420" s="199"/>
      <c r="X420" s="200"/>
      <c r="Y420" s="200"/>
      <c r="Z420" s="200"/>
      <c r="AA420" s="200"/>
      <c r="AB420" s="199"/>
      <c r="AC420" s="200"/>
      <c r="AD420" s="200"/>
      <c r="AE420" s="200"/>
      <c r="AF420" s="200"/>
      <c r="AG420" s="199"/>
      <c r="AH420" s="200"/>
      <c r="AI420" s="200"/>
      <c r="AJ420" s="200"/>
      <c r="AK420" s="200"/>
    </row>
    <row r="421" spans="3:37" ht="12.75" customHeight="1">
      <c r="C421" s="127"/>
      <c r="D421" s="100"/>
      <c r="E421" s="100"/>
      <c r="F421" s="100"/>
      <c r="G421" s="100"/>
      <c r="H421" s="127"/>
      <c r="I421" s="100"/>
      <c r="J421" s="100"/>
      <c r="K421" s="100"/>
      <c r="L421" s="100"/>
      <c r="M421" s="127"/>
      <c r="N421" s="100"/>
      <c r="O421" s="100"/>
      <c r="P421" s="100"/>
      <c r="Q421" s="100"/>
      <c r="R421" s="127"/>
      <c r="S421" s="1219"/>
      <c r="T421" s="100"/>
      <c r="U421" s="100"/>
      <c r="V421" s="100"/>
      <c r="W421" s="127"/>
      <c r="X421" s="100"/>
      <c r="Y421" s="100"/>
      <c r="Z421" s="100"/>
      <c r="AA421" s="100"/>
      <c r="AB421" s="127"/>
      <c r="AC421" s="100"/>
      <c r="AD421" s="100"/>
      <c r="AE421" s="100"/>
      <c r="AF421" s="100"/>
      <c r="AG421" s="127"/>
      <c r="AH421" s="100"/>
      <c r="AI421" s="100"/>
      <c r="AJ421" s="100"/>
      <c r="AK421" s="100"/>
    </row>
    <row r="424" spans="3:37" ht="12.75" customHeight="1">
      <c r="C424" s="201"/>
      <c r="D424" s="202"/>
      <c r="E424" s="202"/>
      <c r="F424" s="202"/>
      <c r="G424" s="202"/>
      <c r="H424" s="201"/>
      <c r="I424" s="202"/>
      <c r="J424" s="202"/>
      <c r="K424" s="202"/>
      <c r="L424" s="202"/>
      <c r="M424" s="201"/>
      <c r="N424" s="202"/>
      <c r="O424" s="202"/>
      <c r="P424" s="202"/>
      <c r="Q424" s="202"/>
      <c r="R424" s="201"/>
      <c r="S424" s="1257"/>
      <c r="T424" s="202"/>
      <c r="U424" s="202"/>
      <c r="V424" s="202"/>
      <c r="W424" s="201"/>
      <c r="X424" s="202"/>
      <c r="Y424" s="202"/>
      <c r="Z424" s="202"/>
      <c r="AA424" s="202"/>
      <c r="AB424" s="201"/>
      <c r="AC424" s="202"/>
      <c r="AD424" s="202"/>
      <c r="AE424" s="202"/>
      <c r="AF424" s="202"/>
      <c r="AG424" s="201"/>
      <c r="AH424" s="202"/>
      <c r="AI424" s="202"/>
      <c r="AJ424" s="202"/>
      <c r="AK424" s="202"/>
    </row>
    <row r="425" spans="3:37" ht="12.75" customHeight="1">
      <c r="C425" s="127"/>
      <c r="D425" s="100"/>
      <c r="E425" s="100"/>
      <c r="F425" s="100"/>
      <c r="G425" s="100"/>
      <c r="H425" s="127"/>
      <c r="I425" s="100"/>
      <c r="J425" s="100"/>
      <c r="K425" s="100"/>
      <c r="L425" s="100"/>
      <c r="M425" s="127"/>
      <c r="N425" s="100"/>
      <c r="O425" s="100"/>
      <c r="P425" s="100"/>
      <c r="Q425" s="100"/>
      <c r="R425" s="127"/>
      <c r="S425" s="1219"/>
      <c r="T425" s="100"/>
      <c r="U425" s="100"/>
      <c r="V425" s="100"/>
      <c r="W425" s="127"/>
      <c r="X425" s="100"/>
      <c r="Y425" s="100"/>
      <c r="Z425" s="100"/>
      <c r="AA425" s="100"/>
      <c r="AB425" s="127"/>
      <c r="AC425" s="100"/>
      <c r="AD425" s="100"/>
      <c r="AE425" s="100"/>
      <c r="AF425" s="100"/>
      <c r="AG425" s="127"/>
      <c r="AH425" s="100"/>
      <c r="AI425" s="100"/>
      <c r="AJ425" s="100"/>
      <c r="AK425" s="100"/>
    </row>
    <row r="426" spans="3:37" ht="12.75" customHeight="1">
      <c r="C426" s="127"/>
      <c r="D426" s="100"/>
      <c r="E426" s="100"/>
      <c r="F426" s="100"/>
      <c r="G426" s="100"/>
      <c r="H426" s="127"/>
      <c r="I426" s="100"/>
      <c r="J426" s="100"/>
      <c r="K426" s="100"/>
      <c r="L426" s="100"/>
      <c r="M426" s="127"/>
      <c r="N426" s="100"/>
      <c r="O426" s="100"/>
      <c r="P426" s="100"/>
      <c r="Q426" s="100"/>
      <c r="R426" s="127"/>
      <c r="S426" s="1219"/>
      <c r="T426" s="100"/>
      <c r="U426" s="100"/>
      <c r="V426" s="100"/>
      <c r="W426" s="127"/>
      <c r="X426" s="100"/>
      <c r="Y426" s="100"/>
      <c r="Z426" s="100"/>
      <c r="AA426" s="100"/>
      <c r="AB426" s="127"/>
      <c r="AC426" s="100"/>
      <c r="AD426" s="100"/>
      <c r="AE426" s="100"/>
      <c r="AF426" s="100"/>
      <c r="AG426" s="127"/>
      <c r="AH426" s="100"/>
      <c r="AI426" s="100"/>
      <c r="AJ426" s="100"/>
      <c r="AK426" s="100"/>
    </row>
    <row r="427" spans="3:37" ht="12.75" customHeight="1">
      <c r="C427" s="201"/>
      <c r="D427" s="202"/>
      <c r="E427" s="202"/>
      <c r="F427" s="202"/>
      <c r="G427" s="202"/>
      <c r="H427" s="201"/>
      <c r="I427" s="202"/>
      <c r="J427" s="202"/>
      <c r="K427" s="202"/>
      <c r="L427" s="202"/>
      <c r="M427" s="201"/>
      <c r="N427" s="202"/>
      <c r="O427" s="202"/>
      <c r="P427" s="202"/>
      <c r="Q427" s="202"/>
      <c r="R427" s="201"/>
      <c r="S427" s="1257"/>
      <c r="T427" s="202"/>
      <c r="U427" s="202"/>
      <c r="V427" s="202"/>
      <c r="W427" s="201"/>
      <c r="X427" s="202"/>
      <c r="Y427" s="202"/>
      <c r="Z427" s="202"/>
      <c r="AA427" s="202"/>
      <c r="AB427" s="201"/>
      <c r="AC427" s="202"/>
      <c r="AD427" s="202"/>
      <c r="AE427" s="202"/>
      <c r="AF427" s="202"/>
      <c r="AG427" s="201"/>
      <c r="AH427" s="202"/>
      <c r="AI427" s="202"/>
      <c r="AJ427" s="202"/>
      <c r="AK427" s="202"/>
    </row>
    <row r="428" spans="3:37" ht="12.75" customHeight="1">
      <c r="C428" s="127"/>
      <c r="D428" s="100"/>
      <c r="E428" s="100"/>
      <c r="F428" s="100"/>
      <c r="G428" s="100"/>
      <c r="H428" s="127"/>
      <c r="I428" s="100"/>
      <c r="J428" s="100"/>
      <c r="K428" s="100"/>
      <c r="L428" s="100"/>
      <c r="M428" s="127"/>
      <c r="N428" s="100"/>
      <c r="O428" s="100"/>
      <c r="P428" s="100"/>
      <c r="Q428" s="100"/>
      <c r="R428" s="127"/>
      <c r="S428" s="1219"/>
      <c r="T428" s="100"/>
      <c r="U428" s="100"/>
      <c r="V428" s="100"/>
      <c r="W428" s="127"/>
      <c r="X428" s="100"/>
      <c r="Y428" s="100"/>
      <c r="Z428" s="100"/>
      <c r="AA428" s="100"/>
      <c r="AB428" s="127"/>
      <c r="AC428" s="100"/>
      <c r="AD428" s="100"/>
      <c r="AE428" s="100"/>
      <c r="AF428" s="100"/>
      <c r="AG428" s="127"/>
      <c r="AH428" s="100"/>
      <c r="AI428" s="100"/>
      <c r="AJ428" s="100"/>
      <c r="AK428" s="100"/>
    </row>
    <row r="429" spans="3:37" ht="12.75" customHeight="1">
      <c r="C429" s="127"/>
      <c r="D429" s="100"/>
      <c r="E429" s="100"/>
      <c r="F429" s="100"/>
      <c r="G429" s="100"/>
      <c r="H429" s="127"/>
      <c r="I429" s="100"/>
      <c r="J429" s="100"/>
      <c r="K429" s="100"/>
      <c r="L429" s="100"/>
      <c r="M429" s="127"/>
      <c r="N429" s="100"/>
      <c r="O429" s="100"/>
      <c r="P429" s="100"/>
      <c r="Q429" s="100"/>
      <c r="R429" s="127"/>
      <c r="S429" s="1219"/>
      <c r="T429" s="100"/>
      <c r="U429" s="100"/>
      <c r="V429" s="100"/>
      <c r="W429" s="127"/>
      <c r="X429" s="100"/>
      <c r="Y429" s="100"/>
      <c r="Z429" s="100"/>
      <c r="AA429" s="100"/>
      <c r="AB429" s="127"/>
      <c r="AC429" s="100"/>
      <c r="AD429" s="100"/>
      <c r="AE429" s="100"/>
      <c r="AF429" s="100"/>
      <c r="AG429" s="127"/>
      <c r="AH429" s="100"/>
      <c r="AI429" s="100"/>
      <c r="AJ429" s="100"/>
      <c r="AK429" s="100"/>
    </row>
    <row r="431" spans="3:37" ht="12.75" customHeight="1">
      <c r="C431" s="127"/>
      <c r="D431" s="100"/>
      <c r="E431" s="100"/>
      <c r="F431" s="100"/>
      <c r="G431" s="100"/>
      <c r="H431" s="127"/>
      <c r="I431" s="100"/>
      <c r="J431" s="100"/>
      <c r="K431" s="100"/>
      <c r="L431" s="100"/>
      <c r="M431" s="127"/>
      <c r="N431" s="100"/>
      <c r="O431" s="100"/>
      <c r="P431" s="100"/>
      <c r="Q431" s="100"/>
      <c r="R431" s="127"/>
      <c r="S431" s="1219"/>
      <c r="T431" s="100"/>
      <c r="U431" s="100"/>
      <c r="V431" s="100"/>
      <c r="W431" s="127"/>
      <c r="X431" s="100"/>
      <c r="Y431" s="100"/>
      <c r="Z431" s="100"/>
      <c r="AA431" s="100"/>
      <c r="AB431" s="127"/>
      <c r="AC431" s="100"/>
      <c r="AD431" s="100"/>
      <c r="AE431" s="100"/>
      <c r="AF431" s="100"/>
      <c r="AG431" s="127"/>
      <c r="AH431" s="100"/>
      <c r="AI431" s="100"/>
      <c r="AJ431" s="100"/>
      <c r="AK431" s="100"/>
    </row>
    <row r="432" spans="3:37" ht="12.75" customHeight="1">
      <c r="C432" s="127"/>
      <c r="D432" s="100"/>
      <c r="E432" s="100"/>
      <c r="F432" s="100"/>
      <c r="G432" s="100"/>
      <c r="H432" s="127"/>
      <c r="I432" s="100"/>
      <c r="J432" s="100"/>
      <c r="K432" s="100"/>
      <c r="L432" s="100"/>
      <c r="M432" s="127"/>
      <c r="N432" s="100"/>
      <c r="O432" s="100"/>
      <c r="P432" s="100"/>
      <c r="Q432" s="100"/>
      <c r="R432" s="127"/>
      <c r="S432" s="1219"/>
      <c r="T432" s="100"/>
      <c r="U432" s="100"/>
      <c r="V432" s="100"/>
      <c r="W432" s="127"/>
      <c r="X432" s="100"/>
      <c r="Y432" s="100"/>
      <c r="Z432" s="100"/>
      <c r="AA432" s="100"/>
      <c r="AB432" s="127"/>
      <c r="AC432" s="100"/>
      <c r="AD432" s="100"/>
      <c r="AE432" s="100"/>
      <c r="AF432" s="100"/>
      <c r="AG432" s="127"/>
      <c r="AH432" s="100"/>
      <c r="AI432" s="100"/>
      <c r="AJ432" s="100"/>
      <c r="AK432" s="100"/>
    </row>
    <row r="433" spans="3:37" ht="12.75" customHeight="1">
      <c r="C433" s="127"/>
      <c r="D433" s="100"/>
      <c r="E433" s="100"/>
      <c r="F433" s="100"/>
      <c r="G433" s="100"/>
      <c r="H433" s="127"/>
      <c r="I433" s="100"/>
      <c r="J433" s="100"/>
      <c r="K433" s="100"/>
      <c r="L433" s="100"/>
      <c r="M433" s="127"/>
      <c r="N433" s="100"/>
      <c r="O433" s="100"/>
      <c r="P433" s="100"/>
      <c r="Q433" s="100"/>
      <c r="R433" s="127"/>
      <c r="S433" s="1219"/>
      <c r="T433" s="100"/>
      <c r="U433" s="100"/>
      <c r="V433" s="100"/>
      <c r="W433" s="127"/>
      <c r="X433" s="100"/>
      <c r="Y433" s="100"/>
      <c r="Z433" s="100"/>
      <c r="AA433" s="100"/>
      <c r="AB433" s="127"/>
      <c r="AC433" s="100"/>
      <c r="AD433" s="100"/>
      <c r="AE433" s="100"/>
      <c r="AF433" s="100"/>
      <c r="AG433" s="127"/>
      <c r="AH433" s="100"/>
      <c r="AI433" s="100"/>
      <c r="AJ433" s="100"/>
      <c r="AK433" s="100"/>
    </row>
    <row r="437" spans="3:37" ht="12.75" customHeight="1">
      <c r="C437" s="127"/>
      <c r="D437" s="100"/>
      <c r="E437" s="100"/>
      <c r="F437" s="100"/>
      <c r="G437" s="100"/>
      <c r="H437" s="127"/>
      <c r="I437" s="100"/>
      <c r="J437" s="100"/>
      <c r="K437" s="100"/>
      <c r="L437" s="100"/>
      <c r="M437" s="127"/>
      <c r="N437" s="100"/>
      <c r="O437" s="100"/>
      <c r="P437" s="100"/>
      <c r="Q437" s="100"/>
      <c r="R437" s="127"/>
      <c r="S437" s="1219"/>
      <c r="T437" s="100"/>
      <c r="U437" s="100"/>
      <c r="V437" s="100"/>
      <c r="W437" s="127"/>
      <c r="X437" s="100"/>
      <c r="Y437" s="100"/>
      <c r="Z437" s="100"/>
      <c r="AA437" s="100"/>
      <c r="AB437" s="127"/>
      <c r="AC437" s="100"/>
      <c r="AD437" s="100"/>
      <c r="AE437" s="100"/>
      <c r="AF437" s="100"/>
      <c r="AG437" s="127"/>
      <c r="AH437" s="100"/>
      <c r="AI437" s="100"/>
      <c r="AJ437" s="100"/>
      <c r="AK437" s="100"/>
    </row>
    <row r="438" spans="3:37" ht="12.75" customHeight="1">
      <c r="C438" s="127"/>
      <c r="D438" s="100"/>
      <c r="E438" s="100"/>
      <c r="F438" s="100"/>
      <c r="G438" s="100"/>
      <c r="H438" s="127"/>
      <c r="I438" s="100"/>
      <c r="J438" s="100"/>
      <c r="K438" s="100"/>
      <c r="L438" s="100"/>
      <c r="M438" s="127"/>
      <c r="N438" s="100"/>
      <c r="O438" s="100"/>
      <c r="P438" s="100"/>
      <c r="Q438" s="100"/>
      <c r="R438" s="127"/>
      <c r="S438" s="1219"/>
      <c r="T438" s="100"/>
      <c r="U438" s="100"/>
      <c r="V438" s="100"/>
      <c r="W438" s="127"/>
      <c r="X438" s="100"/>
      <c r="Y438" s="100"/>
      <c r="Z438" s="100"/>
      <c r="AA438" s="100"/>
      <c r="AB438" s="127"/>
      <c r="AC438" s="100"/>
      <c r="AD438" s="100"/>
      <c r="AE438" s="100"/>
      <c r="AF438" s="100"/>
      <c r="AG438" s="127"/>
      <c r="AH438" s="100"/>
      <c r="AI438" s="100"/>
      <c r="AJ438" s="100"/>
      <c r="AK438" s="100"/>
    </row>
    <row r="439" spans="3:37" ht="12.75" customHeight="1">
      <c r="C439" s="127"/>
      <c r="D439" s="100"/>
      <c r="E439" s="100"/>
      <c r="F439" s="100"/>
      <c r="G439" s="100"/>
      <c r="H439" s="127"/>
      <c r="I439" s="100"/>
      <c r="J439" s="100"/>
      <c r="K439" s="100"/>
      <c r="L439" s="100"/>
      <c r="M439" s="127"/>
      <c r="N439" s="100"/>
      <c r="O439" s="100"/>
      <c r="P439" s="100"/>
      <c r="Q439" s="100"/>
      <c r="R439" s="127"/>
      <c r="S439" s="1219"/>
      <c r="T439" s="100"/>
      <c r="U439" s="100"/>
      <c r="V439" s="100"/>
      <c r="W439" s="127"/>
      <c r="X439" s="100"/>
      <c r="Y439" s="100"/>
      <c r="Z439" s="100"/>
      <c r="AA439" s="100"/>
      <c r="AB439" s="127"/>
      <c r="AC439" s="100"/>
      <c r="AD439" s="100"/>
      <c r="AE439" s="100"/>
      <c r="AF439" s="100"/>
      <c r="AG439" s="127"/>
      <c r="AH439" s="100"/>
      <c r="AI439" s="100"/>
      <c r="AJ439" s="100"/>
      <c r="AK439" s="100"/>
    </row>
    <row r="440" spans="3:37" ht="12.75" customHeight="1">
      <c r="C440" s="127"/>
      <c r="D440" s="100"/>
      <c r="E440" s="100"/>
      <c r="F440" s="100"/>
      <c r="G440" s="100"/>
      <c r="H440" s="127"/>
      <c r="I440" s="100"/>
      <c r="J440" s="100"/>
      <c r="K440" s="100"/>
      <c r="L440" s="100"/>
      <c r="M440" s="127"/>
      <c r="N440" s="100"/>
      <c r="O440" s="100"/>
      <c r="P440" s="100"/>
      <c r="Q440" s="100"/>
      <c r="R440" s="127"/>
      <c r="S440" s="1219"/>
      <c r="T440" s="100"/>
      <c r="U440" s="100"/>
      <c r="V440" s="100"/>
      <c r="W440" s="127"/>
      <c r="X440" s="100"/>
      <c r="Y440" s="100"/>
      <c r="Z440" s="100"/>
      <c r="AA440" s="100"/>
      <c r="AB440" s="127"/>
      <c r="AC440" s="100"/>
      <c r="AD440" s="100"/>
      <c r="AE440" s="100"/>
      <c r="AF440" s="100"/>
      <c r="AG440" s="127"/>
      <c r="AH440" s="100"/>
      <c r="AI440" s="100"/>
      <c r="AJ440" s="100"/>
      <c r="AK440" s="100"/>
    </row>
    <row r="443" spans="3:37" ht="12.75" customHeight="1">
      <c r="C443" s="155"/>
      <c r="D443" s="155"/>
      <c r="E443" s="155"/>
      <c r="F443" s="155"/>
      <c r="G443" s="155"/>
      <c r="H443" s="155"/>
      <c r="I443" s="155"/>
      <c r="J443" s="155"/>
      <c r="K443" s="155"/>
      <c r="L443" s="155"/>
      <c r="M443" s="155"/>
      <c r="N443" s="155"/>
      <c r="O443" s="155"/>
      <c r="P443" s="155"/>
      <c r="Q443" s="155"/>
      <c r="R443" s="155"/>
      <c r="S443" s="1239"/>
      <c r="T443" s="155"/>
      <c r="U443" s="155"/>
      <c r="V443" s="155"/>
      <c r="W443" s="155"/>
      <c r="X443" s="155"/>
      <c r="Y443" s="155"/>
      <c r="Z443" s="155"/>
      <c r="AA443" s="155"/>
      <c r="AB443" s="155"/>
      <c r="AC443" s="155"/>
      <c r="AD443" s="155"/>
      <c r="AE443" s="155"/>
      <c r="AF443" s="155"/>
      <c r="AG443" s="155"/>
      <c r="AH443" s="155"/>
      <c r="AI443" s="155"/>
      <c r="AJ443" s="155"/>
      <c r="AK443" s="155"/>
    </row>
    <row r="444" spans="3:37" ht="12.75" customHeight="1">
      <c r="C444" s="155"/>
      <c r="D444" s="155"/>
      <c r="E444" s="155"/>
      <c r="F444" s="155"/>
      <c r="G444" s="155"/>
      <c r="H444" s="155"/>
      <c r="I444" s="155"/>
      <c r="J444" s="155"/>
      <c r="K444" s="155"/>
      <c r="L444" s="155"/>
      <c r="M444" s="155"/>
      <c r="N444" s="155"/>
      <c r="O444" s="155"/>
      <c r="P444" s="155"/>
      <c r="Q444" s="155"/>
      <c r="R444" s="155"/>
      <c r="S444" s="1239"/>
      <c r="T444" s="155"/>
      <c r="U444" s="155"/>
      <c r="V444" s="155"/>
      <c r="W444" s="155"/>
      <c r="X444" s="155"/>
      <c r="Y444" s="155"/>
      <c r="Z444" s="155"/>
      <c r="AA444" s="155"/>
      <c r="AB444" s="155"/>
      <c r="AC444" s="155"/>
      <c r="AD444" s="155"/>
      <c r="AE444" s="155"/>
      <c r="AF444" s="155"/>
      <c r="AG444" s="155"/>
      <c r="AH444" s="155"/>
      <c r="AI444" s="155"/>
      <c r="AJ444" s="155"/>
      <c r="AK444" s="155"/>
    </row>
    <row r="445" spans="3:37" ht="12.75" customHeight="1">
      <c r="C445" s="155"/>
      <c r="D445" s="155"/>
      <c r="E445" s="155"/>
      <c r="F445" s="155"/>
      <c r="G445" s="155"/>
      <c r="H445" s="155"/>
      <c r="I445" s="155"/>
      <c r="J445" s="155"/>
      <c r="K445" s="155"/>
      <c r="L445" s="155"/>
      <c r="M445" s="155"/>
      <c r="N445" s="155"/>
      <c r="O445" s="155"/>
      <c r="P445" s="155"/>
      <c r="Q445" s="155"/>
      <c r="R445" s="155"/>
      <c r="S445" s="1239"/>
      <c r="T445" s="155"/>
      <c r="U445" s="155"/>
      <c r="V445" s="155"/>
      <c r="W445" s="155"/>
      <c r="X445" s="155"/>
      <c r="Y445" s="155"/>
      <c r="Z445" s="155"/>
      <c r="AA445" s="155"/>
      <c r="AB445" s="155"/>
      <c r="AC445" s="155"/>
      <c r="AD445" s="155"/>
      <c r="AE445" s="155"/>
      <c r="AF445" s="155"/>
      <c r="AG445" s="155"/>
      <c r="AH445" s="155"/>
      <c r="AI445" s="155"/>
      <c r="AJ445" s="155"/>
      <c r="AK445" s="155"/>
    </row>
    <row r="446" spans="3:37" ht="12.75" customHeight="1">
      <c r="C446" s="101"/>
      <c r="D446" s="101"/>
      <c r="E446" s="101"/>
      <c r="F446" s="101"/>
      <c r="G446" s="101"/>
      <c r="H446" s="101"/>
      <c r="I446" s="101"/>
      <c r="J446" s="101"/>
      <c r="K446" s="101"/>
      <c r="L446" s="101"/>
      <c r="M446" s="101"/>
      <c r="N446" s="101"/>
      <c r="O446" s="101"/>
      <c r="P446" s="101"/>
      <c r="Q446" s="101"/>
      <c r="R446" s="101"/>
      <c r="S446" s="686"/>
      <c r="T446" s="101"/>
      <c r="U446" s="101"/>
      <c r="V446" s="101"/>
      <c r="W446" s="101"/>
      <c r="X446" s="101"/>
      <c r="Y446" s="101"/>
      <c r="Z446" s="101"/>
      <c r="AA446" s="101"/>
      <c r="AB446" s="101"/>
      <c r="AC446" s="101"/>
      <c r="AD446" s="101"/>
      <c r="AE446" s="101"/>
      <c r="AF446" s="101"/>
      <c r="AG446" s="101"/>
      <c r="AH446" s="101"/>
      <c r="AI446" s="101"/>
      <c r="AJ446" s="101"/>
      <c r="AK446" s="101"/>
    </row>
    <row r="447" spans="3:37" ht="12.75" customHeight="1">
      <c r="C447" s="203"/>
      <c r="D447" s="203"/>
      <c r="E447" s="203"/>
      <c r="F447" s="203"/>
      <c r="G447" s="203"/>
      <c r="H447" s="203"/>
      <c r="I447" s="203"/>
      <c r="J447" s="203"/>
      <c r="K447" s="203"/>
      <c r="L447" s="203"/>
      <c r="M447" s="203"/>
      <c r="N447" s="203"/>
      <c r="O447" s="203"/>
      <c r="P447" s="203"/>
      <c r="Q447" s="203"/>
      <c r="R447" s="203"/>
      <c r="S447" s="1258"/>
      <c r="T447" s="203"/>
      <c r="U447" s="203"/>
      <c r="V447" s="203"/>
      <c r="W447" s="203"/>
      <c r="X447" s="203"/>
      <c r="Y447" s="203"/>
      <c r="Z447" s="203"/>
      <c r="AA447" s="203"/>
      <c r="AB447" s="203"/>
      <c r="AC447" s="203"/>
      <c r="AD447" s="203"/>
      <c r="AE447" s="203"/>
      <c r="AF447" s="203"/>
      <c r="AG447" s="203"/>
      <c r="AH447" s="203"/>
      <c r="AI447" s="203"/>
      <c r="AJ447" s="203"/>
      <c r="AK447" s="203"/>
    </row>
    <row r="448" spans="3:37" ht="12.75" customHeight="1">
      <c r="C448" s="155"/>
      <c r="D448" s="155"/>
      <c r="E448" s="155"/>
      <c r="F448" s="155"/>
      <c r="G448" s="155"/>
      <c r="H448" s="155"/>
      <c r="I448" s="155"/>
      <c r="J448" s="155"/>
      <c r="K448" s="155"/>
      <c r="L448" s="155"/>
      <c r="M448" s="155"/>
      <c r="N448" s="155"/>
      <c r="O448" s="155"/>
      <c r="P448" s="155"/>
      <c r="Q448" s="155"/>
      <c r="R448" s="155"/>
      <c r="S448" s="1239"/>
      <c r="T448" s="155"/>
      <c r="U448" s="155"/>
      <c r="V448" s="155"/>
      <c r="W448" s="155"/>
      <c r="X448" s="155"/>
      <c r="Y448" s="155"/>
      <c r="Z448" s="155"/>
      <c r="AA448" s="155"/>
      <c r="AB448" s="155"/>
      <c r="AC448" s="155"/>
      <c r="AD448" s="155"/>
      <c r="AE448" s="155"/>
      <c r="AF448" s="155"/>
      <c r="AG448" s="155"/>
      <c r="AH448" s="155"/>
      <c r="AI448" s="155"/>
      <c r="AJ448" s="155"/>
      <c r="AK448" s="155"/>
    </row>
    <row r="449" spans="3:37" ht="12.75" customHeight="1">
      <c r="C449" s="155"/>
      <c r="D449" s="155"/>
      <c r="E449" s="155"/>
      <c r="F449" s="155"/>
      <c r="G449" s="155"/>
      <c r="H449" s="155"/>
      <c r="I449" s="155"/>
      <c r="J449" s="155"/>
      <c r="K449" s="155"/>
      <c r="L449" s="155"/>
      <c r="M449" s="155"/>
      <c r="N449" s="155"/>
      <c r="O449" s="155"/>
      <c r="P449" s="155"/>
      <c r="Q449" s="155"/>
      <c r="R449" s="155"/>
      <c r="S449" s="1239"/>
      <c r="T449" s="155"/>
      <c r="U449" s="155"/>
      <c r="V449" s="155"/>
      <c r="W449" s="155"/>
      <c r="X449" s="155"/>
      <c r="Y449" s="155"/>
      <c r="Z449" s="155"/>
      <c r="AA449" s="155"/>
      <c r="AB449" s="155"/>
      <c r="AC449" s="155"/>
      <c r="AD449" s="155"/>
      <c r="AE449" s="155"/>
      <c r="AF449" s="155"/>
      <c r="AG449" s="155"/>
      <c r="AH449" s="155"/>
      <c r="AI449" s="155"/>
      <c r="AJ449" s="155"/>
      <c r="AK449" s="155"/>
    </row>
    <row r="450" spans="3:37" ht="12.75" customHeight="1">
      <c r="C450" s="101"/>
      <c r="D450" s="101"/>
      <c r="E450" s="101"/>
      <c r="F450" s="101"/>
      <c r="G450" s="101"/>
      <c r="H450" s="101"/>
      <c r="I450" s="101"/>
      <c r="J450" s="101"/>
      <c r="K450" s="101"/>
      <c r="L450" s="101"/>
      <c r="M450" s="101"/>
      <c r="N450" s="101"/>
      <c r="O450" s="101"/>
      <c r="P450" s="101"/>
      <c r="Q450" s="101"/>
      <c r="R450" s="101"/>
      <c r="S450" s="686"/>
      <c r="T450" s="101"/>
      <c r="U450" s="101"/>
      <c r="V450" s="101"/>
      <c r="W450" s="101"/>
      <c r="X450" s="101"/>
      <c r="Y450" s="101"/>
      <c r="Z450" s="101"/>
      <c r="AA450" s="101"/>
      <c r="AB450" s="101"/>
      <c r="AC450" s="101"/>
      <c r="AD450" s="101"/>
      <c r="AE450" s="101"/>
      <c r="AF450" s="101"/>
      <c r="AG450" s="101"/>
      <c r="AH450" s="101"/>
      <c r="AI450" s="101"/>
      <c r="AJ450" s="101"/>
      <c r="AK450" s="101"/>
    </row>
    <row r="451" spans="3:37" ht="12.75" customHeight="1">
      <c r="C451" s="101"/>
      <c r="D451" s="101"/>
      <c r="E451" s="101"/>
      <c r="F451" s="101"/>
      <c r="G451" s="101"/>
      <c r="H451" s="101"/>
      <c r="I451" s="101"/>
      <c r="J451" s="101"/>
      <c r="K451" s="101"/>
      <c r="L451" s="101"/>
      <c r="M451" s="101"/>
      <c r="N451" s="101"/>
      <c r="O451" s="101"/>
      <c r="P451" s="101"/>
      <c r="Q451" s="101"/>
      <c r="R451" s="101"/>
      <c r="S451" s="686"/>
      <c r="T451" s="101"/>
      <c r="U451" s="101"/>
      <c r="V451" s="101"/>
      <c r="W451" s="101"/>
      <c r="X451" s="101"/>
      <c r="Y451" s="101"/>
      <c r="Z451" s="101"/>
      <c r="AA451" s="101"/>
      <c r="AB451" s="101"/>
      <c r="AC451" s="101"/>
      <c r="AD451" s="101"/>
      <c r="AE451" s="101"/>
      <c r="AF451" s="101"/>
      <c r="AG451" s="101"/>
      <c r="AH451" s="101"/>
      <c r="AI451" s="101"/>
      <c r="AJ451" s="101"/>
      <c r="AK451" s="101"/>
    </row>
    <row r="452" spans="3:37" ht="12.75" customHeight="1">
      <c r="C452" s="155"/>
      <c r="D452" s="155"/>
      <c r="E452" s="155"/>
      <c r="F452" s="155"/>
      <c r="G452" s="155"/>
      <c r="H452" s="155"/>
      <c r="I452" s="155"/>
      <c r="J452" s="155"/>
      <c r="K452" s="155"/>
      <c r="L452" s="155"/>
      <c r="M452" s="155"/>
      <c r="N452" s="155"/>
      <c r="O452" s="155"/>
      <c r="P452" s="155"/>
      <c r="Q452" s="155"/>
      <c r="R452" s="155"/>
      <c r="S452" s="1239"/>
      <c r="T452" s="155"/>
      <c r="U452" s="155"/>
      <c r="V452" s="155"/>
      <c r="W452" s="155"/>
      <c r="X452" s="155"/>
      <c r="Y452" s="155"/>
      <c r="Z452" s="155"/>
      <c r="AA452" s="155"/>
      <c r="AB452" s="155"/>
      <c r="AC452" s="155"/>
      <c r="AD452" s="155"/>
      <c r="AE452" s="155"/>
      <c r="AF452" s="155"/>
      <c r="AG452" s="155"/>
      <c r="AH452" s="155"/>
      <c r="AI452" s="155"/>
      <c r="AJ452" s="155"/>
      <c r="AK452" s="155"/>
    </row>
    <row r="453" spans="3:37" ht="12.75" customHeight="1">
      <c r="C453" s="204"/>
      <c r="D453" s="204"/>
      <c r="E453" s="204"/>
      <c r="F453" s="204"/>
      <c r="G453" s="204"/>
      <c r="H453" s="204"/>
      <c r="I453" s="204"/>
      <c r="J453" s="204"/>
      <c r="K453" s="204"/>
      <c r="L453" s="204"/>
      <c r="M453" s="204"/>
      <c r="N453" s="204"/>
      <c r="O453" s="204"/>
      <c r="P453" s="204"/>
      <c r="Q453" s="204"/>
      <c r="R453" s="204"/>
      <c r="S453" s="1259"/>
      <c r="T453" s="204"/>
      <c r="U453" s="204"/>
      <c r="V453" s="204"/>
      <c r="W453" s="204"/>
      <c r="X453" s="204"/>
      <c r="Y453" s="204"/>
      <c r="Z453" s="204"/>
      <c r="AA453" s="204"/>
      <c r="AB453" s="204"/>
      <c r="AC453" s="204"/>
      <c r="AD453" s="204"/>
      <c r="AE453" s="204"/>
      <c r="AF453" s="204"/>
      <c r="AG453" s="204"/>
      <c r="AH453" s="204"/>
      <c r="AI453" s="204"/>
      <c r="AJ453" s="204"/>
      <c r="AK453" s="204"/>
    </row>
    <row r="454" spans="3:37" ht="12.75" customHeight="1">
      <c r="C454" s="101"/>
      <c r="D454" s="101"/>
      <c r="E454" s="101"/>
      <c r="F454" s="101"/>
      <c r="G454" s="101"/>
      <c r="H454" s="101"/>
      <c r="I454" s="101"/>
      <c r="J454" s="101"/>
      <c r="K454" s="101"/>
      <c r="L454" s="101"/>
      <c r="M454" s="101"/>
      <c r="N454" s="101"/>
      <c r="O454" s="101"/>
      <c r="P454" s="101"/>
      <c r="Q454" s="101"/>
      <c r="R454" s="101"/>
      <c r="S454" s="686"/>
      <c r="T454" s="101"/>
      <c r="U454" s="101"/>
      <c r="V454" s="101"/>
      <c r="W454" s="101"/>
      <c r="X454" s="101"/>
      <c r="Y454" s="101"/>
      <c r="Z454" s="101"/>
      <c r="AA454" s="101"/>
      <c r="AB454" s="101"/>
      <c r="AC454" s="101"/>
      <c r="AD454" s="101"/>
      <c r="AE454" s="101"/>
      <c r="AF454" s="101"/>
      <c r="AG454" s="101"/>
      <c r="AH454" s="101"/>
      <c r="AI454" s="101"/>
      <c r="AJ454" s="101"/>
      <c r="AK454" s="101"/>
    </row>
    <row r="455" spans="3:37" ht="12.75" customHeight="1">
      <c r="C455" s="101"/>
      <c r="D455" s="101"/>
      <c r="E455" s="101"/>
      <c r="F455" s="101"/>
      <c r="G455" s="101"/>
      <c r="H455" s="101"/>
      <c r="I455" s="101"/>
      <c r="J455" s="101"/>
      <c r="K455" s="101"/>
      <c r="L455" s="101"/>
      <c r="M455" s="101"/>
      <c r="N455" s="101"/>
      <c r="O455" s="101"/>
      <c r="P455" s="101"/>
      <c r="Q455" s="101"/>
      <c r="R455" s="101"/>
      <c r="S455" s="686"/>
      <c r="T455" s="101"/>
      <c r="U455" s="101"/>
      <c r="V455" s="101"/>
      <c r="W455" s="101"/>
      <c r="X455" s="101"/>
      <c r="Y455" s="101"/>
      <c r="Z455" s="101"/>
      <c r="AA455" s="101"/>
      <c r="AB455" s="101"/>
      <c r="AC455" s="101"/>
      <c r="AD455" s="101"/>
      <c r="AE455" s="101"/>
      <c r="AF455" s="101"/>
      <c r="AG455" s="101"/>
      <c r="AH455" s="101"/>
      <c r="AI455" s="101"/>
      <c r="AJ455" s="101"/>
      <c r="AK455" s="101"/>
    </row>
    <row r="456" spans="3:37" ht="12.75" customHeight="1">
      <c r="C456" s="205"/>
      <c r="D456" s="205"/>
      <c r="E456" s="205"/>
      <c r="F456" s="205"/>
      <c r="G456" s="205"/>
      <c r="H456" s="205"/>
      <c r="I456" s="205"/>
      <c r="J456" s="205"/>
      <c r="K456" s="205"/>
      <c r="L456" s="205"/>
      <c r="M456" s="205"/>
      <c r="N456" s="205"/>
      <c r="O456" s="205"/>
      <c r="P456" s="205"/>
      <c r="Q456" s="205"/>
      <c r="R456" s="205"/>
      <c r="S456" s="1260"/>
      <c r="T456" s="205"/>
      <c r="U456" s="205"/>
      <c r="V456" s="205"/>
      <c r="W456" s="205"/>
      <c r="X456" s="205"/>
      <c r="Y456" s="205"/>
      <c r="Z456" s="205"/>
      <c r="AA456" s="205"/>
      <c r="AB456" s="205"/>
      <c r="AC456" s="205"/>
      <c r="AD456" s="205"/>
      <c r="AE456" s="205"/>
      <c r="AF456" s="205"/>
      <c r="AG456" s="205"/>
      <c r="AH456" s="205"/>
      <c r="AI456" s="205"/>
      <c r="AJ456" s="205"/>
      <c r="AK456" s="205"/>
    </row>
    <row r="457" spans="3:37" ht="12.75" customHeight="1">
      <c r="C457" s="155"/>
      <c r="D457" s="155"/>
      <c r="E457" s="155"/>
      <c r="F457" s="155"/>
      <c r="G457" s="155"/>
      <c r="H457" s="155"/>
      <c r="I457" s="155"/>
      <c r="J457" s="155"/>
      <c r="K457" s="155"/>
      <c r="L457" s="155"/>
      <c r="M457" s="155"/>
      <c r="N457" s="155"/>
      <c r="O457" s="155"/>
      <c r="P457" s="155"/>
      <c r="Q457" s="155"/>
      <c r="R457" s="155"/>
      <c r="S457" s="1239"/>
      <c r="T457" s="155"/>
      <c r="U457" s="155"/>
      <c r="V457" s="155"/>
      <c r="W457" s="155"/>
      <c r="X457" s="155"/>
      <c r="Y457" s="155"/>
      <c r="Z457" s="155"/>
      <c r="AA457" s="155"/>
      <c r="AB457" s="155"/>
      <c r="AC457" s="155"/>
      <c r="AD457" s="155"/>
      <c r="AE457" s="155"/>
      <c r="AF457" s="155"/>
      <c r="AG457" s="155"/>
      <c r="AH457" s="155"/>
      <c r="AI457" s="155"/>
      <c r="AJ457" s="155"/>
      <c r="AK457" s="155"/>
    </row>
    <row r="458" spans="3:37" ht="12.75" customHeight="1">
      <c r="C458" s="155"/>
      <c r="D458" s="155"/>
      <c r="E458" s="155"/>
      <c r="F458" s="155"/>
      <c r="G458" s="155"/>
      <c r="H458" s="155"/>
      <c r="I458" s="155"/>
      <c r="J458" s="155"/>
      <c r="K458" s="155"/>
      <c r="L458" s="155"/>
      <c r="M458" s="155"/>
      <c r="N458" s="155"/>
      <c r="O458" s="155"/>
      <c r="P458" s="155"/>
      <c r="Q458" s="155"/>
      <c r="R458" s="155"/>
      <c r="S458" s="1239"/>
      <c r="T458" s="155"/>
      <c r="U458" s="155"/>
      <c r="V458" s="155"/>
      <c r="W458" s="155"/>
      <c r="X458" s="155"/>
      <c r="Y458" s="155"/>
      <c r="Z458" s="155"/>
      <c r="AA458" s="155"/>
      <c r="AB458" s="155"/>
      <c r="AC458" s="155"/>
      <c r="AD458" s="155"/>
      <c r="AE458" s="155"/>
      <c r="AF458" s="155"/>
      <c r="AG458" s="155"/>
      <c r="AH458" s="155"/>
      <c r="AI458" s="155"/>
      <c r="AJ458" s="155"/>
      <c r="AK458" s="155"/>
    </row>
    <row r="459" spans="3:37" ht="12.75" customHeight="1">
      <c r="C459" s="206"/>
      <c r="D459" s="206"/>
      <c r="E459" s="206"/>
      <c r="F459" s="206"/>
      <c r="G459" s="206"/>
      <c r="H459" s="206"/>
      <c r="I459" s="206"/>
      <c r="J459" s="206"/>
      <c r="K459" s="206"/>
      <c r="L459" s="206"/>
      <c r="M459" s="206"/>
      <c r="N459" s="206"/>
      <c r="O459" s="206"/>
      <c r="P459" s="206"/>
      <c r="Q459" s="206"/>
      <c r="R459" s="206"/>
      <c r="S459" s="1261"/>
      <c r="T459" s="206"/>
      <c r="U459" s="206"/>
      <c r="V459" s="206"/>
      <c r="W459" s="206"/>
      <c r="X459" s="206"/>
      <c r="Y459" s="206"/>
      <c r="Z459" s="206"/>
      <c r="AA459" s="206"/>
      <c r="AB459" s="206"/>
      <c r="AC459" s="206"/>
      <c r="AD459" s="206"/>
      <c r="AE459" s="206"/>
      <c r="AF459" s="206"/>
      <c r="AG459" s="206"/>
      <c r="AH459" s="206"/>
      <c r="AI459" s="206"/>
      <c r="AJ459" s="206"/>
      <c r="AK459" s="206"/>
    </row>
    <row r="460" spans="3:37" ht="12.75" customHeight="1">
      <c r="C460" s="101"/>
      <c r="D460" s="101"/>
      <c r="E460" s="101"/>
      <c r="F460" s="101"/>
      <c r="G460" s="101"/>
      <c r="H460" s="101"/>
      <c r="I460" s="101"/>
      <c r="J460" s="101"/>
      <c r="K460" s="101"/>
      <c r="L460" s="101"/>
      <c r="M460" s="101"/>
      <c r="N460" s="101"/>
      <c r="O460" s="101"/>
      <c r="P460" s="101"/>
      <c r="Q460" s="101"/>
      <c r="R460" s="101"/>
      <c r="S460" s="686"/>
      <c r="T460" s="101"/>
      <c r="U460" s="101"/>
      <c r="V460" s="101"/>
      <c r="W460" s="101"/>
      <c r="X460" s="101"/>
      <c r="Y460" s="101"/>
      <c r="Z460" s="101"/>
      <c r="AA460" s="101"/>
      <c r="AB460" s="101"/>
      <c r="AC460" s="101"/>
      <c r="AD460" s="101"/>
      <c r="AE460" s="101"/>
      <c r="AF460" s="101"/>
      <c r="AG460" s="101"/>
      <c r="AH460" s="101"/>
      <c r="AI460" s="101"/>
      <c r="AJ460" s="101"/>
      <c r="AK460" s="101"/>
    </row>
    <row r="461" spans="3:37" ht="12.75" customHeight="1">
      <c r="C461" s="207"/>
      <c r="D461" s="207"/>
      <c r="E461" s="207"/>
      <c r="F461" s="207"/>
      <c r="G461" s="207"/>
      <c r="H461" s="207"/>
      <c r="I461" s="207"/>
      <c r="J461" s="207"/>
      <c r="K461" s="207"/>
      <c r="L461" s="207"/>
      <c r="M461" s="207"/>
      <c r="N461" s="207"/>
      <c r="O461" s="207"/>
      <c r="P461" s="207"/>
      <c r="Q461" s="207"/>
      <c r="R461" s="207"/>
      <c r="S461" s="797"/>
      <c r="T461" s="207"/>
      <c r="U461" s="207"/>
      <c r="V461" s="207"/>
      <c r="W461" s="207"/>
      <c r="X461" s="207"/>
      <c r="Y461" s="207"/>
      <c r="Z461" s="207"/>
      <c r="AA461" s="207"/>
      <c r="AB461" s="207"/>
      <c r="AC461" s="207"/>
      <c r="AD461" s="207"/>
      <c r="AE461" s="207"/>
      <c r="AF461" s="207"/>
      <c r="AG461" s="207"/>
      <c r="AH461" s="207"/>
      <c r="AI461" s="207"/>
      <c r="AJ461" s="207"/>
      <c r="AK461" s="207"/>
    </row>
    <row r="462" spans="3:37" ht="12.75" customHeight="1">
      <c r="C462" s="208"/>
      <c r="D462" s="208"/>
      <c r="E462" s="208"/>
      <c r="F462" s="208"/>
      <c r="G462" s="208"/>
      <c r="H462" s="208"/>
      <c r="I462" s="208"/>
      <c r="J462" s="208"/>
      <c r="K462" s="208"/>
      <c r="L462" s="208"/>
      <c r="M462" s="208"/>
      <c r="N462" s="208"/>
      <c r="O462" s="208"/>
      <c r="P462" s="208"/>
      <c r="Q462" s="208"/>
      <c r="R462" s="208"/>
      <c r="S462" s="1262"/>
      <c r="T462" s="208"/>
      <c r="U462" s="208"/>
      <c r="V462" s="208"/>
      <c r="W462" s="208"/>
      <c r="X462" s="208"/>
      <c r="Y462" s="208"/>
      <c r="Z462" s="208"/>
      <c r="AA462" s="208"/>
      <c r="AB462" s="208"/>
      <c r="AC462" s="208"/>
      <c r="AD462" s="208"/>
      <c r="AE462" s="208"/>
      <c r="AF462" s="208"/>
      <c r="AG462" s="208"/>
      <c r="AH462" s="208"/>
      <c r="AI462" s="208"/>
      <c r="AJ462" s="208"/>
      <c r="AK462" s="208"/>
    </row>
    <row r="463" spans="3:37" ht="12.75" customHeight="1">
      <c r="C463" s="208"/>
      <c r="D463" s="208"/>
      <c r="E463" s="208"/>
      <c r="F463" s="208"/>
      <c r="G463" s="208"/>
      <c r="H463" s="208"/>
      <c r="I463" s="208"/>
      <c r="J463" s="208"/>
      <c r="K463" s="208"/>
      <c r="L463" s="208"/>
      <c r="M463" s="208"/>
      <c r="N463" s="208"/>
      <c r="O463" s="208"/>
      <c r="P463" s="208"/>
      <c r="Q463" s="208"/>
      <c r="R463" s="208"/>
      <c r="S463" s="1262"/>
      <c r="T463" s="208"/>
      <c r="U463" s="208"/>
      <c r="V463" s="208"/>
      <c r="W463" s="208"/>
      <c r="X463" s="208"/>
      <c r="Y463" s="208"/>
      <c r="Z463" s="208"/>
      <c r="AA463" s="208"/>
      <c r="AB463" s="208"/>
      <c r="AC463" s="208"/>
      <c r="AD463" s="208"/>
      <c r="AE463" s="208"/>
      <c r="AF463" s="208"/>
      <c r="AG463" s="208"/>
      <c r="AH463" s="208"/>
      <c r="AI463" s="208"/>
      <c r="AJ463" s="208"/>
      <c r="AK463" s="208"/>
    </row>
    <row r="464" spans="3:37" ht="12.75" customHeight="1">
      <c r="C464" s="208"/>
      <c r="D464" s="208"/>
      <c r="E464" s="208"/>
      <c r="F464" s="208"/>
      <c r="G464" s="208"/>
      <c r="H464" s="208"/>
      <c r="I464" s="208"/>
      <c r="J464" s="208"/>
      <c r="K464" s="208"/>
      <c r="L464" s="208"/>
      <c r="M464" s="208"/>
      <c r="N464" s="208"/>
      <c r="O464" s="208"/>
      <c r="P464" s="208"/>
      <c r="Q464" s="208"/>
      <c r="R464" s="208"/>
      <c r="S464" s="1262"/>
      <c r="T464" s="208"/>
      <c r="U464" s="208"/>
      <c r="V464" s="208"/>
      <c r="W464" s="208"/>
      <c r="X464" s="208"/>
      <c r="Y464" s="208"/>
      <c r="Z464" s="208"/>
      <c r="AA464" s="208"/>
      <c r="AB464" s="208"/>
      <c r="AC464" s="208"/>
      <c r="AD464" s="208"/>
      <c r="AE464" s="208"/>
      <c r="AF464" s="208"/>
      <c r="AG464" s="208"/>
      <c r="AH464" s="208"/>
      <c r="AI464" s="208"/>
      <c r="AJ464" s="208"/>
      <c r="AK464" s="208"/>
    </row>
    <row r="465" spans="3:37" ht="12.75" customHeight="1">
      <c r="C465" s="209"/>
      <c r="D465" s="210"/>
      <c r="E465" s="210"/>
      <c r="F465" s="210"/>
      <c r="G465" s="210"/>
      <c r="H465" s="209"/>
      <c r="I465" s="210"/>
      <c r="J465" s="210"/>
      <c r="K465" s="210"/>
      <c r="L465" s="210"/>
      <c r="M465" s="209"/>
      <c r="N465" s="210"/>
      <c r="O465" s="210"/>
      <c r="P465" s="210"/>
      <c r="Q465" s="210"/>
      <c r="R465" s="209"/>
      <c r="S465" s="1263"/>
      <c r="T465" s="210"/>
      <c r="U465" s="210"/>
      <c r="V465" s="210"/>
      <c r="W465" s="209"/>
      <c r="X465" s="210"/>
      <c r="Y465" s="210"/>
      <c r="Z465" s="210"/>
      <c r="AA465" s="210"/>
      <c r="AB465" s="209"/>
      <c r="AC465" s="210"/>
      <c r="AD465" s="210"/>
      <c r="AE465" s="210"/>
      <c r="AF465" s="210"/>
      <c r="AG465" s="209"/>
      <c r="AH465" s="210"/>
      <c r="AI465" s="210"/>
      <c r="AJ465" s="210"/>
      <c r="AK465" s="210"/>
    </row>
    <row r="466" spans="3:37" ht="12.75" customHeight="1">
      <c r="C466" s="209"/>
      <c r="D466" s="210"/>
      <c r="E466" s="210"/>
      <c r="F466" s="210"/>
      <c r="G466" s="210"/>
      <c r="H466" s="209"/>
      <c r="I466" s="210"/>
      <c r="J466" s="210"/>
      <c r="K466" s="210"/>
      <c r="L466" s="210"/>
      <c r="M466" s="209"/>
      <c r="N466" s="210"/>
      <c r="O466" s="210"/>
      <c r="P466" s="210"/>
      <c r="Q466" s="210"/>
      <c r="R466" s="209"/>
      <c r="S466" s="1263"/>
      <c r="T466" s="210"/>
      <c r="U466" s="210"/>
      <c r="V466" s="210"/>
      <c r="W466" s="209"/>
      <c r="X466" s="210"/>
      <c r="Y466" s="210"/>
      <c r="Z466" s="210"/>
      <c r="AA466" s="210"/>
      <c r="AB466" s="209"/>
      <c r="AC466" s="210"/>
      <c r="AD466" s="210"/>
      <c r="AE466" s="210"/>
      <c r="AF466" s="210"/>
      <c r="AG466" s="209"/>
      <c r="AH466" s="210"/>
      <c r="AI466" s="210"/>
      <c r="AJ466" s="210"/>
      <c r="AK466" s="210"/>
    </row>
    <row r="467" spans="3:37" ht="12.75" customHeight="1">
      <c r="C467" s="155"/>
      <c r="D467" s="155"/>
      <c r="E467" s="155"/>
      <c r="F467" s="155"/>
      <c r="G467" s="155"/>
      <c r="H467" s="155"/>
      <c r="I467" s="155"/>
      <c r="J467" s="155"/>
      <c r="K467" s="155"/>
      <c r="L467" s="155"/>
      <c r="M467" s="155"/>
      <c r="N467" s="155"/>
      <c r="O467" s="155"/>
      <c r="P467" s="155"/>
      <c r="Q467" s="155"/>
      <c r="R467" s="155"/>
      <c r="S467" s="1239"/>
      <c r="T467" s="155"/>
      <c r="U467" s="155"/>
      <c r="V467" s="155"/>
      <c r="W467" s="155"/>
      <c r="X467" s="155"/>
      <c r="Y467" s="155"/>
      <c r="Z467" s="155"/>
      <c r="AA467" s="155"/>
      <c r="AB467" s="155"/>
      <c r="AC467" s="155"/>
      <c r="AD467" s="155"/>
      <c r="AE467" s="155"/>
      <c r="AF467" s="155"/>
      <c r="AG467" s="155"/>
      <c r="AH467" s="155"/>
      <c r="AI467" s="155"/>
      <c r="AJ467" s="155"/>
      <c r="AK467" s="155"/>
    </row>
    <row r="468" spans="3:37" ht="12.75" customHeight="1">
      <c r="C468" s="153"/>
      <c r="D468" s="153"/>
      <c r="E468" s="153"/>
      <c r="F468" s="153"/>
      <c r="G468" s="153"/>
      <c r="H468" s="153"/>
      <c r="I468" s="153"/>
      <c r="J468" s="153"/>
      <c r="K468" s="153"/>
      <c r="L468" s="153"/>
      <c r="M468" s="153"/>
      <c r="N468" s="153"/>
      <c r="O468" s="153"/>
      <c r="P468" s="153"/>
      <c r="Q468" s="153"/>
      <c r="R468" s="153"/>
      <c r="S468" s="1264"/>
      <c r="T468" s="153"/>
      <c r="U468" s="153"/>
      <c r="V468" s="153"/>
      <c r="W468" s="153"/>
      <c r="X468" s="153"/>
      <c r="Y468" s="153"/>
      <c r="Z468" s="153"/>
      <c r="AA468" s="153"/>
      <c r="AB468" s="153"/>
      <c r="AC468" s="153"/>
      <c r="AD468" s="153"/>
      <c r="AE468" s="153"/>
      <c r="AF468" s="153"/>
      <c r="AG468" s="153"/>
      <c r="AH468" s="153"/>
      <c r="AI468" s="153"/>
      <c r="AJ468" s="153"/>
      <c r="AK468" s="153"/>
    </row>
    <row r="469" spans="3:37" ht="12.75" customHeight="1">
      <c r="C469" s="151"/>
      <c r="D469" s="151"/>
      <c r="E469" s="151"/>
      <c r="F469" s="151"/>
      <c r="G469" s="151"/>
      <c r="H469" s="151"/>
      <c r="I469" s="151"/>
      <c r="J469" s="151"/>
      <c r="K469" s="151"/>
      <c r="L469" s="151"/>
      <c r="M469" s="151"/>
      <c r="N469" s="151"/>
      <c r="O469" s="151"/>
      <c r="P469" s="151"/>
      <c r="Q469" s="151"/>
      <c r="R469" s="151"/>
      <c r="S469" s="1265"/>
      <c r="T469" s="151"/>
      <c r="U469" s="151"/>
      <c r="V469" s="151"/>
      <c r="W469" s="151"/>
      <c r="X469" s="151"/>
      <c r="Y469" s="151"/>
      <c r="Z469" s="151"/>
      <c r="AA469" s="151"/>
      <c r="AB469" s="151"/>
      <c r="AC469" s="151"/>
      <c r="AD469" s="151"/>
      <c r="AE469" s="151"/>
      <c r="AF469" s="151"/>
      <c r="AG469" s="151"/>
      <c r="AH469" s="151"/>
      <c r="AI469" s="151"/>
      <c r="AJ469" s="151"/>
      <c r="AK469" s="151"/>
    </row>
    <row r="470" spans="3:37" ht="12.75" customHeight="1">
      <c r="C470" s="155"/>
      <c r="D470" s="155"/>
      <c r="E470" s="155"/>
      <c r="F470" s="155"/>
      <c r="G470" s="155"/>
      <c r="H470" s="155"/>
      <c r="I470" s="155"/>
      <c r="J470" s="155"/>
      <c r="K470" s="155"/>
      <c r="L470" s="155"/>
      <c r="M470" s="155"/>
      <c r="N470" s="155"/>
      <c r="O470" s="155"/>
      <c r="P470" s="155"/>
      <c r="Q470" s="155"/>
      <c r="R470" s="155"/>
      <c r="S470" s="1239"/>
      <c r="T470" s="155"/>
      <c r="U470" s="155"/>
      <c r="V470" s="155"/>
      <c r="W470" s="155"/>
      <c r="X470" s="155"/>
      <c r="Y470" s="155"/>
      <c r="Z470" s="155"/>
      <c r="AA470" s="155"/>
      <c r="AB470" s="155"/>
      <c r="AC470" s="155"/>
      <c r="AD470" s="155"/>
      <c r="AE470" s="155"/>
      <c r="AF470" s="155"/>
      <c r="AG470" s="155"/>
      <c r="AH470" s="155"/>
      <c r="AI470" s="155"/>
      <c r="AJ470" s="155"/>
      <c r="AK470" s="155"/>
    </row>
    <row r="471" spans="3:37" ht="12.75" customHeight="1">
      <c r="C471" s="101"/>
      <c r="D471" s="101"/>
      <c r="E471" s="101"/>
      <c r="F471" s="101"/>
      <c r="G471" s="101"/>
      <c r="H471" s="101"/>
      <c r="I471" s="101"/>
      <c r="J471" s="101"/>
      <c r="K471" s="101"/>
      <c r="L471" s="101"/>
      <c r="M471" s="101"/>
      <c r="N471" s="101"/>
      <c r="O471" s="101"/>
      <c r="P471" s="101"/>
      <c r="Q471" s="101"/>
      <c r="R471" s="101"/>
      <c r="S471" s="686"/>
      <c r="T471" s="101"/>
      <c r="U471" s="101"/>
      <c r="V471" s="101"/>
      <c r="W471" s="101"/>
      <c r="X471" s="101"/>
      <c r="Y471" s="101"/>
      <c r="Z471" s="101"/>
      <c r="AA471" s="101"/>
      <c r="AB471" s="101"/>
      <c r="AC471" s="101"/>
      <c r="AD471" s="101"/>
      <c r="AE471" s="101"/>
      <c r="AF471" s="101"/>
      <c r="AG471" s="101"/>
      <c r="AH471" s="101"/>
      <c r="AI471" s="101"/>
      <c r="AJ471" s="101"/>
      <c r="AK471" s="101"/>
    </row>
    <row r="472" spans="3:37" ht="12.75" customHeight="1">
      <c r="C472" s="155"/>
      <c r="D472" s="155"/>
      <c r="E472" s="155"/>
      <c r="F472" s="155"/>
      <c r="G472" s="155"/>
      <c r="H472" s="155"/>
      <c r="I472" s="155"/>
      <c r="J472" s="155"/>
      <c r="K472" s="155"/>
      <c r="L472" s="155"/>
      <c r="M472" s="155"/>
      <c r="N472" s="155"/>
      <c r="O472" s="155"/>
      <c r="P472" s="155"/>
      <c r="Q472" s="155"/>
      <c r="R472" s="155"/>
      <c r="S472" s="1239"/>
      <c r="T472" s="155"/>
      <c r="U472" s="155"/>
      <c r="V472" s="155"/>
      <c r="W472" s="155"/>
      <c r="X472" s="155"/>
      <c r="Y472" s="155"/>
      <c r="Z472" s="155"/>
      <c r="AA472" s="155"/>
      <c r="AB472" s="155"/>
      <c r="AC472" s="155"/>
      <c r="AD472" s="155"/>
      <c r="AE472" s="155"/>
      <c r="AF472" s="155"/>
      <c r="AG472" s="155"/>
      <c r="AH472" s="155"/>
      <c r="AI472" s="155"/>
      <c r="AJ472" s="155"/>
      <c r="AK472" s="155"/>
    </row>
    <row r="473" spans="3:37" ht="12.75" customHeight="1">
      <c r="C473" s="155"/>
      <c r="D473" s="155"/>
      <c r="E473" s="155"/>
      <c r="F473" s="155"/>
      <c r="G473" s="155"/>
      <c r="H473" s="155"/>
      <c r="I473" s="155"/>
      <c r="J473" s="155"/>
      <c r="K473" s="155"/>
      <c r="L473" s="155"/>
      <c r="M473" s="155"/>
      <c r="N473" s="155"/>
      <c r="O473" s="155"/>
      <c r="P473" s="155"/>
      <c r="Q473" s="155"/>
      <c r="R473" s="155"/>
      <c r="S473" s="1239"/>
      <c r="T473" s="155"/>
      <c r="U473" s="155"/>
      <c r="V473" s="155"/>
      <c r="W473" s="155"/>
      <c r="X473" s="155"/>
      <c r="Y473" s="155"/>
      <c r="Z473" s="155"/>
      <c r="AA473" s="155"/>
      <c r="AB473" s="155"/>
      <c r="AC473" s="155"/>
      <c r="AD473" s="155"/>
      <c r="AE473" s="155"/>
      <c r="AF473" s="155"/>
      <c r="AG473" s="155"/>
      <c r="AH473" s="155"/>
      <c r="AI473" s="155"/>
      <c r="AJ473" s="155"/>
      <c r="AK473" s="155"/>
    </row>
    <row r="474" spans="3:37" ht="12.75" customHeight="1">
      <c r="C474" s="155"/>
      <c r="D474" s="155"/>
      <c r="E474" s="155"/>
      <c r="F474" s="155"/>
      <c r="G474" s="155"/>
      <c r="H474" s="155"/>
      <c r="I474" s="155"/>
      <c r="J474" s="155"/>
      <c r="K474" s="155"/>
      <c r="L474" s="155"/>
      <c r="M474" s="155"/>
      <c r="N474" s="155"/>
      <c r="O474" s="155"/>
      <c r="P474" s="155"/>
      <c r="Q474" s="155"/>
      <c r="R474" s="155"/>
      <c r="S474" s="1239"/>
      <c r="T474" s="155"/>
      <c r="U474" s="155"/>
      <c r="V474" s="155"/>
      <c r="W474" s="155"/>
      <c r="X474" s="155"/>
      <c r="Y474" s="155"/>
      <c r="Z474" s="155"/>
      <c r="AA474" s="155"/>
      <c r="AB474" s="155"/>
      <c r="AC474" s="155"/>
      <c r="AD474" s="155"/>
      <c r="AE474" s="155"/>
      <c r="AF474" s="155"/>
      <c r="AG474" s="155"/>
      <c r="AH474" s="155"/>
      <c r="AI474" s="155"/>
      <c r="AJ474" s="155"/>
      <c r="AK474" s="155"/>
    </row>
    <row r="475" spans="3:37" ht="12.75" customHeight="1">
      <c r="C475" s="155"/>
      <c r="D475" s="155"/>
      <c r="E475" s="155"/>
      <c r="F475" s="155"/>
      <c r="G475" s="155"/>
      <c r="H475" s="155"/>
      <c r="I475" s="155"/>
      <c r="J475" s="155"/>
      <c r="K475" s="155"/>
      <c r="L475" s="155"/>
      <c r="M475" s="155"/>
      <c r="N475" s="155"/>
      <c r="O475" s="155"/>
      <c r="P475" s="155"/>
      <c r="Q475" s="155"/>
      <c r="R475" s="155"/>
      <c r="S475" s="1239"/>
      <c r="T475" s="155"/>
      <c r="U475" s="155"/>
      <c r="V475" s="155"/>
      <c r="W475" s="155"/>
      <c r="X475" s="155"/>
      <c r="Y475" s="155"/>
      <c r="Z475" s="155"/>
      <c r="AA475" s="155"/>
      <c r="AB475" s="155"/>
      <c r="AC475" s="155"/>
      <c r="AD475" s="155"/>
      <c r="AE475" s="155"/>
      <c r="AF475" s="155"/>
      <c r="AG475" s="155"/>
      <c r="AH475" s="155"/>
      <c r="AI475" s="155"/>
      <c r="AJ475" s="155"/>
      <c r="AK475" s="155"/>
    </row>
    <row r="476" spans="3:37" ht="12.75" customHeight="1">
      <c r="C476" s="155"/>
      <c r="D476" s="155"/>
      <c r="E476" s="155"/>
      <c r="F476" s="155"/>
      <c r="G476" s="155"/>
      <c r="H476" s="155"/>
      <c r="I476" s="155"/>
      <c r="J476" s="155"/>
      <c r="K476" s="155"/>
      <c r="L476" s="155"/>
      <c r="M476" s="155"/>
      <c r="N476" s="155"/>
      <c r="O476" s="155"/>
      <c r="P476" s="155"/>
      <c r="Q476" s="155"/>
      <c r="R476" s="155"/>
      <c r="S476" s="1239"/>
      <c r="T476" s="155"/>
      <c r="U476" s="155"/>
      <c r="V476" s="155"/>
      <c r="W476" s="155"/>
      <c r="X476" s="155"/>
      <c r="Y476" s="155"/>
      <c r="Z476" s="155"/>
      <c r="AA476" s="155"/>
      <c r="AB476" s="155"/>
      <c r="AC476" s="155"/>
      <c r="AD476" s="155"/>
      <c r="AE476" s="155"/>
      <c r="AF476" s="155"/>
      <c r="AG476" s="155"/>
      <c r="AH476" s="155"/>
      <c r="AI476" s="155"/>
      <c r="AJ476" s="155"/>
      <c r="AK476" s="155"/>
    </row>
    <row r="477" spans="3:37" ht="12.75" customHeight="1">
      <c r="C477" s="155"/>
      <c r="D477" s="155"/>
      <c r="E477" s="155"/>
      <c r="F477" s="155"/>
      <c r="G477" s="155"/>
      <c r="H477" s="155"/>
      <c r="I477" s="155"/>
      <c r="J477" s="155"/>
      <c r="K477" s="155"/>
      <c r="L477" s="155"/>
      <c r="M477" s="155"/>
      <c r="N477" s="155"/>
      <c r="O477" s="155"/>
      <c r="P477" s="155"/>
      <c r="Q477" s="155"/>
      <c r="R477" s="155"/>
      <c r="S477" s="1239"/>
      <c r="T477" s="155"/>
      <c r="U477" s="155"/>
      <c r="V477" s="155"/>
      <c r="W477" s="155"/>
      <c r="X477" s="155"/>
      <c r="Y477" s="155"/>
      <c r="Z477" s="155"/>
      <c r="AA477" s="155"/>
      <c r="AB477" s="155"/>
      <c r="AC477" s="155"/>
      <c r="AD477" s="155"/>
      <c r="AE477" s="155"/>
      <c r="AF477" s="155"/>
      <c r="AG477" s="155"/>
      <c r="AH477" s="155"/>
      <c r="AI477" s="155"/>
      <c r="AJ477" s="155"/>
      <c r="AK477" s="155"/>
    </row>
    <row r="478" spans="3:37" ht="12.75" customHeight="1">
      <c r="C478" s="211"/>
      <c r="D478" s="211"/>
      <c r="E478" s="211"/>
      <c r="F478" s="211"/>
      <c r="G478" s="211"/>
      <c r="H478" s="211"/>
      <c r="I478" s="211"/>
      <c r="J478" s="211"/>
      <c r="K478" s="211"/>
      <c r="L478" s="211"/>
      <c r="M478" s="211"/>
      <c r="N478" s="211"/>
      <c r="O478" s="211"/>
      <c r="P478" s="211"/>
      <c r="Q478" s="211"/>
      <c r="R478" s="211"/>
      <c r="S478" s="1266"/>
      <c r="T478" s="211"/>
      <c r="U478" s="211"/>
      <c r="V478" s="211"/>
      <c r="W478" s="211"/>
      <c r="X478" s="211"/>
      <c r="Y478" s="211"/>
      <c r="Z478" s="211"/>
      <c r="AA478" s="211"/>
      <c r="AB478" s="211"/>
      <c r="AC478" s="211"/>
      <c r="AD478" s="211"/>
      <c r="AE478" s="211"/>
      <c r="AF478" s="211"/>
      <c r="AG478" s="211"/>
      <c r="AH478" s="211"/>
      <c r="AI478" s="211"/>
      <c r="AJ478" s="211"/>
      <c r="AK478" s="211"/>
    </row>
    <row r="479" spans="3:37" ht="12.75" customHeight="1">
      <c r="C479" s="101"/>
      <c r="D479" s="101"/>
      <c r="E479" s="101"/>
      <c r="F479" s="101"/>
      <c r="G479" s="101"/>
      <c r="H479" s="101"/>
      <c r="I479" s="101"/>
      <c r="J479" s="101"/>
      <c r="K479" s="101"/>
      <c r="L479" s="101"/>
      <c r="M479" s="101"/>
      <c r="N479" s="101"/>
      <c r="O479" s="101"/>
      <c r="P479" s="101"/>
      <c r="Q479" s="101"/>
      <c r="R479" s="101"/>
      <c r="S479" s="686"/>
      <c r="T479" s="101"/>
      <c r="U479" s="101"/>
      <c r="V479" s="101"/>
      <c r="W479" s="101"/>
      <c r="X479" s="101"/>
      <c r="Y479" s="101"/>
      <c r="Z479" s="101"/>
      <c r="AA479" s="101"/>
      <c r="AB479" s="101"/>
      <c r="AC479" s="101"/>
      <c r="AD479" s="101"/>
      <c r="AE479" s="101"/>
      <c r="AF479" s="101"/>
      <c r="AG479" s="101"/>
      <c r="AH479" s="101"/>
      <c r="AI479" s="101"/>
      <c r="AJ479" s="101"/>
      <c r="AK479" s="101"/>
    </row>
    <row r="480" spans="3:37" ht="12.75" customHeight="1">
      <c r="C480" s="101"/>
      <c r="D480" s="101"/>
      <c r="E480" s="101"/>
      <c r="F480" s="101"/>
      <c r="G480" s="101"/>
      <c r="H480" s="101"/>
      <c r="I480" s="101"/>
      <c r="J480" s="101"/>
      <c r="K480" s="101"/>
      <c r="L480" s="101"/>
      <c r="M480" s="101"/>
      <c r="N480" s="101"/>
      <c r="O480" s="101"/>
      <c r="P480" s="101"/>
      <c r="Q480" s="101"/>
      <c r="R480" s="101"/>
      <c r="S480" s="686"/>
      <c r="T480" s="101"/>
      <c r="U480" s="101"/>
      <c r="V480" s="101"/>
      <c r="W480" s="101"/>
      <c r="X480" s="101"/>
      <c r="Y480" s="101"/>
      <c r="Z480" s="101"/>
      <c r="AA480" s="101"/>
      <c r="AB480" s="101"/>
      <c r="AC480" s="101"/>
      <c r="AD480" s="101"/>
      <c r="AE480" s="101"/>
      <c r="AF480" s="101"/>
      <c r="AG480" s="101"/>
      <c r="AH480" s="101"/>
      <c r="AI480" s="101"/>
      <c r="AJ480" s="101"/>
      <c r="AK480" s="101"/>
    </row>
    <row r="481" spans="3:37" ht="12.75" customHeight="1">
      <c r="C481" s="211"/>
      <c r="D481" s="211"/>
      <c r="E481" s="211"/>
      <c r="F481" s="211"/>
      <c r="G481" s="211"/>
      <c r="H481" s="211"/>
      <c r="I481" s="211"/>
      <c r="J481" s="211"/>
      <c r="K481" s="211"/>
      <c r="L481" s="211"/>
      <c r="M481" s="211"/>
      <c r="N481" s="211"/>
      <c r="O481" s="211"/>
      <c r="P481" s="211"/>
      <c r="Q481" s="211"/>
      <c r="R481" s="211"/>
      <c r="S481" s="1266"/>
      <c r="T481" s="211"/>
      <c r="U481" s="211"/>
      <c r="V481" s="211"/>
      <c r="W481" s="211"/>
      <c r="X481" s="211"/>
      <c r="Y481" s="211"/>
      <c r="Z481" s="211"/>
      <c r="AA481" s="211"/>
      <c r="AB481" s="211"/>
      <c r="AC481" s="211"/>
      <c r="AD481" s="211"/>
      <c r="AE481" s="211"/>
      <c r="AF481" s="211"/>
      <c r="AG481" s="211"/>
      <c r="AH481" s="211"/>
      <c r="AI481" s="211"/>
      <c r="AJ481" s="211"/>
      <c r="AK481" s="211"/>
    </row>
    <row r="482" spans="3:37" ht="12.75" customHeight="1">
      <c r="C482" s="211"/>
      <c r="D482" s="211"/>
      <c r="E482" s="211"/>
      <c r="F482" s="211"/>
      <c r="G482" s="211"/>
      <c r="H482" s="211"/>
      <c r="I482" s="211"/>
      <c r="J482" s="211"/>
      <c r="K482" s="211"/>
      <c r="L482" s="211"/>
      <c r="M482" s="211"/>
      <c r="N482" s="211"/>
      <c r="O482" s="211"/>
      <c r="P482" s="211"/>
      <c r="Q482" s="211"/>
      <c r="R482" s="211"/>
      <c r="S482" s="1266"/>
      <c r="T482" s="211"/>
      <c r="U482" s="211"/>
      <c r="V482" s="211"/>
      <c r="W482" s="211"/>
      <c r="X482" s="211"/>
      <c r="Y482" s="211"/>
      <c r="Z482" s="211"/>
      <c r="AA482" s="211"/>
      <c r="AB482" s="211"/>
      <c r="AC482" s="211"/>
      <c r="AD482" s="211"/>
      <c r="AE482" s="211"/>
      <c r="AF482" s="211"/>
      <c r="AG482" s="211"/>
      <c r="AH482" s="211"/>
      <c r="AI482" s="211"/>
      <c r="AJ482" s="211"/>
      <c r="AK482" s="211"/>
    </row>
    <row r="483" spans="3:37" ht="12.75" customHeight="1">
      <c r="C483" s="155"/>
      <c r="D483" s="155"/>
      <c r="E483" s="155"/>
      <c r="F483" s="155"/>
      <c r="G483" s="155"/>
      <c r="H483" s="155"/>
      <c r="I483" s="155"/>
      <c r="J483" s="155"/>
      <c r="K483" s="155"/>
      <c r="L483" s="155"/>
      <c r="M483" s="155"/>
      <c r="N483" s="155"/>
      <c r="O483" s="155"/>
      <c r="P483" s="155"/>
      <c r="Q483" s="155"/>
      <c r="R483" s="155"/>
      <c r="S483" s="1239"/>
      <c r="T483" s="155"/>
      <c r="U483" s="155"/>
      <c r="V483" s="155"/>
      <c r="W483" s="155"/>
      <c r="X483" s="155"/>
      <c r="Y483" s="155"/>
      <c r="Z483" s="155"/>
      <c r="AA483" s="155"/>
      <c r="AB483" s="155"/>
      <c r="AC483" s="155"/>
      <c r="AD483" s="155"/>
      <c r="AE483" s="155"/>
      <c r="AF483" s="155"/>
      <c r="AG483" s="155"/>
      <c r="AH483" s="155"/>
      <c r="AI483" s="155"/>
      <c r="AJ483" s="155"/>
      <c r="AK483" s="155"/>
    </row>
    <row r="484" spans="3:37" ht="12.75" customHeight="1">
      <c r="C484" s="155"/>
      <c r="D484" s="155"/>
      <c r="E484" s="155"/>
      <c r="F484" s="155"/>
      <c r="G484" s="155"/>
      <c r="H484" s="155"/>
      <c r="I484" s="155"/>
      <c r="J484" s="155"/>
      <c r="K484" s="155"/>
      <c r="L484" s="155"/>
      <c r="M484" s="155"/>
      <c r="N484" s="155"/>
      <c r="O484" s="155"/>
      <c r="P484" s="155"/>
      <c r="Q484" s="155"/>
      <c r="R484" s="155"/>
      <c r="S484" s="1239"/>
      <c r="T484" s="155"/>
      <c r="U484" s="155"/>
      <c r="V484" s="155"/>
      <c r="W484" s="155"/>
      <c r="X484" s="155"/>
      <c r="Y484" s="155"/>
      <c r="Z484" s="155"/>
      <c r="AA484" s="155"/>
      <c r="AB484" s="155"/>
      <c r="AC484" s="155"/>
      <c r="AD484" s="155"/>
      <c r="AE484" s="155"/>
      <c r="AF484" s="155"/>
      <c r="AG484" s="155"/>
      <c r="AH484" s="155"/>
      <c r="AI484" s="155"/>
      <c r="AJ484" s="155"/>
      <c r="AK484" s="155"/>
    </row>
    <row r="485" spans="3:37" ht="12.75" customHeight="1">
      <c r="C485" s="155"/>
      <c r="D485" s="155"/>
      <c r="E485" s="155"/>
      <c r="F485" s="155"/>
      <c r="G485" s="155"/>
      <c r="H485" s="155"/>
      <c r="I485" s="155"/>
      <c r="J485" s="155"/>
      <c r="K485" s="155"/>
      <c r="L485" s="155"/>
      <c r="M485" s="155"/>
      <c r="N485" s="155"/>
      <c r="O485" s="155"/>
      <c r="P485" s="155"/>
      <c r="Q485" s="155"/>
      <c r="R485" s="155"/>
      <c r="S485" s="1239"/>
      <c r="T485" s="155"/>
      <c r="U485" s="155"/>
      <c r="V485" s="155"/>
      <c r="W485" s="155"/>
      <c r="X485" s="155"/>
      <c r="Y485" s="155"/>
      <c r="Z485" s="155"/>
      <c r="AA485" s="155"/>
      <c r="AB485" s="155"/>
      <c r="AC485" s="155"/>
      <c r="AD485" s="155"/>
      <c r="AE485" s="155"/>
      <c r="AF485" s="155"/>
      <c r="AG485" s="155"/>
      <c r="AH485" s="155"/>
      <c r="AI485" s="155"/>
      <c r="AJ485" s="155"/>
      <c r="AK485" s="155"/>
    </row>
    <row r="486" spans="3:37" ht="12.75" customHeight="1">
      <c r="C486" s="101"/>
      <c r="D486" s="101"/>
      <c r="E486" s="101"/>
      <c r="F486" s="101"/>
      <c r="G486" s="101"/>
      <c r="H486" s="101"/>
      <c r="I486" s="101"/>
      <c r="J486" s="101"/>
      <c r="K486" s="101"/>
      <c r="L486" s="101"/>
      <c r="M486" s="101"/>
      <c r="N486" s="101"/>
      <c r="O486" s="101"/>
      <c r="P486" s="101"/>
      <c r="Q486" s="101"/>
      <c r="R486" s="101"/>
      <c r="S486" s="686"/>
      <c r="T486" s="101"/>
      <c r="U486" s="101"/>
      <c r="V486" s="101"/>
      <c r="W486" s="101"/>
      <c r="X486" s="101"/>
      <c r="Y486" s="101"/>
      <c r="Z486" s="101"/>
      <c r="AA486" s="101"/>
      <c r="AB486" s="101"/>
      <c r="AC486" s="101"/>
      <c r="AD486" s="101"/>
      <c r="AE486" s="101"/>
      <c r="AF486" s="101"/>
      <c r="AG486" s="101"/>
      <c r="AH486" s="101"/>
      <c r="AI486" s="101"/>
      <c r="AJ486" s="101"/>
      <c r="AK486" s="101"/>
    </row>
    <row r="487" spans="3:37" ht="12.75" customHeight="1">
      <c r="C487" s="212"/>
      <c r="D487" s="101"/>
      <c r="E487" s="101"/>
      <c r="F487" s="101"/>
      <c r="G487" s="101"/>
      <c r="H487" s="212"/>
      <c r="I487" s="101"/>
      <c r="J487" s="101"/>
      <c r="K487" s="101"/>
      <c r="L487" s="101"/>
      <c r="M487" s="212"/>
      <c r="N487" s="101"/>
      <c r="O487" s="101"/>
      <c r="P487" s="101"/>
      <c r="Q487" s="101"/>
      <c r="R487" s="212"/>
      <c r="S487" s="686"/>
      <c r="T487" s="101"/>
      <c r="U487" s="101"/>
      <c r="V487" s="101"/>
      <c r="W487" s="212"/>
      <c r="X487" s="101"/>
      <c r="Y487" s="101"/>
      <c r="Z487" s="101"/>
      <c r="AA487" s="101"/>
      <c r="AB487" s="212"/>
      <c r="AC487" s="101"/>
      <c r="AD487" s="101"/>
      <c r="AE487" s="101"/>
      <c r="AF487" s="101"/>
      <c r="AG487" s="212"/>
      <c r="AH487" s="101"/>
      <c r="AI487" s="101"/>
      <c r="AJ487" s="101"/>
      <c r="AK487" s="101"/>
    </row>
    <row r="488" spans="3:37" ht="12.75" customHeight="1">
      <c r="C488" s="101"/>
      <c r="D488" s="101"/>
      <c r="E488" s="101"/>
      <c r="F488" s="101"/>
      <c r="G488" s="101"/>
      <c r="H488" s="101"/>
      <c r="I488" s="101"/>
      <c r="J488" s="101"/>
      <c r="K488" s="101"/>
      <c r="L488" s="101"/>
      <c r="M488" s="101"/>
      <c r="N488" s="101"/>
      <c r="O488" s="101"/>
      <c r="P488" s="101"/>
      <c r="Q488" s="101"/>
      <c r="R488" s="101"/>
      <c r="S488" s="686"/>
      <c r="T488" s="101"/>
      <c r="U488" s="101"/>
      <c r="V488" s="101"/>
      <c r="W488" s="101"/>
      <c r="X488" s="101"/>
      <c r="Y488" s="101"/>
      <c r="Z488" s="101"/>
      <c r="AA488" s="101"/>
      <c r="AB488" s="101"/>
      <c r="AC488" s="101"/>
      <c r="AD488" s="101"/>
      <c r="AE488" s="101"/>
      <c r="AF488" s="101"/>
      <c r="AG488" s="101"/>
      <c r="AH488" s="101"/>
      <c r="AI488" s="101"/>
      <c r="AJ488" s="101"/>
      <c r="AK488" s="101"/>
    </row>
    <row r="489" spans="3:37" ht="12.75" customHeight="1">
      <c r="C489" s="213"/>
      <c r="D489" s="208"/>
      <c r="E489" s="208"/>
      <c r="F489" s="208"/>
      <c r="G489" s="208"/>
      <c r="H489" s="213"/>
      <c r="I489" s="208"/>
      <c r="J489" s="208"/>
      <c r="K489" s="208"/>
      <c r="L489" s="208"/>
      <c r="M489" s="213"/>
      <c r="N489" s="208"/>
      <c r="O489" s="208"/>
      <c r="P489" s="208"/>
      <c r="Q489" s="208"/>
      <c r="R489" s="213"/>
      <c r="S489" s="1262"/>
      <c r="T489" s="208"/>
      <c r="U489" s="208"/>
      <c r="V489" s="208"/>
      <c r="W489" s="213"/>
      <c r="X489" s="208"/>
      <c r="Y489" s="208"/>
      <c r="Z489" s="208"/>
      <c r="AA489" s="208"/>
      <c r="AB489" s="213"/>
      <c r="AC489" s="208"/>
      <c r="AD489" s="208"/>
      <c r="AE489" s="208"/>
      <c r="AF489" s="208"/>
      <c r="AG489" s="213"/>
      <c r="AH489" s="208"/>
      <c r="AI489" s="208"/>
      <c r="AJ489" s="208"/>
      <c r="AK489" s="208"/>
    </row>
    <row r="490" spans="3:37" ht="12.75" customHeight="1">
      <c r="C490" s="212"/>
      <c r="D490" s="101"/>
      <c r="E490" s="101"/>
      <c r="F490" s="101"/>
      <c r="G490" s="101"/>
      <c r="H490" s="212"/>
      <c r="I490" s="101"/>
      <c r="J490" s="101"/>
      <c r="K490" s="101"/>
      <c r="L490" s="101"/>
      <c r="M490" s="212"/>
      <c r="N490" s="101"/>
      <c r="O490" s="101"/>
      <c r="P490" s="101"/>
      <c r="Q490" s="101"/>
      <c r="R490" s="212"/>
      <c r="S490" s="686"/>
      <c r="T490" s="101"/>
      <c r="U490" s="101"/>
      <c r="V490" s="101"/>
      <c r="W490" s="212"/>
      <c r="X490" s="101"/>
      <c r="Y490" s="101"/>
      <c r="Z490" s="101"/>
      <c r="AA490" s="101"/>
      <c r="AB490" s="212"/>
      <c r="AC490" s="101"/>
      <c r="AD490" s="101"/>
      <c r="AE490" s="101"/>
      <c r="AF490" s="101"/>
      <c r="AG490" s="212"/>
      <c r="AH490" s="101"/>
      <c r="AI490" s="101"/>
      <c r="AJ490" s="101"/>
      <c r="AK490" s="101"/>
    </row>
    <row r="491" spans="3:37" ht="12.75" customHeight="1">
      <c r="C491" s="212"/>
      <c r="D491" s="101"/>
      <c r="E491" s="101"/>
      <c r="F491" s="101"/>
      <c r="G491" s="101"/>
      <c r="H491" s="212"/>
      <c r="I491" s="101"/>
      <c r="J491" s="101"/>
      <c r="K491" s="101"/>
      <c r="L491" s="101"/>
      <c r="M491" s="212"/>
      <c r="N491" s="101"/>
      <c r="O491" s="101"/>
      <c r="P491" s="101"/>
      <c r="Q491" s="101"/>
      <c r="R491" s="212"/>
      <c r="S491" s="686"/>
      <c r="T491" s="101"/>
      <c r="U491" s="101"/>
      <c r="V491" s="101"/>
      <c r="W491" s="212"/>
      <c r="X491" s="101"/>
      <c r="Y491" s="101"/>
      <c r="Z491" s="101"/>
      <c r="AA491" s="101"/>
      <c r="AB491" s="212"/>
      <c r="AC491" s="101"/>
      <c r="AD491" s="101"/>
      <c r="AE491" s="101"/>
      <c r="AF491" s="101"/>
      <c r="AG491" s="212"/>
      <c r="AH491" s="101"/>
      <c r="AI491" s="101"/>
      <c r="AJ491" s="101"/>
      <c r="AK491" s="101"/>
    </row>
    <row r="492" spans="3:37" ht="12.75" customHeight="1">
      <c r="C492" s="101"/>
      <c r="D492" s="101"/>
      <c r="E492" s="101"/>
      <c r="F492" s="101"/>
      <c r="G492" s="101"/>
      <c r="H492" s="101"/>
      <c r="I492" s="101"/>
      <c r="J492" s="101"/>
      <c r="K492" s="101"/>
      <c r="L492" s="101"/>
      <c r="M492" s="101"/>
      <c r="N492" s="101"/>
      <c r="O492" s="101"/>
      <c r="P492" s="101"/>
      <c r="Q492" s="101"/>
      <c r="R492" s="101"/>
      <c r="S492" s="686"/>
      <c r="T492" s="101"/>
      <c r="U492" s="101"/>
      <c r="V492" s="101"/>
      <c r="W492" s="101"/>
      <c r="X492" s="101"/>
      <c r="Y492" s="101"/>
      <c r="Z492" s="101"/>
      <c r="AA492" s="101"/>
      <c r="AB492" s="101"/>
      <c r="AC492" s="101"/>
      <c r="AD492" s="101"/>
      <c r="AE492" s="101"/>
      <c r="AF492" s="101"/>
      <c r="AG492" s="101"/>
      <c r="AH492" s="101"/>
      <c r="AI492" s="101"/>
      <c r="AJ492" s="101"/>
      <c r="AK492" s="101"/>
    </row>
    <row r="493" spans="3:37" ht="12.75" customHeight="1">
      <c r="C493" s="101"/>
      <c r="D493" s="101"/>
      <c r="E493" s="101"/>
      <c r="F493" s="101"/>
      <c r="G493" s="101"/>
      <c r="H493" s="101"/>
      <c r="I493" s="101"/>
      <c r="J493" s="101"/>
      <c r="K493" s="101"/>
      <c r="L493" s="101"/>
      <c r="M493" s="101"/>
      <c r="N493" s="101"/>
      <c r="O493" s="101"/>
      <c r="P493" s="101"/>
      <c r="Q493" s="101"/>
      <c r="R493" s="101"/>
      <c r="S493" s="686"/>
      <c r="T493" s="101"/>
      <c r="U493" s="101"/>
      <c r="V493" s="101"/>
      <c r="W493" s="101"/>
      <c r="X493" s="101"/>
      <c r="Y493" s="101"/>
      <c r="Z493" s="101"/>
      <c r="AA493" s="101"/>
      <c r="AB493" s="101"/>
      <c r="AC493" s="101"/>
      <c r="AD493" s="101"/>
      <c r="AE493" s="101"/>
      <c r="AF493" s="101"/>
      <c r="AG493" s="101"/>
      <c r="AH493" s="101"/>
      <c r="AI493" s="101"/>
      <c r="AJ493" s="101"/>
      <c r="AK493" s="101"/>
    </row>
    <row r="494" spans="3:37" ht="12.75" customHeight="1">
      <c r="C494" s="101"/>
      <c r="D494" s="101"/>
      <c r="E494" s="101"/>
      <c r="F494" s="101"/>
      <c r="G494" s="101"/>
      <c r="H494" s="101"/>
      <c r="I494" s="101"/>
      <c r="J494" s="101"/>
      <c r="K494" s="101"/>
      <c r="L494" s="101"/>
      <c r="M494" s="101"/>
      <c r="N494" s="101"/>
      <c r="O494" s="101"/>
      <c r="P494" s="101"/>
      <c r="Q494" s="101"/>
      <c r="R494" s="101"/>
      <c r="S494" s="686"/>
      <c r="T494" s="101"/>
      <c r="U494" s="101"/>
      <c r="V494" s="101"/>
      <c r="W494" s="101"/>
      <c r="X494" s="101"/>
      <c r="Y494" s="101"/>
      <c r="Z494" s="101"/>
      <c r="AA494" s="101"/>
      <c r="AB494" s="101"/>
      <c r="AC494" s="101"/>
      <c r="AD494" s="101"/>
      <c r="AE494" s="101"/>
      <c r="AF494" s="101"/>
      <c r="AG494" s="101"/>
      <c r="AH494" s="101"/>
      <c r="AI494" s="101"/>
      <c r="AJ494" s="101"/>
      <c r="AK494" s="101"/>
    </row>
    <row r="495" spans="3:37" ht="12.75" customHeight="1">
      <c r="C495" s="155"/>
      <c r="D495" s="101"/>
      <c r="E495" s="101"/>
      <c r="F495" s="101"/>
      <c r="G495" s="101"/>
      <c r="H495" s="155"/>
      <c r="I495" s="101"/>
      <c r="J495" s="101"/>
      <c r="K495" s="101"/>
      <c r="L495" s="101"/>
      <c r="M495" s="155"/>
      <c r="N495" s="101"/>
      <c r="O495" s="101"/>
      <c r="P495" s="101"/>
      <c r="Q495" s="101"/>
      <c r="R495" s="155"/>
      <c r="S495" s="686"/>
      <c r="T495" s="101"/>
      <c r="U495" s="101"/>
      <c r="V495" s="101"/>
      <c r="W495" s="155"/>
      <c r="X495" s="101"/>
      <c r="Y495" s="101"/>
      <c r="Z495" s="101"/>
      <c r="AA495" s="101"/>
      <c r="AB495" s="155"/>
      <c r="AC495" s="101"/>
      <c r="AD495" s="101"/>
      <c r="AE495" s="101"/>
      <c r="AF495" s="101"/>
      <c r="AG495" s="155"/>
      <c r="AH495" s="101"/>
      <c r="AI495" s="101"/>
      <c r="AJ495" s="101"/>
      <c r="AK495" s="101"/>
    </row>
    <row r="496" spans="3:37" ht="12.75" customHeight="1">
      <c r="C496" s="212"/>
      <c r="D496" s="101"/>
      <c r="E496" s="101"/>
      <c r="F496" s="101"/>
      <c r="G496" s="101"/>
      <c r="H496" s="212"/>
      <c r="I496" s="101"/>
      <c r="J496" s="101"/>
      <c r="K496" s="101"/>
      <c r="L496" s="101"/>
      <c r="M496" s="212"/>
      <c r="N496" s="101"/>
      <c r="O496" s="101"/>
      <c r="P496" s="101"/>
      <c r="Q496" s="101"/>
      <c r="R496" s="212"/>
      <c r="S496" s="686"/>
      <c r="T496" s="101"/>
      <c r="U496" s="101"/>
      <c r="V496" s="101"/>
      <c r="W496" s="212"/>
      <c r="X496" s="101"/>
      <c r="Y496" s="101"/>
      <c r="Z496" s="101"/>
      <c r="AA496" s="101"/>
      <c r="AB496" s="212"/>
      <c r="AC496" s="101"/>
      <c r="AD496" s="101"/>
      <c r="AE496" s="101"/>
      <c r="AF496" s="101"/>
      <c r="AG496" s="212"/>
      <c r="AH496" s="101"/>
      <c r="AI496" s="101"/>
      <c r="AJ496" s="101"/>
      <c r="AK496" s="101"/>
    </row>
    <row r="497" spans="3:37" ht="12.75" customHeight="1">
      <c r="C497" s="212"/>
      <c r="D497" s="101"/>
      <c r="E497" s="101"/>
      <c r="F497" s="101"/>
      <c r="G497" s="101"/>
      <c r="H497" s="212"/>
      <c r="I497" s="101"/>
      <c r="J497" s="101"/>
      <c r="K497" s="101"/>
      <c r="L497" s="101"/>
      <c r="M497" s="212"/>
      <c r="N497" s="101"/>
      <c r="O497" s="101"/>
      <c r="P497" s="101"/>
      <c r="Q497" s="101"/>
      <c r="R497" s="212"/>
      <c r="S497" s="686"/>
      <c r="T497" s="101"/>
      <c r="U497" s="101"/>
      <c r="V497" s="101"/>
      <c r="W497" s="212"/>
      <c r="X497" s="101"/>
      <c r="Y497" s="101"/>
      <c r="Z497" s="101"/>
      <c r="AA497" s="101"/>
      <c r="AB497" s="212"/>
      <c r="AC497" s="101"/>
      <c r="AD497" s="101"/>
      <c r="AE497" s="101"/>
      <c r="AF497" s="101"/>
      <c r="AG497" s="212"/>
      <c r="AH497" s="101"/>
      <c r="AI497" s="101"/>
      <c r="AJ497" s="101"/>
      <c r="AK497" s="101"/>
    </row>
    <row r="498" spans="3:37" ht="12.75" customHeight="1">
      <c r="C498" s="101"/>
      <c r="D498" s="101"/>
      <c r="E498" s="101"/>
      <c r="F498" s="101"/>
      <c r="G498" s="101"/>
      <c r="H498" s="101"/>
      <c r="I498" s="101"/>
      <c r="J498" s="101"/>
      <c r="K498" s="101"/>
      <c r="L498" s="101"/>
      <c r="M498" s="101"/>
      <c r="N498" s="101"/>
      <c r="O498" s="101"/>
      <c r="P498" s="101"/>
      <c r="Q498" s="101"/>
      <c r="R498" s="101"/>
      <c r="S498" s="686"/>
      <c r="T498" s="101"/>
      <c r="U498" s="101"/>
      <c r="V498" s="101"/>
      <c r="W498" s="101"/>
      <c r="X498" s="101"/>
      <c r="Y498" s="101"/>
      <c r="Z498" s="101"/>
      <c r="AA498" s="101"/>
      <c r="AB498" s="101"/>
      <c r="AC498" s="101"/>
      <c r="AD498" s="101"/>
      <c r="AE498" s="101"/>
      <c r="AF498" s="101"/>
      <c r="AG498" s="101"/>
      <c r="AH498" s="101"/>
      <c r="AI498" s="101"/>
      <c r="AJ498" s="101"/>
      <c r="AK498" s="101"/>
    </row>
    <row r="499" spans="3:37" ht="12.75" customHeight="1">
      <c r="C499" s="208"/>
      <c r="D499" s="208"/>
      <c r="E499" s="208"/>
      <c r="F499" s="208"/>
      <c r="G499" s="208"/>
      <c r="H499" s="208"/>
      <c r="I499" s="208"/>
      <c r="J499" s="208"/>
      <c r="K499" s="208"/>
      <c r="L499" s="208"/>
      <c r="M499" s="208"/>
      <c r="N499" s="208"/>
      <c r="O499" s="208"/>
      <c r="P499" s="208"/>
      <c r="Q499" s="208"/>
      <c r="R499" s="208"/>
      <c r="S499" s="1262"/>
      <c r="T499" s="208"/>
      <c r="U499" s="208"/>
      <c r="V499" s="208"/>
      <c r="W499" s="208"/>
      <c r="X499" s="208"/>
      <c r="Y499" s="208"/>
      <c r="Z499" s="208"/>
      <c r="AA499" s="208"/>
      <c r="AB499" s="208"/>
      <c r="AC499" s="208"/>
      <c r="AD499" s="208"/>
      <c r="AE499" s="208"/>
      <c r="AF499" s="208"/>
      <c r="AG499" s="208"/>
      <c r="AH499" s="208"/>
      <c r="AI499" s="208"/>
      <c r="AJ499" s="208"/>
      <c r="AK499" s="208"/>
    </row>
    <row r="500" spans="3:37" ht="12.75" customHeight="1">
      <c r="C500" s="212"/>
      <c r="D500" s="101"/>
      <c r="E500" s="101"/>
      <c r="F500" s="101"/>
      <c r="G500" s="101"/>
      <c r="H500" s="212"/>
      <c r="I500" s="101"/>
      <c r="J500" s="101"/>
      <c r="K500" s="101"/>
      <c r="L500" s="101"/>
      <c r="M500" s="212"/>
      <c r="N500" s="101"/>
      <c r="O500" s="101"/>
      <c r="P500" s="101"/>
      <c r="Q500" s="101"/>
      <c r="R500" s="212"/>
      <c r="S500" s="686"/>
      <c r="T500" s="101"/>
      <c r="U500" s="101"/>
      <c r="V500" s="101"/>
      <c r="W500" s="212"/>
      <c r="X500" s="101"/>
      <c r="Y500" s="101"/>
      <c r="Z500" s="101"/>
      <c r="AA500" s="101"/>
      <c r="AB500" s="212"/>
      <c r="AC500" s="101"/>
      <c r="AD500" s="101"/>
      <c r="AE500" s="101"/>
      <c r="AF500" s="101"/>
      <c r="AG500" s="212"/>
      <c r="AH500" s="101"/>
      <c r="AI500" s="101"/>
      <c r="AJ500" s="101"/>
      <c r="AK500" s="101"/>
    </row>
    <row r="501" spans="3:37" ht="12.75" customHeight="1">
      <c r="C501" s="212"/>
      <c r="D501" s="101"/>
      <c r="E501" s="101"/>
      <c r="F501" s="101"/>
      <c r="G501" s="101"/>
      <c r="H501" s="212"/>
      <c r="I501" s="101"/>
      <c r="J501" s="101"/>
      <c r="K501" s="101"/>
      <c r="L501" s="101"/>
      <c r="M501" s="212"/>
      <c r="N501" s="101"/>
      <c r="O501" s="101"/>
      <c r="P501" s="101"/>
      <c r="Q501" s="101"/>
      <c r="R501" s="212"/>
      <c r="S501" s="686"/>
      <c r="T501" s="101"/>
      <c r="U501" s="101"/>
      <c r="V501" s="101"/>
      <c r="W501" s="212"/>
      <c r="X501" s="101"/>
      <c r="Y501" s="101"/>
      <c r="Z501" s="101"/>
      <c r="AA501" s="101"/>
      <c r="AB501" s="212"/>
      <c r="AC501" s="101"/>
      <c r="AD501" s="101"/>
      <c r="AE501" s="101"/>
      <c r="AF501" s="101"/>
      <c r="AG501" s="212"/>
      <c r="AH501" s="101"/>
      <c r="AI501" s="101"/>
      <c r="AJ501" s="101"/>
      <c r="AK501" s="101"/>
    </row>
    <row r="502" spans="3:37" ht="12.75" customHeight="1">
      <c r="C502" s="211"/>
      <c r="D502" s="211"/>
      <c r="E502" s="211"/>
      <c r="F502" s="211"/>
      <c r="G502" s="211"/>
      <c r="H502" s="211"/>
      <c r="I502" s="211"/>
      <c r="J502" s="211"/>
      <c r="K502" s="211"/>
      <c r="L502" s="211"/>
      <c r="M502" s="211"/>
      <c r="N502" s="211"/>
      <c r="O502" s="211"/>
      <c r="P502" s="211"/>
      <c r="Q502" s="211"/>
      <c r="R502" s="211"/>
      <c r="S502" s="1266"/>
      <c r="T502" s="211"/>
      <c r="U502" s="211"/>
      <c r="V502" s="211"/>
      <c r="W502" s="211"/>
      <c r="X502" s="211"/>
      <c r="Y502" s="211"/>
      <c r="Z502" s="211"/>
      <c r="AA502" s="211"/>
      <c r="AB502" s="211"/>
      <c r="AC502" s="211"/>
      <c r="AD502" s="211"/>
      <c r="AE502" s="211"/>
      <c r="AF502" s="211"/>
      <c r="AG502" s="211"/>
      <c r="AH502" s="211"/>
      <c r="AI502" s="211"/>
      <c r="AJ502" s="211"/>
      <c r="AK502" s="211"/>
    </row>
    <row r="503" spans="3:37" ht="12.75" customHeight="1">
      <c r="C503" s="206"/>
      <c r="D503" s="206"/>
      <c r="E503" s="206"/>
      <c r="F503" s="206"/>
      <c r="G503" s="206"/>
      <c r="H503" s="206"/>
      <c r="I503" s="206"/>
      <c r="J503" s="206"/>
      <c r="K503" s="206"/>
      <c r="L503" s="206"/>
      <c r="M503" s="206"/>
      <c r="N503" s="206"/>
      <c r="O503" s="206"/>
      <c r="P503" s="206"/>
      <c r="Q503" s="206"/>
      <c r="R503" s="206"/>
      <c r="S503" s="1261"/>
      <c r="T503" s="206"/>
      <c r="U503" s="206"/>
      <c r="V503" s="206"/>
      <c r="W503" s="206"/>
      <c r="X503" s="206"/>
      <c r="Y503" s="206"/>
      <c r="Z503" s="206"/>
      <c r="AA503" s="206"/>
      <c r="AB503" s="206"/>
      <c r="AC503" s="206"/>
      <c r="AD503" s="206"/>
      <c r="AE503" s="206"/>
      <c r="AF503" s="206"/>
      <c r="AG503" s="206"/>
      <c r="AH503" s="206"/>
      <c r="AI503" s="206"/>
      <c r="AJ503" s="206"/>
      <c r="AK503" s="206"/>
    </row>
    <row r="504" spans="3:37" ht="12.75" customHeight="1">
      <c r="C504" s="101"/>
      <c r="D504" s="101"/>
      <c r="E504" s="101"/>
      <c r="F504" s="101"/>
      <c r="G504" s="101"/>
      <c r="H504" s="101"/>
      <c r="I504" s="101"/>
      <c r="J504" s="101"/>
      <c r="K504" s="101"/>
      <c r="L504" s="101"/>
      <c r="M504" s="101"/>
      <c r="N504" s="101"/>
      <c r="O504" s="101"/>
      <c r="P504" s="101"/>
      <c r="Q504" s="101"/>
      <c r="R504" s="101"/>
      <c r="S504" s="686"/>
      <c r="T504" s="101"/>
      <c r="U504" s="101"/>
      <c r="V504" s="101"/>
      <c r="W504" s="101"/>
      <c r="X504" s="101"/>
      <c r="Y504" s="101"/>
      <c r="Z504" s="101"/>
      <c r="AA504" s="101"/>
      <c r="AB504" s="101"/>
      <c r="AC504" s="101"/>
      <c r="AD504" s="101"/>
      <c r="AE504" s="101"/>
      <c r="AF504" s="101"/>
      <c r="AG504" s="101"/>
      <c r="AH504" s="101"/>
      <c r="AI504" s="101"/>
      <c r="AJ504" s="101"/>
      <c r="AK504" s="101"/>
    </row>
    <row r="505" spans="3:37" ht="12.75" customHeight="1">
      <c r="C505" s="155"/>
      <c r="D505" s="155"/>
      <c r="E505" s="155"/>
      <c r="F505" s="155"/>
      <c r="G505" s="155"/>
      <c r="H505" s="155"/>
      <c r="I505" s="155"/>
      <c r="J505" s="155"/>
      <c r="K505" s="155"/>
      <c r="L505" s="155"/>
      <c r="M505" s="155"/>
      <c r="N505" s="155"/>
      <c r="O505" s="155"/>
      <c r="P505" s="155"/>
      <c r="Q505" s="155"/>
      <c r="R505" s="155"/>
      <c r="S505" s="1239"/>
      <c r="T505" s="155"/>
      <c r="U505" s="155"/>
      <c r="V505" s="155"/>
      <c r="W505" s="155"/>
      <c r="X505" s="155"/>
      <c r="Y505" s="155"/>
      <c r="Z505" s="155"/>
      <c r="AA505" s="155"/>
      <c r="AB505" s="155"/>
      <c r="AC505" s="155"/>
      <c r="AD505" s="155"/>
      <c r="AE505" s="155"/>
      <c r="AF505" s="155"/>
      <c r="AG505" s="155"/>
      <c r="AH505" s="155"/>
      <c r="AI505" s="155"/>
      <c r="AJ505" s="155"/>
      <c r="AK505" s="155"/>
    </row>
    <row r="506" spans="3:37" ht="12.75" customHeight="1">
      <c r="C506" s="208"/>
      <c r="D506" s="208"/>
      <c r="E506" s="208"/>
      <c r="F506" s="208"/>
      <c r="G506" s="208"/>
      <c r="H506" s="208"/>
      <c r="I506" s="208"/>
      <c r="J506" s="208"/>
      <c r="K506" s="208"/>
      <c r="L506" s="208"/>
      <c r="M506" s="208"/>
      <c r="N506" s="208"/>
      <c r="O506" s="208"/>
      <c r="P506" s="208"/>
      <c r="Q506" s="208"/>
      <c r="R506" s="208"/>
      <c r="S506" s="1262"/>
      <c r="T506" s="208"/>
      <c r="U506" s="208"/>
      <c r="V506" s="208"/>
      <c r="W506" s="208"/>
      <c r="X506" s="208"/>
      <c r="Y506" s="208"/>
      <c r="Z506" s="208"/>
      <c r="AA506" s="208"/>
      <c r="AB506" s="208"/>
      <c r="AC506" s="208"/>
      <c r="AD506" s="208"/>
      <c r="AE506" s="208"/>
      <c r="AF506" s="208"/>
      <c r="AG506" s="208"/>
      <c r="AH506" s="208"/>
      <c r="AI506" s="208"/>
      <c r="AJ506" s="208"/>
      <c r="AK506" s="208"/>
    </row>
    <row r="507" spans="3:37" ht="12.75" customHeight="1">
      <c r="C507" s="208"/>
      <c r="D507" s="208"/>
      <c r="E507" s="208"/>
      <c r="F507" s="208"/>
      <c r="G507" s="208"/>
      <c r="H507" s="208"/>
      <c r="I507" s="208"/>
      <c r="J507" s="208"/>
      <c r="K507" s="208"/>
      <c r="L507" s="208"/>
      <c r="M507" s="208"/>
      <c r="N507" s="208"/>
      <c r="O507" s="208"/>
      <c r="P507" s="208"/>
      <c r="Q507" s="208"/>
      <c r="R507" s="208"/>
      <c r="S507" s="1262"/>
      <c r="T507" s="208"/>
      <c r="U507" s="208"/>
      <c r="V507" s="208"/>
      <c r="W507" s="208"/>
      <c r="X507" s="208"/>
      <c r="Y507" s="208"/>
      <c r="Z507" s="208"/>
      <c r="AA507" s="208"/>
      <c r="AB507" s="208"/>
      <c r="AC507" s="208"/>
      <c r="AD507" s="208"/>
      <c r="AE507" s="208"/>
      <c r="AF507" s="208"/>
      <c r="AG507" s="208"/>
      <c r="AH507" s="208"/>
      <c r="AI507" s="208"/>
      <c r="AJ507" s="208"/>
      <c r="AK507" s="208"/>
    </row>
    <row r="508" spans="3:37" ht="12.75" customHeight="1">
      <c r="C508" s="211"/>
      <c r="D508" s="211"/>
      <c r="E508" s="211"/>
      <c r="F508" s="211"/>
      <c r="G508" s="211"/>
      <c r="H508" s="211"/>
      <c r="I508" s="211"/>
      <c r="J508" s="211"/>
      <c r="K508" s="211"/>
      <c r="L508" s="211"/>
      <c r="M508" s="211"/>
      <c r="N508" s="211"/>
      <c r="O508" s="211"/>
      <c r="P508" s="211"/>
      <c r="Q508" s="211"/>
      <c r="R508" s="211"/>
      <c r="S508" s="1266"/>
      <c r="T508" s="211"/>
      <c r="U508" s="211"/>
      <c r="V508" s="211"/>
      <c r="W508" s="211"/>
      <c r="X508" s="211"/>
      <c r="Y508" s="211"/>
      <c r="Z508" s="211"/>
      <c r="AA508" s="211"/>
      <c r="AB508" s="211"/>
      <c r="AC508" s="211"/>
      <c r="AD508" s="211"/>
      <c r="AE508" s="211"/>
      <c r="AF508" s="211"/>
      <c r="AG508" s="211"/>
      <c r="AH508" s="211"/>
      <c r="AI508" s="211"/>
      <c r="AJ508" s="211"/>
      <c r="AK508" s="211"/>
    </row>
    <row r="509" spans="3:37" ht="12.75" customHeight="1">
      <c r="C509" s="209"/>
      <c r="D509" s="210"/>
      <c r="E509" s="210"/>
      <c r="F509" s="210"/>
      <c r="G509" s="210"/>
      <c r="H509" s="209"/>
      <c r="I509" s="210"/>
      <c r="J509" s="210"/>
      <c r="K509" s="210"/>
      <c r="L509" s="210"/>
      <c r="M509" s="209"/>
      <c r="N509" s="210"/>
      <c r="O509" s="210"/>
      <c r="P509" s="210"/>
      <c r="Q509" s="210"/>
      <c r="R509" s="209"/>
      <c r="S509" s="1263"/>
      <c r="T509" s="210"/>
      <c r="U509" s="210"/>
      <c r="V509" s="210"/>
      <c r="W509" s="209"/>
      <c r="X509" s="210"/>
      <c r="Y509" s="210"/>
      <c r="Z509" s="210"/>
      <c r="AA509" s="210"/>
      <c r="AB509" s="209"/>
      <c r="AC509" s="210"/>
      <c r="AD509" s="210"/>
      <c r="AE509" s="210"/>
      <c r="AF509" s="210"/>
      <c r="AG509" s="209"/>
      <c r="AH509" s="210"/>
      <c r="AI509" s="210"/>
      <c r="AJ509" s="210"/>
      <c r="AK509" s="210"/>
    </row>
    <row r="510" spans="3:37" ht="12.75" customHeight="1">
      <c r="C510" s="209"/>
      <c r="D510" s="210"/>
      <c r="E510" s="210"/>
      <c r="F510" s="210"/>
      <c r="G510" s="210"/>
      <c r="H510" s="209"/>
      <c r="I510" s="210"/>
      <c r="J510" s="210"/>
      <c r="K510" s="210"/>
      <c r="L510" s="210"/>
      <c r="M510" s="209"/>
      <c r="N510" s="210"/>
      <c r="O510" s="210"/>
      <c r="P510" s="210"/>
      <c r="Q510" s="210"/>
      <c r="R510" s="209"/>
      <c r="S510" s="1263"/>
      <c r="T510" s="210"/>
      <c r="U510" s="210"/>
      <c r="V510" s="210"/>
      <c r="W510" s="209"/>
      <c r="X510" s="210"/>
      <c r="Y510" s="210"/>
      <c r="Z510" s="210"/>
      <c r="AA510" s="210"/>
      <c r="AB510" s="209"/>
      <c r="AC510" s="210"/>
      <c r="AD510" s="210"/>
      <c r="AE510" s="210"/>
      <c r="AF510" s="210"/>
      <c r="AG510" s="209"/>
      <c r="AH510" s="210"/>
      <c r="AI510" s="210"/>
      <c r="AJ510" s="210"/>
      <c r="AK510" s="210"/>
    </row>
    <row r="511" spans="3:37" ht="12.75" customHeight="1">
      <c r="C511" s="209"/>
      <c r="D511" s="210"/>
      <c r="E511" s="210"/>
      <c r="F511" s="210"/>
      <c r="G511" s="210"/>
      <c r="H511" s="209"/>
      <c r="I511" s="210"/>
      <c r="J511" s="210"/>
      <c r="K511" s="210"/>
      <c r="L511" s="210"/>
      <c r="M511" s="209"/>
      <c r="N511" s="210"/>
      <c r="O511" s="210"/>
      <c r="P511" s="210"/>
      <c r="Q511" s="210"/>
      <c r="R511" s="209"/>
      <c r="S511" s="1263"/>
      <c r="T511" s="210"/>
      <c r="U511" s="210"/>
      <c r="V511" s="210"/>
      <c r="W511" s="209"/>
      <c r="X511" s="210"/>
      <c r="Y511" s="210"/>
      <c r="Z511" s="210"/>
      <c r="AA511" s="210"/>
      <c r="AB511" s="209"/>
      <c r="AC511" s="210"/>
      <c r="AD511" s="210"/>
      <c r="AE511" s="210"/>
      <c r="AF511" s="210"/>
      <c r="AG511" s="209"/>
      <c r="AH511" s="210"/>
      <c r="AI511" s="210"/>
      <c r="AJ511" s="210"/>
      <c r="AK511" s="210"/>
    </row>
    <row r="512" spans="3:37" ht="12.75" customHeight="1">
      <c r="C512" s="155"/>
      <c r="D512" s="155"/>
      <c r="E512" s="155"/>
      <c r="F512" s="155"/>
      <c r="G512" s="155"/>
      <c r="H512" s="155"/>
      <c r="I512" s="155"/>
      <c r="J512" s="155"/>
      <c r="K512" s="155"/>
      <c r="L512" s="155"/>
      <c r="M512" s="155"/>
      <c r="N512" s="155"/>
      <c r="O512" s="155"/>
      <c r="P512" s="155"/>
      <c r="Q512" s="155"/>
      <c r="R512" s="155"/>
      <c r="S512" s="1239"/>
      <c r="T512" s="155"/>
      <c r="U512" s="155"/>
      <c r="V512" s="155"/>
      <c r="W512" s="155"/>
      <c r="X512" s="155"/>
      <c r="Y512" s="155"/>
      <c r="Z512" s="155"/>
      <c r="AA512" s="155"/>
      <c r="AB512" s="155"/>
      <c r="AC512" s="155"/>
      <c r="AD512" s="155"/>
      <c r="AE512" s="155"/>
      <c r="AF512" s="155"/>
      <c r="AG512" s="155"/>
      <c r="AH512" s="155"/>
      <c r="AI512" s="155"/>
      <c r="AJ512" s="155"/>
      <c r="AK512" s="155"/>
    </row>
    <row r="513" spans="3:37" ht="12.75" customHeight="1">
      <c r="C513" s="214"/>
      <c r="D513" s="214"/>
      <c r="E513" s="214"/>
      <c r="F513" s="214"/>
      <c r="G513" s="214"/>
      <c r="H513" s="214"/>
      <c r="I513" s="214"/>
      <c r="J513" s="214"/>
      <c r="K513" s="214"/>
      <c r="L513" s="214"/>
      <c r="M513" s="214"/>
      <c r="N513" s="214"/>
      <c r="O513" s="214"/>
      <c r="P513" s="214"/>
      <c r="Q513" s="214"/>
      <c r="R513" s="214"/>
      <c r="S513" s="1267"/>
      <c r="T513" s="214"/>
      <c r="U513" s="214"/>
      <c r="V513" s="214"/>
      <c r="W513" s="214"/>
      <c r="X513" s="214"/>
      <c r="Y513" s="214"/>
      <c r="Z513" s="214"/>
      <c r="AA513" s="214"/>
      <c r="AB513" s="214"/>
      <c r="AC513" s="214"/>
      <c r="AD513" s="214"/>
      <c r="AE513" s="214"/>
      <c r="AF513" s="214"/>
      <c r="AG513" s="214"/>
      <c r="AH513" s="214"/>
      <c r="AI513" s="214"/>
      <c r="AJ513" s="214"/>
      <c r="AK513" s="214"/>
    </row>
    <row r="514" spans="3:37" ht="12.75" customHeight="1">
      <c r="C514" s="155"/>
      <c r="D514" s="155"/>
      <c r="E514" s="155"/>
      <c r="F514" s="155"/>
      <c r="G514" s="155"/>
      <c r="H514" s="155"/>
      <c r="I514" s="155"/>
      <c r="J514" s="155"/>
      <c r="K514" s="155"/>
      <c r="L514" s="155"/>
      <c r="M514" s="155"/>
      <c r="N514" s="155"/>
      <c r="O514" s="155"/>
      <c r="P514" s="155"/>
      <c r="Q514" s="155"/>
      <c r="R514" s="155"/>
      <c r="S514" s="1239"/>
      <c r="T514" s="155"/>
      <c r="U514" s="155"/>
      <c r="V514" s="155"/>
      <c r="W514" s="155"/>
      <c r="X514" s="155"/>
      <c r="Y514" s="155"/>
      <c r="Z514" s="155"/>
      <c r="AA514" s="155"/>
      <c r="AB514" s="155"/>
      <c r="AC514" s="155"/>
      <c r="AD514" s="155"/>
      <c r="AE514" s="155"/>
      <c r="AF514" s="155"/>
      <c r="AG514" s="155"/>
      <c r="AH514" s="155"/>
      <c r="AI514" s="155"/>
      <c r="AJ514" s="155"/>
      <c r="AK514" s="155"/>
    </row>
    <row r="515" spans="3:37" ht="12.75" customHeight="1">
      <c r="C515" s="101"/>
      <c r="D515" s="101"/>
      <c r="E515" s="101"/>
      <c r="F515" s="101"/>
      <c r="G515" s="101"/>
      <c r="H515" s="101"/>
      <c r="I515" s="101"/>
      <c r="J515" s="101"/>
      <c r="K515" s="101"/>
      <c r="L515" s="101"/>
      <c r="M515" s="101"/>
      <c r="N515" s="101"/>
      <c r="O515" s="101"/>
      <c r="P515" s="101"/>
      <c r="Q515" s="101"/>
      <c r="R515" s="101"/>
      <c r="S515" s="686"/>
      <c r="T515" s="101"/>
      <c r="U515" s="101"/>
      <c r="V515" s="101"/>
      <c r="W515" s="101"/>
      <c r="X515" s="101"/>
      <c r="Y515" s="101"/>
      <c r="Z515" s="101"/>
      <c r="AA515" s="101"/>
      <c r="AB515" s="101"/>
      <c r="AC515" s="101"/>
      <c r="AD515" s="101"/>
      <c r="AE515" s="101"/>
      <c r="AF515" s="101"/>
      <c r="AG515" s="101"/>
      <c r="AH515" s="101"/>
      <c r="AI515" s="101"/>
      <c r="AJ515" s="101"/>
      <c r="AK515" s="101"/>
    </row>
    <row r="516" spans="3:37" ht="12.75" customHeight="1">
      <c r="C516" s="155"/>
      <c r="D516" s="155"/>
      <c r="E516" s="155"/>
      <c r="F516" s="155"/>
      <c r="G516" s="155"/>
      <c r="H516" s="155"/>
      <c r="I516" s="155"/>
      <c r="J516" s="155"/>
      <c r="K516" s="155"/>
      <c r="L516" s="155"/>
      <c r="M516" s="155"/>
      <c r="N516" s="155"/>
      <c r="O516" s="155"/>
      <c r="P516" s="155"/>
      <c r="Q516" s="155"/>
      <c r="R516" s="155"/>
      <c r="S516" s="1239"/>
      <c r="T516" s="155"/>
      <c r="U516" s="155"/>
      <c r="V516" s="155"/>
      <c r="W516" s="155"/>
      <c r="X516" s="155"/>
      <c r="Y516" s="155"/>
      <c r="Z516" s="155"/>
      <c r="AA516" s="155"/>
      <c r="AB516" s="155"/>
      <c r="AC516" s="155"/>
      <c r="AD516" s="155"/>
      <c r="AE516" s="155"/>
      <c r="AF516" s="155"/>
      <c r="AG516" s="155"/>
      <c r="AH516" s="155"/>
      <c r="AI516" s="155"/>
      <c r="AJ516" s="155"/>
      <c r="AK516" s="155"/>
    </row>
    <row r="517" spans="3:37" ht="12.75" customHeight="1">
      <c r="C517" s="155"/>
      <c r="D517" s="155"/>
      <c r="E517" s="155"/>
      <c r="F517" s="155"/>
      <c r="G517" s="155"/>
      <c r="H517" s="155"/>
      <c r="I517" s="155"/>
      <c r="J517" s="155"/>
      <c r="K517" s="155"/>
      <c r="L517" s="155"/>
      <c r="M517" s="155"/>
      <c r="N517" s="155"/>
      <c r="O517" s="155"/>
      <c r="P517" s="155"/>
      <c r="Q517" s="155"/>
      <c r="R517" s="155"/>
      <c r="S517" s="1239"/>
      <c r="T517" s="155"/>
      <c r="U517" s="155"/>
      <c r="V517" s="155"/>
      <c r="W517" s="155"/>
      <c r="X517" s="155"/>
      <c r="Y517" s="155"/>
      <c r="Z517" s="155"/>
      <c r="AA517" s="155"/>
      <c r="AB517" s="155"/>
      <c r="AC517" s="155"/>
      <c r="AD517" s="155"/>
      <c r="AE517" s="155"/>
      <c r="AF517" s="155"/>
      <c r="AG517" s="155"/>
      <c r="AH517" s="155"/>
      <c r="AI517" s="155"/>
      <c r="AJ517" s="155"/>
      <c r="AK517" s="155"/>
    </row>
    <row r="518" spans="3:37" ht="12.75" customHeight="1">
      <c r="C518" s="184"/>
      <c r="D518" s="184"/>
      <c r="E518" s="184"/>
      <c r="F518" s="184"/>
      <c r="G518" s="184"/>
      <c r="H518" s="184"/>
      <c r="I518" s="184"/>
      <c r="J518" s="184"/>
      <c r="K518" s="184"/>
      <c r="L518" s="184"/>
      <c r="M518" s="184"/>
      <c r="N518" s="184"/>
      <c r="O518" s="184"/>
      <c r="P518" s="184"/>
      <c r="Q518" s="184"/>
      <c r="R518" s="184"/>
      <c r="S518" s="1268"/>
      <c r="T518" s="184"/>
      <c r="U518" s="184"/>
      <c r="V518" s="184"/>
      <c r="W518" s="184"/>
      <c r="X518" s="184"/>
      <c r="Y518" s="184"/>
      <c r="Z518" s="184"/>
      <c r="AA518" s="184"/>
      <c r="AB518" s="184"/>
      <c r="AC518" s="184"/>
      <c r="AD518" s="184"/>
      <c r="AE518" s="184"/>
      <c r="AF518" s="184"/>
      <c r="AG518" s="184"/>
      <c r="AH518" s="184"/>
      <c r="AI518" s="184"/>
      <c r="AJ518" s="184"/>
      <c r="AK518" s="184"/>
    </row>
    <row r="519" spans="3:37" ht="12.75" customHeight="1">
      <c r="C519" s="206"/>
      <c r="D519" s="155"/>
      <c r="E519" s="155"/>
      <c r="F519" s="155"/>
      <c r="G519" s="155"/>
      <c r="H519" s="206"/>
      <c r="I519" s="155"/>
      <c r="J519" s="155"/>
      <c r="K519" s="155"/>
      <c r="L519" s="155"/>
      <c r="M519" s="206"/>
      <c r="N519" s="155"/>
      <c r="O519" s="155"/>
      <c r="P519" s="155"/>
      <c r="Q519" s="155"/>
      <c r="R519" s="206"/>
      <c r="S519" s="1239"/>
      <c r="T519" s="155"/>
      <c r="U519" s="155"/>
      <c r="V519" s="155"/>
      <c r="W519" s="206"/>
      <c r="X519" s="155"/>
      <c r="Y519" s="155"/>
      <c r="Z519" s="155"/>
      <c r="AA519" s="155"/>
      <c r="AB519" s="206"/>
      <c r="AC519" s="155"/>
      <c r="AD519" s="155"/>
      <c r="AE519" s="155"/>
      <c r="AF519" s="155"/>
      <c r="AG519" s="206"/>
      <c r="AH519" s="155"/>
      <c r="AI519" s="155"/>
      <c r="AJ519" s="155"/>
      <c r="AK519" s="155"/>
    </row>
    <row r="520" spans="3:37" ht="12.75" customHeight="1">
      <c r="C520" s="206"/>
      <c r="D520" s="155"/>
      <c r="E520" s="155"/>
      <c r="F520" s="155"/>
      <c r="G520" s="155"/>
      <c r="H520" s="206"/>
      <c r="I520" s="155"/>
      <c r="J520" s="155"/>
      <c r="K520" s="155"/>
      <c r="L520" s="155"/>
      <c r="M520" s="206"/>
      <c r="N520" s="155"/>
      <c r="O520" s="155"/>
      <c r="P520" s="155"/>
      <c r="Q520" s="155"/>
      <c r="R520" s="206"/>
      <c r="S520" s="1239"/>
      <c r="T520" s="155"/>
      <c r="U520" s="155"/>
      <c r="V520" s="155"/>
      <c r="W520" s="206"/>
      <c r="X520" s="155"/>
      <c r="Y520" s="155"/>
      <c r="Z520" s="155"/>
      <c r="AA520" s="155"/>
      <c r="AB520" s="206"/>
      <c r="AC520" s="155"/>
      <c r="AD520" s="155"/>
      <c r="AE520" s="155"/>
      <c r="AF520" s="155"/>
      <c r="AG520" s="206"/>
      <c r="AH520" s="155"/>
      <c r="AI520" s="155"/>
      <c r="AJ520" s="155"/>
      <c r="AK520" s="155"/>
    </row>
    <row r="521" spans="3:37" ht="12.75" customHeight="1">
      <c r="C521" s="207"/>
      <c r="D521" s="207"/>
      <c r="E521" s="207"/>
      <c r="F521" s="207"/>
      <c r="G521" s="207"/>
      <c r="H521" s="207"/>
      <c r="I521" s="207"/>
      <c r="J521" s="207"/>
      <c r="K521" s="207"/>
      <c r="L521" s="207"/>
      <c r="M521" s="207"/>
      <c r="N521" s="207"/>
      <c r="O521" s="207"/>
      <c r="P521" s="207"/>
      <c r="Q521" s="207"/>
      <c r="R521" s="207"/>
      <c r="S521" s="797"/>
      <c r="T521" s="207"/>
      <c r="U521" s="207"/>
      <c r="V521" s="207"/>
      <c r="W521" s="207"/>
      <c r="X521" s="207"/>
      <c r="Y521" s="207"/>
      <c r="Z521" s="207"/>
      <c r="AA521" s="207"/>
      <c r="AB521" s="207"/>
      <c r="AC521" s="207"/>
      <c r="AD521" s="207"/>
      <c r="AE521" s="207"/>
      <c r="AF521" s="207"/>
      <c r="AG521" s="207"/>
      <c r="AH521" s="207"/>
      <c r="AI521" s="207"/>
      <c r="AJ521" s="207"/>
      <c r="AK521" s="207"/>
    </row>
    <row r="522" spans="3:37" ht="12.75" customHeight="1">
      <c r="C522" s="155"/>
      <c r="D522" s="155"/>
      <c r="E522" s="155"/>
      <c r="F522" s="155"/>
      <c r="G522" s="155"/>
      <c r="H522" s="155"/>
      <c r="I522" s="155"/>
      <c r="J522" s="155"/>
      <c r="K522" s="155"/>
      <c r="L522" s="155"/>
      <c r="M522" s="155"/>
      <c r="N522" s="155"/>
      <c r="O522" s="155"/>
      <c r="P522" s="155"/>
      <c r="Q522" s="155"/>
      <c r="R522" s="155"/>
      <c r="S522" s="1239"/>
      <c r="T522" s="155"/>
      <c r="U522" s="155"/>
      <c r="V522" s="155"/>
      <c r="W522" s="155"/>
      <c r="X522" s="155"/>
      <c r="Y522" s="155"/>
      <c r="Z522" s="155"/>
      <c r="AA522" s="155"/>
      <c r="AB522" s="155"/>
      <c r="AC522" s="155"/>
      <c r="AD522" s="155"/>
      <c r="AE522" s="155"/>
      <c r="AF522" s="155"/>
      <c r="AG522" s="155"/>
      <c r="AH522" s="155"/>
      <c r="AI522" s="155"/>
      <c r="AJ522" s="155"/>
      <c r="AK522" s="155"/>
    </row>
    <row r="523" spans="3:37" ht="12.75" customHeight="1">
      <c r="C523" s="206"/>
      <c r="D523" s="155"/>
      <c r="E523" s="155"/>
      <c r="F523" s="155"/>
      <c r="G523" s="155"/>
      <c r="H523" s="206"/>
      <c r="I523" s="155"/>
      <c r="J523" s="155"/>
      <c r="K523" s="155"/>
      <c r="L523" s="155"/>
      <c r="M523" s="206"/>
      <c r="N523" s="155"/>
      <c r="O523" s="155"/>
      <c r="P523" s="155"/>
      <c r="Q523" s="155"/>
      <c r="R523" s="206"/>
      <c r="S523" s="1239"/>
      <c r="T523" s="155"/>
      <c r="U523" s="155"/>
      <c r="V523" s="155"/>
      <c r="W523" s="206"/>
      <c r="X523" s="155"/>
      <c r="Y523" s="155"/>
      <c r="Z523" s="155"/>
      <c r="AA523" s="155"/>
      <c r="AB523" s="206"/>
      <c r="AC523" s="155"/>
      <c r="AD523" s="155"/>
      <c r="AE523" s="155"/>
      <c r="AF523" s="155"/>
      <c r="AG523" s="206"/>
      <c r="AH523" s="155"/>
      <c r="AI523" s="155"/>
      <c r="AJ523" s="155"/>
      <c r="AK523" s="155"/>
    </row>
    <row r="524" spans="3:37" ht="12.75" customHeight="1">
      <c r="C524" s="206"/>
      <c r="D524" s="155"/>
      <c r="E524" s="155"/>
      <c r="F524" s="155"/>
      <c r="G524" s="155"/>
      <c r="H524" s="206"/>
      <c r="I524" s="155"/>
      <c r="J524" s="155"/>
      <c r="K524" s="155"/>
      <c r="L524" s="155"/>
      <c r="M524" s="206"/>
      <c r="N524" s="155"/>
      <c r="O524" s="155"/>
      <c r="P524" s="155"/>
      <c r="Q524" s="155"/>
      <c r="R524" s="206"/>
      <c r="S524" s="1239"/>
      <c r="T524" s="155"/>
      <c r="U524" s="155"/>
      <c r="V524" s="155"/>
      <c r="W524" s="206"/>
      <c r="X524" s="155"/>
      <c r="Y524" s="155"/>
      <c r="Z524" s="155"/>
      <c r="AA524" s="155"/>
      <c r="AB524" s="206"/>
      <c r="AC524" s="155"/>
      <c r="AD524" s="155"/>
      <c r="AE524" s="155"/>
      <c r="AF524" s="155"/>
      <c r="AG524" s="206"/>
      <c r="AH524" s="155"/>
      <c r="AI524" s="155"/>
      <c r="AJ524" s="155"/>
      <c r="AK524" s="155"/>
    </row>
    <row r="525" spans="3:37" ht="12.75" customHeight="1">
      <c r="C525" s="206"/>
      <c r="D525" s="155"/>
      <c r="E525" s="155"/>
      <c r="F525" s="155"/>
      <c r="G525" s="155"/>
      <c r="H525" s="206"/>
      <c r="I525" s="155"/>
      <c r="J525" s="155"/>
      <c r="K525" s="155"/>
      <c r="L525" s="155"/>
      <c r="M525" s="206"/>
      <c r="N525" s="155"/>
      <c r="O525" s="155"/>
      <c r="P525" s="155"/>
      <c r="Q525" s="155"/>
      <c r="R525" s="206"/>
      <c r="S525" s="1239"/>
      <c r="T525" s="155"/>
      <c r="U525" s="155"/>
      <c r="V525" s="155"/>
      <c r="W525" s="206"/>
      <c r="X525" s="155"/>
      <c r="Y525" s="155"/>
      <c r="Z525" s="155"/>
      <c r="AA525" s="155"/>
      <c r="AB525" s="206"/>
      <c r="AC525" s="155"/>
      <c r="AD525" s="155"/>
      <c r="AE525" s="155"/>
      <c r="AF525" s="155"/>
      <c r="AG525" s="206"/>
      <c r="AH525" s="155"/>
      <c r="AI525" s="155"/>
      <c r="AJ525" s="155"/>
      <c r="AK525" s="155"/>
    </row>
    <row r="526" spans="3:37" ht="12.75" customHeight="1">
      <c r="C526" s="206"/>
      <c r="D526" s="155"/>
      <c r="E526" s="155"/>
      <c r="F526" s="155"/>
      <c r="G526" s="155"/>
      <c r="H526" s="206"/>
      <c r="I526" s="155"/>
      <c r="J526" s="155"/>
      <c r="K526" s="155"/>
      <c r="L526" s="155"/>
      <c r="M526" s="206"/>
      <c r="N526" s="155"/>
      <c r="O526" s="155"/>
      <c r="P526" s="155"/>
      <c r="Q526" s="155"/>
      <c r="R526" s="206"/>
      <c r="S526" s="1239"/>
      <c r="T526" s="155"/>
      <c r="U526" s="155"/>
      <c r="V526" s="155"/>
      <c r="W526" s="206"/>
      <c r="X526" s="155"/>
      <c r="Y526" s="155"/>
      <c r="Z526" s="155"/>
      <c r="AA526" s="155"/>
      <c r="AB526" s="206"/>
      <c r="AC526" s="155"/>
      <c r="AD526" s="155"/>
      <c r="AE526" s="155"/>
      <c r="AF526" s="155"/>
      <c r="AG526" s="206"/>
      <c r="AH526" s="155"/>
      <c r="AI526" s="155"/>
      <c r="AJ526" s="155"/>
      <c r="AK526" s="155"/>
    </row>
    <row r="527" spans="3:37" ht="12.75" customHeight="1">
      <c r="C527" s="206"/>
      <c r="D527" s="155"/>
      <c r="E527" s="155"/>
      <c r="F527" s="155"/>
      <c r="G527" s="155"/>
      <c r="H527" s="206"/>
      <c r="I527" s="155"/>
      <c r="J527" s="155"/>
      <c r="K527" s="155"/>
      <c r="L527" s="155"/>
      <c r="M527" s="206"/>
      <c r="N527" s="155"/>
      <c r="O527" s="155"/>
      <c r="P527" s="155"/>
      <c r="Q527" s="155"/>
      <c r="R527" s="206"/>
      <c r="S527" s="1239"/>
      <c r="T527" s="155"/>
      <c r="U527" s="155"/>
      <c r="V527" s="155"/>
      <c r="W527" s="206"/>
      <c r="X527" s="155"/>
      <c r="Y527" s="155"/>
      <c r="Z527" s="155"/>
      <c r="AA527" s="155"/>
      <c r="AB527" s="206"/>
      <c r="AC527" s="155"/>
      <c r="AD527" s="155"/>
      <c r="AE527" s="155"/>
      <c r="AF527" s="155"/>
      <c r="AG527" s="206"/>
      <c r="AH527" s="155"/>
      <c r="AI527" s="155"/>
      <c r="AJ527" s="155"/>
      <c r="AK527" s="155"/>
    </row>
    <row r="528" spans="3:37" ht="12.75" customHeight="1">
      <c r="C528" s="206"/>
      <c r="D528" s="155"/>
      <c r="E528" s="155"/>
      <c r="F528" s="155"/>
      <c r="G528" s="155"/>
      <c r="H528" s="206"/>
      <c r="I528" s="155"/>
      <c r="J528" s="155"/>
      <c r="K528" s="155"/>
      <c r="L528" s="155"/>
      <c r="M528" s="206"/>
      <c r="N528" s="155"/>
      <c r="O528" s="155"/>
      <c r="P528" s="155"/>
      <c r="Q528" s="155"/>
      <c r="R528" s="206"/>
      <c r="S528" s="1239"/>
      <c r="T528" s="155"/>
      <c r="U528" s="155"/>
      <c r="V528" s="155"/>
      <c r="W528" s="206"/>
      <c r="X528" s="155"/>
      <c r="Y528" s="155"/>
      <c r="Z528" s="155"/>
      <c r="AA528" s="155"/>
      <c r="AB528" s="206"/>
      <c r="AC528" s="155"/>
      <c r="AD528" s="155"/>
      <c r="AE528" s="155"/>
      <c r="AF528" s="155"/>
      <c r="AG528" s="206"/>
      <c r="AH528" s="155"/>
      <c r="AI528" s="155"/>
      <c r="AJ528" s="155"/>
      <c r="AK528" s="155"/>
    </row>
    <row r="529" spans="3:37" ht="12.75" customHeight="1">
      <c r="C529" s="155"/>
      <c r="D529" s="155"/>
      <c r="E529" s="155"/>
      <c r="F529" s="155"/>
      <c r="G529" s="155"/>
      <c r="H529" s="155"/>
      <c r="I529" s="155"/>
      <c r="J529" s="155"/>
      <c r="K529" s="155"/>
      <c r="L529" s="155"/>
      <c r="M529" s="155"/>
      <c r="N529" s="155"/>
      <c r="O529" s="155"/>
      <c r="P529" s="155"/>
      <c r="Q529" s="155"/>
      <c r="R529" s="155"/>
      <c r="S529" s="1239"/>
      <c r="T529" s="155"/>
      <c r="U529" s="155"/>
      <c r="V529" s="155"/>
      <c r="W529" s="155"/>
      <c r="X529" s="155"/>
      <c r="Y529" s="155"/>
      <c r="Z529" s="155"/>
      <c r="AA529" s="155"/>
      <c r="AB529" s="155"/>
      <c r="AC529" s="155"/>
      <c r="AD529" s="155"/>
      <c r="AE529" s="155"/>
      <c r="AF529" s="155"/>
      <c r="AG529" s="155"/>
      <c r="AH529" s="155"/>
      <c r="AI529" s="155"/>
      <c r="AJ529" s="155"/>
      <c r="AK529" s="155"/>
    </row>
    <row r="530" spans="3:37" ht="12.75" customHeight="1">
      <c r="C530" s="155"/>
      <c r="D530" s="155"/>
      <c r="E530" s="155"/>
      <c r="F530" s="155"/>
      <c r="G530" s="155"/>
      <c r="H530" s="155"/>
      <c r="I530" s="155"/>
      <c r="J530" s="155"/>
      <c r="K530" s="155"/>
      <c r="L530" s="155"/>
      <c r="M530" s="155"/>
      <c r="N530" s="155"/>
      <c r="O530" s="155"/>
      <c r="P530" s="155"/>
      <c r="Q530" s="155"/>
      <c r="R530" s="155"/>
      <c r="S530" s="1239"/>
      <c r="T530" s="155"/>
      <c r="U530" s="155"/>
      <c r="V530" s="155"/>
      <c r="W530" s="155"/>
      <c r="X530" s="155"/>
      <c r="Y530" s="155"/>
      <c r="Z530" s="155"/>
      <c r="AA530" s="155"/>
      <c r="AB530" s="155"/>
      <c r="AC530" s="155"/>
      <c r="AD530" s="155"/>
      <c r="AE530" s="155"/>
      <c r="AF530" s="155"/>
      <c r="AG530" s="155"/>
      <c r="AH530" s="155"/>
      <c r="AI530" s="155"/>
      <c r="AJ530" s="155"/>
      <c r="AK530" s="155"/>
    </row>
    <row r="531" spans="3:37" ht="12.75" customHeight="1">
      <c r="C531" s="101"/>
      <c r="D531" s="101"/>
      <c r="E531" s="101"/>
      <c r="F531" s="101"/>
      <c r="G531" s="101"/>
      <c r="H531" s="101"/>
      <c r="I531" s="101"/>
      <c r="J531" s="101"/>
      <c r="K531" s="101"/>
      <c r="L531" s="101"/>
      <c r="M531" s="101"/>
      <c r="N531" s="101"/>
      <c r="O531" s="101"/>
      <c r="P531" s="101"/>
      <c r="Q531" s="101"/>
      <c r="R531" s="101"/>
      <c r="S531" s="686"/>
      <c r="T531" s="101"/>
      <c r="U531" s="101"/>
      <c r="V531" s="101"/>
      <c r="W531" s="101"/>
      <c r="X531" s="101"/>
      <c r="Y531" s="101"/>
      <c r="Z531" s="101"/>
      <c r="AA531" s="101"/>
      <c r="AB531" s="101"/>
      <c r="AC531" s="101"/>
      <c r="AD531" s="101"/>
      <c r="AE531" s="101"/>
      <c r="AF531" s="101"/>
      <c r="AG531" s="101"/>
      <c r="AH531" s="101"/>
      <c r="AI531" s="101"/>
      <c r="AJ531" s="101"/>
      <c r="AK531" s="101"/>
    </row>
    <row r="532" spans="3:37" ht="12.75" customHeight="1">
      <c r="C532" s="133"/>
      <c r="D532" s="133"/>
      <c r="E532" s="133"/>
      <c r="F532" s="133"/>
      <c r="G532" s="133"/>
      <c r="H532" s="133"/>
      <c r="I532" s="133"/>
      <c r="J532" s="133"/>
      <c r="K532" s="133"/>
      <c r="L532" s="133"/>
      <c r="M532" s="133"/>
      <c r="N532" s="133"/>
      <c r="O532" s="133"/>
      <c r="P532" s="133"/>
      <c r="Q532" s="133"/>
      <c r="R532" s="133"/>
      <c r="S532" s="1269"/>
      <c r="T532" s="133"/>
      <c r="U532" s="133"/>
      <c r="V532" s="133"/>
      <c r="W532" s="133"/>
      <c r="X532" s="133"/>
      <c r="Y532" s="133"/>
      <c r="Z532" s="133"/>
      <c r="AA532" s="133"/>
      <c r="AB532" s="133"/>
      <c r="AC532" s="133"/>
      <c r="AD532" s="133"/>
      <c r="AE532" s="133"/>
      <c r="AF532" s="133"/>
      <c r="AG532" s="133"/>
      <c r="AH532" s="133"/>
      <c r="AI532" s="133"/>
      <c r="AJ532" s="133"/>
      <c r="AK532" s="133"/>
    </row>
    <row r="533" spans="3:37" ht="12.75" customHeight="1">
      <c r="C533" s="215"/>
      <c r="D533" s="215"/>
      <c r="E533" s="215"/>
      <c r="F533" s="215"/>
      <c r="G533" s="215"/>
      <c r="H533" s="215"/>
      <c r="I533" s="215"/>
      <c r="J533" s="215"/>
      <c r="K533" s="215"/>
      <c r="L533" s="215"/>
      <c r="M533" s="215"/>
      <c r="N533" s="215"/>
      <c r="O533" s="215"/>
      <c r="P533" s="215"/>
      <c r="Q533" s="215"/>
      <c r="R533" s="215"/>
      <c r="S533" s="1270"/>
      <c r="T533" s="215"/>
      <c r="U533" s="215"/>
      <c r="V533" s="215"/>
      <c r="W533" s="215"/>
      <c r="X533" s="215"/>
      <c r="Y533" s="215"/>
      <c r="Z533" s="215"/>
      <c r="AA533" s="215"/>
      <c r="AB533" s="215"/>
      <c r="AC533" s="215"/>
      <c r="AD533" s="215"/>
      <c r="AE533" s="215"/>
      <c r="AF533" s="215"/>
      <c r="AG533" s="215"/>
      <c r="AH533" s="215"/>
      <c r="AI533" s="215"/>
      <c r="AJ533" s="215"/>
      <c r="AK533" s="215"/>
    </row>
    <row r="534" spans="3:37" ht="12.75" customHeight="1">
      <c r="C534" s="215"/>
      <c r="D534" s="215"/>
      <c r="E534" s="215"/>
      <c r="F534" s="215"/>
      <c r="G534" s="215"/>
      <c r="H534" s="215"/>
      <c r="I534" s="215"/>
      <c r="J534" s="215"/>
      <c r="K534" s="215"/>
      <c r="L534" s="215"/>
      <c r="M534" s="215"/>
      <c r="N534" s="215"/>
      <c r="O534" s="215"/>
      <c r="P534" s="215"/>
      <c r="Q534" s="215"/>
      <c r="R534" s="215"/>
      <c r="S534" s="1270"/>
      <c r="T534" s="215"/>
      <c r="U534" s="215"/>
      <c r="V534" s="215"/>
      <c r="W534" s="215"/>
      <c r="X534" s="215"/>
      <c r="Y534" s="215"/>
      <c r="Z534" s="215"/>
      <c r="AA534" s="215"/>
      <c r="AB534" s="215"/>
      <c r="AC534" s="215"/>
      <c r="AD534" s="215"/>
      <c r="AE534" s="215"/>
      <c r="AF534" s="215"/>
      <c r="AG534" s="215"/>
      <c r="AH534" s="215"/>
      <c r="AI534" s="215"/>
      <c r="AJ534" s="215"/>
      <c r="AK534" s="215"/>
    </row>
    <row r="535" spans="3:37" ht="12.75" customHeight="1">
      <c r="C535" s="216"/>
      <c r="D535" s="210"/>
      <c r="E535" s="210"/>
      <c r="F535" s="210"/>
      <c r="G535" s="210"/>
      <c r="H535" s="216"/>
      <c r="I535" s="210"/>
      <c r="J535" s="210"/>
      <c r="K535" s="210"/>
      <c r="L535" s="210"/>
      <c r="M535" s="216"/>
      <c r="N535" s="210"/>
      <c r="O535" s="210"/>
      <c r="P535" s="210"/>
      <c r="Q535" s="210"/>
      <c r="R535" s="216"/>
      <c r="S535" s="1263"/>
      <c r="T535" s="210"/>
      <c r="U535" s="210"/>
      <c r="V535" s="210"/>
      <c r="W535" s="216"/>
      <c r="X535" s="210"/>
      <c r="Y535" s="210"/>
      <c r="Z535" s="210"/>
      <c r="AA535" s="210"/>
      <c r="AB535" s="216"/>
      <c r="AC535" s="210"/>
      <c r="AD535" s="210"/>
      <c r="AE535" s="210"/>
      <c r="AF535" s="210"/>
      <c r="AG535" s="216"/>
      <c r="AH535" s="210"/>
      <c r="AI535" s="210"/>
      <c r="AJ535" s="210"/>
      <c r="AK535" s="210"/>
    </row>
    <row r="536" spans="3:37" ht="12.75" customHeight="1">
      <c r="C536" s="217"/>
      <c r="D536" s="217"/>
      <c r="E536" s="217"/>
      <c r="F536" s="217"/>
      <c r="G536" s="217"/>
      <c r="H536" s="217"/>
      <c r="I536" s="217"/>
      <c r="J536" s="217"/>
      <c r="K536" s="217"/>
      <c r="L536" s="217"/>
      <c r="M536" s="217"/>
      <c r="N536" s="217"/>
      <c r="O536" s="217"/>
      <c r="P536" s="217"/>
      <c r="Q536" s="217"/>
      <c r="R536" s="217"/>
      <c r="S536" s="1271"/>
      <c r="T536" s="217"/>
      <c r="U536" s="217"/>
      <c r="V536" s="217"/>
      <c r="W536" s="217"/>
      <c r="X536" s="217"/>
      <c r="Y536" s="217"/>
      <c r="Z536" s="217"/>
      <c r="AA536" s="217"/>
      <c r="AB536" s="217"/>
      <c r="AC536" s="217"/>
      <c r="AD536" s="217"/>
      <c r="AE536" s="217"/>
      <c r="AF536" s="217"/>
      <c r="AG536" s="217"/>
      <c r="AH536" s="217"/>
      <c r="AI536" s="217"/>
      <c r="AJ536" s="217"/>
      <c r="AK536" s="217"/>
    </row>
    <row r="537" spans="3:37" ht="12.75" customHeight="1">
      <c r="C537" s="206"/>
      <c r="D537" s="155"/>
      <c r="E537" s="155"/>
      <c r="F537" s="155"/>
      <c r="G537" s="155"/>
      <c r="H537" s="206"/>
      <c r="I537" s="155"/>
      <c r="J537" s="155"/>
      <c r="K537" s="155"/>
      <c r="L537" s="155"/>
      <c r="M537" s="206"/>
      <c r="N537" s="155"/>
      <c r="O537" s="155"/>
      <c r="P537" s="155"/>
      <c r="Q537" s="155"/>
      <c r="R537" s="206"/>
      <c r="S537" s="1239"/>
      <c r="T537" s="155"/>
      <c r="U537" s="155"/>
      <c r="V537" s="155"/>
      <c r="W537" s="206"/>
      <c r="X537" s="155"/>
      <c r="Y537" s="155"/>
      <c r="Z537" s="155"/>
      <c r="AA537" s="155"/>
      <c r="AB537" s="206"/>
      <c r="AC537" s="155"/>
      <c r="AD537" s="155"/>
      <c r="AE537" s="155"/>
      <c r="AF537" s="155"/>
      <c r="AG537" s="206"/>
      <c r="AH537" s="155"/>
      <c r="AI537" s="155"/>
      <c r="AJ537" s="155"/>
      <c r="AK537" s="155"/>
    </row>
    <row r="538" spans="3:37" ht="12.75" customHeight="1">
      <c r="C538" s="155"/>
      <c r="D538" s="155"/>
      <c r="E538" s="155"/>
      <c r="F538" s="155"/>
      <c r="G538" s="155"/>
      <c r="H538" s="155"/>
      <c r="I538" s="155"/>
      <c r="J538" s="155"/>
      <c r="K538" s="155"/>
      <c r="L538" s="155"/>
      <c r="M538" s="155"/>
      <c r="N538" s="155"/>
      <c r="O538" s="155"/>
      <c r="P538" s="155"/>
      <c r="Q538" s="155"/>
      <c r="R538" s="155"/>
      <c r="S538" s="1239"/>
      <c r="T538" s="155"/>
      <c r="U538" s="155"/>
      <c r="V538" s="155"/>
      <c r="W538" s="155"/>
      <c r="X538" s="155"/>
      <c r="Y538" s="155"/>
      <c r="Z538" s="155"/>
      <c r="AA538" s="155"/>
      <c r="AB538" s="155"/>
      <c r="AC538" s="155"/>
      <c r="AD538" s="155"/>
      <c r="AE538" s="155"/>
      <c r="AF538" s="155"/>
      <c r="AG538" s="155"/>
      <c r="AH538" s="155"/>
      <c r="AI538" s="155"/>
      <c r="AJ538" s="155"/>
      <c r="AK538" s="155"/>
    </row>
    <row r="539" spans="3:37" ht="12.75" customHeight="1">
      <c r="C539" s="155"/>
      <c r="D539" s="155"/>
      <c r="E539" s="155"/>
      <c r="F539" s="155"/>
      <c r="G539" s="155"/>
      <c r="H539" s="155"/>
      <c r="I539" s="155"/>
      <c r="J539" s="155"/>
      <c r="K539" s="155"/>
      <c r="L539" s="155"/>
      <c r="M539" s="155"/>
      <c r="N539" s="155"/>
      <c r="O539" s="155"/>
      <c r="P539" s="155"/>
      <c r="Q539" s="155"/>
      <c r="R539" s="155"/>
      <c r="S539" s="1239"/>
      <c r="T539" s="155"/>
      <c r="U539" s="155"/>
      <c r="V539" s="155"/>
      <c r="W539" s="155"/>
      <c r="X539" s="155"/>
      <c r="Y539" s="155"/>
      <c r="Z539" s="155"/>
      <c r="AA539" s="155"/>
      <c r="AB539" s="155"/>
      <c r="AC539" s="155"/>
      <c r="AD539" s="155"/>
      <c r="AE539" s="155"/>
      <c r="AF539" s="155"/>
      <c r="AG539" s="155"/>
      <c r="AH539" s="155"/>
      <c r="AI539" s="155"/>
      <c r="AJ539" s="155"/>
      <c r="AK539" s="155"/>
    </row>
    <row r="540" spans="3:37" ht="12.75" customHeight="1">
      <c r="C540" s="155"/>
      <c r="D540" s="155"/>
      <c r="E540" s="155"/>
      <c r="F540" s="155"/>
      <c r="G540" s="155"/>
      <c r="H540" s="155"/>
      <c r="I540" s="155"/>
      <c r="J540" s="155"/>
      <c r="K540" s="155"/>
      <c r="L540" s="155"/>
      <c r="M540" s="155"/>
      <c r="N540" s="155"/>
      <c r="O540" s="155"/>
      <c r="P540" s="155"/>
      <c r="Q540" s="155"/>
      <c r="R540" s="155"/>
      <c r="S540" s="1239"/>
      <c r="T540" s="155"/>
      <c r="U540" s="155"/>
      <c r="V540" s="155"/>
      <c r="W540" s="155"/>
      <c r="X540" s="155"/>
      <c r="Y540" s="155"/>
      <c r="Z540" s="155"/>
      <c r="AA540" s="155"/>
      <c r="AB540" s="155"/>
      <c r="AC540" s="155"/>
      <c r="AD540" s="155"/>
      <c r="AE540" s="155"/>
      <c r="AF540" s="155"/>
      <c r="AG540" s="155"/>
      <c r="AH540" s="155"/>
      <c r="AI540" s="155"/>
      <c r="AJ540" s="155"/>
      <c r="AK540" s="155"/>
    </row>
    <row r="541" spans="3:37" ht="12.75" customHeight="1">
      <c r="C541" s="155"/>
      <c r="D541" s="155"/>
      <c r="E541" s="155"/>
      <c r="F541" s="155"/>
      <c r="G541" s="155"/>
      <c r="H541" s="155"/>
      <c r="I541" s="155"/>
      <c r="J541" s="155"/>
      <c r="K541" s="155"/>
      <c r="L541" s="155"/>
      <c r="M541" s="155"/>
      <c r="N541" s="155"/>
      <c r="O541" s="155"/>
      <c r="P541" s="155"/>
      <c r="Q541" s="155"/>
      <c r="R541" s="155"/>
      <c r="S541" s="1239"/>
      <c r="T541" s="155"/>
      <c r="U541" s="155"/>
      <c r="V541" s="155"/>
      <c r="W541" s="155"/>
      <c r="X541" s="155"/>
      <c r="Y541" s="155"/>
      <c r="Z541" s="155"/>
      <c r="AA541" s="155"/>
      <c r="AB541" s="155"/>
      <c r="AC541" s="155"/>
      <c r="AD541" s="155"/>
      <c r="AE541" s="155"/>
      <c r="AF541" s="155"/>
      <c r="AG541" s="155"/>
      <c r="AH541" s="155"/>
      <c r="AI541" s="155"/>
      <c r="AJ541" s="155"/>
      <c r="AK541" s="155"/>
    </row>
    <row r="542" spans="3:37" ht="12.75" customHeight="1">
      <c r="C542" s="155"/>
      <c r="D542" s="155"/>
      <c r="E542" s="155"/>
      <c r="F542" s="155"/>
      <c r="G542" s="155"/>
      <c r="H542" s="155"/>
      <c r="I542" s="155"/>
      <c r="J542" s="155"/>
      <c r="K542" s="155"/>
      <c r="L542" s="155"/>
      <c r="M542" s="155"/>
      <c r="N542" s="155"/>
      <c r="O542" s="155"/>
      <c r="P542" s="155"/>
      <c r="Q542" s="155"/>
      <c r="R542" s="155"/>
      <c r="S542" s="1239"/>
      <c r="T542" s="155"/>
      <c r="U542" s="155"/>
      <c r="V542" s="155"/>
      <c r="W542" s="155"/>
      <c r="X542" s="155"/>
      <c r="Y542" s="155"/>
      <c r="Z542" s="155"/>
      <c r="AA542" s="155"/>
      <c r="AB542" s="155"/>
      <c r="AC542" s="155"/>
      <c r="AD542" s="155"/>
      <c r="AE542" s="155"/>
      <c r="AF542" s="155"/>
      <c r="AG542" s="155"/>
      <c r="AH542" s="155"/>
      <c r="AI542" s="155"/>
      <c r="AJ542" s="155"/>
      <c r="AK542" s="155"/>
    </row>
    <row r="543" spans="3:37" ht="12.75" customHeight="1">
      <c r="C543" s="206"/>
      <c r="D543" s="155"/>
      <c r="E543" s="155"/>
      <c r="F543" s="155"/>
      <c r="G543" s="155"/>
      <c r="H543" s="206"/>
      <c r="I543" s="155"/>
      <c r="J543" s="155"/>
      <c r="K543" s="155"/>
      <c r="L543" s="155"/>
      <c r="M543" s="206"/>
      <c r="N543" s="155"/>
      <c r="O543" s="155"/>
      <c r="P543" s="155"/>
      <c r="Q543" s="155"/>
      <c r="R543" s="206"/>
      <c r="S543" s="1239"/>
      <c r="T543" s="155"/>
      <c r="U543" s="155"/>
      <c r="V543" s="155"/>
      <c r="W543" s="206"/>
      <c r="X543" s="155"/>
      <c r="Y543" s="155"/>
      <c r="Z543" s="155"/>
      <c r="AA543" s="155"/>
      <c r="AB543" s="206"/>
      <c r="AC543" s="155"/>
      <c r="AD543" s="155"/>
      <c r="AE543" s="155"/>
      <c r="AF543" s="155"/>
      <c r="AG543" s="206"/>
      <c r="AH543" s="155"/>
      <c r="AI543" s="155"/>
      <c r="AJ543" s="155"/>
      <c r="AK543" s="155"/>
    </row>
    <row r="544" spans="3:37" ht="12.75" customHeight="1">
      <c r="C544" s="216"/>
      <c r="D544" s="210"/>
      <c r="E544" s="210"/>
      <c r="F544" s="210"/>
      <c r="G544" s="210"/>
      <c r="H544" s="216"/>
      <c r="I544" s="210"/>
      <c r="J544" s="210"/>
      <c r="K544" s="210"/>
      <c r="L544" s="210"/>
      <c r="M544" s="216"/>
      <c r="N544" s="210"/>
      <c r="O544" s="210"/>
      <c r="P544" s="210"/>
      <c r="Q544" s="210"/>
      <c r="R544" s="216"/>
      <c r="S544" s="1263"/>
      <c r="T544" s="210"/>
      <c r="U544" s="210"/>
      <c r="V544" s="210"/>
      <c r="W544" s="216"/>
      <c r="X544" s="210"/>
      <c r="Y544" s="210"/>
      <c r="Z544" s="210"/>
      <c r="AA544" s="210"/>
      <c r="AB544" s="216"/>
      <c r="AC544" s="210"/>
      <c r="AD544" s="210"/>
      <c r="AE544" s="210"/>
      <c r="AF544" s="210"/>
      <c r="AG544" s="216"/>
      <c r="AH544" s="210"/>
      <c r="AI544" s="210"/>
      <c r="AJ544" s="210"/>
      <c r="AK544" s="210"/>
    </row>
    <row r="545" spans="3:37" ht="12.75" customHeight="1">
      <c r="C545" s="217"/>
      <c r="D545" s="217"/>
      <c r="E545" s="217"/>
      <c r="F545" s="217"/>
      <c r="G545" s="217"/>
      <c r="H545" s="217"/>
      <c r="I545" s="217"/>
      <c r="J545" s="217"/>
      <c r="K545" s="217"/>
      <c r="L545" s="217"/>
      <c r="M545" s="217"/>
      <c r="N545" s="217"/>
      <c r="O545" s="217"/>
      <c r="P545" s="217"/>
      <c r="Q545" s="217"/>
      <c r="R545" s="217"/>
      <c r="S545" s="1271"/>
      <c r="T545" s="217"/>
      <c r="U545" s="217"/>
      <c r="V545" s="217"/>
      <c r="W545" s="217"/>
      <c r="X545" s="217"/>
      <c r="Y545" s="217"/>
      <c r="Z545" s="217"/>
      <c r="AA545" s="217"/>
      <c r="AB545" s="217"/>
      <c r="AC545" s="217"/>
      <c r="AD545" s="217"/>
      <c r="AE545" s="217"/>
      <c r="AF545" s="217"/>
      <c r="AG545" s="217"/>
      <c r="AH545" s="217"/>
      <c r="AI545" s="217"/>
      <c r="AJ545" s="217"/>
      <c r="AK545" s="217"/>
    </row>
    <row r="546" spans="3:37" ht="12.75" customHeight="1">
      <c r="C546" s="217"/>
      <c r="D546" s="217"/>
      <c r="E546" s="217"/>
      <c r="F546" s="217"/>
      <c r="G546" s="217"/>
      <c r="H546" s="217"/>
      <c r="I546" s="217"/>
      <c r="J546" s="217"/>
      <c r="K546" s="217"/>
      <c r="L546" s="217"/>
      <c r="M546" s="217"/>
      <c r="N546" s="217"/>
      <c r="O546" s="217"/>
      <c r="P546" s="217"/>
      <c r="Q546" s="217"/>
      <c r="R546" s="217"/>
      <c r="S546" s="1271"/>
      <c r="T546" s="217"/>
      <c r="U546" s="217"/>
      <c r="V546" s="217"/>
      <c r="W546" s="217"/>
      <c r="X546" s="217"/>
      <c r="Y546" s="217"/>
      <c r="Z546" s="217"/>
      <c r="AA546" s="217"/>
      <c r="AB546" s="217"/>
      <c r="AC546" s="217"/>
      <c r="AD546" s="217"/>
      <c r="AE546" s="217"/>
      <c r="AF546" s="217"/>
      <c r="AG546" s="217"/>
      <c r="AH546" s="217"/>
      <c r="AI546" s="217"/>
      <c r="AJ546" s="217"/>
      <c r="AK546" s="217"/>
    </row>
    <row r="547" spans="3:37" ht="12.75" customHeight="1">
      <c r="C547" s="218"/>
      <c r="D547" s="218"/>
      <c r="E547" s="218"/>
      <c r="F547" s="218"/>
      <c r="G547" s="218"/>
      <c r="H547" s="218"/>
      <c r="I547" s="218"/>
      <c r="J547" s="218"/>
      <c r="K547" s="218"/>
      <c r="L547" s="218"/>
      <c r="M547" s="218"/>
      <c r="N547" s="218"/>
      <c r="O547" s="218"/>
      <c r="P547" s="218"/>
      <c r="Q547" s="218"/>
      <c r="R547" s="218"/>
      <c r="S547" s="1272"/>
      <c r="T547" s="218"/>
      <c r="U547" s="218"/>
      <c r="V547" s="218"/>
      <c r="W547" s="218"/>
      <c r="X547" s="218"/>
      <c r="Y547" s="218"/>
      <c r="Z547" s="218"/>
      <c r="AA547" s="218"/>
      <c r="AB547" s="218"/>
      <c r="AC547" s="218"/>
      <c r="AD547" s="218"/>
      <c r="AE547" s="218"/>
      <c r="AF547" s="218"/>
      <c r="AG547" s="218"/>
      <c r="AH547" s="218"/>
      <c r="AI547" s="218"/>
      <c r="AJ547" s="218"/>
      <c r="AK547" s="218"/>
    </row>
    <row r="548" spans="3:37" ht="12.75" customHeight="1">
      <c r="C548" s="218"/>
      <c r="D548" s="218"/>
      <c r="E548" s="218"/>
      <c r="F548" s="218"/>
      <c r="G548" s="218"/>
      <c r="H548" s="218"/>
      <c r="I548" s="218"/>
      <c r="J548" s="218"/>
      <c r="K548" s="218"/>
      <c r="L548" s="218"/>
      <c r="M548" s="218"/>
      <c r="N548" s="218"/>
      <c r="O548" s="218"/>
      <c r="P548" s="218"/>
      <c r="Q548" s="218"/>
      <c r="R548" s="218"/>
      <c r="S548" s="1272"/>
      <c r="T548" s="218"/>
      <c r="U548" s="218"/>
      <c r="V548" s="218"/>
      <c r="W548" s="218"/>
      <c r="X548" s="218"/>
      <c r="Y548" s="218"/>
      <c r="Z548" s="218"/>
      <c r="AA548" s="218"/>
      <c r="AB548" s="218"/>
      <c r="AC548" s="218"/>
      <c r="AD548" s="218"/>
      <c r="AE548" s="218"/>
      <c r="AF548" s="218"/>
      <c r="AG548" s="218"/>
      <c r="AH548" s="218"/>
      <c r="AI548" s="218"/>
      <c r="AJ548" s="218"/>
      <c r="AK548" s="218"/>
    </row>
    <row r="549" spans="3:37" ht="12.75" customHeight="1">
      <c r="C549" s="217"/>
      <c r="D549" s="217"/>
      <c r="E549" s="217"/>
      <c r="F549" s="217"/>
      <c r="G549" s="217"/>
      <c r="H549" s="217"/>
      <c r="I549" s="217"/>
      <c r="J549" s="217"/>
      <c r="K549" s="217"/>
      <c r="L549" s="217"/>
      <c r="M549" s="217"/>
      <c r="N549" s="217"/>
      <c r="O549" s="217"/>
      <c r="P549" s="217"/>
      <c r="Q549" s="217"/>
      <c r="R549" s="217"/>
      <c r="S549" s="1271"/>
      <c r="T549" s="217"/>
      <c r="U549" s="217"/>
      <c r="V549" s="217"/>
      <c r="W549" s="217"/>
      <c r="X549" s="217"/>
      <c r="Y549" s="217"/>
      <c r="Z549" s="217"/>
      <c r="AA549" s="217"/>
      <c r="AB549" s="217"/>
      <c r="AC549" s="217"/>
      <c r="AD549" s="217"/>
      <c r="AE549" s="217"/>
      <c r="AF549" s="217"/>
      <c r="AG549" s="217"/>
      <c r="AH549" s="217"/>
      <c r="AI549" s="217"/>
      <c r="AJ549" s="217"/>
      <c r="AK549" s="217"/>
    </row>
    <row r="550" spans="3:37" ht="12.75" customHeight="1">
      <c r="C550" s="218"/>
      <c r="D550" s="218"/>
      <c r="E550" s="218"/>
      <c r="F550" s="218"/>
      <c r="G550" s="218"/>
      <c r="H550" s="218"/>
      <c r="I550" s="218"/>
      <c r="J550" s="218"/>
      <c r="K550" s="218"/>
      <c r="L550" s="218"/>
      <c r="M550" s="218"/>
      <c r="N550" s="218"/>
      <c r="O550" s="218"/>
      <c r="P550" s="218"/>
      <c r="Q550" s="218"/>
      <c r="R550" s="218"/>
      <c r="S550" s="1272"/>
      <c r="T550" s="218"/>
      <c r="U550" s="218"/>
      <c r="V550" s="218"/>
      <c r="W550" s="218"/>
      <c r="X550" s="218"/>
      <c r="Y550" s="218"/>
      <c r="Z550" s="218"/>
      <c r="AA550" s="218"/>
      <c r="AB550" s="218"/>
      <c r="AC550" s="218"/>
      <c r="AD550" s="218"/>
      <c r="AE550" s="218"/>
      <c r="AF550" s="218"/>
      <c r="AG550" s="218"/>
      <c r="AH550" s="218"/>
      <c r="AI550" s="218"/>
      <c r="AJ550" s="218"/>
      <c r="AK550" s="218"/>
    </row>
    <row r="551" spans="3:37" ht="12.75" customHeight="1">
      <c r="C551" s="218"/>
      <c r="D551" s="218"/>
      <c r="E551" s="218"/>
      <c r="F551" s="218"/>
      <c r="G551" s="218"/>
      <c r="H551" s="218"/>
      <c r="I551" s="218"/>
      <c r="J551" s="218"/>
      <c r="K551" s="218"/>
      <c r="L551" s="218"/>
      <c r="M551" s="218"/>
      <c r="N551" s="218"/>
      <c r="O551" s="218"/>
      <c r="P551" s="218"/>
      <c r="Q551" s="218"/>
      <c r="R551" s="218"/>
      <c r="S551" s="1272"/>
      <c r="T551" s="218"/>
      <c r="U551" s="218"/>
      <c r="V551" s="218"/>
      <c r="W551" s="218"/>
      <c r="X551" s="218"/>
      <c r="Y551" s="218"/>
      <c r="Z551" s="218"/>
      <c r="AA551" s="218"/>
      <c r="AB551" s="218"/>
      <c r="AC551" s="218"/>
      <c r="AD551" s="218"/>
      <c r="AE551" s="218"/>
      <c r="AF551" s="218"/>
      <c r="AG551" s="218"/>
      <c r="AH551" s="218"/>
      <c r="AI551" s="218"/>
      <c r="AJ551" s="218"/>
      <c r="AK551" s="218"/>
    </row>
    <row r="552" spans="3:37" ht="12.75" customHeight="1">
      <c r="C552" s="217"/>
      <c r="D552" s="217"/>
      <c r="E552" s="217"/>
      <c r="F552" s="217"/>
      <c r="G552" s="217"/>
      <c r="H552" s="217"/>
      <c r="I552" s="217"/>
      <c r="J552" s="217"/>
      <c r="K552" s="217"/>
      <c r="L552" s="217"/>
      <c r="M552" s="217"/>
      <c r="N552" s="217"/>
      <c r="O552" s="217"/>
      <c r="P552" s="217"/>
      <c r="Q552" s="217"/>
      <c r="R552" s="217"/>
      <c r="S552" s="1271"/>
      <c r="T552" s="217"/>
      <c r="U552" s="217"/>
      <c r="V552" s="217"/>
      <c r="W552" s="217"/>
      <c r="X552" s="217"/>
      <c r="Y552" s="217"/>
      <c r="Z552" s="217"/>
      <c r="AA552" s="217"/>
      <c r="AB552" s="217"/>
      <c r="AC552" s="217"/>
      <c r="AD552" s="217"/>
      <c r="AE552" s="217"/>
      <c r="AF552" s="217"/>
      <c r="AG552" s="217"/>
      <c r="AH552" s="217"/>
      <c r="AI552" s="217"/>
      <c r="AJ552" s="217"/>
      <c r="AK552" s="217"/>
    </row>
    <row r="553" spans="3:37" ht="12.75" customHeight="1">
      <c r="C553" s="206"/>
      <c r="D553" s="155"/>
      <c r="E553" s="155"/>
      <c r="F553" s="155"/>
      <c r="G553" s="155"/>
      <c r="H553" s="206"/>
      <c r="I553" s="155"/>
      <c r="J553" s="155"/>
      <c r="K553" s="155"/>
      <c r="L553" s="155"/>
      <c r="M553" s="206"/>
      <c r="N553" s="155"/>
      <c r="O553" s="155"/>
      <c r="P553" s="155"/>
      <c r="Q553" s="155"/>
      <c r="R553" s="206"/>
      <c r="S553" s="1239"/>
      <c r="T553" s="155"/>
      <c r="U553" s="155"/>
      <c r="V553" s="155"/>
      <c r="W553" s="206"/>
      <c r="X553" s="155"/>
      <c r="Y553" s="155"/>
      <c r="Z553" s="155"/>
      <c r="AA553" s="155"/>
      <c r="AB553" s="206"/>
      <c r="AC553" s="155"/>
      <c r="AD553" s="155"/>
      <c r="AE553" s="155"/>
      <c r="AF553" s="155"/>
      <c r="AG553" s="206"/>
      <c r="AH553" s="155"/>
      <c r="AI553" s="155"/>
      <c r="AJ553" s="155"/>
      <c r="AK553" s="155"/>
    </row>
    <row r="554" spans="3:37" ht="12.75" customHeight="1">
      <c r="C554" s="184"/>
      <c r="D554" s="184"/>
      <c r="E554" s="184"/>
      <c r="F554" s="184"/>
      <c r="G554" s="184"/>
      <c r="H554" s="184"/>
      <c r="I554" s="184"/>
      <c r="J554" s="184"/>
      <c r="K554" s="184"/>
      <c r="L554" s="184"/>
      <c r="M554" s="184"/>
      <c r="N554" s="184"/>
      <c r="O554" s="184"/>
      <c r="P554" s="184"/>
      <c r="Q554" s="184"/>
      <c r="R554" s="184"/>
      <c r="S554" s="1268"/>
      <c r="T554" s="184"/>
      <c r="U554" s="184"/>
      <c r="V554" s="184"/>
      <c r="W554" s="184"/>
      <c r="X554" s="184"/>
      <c r="Y554" s="184"/>
      <c r="Z554" s="184"/>
      <c r="AA554" s="184"/>
      <c r="AB554" s="184"/>
      <c r="AC554" s="184"/>
      <c r="AD554" s="184"/>
      <c r="AE554" s="184"/>
      <c r="AF554" s="184"/>
      <c r="AG554" s="184"/>
      <c r="AH554" s="184"/>
      <c r="AI554" s="184"/>
      <c r="AJ554" s="184"/>
      <c r="AK554" s="184"/>
    </row>
    <row r="555" spans="3:37" ht="12.75" customHeight="1">
      <c r="C555" s="155"/>
      <c r="D555" s="155"/>
      <c r="E555" s="155"/>
      <c r="F555" s="155"/>
      <c r="G555" s="155"/>
      <c r="H555" s="155"/>
      <c r="I555" s="155"/>
      <c r="J555" s="155"/>
      <c r="K555" s="155"/>
      <c r="L555" s="155"/>
      <c r="M555" s="155"/>
      <c r="N555" s="155"/>
      <c r="O555" s="155"/>
      <c r="P555" s="155"/>
      <c r="Q555" s="155"/>
      <c r="R555" s="155"/>
      <c r="S555" s="1239"/>
      <c r="T555" s="155"/>
      <c r="U555" s="155"/>
      <c r="V555" s="155"/>
      <c r="W555" s="155"/>
      <c r="X555" s="155"/>
      <c r="Y555" s="155"/>
      <c r="Z555" s="155"/>
      <c r="AA555" s="155"/>
      <c r="AB555" s="155"/>
      <c r="AC555" s="155"/>
      <c r="AD555" s="155"/>
      <c r="AE555" s="155"/>
      <c r="AF555" s="155"/>
      <c r="AG555" s="155"/>
      <c r="AH555" s="155"/>
      <c r="AI555" s="155"/>
      <c r="AJ555" s="155"/>
      <c r="AK555" s="155"/>
    </row>
    <row r="556" spans="3:37" ht="12.75" customHeight="1">
      <c r="C556" s="155"/>
      <c r="D556" s="155"/>
      <c r="E556" s="155"/>
      <c r="F556" s="155"/>
      <c r="G556" s="155"/>
      <c r="H556" s="155"/>
      <c r="I556" s="155"/>
      <c r="J556" s="155"/>
      <c r="K556" s="155"/>
      <c r="L556" s="155"/>
      <c r="M556" s="155"/>
      <c r="N556" s="155"/>
      <c r="O556" s="155"/>
      <c r="P556" s="155"/>
      <c r="Q556" s="155"/>
      <c r="R556" s="155"/>
      <c r="S556" s="1239"/>
      <c r="T556" s="155"/>
      <c r="U556" s="155"/>
      <c r="V556" s="155"/>
      <c r="W556" s="155"/>
      <c r="X556" s="155"/>
      <c r="Y556" s="155"/>
      <c r="Z556" s="155"/>
      <c r="AA556" s="155"/>
      <c r="AB556" s="155"/>
      <c r="AC556" s="155"/>
      <c r="AD556" s="155"/>
      <c r="AE556" s="155"/>
      <c r="AF556" s="155"/>
      <c r="AG556" s="155"/>
      <c r="AH556" s="155"/>
      <c r="AI556" s="155"/>
      <c r="AJ556" s="155"/>
      <c r="AK556" s="155"/>
    </row>
    <row r="557" spans="3:37" ht="12.75" customHeight="1">
      <c r="C557" s="155"/>
      <c r="D557" s="155"/>
      <c r="E557" s="155"/>
      <c r="F557" s="155"/>
      <c r="G557" s="155"/>
      <c r="H557" s="155"/>
      <c r="I557" s="155"/>
      <c r="J557" s="155"/>
      <c r="K557" s="155"/>
      <c r="L557" s="155"/>
      <c r="M557" s="155"/>
      <c r="N557" s="155"/>
      <c r="O557" s="155"/>
      <c r="P557" s="155"/>
      <c r="Q557" s="155"/>
      <c r="R557" s="155"/>
      <c r="S557" s="1239"/>
      <c r="T557" s="155"/>
      <c r="U557" s="155"/>
      <c r="V557" s="155"/>
      <c r="W557" s="155"/>
      <c r="X557" s="155"/>
      <c r="Y557" s="155"/>
      <c r="Z557" s="155"/>
      <c r="AA557" s="155"/>
      <c r="AB557" s="155"/>
      <c r="AC557" s="155"/>
      <c r="AD557" s="155"/>
      <c r="AE557" s="155"/>
      <c r="AF557" s="155"/>
      <c r="AG557" s="155"/>
      <c r="AH557" s="155"/>
      <c r="AI557" s="155"/>
      <c r="AJ557" s="155"/>
      <c r="AK557" s="155"/>
    </row>
    <row r="558" spans="3:37" ht="12.75" customHeight="1">
      <c r="C558" s="155"/>
      <c r="D558" s="155"/>
      <c r="E558" s="155"/>
      <c r="F558" s="155"/>
      <c r="G558" s="155"/>
      <c r="H558" s="155"/>
      <c r="I558" s="155"/>
      <c r="J558" s="155"/>
      <c r="K558" s="155"/>
      <c r="L558" s="155"/>
      <c r="M558" s="155"/>
      <c r="N558" s="155"/>
      <c r="O558" s="155"/>
      <c r="P558" s="155"/>
      <c r="Q558" s="155"/>
      <c r="R558" s="155"/>
      <c r="S558" s="1239"/>
      <c r="T558" s="155"/>
      <c r="U558" s="155"/>
      <c r="V558" s="155"/>
      <c r="W558" s="155"/>
      <c r="X558" s="155"/>
      <c r="Y558" s="155"/>
      <c r="Z558" s="155"/>
      <c r="AA558" s="155"/>
      <c r="AB558" s="155"/>
      <c r="AC558" s="155"/>
      <c r="AD558" s="155"/>
      <c r="AE558" s="155"/>
      <c r="AF558" s="155"/>
      <c r="AG558" s="155"/>
      <c r="AH558" s="155"/>
      <c r="AI558" s="155"/>
      <c r="AJ558" s="155"/>
      <c r="AK558" s="155"/>
    </row>
    <row r="559" spans="3:37" ht="12.75" customHeight="1">
      <c r="C559" s="206"/>
      <c r="D559" s="155"/>
      <c r="E559" s="155"/>
      <c r="F559" s="155"/>
      <c r="G559" s="155"/>
      <c r="H559" s="206"/>
      <c r="I559" s="155"/>
      <c r="J559" s="155"/>
      <c r="K559" s="155"/>
      <c r="L559" s="155"/>
      <c r="M559" s="206"/>
      <c r="N559" s="155"/>
      <c r="O559" s="155"/>
      <c r="P559" s="155"/>
      <c r="Q559" s="155"/>
      <c r="R559" s="206"/>
      <c r="S559" s="1239"/>
      <c r="T559" s="155"/>
      <c r="U559" s="155"/>
      <c r="V559" s="155"/>
      <c r="W559" s="206"/>
      <c r="X559" s="155"/>
      <c r="Y559" s="155"/>
      <c r="Z559" s="155"/>
      <c r="AA559" s="155"/>
      <c r="AB559" s="206"/>
      <c r="AC559" s="155"/>
      <c r="AD559" s="155"/>
      <c r="AE559" s="155"/>
      <c r="AF559" s="155"/>
      <c r="AG559" s="206"/>
      <c r="AH559" s="155"/>
      <c r="AI559" s="155"/>
      <c r="AJ559" s="155"/>
      <c r="AK559" s="155"/>
    </row>
    <row r="560" spans="3:37" ht="12.75" customHeight="1">
      <c r="C560" s="206"/>
      <c r="D560" s="155"/>
      <c r="E560" s="155"/>
      <c r="F560" s="155"/>
      <c r="G560" s="155"/>
      <c r="H560" s="206"/>
      <c r="I560" s="155"/>
      <c r="J560" s="155"/>
      <c r="K560" s="155"/>
      <c r="L560" s="155"/>
      <c r="M560" s="206"/>
      <c r="N560" s="155"/>
      <c r="O560" s="155"/>
      <c r="P560" s="155"/>
      <c r="Q560" s="155"/>
      <c r="R560" s="206"/>
      <c r="S560" s="1239"/>
      <c r="T560" s="155"/>
      <c r="U560" s="155"/>
      <c r="V560" s="155"/>
      <c r="W560" s="206"/>
      <c r="X560" s="155"/>
      <c r="Y560" s="155"/>
      <c r="Z560" s="155"/>
      <c r="AA560" s="155"/>
      <c r="AB560" s="206"/>
      <c r="AC560" s="155"/>
      <c r="AD560" s="155"/>
      <c r="AE560" s="155"/>
      <c r="AF560" s="155"/>
      <c r="AG560" s="206"/>
      <c r="AH560" s="155"/>
      <c r="AI560" s="155"/>
      <c r="AJ560" s="155"/>
      <c r="AK560" s="155"/>
    </row>
    <row r="561" spans="3:37" ht="12.75" customHeight="1">
      <c r="C561" s="206"/>
      <c r="D561" s="155"/>
      <c r="E561" s="155"/>
      <c r="F561" s="155"/>
      <c r="G561" s="155"/>
      <c r="H561" s="206"/>
      <c r="I561" s="155"/>
      <c r="J561" s="155"/>
      <c r="K561" s="155"/>
      <c r="L561" s="155"/>
      <c r="M561" s="206"/>
      <c r="N561" s="155"/>
      <c r="O561" s="155"/>
      <c r="P561" s="155"/>
      <c r="Q561" s="155"/>
      <c r="R561" s="206"/>
      <c r="S561" s="1239"/>
      <c r="T561" s="155"/>
      <c r="U561" s="155"/>
      <c r="V561" s="155"/>
      <c r="W561" s="206"/>
      <c r="X561" s="155"/>
      <c r="Y561" s="155"/>
      <c r="Z561" s="155"/>
      <c r="AA561" s="155"/>
      <c r="AB561" s="206"/>
      <c r="AC561" s="155"/>
      <c r="AD561" s="155"/>
      <c r="AE561" s="155"/>
      <c r="AF561" s="155"/>
      <c r="AG561" s="206"/>
      <c r="AH561" s="155"/>
      <c r="AI561" s="155"/>
      <c r="AJ561" s="155"/>
      <c r="AK561" s="155"/>
    </row>
    <row r="562" spans="3:37" ht="12.75" customHeight="1">
      <c r="C562" s="206"/>
      <c r="D562" s="155"/>
      <c r="E562" s="155"/>
      <c r="F562" s="155"/>
      <c r="G562" s="155"/>
      <c r="H562" s="206"/>
      <c r="I562" s="155"/>
      <c r="J562" s="155"/>
      <c r="K562" s="155"/>
      <c r="L562" s="155"/>
      <c r="M562" s="206"/>
      <c r="N562" s="155"/>
      <c r="O562" s="155"/>
      <c r="P562" s="155"/>
      <c r="Q562" s="155"/>
      <c r="R562" s="206"/>
      <c r="S562" s="1239"/>
      <c r="T562" s="155"/>
      <c r="U562" s="155"/>
      <c r="V562" s="155"/>
      <c r="W562" s="206"/>
      <c r="X562" s="155"/>
      <c r="Y562" s="155"/>
      <c r="Z562" s="155"/>
      <c r="AA562" s="155"/>
      <c r="AB562" s="206"/>
      <c r="AC562" s="155"/>
      <c r="AD562" s="155"/>
      <c r="AE562" s="155"/>
      <c r="AF562" s="155"/>
      <c r="AG562" s="206"/>
      <c r="AH562" s="155"/>
      <c r="AI562" s="155"/>
      <c r="AJ562" s="155"/>
      <c r="AK562" s="155"/>
    </row>
    <row r="563" spans="3:37" ht="12.75" customHeight="1">
      <c r="C563" s="206"/>
      <c r="D563" s="155"/>
      <c r="E563" s="155"/>
      <c r="F563" s="155"/>
      <c r="G563" s="155"/>
      <c r="H563" s="206"/>
      <c r="I563" s="155"/>
      <c r="J563" s="155"/>
      <c r="K563" s="155"/>
      <c r="L563" s="155"/>
      <c r="M563" s="206"/>
      <c r="N563" s="155"/>
      <c r="O563" s="155"/>
      <c r="P563" s="155"/>
      <c r="Q563" s="155"/>
      <c r="R563" s="206"/>
      <c r="S563" s="1239"/>
      <c r="T563" s="155"/>
      <c r="U563" s="155"/>
      <c r="V563" s="155"/>
      <c r="W563" s="206"/>
      <c r="X563" s="155"/>
      <c r="Y563" s="155"/>
      <c r="Z563" s="155"/>
      <c r="AA563" s="155"/>
      <c r="AB563" s="206"/>
      <c r="AC563" s="155"/>
      <c r="AD563" s="155"/>
      <c r="AE563" s="155"/>
      <c r="AF563" s="155"/>
      <c r="AG563" s="206"/>
      <c r="AH563" s="155"/>
      <c r="AI563" s="155"/>
      <c r="AJ563" s="155"/>
      <c r="AK563" s="155"/>
    </row>
    <row r="564" spans="3:37" ht="12.75" customHeight="1">
      <c r="C564" s="206"/>
      <c r="D564" s="155"/>
      <c r="E564" s="155"/>
      <c r="F564" s="155"/>
      <c r="G564" s="155"/>
      <c r="H564" s="206"/>
      <c r="I564" s="155"/>
      <c r="J564" s="155"/>
      <c r="K564" s="155"/>
      <c r="L564" s="155"/>
      <c r="M564" s="206"/>
      <c r="N564" s="155"/>
      <c r="O564" s="155"/>
      <c r="P564" s="155"/>
      <c r="Q564" s="155"/>
      <c r="R564" s="206"/>
      <c r="S564" s="1239"/>
      <c r="T564" s="155"/>
      <c r="U564" s="155"/>
      <c r="V564" s="155"/>
      <c r="W564" s="206"/>
      <c r="X564" s="155"/>
      <c r="Y564" s="155"/>
      <c r="Z564" s="155"/>
      <c r="AA564" s="155"/>
      <c r="AB564" s="206"/>
      <c r="AC564" s="155"/>
      <c r="AD564" s="155"/>
      <c r="AE564" s="155"/>
      <c r="AF564" s="155"/>
      <c r="AG564" s="206"/>
      <c r="AH564" s="155"/>
      <c r="AI564" s="155"/>
      <c r="AJ564" s="155"/>
      <c r="AK564" s="155"/>
    </row>
    <row r="565" spans="3:37" ht="12.75" customHeight="1">
      <c r="C565" s="219"/>
      <c r="D565" s="219"/>
      <c r="E565" s="219"/>
      <c r="F565" s="219"/>
      <c r="G565" s="219"/>
      <c r="H565" s="219"/>
      <c r="I565" s="219"/>
      <c r="J565" s="219"/>
      <c r="K565" s="219"/>
      <c r="L565" s="219"/>
      <c r="M565" s="219"/>
      <c r="N565" s="219"/>
      <c r="O565" s="219"/>
      <c r="P565" s="219"/>
      <c r="Q565" s="219"/>
      <c r="R565" s="219"/>
      <c r="S565" s="1273"/>
      <c r="T565" s="219"/>
      <c r="U565" s="219"/>
      <c r="V565" s="219"/>
      <c r="W565" s="219"/>
      <c r="X565" s="219"/>
      <c r="Y565" s="219"/>
      <c r="Z565" s="219"/>
      <c r="AA565" s="219"/>
      <c r="AB565" s="219"/>
      <c r="AC565" s="219"/>
      <c r="AD565" s="219"/>
      <c r="AE565" s="219"/>
      <c r="AF565" s="219"/>
      <c r="AG565" s="219"/>
      <c r="AH565" s="219"/>
      <c r="AI565" s="219"/>
      <c r="AJ565" s="219"/>
      <c r="AK565" s="219"/>
    </row>
    <row r="566" spans="3:37" ht="12.75" customHeight="1">
      <c r="C566" s="206"/>
      <c r="D566" s="155"/>
      <c r="E566" s="155"/>
      <c r="F566" s="155"/>
      <c r="G566" s="155"/>
      <c r="H566" s="206"/>
      <c r="I566" s="155"/>
      <c r="J566" s="155"/>
      <c r="K566" s="155"/>
      <c r="L566" s="155"/>
      <c r="M566" s="206"/>
      <c r="N566" s="155"/>
      <c r="O566" s="155"/>
      <c r="P566" s="155"/>
      <c r="Q566" s="155"/>
      <c r="R566" s="206"/>
      <c r="S566" s="1239"/>
      <c r="T566" s="155"/>
      <c r="U566" s="155"/>
      <c r="V566" s="155"/>
      <c r="W566" s="206"/>
      <c r="X566" s="155"/>
      <c r="Y566" s="155"/>
      <c r="Z566" s="155"/>
      <c r="AA566" s="155"/>
      <c r="AB566" s="206"/>
      <c r="AC566" s="155"/>
      <c r="AD566" s="155"/>
      <c r="AE566" s="155"/>
      <c r="AF566" s="155"/>
      <c r="AG566" s="206"/>
      <c r="AH566" s="155"/>
      <c r="AI566" s="155"/>
      <c r="AJ566" s="155"/>
      <c r="AK566" s="155"/>
    </row>
    <row r="567" spans="3:37" ht="12.75" customHeight="1">
      <c r="C567" s="206"/>
      <c r="D567" s="155"/>
      <c r="E567" s="155"/>
      <c r="F567" s="155"/>
      <c r="G567" s="155"/>
      <c r="H567" s="206"/>
      <c r="I567" s="155"/>
      <c r="J567" s="155"/>
      <c r="K567" s="155"/>
      <c r="L567" s="155"/>
      <c r="M567" s="206"/>
      <c r="N567" s="155"/>
      <c r="O567" s="155"/>
      <c r="P567" s="155"/>
      <c r="Q567" s="155"/>
      <c r="R567" s="206"/>
      <c r="S567" s="1239"/>
      <c r="T567" s="155"/>
      <c r="U567" s="155"/>
      <c r="V567" s="155"/>
      <c r="W567" s="206"/>
      <c r="X567" s="155"/>
      <c r="Y567" s="155"/>
      <c r="Z567" s="155"/>
      <c r="AA567" s="155"/>
      <c r="AB567" s="206"/>
      <c r="AC567" s="155"/>
      <c r="AD567" s="155"/>
      <c r="AE567" s="155"/>
      <c r="AF567" s="155"/>
      <c r="AG567" s="206"/>
      <c r="AH567" s="155"/>
      <c r="AI567" s="155"/>
      <c r="AJ567" s="155"/>
      <c r="AK567" s="155"/>
    </row>
    <row r="569" spans="3:37" ht="12.75" customHeight="1">
      <c r="C569" s="206"/>
      <c r="D569" s="155"/>
      <c r="E569" s="155"/>
      <c r="F569" s="155"/>
      <c r="G569" s="155"/>
      <c r="H569" s="206"/>
      <c r="I569" s="155"/>
      <c r="J569" s="155"/>
      <c r="K569" s="155"/>
      <c r="L569" s="155"/>
      <c r="M569" s="206"/>
      <c r="N569" s="155"/>
      <c r="O569" s="155"/>
      <c r="P569" s="155"/>
      <c r="Q569" s="155"/>
      <c r="R569" s="206"/>
      <c r="S569" s="1239"/>
      <c r="T569" s="155"/>
      <c r="U569" s="155"/>
      <c r="V569" s="155"/>
      <c r="W569" s="206"/>
      <c r="X569" s="155"/>
      <c r="Y569" s="155"/>
      <c r="Z569" s="155"/>
      <c r="AA569" s="155"/>
      <c r="AB569" s="206"/>
      <c r="AC569" s="155"/>
      <c r="AD569" s="155"/>
      <c r="AE569" s="155"/>
      <c r="AF569" s="155"/>
      <c r="AG569" s="206"/>
      <c r="AH569" s="155"/>
      <c r="AI569" s="155"/>
      <c r="AJ569" s="155"/>
      <c r="AK569" s="155"/>
    </row>
    <row r="570" spans="3:37" ht="12.75" customHeight="1">
      <c r="C570" s="206"/>
      <c r="D570" s="155"/>
      <c r="E570" s="155"/>
      <c r="F570" s="155"/>
      <c r="G570" s="155"/>
      <c r="H570" s="206"/>
      <c r="I570" s="155"/>
      <c r="J570" s="155"/>
      <c r="K570" s="155"/>
      <c r="L570" s="155"/>
      <c r="M570" s="206"/>
      <c r="N570" s="155"/>
      <c r="O570" s="155"/>
      <c r="P570" s="155"/>
      <c r="Q570" s="155"/>
      <c r="R570" s="206"/>
      <c r="S570" s="1239"/>
      <c r="T570" s="155"/>
      <c r="U570" s="155"/>
      <c r="V570" s="155"/>
      <c r="W570" s="206"/>
      <c r="X570" s="155"/>
      <c r="Y570" s="155"/>
      <c r="Z570" s="155"/>
      <c r="AA570" s="155"/>
      <c r="AB570" s="206"/>
      <c r="AC570" s="155"/>
      <c r="AD570" s="155"/>
      <c r="AE570" s="155"/>
      <c r="AF570" s="155"/>
      <c r="AG570" s="206"/>
      <c r="AH570" s="155"/>
      <c r="AI570" s="155"/>
      <c r="AJ570" s="155"/>
      <c r="AK570" s="155"/>
    </row>
    <row r="571" spans="3:37" ht="12.75" customHeight="1">
      <c r="C571" s="206"/>
      <c r="D571" s="155"/>
      <c r="E571" s="155"/>
      <c r="F571" s="155"/>
      <c r="G571" s="155"/>
      <c r="H571" s="206"/>
      <c r="I571" s="155"/>
      <c r="J571" s="155"/>
      <c r="K571" s="155"/>
      <c r="L571" s="155"/>
      <c r="M571" s="206"/>
      <c r="N571" s="155"/>
      <c r="O571" s="155"/>
      <c r="P571" s="155"/>
      <c r="Q571" s="155"/>
      <c r="R571" s="206"/>
      <c r="S571" s="1239"/>
      <c r="T571" s="155"/>
      <c r="U571" s="155"/>
      <c r="V571" s="155"/>
      <c r="W571" s="206"/>
      <c r="X571" s="155"/>
      <c r="Y571" s="155"/>
      <c r="Z571" s="155"/>
      <c r="AA571" s="155"/>
      <c r="AB571" s="206"/>
      <c r="AC571" s="155"/>
      <c r="AD571" s="155"/>
      <c r="AE571" s="155"/>
      <c r="AF571" s="155"/>
      <c r="AG571" s="206"/>
      <c r="AH571" s="155"/>
      <c r="AI571" s="155"/>
      <c r="AJ571" s="155"/>
      <c r="AK571" s="155"/>
    </row>
    <row r="572" spans="3:37" ht="12.75" customHeight="1">
      <c r="C572" s="206"/>
      <c r="D572" s="155"/>
      <c r="E572" s="155"/>
      <c r="F572" s="155"/>
      <c r="G572" s="155"/>
      <c r="H572" s="206"/>
      <c r="I572" s="155"/>
      <c r="J572" s="155"/>
      <c r="K572" s="155"/>
      <c r="L572" s="155"/>
      <c r="M572" s="206"/>
      <c r="N572" s="155"/>
      <c r="O572" s="155"/>
      <c r="P572" s="155"/>
      <c r="Q572" s="155"/>
      <c r="R572" s="206"/>
      <c r="S572" s="1239"/>
      <c r="T572" s="155"/>
      <c r="U572" s="155"/>
      <c r="V572" s="155"/>
      <c r="W572" s="206"/>
      <c r="X572" s="155"/>
      <c r="Y572" s="155"/>
      <c r="Z572" s="155"/>
      <c r="AA572" s="155"/>
      <c r="AB572" s="206"/>
      <c r="AC572" s="155"/>
      <c r="AD572" s="155"/>
      <c r="AE572" s="155"/>
      <c r="AF572" s="155"/>
      <c r="AG572" s="206"/>
      <c r="AH572" s="155"/>
      <c r="AI572" s="155"/>
      <c r="AJ572" s="155"/>
      <c r="AK572" s="155"/>
    </row>
    <row r="573" spans="3:37" ht="12.75" customHeight="1">
      <c r="C573" s="206"/>
      <c r="D573" s="155"/>
      <c r="E573" s="155"/>
      <c r="F573" s="155"/>
      <c r="G573" s="155"/>
      <c r="H573" s="206"/>
      <c r="I573" s="155"/>
      <c r="J573" s="155"/>
      <c r="K573" s="155"/>
      <c r="L573" s="155"/>
      <c r="M573" s="206"/>
      <c r="N573" s="155"/>
      <c r="O573" s="155"/>
      <c r="P573" s="155"/>
      <c r="Q573" s="155"/>
      <c r="R573" s="206"/>
      <c r="S573" s="1239"/>
      <c r="T573" s="155"/>
      <c r="U573" s="155"/>
      <c r="V573" s="155"/>
      <c r="W573" s="206"/>
      <c r="X573" s="155"/>
      <c r="Y573" s="155"/>
      <c r="Z573" s="155"/>
      <c r="AA573" s="155"/>
      <c r="AB573" s="206"/>
      <c r="AC573" s="155"/>
      <c r="AD573" s="155"/>
      <c r="AE573" s="155"/>
      <c r="AF573" s="155"/>
      <c r="AG573" s="206"/>
      <c r="AH573" s="155"/>
      <c r="AI573" s="155"/>
      <c r="AJ573" s="155"/>
      <c r="AK573" s="155"/>
    </row>
    <row r="574" spans="3:37" ht="12.75" customHeight="1">
      <c r="C574" s="206"/>
      <c r="D574" s="155"/>
      <c r="E574" s="155"/>
      <c r="F574" s="155"/>
      <c r="G574" s="155"/>
      <c r="H574" s="206"/>
      <c r="I574" s="155"/>
      <c r="J574" s="155"/>
      <c r="K574" s="155"/>
      <c r="L574" s="155"/>
      <c r="M574" s="206"/>
      <c r="N574" s="155"/>
      <c r="O574" s="155"/>
      <c r="P574" s="155"/>
      <c r="Q574" s="155"/>
      <c r="R574" s="206"/>
      <c r="S574" s="1239"/>
      <c r="T574" s="155"/>
      <c r="U574" s="155"/>
      <c r="V574" s="155"/>
      <c r="W574" s="206"/>
      <c r="X574" s="155"/>
      <c r="Y574" s="155"/>
      <c r="Z574" s="155"/>
      <c r="AA574" s="155"/>
      <c r="AB574" s="206"/>
      <c r="AC574" s="155"/>
      <c r="AD574" s="155"/>
      <c r="AE574" s="155"/>
      <c r="AF574" s="155"/>
      <c r="AG574" s="206"/>
      <c r="AH574" s="155"/>
      <c r="AI574" s="155"/>
      <c r="AJ574" s="155"/>
      <c r="AK574" s="155"/>
    </row>
    <row r="575" spans="3:37" ht="12.75" customHeight="1">
      <c r="C575" s="206"/>
      <c r="D575" s="155"/>
      <c r="E575" s="155"/>
      <c r="F575" s="155"/>
      <c r="G575" s="155"/>
      <c r="H575" s="206"/>
      <c r="I575" s="155"/>
      <c r="J575" s="155"/>
      <c r="K575" s="155"/>
      <c r="L575" s="155"/>
      <c r="M575" s="206"/>
      <c r="N575" s="155"/>
      <c r="O575" s="155"/>
      <c r="P575" s="155"/>
      <c r="Q575" s="155"/>
      <c r="R575" s="206"/>
      <c r="S575" s="1239"/>
      <c r="T575" s="155"/>
      <c r="U575" s="155"/>
      <c r="V575" s="155"/>
      <c r="W575" s="206"/>
      <c r="X575" s="155"/>
      <c r="Y575" s="155"/>
      <c r="Z575" s="155"/>
      <c r="AA575" s="155"/>
      <c r="AB575" s="206"/>
      <c r="AC575" s="155"/>
      <c r="AD575" s="155"/>
      <c r="AE575" s="155"/>
      <c r="AF575" s="155"/>
      <c r="AG575" s="206"/>
      <c r="AH575" s="155"/>
      <c r="AI575" s="155"/>
      <c r="AJ575" s="155"/>
      <c r="AK575" s="155"/>
    </row>
    <row r="576" spans="3:37" ht="12.75" customHeight="1">
      <c r="C576" s="206"/>
      <c r="D576" s="155"/>
      <c r="E576" s="155"/>
      <c r="F576" s="155"/>
      <c r="G576" s="155"/>
      <c r="H576" s="206"/>
      <c r="I576" s="155"/>
      <c r="J576" s="155"/>
      <c r="K576" s="155"/>
      <c r="L576" s="155"/>
      <c r="M576" s="206"/>
      <c r="N576" s="155"/>
      <c r="O576" s="155"/>
      <c r="P576" s="155"/>
      <c r="Q576" s="155"/>
      <c r="R576" s="206"/>
      <c r="S576" s="1239"/>
      <c r="T576" s="155"/>
      <c r="U576" s="155"/>
      <c r="V576" s="155"/>
      <c r="W576" s="206"/>
      <c r="X576" s="155"/>
      <c r="Y576" s="155"/>
      <c r="Z576" s="155"/>
      <c r="AA576" s="155"/>
      <c r="AB576" s="206"/>
      <c r="AC576" s="155"/>
      <c r="AD576" s="155"/>
      <c r="AE576" s="155"/>
      <c r="AF576" s="155"/>
      <c r="AG576" s="206"/>
      <c r="AH576" s="155"/>
      <c r="AI576" s="155"/>
      <c r="AJ576" s="155"/>
      <c r="AK576" s="155"/>
    </row>
    <row r="577" spans="3:37" ht="12.75" customHeight="1">
      <c r="C577" s="206"/>
      <c r="D577" s="155"/>
      <c r="E577" s="155"/>
      <c r="F577" s="155"/>
      <c r="G577" s="155"/>
      <c r="H577" s="206"/>
      <c r="I577" s="155"/>
      <c r="J577" s="155"/>
      <c r="K577" s="155"/>
      <c r="L577" s="155"/>
      <c r="M577" s="206"/>
      <c r="N577" s="155"/>
      <c r="O577" s="155"/>
      <c r="P577" s="155"/>
      <c r="Q577" s="155"/>
      <c r="R577" s="206"/>
      <c r="S577" s="1239"/>
      <c r="T577" s="155"/>
      <c r="U577" s="155"/>
      <c r="V577" s="155"/>
      <c r="W577" s="206"/>
      <c r="X577" s="155"/>
      <c r="Y577" s="155"/>
      <c r="Z577" s="155"/>
      <c r="AA577" s="155"/>
      <c r="AB577" s="206"/>
      <c r="AC577" s="155"/>
      <c r="AD577" s="155"/>
      <c r="AE577" s="155"/>
      <c r="AF577" s="155"/>
      <c r="AG577" s="206"/>
      <c r="AH577" s="155"/>
      <c r="AI577" s="155"/>
      <c r="AJ577" s="155"/>
      <c r="AK577" s="155"/>
    </row>
    <row r="578" spans="3:37" ht="12.75" customHeight="1">
      <c r="C578" s="206"/>
      <c r="D578" s="155"/>
      <c r="E578" s="155"/>
      <c r="F578" s="155"/>
      <c r="G578" s="155"/>
      <c r="H578" s="206"/>
      <c r="I578" s="155"/>
      <c r="J578" s="155"/>
      <c r="K578" s="155"/>
      <c r="L578" s="155"/>
      <c r="M578" s="206"/>
      <c r="N578" s="155"/>
      <c r="O578" s="155"/>
      <c r="P578" s="155"/>
      <c r="Q578" s="155"/>
      <c r="R578" s="206"/>
      <c r="S578" s="1239"/>
      <c r="T578" s="155"/>
      <c r="U578" s="155"/>
      <c r="V578" s="155"/>
      <c r="W578" s="206"/>
      <c r="X578" s="155"/>
      <c r="Y578" s="155"/>
      <c r="Z578" s="155"/>
      <c r="AA578" s="155"/>
      <c r="AB578" s="206"/>
      <c r="AC578" s="155"/>
      <c r="AD578" s="155"/>
      <c r="AE578" s="155"/>
      <c r="AF578" s="155"/>
      <c r="AG578" s="206"/>
      <c r="AH578" s="155"/>
      <c r="AI578" s="155"/>
      <c r="AJ578" s="155"/>
      <c r="AK578" s="155"/>
    </row>
    <row r="579" spans="3:37" ht="12.75" customHeight="1">
      <c r="C579" s="206"/>
      <c r="D579" s="155"/>
      <c r="E579" s="155"/>
      <c r="F579" s="155"/>
      <c r="G579" s="155"/>
      <c r="H579" s="206"/>
      <c r="I579" s="155"/>
      <c r="J579" s="155"/>
      <c r="K579" s="155"/>
      <c r="L579" s="155"/>
      <c r="M579" s="206"/>
      <c r="N579" s="155"/>
      <c r="O579" s="155"/>
      <c r="P579" s="155"/>
      <c r="Q579" s="155"/>
      <c r="R579" s="206"/>
      <c r="S579" s="1239"/>
      <c r="T579" s="155"/>
      <c r="U579" s="155"/>
      <c r="V579" s="155"/>
      <c r="W579" s="206"/>
      <c r="X579" s="155"/>
      <c r="Y579" s="155"/>
      <c r="Z579" s="155"/>
      <c r="AA579" s="155"/>
      <c r="AB579" s="206"/>
      <c r="AC579" s="155"/>
      <c r="AD579" s="155"/>
      <c r="AE579" s="155"/>
      <c r="AF579" s="155"/>
      <c r="AG579" s="206"/>
      <c r="AH579" s="155"/>
      <c r="AI579" s="155"/>
      <c r="AJ579" s="155"/>
      <c r="AK579" s="155"/>
    </row>
    <row r="580" spans="3:37" ht="12.75" customHeight="1">
      <c r="C580" s="206"/>
      <c r="D580" s="155"/>
      <c r="E580" s="155"/>
      <c r="F580" s="155"/>
      <c r="G580" s="155"/>
      <c r="H580" s="206"/>
      <c r="I580" s="155"/>
      <c r="J580" s="155"/>
      <c r="K580" s="155"/>
      <c r="L580" s="155"/>
      <c r="M580" s="206"/>
      <c r="N580" s="155"/>
      <c r="O580" s="155"/>
      <c r="P580" s="155"/>
      <c r="Q580" s="155"/>
      <c r="R580" s="206"/>
      <c r="S580" s="1239"/>
      <c r="T580" s="155"/>
      <c r="U580" s="155"/>
      <c r="V580" s="155"/>
      <c r="W580" s="206"/>
      <c r="X580" s="155"/>
      <c r="Y580" s="155"/>
      <c r="Z580" s="155"/>
      <c r="AA580" s="155"/>
      <c r="AB580" s="206"/>
      <c r="AC580" s="155"/>
      <c r="AD580" s="155"/>
      <c r="AE580" s="155"/>
      <c r="AF580" s="155"/>
      <c r="AG580" s="206"/>
      <c r="AH580" s="155"/>
      <c r="AI580" s="155"/>
      <c r="AJ580" s="155"/>
      <c r="AK580" s="155"/>
    </row>
    <row r="581" spans="3:37" ht="12.75" customHeight="1">
      <c r="C581" s="206"/>
      <c r="D581" s="155"/>
      <c r="E581" s="155"/>
      <c r="F581" s="155"/>
      <c r="G581" s="155"/>
      <c r="H581" s="206"/>
      <c r="I581" s="155"/>
      <c r="J581" s="155"/>
      <c r="K581" s="155"/>
      <c r="L581" s="155"/>
      <c r="M581" s="206"/>
      <c r="N581" s="155"/>
      <c r="O581" s="155"/>
      <c r="P581" s="155"/>
      <c r="Q581" s="155"/>
      <c r="R581" s="206"/>
      <c r="S581" s="1239"/>
      <c r="T581" s="155"/>
      <c r="U581" s="155"/>
      <c r="V581" s="155"/>
      <c r="W581" s="206"/>
      <c r="X581" s="155"/>
      <c r="Y581" s="155"/>
      <c r="Z581" s="155"/>
      <c r="AA581" s="155"/>
      <c r="AB581" s="206"/>
      <c r="AC581" s="155"/>
      <c r="AD581" s="155"/>
      <c r="AE581" s="155"/>
      <c r="AF581" s="155"/>
      <c r="AG581" s="206"/>
      <c r="AH581" s="155"/>
      <c r="AI581" s="155"/>
      <c r="AJ581" s="155"/>
      <c r="AK581" s="155"/>
    </row>
    <row r="582" spans="3:37" ht="12.75" customHeight="1">
      <c r="C582" s="206"/>
      <c r="D582" s="155"/>
      <c r="E582" s="155"/>
      <c r="F582" s="155"/>
      <c r="G582" s="155"/>
      <c r="H582" s="206"/>
      <c r="I582" s="155"/>
      <c r="J582" s="155"/>
      <c r="K582" s="155"/>
      <c r="L582" s="155"/>
      <c r="M582" s="206"/>
      <c r="N582" s="155"/>
      <c r="O582" s="155"/>
      <c r="P582" s="155"/>
      <c r="Q582" s="155"/>
      <c r="R582" s="206"/>
      <c r="S582" s="1239"/>
      <c r="T582" s="155"/>
      <c r="U582" s="155"/>
      <c r="V582" s="155"/>
      <c r="W582" s="206"/>
      <c r="X582" s="155"/>
      <c r="Y582" s="155"/>
      <c r="Z582" s="155"/>
      <c r="AA582" s="155"/>
      <c r="AB582" s="206"/>
      <c r="AC582" s="155"/>
      <c r="AD582" s="155"/>
      <c r="AE582" s="155"/>
      <c r="AF582" s="155"/>
      <c r="AG582" s="206"/>
      <c r="AH582" s="155"/>
      <c r="AI582" s="155"/>
      <c r="AJ582" s="155"/>
      <c r="AK582" s="155"/>
    </row>
    <row r="583" spans="3:37" ht="12.75" customHeight="1">
      <c r="C583" s="220"/>
      <c r="D583" s="220"/>
      <c r="E583" s="220"/>
      <c r="F583" s="220"/>
      <c r="G583" s="220"/>
      <c r="H583" s="220"/>
      <c r="I583" s="220"/>
      <c r="J583" s="220"/>
      <c r="K583" s="220"/>
      <c r="L583" s="220"/>
      <c r="M583" s="220"/>
      <c r="N583" s="220"/>
      <c r="O583" s="220"/>
      <c r="P583" s="220"/>
      <c r="Q583" s="220"/>
      <c r="R583" s="220"/>
      <c r="S583" s="1274"/>
      <c r="T583" s="220"/>
      <c r="U583" s="220"/>
      <c r="V583" s="220"/>
      <c r="W583" s="220"/>
      <c r="X583" s="220"/>
      <c r="Y583" s="220"/>
      <c r="Z583" s="220"/>
      <c r="AA583" s="220"/>
      <c r="AB583" s="220"/>
      <c r="AC583" s="220"/>
      <c r="AD583" s="220"/>
      <c r="AE583" s="220"/>
      <c r="AF583" s="220"/>
      <c r="AG583" s="220"/>
      <c r="AH583" s="220"/>
      <c r="AI583" s="220"/>
      <c r="AJ583" s="220"/>
      <c r="AK583" s="220"/>
    </row>
    <row r="584" spans="3:37" ht="12.75" customHeight="1">
      <c r="C584" s="101"/>
      <c r="D584" s="101"/>
      <c r="E584" s="101"/>
      <c r="F584" s="101"/>
      <c r="G584" s="101"/>
      <c r="H584" s="101"/>
      <c r="I584" s="101"/>
      <c r="J584" s="101"/>
      <c r="K584" s="101"/>
      <c r="L584" s="101"/>
      <c r="M584" s="101"/>
      <c r="N584" s="101"/>
      <c r="O584" s="101"/>
      <c r="P584" s="101"/>
      <c r="Q584" s="101"/>
      <c r="R584" s="101"/>
      <c r="S584" s="686"/>
      <c r="T584" s="101"/>
      <c r="U584" s="101"/>
      <c r="V584" s="101"/>
      <c r="W584" s="101"/>
      <c r="X584" s="101"/>
      <c r="Y584" s="101"/>
      <c r="Z584" s="101"/>
      <c r="AA584" s="101"/>
      <c r="AB584" s="101"/>
      <c r="AC584" s="101"/>
      <c r="AD584" s="101"/>
      <c r="AE584" s="101"/>
      <c r="AF584" s="101"/>
      <c r="AG584" s="101"/>
      <c r="AH584" s="101"/>
      <c r="AI584" s="101"/>
      <c r="AJ584" s="101"/>
      <c r="AK584" s="101"/>
    </row>
    <row r="585" spans="3:37" ht="12.75" customHeight="1">
      <c r="C585" s="206"/>
      <c r="D585" s="155"/>
      <c r="E585" s="155"/>
      <c r="F585" s="155"/>
      <c r="G585" s="155"/>
      <c r="H585" s="206"/>
      <c r="I585" s="155"/>
      <c r="J585" s="155"/>
      <c r="K585" s="155"/>
      <c r="L585" s="155"/>
      <c r="M585" s="206"/>
      <c r="N585" s="155"/>
      <c r="O585" s="155"/>
      <c r="P585" s="155"/>
      <c r="Q585" s="155"/>
      <c r="R585" s="206"/>
      <c r="S585" s="1239"/>
      <c r="T585" s="155"/>
      <c r="U585" s="155"/>
      <c r="V585" s="155"/>
      <c r="W585" s="206"/>
      <c r="X585" s="155"/>
      <c r="Y585" s="155"/>
      <c r="Z585" s="155"/>
      <c r="AA585" s="155"/>
      <c r="AB585" s="206"/>
      <c r="AC585" s="155"/>
      <c r="AD585" s="155"/>
      <c r="AE585" s="155"/>
      <c r="AF585" s="155"/>
      <c r="AG585" s="206"/>
      <c r="AH585" s="155"/>
      <c r="AI585" s="155"/>
      <c r="AJ585" s="155"/>
      <c r="AK585" s="155"/>
    </row>
    <row r="586" spans="3:37" ht="12.75" customHeight="1">
      <c r="C586" s="220"/>
      <c r="D586" s="220"/>
      <c r="E586" s="220"/>
      <c r="F586" s="220"/>
      <c r="G586" s="220"/>
      <c r="H586" s="220"/>
      <c r="I586" s="220"/>
      <c r="J586" s="220"/>
      <c r="K586" s="220"/>
      <c r="L586" s="220"/>
      <c r="M586" s="220"/>
      <c r="N586" s="220"/>
      <c r="O586" s="220"/>
      <c r="P586" s="220"/>
      <c r="Q586" s="220"/>
      <c r="R586" s="220"/>
      <c r="S586" s="1274"/>
      <c r="T586" s="220"/>
      <c r="U586" s="220"/>
      <c r="V586" s="220"/>
      <c r="W586" s="220"/>
      <c r="X586" s="220"/>
      <c r="Y586" s="220"/>
      <c r="Z586" s="220"/>
      <c r="AA586" s="220"/>
      <c r="AB586" s="220"/>
      <c r="AC586" s="220"/>
      <c r="AD586" s="220"/>
      <c r="AE586" s="220"/>
      <c r="AF586" s="220"/>
      <c r="AG586" s="220"/>
      <c r="AH586" s="220"/>
      <c r="AI586" s="220"/>
      <c r="AJ586" s="220"/>
      <c r="AK586" s="220"/>
    </row>
    <row r="587" spans="3:37" ht="12.75" customHeight="1">
      <c r="C587" s="101"/>
      <c r="D587" s="101"/>
      <c r="E587" s="101"/>
      <c r="F587" s="101"/>
      <c r="G587" s="101"/>
      <c r="H587" s="101"/>
      <c r="I587" s="101"/>
      <c r="J587" s="101"/>
      <c r="K587" s="101"/>
      <c r="L587" s="101"/>
      <c r="M587" s="101"/>
      <c r="N587" s="101"/>
      <c r="O587" s="101"/>
      <c r="P587" s="101"/>
      <c r="Q587" s="101"/>
      <c r="R587" s="101"/>
      <c r="S587" s="686"/>
      <c r="T587" s="101"/>
      <c r="U587" s="101"/>
      <c r="V587" s="101"/>
      <c r="W587" s="101"/>
      <c r="X587" s="101"/>
      <c r="Y587" s="101"/>
      <c r="Z587" s="101"/>
      <c r="AA587" s="101"/>
      <c r="AB587" s="101"/>
      <c r="AC587" s="101"/>
      <c r="AD587" s="101"/>
      <c r="AE587" s="101"/>
      <c r="AF587" s="101"/>
      <c r="AG587" s="101"/>
      <c r="AH587" s="101"/>
      <c r="AI587" s="101"/>
      <c r="AJ587" s="101"/>
      <c r="AK587" s="101"/>
    </row>
    <row r="588" spans="3:37" ht="12.75" customHeight="1">
      <c r="C588" s="101"/>
      <c r="D588" s="101"/>
      <c r="E588" s="101"/>
      <c r="F588" s="101"/>
      <c r="G588" s="101"/>
      <c r="H588" s="101"/>
      <c r="I588" s="101"/>
      <c r="J588" s="101"/>
      <c r="K588" s="101"/>
      <c r="L588" s="101"/>
      <c r="M588" s="101"/>
      <c r="N588" s="101"/>
      <c r="O588" s="101"/>
      <c r="P588" s="101"/>
      <c r="Q588" s="101"/>
      <c r="R588" s="101"/>
      <c r="S588" s="686"/>
      <c r="T588" s="101"/>
      <c r="U588" s="101"/>
      <c r="V588" s="101"/>
      <c r="W588" s="101"/>
      <c r="X588" s="101"/>
      <c r="Y588" s="101"/>
      <c r="Z588" s="101"/>
      <c r="AA588" s="101"/>
      <c r="AB588" s="101"/>
      <c r="AC588" s="101"/>
      <c r="AD588" s="101"/>
      <c r="AE588" s="101"/>
      <c r="AF588" s="101"/>
      <c r="AG588" s="101"/>
      <c r="AH588" s="101"/>
      <c r="AI588" s="101"/>
      <c r="AJ588" s="101"/>
      <c r="AK588" s="101"/>
    </row>
    <row r="589" spans="3:37" ht="12.75" customHeight="1">
      <c r="C589" s="164"/>
      <c r="D589" s="164"/>
      <c r="E589" s="164"/>
      <c r="F589" s="164"/>
      <c r="G589" s="164"/>
      <c r="H589" s="164"/>
      <c r="I589" s="164"/>
      <c r="J589" s="164"/>
      <c r="K589" s="164"/>
      <c r="L589" s="164"/>
      <c r="M589" s="164"/>
      <c r="N589" s="164"/>
      <c r="O589" s="164"/>
      <c r="P589" s="164"/>
      <c r="Q589" s="164"/>
      <c r="R589" s="164"/>
      <c r="S589" s="1275"/>
      <c r="T589" s="164"/>
      <c r="U589" s="164"/>
      <c r="V589" s="164"/>
      <c r="W589" s="164"/>
      <c r="X589" s="164"/>
      <c r="Y589" s="164"/>
      <c r="Z589" s="164"/>
      <c r="AA589" s="164"/>
      <c r="AB589" s="164"/>
      <c r="AC589" s="164"/>
      <c r="AD589" s="164"/>
      <c r="AE589" s="164"/>
      <c r="AF589" s="164"/>
      <c r="AG589" s="164"/>
      <c r="AH589" s="164"/>
      <c r="AI589" s="164"/>
      <c r="AJ589" s="164"/>
      <c r="AK589" s="164"/>
    </row>
    <row r="590" spans="3:37" ht="12.75" customHeight="1">
      <c r="C590" s="101"/>
      <c r="D590" s="101"/>
      <c r="E590" s="101"/>
      <c r="F590" s="101"/>
      <c r="G590" s="101"/>
      <c r="H590" s="101"/>
      <c r="I590" s="101"/>
      <c r="J590" s="101"/>
      <c r="K590" s="101"/>
      <c r="L590" s="101"/>
      <c r="M590" s="101"/>
      <c r="N590" s="101"/>
      <c r="O590" s="101"/>
      <c r="P590" s="101"/>
      <c r="Q590" s="101"/>
      <c r="R590" s="101"/>
      <c r="S590" s="686"/>
      <c r="T590" s="101"/>
      <c r="U590" s="101"/>
      <c r="V590" s="101"/>
      <c r="W590" s="101"/>
      <c r="X590" s="101"/>
      <c r="Y590" s="101"/>
      <c r="Z590" s="101"/>
      <c r="AA590" s="101"/>
      <c r="AB590" s="101"/>
      <c r="AC590" s="101"/>
      <c r="AD590" s="101"/>
      <c r="AE590" s="101"/>
      <c r="AF590" s="101"/>
      <c r="AG590" s="101"/>
      <c r="AH590" s="101"/>
      <c r="AI590" s="101"/>
      <c r="AJ590" s="101"/>
      <c r="AK590" s="101"/>
    </row>
    <row r="591" spans="3:37" ht="12.75" customHeight="1">
      <c r="C591" s="101"/>
      <c r="D591" s="101"/>
      <c r="E591" s="101"/>
      <c r="F591" s="101"/>
      <c r="G591" s="101"/>
      <c r="H591" s="101"/>
      <c r="I591" s="101"/>
      <c r="J591" s="101"/>
      <c r="K591" s="101"/>
      <c r="L591" s="101"/>
      <c r="M591" s="101"/>
      <c r="N591" s="101"/>
      <c r="O591" s="101"/>
      <c r="P591" s="101"/>
      <c r="Q591" s="101"/>
      <c r="R591" s="101"/>
      <c r="S591" s="686"/>
      <c r="T591" s="101"/>
      <c r="U591" s="101"/>
      <c r="V591" s="101"/>
      <c r="W591" s="101"/>
      <c r="X591" s="101"/>
      <c r="Y591" s="101"/>
      <c r="Z591" s="101"/>
      <c r="AA591" s="101"/>
      <c r="AB591" s="101"/>
      <c r="AC591" s="101"/>
      <c r="AD591" s="101"/>
      <c r="AE591" s="101"/>
      <c r="AF591" s="101"/>
      <c r="AG591" s="101"/>
      <c r="AH591" s="101"/>
      <c r="AI591" s="101"/>
      <c r="AJ591" s="101"/>
      <c r="AK591" s="101"/>
    </row>
    <row r="592" spans="3:37" ht="12.75" customHeight="1">
      <c r="C592" s="206"/>
      <c r="D592" s="155"/>
      <c r="E592" s="155"/>
      <c r="F592" s="155"/>
      <c r="G592" s="155"/>
      <c r="H592" s="206"/>
      <c r="I592" s="155"/>
      <c r="J592" s="155"/>
      <c r="K592" s="155"/>
      <c r="L592" s="155"/>
      <c r="M592" s="206"/>
      <c r="N592" s="155"/>
      <c r="O592" s="155"/>
      <c r="P592" s="155"/>
      <c r="Q592" s="155"/>
      <c r="R592" s="206"/>
      <c r="S592" s="1239"/>
      <c r="T592" s="155"/>
      <c r="U592" s="155"/>
      <c r="V592" s="155"/>
      <c r="W592" s="206"/>
      <c r="X592" s="155"/>
      <c r="Y592" s="155"/>
      <c r="Z592" s="155"/>
      <c r="AA592" s="155"/>
      <c r="AB592" s="206"/>
      <c r="AC592" s="155"/>
      <c r="AD592" s="155"/>
      <c r="AE592" s="155"/>
      <c r="AF592" s="155"/>
      <c r="AG592" s="206"/>
      <c r="AH592" s="155"/>
      <c r="AI592" s="155"/>
      <c r="AJ592" s="155"/>
      <c r="AK592" s="155"/>
    </row>
  </sheetData>
  <pageMargins left="0.7" right="0.7" top="0.75" bottom="0.75" header="0.3" footer="0.3"/>
  <customProperties>
    <customPr name="Qube.Worksheet.Visibility" r:id="rId1"/>
  </customPropertie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D6BC9-63B1-44BC-B594-F02BA5234012}">
  <sheetPr codeName="Sheet15">
    <tabColor rgb="FF002060"/>
    <pageSetUpPr autoPageBreaks="0"/>
  </sheetPr>
  <dimension ref="A1:AK270"/>
  <sheetViews>
    <sheetView showGridLines="0" zoomScaleNormal="100" workbookViewId="0">
      <pane xSplit="6" ySplit="8" topLeftCell="R9" activePane="bottomRight" state="frozen"/>
      <selection pane="topRight" activeCell="G1" sqref="G1"/>
      <selection pane="bottomLeft" activeCell="A9" sqref="A9"/>
      <selection pane="bottomRight"/>
    </sheetView>
  </sheetViews>
  <sheetFormatPr defaultColWidth="9.140625" defaultRowHeight="12.75" outlineLevelRow="1" outlineLevelCol="1"/>
  <cols>
    <col min="1" max="1" width="3.7109375" style="416" customWidth="1"/>
    <col min="2" max="2" width="54.42578125" style="384" customWidth="1"/>
    <col min="3" max="3" width="14.85546875" style="296" bestFit="1" customWidth="1"/>
    <col min="4" max="4" width="15.42578125" style="297" bestFit="1" customWidth="1"/>
    <col min="5" max="5" width="7.28515625" style="297" bestFit="1" customWidth="1"/>
    <col min="6" max="6" width="13.5703125" style="297" bestFit="1" customWidth="1"/>
    <col min="7" max="7" width="11.85546875" style="250" customWidth="1"/>
    <col min="8" max="8" width="11.140625" style="296" hidden="1" customWidth="1" outlineLevel="1"/>
    <col min="9" max="11" width="11.140625" style="297" hidden="1" customWidth="1" outlineLevel="1"/>
    <col min="12" max="12" width="11.42578125" style="250" customWidth="1" collapsed="1"/>
    <col min="13" max="13" width="11.140625" style="296" hidden="1" customWidth="1" outlineLevel="1"/>
    <col min="14" max="16" width="11.140625" style="297" hidden="1" customWidth="1" outlineLevel="1"/>
    <col min="17" max="17" width="11.42578125" style="250" customWidth="1" collapsed="1"/>
    <col min="18" max="18" width="11.140625" style="296" customWidth="1" outlineLevel="1"/>
    <col min="19" max="21" width="11.140625" style="297" customWidth="1" outlineLevel="1"/>
    <col min="22" max="22" width="11.85546875" style="250" bestFit="1" customWidth="1"/>
    <col min="23" max="23" width="11.140625" style="296" customWidth="1" outlineLevel="1"/>
    <col min="24" max="26" width="11.140625" style="297" customWidth="1" outlineLevel="1"/>
    <col min="27" max="27" width="11.85546875" style="250" bestFit="1" customWidth="1"/>
    <col min="28" max="28" width="11.140625" style="296" customWidth="1" outlineLevel="1"/>
    <col min="29" max="31" width="11.140625" style="297" customWidth="1" outlineLevel="1"/>
    <col min="32" max="32" width="11.85546875" style="250" customWidth="1"/>
    <col min="33" max="33" width="11.140625" style="296" hidden="1" customWidth="1" outlineLevel="1"/>
    <col min="34" max="36" width="11.140625" style="297" hidden="1" customWidth="1" outlineLevel="1"/>
    <col min="37" max="37" width="11.85546875" style="250" customWidth="1" collapsed="1"/>
    <col min="38" max="16384" width="9.140625" style="248"/>
  </cols>
  <sheetData>
    <row r="1" spans="1:37" s="384" customFormat="1" ht="12.75" customHeight="1">
      <c r="A1" s="416"/>
      <c r="C1" s="753"/>
      <c r="D1" s="754"/>
      <c r="E1" s="754"/>
      <c r="F1" s="754"/>
      <c r="G1" s="755"/>
      <c r="H1" s="753"/>
      <c r="I1" s="754"/>
      <c r="J1" s="754"/>
      <c r="K1" s="754"/>
      <c r="L1" s="755"/>
      <c r="M1" s="753"/>
      <c r="N1" s="754"/>
      <c r="O1" s="754"/>
      <c r="P1" s="754"/>
      <c r="Q1" s="755"/>
      <c r="R1" s="753"/>
      <c r="S1" s="754"/>
      <c r="T1" s="754"/>
      <c r="U1" s="754"/>
      <c r="V1" s="755"/>
      <c r="W1" s="753"/>
      <c r="X1" s="754"/>
      <c r="Y1" s="754"/>
      <c r="Z1" s="754"/>
      <c r="AA1" s="755"/>
      <c r="AB1" s="753"/>
      <c r="AC1" s="754"/>
      <c r="AD1" s="754"/>
      <c r="AE1" s="754"/>
      <c r="AF1" s="755"/>
      <c r="AG1" s="753"/>
      <c r="AH1" s="754"/>
      <c r="AI1" s="754"/>
      <c r="AJ1" s="754"/>
      <c r="AK1" s="755"/>
    </row>
    <row r="2" spans="1:37" s="384" customFormat="1" ht="12.75" customHeight="1">
      <c r="A2" s="416"/>
      <c r="B2" s="475" t="s">
        <v>231</v>
      </c>
      <c r="C2" s="753"/>
      <c r="D2" s="754"/>
      <c r="E2" s="754"/>
      <c r="F2" s="754"/>
      <c r="G2" s="755"/>
      <c r="H2" s="753"/>
      <c r="I2" s="754"/>
      <c r="J2" s="754"/>
      <c r="K2" s="754"/>
      <c r="L2" s="755"/>
      <c r="M2" s="753"/>
      <c r="N2" s="754"/>
      <c r="O2" s="754"/>
      <c r="P2" s="754"/>
      <c r="Q2" s="756"/>
      <c r="R2" s="753"/>
      <c r="S2" s="754"/>
      <c r="T2" s="754"/>
      <c r="U2" s="754"/>
      <c r="V2" s="755"/>
      <c r="W2" s="753"/>
      <c r="X2" s="754"/>
      <c r="Y2" s="754"/>
      <c r="Z2" s="754"/>
      <c r="AA2" s="755"/>
      <c r="AB2" s="753"/>
      <c r="AC2" s="754"/>
      <c r="AD2" s="754"/>
      <c r="AE2" s="754"/>
      <c r="AF2" s="755"/>
      <c r="AG2" s="753"/>
      <c r="AH2" s="754"/>
      <c r="AI2" s="754"/>
      <c r="AJ2" s="754"/>
      <c r="AK2" s="755"/>
    </row>
    <row r="3" spans="1:37" s="384" customFormat="1" ht="12.75" customHeight="1">
      <c r="A3" s="416"/>
      <c r="B3" s="475" t="s">
        <v>169</v>
      </c>
      <c r="C3" s="753"/>
      <c r="D3" s="754"/>
      <c r="E3" s="754"/>
      <c r="F3" s="754"/>
      <c r="G3" s="755"/>
      <c r="H3" s="753"/>
      <c r="I3" s="754"/>
      <c r="J3" s="754"/>
      <c r="K3" s="754"/>
      <c r="L3" s="755"/>
      <c r="M3" s="753"/>
      <c r="N3" s="754"/>
      <c r="O3" s="754"/>
      <c r="P3" s="754"/>
      <c r="Q3" s="755"/>
      <c r="R3" s="1026"/>
      <c r="S3" s="1026"/>
      <c r="T3" s="1026"/>
      <c r="U3" s="1026"/>
      <c r="V3" s="1026"/>
      <c r="W3" s="715"/>
      <c r="X3" s="1026"/>
      <c r="Y3" s="1026"/>
      <c r="Z3" s="1026"/>
      <c r="AA3" s="1026"/>
      <c r="AB3" s="1026"/>
      <c r="AC3" s="1026"/>
      <c r="AD3" s="1026"/>
      <c r="AE3" s="1026"/>
      <c r="AF3" s="1026"/>
      <c r="AG3" s="1026"/>
      <c r="AH3" s="1026"/>
      <c r="AI3" s="1026"/>
      <c r="AJ3" s="1026"/>
      <c r="AK3" s="1026"/>
    </row>
    <row r="4" spans="1:37" s="384" customFormat="1" ht="12.75" customHeight="1">
      <c r="A4" s="416"/>
      <c r="B4" s="475" t="s">
        <v>24</v>
      </c>
      <c r="C4" s="753"/>
      <c r="D4" s="754"/>
      <c r="E4" s="754"/>
      <c r="F4" s="754"/>
      <c r="G4" s="755"/>
      <c r="H4" s="753"/>
      <c r="I4" s="754"/>
      <c r="J4" s="754"/>
      <c r="K4" s="754"/>
      <c r="L4" s="755"/>
      <c r="M4" s="748"/>
      <c r="N4" s="748"/>
      <c r="O4" s="748"/>
      <c r="P4" s="1027"/>
      <c r="Q4" s="749"/>
      <c r="R4" s="1069"/>
      <c r="S4" s="749"/>
      <c r="T4" s="749"/>
      <c r="U4" s="749"/>
      <c r="V4" s="749"/>
      <c r="W4" s="749"/>
      <c r="X4" s="749"/>
      <c r="Y4" s="749"/>
      <c r="Z4" s="749"/>
      <c r="AA4" s="749"/>
      <c r="AB4" s="749"/>
      <c r="AC4" s="749"/>
      <c r="AD4" s="749"/>
      <c r="AE4" s="749"/>
      <c r="AF4" s="755"/>
      <c r="AG4" s="749"/>
      <c r="AH4" s="749"/>
      <c r="AI4" s="749"/>
      <c r="AJ4" s="749"/>
      <c r="AK4" s="755"/>
    </row>
    <row r="5" spans="1:37" s="384" customFormat="1" ht="12.75" customHeight="1">
      <c r="A5" s="416"/>
      <c r="C5" s="757"/>
      <c r="D5" s="758"/>
      <c r="E5" s="758"/>
      <c r="F5" s="759"/>
      <c r="G5" s="755"/>
      <c r="H5" s="757"/>
      <c r="I5" s="758"/>
      <c r="J5" s="758"/>
      <c r="K5" s="759"/>
      <c r="L5" s="755"/>
      <c r="M5" s="753"/>
      <c r="N5" s="759"/>
      <c r="O5" s="759"/>
      <c r="P5" s="759"/>
      <c r="Q5" s="760"/>
      <c r="R5" s="757"/>
      <c r="S5" s="758"/>
      <c r="T5" s="758"/>
      <c r="U5" s="759"/>
      <c r="V5" s="755"/>
      <c r="W5" s="753"/>
      <c r="X5" s="759"/>
      <c r="Y5" s="759"/>
      <c r="Z5" s="759"/>
      <c r="AA5" s="760"/>
      <c r="AB5" s="757"/>
      <c r="AC5" s="758"/>
      <c r="AD5" s="758"/>
      <c r="AE5" s="759"/>
      <c r="AF5" s="762"/>
      <c r="AG5" s="757"/>
      <c r="AH5" s="758"/>
      <c r="AI5" s="758"/>
      <c r="AJ5" s="759"/>
      <c r="AK5" s="762"/>
    </row>
    <row r="6" spans="1:37" ht="12.75" customHeight="1">
      <c r="B6" s="1020"/>
      <c r="C6" s="427"/>
      <c r="D6" s="427"/>
      <c r="E6" s="427"/>
      <c r="F6" s="427"/>
      <c r="G6" s="89"/>
      <c r="H6" s="427" t="str">
        <f>Dates!H3</f>
        <v>2023 (A)</v>
      </c>
      <c r="I6" s="427"/>
      <c r="J6" s="427"/>
      <c r="K6" s="427"/>
      <c r="L6" s="89"/>
      <c r="M6" s="427" t="str">
        <f>Dates!M3</f>
        <v>2024 (A)</v>
      </c>
      <c r="N6" s="427"/>
      <c r="O6" s="427"/>
      <c r="P6" s="427"/>
      <c r="Q6" s="89"/>
      <c r="R6" s="427" t="str">
        <f>Dates!R3</f>
        <v>2025 (E)</v>
      </c>
      <c r="S6" s="427"/>
      <c r="T6" s="427"/>
      <c r="U6" s="427"/>
      <c r="V6" s="89"/>
      <c r="W6" s="427" t="str">
        <f>Dates!W3</f>
        <v>2026 (E)</v>
      </c>
      <c r="X6" s="427"/>
      <c r="Y6" s="427"/>
      <c r="Z6" s="427"/>
      <c r="AA6" s="89"/>
      <c r="AB6" s="427" t="str">
        <f>Dates!AB3</f>
        <v>2027 (E)</v>
      </c>
      <c r="AC6" s="427"/>
      <c r="AD6" s="427"/>
      <c r="AE6" s="427"/>
      <c r="AF6" s="89"/>
      <c r="AG6" s="427" t="str">
        <f>Dates!AG3</f>
        <v>2028 (E)</v>
      </c>
      <c r="AH6" s="427"/>
      <c r="AI6" s="427"/>
      <c r="AJ6" s="427"/>
      <c r="AK6" s="89"/>
    </row>
    <row r="7" spans="1:37" ht="12.75" customHeight="1">
      <c r="C7" s="428"/>
      <c r="D7" s="428"/>
      <c r="E7" s="428"/>
      <c r="F7" s="428"/>
      <c r="G7" s="92" t="str">
        <f>Dates!G4</f>
        <v>FY22 (A)</v>
      </c>
      <c r="H7" s="428" t="str">
        <f>Dates!H4</f>
        <v>1Q23 (A)</v>
      </c>
      <c r="I7" s="428" t="str">
        <f>Dates!I4</f>
        <v>2Q23 (A)</v>
      </c>
      <c r="J7" s="428" t="str">
        <f>Dates!J4</f>
        <v>3Q23 (A)</v>
      </c>
      <c r="K7" s="428" t="str">
        <f>Dates!K4</f>
        <v>4Q23 (A)</v>
      </c>
      <c r="L7" s="92" t="str">
        <f>Dates!L4</f>
        <v>FY23 (A)</v>
      </c>
      <c r="M7" s="428" t="str">
        <f>Dates!M4</f>
        <v>1Q24 (A)</v>
      </c>
      <c r="N7" s="428" t="str">
        <f>Dates!N4</f>
        <v>2Q24 (A)</v>
      </c>
      <c r="O7" s="428" t="str">
        <f>Dates!O4</f>
        <v>3Q24 (A)</v>
      </c>
      <c r="P7" s="428" t="str">
        <f>Dates!P4</f>
        <v>4Q24 (A)</v>
      </c>
      <c r="Q7" s="92" t="str">
        <f>Dates!Q4</f>
        <v>FY24 (A)</v>
      </c>
      <c r="R7" s="428" t="str">
        <f>Dates!R4</f>
        <v>1Q25 (A)</v>
      </c>
      <c r="S7" s="428" t="str">
        <f>Dates!S4</f>
        <v>2Q25 (A)</v>
      </c>
      <c r="T7" s="428" t="str">
        <f>Dates!T4</f>
        <v>3Q25 (A)</v>
      </c>
      <c r="U7" s="428" t="str">
        <f>Dates!U4</f>
        <v>4Q25 (E)</v>
      </c>
      <c r="V7" s="92" t="str">
        <f>Dates!V4</f>
        <v>FY25 (E)</v>
      </c>
      <c r="W7" s="428" t="str">
        <f>Dates!W4</f>
        <v>1Q26 (E)</v>
      </c>
      <c r="X7" s="428" t="str">
        <f>Dates!X4</f>
        <v>2Q26 (E)</v>
      </c>
      <c r="Y7" s="428" t="str">
        <f>Dates!Y4</f>
        <v>3Q26 (E)</v>
      </c>
      <c r="Z7" s="428" t="str">
        <f>Dates!Z4</f>
        <v>4Q26 (E)</v>
      </c>
      <c r="AA7" s="92" t="str">
        <f>Dates!AA4</f>
        <v>FY26 (E)</v>
      </c>
      <c r="AB7" s="428" t="str">
        <f>Dates!AB4</f>
        <v>1Q27 (E)</v>
      </c>
      <c r="AC7" s="428" t="str">
        <f>Dates!AC4</f>
        <v>2Q27 (E)</v>
      </c>
      <c r="AD7" s="428" t="str">
        <f>Dates!AD4</f>
        <v>3Q27 (E)</v>
      </c>
      <c r="AE7" s="428" t="str">
        <f>Dates!AE4</f>
        <v>4Q27 (E)</v>
      </c>
      <c r="AF7" s="92" t="str">
        <f>Dates!AF4</f>
        <v>FY27 (E)</v>
      </c>
      <c r="AG7" s="428" t="str">
        <f>Dates!AG4</f>
        <v>1Q28 (E)</v>
      </c>
      <c r="AH7" s="428" t="str">
        <f>Dates!AH4</f>
        <v>2Q28 (E)</v>
      </c>
      <c r="AI7" s="428" t="str">
        <f>Dates!AI4</f>
        <v>3Q28 (E)</v>
      </c>
      <c r="AJ7" s="428" t="str">
        <f>Dates!AJ4</f>
        <v>4Q28 (E)</v>
      </c>
      <c r="AK7" s="92" t="str">
        <f>Dates!AK4</f>
        <v>FY28 (E)</v>
      </c>
    </row>
    <row r="8" spans="1:37" ht="12.75" customHeight="1">
      <c r="C8" s="423"/>
      <c r="D8" s="423"/>
      <c r="E8" s="423"/>
      <c r="F8" s="423"/>
      <c r="G8" s="94">
        <f>Dates!G5</f>
        <v>44926</v>
      </c>
      <c r="H8" s="423">
        <f>Dates!H5</f>
        <v>45016</v>
      </c>
      <c r="I8" s="423">
        <f>Dates!I5</f>
        <v>45107</v>
      </c>
      <c r="J8" s="423">
        <f>Dates!J5</f>
        <v>45199</v>
      </c>
      <c r="K8" s="423">
        <f>Dates!K5</f>
        <v>45291</v>
      </c>
      <c r="L8" s="94">
        <f>Dates!L5</f>
        <v>45291</v>
      </c>
      <c r="M8" s="423">
        <f>Dates!M5</f>
        <v>45382</v>
      </c>
      <c r="N8" s="423">
        <f>Dates!N5</f>
        <v>45473</v>
      </c>
      <c r="O8" s="423">
        <f>Dates!O5</f>
        <v>45565</v>
      </c>
      <c r="P8" s="423">
        <f>Dates!P5</f>
        <v>45657</v>
      </c>
      <c r="Q8" s="94">
        <f>Dates!Q5</f>
        <v>45657</v>
      </c>
      <c r="R8" s="423">
        <f>Dates!R5</f>
        <v>45747</v>
      </c>
      <c r="S8" s="423">
        <f>Dates!S5</f>
        <v>45838</v>
      </c>
      <c r="T8" s="423">
        <f>Dates!T5</f>
        <v>45930</v>
      </c>
      <c r="U8" s="423">
        <f>Dates!U5</f>
        <v>46022</v>
      </c>
      <c r="V8" s="94">
        <f>Dates!V5</f>
        <v>46022</v>
      </c>
      <c r="W8" s="423">
        <f>Dates!W5</f>
        <v>46112</v>
      </c>
      <c r="X8" s="423">
        <f>Dates!X5</f>
        <v>46203</v>
      </c>
      <c r="Y8" s="423">
        <f>Dates!Y5</f>
        <v>46295</v>
      </c>
      <c r="Z8" s="423">
        <f>Dates!Z5</f>
        <v>46387</v>
      </c>
      <c r="AA8" s="94">
        <f>Dates!AA5</f>
        <v>46387</v>
      </c>
      <c r="AB8" s="423">
        <f>Dates!AB5</f>
        <v>46477</v>
      </c>
      <c r="AC8" s="423">
        <f>Dates!AC5</f>
        <v>46568</v>
      </c>
      <c r="AD8" s="423">
        <f>Dates!AD5</f>
        <v>46660</v>
      </c>
      <c r="AE8" s="423">
        <f>Dates!AE5</f>
        <v>46752</v>
      </c>
      <c r="AF8" s="94">
        <f>Dates!AF5</f>
        <v>46752</v>
      </c>
      <c r="AG8" s="423">
        <f>Dates!AG5</f>
        <v>46843</v>
      </c>
      <c r="AH8" s="423">
        <f>Dates!AH5</f>
        <v>46934</v>
      </c>
      <c r="AI8" s="423">
        <f>Dates!AI5</f>
        <v>47026</v>
      </c>
      <c r="AJ8" s="423">
        <f>Dates!AJ5</f>
        <v>47118</v>
      </c>
      <c r="AK8" s="94">
        <f>Dates!AK5</f>
        <v>47118</v>
      </c>
    </row>
    <row r="9" spans="1:37" s="470" customFormat="1" ht="12.75" customHeight="1">
      <c r="A9" s="548"/>
      <c r="B9" s="384"/>
      <c r="C9" s="718"/>
      <c r="D9" s="718"/>
      <c r="E9" s="718"/>
      <c r="F9" s="718"/>
      <c r="G9" s="719"/>
      <c r="H9" s="718"/>
      <c r="I9" s="718"/>
      <c r="J9" s="718"/>
      <c r="K9" s="718"/>
      <c r="L9" s="719"/>
      <c r="M9" s="718"/>
      <c r="N9" s="718"/>
      <c r="O9" s="718"/>
      <c r="P9" s="718"/>
      <c r="Q9" s="719"/>
      <c r="R9" s="1056"/>
      <c r="S9" s="1056"/>
      <c r="T9" s="1056"/>
      <c r="U9" s="1056"/>
      <c r="V9" s="1057"/>
      <c r="W9" s="1056"/>
      <c r="X9" s="1056"/>
      <c r="Y9" s="1056"/>
      <c r="Z9" s="1056"/>
      <c r="AA9" s="719"/>
      <c r="AB9" s="718"/>
      <c r="AC9" s="718"/>
      <c r="AD9" s="718"/>
      <c r="AE9" s="718"/>
      <c r="AF9" s="719"/>
      <c r="AG9" s="718"/>
      <c r="AH9" s="718"/>
      <c r="AI9" s="718"/>
      <c r="AJ9" s="718"/>
      <c r="AK9" s="719"/>
    </row>
    <row r="10" spans="1:37" s="492" customFormat="1" ht="12.75" customHeight="1">
      <c r="A10" s="1333" t="s">
        <v>150</v>
      </c>
      <c r="B10" s="441" t="s">
        <v>340</v>
      </c>
      <c r="C10" s="487"/>
      <c r="D10" s="487"/>
      <c r="E10" s="487"/>
      <c r="F10" s="487"/>
      <c r="G10" s="415"/>
      <c r="H10" s="487"/>
      <c r="I10" s="487"/>
      <c r="J10" s="487"/>
      <c r="K10" s="915">
        <f>BS!K70</f>
        <v>1523.2539999999999</v>
      </c>
      <c r="L10" s="415">
        <f>L221+L212+L89+L99+L137</f>
        <v>1555.049</v>
      </c>
      <c r="M10" s="915">
        <f>BS!M32+BS!M39</f>
        <v>2458.0812000000001</v>
      </c>
      <c r="N10" s="915">
        <f>BS!N32+BS!N39</f>
        <v>3282.5790000000002</v>
      </c>
      <c r="O10" s="487">
        <f>SUM(O14:O24)+O26</f>
        <v>4451.0720000000001</v>
      </c>
      <c r="P10" s="487">
        <f>SUM(P14:P24)+P26</f>
        <v>7926.3399999999992</v>
      </c>
      <c r="Q10" s="415">
        <f>SUM(Q14:Q26)</f>
        <v>7926.3399999999992</v>
      </c>
      <c r="R10" s="487">
        <f>SUM(R14:R24)+R26</f>
        <v>8711.6660000000011</v>
      </c>
      <c r="S10" s="487">
        <f>SUM(S14:S24)+S26</f>
        <v>11051.500999999998</v>
      </c>
      <c r="T10" s="487">
        <f>SUM(T14:T24)+T26</f>
        <v>14034.933999999999</v>
      </c>
      <c r="U10" s="487">
        <f t="shared" ref="U10:AK10" si="0">SUM(U14:U26)</f>
        <v>19475.545249999999</v>
      </c>
      <c r="V10" s="415">
        <f t="shared" si="0"/>
        <v>19475.545249999999</v>
      </c>
      <c r="W10" s="487">
        <f t="shared" si="0"/>
        <v>26436.652459999998</v>
      </c>
      <c r="X10" s="487">
        <f t="shared" si="0"/>
        <v>32185.436173400001</v>
      </c>
      <c r="Y10" s="487">
        <f t="shared" si="0"/>
        <v>34726.672463176998</v>
      </c>
      <c r="Z10" s="487">
        <f t="shared" si="0"/>
        <v>35141.739596122839</v>
      </c>
      <c r="AA10" s="415">
        <f t="shared" si="0"/>
        <v>35141.739596122839</v>
      </c>
      <c r="AB10" s="487">
        <f t="shared" si="0"/>
        <v>37970.570489971782</v>
      </c>
      <c r="AC10" s="487">
        <f t="shared" si="0"/>
        <v>42995.493188820728</v>
      </c>
      <c r="AD10" s="487">
        <f t="shared" si="0"/>
        <v>46447.265887669673</v>
      </c>
      <c r="AE10" s="487">
        <f t="shared" si="0"/>
        <v>47536.088586518621</v>
      </c>
      <c r="AF10" s="415">
        <f t="shared" si="0"/>
        <v>47536.088586518621</v>
      </c>
      <c r="AG10" s="487">
        <f t="shared" si="0"/>
        <v>50518.067721231942</v>
      </c>
      <c r="AH10" s="487">
        <f t="shared" si="0"/>
        <v>54509.31366094527</v>
      </c>
      <c r="AI10" s="487">
        <f t="shared" si="0"/>
        <v>57320.884600658595</v>
      </c>
      <c r="AJ10" s="487">
        <f t="shared" si="0"/>
        <v>58064.705540371921</v>
      </c>
      <c r="AK10" s="415">
        <f t="shared" si="0"/>
        <v>58064.705540371921</v>
      </c>
    </row>
    <row r="11" spans="1:37" s="298" customFormat="1" ht="12.75" customHeight="1">
      <c r="A11" s="1088" t="s">
        <v>595</v>
      </c>
      <c r="B11" s="433" t="s">
        <v>31</v>
      </c>
      <c r="C11" s="102"/>
      <c r="D11" s="102"/>
      <c r="E11" s="102"/>
      <c r="F11" s="102"/>
      <c r="G11" s="254"/>
      <c r="H11" s="102" t="str">
        <f t="shared" ref="H11:AK11" si="1">IFERROR(H10/C10-1,"")</f>
        <v/>
      </c>
      <c r="I11" s="102" t="str">
        <f t="shared" si="1"/>
        <v/>
      </c>
      <c r="J11" s="102" t="str">
        <f t="shared" si="1"/>
        <v/>
      </c>
      <c r="K11" s="291" t="str">
        <f t="shared" si="1"/>
        <v/>
      </c>
      <c r="L11" s="254" t="str">
        <f t="shared" si="1"/>
        <v/>
      </c>
      <c r="M11" s="102" t="str">
        <f t="shared" si="1"/>
        <v/>
      </c>
      <c r="N11" s="102" t="str">
        <f t="shared" si="1"/>
        <v/>
      </c>
      <c r="O11" s="102" t="str">
        <f t="shared" si="1"/>
        <v/>
      </c>
      <c r="P11" s="102">
        <f t="shared" si="1"/>
        <v>4.2035576469846783</v>
      </c>
      <c r="Q11" s="254">
        <f t="shared" si="1"/>
        <v>4.0971641408084238</v>
      </c>
      <c r="R11" s="102">
        <f t="shared" si="1"/>
        <v>2.544092034062992</v>
      </c>
      <c r="S11" s="102">
        <f t="shared" si="1"/>
        <v>2.3667128803297643</v>
      </c>
      <c r="T11" s="102">
        <f t="shared" si="1"/>
        <v>2.1531581605509862</v>
      </c>
      <c r="U11" s="102">
        <f t="shared" si="1"/>
        <v>1.4570665969413374</v>
      </c>
      <c r="V11" s="254">
        <f t="shared" si="1"/>
        <v>1.4570665969413374</v>
      </c>
      <c r="W11" s="102">
        <f t="shared" si="1"/>
        <v>2.0346264950929012</v>
      </c>
      <c r="X11" s="102">
        <f t="shared" si="1"/>
        <v>1.912313555724241</v>
      </c>
      <c r="Y11" s="102">
        <f t="shared" si="1"/>
        <v>1.4743025127996328</v>
      </c>
      <c r="Z11" s="102">
        <f t="shared" si="1"/>
        <v>0.8044033758758482</v>
      </c>
      <c r="AA11" s="254">
        <f t="shared" si="1"/>
        <v>0.8044033758758482</v>
      </c>
      <c r="AB11" s="102">
        <f t="shared" si="1"/>
        <v>0.43628511769495737</v>
      </c>
      <c r="AC11" s="102">
        <f t="shared" si="1"/>
        <v>0.33586796702649058</v>
      </c>
      <c r="AD11" s="102">
        <f t="shared" si="1"/>
        <v>0.33750983302304016</v>
      </c>
      <c r="AE11" s="102">
        <f t="shared" si="1"/>
        <v>0.35269594313888897</v>
      </c>
      <c r="AF11" s="254">
        <f t="shared" si="1"/>
        <v>0.35269594313888897</v>
      </c>
      <c r="AG11" s="102">
        <f t="shared" si="1"/>
        <v>0.33045321862030019</v>
      </c>
      <c r="AH11" s="102">
        <f t="shared" si="1"/>
        <v>0.26779133388608867</v>
      </c>
      <c r="AI11" s="102">
        <f t="shared" si="1"/>
        <v>0.23410675537471271</v>
      </c>
      <c r="AJ11" s="102">
        <f t="shared" si="1"/>
        <v>0.22148681700410755</v>
      </c>
      <c r="AK11" s="254">
        <f t="shared" si="1"/>
        <v>0.22148681700410755</v>
      </c>
    </row>
    <row r="12" spans="1:37" ht="12.75" customHeight="1">
      <c r="A12" s="1094" t="s">
        <v>596</v>
      </c>
      <c r="B12" s="433" t="s">
        <v>33</v>
      </c>
      <c r="C12" s="253"/>
      <c r="D12" s="102"/>
      <c r="E12" s="102"/>
      <c r="F12" s="102"/>
      <c r="G12" s="255"/>
      <c r="H12" s="616" t="str">
        <f>IFERROR(H10/F10-1,"")</f>
        <v/>
      </c>
      <c r="I12" s="291" t="str">
        <f>IFERROR(I10/H10-1,"")</f>
        <v/>
      </c>
      <c r="J12" s="291" t="str">
        <f>IFERROR(J10/I10-1,"")</f>
        <v/>
      </c>
      <c r="K12" s="291" t="str">
        <f>IFERROR(K10/J10-1,"")</f>
        <v/>
      </c>
      <c r="L12" s="255"/>
      <c r="M12" s="616">
        <f>IFERROR(M10/K10-1,"")</f>
        <v>0.61370408349493921</v>
      </c>
      <c r="N12" s="291">
        <f>IFERROR(N10/M10-1,"")</f>
        <v>0.33542333752033904</v>
      </c>
      <c r="O12" s="291">
        <f>IFERROR(O10/N10-1,"")</f>
        <v>0.35596797518049073</v>
      </c>
      <c r="P12" s="291">
        <f>IFERROR(P10/O10-1,"")</f>
        <v>0.78077101426353002</v>
      </c>
      <c r="Q12" s="255"/>
      <c r="R12" s="253">
        <f>IFERROR(R10/P10-1,"")</f>
        <v>9.9078010784296566E-2</v>
      </c>
      <c r="S12" s="102">
        <f>IFERROR(S10/R10-1,"")</f>
        <v>0.268586398973514</v>
      </c>
      <c r="T12" s="102">
        <f>IFERROR(T10/S10-1,"")</f>
        <v>0.26995726643828766</v>
      </c>
      <c r="U12" s="102">
        <f>IFERROR(U10/T10-1,"")</f>
        <v>0.38764779727499965</v>
      </c>
      <c r="V12" s="255"/>
      <c r="W12" s="253">
        <f>IFERROR(W10/U10-1,"")</f>
        <v>0.35742810384217605</v>
      </c>
      <c r="X12" s="102">
        <f>IFERROR(X10/W10-1,"")</f>
        <v>0.21745505495062978</v>
      </c>
      <c r="Y12" s="102">
        <f>IFERROR(Y10/X10-1,"")</f>
        <v>7.8956092938620159E-2</v>
      </c>
      <c r="Z12" s="102">
        <f>IFERROR(Z10/Y10-1,"")</f>
        <v>1.1952401526116985E-2</v>
      </c>
      <c r="AA12" s="255"/>
      <c r="AB12" s="253">
        <f>IFERROR(AB10/Z10-1,"")</f>
        <v>8.04977478736153E-2</v>
      </c>
      <c r="AC12" s="102">
        <f>IFERROR(AC10/AB10-1,"")</f>
        <v>0.13233729791276261</v>
      </c>
      <c r="AD12" s="102">
        <f>IFERROR(AD10/AC10-1,"")</f>
        <v>8.028219803619896E-2</v>
      </c>
      <c r="AE12" s="102">
        <f>IFERROR(AE10/AD10-1,"")</f>
        <v>2.3442126851604295E-2</v>
      </c>
      <c r="AF12" s="255"/>
      <c r="AG12" s="253">
        <f>IFERROR(AG10/AE10-1,"")</f>
        <v>6.2730847728162065E-2</v>
      </c>
      <c r="AH12" s="102">
        <f>IFERROR(AH10/AG10-1,"")</f>
        <v>7.9006306451342656E-2</v>
      </c>
      <c r="AI12" s="102">
        <f>IFERROR(AI10/AH10-1,"")</f>
        <v>5.1579643016634646E-2</v>
      </c>
      <c r="AJ12" s="102">
        <f>IFERROR(AJ10/AI10-1,"")</f>
        <v>1.2976438603405249E-2</v>
      </c>
      <c r="AK12" s="255"/>
    </row>
    <row r="13" spans="1:37" s="492" customFormat="1" ht="12.75" customHeight="1">
      <c r="A13" s="1333"/>
      <c r="B13" s="709"/>
      <c r="C13" s="893"/>
      <c r="D13" s="893"/>
      <c r="E13" s="893"/>
      <c r="F13" s="893"/>
      <c r="G13" s="894"/>
      <c r="H13" s="893"/>
      <c r="I13" s="893"/>
      <c r="J13" s="893"/>
      <c r="K13" s="1340"/>
      <c r="L13" s="894"/>
      <c r="M13" s="1340"/>
      <c r="N13" s="1340"/>
      <c r="O13" s="893"/>
      <c r="P13" s="893"/>
      <c r="Q13" s="894"/>
      <c r="R13" s="893"/>
      <c r="S13" s="893"/>
      <c r="T13" s="893"/>
      <c r="U13" s="893"/>
      <c r="V13" s="894"/>
      <c r="W13" s="893"/>
      <c r="X13" s="893"/>
      <c r="Y13" s="893"/>
      <c r="Z13" s="893"/>
      <c r="AA13" s="894"/>
      <c r="AB13" s="893"/>
      <c r="AC13" s="893"/>
      <c r="AD13" s="893"/>
      <c r="AE13" s="893"/>
      <c r="AF13" s="894"/>
      <c r="AG13" s="893"/>
      <c r="AH13" s="893"/>
      <c r="AI13" s="893"/>
      <c r="AJ13" s="893"/>
      <c r="AK13" s="894"/>
    </row>
    <row r="14" spans="1:37" s="492" customFormat="1" ht="12.75" customHeight="1">
      <c r="A14" s="1333"/>
      <c r="B14" s="714" t="s">
        <v>474</v>
      </c>
      <c r="C14" s="893"/>
      <c r="D14" s="893"/>
      <c r="E14" s="893"/>
      <c r="F14" s="893"/>
      <c r="G14" s="894"/>
      <c r="H14" s="893"/>
      <c r="I14" s="893"/>
      <c r="J14" s="893"/>
      <c r="K14" s="893"/>
      <c r="L14" s="894"/>
      <c r="M14" s="895">
        <f>M89</f>
        <v>2300</v>
      </c>
      <c r="N14" s="895">
        <f>N89</f>
        <v>2277</v>
      </c>
      <c r="O14" s="895">
        <f>O89</f>
        <v>2185</v>
      </c>
      <c r="P14" s="895">
        <f t="shared" ref="P14:AF14" si="2">P89</f>
        <v>2012.5</v>
      </c>
      <c r="Q14" s="896">
        <f t="shared" si="2"/>
        <v>2012.5</v>
      </c>
      <c r="R14" s="895">
        <f t="shared" si="2"/>
        <v>1897.5</v>
      </c>
      <c r="S14" s="895">
        <f>S89</f>
        <v>1782.5</v>
      </c>
      <c r="T14" s="895">
        <f>T89</f>
        <v>1667.5</v>
      </c>
      <c r="U14" s="895">
        <f t="shared" si="2"/>
        <v>1552.5</v>
      </c>
      <c r="V14" s="896">
        <f t="shared" si="2"/>
        <v>1552.5</v>
      </c>
      <c r="W14" s="895">
        <f t="shared" si="2"/>
        <v>1437.5</v>
      </c>
      <c r="X14" s="895">
        <f t="shared" si="2"/>
        <v>1299.5</v>
      </c>
      <c r="Y14" s="895">
        <f t="shared" si="2"/>
        <v>1138.5</v>
      </c>
      <c r="Z14" s="895">
        <f t="shared" si="2"/>
        <v>954.5</v>
      </c>
      <c r="AA14" s="896">
        <f t="shared" si="2"/>
        <v>954.5</v>
      </c>
      <c r="AB14" s="895">
        <f t="shared" si="2"/>
        <v>764.75</v>
      </c>
      <c r="AC14" s="895">
        <f t="shared" si="2"/>
        <v>575</v>
      </c>
      <c r="AD14" s="895">
        <f t="shared" si="2"/>
        <v>385.25</v>
      </c>
      <c r="AE14" s="895">
        <f t="shared" si="2"/>
        <v>195.5</v>
      </c>
      <c r="AF14" s="896">
        <f t="shared" si="2"/>
        <v>195.5</v>
      </c>
      <c r="AG14" s="895">
        <f>AG89</f>
        <v>0</v>
      </c>
      <c r="AH14" s="895">
        <f>AH89</f>
        <v>0</v>
      </c>
      <c r="AI14" s="895">
        <f>AI89</f>
        <v>0</v>
      </c>
      <c r="AJ14" s="895">
        <f>AJ89</f>
        <v>0</v>
      </c>
      <c r="AK14" s="896">
        <f>AK89</f>
        <v>0</v>
      </c>
    </row>
    <row r="15" spans="1:37" s="492" customFormat="1" ht="12.75" customHeight="1">
      <c r="A15" s="1333"/>
      <c r="B15" s="714" t="s">
        <v>475</v>
      </c>
      <c r="C15" s="893"/>
      <c r="D15" s="893"/>
      <c r="E15" s="893"/>
      <c r="F15" s="893"/>
      <c r="G15" s="894"/>
      <c r="H15" s="893"/>
      <c r="I15" s="893"/>
      <c r="J15" s="893"/>
      <c r="K15" s="893"/>
      <c r="L15" s="894"/>
      <c r="M15" s="895">
        <f t="shared" ref="M15:R15" si="3">M99</f>
        <v>0</v>
      </c>
      <c r="N15" s="895">
        <f t="shared" si="3"/>
        <v>235.21299999999999</v>
      </c>
      <c r="O15" s="895">
        <f t="shared" si="3"/>
        <v>1276.472</v>
      </c>
      <c r="P15" s="895">
        <f t="shared" si="3"/>
        <v>3843.819</v>
      </c>
      <c r="Q15" s="896">
        <f t="shared" si="3"/>
        <v>3843.819</v>
      </c>
      <c r="R15" s="895">
        <f t="shared" si="3"/>
        <v>4386.3029999999999</v>
      </c>
      <c r="S15" s="895">
        <f>S99</f>
        <v>4953.9669999999996</v>
      </c>
      <c r="T15" s="895">
        <f>T99</f>
        <v>5037.3720000000003</v>
      </c>
      <c r="U15" s="895">
        <f t="shared" ref="U15:AF15" si="4">U99</f>
        <v>5037.3720000000003</v>
      </c>
      <c r="V15" s="896">
        <f t="shared" si="4"/>
        <v>5037.3720000000003</v>
      </c>
      <c r="W15" s="895">
        <f t="shared" si="4"/>
        <v>4637.3720000000003</v>
      </c>
      <c r="X15" s="895">
        <f t="shared" si="4"/>
        <v>4237.3720000000003</v>
      </c>
      <c r="Y15" s="895">
        <f t="shared" si="4"/>
        <v>3817.3720000000003</v>
      </c>
      <c r="Z15" s="895">
        <f t="shared" si="4"/>
        <v>3367.3720000000003</v>
      </c>
      <c r="AA15" s="896">
        <f t="shared" si="4"/>
        <v>3367.3720000000003</v>
      </c>
      <c r="AB15" s="895">
        <f t="shared" si="4"/>
        <v>2967.3720000000003</v>
      </c>
      <c r="AC15" s="895">
        <f t="shared" si="4"/>
        <v>2567.3720000000003</v>
      </c>
      <c r="AD15" s="895">
        <f t="shared" si="4"/>
        <v>2167.3720000000003</v>
      </c>
      <c r="AE15" s="895">
        <f t="shared" si="4"/>
        <v>1767.3720000000003</v>
      </c>
      <c r="AF15" s="896">
        <f t="shared" si="4"/>
        <v>1767.3720000000003</v>
      </c>
      <c r="AG15" s="895">
        <f>AG99</f>
        <v>1367.3720000000003</v>
      </c>
      <c r="AH15" s="895">
        <f>AH99</f>
        <v>967.3720000000003</v>
      </c>
      <c r="AI15" s="895">
        <f>AI99</f>
        <v>567.3720000000003</v>
      </c>
      <c r="AJ15" s="895">
        <f>AJ99</f>
        <v>167.3720000000003</v>
      </c>
      <c r="AK15" s="896">
        <f>AK99</f>
        <v>167.3720000000003</v>
      </c>
    </row>
    <row r="16" spans="1:37" s="492" customFormat="1" ht="12.75" customHeight="1">
      <c r="A16" s="1333"/>
      <c r="B16" s="714" t="s">
        <v>708</v>
      </c>
      <c r="C16" s="893"/>
      <c r="D16" s="893"/>
      <c r="E16" s="893"/>
      <c r="F16" s="893"/>
      <c r="G16" s="894"/>
      <c r="H16" s="893"/>
      <c r="I16" s="893"/>
      <c r="J16" s="893"/>
      <c r="K16" s="893"/>
      <c r="L16" s="894"/>
      <c r="M16" s="895"/>
      <c r="N16" s="895"/>
      <c r="O16" s="895"/>
      <c r="P16" s="895"/>
      <c r="Q16" s="896"/>
      <c r="R16" s="895"/>
      <c r="S16" s="895"/>
      <c r="T16" s="895">
        <f>T113</f>
        <v>1241.325</v>
      </c>
      <c r="U16" s="895">
        <f t="shared" ref="U16:AK16" si="5">U113</f>
        <v>1241.325</v>
      </c>
      <c r="V16" s="896">
        <f t="shared" si="5"/>
        <v>1241.325</v>
      </c>
      <c r="W16" s="895">
        <f t="shared" si="5"/>
        <v>1241.325</v>
      </c>
      <c r="X16" s="895">
        <f t="shared" si="5"/>
        <v>1241.325</v>
      </c>
      <c r="Y16" s="895">
        <f t="shared" si="5"/>
        <v>1241.325</v>
      </c>
      <c r="Z16" s="895">
        <f t="shared" si="5"/>
        <v>1241.325</v>
      </c>
      <c r="AA16" s="896">
        <f t="shared" si="5"/>
        <v>1241.325</v>
      </c>
      <c r="AB16" s="895">
        <f t="shared" si="5"/>
        <v>1241.325</v>
      </c>
      <c r="AC16" s="895">
        <f t="shared" si="5"/>
        <v>1241.325</v>
      </c>
      <c r="AD16" s="895">
        <f t="shared" si="5"/>
        <v>1241.325</v>
      </c>
      <c r="AE16" s="895">
        <f t="shared" si="5"/>
        <v>1241.325</v>
      </c>
      <c r="AF16" s="896">
        <f t="shared" si="5"/>
        <v>1241.325</v>
      </c>
      <c r="AG16" s="895">
        <f t="shared" si="5"/>
        <v>1241.325</v>
      </c>
      <c r="AH16" s="895">
        <f t="shared" si="5"/>
        <v>1241.325</v>
      </c>
      <c r="AI16" s="895">
        <f t="shared" si="5"/>
        <v>1241.325</v>
      </c>
      <c r="AJ16" s="895">
        <f t="shared" si="5"/>
        <v>1241.325</v>
      </c>
      <c r="AK16" s="896">
        <f t="shared" si="5"/>
        <v>1241.325</v>
      </c>
    </row>
    <row r="17" spans="1:37" s="492" customFormat="1" ht="12.75" customHeight="1">
      <c r="A17" s="1333"/>
      <c r="B17" s="714" t="s">
        <v>709</v>
      </c>
      <c r="C17" s="893"/>
      <c r="D17" s="893"/>
      <c r="E17" s="893"/>
      <c r="F17" s="893"/>
      <c r="G17" s="894"/>
      <c r="H17" s="893"/>
      <c r="I17" s="893"/>
      <c r="J17" s="893"/>
      <c r="K17" s="893"/>
      <c r="L17" s="894"/>
      <c r="M17" s="895"/>
      <c r="N17" s="895"/>
      <c r="O17" s="895"/>
      <c r="P17" s="895"/>
      <c r="Q17" s="896"/>
      <c r="R17" s="895"/>
      <c r="S17" s="895"/>
      <c r="T17" s="895">
        <f>T119</f>
        <v>358.69600000000003</v>
      </c>
      <c r="U17" s="895">
        <f t="shared" ref="U17:AK17" si="6">U119</f>
        <v>358.69600000000003</v>
      </c>
      <c r="V17" s="896">
        <f t="shared" si="6"/>
        <v>358.69600000000003</v>
      </c>
      <c r="W17" s="895">
        <f t="shared" si="6"/>
        <v>358.69600000000003</v>
      </c>
      <c r="X17" s="895">
        <f t="shared" si="6"/>
        <v>358.69600000000003</v>
      </c>
      <c r="Y17" s="895">
        <f t="shared" si="6"/>
        <v>358.69600000000003</v>
      </c>
      <c r="Z17" s="895">
        <f t="shared" si="6"/>
        <v>358.69600000000003</v>
      </c>
      <c r="AA17" s="896">
        <f t="shared" si="6"/>
        <v>358.69600000000003</v>
      </c>
      <c r="AB17" s="895">
        <f t="shared" si="6"/>
        <v>358.69600000000003</v>
      </c>
      <c r="AC17" s="895">
        <f t="shared" si="6"/>
        <v>358.69600000000003</v>
      </c>
      <c r="AD17" s="895">
        <f t="shared" si="6"/>
        <v>358.69600000000003</v>
      </c>
      <c r="AE17" s="895">
        <f t="shared" si="6"/>
        <v>358.69600000000003</v>
      </c>
      <c r="AF17" s="896">
        <f t="shared" si="6"/>
        <v>358.69600000000003</v>
      </c>
      <c r="AG17" s="895">
        <f t="shared" si="6"/>
        <v>358.69600000000003</v>
      </c>
      <c r="AH17" s="895">
        <f t="shared" si="6"/>
        <v>358.69600000000003</v>
      </c>
      <c r="AI17" s="895">
        <f t="shared" si="6"/>
        <v>358.69600000000003</v>
      </c>
      <c r="AJ17" s="895">
        <f t="shared" si="6"/>
        <v>358.69600000000003</v>
      </c>
      <c r="AK17" s="896">
        <f t="shared" si="6"/>
        <v>358.69600000000003</v>
      </c>
    </row>
    <row r="18" spans="1:37" s="492" customFormat="1" ht="12.75" customHeight="1">
      <c r="A18" s="1333"/>
      <c r="B18" s="714" t="s">
        <v>694</v>
      </c>
      <c r="C18" s="893"/>
      <c r="D18" s="893"/>
      <c r="E18" s="893"/>
      <c r="F18" s="893"/>
      <c r="G18" s="894"/>
      <c r="H18" s="893"/>
      <c r="I18" s="893"/>
      <c r="J18" s="893"/>
      <c r="K18" s="893"/>
      <c r="L18" s="894"/>
      <c r="M18" s="895">
        <f t="shared" ref="M18:AK18" si="7">M125</f>
        <v>0</v>
      </c>
      <c r="N18" s="895">
        <f t="shared" si="7"/>
        <v>0</v>
      </c>
      <c r="O18" s="895">
        <f t="shared" si="7"/>
        <v>0</v>
      </c>
      <c r="P18" s="895">
        <f t="shared" si="7"/>
        <v>0</v>
      </c>
      <c r="Q18" s="896">
        <f t="shared" si="7"/>
        <v>0</v>
      </c>
      <c r="R18" s="895">
        <f t="shared" si="7"/>
        <v>0</v>
      </c>
      <c r="S18" s="895">
        <f t="shared" si="7"/>
        <v>2000</v>
      </c>
      <c r="T18" s="895">
        <f>T125</f>
        <v>2000</v>
      </c>
      <c r="U18" s="895">
        <f t="shared" si="7"/>
        <v>2000</v>
      </c>
      <c r="V18" s="896">
        <f t="shared" si="7"/>
        <v>2000</v>
      </c>
      <c r="W18" s="895">
        <f t="shared" si="7"/>
        <v>2000</v>
      </c>
      <c r="X18" s="895">
        <f t="shared" si="7"/>
        <v>2000</v>
      </c>
      <c r="Y18" s="895">
        <f t="shared" si="7"/>
        <v>2000</v>
      </c>
      <c r="Z18" s="895">
        <f t="shared" si="7"/>
        <v>2000</v>
      </c>
      <c r="AA18" s="896">
        <f t="shared" si="7"/>
        <v>2000</v>
      </c>
      <c r="AB18" s="895">
        <f t="shared" si="7"/>
        <v>2000</v>
      </c>
      <c r="AC18" s="895">
        <f t="shared" si="7"/>
        <v>2000</v>
      </c>
      <c r="AD18" s="895">
        <f t="shared" si="7"/>
        <v>2000</v>
      </c>
      <c r="AE18" s="895">
        <f t="shared" si="7"/>
        <v>2000</v>
      </c>
      <c r="AF18" s="896">
        <f t="shared" si="7"/>
        <v>2000</v>
      </c>
      <c r="AG18" s="895">
        <f t="shared" si="7"/>
        <v>2000</v>
      </c>
      <c r="AH18" s="895">
        <f t="shared" si="7"/>
        <v>2000</v>
      </c>
      <c r="AI18" s="895">
        <f t="shared" si="7"/>
        <v>2000</v>
      </c>
      <c r="AJ18" s="895">
        <f t="shared" si="7"/>
        <v>2000</v>
      </c>
      <c r="AK18" s="896">
        <f t="shared" si="7"/>
        <v>2000</v>
      </c>
    </row>
    <row r="19" spans="1:37" s="492" customFormat="1" ht="12.75" customHeight="1">
      <c r="A19" s="1333"/>
      <c r="B19" s="714" t="s">
        <v>707</v>
      </c>
      <c r="C19" s="893"/>
      <c r="D19" s="893"/>
      <c r="E19" s="893"/>
      <c r="F19" s="893"/>
      <c r="G19" s="894"/>
      <c r="H19" s="893"/>
      <c r="I19" s="893"/>
      <c r="J19" s="893"/>
      <c r="K19" s="893"/>
      <c r="L19" s="894"/>
      <c r="M19" s="895"/>
      <c r="N19" s="895"/>
      <c r="O19" s="895"/>
      <c r="P19" s="895"/>
      <c r="Q19" s="896"/>
      <c r="R19" s="895"/>
      <c r="S19" s="895">
        <f>S131</f>
        <v>0</v>
      </c>
      <c r="T19" s="895">
        <f>T131</f>
        <v>1750</v>
      </c>
      <c r="U19" s="895">
        <f t="shared" ref="U19:AK19" si="8">U131</f>
        <v>1750</v>
      </c>
      <c r="V19" s="896">
        <f t="shared" si="8"/>
        <v>1750</v>
      </c>
      <c r="W19" s="895">
        <f t="shared" si="8"/>
        <v>1750</v>
      </c>
      <c r="X19" s="895">
        <f t="shared" si="8"/>
        <v>1750</v>
      </c>
      <c r="Y19" s="895">
        <f t="shared" si="8"/>
        <v>1750</v>
      </c>
      <c r="Z19" s="895">
        <f t="shared" si="8"/>
        <v>1750</v>
      </c>
      <c r="AA19" s="896">
        <f t="shared" si="8"/>
        <v>1750</v>
      </c>
      <c r="AB19" s="895">
        <f t="shared" si="8"/>
        <v>1750</v>
      </c>
      <c r="AC19" s="895">
        <f t="shared" si="8"/>
        <v>1750</v>
      </c>
      <c r="AD19" s="895">
        <f t="shared" si="8"/>
        <v>1750</v>
      </c>
      <c r="AE19" s="895">
        <f t="shared" si="8"/>
        <v>1750</v>
      </c>
      <c r="AF19" s="896">
        <f t="shared" si="8"/>
        <v>1750</v>
      </c>
      <c r="AG19" s="895">
        <f t="shared" si="8"/>
        <v>1750</v>
      </c>
      <c r="AH19" s="895">
        <f t="shared" si="8"/>
        <v>1750</v>
      </c>
      <c r="AI19" s="895">
        <f t="shared" si="8"/>
        <v>1750</v>
      </c>
      <c r="AJ19" s="895">
        <f t="shared" si="8"/>
        <v>1750</v>
      </c>
      <c r="AK19" s="896">
        <f t="shared" si="8"/>
        <v>1750</v>
      </c>
    </row>
    <row r="20" spans="1:37" s="492" customFormat="1" ht="12.75" customHeight="1">
      <c r="A20" s="1333"/>
      <c r="B20" s="714" t="s">
        <v>534</v>
      </c>
      <c r="C20" s="893"/>
      <c r="D20" s="893"/>
      <c r="E20" s="893"/>
      <c r="F20" s="893"/>
      <c r="G20" s="894"/>
      <c r="H20" s="893"/>
      <c r="I20" s="893"/>
      <c r="J20" s="893"/>
      <c r="K20" s="893"/>
      <c r="L20" s="894"/>
      <c r="M20" s="895">
        <f t="shared" ref="M20:AK20" si="9">M205</f>
        <v>0</v>
      </c>
      <c r="N20" s="895">
        <f t="shared" si="9"/>
        <v>0</v>
      </c>
      <c r="O20" s="895">
        <f t="shared" si="9"/>
        <v>0</v>
      </c>
      <c r="P20" s="895">
        <f t="shared" si="9"/>
        <v>1000</v>
      </c>
      <c r="Q20" s="896">
        <f t="shared" si="9"/>
        <v>1000</v>
      </c>
      <c r="R20" s="895">
        <f t="shared" si="9"/>
        <v>1000</v>
      </c>
      <c r="S20" s="895">
        <f t="shared" si="9"/>
        <v>0</v>
      </c>
      <c r="T20" s="895">
        <f>T205</f>
        <v>0</v>
      </c>
      <c r="U20" s="895">
        <f t="shared" si="9"/>
        <v>0</v>
      </c>
      <c r="V20" s="896">
        <f t="shared" si="9"/>
        <v>0</v>
      </c>
      <c r="W20" s="895">
        <f t="shared" si="9"/>
        <v>0</v>
      </c>
      <c r="X20" s="895">
        <f t="shared" si="9"/>
        <v>0</v>
      </c>
      <c r="Y20" s="895">
        <f t="shared" si="9"/>
        <v>0</v>
      </c>
      <c r="Z20" s="895">
        <f t="shared" si="9"/>
        <v>0</v>
      </c>
      <c r="AA20" s="896">
        <f t="shared" si="9"/>
        <v>0</v>
      </c>
      <c r="AB20" s="895">
        <f t="shared" si="9"/>
        <v>0</v>
      </c>
      <c r="AC20" s="895">
        <f t="shared" si="9"/>
        <v>0</v>
      </c>
      <c r="AD20" s="895">
        <f t="shared" si="9"/>
        <v>0</v>
      </c>
      <c r="AE20" s="895">
        <f t="shared" si="9"/>
        <v>0</v>
      </c>
      <c r="AF20" s="896">
        <f t="shared" si="9"/>
        <v>0</v>
      </c>
      <c r="AG20" s="895">
        <f t="shared" si="9"/>
        <v>0</v>
      </c>
      <c r="AH20" s="895">
        <f t="shared" si="9"/>
        <v>0</v>
      </c>
      <c r="AI20" s="895">
        <f t="shared" si="9"/>
        <v>0</v>
      </c>
      <c r="AJ20" s="895">
        <f t="shared" si="9"/>
        <v>0</v>
      </c>
      <c r="AK20" s="896">
        <f t="shared" si="9"/>
        <v>0</v>
      </c>
    </row>
    <row r="21" spans="1:37" s="492" customFormat="1" ht="12.75" customHeight="1">
      <c r="A21" s="1333"/>
      <c r="B21" s="714" t="s">
        <v>476</v>
      </c>
      <c r="C21" s="893"/>
      <c r="D21" s="893"/>
      <c r="E21" s="893"/>
      <c r="F21" s="893"/>
      <c r="G21" s="894"/>
      <c r="H21" s="893"/>
      <c r="I21" s="893"/>
      <c r="J21" s="893"/>
      <c r="K21" s="893"/>
      <c r="L21" s="894"/>
      <c r="M21" s="895">
        <f t="shared" ref="M21:AK21" si="10">M137</f>
        <v>17.800999999999998</v>
      </c>
      <c r="N21" s="895">
        <f t="shared" si="10"/>
        <v>635.24300000000005</v>
      </c>
      <c r="O21" s="895">
        <f t="shared" si="10"/>
        <v>1053.0129999999999</v>
      </c>
      <c r="P21" s="895">
        <f t="shared" si="10"/>
        <v>1177.1579999999999</v>
      </c>
      <c r="Q21" s="896">
        <f t="shared" si="10"/>
        <v>1177.1579999999999</v>
      </c>
      <c r="R21" s="895">
        <f t="shared" si="10"/>
        <v>1225.201</v>
      </c>
      <c r="S21" s="895">
        <f t="shared" si="10"/>
        <v>1728.3879999999999</v>
      </c>
      <c r="T21" s="895">
        <f>T137</f>
        <v>1185.7090000000001</v>
      </c>
      <c r="U21" s="895">
        <f t="shared" si="10"/>
        <v>2501.4380000000001</v>
      </c>
      <c r="V21" s="896">
        <f t="shared" si="10"/>
        <v>2501.4380000000001</v>
      </c>
      <c r="W21" s="895">
        <f t="shared" si="10"/>
        <v>2774.7239599999998</v>
      </c>
      <c r="X21" s="895">
        <f t="shared" si="10"/>
        <v>2937.5364233999999</v>
      </c>
      <c r="Y21" s="895">
        <f t="shared" si="10"/>
        <v>3085.5514631770002</v>
      </c>
      <c r="Z21" s="895">
        <f t="shared" si="10"/>
        <v>3129.6473461228402</v>
      </c>
      <c r="AA21" s="896">
        <f t="shared" si="10"/>
        <v>3129.6473461228402</v>
      </c>
      <c r="AB21" s="895">
        <f t="shared" si="10"/>
        <v>3373.8569899717845</v>
      </c>
      <c r="AC21" s="895">
        <f t="shared" si="10"/>
        <v>3643.1084388207291</v>
      </c>
      <c r="AD21" s="895">
        <f t="shared" si="10"/>
        <v>3912.3598876696738</v>
      </c>
      <c r="AE21" s="895">
        <f t="shared" si="10"/>
        <v>4181.6113365186184</v>
      </c>
      <c r="AF21" s="896">
        <f t="shared" si="10"/>
        <v>4181.6113365186184</v>
      </c>
      <c r="AG21" s="895">
        <f t="shared" si="10"/>
        <v>4278.6442212319434</v>
      </c>
      <c r="AH21" s="895">
        <f t="shared" si="10"/>
        <v>4398.2189109452684</v>
      </c>
      <c r="AI21" s="895">
        <f t="shared" si="10"/>
        <v>4517.7936006585933</v>
      </c>
      <c r="AJ21" s="895">
        <f t="shared" si="10"/>
        <v>4637.3682903719182</v>
      </c>
      <c r="AK21" s="896">
        <f t="shared" si="10"/>
        <v>4637.3682903719182</v>
      </c>
    </row>
    <row r="22" spans="1:37" s="492" customFormat="1" ht="12.75" customHeight="1">
      <c r="A22" s="1333"/>
      <c r="B22" s="714" t="s">
        <v>477</v>
      </c>
      <c r="C22" s="893"/>
      <c r="D22" s="893"/>
      <c r="E22" s="893"/>
      <c r="F22" s="893"/>
      <c r="G22" s="894"/>
      <c r="H22" s="893"/>
      <c r="I22" s="893"/>
      <c r="J22" s="893"/>
      <c r="K22" s="893"/>
      <c r="L22" s="894"/>
      <c r="M22" s="895">
        <f>M149</f>
        <v>0</v>
      </c>
      <c r="N22" s="895">
        <f>N149</f>
        <v>0</v>
      </c>
      <c r="O22" s="895">
        <f>O149</f>
        <v>0</v>
      </c>
      <c r="P22" s="895">
        <f t="shared" ref="P22:AF22" si="11">P149</f>
        <v>0</v>
      </c>
      <c r="Q22" s="896">
        <f t="shared" si="11"/>
        <v>0</v>
      </c>
      <c r="R22" s="895">
        <f t="shared" si="11"/>
        <v>50</v>
      </c>
      <c r="S22" s="895">
        <f>S149</f>
        <v>450</v>
      </c>
      <c r="T22" s="895">
        <f>T149</f>
        <v>700</v>
      </c>
      <c r="U22" s="895">
        <f t="shared" si="11"/>
        <v>0</v>
      </c>
      <c r="V22" s="896">
        <f t="shared" si="11"/>
        <v>0</v>
      </c>
      <c r="W22" s="895">
        <f t="shared" si="11"/>
        <v>0</v>
      </c>
      <c r="X22" s="895">
        <f t="shared" si="11"/>
        <v>0</v>
      </c>
      <c r="Y22" s="895">
        <f t="shared" si="11"/>
        <v>0</v>
      </c>
      <c r="Z22" s="895">
        <f t="shared" si="11"/>
        <v>0</v>
      </c>
      <c r="AA22" s="896">
        <f t="shared" si="11"/>
        <v>0</v>
      </c>
      <c r="AB22" s="895">
        <f t="shared" si="11"/>
        <v>0</v>
      </c>
      <c r="AC22" s="895">
        <f t="shared" si="11"/>
        <v>0</v>
      </c>
      <c r="AD22" s="895">
        <f t="shared" si="11"/>
        <v>0</v>
      </c>
      <c r="AE22" s="895">
        <f t="shared" si="11"/>
        <v>0</v>
      </c>
      <c r="AF22" s="896">
        <f t="shared" si="11"/>
        <v>0</v>
      </c>
      <c r="AG22" s="895">
        <f>AG149</f>
        <v>0</v>
      </c>
      <c r="AH22" s="895">
        <f>AH149</f>
        <v>0</v>
      </c>
      <c r="AI22" s="895">
        <f>AI149</f>
        <v>0</v>
      </c>
      <c r="AJ22" s="895">
        <f>AJ149</f>
        <v>0</v>
      </c>
      <c r="AK22" s="896">
        <f>AK149</f>
        <v>0</v>
      </c>
    </row>
    <row r="23" spans="1:37" s="492" customFormat="1" ht="12.75" customHeight="1">
      <c r="A23" s="1333"/>
      <c r="B23" s="714" t="s">
        <v>605</v>
      </c>
      <c r="C23" s="893"/>
      <c r="D23" s="893"/>
      <c r="E23" s="893"/>
      <c r="F23" s="893"/>
      <c r="G23" s="894"/>
      <c r="H23" s="893"/>
      <c r="I23" s="893"/>
      <c r="J23" s="893"/>
      <c r="K23" s="893"/>
      <c r="L23" s="894"/>
      <c r="M23" s="895">
        <f t="shared" ref="M23:AK23" si="12">M160</f>
        <v>0</v>
      </c>
      <c r="N23" s="895">
        <f t="shared" si="12"/>
        <v>0</v>
      </c>
      <c r="O23" s="895">
        <f t="shared" si="12"/>
        <v>0</v>
      </c>
      <c r="P23" s="895">
        <f t="shared" si="12"/>
        <v>0</v>
      </c>
      <c r="Q23" s="896">
        <f t="shared" si="12"/>
        <v>0</v>
      </c>
      <c r="R23" s="895">
        <f t="shared" si="12"/>
        <v>248.917</v>
      </c>
      <c r="S23" s="895">
        <f>S160</f>
        <v>256.63</v>
      </c>
      <c r="T23" s="895">
        <f>T160</f>
        <v>264.666</v>
      </c>
      <c r="U23" s="895">
        <f t="shared" si="12"/>
        <v>272.702</v>
      </c>
      <c r="V23" s="896">
        <f t="shared" si="12"/>
        <v>272.702</v>
      </c>
      <c r="W23" s="895">
        <f t="shared" si="12"/>
        <v>272.702</v>
      </c>
      <c r="X23" s="895">
        <f t="shared" si="12"/>
        <v>272.702</v>
      </c>
      <c r="Y23" s="895">
        <f t="shared" si="12"/>
        <v>272.702</v>
      </c>
      <c r="Z23" s="895">
        <f t="shared" si="12"/>
        <v>272.702</v>
      </c>
      <c r="AA23" s="896">
        <f t="shared" si="12"/>
        <v>272.702</v>
      </c>
      <c r="AB23" s="895">
        <f t="shared" si="12"/>
        <v>272.702</v>
      </c>
      <c r="AC23" s="895">
        <f t="shared" si="12"/>
        <v>272.702</v>
      </c>
      <c r="AD23" s="895">
        <f t="shared" si="12"/>
        <v>272.702</v>
      </c>
      <c r="AE23" s="895">
        <f t="shared" si="12"/>
        <v>272.702</v>
      </c>
      <c r="AF23" s="896">
        <f t="shared" si="12"/>
        <v>272.702</v>
      </c>
      <c r="AG23" s="895">
        <f t="shared" si="12"/>
        <v>272.702</v>
      </c>
      <c r="AH23" s="895">
        <f t="shared" si="12"/>
        <v>272.702</v>
      </c>
      <c r="AI23" s="895">
        <f t="shared" si="12"/>
        <v>272.702</v>
      </c>
      <c r="AJ23" s="895">
        <f t="shared" si="12"/>
        <v>272.702</v>
      </c>
      <c r="AK23" s="896">
        <f t="shared" si="12"/>
        <v>272.702</v>
      </c>
    </row>
    <row r="24" spans="1:37" s="492" customFormat="1" ht="12.75" customHeight="1">
      <c r="A24" s="1333"/>
      <c r="B24" s="714" t="s">
        <v>446</v>
      </c>
      <c r="C24" s="893"/>
      <c r="D24" s="893"/>
      <c r="E24" s="893"/>
      <c r="F24" s="893"/>
      <c r="G24" s="894"/>
      <c r="H24" s="893"/>
      <c r="I24" s="893"/>
      <c r="J24" s="893"/>
      <c r="K24" s="893"/>
      <c r="L24" s="894"/>
      <c r="M24" s="895">
        <f t="shared" ref="M24:V24" si="13">M168</f>
        <v>0</v>
      </c>
      <c r="N24" s="895">
        <f t="shared" si="13"/>
        <v>0</v>
      </c>
      <c r="O24" s="895">
        <f t="shared" si="13"/>
        <v>0</v>
      </c>
      <c r="P24" s="895">
        <f t="shared" si="13"/>
        <v>0</v>
      </c>
      <c r="Q24" s="896">
        <f t="shared" si="13"/>
        <v>0</v>
      </c>
      <c r="R24" s="895">
        <f t="shared" si="13"/>
        <v>0</v>
      </c>
      <c r="S24" s="895">
        <f>S168</f>
        <v>0</v>
      </c>
      <c r="T24" s="895">
        <f>T168</f>
        <v>0</v>
      </c>
      <c r="U24" s="895">
        <f t="shared" si="13"/>
        <v>5000</v>
      </c>
      <c r="V24" s="896">
        <f t="shared" si="13"/>
        <v>5000</v>
      </c>
      <c r="W24" s="895">
        <f>W175</f>
        <v>12300</v>
      </c>
      <c r="X24" s="895">
        <f>X175</f>
        <v>18500</v>
      </c>
      <c r="Y24" s="895">
        <f>Y175</f>
        <v>21500</v>
      </c>
      <c r="Z24" s="895">
        <f>Z175</f>
        <v>22500</v>
      </c>
      <c r="AA24" s="896">
        <f>AA175</f>
        <v>22500</v>
      </c>
      <c r="AB24" s="895">
        <f>AB182</f>
        <v>25700</v>
      </c>
      <c r="AC24" s="895">
        <f t="shared" ref="AC24:AK24" si="14">AC182</f>
        <v>31100</v>
      </c>
      <c r="AD24" s="895">
        <f t="shared" si="14"/>
        <v>34900</v>
      </c>
      <c r="AE24" s="895">
        <f t="shared" si="14"/>
        <v>36300</v>
      </c>
      <c r="AF24" s="896">
        <f t="shared" si="14"/>
        <v>36300</v>
      </c>
      <c r="AG24" s="895">
        <f t="shared" si="14"/>
        <v>39800</v>
      </c>
      <c r="AH24" s="895">
        <f t="shared" si="14"/>
        <v>44100</v>
      </c>
      <c r="AI24" s="895">
        <f t="shared" si="14"/>
        <v>47200</v>
      </c>
      <c r="AJ24" s="895">
        <f t="shared" si="14"/>
        <v>48200</v>
      </c>
      <c r="AK24" s="896">
        <f t="shared" si="14"/>
        <v>48200</v>
      </c>
    </row>
    <row r="25" spans="1:37" s="492" customFormat="1" ht="12.75" customHeight="1">
      <c r="A25" s="1333"/>
      <c r="B25" s="714"/>
      <c r="C25" s="893"/>
      <c r="D25" s="893"/>
      <c r="E25" s="893"/>
      <c r="F25" s="893"/>
      <c r="G25" s="894"/>
      <c r="H25" s="893"/>
      <c r="I25" s="893"/>
      <c r="J25" s="893"/>
      <c r="K25" s="893"/>
      <c r="L25" s="894"/>
      <c r="M25" s="895"/>
      <c r="N25" s="895"/>
      <c r="O25" s="895"/>
      <c r="P25" s="895"/>
      <c r="Q25" s="896"/>
      <c r="R25" s="895"/>
      <c r="S25" s="895"/>
      <c r="T25" s="895"/>
      <c r="U25" s="895"/>
      <c r="V25" s="896"/>
      <c r="W25" s="895"/>
      <c r="X25" s="895"/>
      <c r="Y25" s="895"/>
      <c r="Z25" s="895"/>
      <c r="AA25" s="896"/>
      <c r="AB25" s="895"/>
      <c r="AC25" s="895"/>
      <c r="AD25" s="895"/>
      <c r="AE25" s="895"/>
      <c r="AF25" s="896"/>
      <c r="AG25" s="895"/>
      <c r="AH25" s="895"/>
      <c r="AI25" s="895"/>
      <c r="AJ25" s="895"/>
      <c r="AK25" s="896"/>
    </row>
    <row r="26" spans="1:37" s="299" customFormat="1" ht="12.75" customHeight="1">
      <c r="A26" s="1292"/>
      <c r="B26" s="714" t="s">
        <v>339</v>
      </c>
      <c r="C26" s="895"/>
      <c r="D26" s="895"/>
      <c r="E26" s="895"/>
      <c r="F26" s="895"/>
      <c r="G26" s="896"/>
      <c r="H26" s="895"/>
      <c r="I26" s="895"/>
      <c r="J26" s="895"/>
      <c r="K26" s="897">
        <v>-31.795000000000002</v>
      </c>
      <c r="L26" s="896">
        <f>K26</f>
        <v>-31.795000000000002</v>
      </c>
      <c r="M26" s="897">
        <v>-39.834000000000003</v>
      </c>
      <c r="N26" s="897">
        <v>-44.987000000000002</v>
      </c>
      <c r="O26" s="897">
        <v>-63.412999999999997</v>
      </c>
      <c r="P26" s="897">
        <v>-107.137</v>
      </c>
      <c r="Q26" s="896">
        <f>P26</f>
        <v>-107.137</v>
      </c>
      <c r="R26" s="897">
        <v>-96.254999999999995</v>
      </c>
      <c r="S26" s="897">
        <v>-119.98399999999999</v>
      </c>
      <c r="T26" s="897">
        <v>-170.334</v>
      </c>
      <c r="U26" s="895">
        <f>T26+U82-U79</f>
        <v>-238.48775000000001</v>
      </c>
      <c r="V26" s="896">
        <f>U26</f>
        <v>-238.48775000000001</v>
      </c>
      <c r="W26" s="895">
        <f>V26+W82-W79</f>
        <v>-335.66649999999998</v>
      </c>
      <c r="X26" s="895">
        <f>W26+X82-X79</f>
        <v>-411.69524999999999</v>
      </c>
      <c r="Y26" s="895">
        <f>X26+Y82-Y79</f>
        <v>-437.47399999999999</v>
      </c>
      <c r="Z26" s="895">
        <f>Y26+Z82-Z79</f>
        <v>-432.50274999999999</v>
      </c>
      <c r="AA26" s="896">
        <f>Z26</f>
        <v>-432.50274999999999</v>
      </c>
      <c r="AB26" s="895">
        <f>AA26+AB82-AB79</f>
        <v>-458.13150000000002</v>
      </c>
      <c r="AC26" s="895">
        <f>AB26+AC82-AC79</f>
        <v>-512.71024999999997</v>
      </c>
      <c r="AD26" s="895">
        <f>AC26+AD82-AD79</f>
        <v>-540.43899999999996</v>
      </c>
      <c r="AE26" s="895">
        <f>AD26+AE82-AE79</f>
        <v>-531.11775</v>
      </c>
      <c r="AF26" s="896">
        <f>AE26</f>
        <v>-531.11775</v>
      </c>
      <c r="AG26" s="895">
        <f>AF26+AG82-AG79</f>
        <v>-550.67150000000004</v>
      </c>
      <c r="AH26" s="895">
        <f>AG26+AH82-AH79</f>
        <v>-579.00025000000005</v>
      </c>
      <c r="AI26" s="895">
        <f>AH26+AI82-AI79</f>
        <v>-587.00400000000002</v>
      </c>
      <c r="AJ26" s="895">
        <f>AI26+AJ82-AJ79</f>
        <v>-562.75774999999999</v>
      </c>
      <c r="AK26" s="896">
        <f>AJ26</f>
        <v>-562.75774999999999</v>
      </c>
    </row>
    <row r="27" spans="1:37" s="600" customFormat="1" ht="12.75" customHeight="1">
      <c r="A27" s="464"/>
      <c r="B27" s="714"/>
      <c r="C27" s="712"/>
      <c r="D27" s="712"/>
      <c r="E27" s="712"/>
      <c r="F27" s="712"/>
      <c r="G27" s="713"/>
      <c r="H27" s="712"/>
      <c r="I27" s="712"/>
      <c r="J27" s="712"/>
      <c r="K27" s="715"/>
      <c r="L27" s="713"/>
      <c r="M27" s="1359"/>
      <c r="N27" s="1359"/>
      <c r="O27" s="1359"/>
      <c r="P27" s="1359"/>
      <c r="Q27" s="713"/>
      <c r="R27" s="1359"/>
      <c r="S27" s="1359"/>
      <c r="T27" s="712"/>
      <c r="U27" s="712"/>
      <c r="V27" s="713"/>
      <c r="W27" s="712"/>
      <c r="X27" s="712"/>
      <c r="Y27" s="712"/>
      <c r="Z27" s="712"/>
      <c r="AA27" s="713"/>
      <c r="AB27" s="712"/>
      <c r="AC27" s="712"/>
      <c r="AD27" s="712"/>
      <c r="AE27" s="712"/>
      <c r="AF27" s="713"/>
      <c r="AG27" s="712"/>
      <c r="AH27" s="712"/>
      <c r="AI27" s="712"/>
      <c r="AJ27" s="712"/>
      <c r="AK27" s="713"/>
    </row>
    <row r="28" spans="1:37" s="299" customFormat="1" ht="12.75" customHeight="1">
      <c r="A28" s="1292"/>
      <c r="B28" s="394" t="s">
        <v>338</v>
      </c>
      <c r="C28" s="491"/>
      <c r="D28" s="491"/>
      <c r="E28" s="491"/>
      <c r="F28" s="491"/>
      <c r="G28" s="369"/>
      <c r="H28" s="491"/>
      <c r="I28" s="491"/>
      <c r="J28" s="491"/>
      <c r="K28" s="491">
        <f>K10+K26</f>
        <v>1491.4589999999998</v>
      </c>
      <c r="L28" s="369">
        <f>L10+L26</f>
        <v>1523.2539999999999</v>
      </c>
      <c r="M28" s="491">
        <f t="shared" ref="M28:AK28" si="15">SUM(M14:M24)</f>
        <v>2317.8009999999999</v>
      </c>
      <c r="N28" s="491">
        <f t="shared" si="15"/>
        <v>3147.4560000000001</v>
      </c>
      <c r="O28" s="491">
        <f t="shared" si="15"/>
        <v>4514.4849999999997</v>
      </c>
      <c r="P28" s="491">
        <f t="shared" si="15"/>
        <v>8033.476999999999</v>
      </c>
      <c r="Q28" s="369">
        <f t="shared" si="15"/>
        <v>8033.476999999999</v>
      </c>
      <c r="R28" s="491">
        <f t="shared" si="15"/>
        <v>8807.9210000000003</v>
      </c>
      <c r="S28" s="491">
        <f t="shared" si="15"/>
        <v>11171.484999999999</v>
      </c>
      <c r="T28" s="491">
        <f>SUM(T14:T24)</f>
        <v>14205.268</v>
      </c>
      <c r="U28" s="491">
        <f t="shared" si="15"/>
        <v>19714.032999999999</v>
      </c>
      <c r="V28" s="369">
        <f t="shared" si="15"/>
        <v>19714.032999999999</v>
      </c>
      <c r="W28" s="491">
        <f t="shared" si="15"/>
        <v>26772.318959999997</v>
      </c>
      <c r="X28" s="491">
        <f t="shared" si="15"/>
        <v>32597.131423400002</v>
      </c>
      <c r="Y28" s="491">
        <f t="shared" si="15"/>
        <v>35164.146463177</v>
      </c>
      <c r="Z28" s="491">
        <f t="shared" si="15"/>
        <v>35574.242346122839</v>
      </c>
      <c r="AA28" s="369">
        <f t="shared" si="15"/>
        <v>35574.242346122839</v>
      </c>
      <c r="AB28" s="491">
        <f t="shared" si="15"/>
        <v>38428.701989971785</v>
      </c>
      <c r="AC28" s="491">
        <f t="shared" si="15"/>
        <v>43508.203438820725</v>
      </c>
      <c r="AD28" s="491">
        <f t="shared" si="15"/>
        <v>46987.704887669672</v>
      </c>
      <c r="AE28" s="491">
        <f t="shared" si="15"/>
        <v>48067.206336518619</v>
      </c>
      <c r="AF28" s="369">
        <f t="shared" si="15"/>
        <v>48067.206336518619</v>
      </c>
      <c r="AG28" s="491">
        <f t="shared" si="15"/>
        <v>51068.739221231939</v>
      </c>
      <c r="AH28" s="491">
        <f t="shared" si="15"/>
        <v>55088.313910945268</v>
      </c>
      <c r="AI28" s="491">
        <f t="shared" si="15"/>
        <v>57907.888600658596</v>
      </c>
      <c r="AJ28" s="491">
        <f t="shared" si="15"/>
        <v>58627.463290371918</v>
      </c>
      <c r="AK28" s="369">
        <f t="shared" si="15"/>
        <v>58627.463290371918</v>
      </c>
    </row>
    <row r="29" spans="1:37" s="492" customFormat="1" ht="12.75" customHeight="1">
      <c r="A29" s="1341"/>
      <c r="B29" s="709"/>
      <c r="C29" s="893"/>
      <c r="D29" s="893"/>
      <c r="E29" s="893"/>
      <c r="F29" s="893"/>
      <c r="G29" s="894"/>
      <c r="H29" s="893"/>
      <c r="I29" s="893"/>
      <c r="J29" s="893"/>
      <c r="K29" s="893"/>
      <c r="L29" s="894"/>
      <c r="M29" s="893"/>
      <c r="N29" s="893"/>
      <c r="O29" s="893"/>
      <c r="P29" s="893"/>
      <c r="Q29" s="894"/>
      <c r="R29" s="1054"/>
      <c r="S29" s="1054"/>
      <c r="T29" s="1054"/>
      <c r="U29" s="1054"/>
      <c r="V29" s="1055"/>
      <c r="W29" s="1054"/>
      <c r="X29" s="1054"/>
      <c r="Y29" s="1054"/>
      <c r="Z29" s="1054"/>
      <c r="AA29" s="894"/>
      <c r="AB29" s="893"/>
      <c r="AC29" s="893"/>
      <c r="AD29" s="893"/>
      <c r="AE29" s="893"/>
      <c r="AF29" s="894"/>
      <c r="AG29" s="893"/>
      <c r="AH29" s="893"/>
      <c r="AI29" s="893"/>
      <c r="AJ29" s="893"/>
      <c r="AK29" s="894"/>
    </row>
    <row r="30" spans="1:37" s="492" customFormat="1" ht="12.75" customHeight="1">
      <c r="A30" s="1341"/>
      <c r="B30" s="441" t="s">
        <v>253</v>
      </c>
      <c r="C30" s="487"/>
      <c r="D30" s="487"/>
      <c r="E30" s="487"/>
      <c r="F30" s="487"/>
      <c r="G30" s="415"/>
      <c r="H30" s="487"/>
      <c r="I30" s="487"/>
      <c r="J30" s="487"/>
      <c r="K30" s="915">
        <f>BS!K32</f>
        <v>171.86500000000001</v>
      </c>
      <c r="L30" s="914">
        <f>BS!L32</f>
        <v>171.86500000000001</v>
      </c>
      <c r="M30" s="915">
        <f>BS!M32</f>
        <v>32.730200000000004</v>
      </c>
      <c r="N30" s="915">
        <f>BS!N32</f>
        <v>290.81099999999998</v>
      </c>
      <c r="O30" s="915">
        <f>BS!O32</f>
        <v>1005.352</v>
      </c>
      <c r="P30" s="915">
        <f>BS!P32</f>
        <v>2468.4250000000002</v>
      </c>
      <c r="Q30" s="914">
        <f>BS!Q32</f>
        <v>2468.4250000000002</v>
      </c>
      <c r="R30" s="915">
        <f>BS!R32</f>
        <v>3776.5949999999998</v>
      </c>
      <c r="S30" s="915">
        <f>BS!S32</f>
        <v>3627.6640000000002</v>
      </c>
      <c r="T30" s="915">
        <f>BS!T32</f>
        <v>3712.1770000000001</v>
      </c>
      <c r="U30" s="487">
        <f>-SUM(U35:U44)</f>
        <v>3229.8766538771602</v>
      </c>
      <c r="V30" s="415">
        <f>U30</f>
        <v>3229.8766538771602</v>
      </c>
      <c r="W30" s="487">
        <f>-SUM(W35:W44)</f>
        <v>3386.1798750282155</v>
      </c>
      <c r="X30" s="487">
        <f>-SUM(X35:X44)</f>
        <v>3483.7465995792713</v>
      </c>
      <c r="Y30" s="487">
        <f>-SUM(Y35:Y44)</f>
        <v>3495.098900507327</v>
      </c>
      <c r="Z30" s="487">
        <f>-SUM(Z35:Z44)</f>
        <v>3485.6730446042225</v>
      </c>
      <c r="AA30" s="415">
        <f>Z30</f>
        <v>3485.6730446042225</v>
      </c>
      <c r="AB30" s="487">
        <f>-SUM(AB35:AB44)</f>
        <v>3586.0998037398426</v>
      </c>
      <c r="AC30" s="487">
        <f>-SUM(AC35:AC44)</f>
        <v>3491.0265628754623</v>
      </c>
      <c r="AD30" s="487">
        <f>-SUM(AD35:AD44)</f>
        <v>3395.9533220110825</v>
      </c>
      <c r="AE30" s="487">
        <f>-SUM(AE35:AE44)</f>
        <v>3300.8800811467027</v>
      </c>
      <c r="AF30" s="415">
        <f>AE30</f>
        <v>3300.8800811467027</v>
      </c>
      <c r="AG30" s="487" t="e">
        <f>-SUM(AG35:AG44)</f>
        <v>#REF!</v>
      </c>
      <c r="AH30" s="487" t="e">
        <f>-SUM(AH35:AH44)</f>
        <v>#REF!</v>
      </c>
      <c r="AI30" s="487" t="e">
        <f>-SUM(AI35:AI44)</f>
        <v>#REF!</v>
      </c>
      <c r="AJ30" s="487" t="e">
        <f>-SUM(AJ35:AJ44)</f>
        <v>#REF!</v>
      </c>
      <c r="AK30" s="415" t="e">
        <f>AJ30</f>
        <v>#REF!</v>
      </c>
    </row>
    <row r="31" spans="1:37" s="298" customFormat="1" ht="12.75" customHeight="1">
      <c r="A31" s="1290"/>
      <c r="B31" s="433" t="s">
        <v>31</v>
      </c>
      <c r="C31" s="102"/>
      <c r="D31" s="102"/>
      <c r="E31" s="102"/>
      <c r="F31" s="102"/>
      <c r="G31" s="254"/>
      <c r="H31" s="102" t="str">
        <f t="shared" ref="H31:AF31" si="16">IFERROR(H30/C30-1,"")</f>
        <v/>
      </c>
      <c r="I31" s="102" t="str">
        <f t="shared" si="16"/>
        <v/>
      </c>
      <c r="J31" s="102" t="str">
        <f t="shared" si="16"/>
        <v/>
      </c>
      <c r="K31" s="291" t="str">
        <f t="shared" si="16"/>
        <v/>
      </c>
      <c r="L31" s="254" t="str">
        <f t="shared" si="16"/>
        <v/>
      </c>
      <c r="M31" s="102" t="str">
        <f t="shared" si="16"/>
        <v/>
      </c>
      <c r="N31" s="102" t="str">
        <f t="shared" si="16"/>
        <v/>
      </c>
      <c r="O31" s="102" t="str">
        <f t="shared" si="16"/>
        <v/>
      </c>
      <c r="P31" s="102">
        <f t="shared" si="16"/>
        <v>13.362581095627382</v>
      </c>
      <c r="Q31" s="254">
        <f t="shared" si="16"/>
        <v>13.362581095627382</v>
      </c>
      <c r="R31" s="102">
        <f t="shared" si="16"/>
        <v>114.38563772906977</v>
      </c>
      <c r="S31" s="102">
        <f t="shared" si="16"/>
        <v>11.474301178428602</v>
      </c>
      <c r="T31" s="102">
        <f t="shared" si="16"/>
        <v>2.6924151938823417</v>
      </c>
      <c r="U31" s="102">
        <f t="shared" si="16"/>
        <v>0.30847672255675573</v>
      </c>
      <c r="V31" s="254">
        <f t="shared" si="16"/>
        <v>0.30847672255675573</v>
      </c>
      <c r="W31" s="102">
        <f t="shared" si="16"/>
        <v>-0.10337754643317176</v>
      </c>
      <c r="X31" s="102">
        <f t="shared" si="16"/>
        <v>-3.9672196879514954E-2</v>
      </c>
      <c r="Y31" s="102">
        <f t="shared" si="16"/>
        <v>-5.8477303073822484E-2</v>
      </c>
      <c r="Z31" s="102">
        <f t="shared" si="16"/>
        <v>7.9196953363529499E-2</v>
      </c>
      <c r="AA31" s="254">
        <f t="shared" si="16"/>
        <v>7.9196953363529499E-2</v>
      </c>
      <c r="AB31" s="102">
        <f t="shared" si="16"/>
        <v>5.9039961280840547E-2</v>
      </c>
      <c r="AC31" s="102">
        <f t="shared" si="16"/>
        <v>2.0896936927243814E-3</v>
      </c>
      <c r="AD31" s="102">
        <f t="shared" si="16"/>
        <v>-2.8367030896279677E-2</v>
      </c>
      <c r="AE31" s="102">
        <f t="shared" si="16"/>
        <v>-5.3015002007597012E-2</v>
      </c>
      <c r="AF31" s="254">
        <f t="shared" si="16"/>
        <v>-5.3015002007597012E-2</v>
      </c>
      <c r="AG31" s="102" t="str">
        <f>IFERROR(AG30/AB30-1,"")</f>
        <v/>
      </c>
      <c r="AH31" s="102" t="str">
        <f>IFERROR(AH30/AC30-1,"")</f>
        <v/>
      </c>
      <c r="AI31" s="102" t="str">
        <f>IFERROR(AI30/AD30-1,"")</f>
        <v/>
      </c>
      <c r="AJ31" s="102" t="str">
        <f>IFERROR(AJ30/AE30-1,"")</f>
        <v/>
      </c>
      <c r="AK31" s="254" t="str">
        <f>IFERROR(AK30/AF30-1,"")</f>
        <v/>
      </c>
    </row>
    <row r="32" spans="1:37" ht="12.75" customHeight="1">
      <c r="A32" s="1342"/>
      <c r="B32" s="433" t="s">
        <v>33</v>
      </c>
      <c r="C32" s="253"/>
      <c r="D32" s="102"/>
      <c r="E32" s="102"/>
      <c r="F32" s="102"/>
      <c r="G32" s="255"/>
      <c r="H32" s="616" t="str">
        <f>IFERROR(H30/F30-1,"")</f>
        <v/>
      </c>
      <c r="I32" s="291" t="str">
        <f>IFERROR(I30/H30-1,"")</f>
        <v/>
      </c>
      <c r="J32" s="291" t="str">
        <f>IFERROR(J30/I30-1,"")</f>
        <v/>
      </c>
      <c r="K32" s="291" t="str">
        <f>IFERROR(K30/J30-1,"")</f>
        <v/>
      </c>
      <c r="L32" s="255"/>
      <c r="M32" s="616">
        <f>IFERROR(M30/K30-1,"")</f>
        <v>-0.80955866523143161</v>
      </c>
      <c r="N32" s="291">
        <f>IFERROR(N30/M30-1,"")</f>
        <v>7.8850969441066638</v>
      </c>
      <c r="O32" s="291">
        <f>IFERROR(O30/N30-1,"")</f>
        <v>2.4570631784904973</v>
      </c>
      <c r="P32" s="291">
        <f>IFERROR(P30/O30-1,"")</f>
        <v>1.4552843183283071</v>
      </c>
      <c r="Q32" s="255"/>
      <c r="R32" s="253">
        <f>IFERROR(R30/P30-1,"")</f>
        <v>0.52996141264166408</v>
      </c>
      <c r="S32" s="102">
        <f>IFERROR(S30/R30-1,"")</f>
        <v>-3.9435258480191693E-2</v>
      </c>
      <c r="T32" s="102">
        <f>IFERROR(T30/S30-1,"")</f>
        <v>2.3296810288935266E-2</v>
      </c>
      <c r="U32" s="102">
        <f>IFERROR(U30/T30-1,"")</f>
        <v>-0.12992385495703462</v>
      </c>
      <c r="V32" s="255"/>
      <c r="W32" s="253">
        <f>IFERROR(W30/U30-1,"")</f>
        <v>4.8392938152430176E-2</v>
      </c>
      <c r="X32" s="102">
        <f>IFERROR(X30/W30-1,"")</f>
        <v>2.881321375470125E-2</v>
      </c>
      <c r="Y32" s="102">
        <f>IFERROR(Y30/X30-1,"")</f>
        <v>3.2586471500042347E-3</v>
      </c>
      <c r="Z32" s="102">
        <f>IFERROR(Z30/Y30-1,"")</f>
        <v>-2.6968781632291661E-3</v>
      </c>
      <c r="AA32" s="255"/>
      <c r="AB32" s="253">
        <f>IFERROR(AB30/Z30-1,"")</f>
        <v>2.8811296369600559E-2</v>
      </c>
      <c r="AC32" s="102">
        <f>IFERROR(AC30/AB30-1,"")</f>
        <v>-2.6511599249198547E-2</v>
      </c>
      <c r="AD32" s="102">
        <f>IFERROR(AD30/AC30-1,"")</f>
        <v>-2.7233605689345075E-2</v>
      </c>
      <c r="AE32" s="102">
        <f>IFERROR(AE30/AD30-1,"")</f>
        <v>-2.799603877007284E-2</v>
      </c>
      <c r="AF32" s="255"/>
      <c r="AG32" s="253" t="str">
        <f>IFERROR(AG30/AE30-1,"")</f>
        <v/>
      </c>
      <c r="AH32" s="102" t="str">
        <f>IFERROR(AH30/AG30-1,"")</f>
        <v/>
      </c>
      <c r="AI32" s="102" t="str">
        <f>IFERROR(AI30/AH30-1,"")</f>
        <v/>
      </c>
      <c r="AJ32" s="102" t="str">
        <f>IFERROR(AJ30/AI30-1,"")</f>
        <v/>
      </c>
      <c r="AK32" s="255"/>
    </row>
    <row r="33" spans="1:37" ht="12.75" customHeight="1">
      <c r="A33" s="1342"/>
      <c r="B33" s="433"/>
      <c r="C33" s="253"/>
      <c r="D33" s="102"/>
      <c r="E33" s="102"/>
      <c r="F33" s="102"/>
      <c r="G33" s="255"/>
      <c r="H33" s="616"/>
      <c r="I33" s="291"/>
      <c r="J33" s="291"/>
      <c r="K33" s="291"/>
      <c r="L33" s="255"/>
      <c r="M33" s="616"/>
      <c r="N33" s="291"/>
      <c r="O33" s="291"/>
      <c r="P33" s="291"/>
      <c r="Q33" s="255"/>
      <c r="R33" s="253"/>
      <c r="S33" s="102"/>
      <c r="T33" s="102"/>
      <c r="U33" s="102"/>
      <c r="V33" s="255"/>
      <c r="W33" s="253"/>
      <c r="X33" s="102"/>
      <c r="Y33" s="102"/>
      <c r="Z33" s="102"/>
      <c r="AA33" s="255"/>
      <c r="AB33" s="253"/>
      <c r="AC33" s="102"/>
      <c r="AD33" s="102"/>
      <c r="AE33" s="102"/>
      <c r="AF33" s="255"/>
      <c r="AG33" s="253"/>
      <c r="AH33" s="102"/>
      <c r="AI33" s="102"/>
      <c r="AJ33" s="102"/>
      <c r="AK33" s="255"/>
    </row>
    <row r="34" spans="1:37" ht="12.75" customHeight="1">
      <c r="A34" s="1342"/>
      <c r="B34" s="743" t="s">
        <v>695</v>
      </c>
      <c r="C34" s="253"/>
      <c r="D34" s="102"/>
      <c r="E34" s="102"/>
      <c r="F34" s="102"/>
      <c r="G34" s="255"/>
      <c r="H34" s="616"/>
      <c r="I34" s="291"/>
      <c r="J34" s="291"/>
      <c r="K34" s="291"/>
      <c r="L34" s="255"/>
      <c r="M34" s="616"/>
      <c r="N34" s="291"/>
      <c r="O34" s="291"/>
      <c r="P34" s="291"/>
      <c r="Q34" s="255"/>
      <c r="R34" s="253"/>
      <c r="S34" s="102"/>
      <c r="T34" s="102"/>
      <c r="U34" s="102"/>
      <c r="V34" s="255"/>
      <c r="W34" s="253"/>
      <c r="X34" s="102"/>
      <c r="Y34" s="102"/>
      <c r="Z34" s="102"/>
      <c r="AA34" s="255"/>
      <c r="AB34" s="253"/>
      <c r="AC34" s="102"/>
      <c r="AD34" s="102"/>
      <c r="AE34" s="102"/>
      <c r="AF34" s="255"/>
      <c r="AG34" s="253"/>
      <c r="AH34" s="102"/>
      <c r="AI34" s="102"/>
      <c r="AJ34" s="102"/>
      <c r="AK34" s="255"/>
    </row>
    <row r="35" spans="1:37" s="492" customFormat="1" ht="12.75" hidden="1" customHeight="1" outlineLevel="1">
      <c r="A35" s="1333"/>
      <c r="B35" s="1358" t="s">
        <v>474</v>
      </c>
      <c r="C35" s="893"/>
      <c r="D35" s="893"/>
      <c r="E35" s="893"/>
      <c r="F35" s="893"/>
      <c r="G35" s="894"/>
      <c r="H35" s="893"/>
      <c r="I35" s="893"/>
      <c r="J35" s="893"/>
      <c r="K35" s="893"/>
      <c r="L35" s="894"/>
      <c r="M35" s="895"/>
      <c r="N35" s="895"/>
      <c r="O35" s="895"/>
      <c r="P35" s="895"/>
      <c r="Q35" s="896"/>
      <c r="R35" s="895">
        <f>SUM(S90:U90,W90)</f>
        <v>-460</v>
      </c>
      <c r="S35" s="895">
        <f>SUM(T90:U90,W90:X90)</f>
        <v>-483</v>
      </c>
      <c r="T35" s="895">
        <f>SUM(U90,W90:Y90)</f>
        <v>-529</v>
      </c>
      <c r="U35" s="895">
        <f>SUM(W90:Z90)</f>
        <v>-598</v>
      </c>
      <c r="V35" s="896"/>
      <c r="W35" s="895">
        <f>SUM(X90:Z90,AB90)</f>
        <v>-672.75</v>
      </c>
      <c r="X35" s="895">
        <f>SUM(Y90:Z90,AB90:AC90)</f>
        <v>-724.5</v>
      </c>
      <c r="Y35" s="895">
        <f>SUM(Z90,AB90:AD90)</f>
        <v>-753.25</v>
      </c>
      <c r="Z35" s="895">
        <f>SUM(AB90:AE90)</f>
        <v>-759</v>
      </c>
      <c r="AA35" s="896"/>
      <c r="AB35" s="895">
        <f>SUM(AC90:AE90,AG90)</f>
        <v>-764.75</v>
      </c>
      <c r="AC35" s="895">
        <f>SUM(AD90:AE90,AG90:AH90)</f>
        <v>-575</v>
      </c>
      <c r="AD35" s="895">
        <f>SUM(AE90,AG90:AI90)</f>
        <v>-385.25</v>
      </c>
      <c r="AE35" s="895">
        <f>SUM(AG90:AJ90)</f>
        <v>-195.5</v>
      </c>
      <c r="AF35" s="896"/>
      <c r="AG35" s="895" t="e">
        <f>SUM(AH90:AJ90,#REF!)</f>
        <v>#REF!</v>
      </c>
      <c r="AH35" s="895" t="e">
        <f>SUM(AI90:AJ90,#REF!)</f>
        <v>#REF!</v>
      </c>
      <c r="AI35" s="895" t="e">
        <f>SUM(AJ90,#REF!)</f>
        <v>#REF!</v>
      </c>
      <c r="AJ35" s="895" t="e">
        <f>SUM(#REF!)</f>
        <v>#REF!</v>
      </c>
      <c r="AK35" s="896"/>
    </row>
    <row r="36" spans="1:37" s="492" customFormat="1" ht="12.75" hidden="1" customHeight="1" outlineLevel="1">
      <c r="A36" s="1333"/>
      <c r="B36" s="1358" t="s">
        <v>475</v>
      </c>
      <c r="C36" s="893"/>
      <c r="D36" s="893"/>
      <c r="E36" s="893"/>
      <c r="F36" s="893"/>
      <c r="G36" s="894"/>
      <c r="H36" s="893"/>
      <c r="I36" s="893"/>
      <c r="J36" s="893"/>
      <c r="K36" s="893"/>
      <c r="L36" s="894"/>
      <c r="M36" s="895"/>
      <c r="N36" s="895"/>
      <c r="O36" s="895"/>
      <c r="P36" s="895"/>
      <c r="Q36" s="896"/>
      <c r="R36" s="895">
        <f>SUM(S101:U101,W101)</f>
        <v>-400</v>
      </c>
      <c r="S36" s="895">
        <f>SUM(T101:U101,W101:X101)</f>
        <v>-800</v>
      </c>
      <c r="T36" s="895">
        <f>SUM(U101,W101:Y101)</f>
        <v>-1220</v>
      </c>
      <c r="U36" s="895">
        <f>SUM(W101:Z101)</f>
        <v>-1670</v>
      </c>
      <c r="V36" s="896"/>
      <c r="W36" s="895">
        <f>SUM(X101:Z101,AB101)</f>
        <v>-1670</v>
      </c>
      <c r="X36" s="895">
        <f>SUM(Y101:Z101,AB101:AC101)</f>
        <v>-1670</v>
      </c>
      <c r="Y36" s="895">
        <f>SUM(Z101,AB101:AD101)</f>
        <v>-1650</v>
      </c>
      <c r="Z36" s="895">
        <f>SUM(AB101:AE101)</f>
        <v>-1600</v>
      </c>
      <c r="AA36" s="896"/>
      <c r="AB36" s="895">
        <f>SUM(AC101:AE101,AG101)</f>
        <v>-1600</v>
      </c>
      <c r="AC36" s="895">
        <f>SUM(AD101:AE101,AG101:AH101)</f>
        <v>-1600</v>
      </c>
      <c r="AD36" s="895">
        <f>SUM(AE101,AG101:AI101)</f>
        <v>-1600</v>
      </c>
      <c r="AE36" s="895">
        <f>SUM(AG101:AJ101)</f>
        <v>-1600</v>
      </c>
      <c r="AF36" s="896"/>
      <c r="AG36" s="895" t="e">
        <f>SUM(AH101:AJ101,#REF!)</f>
        <v>#REF!</v>
      </c>
      <c r="AH36" s="895" t="e">
        <f>SUM(AI101:AJ101,#REF!)</f>
        <v>#REF!</v>
      </c>
      <c r="AI36" s="895" t="e">
        <f>SUM(AJ101,#REF!)</f>
        <v>#REF!</v>
      </c>
      <c r="AJ36" s="895" t="e">
        <f>SUM(#REF!)</f>
        <v>#REF!</v>
      </c>
      <c r="AK36" s="896"/>
    </row>
    <row r="37" spans="1:37" s="492" customFormat="1" ht="12.75" hidden="1" customHeight="1" outlineLevel="1">
      <c r="A37" s="1333"/>
      <c r="B37" s="1358" t="s">
        <v>708</v>
      </c>
      <c r="C37" s="893"/>
      <c r="D37" s="893"/>
      <c r="E37" s="893"/>
      <c r="F37" s="893"/>
      <c r="G37" s="894"/>
      <c r="H37" s="893"/>
      <c r="I37" s="893"/>
      <c r="J37" s="893"/>
      <c r="K37" s="893"/>
      <c r="L37" s="894"/>
      <c r="M37" s="895"/>
      <c r="N37" s="895"/>
      <c r="O37" s="895"/>
      <c r="P37" s="895"/>
      <c r="Q37" s="896"/>
      <c r="R37" s="895"/>
      <c r="S37" s="895"/>
      <c r="T37" s="895">
        <f>SUM(U115,W115:Y115)</f>
        <v>0</v>
      </c>
      <c r="U37" s="895">
        <f>SUM(W115:Z115)</f>
        <v>0</v>
      </c>
      <c r="V37" s="896"/>
      <c r="W37" s="895">
        <f>SUM(X115:Z115,AB115)</f>
        <v>0</v>
      </c>
      <c r="X37" s="895">
        <f>SUM(Y115:Z115,AB115:AC115)</f>
        <v>0</v>
      </c>
      <c r="Y37" s="895">
        <f>SUM(Z115,AB115:AD115)</f>
        <v>0</v>
      </c>
      <c r="Z37" s="895">
        <f>SUM(AB115:AE115)</f>
        <v>0</v>
      </c>
      <c r="AA37" s="896"/>
      <c r="AB37" s="895">
        <f>SUM(AC115:AE115,AG115)</f>
        <v>0</v>
      </c>
      <c r="AC37" s="895">
        <f>SUM(AD115:AE115,AG115:AH115)</f>
        <v>0</v>
      </c>
      <c r="AD37" s="895">
        <f>SUM(AE115,AG115:AI115)</f>
        <v>0</v>
      </c>
      <c r="AE37" s="895">
        <f>SUM(AG115:AJ115)</f>
        <v>0</v>
      </c>
      <c r="AF37" s="896"/>
      <c r="AG37" s="895" t="e">
        <f>SUM(AH115:AJ115,#REF!)</f>
        <v>#REF!</v>
      </c>
      <c r="AH37" s="895" t="e">
        <f>SUM(AI115:AJ115,#REF!)</f>
        <v>#REF!</v>
      </c>
      <c r="AI37" s="895" t="e">
        <f>SUM(AJ115,#REF!)</f>
        <v>#REF!</v>
      </c>
      <c r="AJ37" s="895" t="e">
        <f>SUM(#REF!)</f>
        <v>#REF!</v>
      </c>
      <c r="AK37" s="896"/>
    </row>
    <row r="38" spans="1:37" s="492" customFormat="1" ht="12.75" hidden="1" customHeight="1" outlineLevel="1">
      <c r="A38" s="1333"/>
      <c r="B38" s="1358" t="s">
        <v>709</v>
      </c>
      <c r="C38" s="893"/>
      <c r="D38" s="893"/>
      <c r="E38" s="893"/>
      <c r="F38" s="893"/>
      <c r="G38" s="894"/>
      <c r="H38" s="893"/>
      <c r="I38" s="893"/>
      <c r="J38" s="893"/>
      <c r="K38" s="893"/>
      <c r="L38" s="894"/>
      <c r="M38" s="895"/>
      <c r="N38" s="895"/>
      <c r="O38" s="895"/>
      <c r="P38" s="895"/>
      <c r="Q38" s="896"/>
      <c r="R38" s="895"/>
      <c r="S38" s="895"/>
      <c r="T38" s="895">
        <f>SUM(U121,W121:Y121)</f>
        <v>0</v>
      </c>
      <c r="U38" s="895">
        <f>SUM(W121:Z121)</f>
        <v>0</v>
      </c>
      <c r="V38" s="896"/>
      <c r="W38" s="895">
        <f>SUM(X121:Z121,AB116)</f>
        <v>0</v>
      </c>
      <c r="X38" s="895">
        <f>SUM(Y121:Z121,AB121:AC121)</f>
        <v>0</v>
      </c>
      <c r="Y38" s="895">
        <f>SUM(Z121,AB121:AD121)</f>
        <v>0</v>
      </c>
      <c r="Z38" s="895">
        <f>SUM(AB121:AE121)</f>
        <v>0</v>
      </c>
      <c r="AA38" s="896"/>
      <c r="AB38" s="895">
        <f>SUM(AC121:AE121,AG116)</f>
        <v>0</v>
      </c>
      <c r="AC38" s="895">
        <f>SUM(AD121:AE121,AG121:AH121)</f>
        <v>0</v>
      </c>
      <c r="AD38" s="895">
        <f>SUM(AE121,AG121:AI121)</f>
        <v>0</v>
      </c>
      <c r="AE38" s="895">
        <f>SUM(AG121:AJ121)</f>
        <v>0</v>
      </c>
      <c r="AF38" s="896"/>
      <c r="AG38" s="895" t="e">
        <f>SUM(AH121:AJ121,#REF!)</f>
        <v>#REF!</v>
      </c>
      <c r="AH38" s="895" t="e">
        <f>SUM(AI121:AJ121,#REF!)</f>
        <v>#REF!</v>
      </c>
      <c r="AI38" s="895" t="e">
        <f>SUM(AJ121,#REF!)</f>
        <v>#REF!</v>
      </c>
      <c r="AJ38" s="895" t="e">
        <f>SUM(#REF!)</f>
        <v>#REF!</v>
      </c>
      <c r="AK38" s="896"/>
    </row>
    <row r="39" spans="1:37" s="492" customFormat="1" ht="12.75" hidden="1" customHeight="1" outlineLevel="1">
      <c r="A39" s="1333"/>
      <c r="B39" s="1358" t="s">
        <v>694</v>
      </c>
      <c r="C39" s="893"/>
      <c r="D39" s="893"/>
      <c r="E39" s="893"/>
      <c r="F39" s="893"/>
      <c r="G39" s="894"/>
      <c r="H39" s="893"/>
      <c r="I39" s="893"/>
      <c r="J39" s="893"/>
      <c r="K39" s="893"/>
      <c r="L39" s="894"/>
      <c r="M39" s="895"/>
      <c r="N39" s="895"/>
      <c r="O39" s="895"/>
      <c r="P39" s="895"/>
      <c r="Q39" s="896"/>
      <c r="R39" s="895">
        <f>SUM(S127:U127,W127)</f>
        <v>0</v>
      </c>
      <c r="S39" s="895">
        <f>SUM(T127:U127,W127:X127)</f>
        <v>0</v>
      </c>
      <c r="T39" s="895">
        <f>SUM(U127,W127:Y127)</f>
        <v>0</v>
      </c>
      <c r="U39" s="895">
        <f>SUM(W127:Z127)</f>
        <v>0</v>
      </c>
      <c r="V39" s="896"/>
      <c r="W39" s="895">
        <f>SUM(X127:Z127,AB127)</f>
        <v>0</v>
      </c>
      <c r="X39" s="895">
        <f>SUM(Y127:Z127,AB127:AC127)</f>
        <v>0</v>
      </c>
      <c r="Y39" s="895">
        <f>SUM(Z127,AB127:AE127)</f>
        <v>0</v>
      </c>
      <c r="Z39" s="895">
        <f>SUM(AB127:AE127)</f>
        <v>0</v>
      </c>
      <c r="AA39" s="896"/>
      <c r="AB39" s="895">
        <f>SUM(AC127:AE127,AG127)</f>
        <v>0</v>
      </c>
      <c r="AC39" s="895">
        <f>SUM(AD127:AE127,AG127:AH127)</f>
        <v>0</v>
      </c>
      <c r="AD39" s="895">
        <f>SUM(AE127,AG127:AJ127)</f>
        <v>0</v>
      </c>
      <c r="AE39" s="895">
        <f>SUM(AG127:AJ127)</f>
        <v>0</v>
      </c>
      <c r="AF39" s="896"/>
      <c r="AG39" s="895" t="e">
        <f>SUM(AH127:AJ127,#REF!)</f>
        <v>#REF!</v>
      </c>
      <c r="AH39" s="895" t="e">
        <f>SUM(AI127:AJ127,#REF!)</f>
        <v>#REF!</v>
      </c>
      <c r="AI39" s="895" t="e">
        <f>SUM(AJ127,#REF!)</f>
        <v>#REF!</v>
      </c>
      <c r="AJ39" s="895" t="e">
        <f>SUM(#REF!)</f>
        <v>#REF!</v>
      </c>
      <c r="AK39" s="896"/>
    </row>
    <row r="40" spans="1:37" s="492" customFormat="1" ht="12.75" hidden="1" customHeight="1" outlineLevel="1">
      <c r="A40" s="1333"/>
      <c r="B40" s="1358" t="s">
        <v>707</v>
      </c>
      <c r="C40" s="893"/>
      <c r="D40" s="893"/>
      <c r="E40" s="893"/>
      <c r="F40" s="893"/>
      <c r="G40" s="894"/>
      <c r="H40" s="893"/>
      <c r="I40" s="893"/>
      <c r="J40" s="893"/>
      <c r="K40" s="893"/>
      <c r="L40" s="894"/>
      <c r="M40" s="895"/>
      <c r="N40" s="895"/>
      <c r="O40" s="895"/>
      <c r="P40" s="895"/>
      <c r="Q40" s="896"/>
      <c r="R40" s="895"/>
      <c r="S40" s="895"/>
      <c r="T40" s="895">
        <f>SUM(U133,W133:Y133)</f>
        <v>0</v>
      </c>
      <c r="U40" s="895">
        <f>SUM(W133:Z133)</f>
        <v>0</v>
      </c>
      <c r="V40" s="896"/>
      <c r="W40" s="895">
        <f>SUM(X133:Z133,AB133)</f>
        <v>0</v>
      </c>
      <c r="X40" s="895">
        <f>SUM(Y133:Z133,AB133:AC133)</f>
        <v>0</v>
      </c>
      <c r="Y40" s="895">
        <f>SUM(Z133,AB133:AD133)</f>
        <v>0</v>
      </c>
      <c r="Z40" s="895">
        <f>SUM(AB133:AE133)</f>
        <v>0</v>
      </c>
      <c r="AA40" s="896"/>
      <c r="AB40" s="895">
        <f>SUM(AC133:AE133,AG133)</f>
        <v>0</v>
      </c>
      <c r="AC40" s="895">
        <f>SUM(AD133:AE133,AG133:AH133)</f>
        <v>0</v>
      </c>
      <c r="AD40" s="895">
        <f>SUM(AE133,AG133:AI133)</f>
        <v>0</v>
      </c>
      <c r="AE40" s="895">
        <f>SUM(AG133:AJ133)</f>
        <v>0</v>
      </c>
      <c r="AF40" s="896"/>
      <c r="AG40" s="895" t="e">
        <f>SUM(AH133:AJ133,#REF!)</f>
        <v>#REF!</v>
      </c>
      <c r="AH40" s="895" t="e">
        <f>SUM(AI133:AJ133,#REF!)</f>
        <v>#REF!</v>
      </c>
      <c r="AI40" s="895" t="e">
        <f>SUM(AJ133,#REF!)</f>
        <v>#REF!</v>
      </c>
      <c r="AJ40" s="895" t="e">
        <f>SUM(#REF!)</f>
        <v>#REF!</v>
      </c>
      <c r="AK40" s="896"/>
    </row>
    <row r="41" spans="1:37" s="492" customFormat="1" ht="12.75" hidden="1" customHeight="1" outlineLevel="1">
      <c r="A41" s="1333"/>
      <c r="B41" s="1358" t="s">
        <v>534</v>
      </c>
      <c r="C41" s="893"/>
      <c r="D41" s="893"/>
      <c r="E41" s="893"/>
      <c r="F41" s="893"/>
      <c r="G41" s="894"/>
      <c r="H41" s="893"/>
      <c r="I41" s="893"/>
      <c r="J41" s="893"/>
      <c r="K41" s="893"/>
      <c r="L41" s="894"/>
      <c r="M41" s="895"/>
      <c r="N41" s="895"/>
      <c r="O41" s="895"/>
      <c r="P41" s="895"/>
      <c r="Q41" s="896"/>
      <c r="R41" s="895">
        <f>SUM(S207:U207,W207)</f>
        <v>-1000</v>
      </c>
      <c r="S41" s="895">
        <f>SUM(T207:U207,W207:X207)</f>
        <v>0</v>
      </c>
      <c r="T41" s="895">
        <f>SUM(U207:V207,X207:Y207)</f>
        <v>-1000</v>
      </c>
      <c r="U41" s="895">
        <f>SUM(W207:Z207)</f>
        <v>0</v>
      </c>
      <c r="V41" s="896"/>
      <c r="W41" s="895">
        <f>SUM(X207:Z207,AB207)</f>
        <v>0</v>
      </c>
      <c r="X41" s="895">
        <f>SUM(Y207:Z207,AB207:AC207)</f>
        <v>0</v>
      </c>
      <c r="Y41" s="895">
        <f>SUM(Z207,AB207:AD207)</f>
        <v>0</v>
      </c>
      <c r="Z41" s="895">
        <f>SUM(AB207:AE207)</f>
        <v>0</v>
      </c>
      <c r="AA41" s="896"/>
      <c r="AB41" s="895">
        <f>SUM(AC207:AE207,AG207)</f>
        <v>0</v>
      </c>
      <c r="AC41" s="895">
        <f>SUM(AD207:AE207,AG207:AH207)</f>
        <v>0</v>
      </c>
      <c r="AD41" s="895">
        <f>SUM(AE207,AG207:AI207)</f>
        <v>0</v>
      </c>
      <c r="AE41" s="895">
        <f>SUM(AG207:AJ207)</f>
        <v>0</v>
      </c>
      <c r="AF41" s="896"/>
      <c r="AG41" s="895" t="e">
        <f>SUM(AH207:AJ207,#REF!)</f>
        <v>#REF!</v>
      </c>
      <c r="AH41" s="895" t="e">
        <f>SUM(AI207:AJ207,#REF!)</f>
        <v>#REF!</v>
      </c>
      <c r="AI41" s="895" t="e">
        <f>SUM(AJ207,#REF!)</f>
        <v>#REF!</v>
      </c>
      <c r="AJ41" s="895" t="e">
        <f>SUM(#REF!)</f>
        <v>#REF!</v>
      </c>
      <c r="AK41" s="896"/>
    </row>
    <row r="42" spans="1:37" s="492" customFormat="1" ht="12.75" hidden="1" customHeight="1" outlineLevel="1">
      <c r="A42" s="1333"/>
      <c r="B42" s="1358" t="s">
        <v>476</v>
      </c>
      <c r="C42" s="893"/>
      <c r="D42" s="893"/>
      <c r="E42" s="893"/>
      <c r="F42" s="893"/>
      <c r="G42" s="894"/>
      <c r="H42" s="893"/>
      <c r="I42" s="893"/>
      <c r="J42" s="893"/>
      <c r="K42" s="893"/>
      <c r="L42" s="894"/>
      <c r="M42" s="895"/>
      <c r="N42" s="895"/>
      <c r="O42" s="895"/>
      <c r="P42" s="895"/>
      <c r="Q42" s="896"/>
      <c r="R42" s="895">
        <f>SUM(S142:U142,W142)</f>
        <v>-1270.6540399999999</v>
      </c>
      <c r="S42" s="895">
        <f>SUM(T142:U142,W142:X142)</f>
        <v>-1266.3045765999998</v>
      </c>
      <c r="T42" s="895">
        <f>SUM(U142:V142,X142:Y142)</f>
        <v>-2218.261496823</v>
      </c>
      <c r="U42" s="895">
        <f>SUM(W142:Z142)</f>
        <v>-961.87665387716015</v>
      </c>
      <c r="V42" s="896"/>
      <c r="W42" s="895">
        <f>SUM(X142:Z142,AB142)</f>
        <v>-1043.4298750282155</v>
      </c>
      <c r="X42" s="895">
        <f>SUM(Y142:Z142,AB142:AC142)</f>
        <v>-1089.2465995792713</v>
      </c>
      <c r="Y42" s="895">
        <f>SUM(Z142,AB142:AD142)</f>
        <v>-1091.848900507327</v>
      </c>
      <c r="Z42" s="895">
        <f>SUM(AB142:AE142)</f>
        <v>-1126.6730446042225</v>
      </c>
      <c r="AA42" s="896"/>
      <c r="AB42" s="895">
        <f>SUM(AC142:AE142,AG142)</f>
        <v>-1221.3498037398426</v>
      </c>
      <c r="AC42" s="895">
        <f>SUM(AD142:AE142,AG142:AH142)</f>
        <v>-1316.0265628754626</v>
      </c>
      <c r="AD42" s="895">
        <f>SUM(AE142,AG142:AI142)</f>
        <v>-1410.7033220110825</v>
      </c>
      <c r="AE42" s="895">
        <f>SUM(AG142:AJ142)</f>
        <v>-1505.3800811467027</v>
      </c>
      <c r="AF42" s="896"/>
      <c r="AG42" s="895" t="e">
        <f>SUM(AH142:AJ142,#REF!)</f>
        <v>#REF!</v>
      </c>
      <c r="AH42" s="895" t="e">
        <f>SUM(AI142:AJ142,#REF!)</f>
        <v>#REF!</v>
      </c>
      <c r="AI42" s="895" t="e">
        <f>SUM(AJ142,#REF!)</f>
        <v>#REF!</v>
      </c>
      <c r="AJ42" s="895" t="e">
        <f>SUM(#REF!)</f>
        <v>#REF!</v>
      </c>
      <c r="AK42" s="896"/>
    </row>
    <row r="43" spans="1:37" s="492" customFormat="1" ht="12.75" hidden="1" customHeight="1" outlineLevel="1">
      <c r="A43" s="1333"/>
      <c r="B43" s="1358" t="s">
        <v>477</v>
      </c>
      <c r="C43" s="893"/>
      <c r="D43" s="893"/>
      <c r="E43" s="893"/>
      <c r="F43" s="893"/>
      <c r="G43" s="894"/>
      <c r="H43" s="893"/>
      <c r="I43" s="893"/>
      <c r="J43" s="893"/>
      <c r="K43" s="893"/>
      <c r="L43" s="894"/>
      <c r="M43" s="895"/>
      <c r="N43" s="895"/>
      <c r="O43" s="895"/>
      <c r="P43" s="895"/>
      <c r="Q43" s="896"/>
      <c r="R43" s="895">
        <f>SUM(S151:U151,W151)</f>
        <v>-700</v>
      </c>
      <c r="S43" s="895">
        <f>SUM(T151:U151,W151)</f>
        <v>-700</v>
      </c>
      <c r="T43" s="895">
        <f>SUM(U151:V151,X151)</f>
        <v>-1400</v>
      </c>
      <c r="U43" s="895">
        <f>SUM(W151:Z151)</f>
        <v>0</v>
      </c>
      <c r="V43" s="896"/>
      <c r="W43" s="895">
        <f>SUM(X151:Z151,AB151)</f>
        <v>0</v>
      </c>
      <c r="X43" s="895">
        <f>SUM(Y151:Z151,AB151)</f>
        <v>0</v>
      </c>
      <c r="Y43" s="895">
        <f>SUM(Z151,AB151:AD151)</f>
        <v>0</v>
      </c>
      <c r="Z43" s="895">
        <f>SUM(AB151:AE151)</f>
        <v>0</v>
      </c>
      <c r="AA43" s="896"/>
      <c r="AB43" s="895">
        <f>SUM(AC151:AE151,AG151)</f>
        <v>0</v>
      </c>
      <c r="AC43" s="895">
        <f>SUM(AD151:AE151,AG151)</f>
        <v>0</v>
      </c>
      <c r="AD43" s="895">
        <f>SUM(AE151,AG151:AI151)</f>
        <v>0</v>
      </c>
      <c r="AE43" s="895">
        <f>SUM(AG151:AJ151)</f>
        <v>0</v>
      </c>
      <c r="AF43" s="896"/>
      <c r="AG43" s="895" t="e">
        <f>SUM(AH151:AJ151,#REF!)</f>
        <v>#REF!</v>
      </c>
      <c r="AH43" s="895" t="e">
        <f>SUM(AI151:AJ151,#REF!)</f>
        <v>#REF!</v>
      </c>
      <c r="AI43" s="895" t="e">
        <f>SUM(AJ151,#REF!)</f>
        <v>#REF!</v>
      </c>
      <c r="AJ43" s="895" t="e">
        <f>SUM(#REF!)</f>
        <v>#REF!</v>
      </c>
      <c r="AK43" s="896"/>
    </row>
    <row r="44" spans="1:37" s="492" customFormat="1" ht="12.75" hidden="1" customHeight="1" outlineLevel="1">
      <c r="A44" s="1333"/>
      <c r="B44" s="1358" t="s">
        <v>605</v>
      </c>
      <c r="C44" s="893"/>
      <c r="D44" s="893"/>
      <c r="E44" s="893"/>
      <c r="F44" s="893"/>
      <c r="G44" s="894"/>
      <c r="H44" s="893"/>
      <c r="I44" s="893"/>
      <c r="J44" s="893"/>
      <c r="K44" s="893"/>
      <c r="L44" s="894"/>
      <c r="M44" s="895"/>
      <c r="N44" s="895"/>
      <c r="O44" s="895"/>
      <c r="P44" s="895"/>
      <c r="Q44" s="896"/>
      <c r="R44" s="895">
        <f>SUM(S162:U162,W162)</f>
        <v>0</v>
      </c>
      <c r="S44" s="895">
        <f>SUM(T162:U162,W162:X162)</f>
        <v>0</v>
      </c>
      <c r="T44" s="895">
        <f>SUM(U162:V162,X162:Y162)</f>
        <v>0</v>
      </c>
      <c r="U44" s="895">
        <f>SUM(W162:Z162)</f>
        <v>0</v>
      </c>
      <c r="V44" s="896"/>
      <c r="W44" s="895">
        <f>SUM(X162:Z162,AB162)</f>
        <v>0</v>
      </c>
      <c r="X44" s="895">
        <f>SUM(Y162:Z162,AB162:AC162)</f>
        <v>0</v>
      </c>
      <c r="Y44" s="895">
        <f>SUM(Z162,AB162:AD162)</f>
        <v>0</v>
      </c>
      <c r="Z44" s="895">
        <f>SUM(AB162:AE162)</f>
        <v>0</v>
      </c>
      <c r="AA44" s="896"/>
      <c r="AB44" s="895">
        <f>SUM(AC162:AE162,AG162)</f>
        <v>0</v>
      </c>
      <c r="AC44" s="895">
        <f>SUM(AD162:AE162,AG162:AH162)</f>
        <v>0</v>
      </c>
      <c r="AD44" s="895">
        <f>SUM(AE162,AG162:AI162)</f>
        <v>0</v>
      </c>
      <c r="AE44" s="895">
        <f>SUM(AG162:AJ162)</f>
        <v>0</v>
      </c>
      <c r="AF44" s="896"/>
      <c r="AG44" s="895" t="e">
        <f>SUM(AH162:AJ162,#REF!)</f>
        <v>#REF!</v>
      </c>
      <c r="AH44" s="895" t="e">
        <f>SUM(AI162:AJ162,#REF!)</f>
        <v>#REF!</v>
      </c>
      <c r="AI44" s="895" t="e">
        <f>SUM(AJ162,#REF!)</f>
        <v>#REF!</v>
      </c>
      <c r="AJ44" s="895" t="e">
        <f>SUM(#REF!)</f>
        <v>#REF!</v>
      </c>
      <c r="AK44" s="896"/>
    </row>
    <row r="45" spans="1:37" s="289" customFormat="1" ht="12.75" customHeight="1" collapsed="1">
      <c r="A45" s="1343"/>
      <c r="B45" s="433"/>
      <c r="C45" s="287"/>
      <c r="D45" s="288"/>
      <c r="E45" s="288"/>
      <c r="F45" s="288"/>
      <c r="G45" s="785"/>
      <c r="H45" s="656"/>
      <c r="I45" s="786"/>
      <c r="J45" s="786"/>
      <c r="K45" s="786"/>
      <c r="L45" s="785"/>
      <c r="M45" s="656"/>
      <c r="N45" s="656"/>
      <c r="O45" s="656"/>
      <c r="P45" s="656"/>
      <c r="Q45" s="785"/>
      <c r="R45" s="656"/>
      <c r="S45" s="656"/>
      <c r="T45" s="656"/>
      <c r="U45" s="656"/>
      <c r="V45" s="785"/>
      <c r="W45" s="656"/>
      <c r="X45" s="656"/>
      <c r="Y45" s="656"/>
      <c r="Z45" s="656"/>
      <c r="AA45" s="785"/>
      <c r="AB45" s="656"/>
      <c r="AC45" s="656"/>
      <c r="AD45" s="656"/>
      <c r="AE45" s="656"/>
      <c r="AF45" s="785"/>
      <c r="AG45" s="656"/>
      <c r="AH45" s="656"/>
      <c r="AI45" s="656"/>
      <c r="AJ45" s="656"/>
      <c r="AK45" s="785"/>
    </row>
    <row r="46" spans="1:37" s="492" customFormat="1" ht="12.75" customHeight="1">
      <c r="A46" s="1341"/>
      <c r="B46" s="441" t="s">
        <v>242</v>
      </c>
      <c r="C46" s="487"/>
      <c r="D46" s="487"/>
      <c r="E46" s="487"/>
      <c r="F46" s="487"/>
      <c r="G46" s="415"/>
      <c r="H46" s="487"/>
      <c r="I46" s="487"/>
      <c r="J46" s="487"/>
      <c r="K46" s="915">
        <f>BS!K39</f>
        <v>1351.3889999999999</v>
      </c>
      <c r="L46" s="914">
        <f>BS!L39</f>
        <v>1351.3889999999999</v>
      </c>
      <c r="M46" s="915">
        <f>BS!M39</f>
        <v>2425.3510000000001</v>
      </c>
      <c r="N46" s="915">
        <f>BS!N39</f>
        <v>2991.768</v>
      </c>
      <c r="O46" s="915">
        <f>BS!O39</f>
        <v>3445.72</v>
      </c>
      <c r="P46" s="915">
        <f>BS!P39</f>
        <v>5457.915</v>
      </c>
      <c r="Q46" s="914">
        <f>BS!Q39</f>
        <v>5457.915</v>
      </c>
      <c r="R46" s="915">
        <f>BS!R39</f>
        <v>4935.0709999999999</v>
      </c>
      <c r="S46" s="915">
        <f>BS!S39</f>
        <v>7423.8370000000004</v>
      </c>
      <c r="T46" s="915">
        <f>BS!T39</f>
        <v>10322.757</v>
      </c>
      <c r="U46" s="487">
        <f t="shared" ref="U46:AK46" si="17">U10-U30</f>
        <v>16245.66859612284</v>
      </c>
      <c r="V46" s="415">
        <f t="shared" si="17"/>
        <v>16245.66859612284</v>
      </c>
      <c r="W46" s="487">
        <f t="shared" si="17"/>
        <v>23050.472584971783</v>
      </c>
      <c r="X46" s="487">
        <f t="shared" si="17"/>
        <v>28701.689573820731</v>
      </c>
      <c r="Y46" s="487">
        <f t="shared" si="17"/>
        <v>31231.57356266967</v>
      </c>
      <c r="Z46" s="487">
        <f t="shared" si="17"/>
        <v>31656.066551518616</v>
      </c>
      <c r="AA46" s="415">
        <f t="shared" si="17"/>
        <v>31656.066551518616</v>
      </c>
      <c r="AB46" s="487">
        <f t="shared" si="17"/>
        <v>34384.470686231936</v>
      </c>
      <c r="AC46" s="487">
        <f t="shared" si="17"/>
        <v>39504.466625945264</v>
      </c>
      <c r="AD46" s="487">
        <f t="shared" si="17"/>
        <v>43051.312565658591</v>
      </c>
      <c r="AE46" s="487">
        <f t="shared" si="17"/>
        <v>44235.20850537192</v>
      </c>
      <c r="AF46" s="415">
        <f t="shared" si="17"/>
        <v>44235.20850537192</v>
      </c>
      <c r="AG46" s="487" t="e">
        <f t="shared" si="17"/>
        <v>#REF!</v>
      </c>
      <c r="AH46" s="487" t="e">
        <f t="shared" si="17"/>
        <v>#REF!</v>
      </c>
      <c r="AI46" s="487" t="e">
        <f t="shared" si="17"/>
        <v>#REF!</v>
      </c>
      <c r="AJ46" s="487" t="e">
        <f t="shared" si="17"/>
        <v>#REF!</v>
      </c>
      <c r="AK46" s="415" t="e">
        <f t="shared" si="17"/>
        <v>#REF!</v>
      </c>
    </row>
    <row r="47" spans="1:37" s="298" customFormat="1" ht="12.75" customHeight="1">
      <c r="A47" s="1088"/>
      <c r="B47" s="433" t="s">
        <v>31</v>
      </c>
      <c r="C47" s="102"/>
      <c r="D47" s="102"/>
      <c r="E47" s="102"/>
      <c r="F47" s="102"/>
      <c r="G47" s="254"/>
      <c r="H47" s="102" t="str">
        <f t="shared" ref="H47:AF47" si="18">IFERROR(H46/C46-1,"")</f>
        <v/>
      </c>
      <c r="I47" s="102" t="str">
        <f t="shared" si="18"/>
        <v/>
      </c>
      <c r="J47" s="102" t="str">
        <f t="shared" si="18"/>
        <v/>
      </c>
      <c r="K47" s="291" t="str">
        <f t="shared" si="18"/>
        <v/>
      </c>
      <c r="L47" s="254" t="str">
        <f t="shared" si="18"/>
        <v/>
      </c>
      <c r="M47" s="102" t="str">
        <f t="shared" si="18"/>
        <v/>
      </c>
      <c r="N47" s="102" t="str">
        <f t="shared" si="18"/>
        <v/>
      </c>
      <c r="O47" s="102" t="str">
        <f t="shared" si="18"/>
        <v/>
      </c>
      <c r="P47" s="102">
        <f t="shared" si="18"/>
        <v>3.0387445805759858</v>
      </c>
      <c r="Q47" s="254">
        <f t="shared" si="18"/>
        <v>3.0387445805759858</v>
      </c>
      <c r="R47" s="102">
        <f t="shared" si="18"/>
        <v>1.0347863051574802</v>
      </c>
      <c r="S47" s="102">
        <f t="shared" si="18"/>
        <v>1.4814213535274128</v>
      </c>
      <c r="T47" s="102">
        <f t="shared" si="18"/>
        <v>1.9958200318075758</v>
      </c>
      <c r="U47" s="102">
        <f t="shared" si="18"/>
        <v>1.9765338221871978</v>
      </c>
      <c r="V47" s="254">
        <f t="shared" si="18"/>
        <v>1.9765338221871978</v>
      </c>
      <c r="W47" s="102">
        <f t="shared" si="18"/>
        <v>3.6707479152725027</v>
      </c>
      <c r="X47" s="102">
        <f t="shared" si="18"/>
        <v>2.8661529844769933</v>
      </c>
      <c r="Y47" s="102">
        <f t="shared" si="18"/>
        <v>2.0255069999874715</v>
      </c>
      <c r="Z47" s="102">
        <f t="shared" si="18"/>
        <v>0.94858502524627353</v>
      </c>
      <c r="AA47" s="254">
        <f t="shared" si="18"/>
        <v>0.94858502524627353</v>
      </c>
      <c r="AB47" s="102">
        <f t="shared" si="18"/>
        <v>0.49170350236765126</v>
      </c>
      <c r="AC47" s="102">
        <f t="shared" si="18"/>
        <v>0.37638122398125007</v>
      </c>
      <c r="AD47" s="102">
        <f t="shared" si="18"/>
        <v>0.3784548024540384</v>
      </c>
      <c r="AE47" s="102">
        <f t="shared" si="18"/>
        <v>0.39736907721562309</v>
      </c>
      <c r="AF47" s="254">
        <f t="shared" si="18"/>
        <v>0.39736907721562309</v>
      </c>
      <c r="AG47" s="102" t="str">
        <f>IFERROR(AG46/AB46-1,"")</f>
        <v/>
      </c>
      <c r="AH47" s="102" t="str">
        <f>IFERROR(AH46/AC46-1,"")</f>
        <v/>
      </c>
      <c r="AI47" s="102" t="str">
        <f>IFERROR(AI46/AD46-1,"")</f>
        <v/>
      </c>
      <c r="AJ47" s="102" t="str">
        <f>IFERROR(AJ46/AE46-1,"")</f>
        <v/>
      </c>
      <c r="AK47" s="254" t="str">
        <f>IFERROR(AK46/AF46-1,"")</f>
        <v/>
      </c>
    </row>
    <row r="48" spans="1:37" ht="12.75" customHeight="1">
      <c r="A48" s="1094"/>
      <c r="B48" s="433" t="s">
        <v>33</v>
      </c>
      <c r="C48" s="253"/>
      <c r="D48" s="102"/>
      <c r="E48" s="102"/>
      <c r="F48" s="102"/>
      <c r="G48" s="255"/>
      <c r="H48" s="616" t="str">
        <f>IFERROR(H46/F46-1,"")</f>
        <v/>
      </c>
      <c r="I48" s="291" t="str">
        <f>IFERROR(I46/H46-1,"")</f>
        <v/>
      </c>
      <c r="J48" s="291" t="str">
        <f>IFERROR(J46/I46-1,"")</f>
        <v/>
      </c>
      <c r="K48" s="291" t="str">
        <f>IFERROR(K46/J46-1,"")</f>
        <v/>
      </c>
      <c r="L48" s="255"/>
      <c r="M48" s="616">
        <f>IFERROR(M46/K46-1,"")</f>
        <v>0.7947097393866609</v>
      </c>
      <c r="N48" s="291">
        <f>IFERROR(N46/M46-1,"")</f>
        <v>0.23354021747780007</v>
      </c>
      <c r="O48" s="291">
        <f>IFERROR(O46/N46-1,"")</f>
        <v>0.15173369058028552</v>
      </c>
      <c r="P48" s="291">
        <f>IFERROR(P46/O46-1,"")</f>
        <v>0.5839693881104675</v>
      </c>
      <c r="Q48" s="255"/>
      <c r="R48" s="253">
        <f>IFERROR(R46/P46-1,"")</f>
        <v>-9.5795555628843676E-2</v>
      </c>
      <c r="S48" s="102">
        <f>IFERROR(S46/R46-1,"")</f>
        <v>0.50430196444995423</v>
      </c>
      <c r="T48" s="102">
        <f>IFERROR(T46/S46-1,"")</f>
        <v>0.39048809934808637</v>
      </c>
      <c r="U48" s="102">
        <f>IFERROR(U46/T46-1,"")</f>
        <v>0.57377225833397416</v>
      </c>
      <c r="V48" s="255"/>
      <c r="W48" s="253">
        <f>IFERROR(W46/U46-1,"")</f>
        <v>0.41886881716108415</v>
      </c>
      <c r="X48" s="102">
        <f>IFERROR(X46/W46-1,"")</f>
        <v>0.24516707707473961</v>
      </c>
      <c r="Y48" s="102">
        <f>IFERROR(Y46/X46-1,"")</f>
        <v>8.8144078847416818E-2</v>
      </c>
      <c r="Z48" s="102">
        <f>IFERROR(Z46/Y46-1,"")</f>
        <v>1.3591789987691616E-2</v>
      </c>
      <c r="AA48" s="255"/>
      <c r="AB48" s="253">
        <f>IFERROR(AB46/Z46-1,"")</f>
        <v>8.6188981510794571E-2</v>
      </c>
      <c r="AC48" s="102">
        <f>IFERROR(AC46/AB46-1,"")</f>
        <v>0.14890431167124096</v>
      </c>
      <c r="AD48" s="102">
        <f>IFERROR(AD46/AC46-1,"")</f>
        <v>8.9783415462794114E-2</v>
      </c>
      <c r="AE48" s="102">
        <f>IFERROR(AE46/AD46-1,"")</f>
        <v>2.749964795864801E-2</v>
      </c>
      <c r="AF48" s="255"/>
      <c r="AG48" s="253" t="str">
        <f>IFERROR(AG46/AE46-1,"")</f>
        <v/>
      </c>
      <c r="AH48" s="102" t="str">
        <f>IFERROR(AH46/AG46-1,"")</f>
        <v/>
      </c>
      <c r="AI48" s="102" t="str">
        <f>IFERROR(AI46/AH46-1,"")</f>
        <v/>
      </c>
      <c r="AJ48" s="102" t="str">
        <f>IFERROR(AJ46/AI46-1,"")</f>
        <v/>
      </c>
      <c r="AK48" s="255"/>
    </row>
    <row r="49" spans="1:37" s="299" customFormat="1" ht="12.75" customHeight="1">
      <c r="A49" s="283"/>
      <c r="B49" s="714"/>
      <c r="C49" s="895"/>
      <c r="D49" s="895"/>
      <c r="E49" s="895"/>
      <c r="F49" s="895"/>
      <c r="G49" s="896"/>
      <c r="H49" s="895"/>
      <c r="I49" s="895"/>
      <c r="J49" s="895"/>
      <c r="K49" s="899"/>
      <c r="L49" s="900"/>
      <c r="M49" s="899"/>
      <c r="N49" s="899"/>
      <c r="O49" s="899"/>
      <c r="P49" s="899"/>
      <c r="Q49" s="900"/>
      <c r="R49" s="895"/>
      <c r="S49" s="895"/>
      <c r="T49" s="895"/>
      <c r="U49" s="895"/>
      <c r="V49" s="896"/>
      <c r="W49" s="895"/>
      <c r="X49" s="895"/>
      <c r="Y49" s="895"/>
      <c r="Z49" s="895"/>
      <c r="AA49" s="896"/>
      <c r="AB49" s="895"/>
      <c r="AC49" s="897"/>
      <c r="AD49" s="897"/>
      <c r="AE49" s="897"/>
      <c r="AF49" s="896"/>
      <c r="AG49" s="895"/>
      <c r="AH49" s="897"/>
      <c r="AI49" s="897"/>
      <c r="AJ49" s="897"/>
      <c r="AK49" s="896"/>
    </row>
    <row r="50" spans="1:37" s="299" customFormat="1" ht="12.75" customHeight="1">
      <c r="A50" s="283"/>
      <c r="B50" s="709" t="s">
        <v>509</v>
      </c>
      <c r="C50" s="895"/>
      <c r="D50" s="895"/>
      <c r="E50" s="895"/>
      <c r="F50" s="895"/>
      <c r="G50" s="896"/>
      <c r="H50" s="895"/>
      <c r="I50" s="895"/>
      <c r="J50" s="895"/>
      <c r="K50" s="899"/>
      <c r="L50" s="900"/>
      <c r="M50" s="899"/>
      <c r="N50" s="899"/>
      <c r="O50" s="899"/>
      <c r="P50" s="899"/>
      <c r="Q50" s="900"/>
      <c r="R50" s="895"/>
      <c r="S50" s="895"/>
      <c r="T50" s="895"/>
      <c r="U50" s="895"/>
      <c r="V50" s="896"/>
      <c r="W50" s="895"/>
      <c r="X50" s="895"/>
      <c r="Y50" s="895"/>
      <c r="Z50" s="895"/>
      <c r="AA50" s="896"/>
      <c r="AB50" s="895"/>
      <c r="AC50" s="897"/>
      <c r="AD50" s="897"/>
      <c r="AE50" s="897"/>
      <c r="AF50" s="896"/>
      <c r="AG50" s="895"/>
      <c r="AH50" s="897"/>
      <c r="AI50" s="897"/>
      <c r="AJ50" s="897"/>
      <c r="AK50" s="896"/>
    </row>
    <row r="51" spans="1:37" s="492" customFormat="1" ht="12.75" hidden="1" customHeight="1" outlineLevel="1">
      <c r="A51" s="1333"/>
      <c r="B51" s="1003" t="s">
        <v>531</v>
      </c>
      <c r="C51" s="487"/>
      <c r="D51" s="487"/>
      <c r="E51" s="487"/>
      <c r="F51" s="487"/>
      <c r="G51" s="415"/>
      <c r="H51" s="487"/>
      <c r="I51" s="487"/>
      <c r="J51" s="487"/>
      <c r="K51" s="487"/>
      <c r="L51" s="415"/>
      <c r="M51" s="487"/>
      <c r="N51" s="487"/>
      <c r="O51" s="1028">
        <f>O10/('IS (Non-GAAP)'!O47*4)</f>
        <v>8.9211996825218662</v>
      </c>
      <c r="P51" s="1028">
        <f>P10/('IS (Non-GAAP)'!P47*4)</f>
        <v>16.41798402598263</v>
      </c>
      <c r="Q51" s="1008">
        <f>Q10/('IS (Non-GAAP)'!Q47)</f>
        <v>22.274635656997702</v>
      </c>
      <c r="R51" s="1007">
        <f>R10/('IS (Non-GAAP)'!R47)</f>
        <v>53.566410261140142</v>
      </c>
      <c r="S51" s="1007">
        <f>S10/('IS (Non-GAAP)'!S47)</f>
        <v>55.316140108514986</v>
      </c>
      <c r="T51" s="1007">
        <f>T10/('IS (Non-GAAP)'!T47)</f>
        <v>64.631247870175088</v>
      </c>
      <c r="U51" s="1007">
        <f>U10/('IS (Non-GAAP)'!U47)</f>
        <v>142.46870665425368</v>
      </c>
      <c r="V51" s="1008">
        <f>V10/('IS (Non-GAAP)'!V47)</f>
        <v>27.190019627107361</v>
      </c>
      <c r="W51" s="1007">
        <f>W10/('IS (Non-GAAP)'!W47)</f>
        <v>69.954876887232757</v>
      </c>
      <c r="X51" s="1007">
        <f>X10/('IS (Non-GAAP)'!X47)</f>
        <v>60.384875304949716</v>
      </c>
      <c r="Y51" s="1007">
        <f>Y10/('IS (Non-GAAP)'!Y47)</f>
        <v>60.189915354195691</v>
      </c>
      <c r="Z51" s="1007">
        <f>Z10/('IS (Non-GAAP)'!Z47)</f>
        <v>54.531491650601126</v>
      </c>
      <c r="AA51" s="1008">
        <f>AA10/('IS (Non-GAAP)'!AA47)</f>
        <v>16.480697488388621</v>
      </c>
      <c r="AB51" s="1007">
        <f>AB10/('IS (Non-GAAP)'!AB47)</f>
        <v>51.887071835502994</v>
      </c>
      <c r="AC51" s="1007">
        <f>AC10/('IS (Non-GAAP)'!AC47)</f>
        <v>53.426921880356794</v>
      </c>
      <c r="AD51" s="1007">
        <f>AD10/('IS (Non-GAAP)'!AD47)</f>
        <v>54.240940924491099</v>
      </c>
      <c r="AE51" s="1007">
        <f>AE10/('IS (Non-GAAP)'!AE47)</f>
        <v>57.076142429867936</v>
      </c>
      <c r="AF51" s="1008">
        <f>AF10/('IS (Non-GAAP)'!AF47)</f>
        <v>14.736611895775923</v>
      </c>
      <c r="AG51" s="1007">
        <f>AG10/('IS (Non-GAAP)'!AG47)</f>
        <v>50.87578527798992</v>
      </c>
      <c r="AH51" s="1007">
        <f>AH10/('IS (Non-GAAP)'!AH47)</f>
        <v>56.026774882271198</v>
      </c>
      <c r="AI51" s="1007">
        <f>AI10/('IS (Non-GAAP)'!AI47)</f>
        <v>57.9439925889886</v>
      </c>
      <c r="AJ51" s="1007">
        <f>AJ10/('IS (Non-GAAP)'!AJ47)</f>
        <v>63.953073387153736</v>
      </c>
      <c r="AK51" s="1008">
        <f>AK10/('IS (Non-GAAP)'!AK47)</f>
        <v>15.030764570069529</v>
      </c>
    </row>
    <row r="52" spans="1:37" s="299" customFormat="1" ht="12.75" hidden="1" customHeight="1" outlineLevel="1">
      <c r="A52" s="283"/>
      <c r="B52" s="714"/>
      <c r="C52" s="895"/>
      <c r="D52" s="895"/>
      <c r="E52" s="895"/>
      <c r="F52" s="895"/>
      <c r="G52" s="896"/>
      <c r="H52" s="895"/>
      <c r="I52" s="895"/>
      <c r="J52" s="895"/>
      <c r="K52" s="899"/>
      <c r="L52" s="900"/>
      <c r="M52" s="899"/>
      <c r="N52" s="899"/>
      <c r="O52" s="899"/>
      <c r="P52" s="899"/>
      <c r="Q52" s="998"/>
      <c r="R52" s="895"/>
      <c r="S52" s="1359"/>
      <c r="T52" s="1359"/>
      <c r="U52" s="895"/>
      <c r="V52" s="998"/>
      <c r="W52" s="895"/>
      <c r="X52" s="895"/>
      <c r="Y52" s="895"/>
      <c r="Z52" s="895"/>
      <c r="AA52" s="998"/>
      <c r="AB52" s="895"/>
      <c r="AC52" s="897"/>
      <c r="AD52" s="897"/>
      <c r="AE52" s="897"/>
      <c r="AF52" s="998"/>
      <c r="AG52" s="895"/>
      <c r="AH52" s="897"/>
      <c r="AI52" s="897"/>
      <c r="AJ52" s="897"/>
      <c r="AK52" s="998"/>
    </row>
    <row r="53" spans="1:37" s="992" customFormat="1" ht="12.75" hidden="1" customHeight="1" outlineLevel="1">
      <c r="A53" s="1344"/>
      <c r="B53" s="1003" t="s">
        <v>526</v>
      </c>
      <c r="C53" s="993"/>
      <c r="D53" s="993"/>
      <c r="E53" s="993"/>
      <c r="F53" s="993"/>
      <c r="G53" s="994"/>
      <c r="H53" s="993"/>
      <c r="I53" s="993"/>
      <c r="J53" s="993"/>
      <c r="K53" s="993"/>
      <c r="L53" s="994"/>
      <c r="M53" s="993"/>
      <c r="N53" s="993"/>
      <c r="O53" s="993"/>
      <c r="P53" s="1004">
        <f>(P14/P10)*(P62+$E$89)+(P15/P10)*(P104)+(P21/P10)*(P146)+(P22/P10)*($E$149+P62)+(P20/P10)*($E$205+P62)+(P24/P10)*($E$168+P62)</f>
        <v>0.11761602593618241</v>
      </c>
      <c r="Q53" s="1051">
        <f>(Q14/Q10)*(Q62+$E$89)+(Q15/Q10)*(Q104)+(Q21/Q10)*(Q146)+(Q22/Q10)*($E$149+Q62)+(Q20/Q10)*($E$205+Q62)+(Q24/Q10)*($E$168+Q62)</f>
        <v>0.11761602593618241</v>
      </c>
      <c r="R53" s="1004">
        <f>(R14/R10)*(R62+$E$89)+(R15/R10)*(R104)+(R21/R10)*(R146)+(R22/R10)*($E$149+R62)+(R20/R10)*($E$205+R62)+(R24/R10)*($E$168+R62)</f>
        <v>0.11243859587856098</v>
      </c>
      <c r="S53" s="1004">
        <f>(S14/S10)*(S62+$E$89)+(S15/S10)*(S104)+(S21/S10)*(S146)+(S22/S10)*($E$149+S62)+(S20/S10)*($E$205+S62)+(S24/S10)*($E$168+S62)+(S18/S10)*($E$125)+(S23/S10)*$E$160</f>
        <v>0.10613771674101104</v>
      </c>
      <c r="T53" s="1004">
        <f>(T14/T10)*(T62+$E$89)+(T15/T10)*(T104)+(T21/T10)*(T146)+(T22/T10)*($E$149+T62)+(T20/T10)*($E$205+T62)+(T24/T10)*($E$168+T62)+(T18/T10)*($E$125)+(T23/T10)*$E$160</f>
        <v>8.0544702365682661E-2</v>
      </c>
      <c r="U53" s="1004">
        <f t="shared" ref="U53:AE53" si="19">(U14/U10)*(U62+$E$89)+(U15/U10)*(U104)+(U21/U10)*(U146)+(U22/U10)*($E$149+U62)+(U20/U10)*($E$205+U62)+(U24/U10)*($E$168+U62)</f>
        <v>7.0473972006098257E-2</v>
      </c>
      <c r="V53" s="1005">
        <f t="shared" si="19"/>
        <v>7.1562888325337623E-2</v>
      </c>
      <c r="W53" s="1004">
        <f t="shared" si="19"/>
        <v>7.0887589803115325E-2</v>
      </c>
      <c r="X53" s="1004">
        <f t="shared" si="19"/>
        <v>7.050196376137205E-2</v>
      </c>
      <c r="Y53" s="1004">
        <f t="shared" si="19"/>
        <v>6.9535542389860483E-2</v>
      </c>
      <c r="Z53" s="1004">
        <f t="shared" si="19"/>
        <v>6.9024685052698376E-2</v>
      </c>
      <c r="AA53" s="1005">
        <f t="shared" si="19"/>
        <v>7.0437164610474196E-2</v>
      </c>
      <c r="AB53" s="1004">
        <f t="shared" si="19"/>
        <v>6.9320462293153126E-2</v>
      </c>
      <c r="AC53" s="1004">
        <f t="shared" si="19"/>
        <v>6.9912592579199295E-2</v>
      </c>
      <c r="AD53" s="1004">
        <f t="shared" si="19"/>
        <v>7.0129322661996341E-2</v>
      </c>
      <c r="AE53" s="1004">
        <f t="shared" si="19"/>
        <v>6.9949049095703097E-2</v>
      </c>
      <c r="AF53" s="1005">
        <v>7.8E-2</v>
      </c>
      <c r="AG53" s="1004">
        <f>(AG14/AG10)*(AG62+$E$89)+(AG15/AG10)*(AG104)+(AG21/AG10)*(AG146)+(AG22/AG10)*($E$149+AG62)+(AG20/AG10)*($E$205+AG62)+(AG24/AG10)*($E$168+AG62)</f>
        <v>7.0037719159826026E-2</v>
      </c>
      <c r="AH53" s="1004">
        <f>(AH14/AH10)*(AH62+$E$89)+(AH15/AH10)*(AH104)+(AH21/AH10)*(AH146)+(AH22/AH10)*($E$149+AH62)+(AH20/AH10)*($E$205+AH62)+(AH24/AH10)*($E$168+AH62)</f>
        <v>7.0434159418395592E-2</v>
      </c>
      <c r="AI53" s="1004">
        <f>(AI14/AI10)*(AI62+$E$89)+(AI15/AI10)*(AI104)+(AI21/AI10)*(AI146)+(AI22/AI10)*($E$149+AI62)+(AI20/AI10)*($E$205+AI62)+(AI24/AI10)*($E$168+AI62)</f>
        <v>7.0631588556493818E-2</v>
      </c>
      <c r="AJ53" s="1004">
        <f>(AJ14/AJ10)*(AJ62+$E$89)+(AJ15/AJ10)*(AJ104)+(AJ21/AJ10)*(AJ146)+(AJ22/AJ10)*($E$149+AJ62)+(AJ20/AJ10)*($E$205+AJ62)+(AJ24/AJ10)*($E$168+AJ62)</f>
        <v>7.0565458780889712E-2</v>
      </c>
      <c r="AK53" s="1005">
        <v>7.8E-2</v>
      </c>
    </row>
    <row r="54" spans="1:37" s="995" customFormat="1" ht="12.75" hidden="1" customHeight="1" outlineLevel="1">
      <c r="A54" s="1345"/>
      <c r="B54" s="714" t="s">
        <v>508</v>
      </c>
      <c r="C54" s="996"/>
      <c r="D54" s="996"/>
      <c r="E54" s="996"/>
      <c r="F54" s="996"/>
      <c r="G54" s="997"/>
      <c r="H54" s="996"/>
      <c r="I54" s="996"/>
      <c r="J54" s="996"/>
      <c r="K54" s="996"/>
      <c r="L54" s="997"/>
      <c r="M54" s="996"/>
      <c r="N54" s="996"/>
      <c r="O54" s="996"/>
      <c r="P54" s="819">
        <f>(P14/(P10-P24))*(P62+$E$89)+(P15/(P10-P24))*(P104)+(P21/(P10-P24))*(P146)+(P22/(P10-P24))*($E$149+P62)+(P20/(P10-P24))*($E$205+P62)</f>
        <v>0.11761602593618241</v>
      </c>
      <c r="Q54" s="1006">
        <f t="shared" ref="Q54:AK54" si="20">(Q14/(Q10-Q24))*(Q62+$E$89)+(Q15/(Q10-Q24))*(Q104)+(Q21/(Q10-Q24)*(Q146)+(Q22/(Q10-Q24))*($E$149+Q62)+(Q20/(Q10-Q24))*($E$205+Q62))</f>
        <v>0.11761602593618241</v>
      </c>
      <c r="R54" s="819">
        <f t="shared" si="20"/>
        <v>0.11243859587856098</v>
      </c>
      <c r="S54" s="819">
        <f t="shared" si="20"/>
        <v>8.6611355570704845E-2</v>
      </c>
      <c r="T54" s="819">
        <f t="shared" si="20"/>
        <v>6.5100388911839557E-2</v>
      </c>
      <c r="U54" s="819">
        <f t="shared" si="20"/>
        <v>6.5456534754848014E-2</v>
      </c>
      <c r="V54" s="1006">
        <f t="shared" si="20"/>
        <v>6.6066683726529019E-2</v>
      </c>
      <c r="W54" s="819">
        <f t="shared" si="20"/>
        <v>6.2524036567565167E-2</v>
      </c>
      <c r="X54" s="819">
        <f t="shared" si="20"/>
        <v>6.0366103372484263E-2</v>
      </c>
      <c r="Y54" s="819">
        <f t="shared" si="20"/>
        <v>5.8214793423341245E-2</v>
      </c>
      <c r="Z54" s="819">
        <f t="shared" si="20"/>
        <v>5.5719982401975267E-2</v>
      </c>
      <c r="AA54" s="1006">
        <f t="shared" si="20"/>
        <v>5.7199168764106939E-2</v>
      </c>
      <c r="AB54" s="819">
        <f t="shared" si="20"/>
        <v>5.4283335925087328E-2</v>
      </c>
      <c r="AC54" s="819">
        <f t="shared" si="20"/>
        <v>5.2690240589671429E-2</v>
      </c>
      <c r="AD54" s="819">
        <f t="shared" si="20"/>
        <v>5.0874839283923105E-2</v>
      </c>
      <c r="AE54" s="819">
        <f t="shared" si="20"/>
        <v>4.8785143525280988E-2</v>
      </c>
      <c r="AF54" s="1006">
        <f t="shared" si="20"/>
        <v>4.8703882522322293E-2</v>
      </c>
      <c r="AG54" s="819">
        <f t="shared" si="20"/>
        <v>4.604097048007786E-2</v>
      </c>
      <c r="AH54" s="819">
        <f t="shared" si="20"/>
        <v>4.4735676467266769E-2</v>
      </c>
      <c r="AI54" s="819">
        <f t="shared" si="20"/>
        <v>4.3263524295049004E-2</v>
      </c>
      <c r="AJ54" s="819">
        <f t="shared" si="20"/>
        <v>4.1568659475481197E-2</v>
      </c>
      <c r="AK54" s="1006">
        <f t="shared" si="20"/>
        <v>4.1492057847390879E-2</v>
      </c>
    </row>
    <row r="55" spans="1:37" s="299" customFormat="1" ht="12.75" hidden="1" customHeight="1" outlineLevel="1">
      <c r="A55" s="283"/>
      <c r="B55" s="714"/>
      <c r="C55" s="895"/>
      <c r="D55" s="895"/>
      <c r="E55" s="895"/>
      <c r="F55" s="895"/>
      <c r="G55" s="896"/>
      <c r="H55" s="895"/>
      <c r="I55" s="895"/>
      <c r="J55" s="895"/>
      <c r="K55" s="899"/>
      <c r="L55" s="900"/>
      <c r="M55" s="899"/>
      <c r="N55" s="899"/>
      <c r="O55" s="899"/>
      <c r="P55" s="899"/>
      <c r="Q55" s="998"/>
      <c r="R55" s="895"/>
      <c r="S55" s="895"/>
      <c r="T55" s="1418">
        <f>T53-S53</f>
        <v>-2.5593014375328377E-2</v>
      </c>
      <c r="U55" s="895"/>
      <c r="V55" s="998"/>
      <c r="W55" s="895"/>
      <c r="X55" s="895"/>
      <c r="Y55" s="895"/>
      <c r="Z55" s="895"/>
      <c r="AA55" s="998"/>
      <c r="AB55" s="895"/>
      <c r="AC55" s="897"/>
      <c r="AD55" s="897"/>
      <c r="AE55" s="897"/>
      <c r="AF55" s="998"/>
      <c r="AG55" s="895"/>
      <c r="AH55" s="897"/>
      <c r="AI55" s="897"/>
      <c r="AJ55" s="897"/>
      <c r="AK55" s="998"/>
    </row>
    <row r="56" spans="1:37" s="492" customFormat="1" ht="12.75" hidden="1" customHeight="1" outlineLevel="1">
      <c r="A56" s="1333"/>
      <c r="B56" s="1003" t="s">
        <v>446</v>
      </c>
      <c r="C56" s="487"/>
      <c r="D56" s="487"/>
      <c r="E56" s="487"/>
      <c r="F56" s="487"/>
      <c r="G56" s="415"/>
      <c r="H56" s="487"/>
      <c r="I56" s="487"/>
      <c r="J56" s="487"/>
      <c r="K56" s="487"/>
      <c r="L56" s="415"/>
      <c r="M56" s="487"/>
      <c r="N56" s="487"/>
      <c r="O56" s="487"/>
      <c r="P56" s="487">
        <f t="shared" ref="P56:AE56" si="21">P200</f>
        <v>0</v>
      </c>
      <c r="Q56" s="415">
        <f t="shared" si="21"/>
        <v>0</v>
      </c>
      <c r="R56" s="487">
        <f t="shared" si="21"/>
        <v>0</v>
      </c>
      <c r="S56" s="487">
        <f>S200</f>
        <v>0</v>
      </c>
      <c r="T56" s="487">
        <f>T200</f>
        <v>0</v>
      </c>
      <c r="U56" s="487">
        <f t="shared" si="21"/>
        <v>4766.1864443845152</v>
      </c>
      <c r="V56" s="415">
        <f>SUM(R56:U56)</f>
        <v>4766.1864443845152</v>
      </c>
      <c r="W56" s="487">
        <f t="shared" si="21"/>
        <v>7240.9059880954865</v>
      </c>
      <c r="X56" s="487">
        <f t="shared" si="21"/>
        <v>6133.5094024486734</v>
      </c>
      <c r="Y56" s="487">
        <f t="shared" si="21"/>
        <v>2879.7216380057744</v>
      </c>
      <c r="Z56" s="487">
        <f t="shared" si="21"/>
        <v>443.8463107210996</v>
      </c>
      <c r="AA56" s="415">
        <f>SUM(W56:Z56)</f>
        <v>16697.983339271035</v>
      </c>
      <c r="AB56" s="487">
        <f t="shared" si="21"/>
        <v>3003.8661477116661</v>
      </c>
      <c r="AC56" s="487">
        <f t="shared" si="21"/>
        <v>4966.3290762099141</v>
      </c>
      <c r="AD56" s="487">
        <f t="shared" si="21"/>
        <v>3081.58933431082</v>
      </c>
      <c r="AE56" s="487">
        <f t="shared" si="21"/>
        <v>607.97260423730677</v>
      </c>
      <c r="AF56" s="415">
        <f>SUM(AB56:AE56)</f>
        <v>11659.757162469708</v>
      </c>
      <c r="AG56" s="487">
        <f>AG200</f>
        <v>2960.0291908406771</v>
      </c>
      <c r="AH56" s="487">
        <f>AH200</f>
        <v>3670.3288063118252</v>
      </c>
      <c r="AI56" s="487">
        <f>AI200</f>
        <v>2204.8235801379406</v>
      </c>
      <c r="AJ56" s="487">
        <f>AJ200</f>
        <v>0</v>
      </c>
      <c r="AK56" s="415">
        <f>SUM(AG56:AJ56)</f>
        <v>8835.1815772904429</v>
      </c>
    </row>
    <row r="57" spans="1:37" s="299" customFormat="1" ht="12.75" hidden="1" customHeight="1" outlineLevel="1">
      <c r="A57" s="283"/>
      <c r="B57" s="1059" t="s">
        <v>507</v>
      </c>
      <c r="C57" s="895"/>
      <c r="D57" s="895"/>
      <c r="E57" s="895"/>
      <c r="F57" s="895"/>
      <c r="G57" s="896"/>
      <c r="H57" s="895"/>
      <c r="I57" s="895"/>
      <c r="J57" s="895"/>
      <c r="K57" s="899"/>
      <c r="L57" s="900"/>
      <c r="M57" s="899"/>
      <c r="N57" s="899"/>
      <c r="O57" s="899"/>
      <c r="P57" s="895">
        <f>($C$99-(O99+P100))+($C$149-(O149+P150))</f>
        <v>5256.1810000000005</v>
      </c>
      <c r="Q57" s="896">
        <f>P57</f>
        <v>5256.1810000000005</v>
      </c>
      <c r="R57" s="895">
        <f>Q57-R100-R150</f>
        <v>4663.6970000000001</v>
      </c>
      <c r="S57" s="895">
        <f>R57-S100-S150</f>
        <v>3696.0330000000004</v>
      </c>
      <c r="T57" s="895">
        <f>S57-T100-T150</f>
        <v>3362.6279999999997</v>
      </c>
      <c r="U57" s="895">
        <f>T57-U100-U150</f>
        <v>3362.6279999999997</v>
      </c>
      <c r="V57" s="896">
        <f>U57</f>
        <v>3362.6279999999997</v>
      </c>
      <c r="W57" s="895">
        <f>V57-W100-W150</f>
        <v>3362.6279999999997</v>
      </c>
      <c r="X57" s="895">
        <f>W57-X100-X150</f>
        <v>3362.6279999999997</v>
      </c>
      <c r="Y57" s="895">
        <f>X57-Y100-Y150</f>
        <v>3362.6279999999997</v>
      </c>
      <c r="Z57" s="895">
        <f>Y57-Z100-Z150</f>
        <v>3362.6279999999997</v>
      </c>
      <c r="AA57" s="896">
        <f>Z57</f>
        <v>3362.6279999999997</v>
      </c>
      <c r="AB57" s="895">
        <f>AA57-AB100-AB150</f>
        <v>3362.6279999999997</v>
      </c>
      <c r="AC57" s="895">
        <f>AB57-AC100-AC150</f>
        <v>3362.6279999999997</v>
      </c>
      <c r="AD57" s="895">
        <f>AC57-AD100-AD150</f>
        <v>3362.6279999999997</v>
      </c>
      <c r="AE57" s="895">
        <f>AD57-AE100-AE150</f>
        <v>3362.6279999999997</v>
      </c>
      <c r="AF57" s="896">
        <f>AE57</f>
        <v>3362.6279999999997</v>
      </c>
      <c r="AG57" s="895">
        <f>AF57-AG100-AG150</f>
        <v>3362.6279999999997</v>
      </c>
      <c r="AH57" s="895">
        <f>AG57-AH100-AH150</f>
        <v>3362.6279999999997</v>
      </c>
      <c r="AI57" s="895">
        <f>AH57-AI100-AI150</f>
        <v>3362.6279999999997</v>
      </c>
      <c r="AJ57" s="895">
        <f>AI57-AJ100-AJ150</f>
        <v>3362.6279999999997</v>
      </c>
      <c r="AK57" s="896">
        <f>AJ57</f>
        <v>3362.6279999999997</v>
      </c>
    </row>
    <row r="58" spans="1:37" s="299" customFormat="1" ht="12.75" hidden="1" customHeight="1" outlineLevel="1">
      <c r="A58" s="283"/>
      <c r="B58" s="714"/>
      <c r="C58" s="895"/>
      <c r="D58" s="895"/>
      <c r="E58" s="895"/>
      <c r="F58" s="895"/>
      <c r="G58" s="896"/>
      <c r="H58" s="895"/>
      <c r="I58" s="895"/>
      <c r="J58" s="895"/>
      <c r="K58" s="899"/>
      <c r="L58" s="900"/>
      <c r="M58" s="899"/>
      <c r="N58" s="899"/>
      <c r="O58" s="899"/>
      <c r="P58" s="895"/>
      <c r="Q58" s="896"/>
      <c r="R58" s="895"/>
      <c r="S58" s="895"/>
      <c r="T58" s="895"/>
      <c r="U58" s="895"/>
      <c r="V58" s="896"/>
      <c r="W58" s="895"/>
      <c r="X58" s="895"/>
      <c r="Y58" s="895"/>
      <c r="Z58" s="895"/>
      <c r="AA58" s="896"/>
      <c r="AB58" s="895"/>
      <c r="AC58" s="895"/>
      <c r="AD58" s="895"/>
      <c r="AE58" s="895"/>
      <c r="AF58" s="896"/>
      <c r="AG58" s="895"/>
      <c r="AH58" s="895"/>
      <c r="AI58" s="895"/>
      <c r="AJ58" s="895"/>
      <c r="AK58" s="896"/>
    </row>
    <row r="59" spans="1:37" s="492" customFormat="1" ht="12.75" hidden="1" customHeight="1" outlineLevel="1">
      <c r="A59" s="1333"/>
      <c r="B59" s="1003" t="s">
        <v>515</v>
      </c>
      <c r="C59" s="487"/>
      <c r="D59" s="487"/>
      <c r="E59" s="487"/>
      <c r="F59" s="487"/>
      <c r="G59" s="415"/>
      <c r="H59" s="487"/>
      <c r="I59" s="487"/>
      <c r="J59" s="487"/>
      <c r="K59" s="487"/>
      <c r="L59" s="415"/>
      <c r="M59" s="487"/>
      <c r="N59" s="487"/>
      <c r="O59" s="487"/>
      <c r="P59" s="1007"/>
      <c r="Q59" s="1008"/>
      <c r="R59" s="1007">
        <f t="shared" ref="R59:AK59" si="22">R10/R60</f>
        <v>2.8383400417426619</v>
      </c>
      <c r="S59" s="1007">
        <f t="shared" si="22"/>
        <v>2.8924527966088829</v>
      </c>
      <c r="T59" s="1007">
        <f>T10/T60</f>
        <v>3.6191034895696608</v>
      </c>
      <c r="U59" s="1007">
        <f t="shared" si="22"/>
        <v>5.3197920573557251</v>
      </c>
      <c r="V59" s="1008">
        <f t="shared" si="22"/>
        <v>5.3197920573557251</v>
      </c>
      <c r="W59" s="1007">
        <f t="shared" si="22"/>
        <v>7.3947469238955996</v>
      </c>
      <c r="X59" s="1007">
        <f t="shared" si="22"/>
        <v>9.0225844447900148</v>
      </c>
      <c r="Y59" s="1007">
        <f t="shared" si="22"/>
        <v>9.8271713891681483</v>
      </c>
      <c r="Z59" s="1007">
        <f t="shared" si="22"/>
        <v>9.8358809011090287</v>
      </c>
      <c r="AA59" s="1008">
        <f t="shared" si="22"/>
        <v>9.8358809011090287</v>
      </c>
      <c r="AB59" s="1007">
        <f t="shared" si="22"/>
        <v>10.479914184076664</v>
      </c>
      <c r="AC59" s="1007">
        <f t="shared" si="22"/>
        <v>11.416604741993311</v>
      </c>
      <c r="AD59" s="1007">
        <f t="shared" si="22"/>
        <v>11.940812489363067</v>
      </c>
      <c r="AE59" s="1007">
        <f t="shared" si="22"/>
        <v>12.043601548176916</v>
      </c>
      <c r="AF59" s="1008">
        <f t="shared" si="22"/>
        <v>12.043601548176916</v>
      </c>
      <c r="AG59" s="1007">
        <f t="shared" si="22"/>
        <v>12.564536494477595</v>
      </c>
      <c r="AH59" s="1007">
        <f t="shared" si="22"/>
        <v>13.123538671337462</v>
      </c>
      <c r="AI59" s="1007">
        <f t="shared" si="22"/>
        <v>13.491369936417403</v>
      </c>
      <c r="AJ59" s="1007">
        <f t="shared" si="22"/>
        <v>13.760472654676594</v>
      </c>
      <c r="AK59" s="1008">
        <f t="shared" si="22"/>
        <v>13.760472654676594</v>
      </c>
    </row>
    <row r="60" spans="1:37" s="299" customFormat="1" ht="12.75" hidden="1" customHeight="1" outlineLevel="1">
      <c r="A60" s="283"/>
      <c r="B60" s="714" t="s">
        <v>516</v>
      </c>
      <c r="C60" s="895"/>
      <c r="D60" s="895"/>
      <c r="E60" s="895"/>
      <c r="F60" s="895"/>
      <c r="G60" s="896"/>
      <c r="H60" s="895"/>
      <c r="I60" s="895"/>
      <c r="J60" s="895"/>
      <c r="K60" s="899"/>
      <c r="L60" s="900"/>
      <c r="M60" s="899"/>
      <c r="N60" s="899"/>
      <c r="O60" s="899"/>
      <c r="P60" s="895"/>
      <c r="Q60" s="896"/>
      <c r="R60" s="895">
        <f>BS!R57</f>
        <v>3069.2820000000002</v>
      </c>
      <c r="S60" s="895">
        <f>BS!S57</f>
        <v>3820.8059999999996</v>
      </c>
      <c r="T60" s="895">
        <f>BS!T57</f>
        <v>3878.0140000000001</v>
      </c>
      <c r="U60" s="895">
        <f>BS!U57</f>
        <v>3660.9598721196226</v>
      </c>
      <c r="V60" s="896">
        <f>BS!V57</f>
        <v>3660.9598721196226</v>
      </c>
      <c r="W60" s="895">
        <f>BS!W57</f>
        <v>3575.0584478519249</v>
      </c>
      <c r="X60" s="895">
        <f>BS!X57</f>
        <v>3567.2080843737745</v>
      </c>
      <c r="Y60" s="895">
        <f>BS!Y57</f>
        <v>3533.7403905923479</v>
      </c>
      <c r="Z60" s="895">
        <f>BS!Z57</f>
        <v>3572.8106053175661</v>
      </c>
      <c r="AA60" s="896">
        <f>BS!AA57</f>
        <v>3572.8106053175661</v>
      </c>
      <c r="AB60" s="895">
        <f>BS!AB57</f>
        <v>3623.1757076469985</v>
      </c>
      <c r="AC60" s="895">
        <f>BS!AC57</f>
        <v>3766.049027752696</v>
      </c>
      <c r="AD60" s="895">
        <f>BS!AD57</f>
        <v>3889.7910782072095</v>
      </c>
      <c r="AE60" s="895">
        <f>BS!AE57</f>
        <v>3946.9994416839813</v>
      </c>
      <c r="AF60" s="896">
        <f>BS!AF57</f>
        <v>3946.9994416839813</v>
      </c>
      <c r="AG60" s="895">
        <f>BS!AG57</f>
        <v>4020.6869344870624</v>
      </c>
      <c r="AH60" s="895">
        <f>BS!AH57</f>
        <v>4153.5530184398085</v>
      </c>
      <c r="AI60" s="895">
        <f>BS!AI57</f>
        <v>4248.7074975189662</v>
      </c>
      <c r="AJ60" s="895">
        <f>BS!AJ57</f>
        <v>4219.6737712085942</v>
      </c>
      <c r="AK60" s="896">
        <f>BS!AK57</f>
        <v>4219.6737712085942</v>
      </c>
    </row>
    <row r="61" spans="1:37" s="676" customFormat="1" ht="12.75" hidden="1" customHeight="1" outlineLevel="1">
      <c r="A61" s="481"/>
      <c r="B61" s="709"/>
      <c r="C61" s="710"/>
      <c r="D61" s="710"/>
      <c r="E61" s="710"/>
      <c r="F61" s="710"/>
      <c r="G61" s="711"/>
      <c r="H61" s="710"/>
      <c r="I61" s="710"/>
      <c r="J61" s="710"/>
      <c r="K61" s="720"/>
      <c r="L61" s="721"/>
      <c r="M61" s="720"/>
      <c r="N61" s="720"/>
      <c r="O61" s="720"/>
      <c r="P61" s="723"/>
      <c r="Q61" s="711"/>
      <c r="R61" s="723"/>
      <c r="S61" s="723"/>
      <c r="T61" s="723"/>
      <c r="U61" s="723"/>
      <c r="V61" s="711"/>
      <c r="W61" s="723"/>
      <c r="X61" s="723"/>
      <c r="Y61" s="723"/>
      <c r="Z61" s="723"/>
      <c r="AA61" s="711"/>
      <c r="AB61" s="710"/>
      <c r="AC61" s="710"/>
      <c r="AD61" s="710"/>
      <c r="AE61" s="710"/>
      <c r="AF61" s="711"/>
      <c r="AG61" s="710"/>
      <c r="AH61" s="710"/>
      <c r="AI61" s="710"/>
      <c r="AJ61" s="710"/>
      <c r="AK61" s="711"/>
    </row>
    <row r="62" spans="1:37" s="776" customFormat="1" ht="12.75" hidden="1" customHeight="1" outlineLevel="1">
      <c r="A62" s="416"/>
      <c r="B62" s="468" t="s">
        <v>341</v>
      </c>
      <c r="C62" s="765"/>
      <c r="D62" s="706"/>
      <c r="E62" s="707"/>
      <c r="F62" s="707"/>
      <c r="G62" s="771"/>
      <c r="H62" s="772"/>
      <c r="I62" s="772"/>
      <c r="J62" s="772"/>
      <c r="K62" s="772"/>
      <c r="L62" s="773"/>
      <c r="M62" s="772"/>
      <c r="N62" s="772"/>
      <c r="O62" s="774">
        <v>4.3799999999999999E-2</v>
      </c>
      <c r="P62" s="772">
        <f>O62</f>
        <v>4.3799999999999999E-2</v>
      </c>
      <c r="Q62" s="775">
        <f>AVERAGE(M62:P62)</f>
        <v>4.3799999999999999E-2</v>
      </c>
      <c r="R62" s="772">
        <v>4.3499999999999997E-2</v>
      </c>
      <c r="S62" s="772">
        <v>4.3400000000000001E-2</v>
      </c>
      <c r="T62" s="772">
        <v>4.2999999999999997E-2</v>
      </c>
      <c r="U62" s="772">
        <v>0.04</v>
      </c>
      <c r="V62" s="775">
        <f>AVERAGE(R62:U62)</f>
        <v>4.2475000000000006E-2</v>
      </c>
      <c r="W62" s="772">
        <v>3.5499999999999997E-2</v>
      </c>
      <c r="X62" s="772">
        <v>3.3000000000000002E-2</v>
      </c>
      <c r="Y62" s="772">
        <v>3.15E-2</v>
      </c>
      <c r="Z62" s="772">
        <f>Y62</f>
        <v>3.15E-2</v>
      </c>
      <c r="AA62" s="775">
        <f>AVERAGE(W62:Z62)</f>
        <v>3.2875000000000001E-2</v>
      </c>
      <c r="AB62" s="772">
        <v>3.15E-2</v>
      </c>
      <c r="AC62" s="772">
        <f>AB62</f>
        <v>3.15E-2</v>
      </c>
      <c r="AD62" s="772">
        <f>AC62</f>
        <v>3.15E-2</v>
      </c>
      <c r="AE62" s="772">
        <f>AD62</f>
        <v>3.15E-2</v>
      </c>
      <c r="AF62" s="775">
        <f>AVERAGE(AB62:AE62)</f>
        <v>3.15E-2</v>
      </c>
      <c r="AG62" s="772">
        <f>AF62</f>
        <v>3.15E-2</v>
      </c>
      <c r="AH62" s="772">
        <f>AG62</f>
        <v>3.15E-2</v>
      </c>
      <c r="AI62" s="772">
        <f>AH62</f>
        <v>3.15E-2</v>
      </c>
      <c r="AJ62" s="772">
        <f>AI62</f>
        <v>3.15E-2</v>
      </c>
      <c r="AK62" s="775">
        <f>AVERAGE(AG62:AJ62)</f>
        <v>3.15E-2</v>
      </c>
    </row>
    <row r="63" spans="1:37" ht="12.75" customHeight="1" collapsed="1">
      <c r="C63" s="429"/>
      <c r="D63" s="429"/>
      <c r="E63" s="429"/>
      <c r="F63" s="429"/>
      <c r="G63" s="252"/>
      <c r="H63" s="429"/>
      <c r="I63" s="429"/>
      <c r="J63" s="429"/>
      <c r="K63" s="429"/>
      <c r="L63" s="722"/>
      <c r="M63" s="429"/>
      <c r="N63" s="429"/>
      <c r="O63" s="429"/>
      <c r="P63" s="429"/>
      <c r="Q63" s="252"/>
      <c r="R63" s="429"/>
      <c r="S63" s="429"/>
      <c r="T63" s="429"/>
      <c r="U63" s="429"/>
      <c r="V63" s="252"/>
      <c r="W63" s="429"/>
      <c r="X63" s="429"/>
      <c r="Y63" s="429"/>
      <c r="Z63" s="429"/>
      <c r="AA63" s="252"/>
      <c r="AB63" s="429"/>
      <c r="AC63" s="429"/>
      <c r="AD63" s="429"/>
      <c r="AE63" s="429"/>
      <c r="AF63" s="252"/>
      <c r="AG63" s="429"/>
      <c r="AH63" s="429"/>
      <c r="AI63" s="429"/>
      <c r="AJ63" s="429"/>
      <c r="AK63" s="252"/>
    </row>
    <row r="64" spans="1:37" s="676" customFormat="1" ht="12.75" customHeight="1">
      <c r="A64" s="481"/>
      <c r="B64" s="709" t="s">
        <v>451</v>
      </c>
      <c r="C64" s="710"/>
      <c r="D64" s="710"/>
      <c r="E64" s="710"/>
      <c r="F64" s="710"/>
      <c r="G64" s="711"/>
      <c r="H64" s="710"/>
      <c r="I64" s="710"/>
      <c r="J64" s="710"/>
      <c r="K64" s="720"/>
      <c r="L64" s="721"/>
      <c r="M64" s="720"/>
      <c r="N64" s="720"/>
      <c r="O64" s="720"/>
      <c r="P64" s="723"/>
      <c r="Q64" s="711"/>
      <c r="R64" s="723"/>
      <c r="S64" s="723"/>
      <c r="T64" s="723"/>
      <c r="U64" s="723"/>
      <c r="V64" s="711"/>
      <c r="W64" s="723"/>
      <c r="X64" s="723"/>
      <c r="Y64" s="723"/>
      <c r="Z64" s="723"/>
      <c r="AA64" s="711"/>
      <c r="AB64" s="710"/>
      <c r="AC64" s="710"/>
      <c r="AD64" s="710"/>
      <c r="AE64" s="710"/>
      <c r="AF64" s="711"/>
      <c r="AG64" s="710"/>
      <c r="AH64" s="710"/>
      <c r="AI64" s="710"/>
      <c r="AJ64" s="710"/>
      <c r="AK64" s="711"/>
    </row>
    <row r="65" spans="1:37" s="439" customFormat="1" ht="12.75" hidden="1" customHeight="1" outlineLevel="1">
      <c r="A65" s="1333"/>
      <c r="B65" s="441" t="s">
        <v>344</v>
      </c>
      <c r="C65" s="487"/>
      <c r="D65" s="487"/>
      <c r="E65" s="487"/>
      <c r="F65" s="487"/>
      <c r="G65" s="914">
        <f>'IS (GAAP)'!G57</f>
        <v>9.4440000000000008</v>
      </c>
      <c r="H65" s="915">
        <f>'IS (GAAP)'!H57</f>
        <v>4.2742473861551638</v>
      </c>
      <c r="I65" s="915">
        <f>'IS (GAAP)'!I57</f>
        <v>8.4537894289013593</v>
      </c>
      <c r="J65" s="915">
        <f>'IS (GAAP)'!J57</f>
        <v>-0.41398799083804422</v>
      </c>
      <c r="K65" s="915">
        <f>'IS (GAAP)'!K57</f>
        <v>16.089951175781522</v>
      </c>
      <c r="L65" s="914">
        <f>'IS (GAAP)'!L57</f>
        <v>28.404</v>
      </c>
      <c r="M65" s="915">
        <f>'IS (GAAP)'!M57</f>
        <v>40.655999999999999</v>
      </c>
      <c r="N65" s="915">
        <f>'IS (GAAP)'!N57</f>
        <v>66.766000000000005</v>
      </c>
      <c r="O65" s="915">
        <f>'IS (GAAP)'!O57</f>
        <v>104.375</v>
      </c>
      <c r="P65" s="915">
        <f>'IS (GAAP)'!P57</f>
        <v>149.02699999999999</v>
      </c>
      <c r="Q65" s="914">
        <f>'IS (GAAP)'!Q57</f>
        <v>360.82399999999996</v>
      </c>
      <c r="R65" s="915">
        <f>'IS (GAAP)'!R57</f>
        <v>263.83499999999998</v>
      </c>
      <c r="S65" s="915">
        <f>'IS (GAAP)'!S57</f>
        <v>266.96600000000001</v>
      </c>
      <c r="T65" s="915">
        <f>'IS (GAAP)'!T57</f>
        <v>310.55500000000001</v>
      </c>
      <c r="U65" s="487">
        <f>SUM(U66:U69)</f>
        <v>325.61162044699995</v>
      </c>
      <c r="V65" s="415">
        <f>SUM(R65:U65)</f>
        <v>1166.9676204469999</v>
      </c>
      <c r="W65" s="487">
        <f>SUM(W66:W69)</f>
        <v>462.81304849699995</v>
      </c>
      <c r="X65" s="487">
        <f>SUM(X66:X69)</f>
        <v>564.38688341262514</v>
      </c>
      <c r="Y65" s="487">
        <f>SUM(Y66:Y69)</f>
        <v>625.54202947848069</v>
      </c>
      <c r="Z65" s="487">
        <f>SUM(Z66:Z69)</f>
        <v>645.22897014959631</v>
      </c>
      <c r="AA65" s="415">
        <f>SUM(W65:Z65)</f>
        <v>2297.9709315377022</v>
      </c>
      <c r="AB65" s="487">
        <f>SUM(AB66:AB69)</f>
        <v>564.29074993751181</v>
      </c>
      <c r="AC65" s="487">
        <f>SUM(AC66:AC69)</f>
        <v>724.78902493132796</v>
      </c>
      <c r="AD65" s="487">
        <f>SUM(AD66:AD69)</f>
        <v>793.2401353595385</v>
      </c>
      <c r="AE65" s="487">
        <f>SUM(AE66:AE69)</f>
        <v>823.54832215612896</v>
      </c>
      <c r="AF65" s="415">
        <f>SUM(AB65:AE65)</f>
        <v>2905.8682323845069</v>
      </c>
      <c r="AG65" s="487">
        <f>SUM(AG66:AG69)</f>
        <v>712.51942732198393</v>
      </c>
      <c r="AH65" s="487">
        <f>SUM(AH66:AH69)</f>
        <v>905.16231096612205</v>
      </c>
      <c r="AI65" s="487">
        <f>SUM(AI66:AI69)</f>
        <v>951.38497563744625</v>
      </c>
      <c r="AJ65" s="487">
        <f>SUM(AJ66:AJ69)</f>
        <v>968.13911858311644</v>
      </c>
      <c r="AK65" s="415">
        <f>SUM(AG65:AJ65)</f>
        <v>3537.2058325086682</v>
      </c>
    </row>
    <row r="66" spans="1:37" s="299" customFormat="1" ht="12.75" hidden="1" customHeight="1" outlineLevel="1">
      <c r="A66" s="283"/>
      <c r="B66" s="714" t="s">
        <v>345</v>
      </c>
      <c r="C66" s="895"/>
      <c r="D66" s="895"/>
      <c r="E66" s="895"/>
      <c r="F66" s="895"/>
      <c r="G66" s="916">
        <v>4.9139999999999997</v>
      </c>
      <c r="H66" s="897"/>
      <c r="I66" s="897"/>
      <c r="J66" s="897">
        <v>5.7750000000000004</v>
      </c>
      <c r="K66" s="917">
        <f>L66-J66-I66-H66</f>
        <v>24.414000000000001</v>
      </c>
      <c r="L66" s="918">
        <v>30.189</v>
      </c>
      <c r="M66" s="897">
        <v>64.622</v>
      </c>
      <c r="N66" s="897">
        <v>100.23699999999999</v>
      </c>
      <c r="O66" s="919">
        <v>294.86200000000002</v>
      </c>
      <c r="P66" s="897">
        <v>198.774</v>
      </c>
      <c r="Q66" s="896">
        <f>SUM(M66:P66)</f>
        <v>658.495</v>
      </c>
      <c r="R66" s="897">
        <v>232.77199999999999</v>
      </c>
      <c r="S66" s="897">
        <v>250.31200000000001</v>
      </c>
      <c r="T66" s="897">
        <v>324.13099999999997</v>
      </c>
      <c r="U66" s="895">
        <f>U93+U103+U129+U209+U145+U153+U165+U173+U180+U187+U117+U123+U135</f>
        <v>411.41137044699997</v>
      </c>
      <c r="V66" s="896">
        <f>SUM(R66:U66)</f>
        <v>1218.6263704469998</v>
      </c>
      <c r="W66" s="895">
        <f>W93+W103+W129+W209+W145+W153+W165+W173+W180+W187+W117+W123+W135</f>
        <v>520.46255889700001</v>
      </c>
      <c r="X66" s="895">
        <f>X93+X103+X129+X209+X145+X153+X165+X173+X180+X187+X117+X123+X135</f>
        <v>618.78580902062504</v>
      </c>
      <c r="Y66" s="895">
        <f>Y93+Y103+Y129+Y209+Y145+Y153+Y165+Y173+Y180+Y187+Y117+Y123+Y135</f>
        <v>681.25946386688065</v>
      </c>
      <c r="Z66" s="895">
        <f>Z93+Z103+Z129+Z209+Z145+Z153+Z165+Z173+Z180+Z187+Z117+Z123+Z135</f>
        <v>702.44456506964832</v>
      </c>
      <c r="AA66" s="896">
        <f>SUM(W66:Z66)</f>
        <v>2522.9523968541539</v>
      </c>
      <c r="AB66" s="895">
        <f>AB93+AB103+AB129+AB209+AB145+AB153+AB165+AB173+AB180+AB187+AB117+AB123+AB135</f>
        <v>607.27140176800538</v>
      </c>
      <c r="AC66" s="895">
        <f>AC93+AC103+AC129+AC209+AC145+AC153+AC165+AC173+AC180+AC187+AC117+AC123+AC135</f>
        <v>776.79005712792036</v>
      </c>
      <c r="AD66" s="895">
        <f>AD93+AD103+AD129+AD209+AD145+AD153+AD165+AD173+AD180+AD187+AD117+AD123+AD135</f>
        <v>846.31228166596043</v>
      </c>
      <c r="AE66" s="895">
        <f>AE93+AE103+AE129+AE209+AE145+AE153+AE165+AE173+AE180+AE187+AE117+AE123+AE135</f>
        <v>881.33450620400049</v>
      </c>
      <c r="AF66" s="896">
        <f>SUM(AB66:AE66)</f>
        <v>3111.7082467658865</v>
      </c>
      <c r="AG66" s="895">
        <f>AG93+AG103+AG129+AG209+AG145+AG153+AG165+AG173+AG180+AG187+AG117+AG123+AG135</f>
        <v>767.91012412309976</v>
      </c>
      <c r="AH66" s="895">
        <f>AH93+AH103+AH129+AH209+AH145+AH153+AH165+AH173+AH180+AH187+AH117+AH123+AH135</f>
        <v>968.81181085138292</v>
      </c>
      <c r="AI66" s="895">
        <f>AI93+AI103+AI129+AI209+AI145+AI153+AI165+AI173+AI180+AI187+AI117+AI123+AI135</f>
        <v>1025.686173007791</v>
      </c>
      <c r="AJ66" s="895">
        <f>AJ93+AJ103+AJ129+AJ209+AJ145+AJ153+AJ165+AJ173+AJ180+AJ187+AJ117+AJ123+AJ135</f>
        <v>1054.0980351641992</v>
      </c>
      <c r="AK66" s="896">
        <f>SUM(AG66:AJ66)</f>
        <v>3816.5061431464728</v>
      </c>
    </row>
    <row r="67" spans="1:37" s="600" customFormat="1" ht="12.75" hidden="1" customHeight="1" outlineLevel="1">
      <c r="A67" s="548"/>
      <c r="B67" s="714" t="s">
        <v>606</v>
      </c>
      <c r="C67" s="712"/>
      <c r="D67" s="712"/>
      <c r="E67" s="712"/>
      <c r="F67" s="712"/>
      <c r="G67" s="725">
        <v>3.8029999999999999</v>
      </c>
      <c r="H67" s="715"/>
      <c r="I67" s="715"/>
      <c r="J67" s="715">
        <v>10.92</v>
      </c>
      <c r="K67" s="729">
        <f>L67-J67-I67-H67</f>
        <v>5.6130000000000013</v>
      </c>
      <c r="L67" s="730">
        <v>16.533000000000001</v>
      </c>
      <c r="M67" s="715">
        <v>1.2370000000000001</v>
      </c>
      <c r="N67" s="715">
        <v>7.5469999999999997</v>
      </c>
      <c r="O67" s="724">
        <v>1.3340000000000001</v>
      </c>
      <c r="P67" s="724">
        <v>1.3340000000000001</v>
      </c>
      <c r="Q67" s="713">
        <f>SUM(M67:P67)</f>
        <v>11.451999999999998</v>
      </c>
      <c r="R67" s="715">
        <v>37.691000000000003</v>
      </c>
      <c r="S67" s="715">
        <v>29.036000000000001</v>
      </c>
      <c r="T67" s="715">
        <v>21.048999999999999</v>
      </c>
      <c r="U67" s="712">
        <f>+-U79</f>
        <v>6.8462500000000004</v>
      </c>
      <c r="V67" s="713">
        <f>SUM(R67:U67)</f>
        <v>94.622250000000008</v>
      </c>
      <c r="W67" s="712">
        <f t="shared" ref="W67:AJ67" si="23">+-W79</f>
        <v>12.321250000000001</v>
      </c>
      <c r="X67" s="712">
        <f t="shared" si="23"/>
        <v>16.971250000000001</v>
      </c>
      <c r="Y67" s="712">
        <f t="shared" si="23"/>
        <v>19.221250000000001</v>
      </c>
      <c r="Z67" s="712">
        <f t="shared" si="23"/>
        <v>19.971250000000001</v>
      </c>
      <c r="AA67" s="713">
        <f>SUM(W67:Z67)</f>
        <v>68.484999999999999</v>
      </c>
      <c r="AB67" s="712">
        <f t="shared" si="23"/>
        <v>22.37125</v>
      </c>
      <c r="AC67" s="712">
        <f t="shared" si="23"/>
        <v>26.421249999999997</v>
      </c>
      <c r="AD67" s="712">
        <f t="shared" si="23"/>
        <v>29.271249999999998</v>
      </c>
      <c r="AE67" s="712">
        <f t="shared" si="23"/>
        <v>30.321249999999999</v>
      </c>
      <c r="AF67" s="713">
        <f>SUM(AB67:AE67)</f>
        <v>108.38499999999999</v>
      </c>
      <c r="AG67" s="712">
        <f t="shared" si="23"/>
        <v>32.946249999999999</v>
      </c>
      <c r="AH67" s="712">
        <f t="shared" si="23"/>
        <v>36.171250000000001</v>
      </c>
      <c r="AI67" s="712">
        <f t="shared" si="23"/>
        <v>38.496249999999996</v>
      </c>
      <c r="AJ67" s="712">
        <f t="shared" si="23"/>
        <v>39.246249999999996</v>
      </c>
      <c r="AK67" s="713">
        <f>SUM(AG67:AJ67)</f>
        <v>146.86000000000001</v>
      </c>
    </row>
    <row r="68" spans="1:37" s="299" customFormat="1" ht="12.75" hidden="1" customHeight="1" outlineLevel="1">
      <c r="A68" s="283"/>
      <c r="B68" s="714" t="s">
        <v>353</v>
      </c>
      <c r="C68" s="895"/>
      <c r="D68" s="895"/>
      <c r="E68" s="895"/>
      <c r="F68" s="895"/>
      <c r="G68" s="916">
        <v>0</v>
      </c>
      <c r="H68" s="897"/>
      <c r="I68" s="897"/>
      <c r="J68" s="897">
        <v>5.8</v>
      </c>
      <c r="K68" s="917">
        <f>L68-J68-I68-H68</f>
        <v>15.820999999999998</v>
      </c>
      <c r="L68" s="918">
        <v>21.620999999999999</v>
      </c>
      <c r="M68" s="897">
        <v>0</v>
      </c>
      <c r="N68" s="897">
        <v>0</v>
      </c>
      <c r="O68" s="919">
        <v>0</v>
      </c>
      <c r="P68" s="895"/>
      <c r="Q68" s="896"/>
      <c r="R68" s="895"/>
      <c r="S68" s="895"/>
      <c r="T68" s="895"/>
      <c r="U68" s="895"/>
      <c r="V68" s="896"/>
      <c r="W68" s="895"/>
      <c r="X68" s="895"/>
      <c r="Y68" s="895"/>
      <c r="Z68" s="895"/>
      <c r="AA68" s="896"/>
      <c r="AB68" s="895"/>
      <c r="AC68" s="895"/>
      <c r="AD68" s="895"/>
      <c r="AE68" s="895"/>
      <c r="AF68" s="896"/>
      <c r="AG68" s="895"/>
      <c r="AH68" s="895"/>
      <c r="AI68" s="895"/>
      <c r="AJ68" s="895"/>
      <c r="AK68" s="896"/>
    </row>
    <row r="69" spans="1:37" s="299" customFormat="1" ht="12.75" hidden="1" customHeight="1" outlineLevel="1">
      <c r="A69" s="283"/>
      <c r="B69" s="714" t="s">
        <v>346</v>
      </c>
      <c r="C69" s="895"/>
      <c r="D69" s="895"/>
      <c r="E69" s="895"/>
      <c r="F69" s="895"/>
      <c r="G69" s="916">
        <v>-0.34300000000000003</v>
      </c>
      <c r="H69" s="897"/>
      <c r="I69" s="897"/>
      <c r="J69" s="897">
        <v>-10.664</v>
      </c>
      <c r="K69" s="917">
        <f>L69-J69-I69-H69</f>
        <v>-30.711999999999996</v>
      </c>
      <c r="L69" s="918">
        <v>-41.375999999999998</v>
      </c>
      <c r="M69" s="899">
        <f>-'Revenue and CapEx Build'!M93</f>
        <v>-32.177</v>
      </c>
      <c r="N69" s="899">
        <f>-'Revenue and CapEx Build'!N93</f>
        <v>-40.686999999999998</v>
      </c>
      <c r="O69" s="920">
        <f>-'Revenue and CapEx Build'!O93</f>
        <v>-35.072000000000003</v>
      </c>
      <c r="P69" s="899">
        <f>-'Revenue and CapEx Build'!P93</f>
        <v>-51.081000000000003</v>
      </c>
      <c r="Q69" s="900">
        <f>-'Revenue and CapEx Build'!Q93</f>
        <v>-159.017</v>
      </c>
      <c r="R69" s="899">
        <f>-'Revenue and CapEx Build'!R93</f>
        <v>-13.091999999999999</v>
      </c>
      <c r="S69" s="899">
        <f>-'Revenue and CapEx Build'!S93</f>
        <v>-23.186</v>
      </c>
      <c r="T69" s="899">
        <f>-'Revenue and CapEx Build'!T93</f>
        <v>-61.764000000000003</v>
      </c>
      <c r="U69" s="899">
        <f>-'Revenue and CapEx Build'!U93</f>
        <v>-92.646000000000001</v>
      </c>
      <c r="V69" s="900">
        <f>-'Revenue and CapEx Build'!V93</f>
        <v>-190.68799999999999</v>
      </c>
      <c r="W69" s="899">
        <f>-'Revenue and CapEx Build'!W93</f>
        <v>-69.970760400000003</v>
      </c>
      <c r="X69" s="899">
        <f>-'Revenue and CapEx Build'!X93</f>
        <v>-71.370175607999997</v>
      </c>
      <c r="Y69" s="899">
        <f>-'Revenue and CapEx Build'!Y93</f>
        <v>-74.938684388400006</v>
      </c>
      <c r="Z69" s="899">
        <f>-'Revenue and CapEx Build'!Z93</f>
        <v>-77.18684492005201</v>
      </c>
      <c r="AA69" s="900">
        <f>-'Revenue and CapEx Build'!AA93</f>
        <v>-293.466465316452</v>
      </c>
      <c r="AB69" s="899">
        <f>-'Revenue and CapEx Build'!AB93</f>
        <v>-65.351901830493617</v>
      </c>
      <c r="AC69" s="899">
        <f>-'Revenue and CapEx Build'!AC93</f>
        <v>-78.422282196592334</v>
      </c>
      <c r="AD69" s="899">
        <f>-'Revenue and CapEx Build'!AD93</f>
        <v>-82.343396306421965</v>
      </c>
      <c r="AE69" s="899">
        <f>-'Revenue and CapEx Build'!AE93</f>
        <v>-88.107434047871493</v>
      </c>
      <c r="AF69" s="900">
        <f>-'Revenue and CapEx Build'!AF93</f>
        <v>-314.22501438137942</v>
      </c>
      <c r="AG69" s="899">
        <f>-'Revenue and CapEx Build'!AG93</f>
        <v>-88.336946801115786</v>
      </c>
      <c r="AH69" s="899">
        <f>-'Revenue and CapEx Build'!AH93</f>
        <v>-99.820749885260824</v>
      </c>
      <c r="AI69" s="899">
        <f>-'Revenue and CapEx Build'!AI93</f>
        <v>-112.79744737034473</v>
      </c>
      <c r="AJ69" s="899">
        <f>-'Revenue and CapEx Build'!AJ93</f>
        <v>-125.20516658108266</v>
      </c>
      <c r="AK69" s="900">
        <f>-'Revenue and CapEx Build'!AK93</f>
        <v>-426.160310637804</v>
      </c>
    </row>
    <row r="70" spans="1:37" s="299" customFormat="1" ht="12.75" hidden="1" customHeight="1" outlineLevel="1">
      <c r="A70" s="283"/>
      <c r="B70" s="714" t="s">
        <v>522</v>
      </c>
      <c r="C70" s="895"/>
      <c r="D70" s="895"/>
      <c r="E70" s="895"/>
      <c r="F70" s="895"/>
      <c r="G70" s="896"/>
      <c r="H70" s="895"/>
      <c r="I70" s="895"/>
      <c r="J70" s="895"/>
      <c r="K70" s="917"/>
      <c r="L70" s="1105"/>
      <c r="M70" s="1052">
        <f t="shared" ref="M70:AK70" si="24">M65/M10</f>
        <v>1.6539730257893841E-2</v>
      </c>
      <c r="N70" s="1052">
        <f t="shared" si="24"/>
        <v>2.0339495256625966E-2</v>
      </c>
      <c r="O70" s="1052">
        <f t="shared" si="24"/>
        <v>2.3449407243917871E-2</v>
      </c>
      <c r="P70" s="1052">
        <f t="shared" si="24"/>
        <v>1.8801489716565273E-2</v>
      </c>
      <c r="Q70" s="1106">
        <f t="shared" si="24"/>
        <v>4.5522145151482271E-2</v>
      </c>
      <c r="R70" s="1052">
        <f t="shared" si="24"/>
        <v>3.0285251982800989E-2</v>
      </c>
      <c r="S70" s="1052">
        <f t="shared" si="24"/>
        <v>2.4156537650406044E-2</v>
      </c>
      <c r="T70" s="1052">
        <f>T65/T10</f>
        <v>2.2127286099101001E-2</v>
      </c>
      <c r="U70" s="1052">
        <f t="shared" si="24"/>
        <v>1.6718998942892239E-2</v>
      </c>
      <c r="V70" s="1106">
        <f t="shared" si="24"/>
        <v>5.991963795966123E-2</v>
      </c>
      <c r="W70" s="1052">
        <f t="shared" si="24"/>
        <v>1.7506492139928068E-2</v>
      </c>
      <c r="X70" s="1052">
        <f t="shared" si="24"/>
        <v>1.7535474130969484E-2</v>
      </c>
      <c r="Y70" s="1052">
        <f t="shared" si="24"/>
        <v>1.8013301739226082E-2</v>
      </c>
      <c r="Z70" s="1052">
        <f t="shared" si="24"/>
        <v>1.8360757821470623E-2</v>
      </c>
      <c r="AA70" s="1106">
        <f t="shared" si="24"/>
        <v>6.5391496207866606E-2</v>
      </c>
      <c r="AB70" s="1052">
        <f t="shared" si="24"/>
        <v>1.4861266045147882E-2</v>
      </c>
      <c r="AC70" s="1052">
        <f t="shared" si="24"/>
        <v>1.6857325528243518E-2</v>
      </c>
      <c r="AD70" s="1052">
        <f t="shared" si="24"/>
        <v>1.7078295572401377E-2</v>
      </c>
      <c r="AE70" s="1052">
        <f t="shared" si="24"/>
        <v>1.732469680708416E-2</v>
      </c>
      <c r="AF70" s="1106">
        <f t="shared" si="24"/>
        <v>6.1129729407493151E-2</v>
      </c>
      <c r="AG70" s="1052">
        <f t="shared" si="24"/>
        <v>1.4104249419312672E-2</v>
      </c>
      <c r="AH70" s="1052">
        <f t="shared" si="24"/>
        <v>1.6605644983834222E-2</v>
      </c>
      <c r="AI70" s="1052">
        <f t="shared" si="24"/>
        <v>1.6597527799257224E-2</v>
      </c>
      <c r="AJ70" s="1052">
        <f t="shared" si="24"/>
        <v>1.667345265205861E-2</v>
      </c>
      <c r="AK70" s="1106">
        <f t="shared" si="24"/>
        <v>6.0918346172431331E-2</v>
      </c>
    </row>
    <row r="71" spans="1:37" s="600" customFormat="1" ht="12.75" customHeight="1" collapsed="1">
      <c r="A71" s="548"/>
      <c r="B71" s="714"/>
      <c r="C71" s="712"/>
      <c r="D71" s="712"/>
      <c r="E71" s="712"/>
      <c r="F71" s="712"/>
      <c r="G71" s="725"/>
      <c r="H71" s="715"/>
      <c r="I71" s="715"/>
      <c r="J71" s="715"/>
      <c r="K71" s="729"/>
      <c r="L71" s="730"/>
      <c r="M71" s="716"/>
      <c r="N71" s="716"/>
      <c r="O71" s="731"/>
      <c r="P71" s="716"/>
      <c r="Q71" s="717"/>
      <c r="R71" s="716"/>
      <c r="S71" s="716"/>
      <c r="T71" s="716"/>
      <c r="U71" s="716"/>
      <c r="V71" s="717"/>
      <c r="W71" s="716"/>
      <c r="X71" s="716"/>
      <c r="Y71" s="716"/>
      <c r="Z71" s="716"/>
      <c r="AA71" s="717"/>
      <c r="AB71" s="716"/>
      <c r="AC71" s="716"/>
      <c r="AD71" s="716"/>
      <c r="AE71" s="716"/>
      <c r="AF71" s="717"/>
      <c r="AG71" s="716"/>
      <c r="AH71" s="716"/>
      <c r="AI71" s="716"/>
      <c r="AJ71" s="716"/>
      <c r="AK71" s="717"/>
    </row>
    <row r="72" spans="1:37" s="676" customFormat="1" ht="12.75" customHeight="1">
      <c r="A72" s="1346"/>
      <c r="B72" s="709" t="s">
        <v>470</v>
      </c>
      <c r="C72" s="710"/>
      <c r="D72" s="710"/>
      <c r="E72" s="710"/>
      <c r="F72" s="710"/>
      <c r="G72" s="711"/>
      <c r="H72" s="710"/>
      <c r="I72" s="710"/>
      <c r="J72" s="710"/>
      <c r="K72" s="720"/>
      <c r="L72" s="721"/>
      <c r="M72" s="720"/>
      <c r="N72" s="720"/>
      <c r="O72" s="720"/>
      <c r="P72" s="723"/>
      <c r="Q72" s="711"/>
      <c r="R72" s="723"/>
      <c r="S72" s="723"/>
      <c r="T72" s="723"/>
      <c r="U72" s="723"/>
      <c r="V72" s="711"/>
      <c r="W72" s="723"/>
      <c r="X72" s="723"/>
      <c r="Y72" s="723"/>
      <c r="Z72" s="723"/>
      <c r="AA72" s="711"/>
      <c r="AB72" s="710"/>
      <c r="AC72" s="710"/>
      <c r="AD72" s="710"/>
      <c r="AE72" s="710"/>
      <c r="AF72" s="711"/>
      <c r="AG72" s="710"/>
      <c r="AH72" s="710"/>
      <c r="AI72" s="710"/>
      <c r="AJ72" s="710"/>
      <c r="AK72" s="711"/>
    </row>
    <row r="73" spans="1:37" s="913" customFormat="1" ht="12.75" hidden="1" customHeight="1" outlineLevel="1">
      <c r="A73" s="1292"/>
      <c r="B73" s="394" t="s">
        <v>471</v>
      </c>
      <c r="C73" s="491"/>
      <c r="D73" s="491"/>
      <c r="E73" s="491"/>
      <c r="F73" s="491"/>
      <c r="G73" s="911"/>
      <c r="H73" s="912"/>
      <c r="I73" s="912"/>
      <c r="J73" s="912"/>
      <c r="K73" s="912"/>
      <c r="L73" s="911"/>
      <c r="M73" s="912"/>
      <c r="N73" s="912"/>
      <c r="O73" s="912"/>
      <c r="P73" s="491">
        <f>P100+P150+P138+P206+P170</f>
        <v>3882.0129386400176</v>
      </c>
      <c r="Q73" s="369">
        <f>Q100+Q150+Q138+Q206+Q170+Q177</f>
        <v>5020.9769999999999</v>
      </c>
      <c r="R73" s="491">
        <f>R100+R126+R150+R138+R206+R170+R161+R177+R184</f>
        <v>889.44400000000007</v>
      </c>
      <c r="S73" s="491">
        <f>S100+S126+S150+S138+S206+S170+S161+S177+S184</f>
        <v>3478.5639999999999</v>
      </c>
      <c r="T73" s="491">
        <f>T100+T126+T150+T138+T206+T170+T161+T177+T184</f>
        <v>-201.2379999999992</v>
      </c>
      <c r="U73" s="491">
        <f>U100+U126+U150+U138+U206+U170+U161+U177+U184</f>
        <v>6809.5110000000004</v>
      </c>
      <c r="V73" s="369">
        <f>V100+V150+V138+V206+V170+V161</f>
        <v>8976.2810000000009</v>
      </c>
      <c r="W73" s="491">
        <f>W100+W126+W150+W138+W206+W170+W161+W177+W184</f>
        <v>7773.4009999999998</v>
      </c>
      <c r="X73" s="491">
        <f>X100+X126+X150+X138+X206+X170+X161+X177+X184</f>
        <v>6598.6639999999998</v>
      </c>
      <c r="Y73" s="491">
        <f>Y100+Y126+Y150+Y138+Y206+Y170+Y161+Y177+Y184</f>
        <v>3427.0810000000001</v>
      </c>
      <c r="Z73" s="491">
        <f>Z100+Z126+Z150+Z138+Z206+Z170+Z161+Z177+Z184</f>
        <v>1290.94</v>
      </c>
      <c r="AA73" s="369">
        <f>AA100+AA150+AA138+AA206+AA177+AA161</f>
        <v>19090.085999999999</v>
      </c>
      <c r="AB73" s="491">
        <f>AB100+AB126+AB150+AB138+AB206+AB170+AB161+AB177+AB184</f>
        <v>3725.8779050000003</v>
      </c>
      <c r="AC73" s="491">
        <f>AC100+AC126+AC150+AC138+AC206+AC170+AC161+AC177+AC184</f>
        <v>5950.9197100000001</v>
      </c>
      <c r="AD73" s="491">
        <f>AD100+AD126+AD150+AD138+AD206+AD170+AD161+AD177+AD184</f>
        <v>4350.9197100000001</v>
      </c>
      <c r="AE73" s="491">
        <f>AE100+AE126+AE150+AE138+AE206+AE170+AE161+AE177+AE184</f>
        <v>1950.9197100000001</v>
      </c>
      <c r="AF73" s="369">
        <f>AF100+AF150+AF138+AF206+AF184+AF161</f>
        <v>15978.637035</v>
      </c>
      <c r="AG73" s="491">
        <f>AG100+AG126+AG150+AG138+AG206+AG170+AG161+AG177+AG184</f>
        <v>3973.3779050000003</v>
      </c>
      <c r="AH73" s="491">
        <f>AH100+AH126+AH150+AH138+AH206+AH170+AH161+AH177+AH184</f>
        <v>4795.9197100000001</v>
      </c>
      <c r="AI73" s="491">
        <f>AI100+AI126+AI150+AI138+AI206+AI170+AI161+AI177+AI184</f>
        <v>3595.9197100000001</v>
      </c>
      <c r="AJ73" s="491">
        <f>AJ100+AJ126+AJ150+AJ138+AJ206+AJ170+AJ161+AJ177+AJ184</f>
        <v>1495.9197100000001</v>
      </c>
      <c r="AK73" s="369">
        <f>AK100+AK150+AK138+AK206+AK184+AK161</f>
        <v>13861.137035</v>
      </c>
    </row>
    <row r="74" spans="1:37" s="298" customFormat="1" ht="12.75" hidden="1" customHeight="1" outlineLevel="1">
      <c r="A74" s="1290"/>
      <c r="B74" s="433" t="s">
        <v>31</v>
      </c>
      <c r="C74" s="102"/>
      <c r="D74" s="102"/>
      <c r="E74" s="102"/>
      <c r="F74" s="102"/>
      <c r="G74" s="254"/>
      <c r="H74" s="102" t="str">
        <f t="shared" ref="H74:AF74" si="25">IFERROR(H73/C73-1,"")</f>
        <v/>
      </c>
      <c r="I74" s="102" t="str">
        <f t="shared" si="25"/>
        <v/>
      </c>
      <c r="J74" s="102" t="str">
        <f t="shared" si="25"/>
        <v/>
      </c>
      <c r="K74" s="102" t="str">
        <f t="shared" si="25"/>
        <v/>
      </c>
      <c r="L74" s="254" t="str">
        <f t="shared" si="25"/>
        <v/>
      </c>
      <c r="M74" s="102" t="str">
        <f t="shared" si="25"/>
        <v/>
      </c>
      <c r="N74" s="102" t="str">
        <f t="shared" si="25"/>
        <v/>
      </c>
      <c r="O74" s="102" t="str">
        <f t="shared" si="25"/>
        <v/>
      </c>
      <c r="P74" s="102" t="str">
        <f t="shared" si="25"/>
        <v/>
      </c>
      <c r="Q74" s="254" t="str">
        <f t="shared" si="25"/>
        <v/>
      </c>
      <c r="R74" s="102" t="str">
        <f t="shared" si="25"/>
        <v/>
      </c>
      <c r="S74" s="102" t="str">
        <f t="shared" si="25"/>
        <v/>
      </c>
      <c r="T74" s="102" t="str">
        <f t="shared" si="25"/>
        <v/>
      </c>
      <c r="U74" s="102">
        <f t="shared" si="25"/>
        <v>0.75411857395446269</v>
      </c>
      <c r="V74" s="254">
        <f t="shared" si="25"/>
        <v>0.78775584911064134</v>
      </c>
      <c r="W74" s="102">
        <f t="shared" si="25"/>
        <v>7.739618233413232</v>
      </c>
      <c r="X74" s="102">
        <f t="shared" si="25"/>
        <v>0.89695058075688694</v>
      </c>
      <c r="Y74" s="102"/>
      <c r="Z74" s="102">
        <f t="shared" si="25"/>
        <v>-0.81042104198084119</v>
      </c>
      <c r="AA74" s="254">
        <f t="shared" si="25"/>
        <v>1.1267255336592066</v>
      </c>
      <c r="AB74" s="102">
        <f t="shared" si="25"/>
        <v>-0.52068883298314339</v>
      </c>
      <c r="AC74" s="102">
        <f t="shared" si="25"/>
        <v>-9.8162944802159924E-2</v>
      </c>
      <c r="AD74" s="102">
        <f t="shared" si="25"/>
        <v>0.26957014147024827</v>
      </c>
      <c r="AE74" s="102">
        <f t="shared" si="25"/>
        <v>0.51123964707887271</v>
      </c>
      <c r="AF74" s="254">
        <f t="shared" si="25"/>
        <v>-0.16298768716914103</v>
      </c>
      <c r="AG74" s="102">
        <f>IFERROR(AG73/AB73-1,"")</f>
        <v>6.6427297488160786E-2</v>
      </c>
      <c r="AH74" s="102">
        <f>IFERROR(AH73/AC73-1,"")</f>
        <v>-0.19408764632786479</v>
      </c>
      <c r="AI74" s="102">
        <f>IFERROR(AI73/AD73-1,"")</f>
        <v>-0.17352653009540364</v>
      </c>
      <c r="AJ74" s="102">
        <f>IFERROR(AJ73/AE73-1,"")</f>
        <v>-0.23322333444465537</v>
      </c>
      <c r="AK74" s="254">
        <f>IFERROR(AK73/AF73-1,"")</f>
        <v>-0.13252068967846109</v>
      </c>
    </row>
    <row r="75" spans="1:37" s="600" customFormat="1" ht="12.75" hidden="1" customHeight="1" outlineLevel="1">
      <c r="A75" s="1347"/>
      <c r="B75" s="714"/>
      <c r="C75" s="712"/>
      <c r="D75" s="712"/>
      <c r="E75" s="712"/>
      <c r="F75" s="712"/>
      <c r="G75" s="725"/>
      <c r="H75" s="715"/>
      <c r="I75" s="715"/>
      <c r="J75" s="715"/>
      <c r="K75" s="729"/>
      <c r="L75" s="730"/>
      <c r="M75" s="716"/>
      <c r="N75" s="716"/>
      <c r="O75" s="731"/>
      <c r="P75" s="716"/>
      <c r="Q75" s="717"/>
      <c r="R75" s="716"/>
      <c r="S75" s="716"/>
      <c r="T75" s="716"/>
      <c r="U75" s="716"/>
      <c r="V75" s="717"/>
      <c r="W75" s="716"/>
      <c r="X75" s="716"/>
      <c r="Y75" s="716"/>
      <c r="Z75" s="716"/>
      <c r="AA75" s="717"/>
      <c r="AB75" s="716"/>
      <c r="AC75" s="716"/>
      <c r="AD75" s="716"/>
      <c r="AE75" s="716"/>
      <c r="AF75" s="717"/>
      <c r="AG75" s="716"/>
      <c r="AH75" s="716"/>
      <c r="AI75" s="716"/>
      <c r="AJ75" s="716"/>
      <c r="AK75" s="717"/>
    </row>
    <row r="76" spans="1:37" s="913" customFormat="1" ht="12.75" hidden="1" customHeight="1" outlineLevel="1">
      <c r="A76" s="1292"/>
      <c r="B76" s="394" t="s">
        <v>489</v>
      </c>
      <c r="C76" s="491"/>
      <c r="D76" s="491"/>
      <c r="E76" s="491"/>
      <c r="F76" s="491"/>
      <c r="G76" s="911"/>
      <c r="H76" s="912"/>
      <c r="I76" s="912"/>
      <c r="J76" s="912"/>
      <c r="K76" s="912"/>
      <c r="L76" s="911"/>
      <c r="M76" s="912"/>
      <c r="N76" s="912"/>
      <c r="O76" s="912"/>
      <c r="P76" s="491">
        <f t="shared" ref="P76:AK76" si="26">P73+P79</f>
        <v>3882.0129386400176</v>
      </c>
      <c r="Q76" s="369">
        <f t="shared" si="26"/>
        <v>4987.6009999999997</v>
      </c>
      <c r="R76" s="491">
        <f t="shared" si="26"/>
        <v>851.75300000000004</v>
      </c>
      <c r="S76" s="491">
        <f t="shared" si="26"/>
        <v>3449.5279999999998</v>
      </c>
      <c r="T76" s="491">
        <f>T73+T79</f>
        <v>-222.28699999999921</v>
      </c>
      <c r="U76" s="491">
        <f t="shared" si="26"/>
        <v>6802.6647500000008</v>
      </c>
      <c r="V76" s="369">
        <f t="shared" si="26"/>
        <v>8881.6587500000005</v>
      </c>
      <c r="W76" s="491">
        <f t="shared" si="26"/>
        <v>7761.0797499999999</v>
      </c>
      <c r="X76" s="491">
        <f t="shared" si="26"/>
        <v>6581.6927500000002</v>
      </c>
      <c r="Y76" s="491">
        <f t="shared" si="26"/>
        <v>3407.8597500000001</v>
      </c>
      <c r="Z76" s="491">
        <f t="shared" si="26"/>
        <v>1270.96875</v>
      </c>
      <c r="AA76" s="369">
        <f t="shared" si="26"/>
        <v>19021.600999999999</v>
      </c>
      <c r="AB76" s="491">
        <f t="shared" si="26"/>
        <v>3703.5066550000001</v>
      </c>
      <c r="AC76" s="491">
        <f t="shared" si="26"/>
        <v>5924.4984599999998</v>
      </c>
      <c r="AD76" s="491">
        <f t="shared" si="26"/>
        <v>4321.6484600000003</v>
      </c>
      <c r="AE76" s="491">
        <f t="shared" si="26"/>
        <v>1920.5984600000002</v>
      </c>
      <c r="AF76" s="369">
        <f t="shared" si="26"/>
        <v>15870.252035</v>
      </c>
      <c r="AG76" s="491">
        <f t="shared" si="26"/>
        <v>3940.4316550000003</v>
      </c>
      <c r="AH76" s="491">
        <f t="shared" si="26"/>
        <v>4759.7484599999998</v>
      </c>
      <c r="AI76" s="491">
        <f t="shared" si="26"/>
        <v>3557.42346</v>
      </c>
      <c r="AJ76" s="491">
        <f t="shared" si="26"/>
        <v>1456.6734600000002</v>
      </c>
      <c r="AK76" s="369">
        <f t="shared" si="26"/>
        <v>13714.277034999999</v>
      </c>
    </row>
    <row r="77" spans="1:37" s="298" customFormat="1" ht="12.75" hidden="1" customHeight="1" outlineLevel="1">
      <c r="A77" s="1290"/>
      <c r="B77" s="433" t="s">
        <v>31</v>
      </c>
      <c r="C77" s="102"/>
      <c r="D77" s="102"/>
      <c r="E77" s="102"/>
      <c r="F77" s="102"/>
      <c r="G77" s="254"/>
      <c r="H77" s="102" t="str">
        <f t="shared" ref="H77:AF77" si="27">IFERROR(H76/C76-1,"")</f>
        <v/>
      </c>
      <c r="I77" s="102" t="str">
        <f t="shared" si="27"/>
        <v/>
      </c>
      <c r="J77" s="102" t="str">
        <f t="shared" si="27"/>
        <v/>
      </c>
      <c r="K77" s="102" t="str">
        <f t="shared" si="27"/>
        <v/>
      </c>
      <c r="L77" s="254" t="str">
        <f t="shared" si="27"/>
        <v/>
      </c>
      <c r="M77" s="102" t="str">
        <f t="shared" si="27"/>
        <v/>
      </c>
      <c r="N77" s="102" t="str">
        <f t="shared" si="27"/>
        <v/>
      </c>
      <c r="O77" s="102" t="str">
        <f t="shared" si="27"/>
        <v/>
      </c>
      <c r="P77" s="102" t="str">
        <f t="shared" si="27"/>
        <v/>
      </c>
      <c r="Q77" s="254" t="str">
        <f t="shared" si="27"/>
        <v/>
      </c>
      <c r="R77" s="102" t="str">
        <f t="shared" si="27"/>
        <v/>
      </c>
      <c r="S77" s="102" t="str">
        <f t="shared" si="27"/>
        <v/>
      </c>
      <c r="T77" s="102" t="str">
        <f t="shared" si="27"/>
        <v/>
      </c>
      <c r="U77" s="102">
        <f t="shared" si="27"/>
        <v>0.75235499147593576</v>
      </c>
      <c r="V77" s="254">
        <f t="shared" si="27"/>
        <v>0.78074764801755414</v>
      </c>
      <c r="W77" s="102">
        <f t="shared" si="27"/>
        <v>8.1118901254236846</v>
      </c>
      <c r="X77" s="102">
        <f t="shared" si="27"/>
        <v>0.90799806524254922</v>
      </c>
      <c r="Y77" s="102"/>
      <c r="Z77" s="102">
        <f t="shared" si="27"/>
        <v>-0.81316604643790513</v>
      </c>
      <c r="AA77" s="254">
        <f t="shared" si="27"/>
        <v>1.1416721285311708</v>
      </c>
      <c r="AB77" s="102">
        <f t="shared" si="27"/>
        <v>-0.52281038537195812</v>
      </c>
      <c r="AC77" s="102">
        <f t="shared" si="27"/>
        <v>-9.9851864096816234E-2</v>
      </c>
      <c r="AD77" s="102">
        <f t="shared" si="27"/>
        <v>0.26814152489696808</v>
      </c>
      <c r="AE77" s="102">
        <f t="shared" si="27"/>
        <v>0.51112956947210564</v>
      </c>
      <c r="AF77" s="254">
        <f t="shared" si="27"/>
        <v>-0.16567212008074395</v>
      </c>
      <c r="AG77" s="102">
        <f>IFERROR(AG76/AB76-1,"")</f>
        <v>6.3973153573285479E-2</v>
      </c>
      <c r="AH77" s="102">
        <f>IFERROR(AH76/AC76-1,"")</f>
        <v>-0.19659892020631908</v>
      </c>
      <c r="AI77" s="102">
        <f>IFERROR(AI76/AD76-1,"")</f>
        <v>-0.17683645652196345</v>
      </c>
      <c r="AJ77" s="102">
        <f>IFERROR(AJ76/AE76-1,"")</f>
        <v>-0.24155231281399647</v>
      </c>
      <c r="AK77" s="254">
        <f>IFERROR(AK76/AF76-1,"")</f>
        <v>-0.13585007945968641</v>
      </c>
    </row>
    <row r="78" spans="1:37" s="600" customFormat="1" ht="12.75" hidden="1" customHeight="1" outlineLevel="1">
      <c r="A78" s="1347"/>
      <c r="B78" s="714"/>
      <c r="C78" s="712"/>
      <c r="D78" s="712"/>
      <c r="E78" s="712"/>
      <c r="F78" s="712"/>
      <c r="G78" s="725"/>
      <c r="H78" s="715"/>
      <c r="I78" s="715"/>
      <c r="J78" s="715"/>
      <c r="K78" s="729"/>
      <c r="L78" s="730"/>
      <c r="M78" s="716"/>
      <c r="N78" s="716"/>
      <c r="O78" s="731"/>
      <c r="P78" s="716"/>
      <c r="Q78" s="717"/>
      <c r="R78" s="716"/>
      <c r="S78" s="716"/>
      <c r="T78" s="716"/>
      <c r="U78" s="716"/>
      <c r="V78" s="717"/>
      <c r="W78" s="716"/>
      <c r="X78" s="716"/>
      <c r="Y78" s="716"/>
      <c r="Z78" s="716"/>
      <c r="AA78" s="717"/>
      <c r="AB78" s="716"/>
      <c r="AC78" s="716"/>
      <c r="AD78" s="716"/>
      <c r="AE78" s="716"/>
      <c r="AF78" s="717"/>
      <c r="AG78" s="716"/>
      <c r="AH78" s="716"/>
      <c r="AI78" s="716"/>
      <c r="AJ78" s="716"/>
      <c r="AK78" s="717"/>
    </row>
    <row r="79" spans="1:37" s="913" customFormat="1" ht="12.75" hidden="1" customHeight="1" outlineLevel="1">
      <c r="A79" s="1292"/>
      <c r="B79" s="394" t="s">
        <v>497</v>
      </c>
      <c r="C79" s="491"/>
      <c r="D79" s="491"/>
      <c r="E79" s="491"/>
      <c r="F79" s="491"/>
      <c r="G79" s="911"/>
      <c r="H79" s="912"/>
      <c r="I79" s="912"/>
      <c r="J79" s="912"/>
      <c r="K79" s="912"/>
      <c r="L79" s="911">
        <f>-CF!L16</f>
        <v>-16.533000000000001</v>
      </c>
      <c r="M79" s="912">
        <f>-CF!M16</f>
        <v>-8.0579999999999998</v>
      </c>
      <c r="N79" s="912">
        <f>-CF!N16</f>
        <v>-7.5469999999999997</v>
      </c>
      <c r="O79" s="912">
        <f>-CF!O16</f>
        <v>0</v>
      </c>
      <c r="P79" s="912">
        <f>-CF!P16</f>
        <v>0</v>
      </c>
      <c r="Q79" s="911">
        <f>-CF!Q16</f>
        <v>-33.375999999999998</v>
      </c>
      <c r="R79" s="912">
        <f>-CF!R16</f>
        <v>-37.691000000000003</v>
      </c>
      <c r="S79" s="912">
        <f>-CF!S16</f>
        <v>-29.036000000000001</v>
      </c>
      <c r="T79" s="912">
        <f>-CF!T16</f>
        <v>-21.048999999999999</v>
      </c>
      <c r="U79" s="491">
        <f>U80/(5*4)</f>
        <v>-6.8462500000000004</v>
      </c>
      <c r="V79" s="369">
        <f>SUM(R79:U79)</f>
        <v>-94.622250000000008</v>
      </c>
      <c r="W79" s="491">
        <f>W80/(5*4)</f>
        <v>-12.321250000000001</v>
      </c>
      <c r="X79" s="491">
        <f>X80/(5*4)</f>
        <v>-16.971250000000001</v>
      </c>
      <c r="Y79" s="491">
        <f>Y80/(5*4)</f>
        <v>-19.221250000000001</v>
      </c>
      <c r="Z79" s="491">
        <f>Z80/(5*4)</f>
        <v>-19.971250000000001</v>
      </c>
      <c r="AA79" s="369">
        <f>SUM(W79:Z79)</f>
        <v>-68.484999999999999</v>
      </c>
      <c r="AB79" s="491">
        <f>AB80/(5*4)</f>
        <v>-22.37125</v>
      </c>
      <c r="AC79" s="491">
        <f>AC80/(5*4)</f>
        <v>-26.421249999999997</v>
      </c>
      <c r="AD79" s="491">
        <f>AD80/(5*4)</f>
        <v>-29.271249999999998</v>
      </c>
      <c r="AE79" s="491">
        <f>AE80/(5*4)</f>
        <v>-30.321249999999999</v>
      </c>
      <c r="AF79" s="369">
        <f>SUM(AB79:AE79)</f>
        <v>-108.38499999999999</v>
      </c>
      <c r="AG79" s="491">
        <f>AG80/(5*4)</f>
        <v>-32.946249999999999</v>
      </c>
      <c r="AH79" s="491">
        <f>AH80/(5*4)</f>
        <v>-36.171250000000001</v>
      </c>
      <c r="AI79" s="491">
        <f>AI80/(5*4)</f>
        <v>-38.496249999999996</v>
      </c>
      <c r="AJ79" s="491">
        <f>AJ80/(5*4)</f>
        <v>-39.246249999999996</v>
      </c>
      <c r="AK79" s="369">
        <f>SUM(AG79:AJ79)</f>
        <v>-146.86000000000001</v>
      </c>
    </row>
    <row r="80" spans="1:37" s="299" customFormat="1" ht="12.75" hidden="1" customHeight="1" outlineLevel="1">
      <c r="A80" s="1408"/>
      <c r="B80" s="714" t="s">
        <v>473</v>
      </c>
      <c r="C80" s="895"/>
      <c r="D80" s="895"/>
      <c r="E80" s="895"/>
      <c r="F80" s="895"/>
      <c r="G80" s="896"/>
      <c r="H80" s="895"/>
      <c r="I80" s="895"/>
      <c r="J80" s="895"/>
      <c r="K80" s="895"/>
      <c r="L80" s="896"/>
      <c r="M80" s="895"/>
      <c r="N80" s="895"/>
      <c r="O80" s="895"/>
      <c r="P80" s="895"/>
      <c r="Q80" s="896"/>
      <c r="R80" s="895">
        <f>SUM(R82,Q82,L82)</f>
        <v>-15.839</v>
      </c>
      <c r="S80" s="895">
        <f>SUM(R82:S82,Q82,L82)</f>
        <v>-52.375</v>
      </c>
      <c r="T80" s="895">
        <f>SUM(S82:T82,R82,M82)</f>
        <v>-46.085999999999999</v>
      </c>
      <c r="U80" s="895">
        <f>SUM(R82:U82,Q82+L82)</f>
        <v>-136.92500000000001</v>
      </c>
      <c r="V80" s="896"/>
      <c r="W80" s="895">
        <f>SUM(L82,Q82,V82,W82)</f>
        <v>-246.42500000000001</v>
      </c>
      <c r="X80" s="895">
        <f>SUM(L82,Q82,V82,W82:X82)</f>
        <v>-339.42500000000001</v>
      </c>
      <c r="Y80" s="895">
        <f>SUM(L82,Q82,V82,W82:Y82)</f>
        <v>-384.42500000000001</v>
      </c>
      <c r="Z80" s="895">
        <f>SUM(L82,Q82,V82,W82:Z82)</f>
        <v>-399.42500000000001</v>
      </c>
      <c r="AA80" s="896"/>
      <c r="AB80" s="895">
        <f>SUM($L82,$Q82,$V82,$AA82,$AB82)</f>
        <v>-447.42500000000001</v>
      </c>
      <c r="AC80" s="895">
        <f>SUM($L82,$Q82,$V82,$AA82,$AB82:$AC82)</f>
        <v>-528.42499999999995</v>
      </c>
      <c r="AD80" s="895">
        <f>SUM($L82,$Q82,$V82,$AA82,$AB82:$AD82)</f>
        <v>-585.42499999999995</v>
      </c>
      <c r="AE80" s="895">
        <f>SUM($L82,$Q82,$V82,$AA82,$AB82:$AE82)</f>
        <v>-606.42499999999995</v>
      </c>
      <c r="AF80" s="896"/>
      <c r="AG80" s="895">
        <f>SUM($L82,$Q82,$V82,$AA82,$AF82,$AG82)</f>
        <v>-658.92499999999995</v>
      </c>
      <c r="AH80" s="895">
        <f>SUM($L82,$Q82,$V82,$AA82,$AF82,$AG82:$AH82)</f>
        <v>-723.42499999999995</v>
      </c>
      <c r="AI80" s="895">
        <f>SUM($L82,$Q82,$V82,$AA82,$AF82,$AG82:$AI82)</f>
        <v>-769.92499999999995</v>
      </c>
      <c r="AJ80" s="895">
        <f>SUM($L82,$Q82,$V82,$AA82,$AF82,$AG82:$AJ82)</f>
        <v>-784.92499999999995</v>
      </c>
      <c r="AK80" s="896"/>
    </row>
    <row r="81" spans="1:37" s="298" customFormat="1" ht="12.75" hidden="1" customHeight="1" outlineLevel="1">
      <c r="A81" s="1290"/>
      <c r="B81" s="433"/>
      <c r="C81" s="102"/>
      <c r="D81" s="102"/>
      <c r="E81" s="102" t="s">
        <v>697</v>
      </c>
      <c r="F81" s="102"/>
      <c r="G81" s="254"/>
      <c r="H81" s="102"/>
      <c r="I81" s="102"/>
      <c r="J81" s="102"/>
      <c r="K81" s="102"/>
      <c r="L81" s="254"/>
      <c r="M81" s="102"/>
      <c r="N81" s="102"/>
      <c r="O81" s="102"/>
      <c r="P81" s="102"/>
      <c r="Q81" s="254"/>
      <c r="R81" s="102"/>
      <c r="S81" s="102"/>
      <c r="T81" s="102"/>
      <c r="U81" s="102"/>
      <c r="V81" s="254"/>
      <c r="W81" s="102"/>
      <c r="X81" s="102"/>
      <c r="Y81" s="102"/>
      <c r="Z81" s="102"/>
      <c r="AA81" s="254"/>
      <c r="AB81" s="102"/>
      <c r="AC81" s="102"/>
      <c r="AD81" s="102"/>
      <c r="AE81" s="102"/>
      <c r="AF81" s="254"/>
      <c r="AG81" s="102"/>
      <c r="AH81" s="102"/>
      <c r="AI81" s="102"/>
      <c r="AJ81" s="102"/>
      <c r="AK81" s="254"/>
    </row>
    <row r="82" spans="1:37" s="913" customFormat="1" ht="12.75" hidden="1" customHeight="1" outlineLevel="1">
      <c r="A82" s="1292"/>
      <c r="B82" s="394" t="s">
        <v>473</v>
      </c>
      <c r="C82" s="491"/>
      <c r="D82" s="491"/>
      <c r="E82" s="1407">
        <v>1.4999999999999999E-2</v>
      </c>
      <c r="F82" s="491"/>
      <c r="G82" s="911"/>
      <c r="H82" s="912"/>
      <c r="I82" s="912"/>
      <c r="J82" s="912"/>
      <c r="K82" s="912"/>
      <c r="L82" s="911">
        <f>CF!L59</f>
        <v>-12.053000000000001</v>
      </c>
      <c r="M82" s="912">
        <f>CF!M59</f>
        <v>0</v>
      </c>
      <c r="N82" s="912">
        <f>CF!N59</f>
        <v>-3.4790000000000001</v>
      </c>
      <c r="O82" s="912">
        <f>CF!O59</f>
        <v>0</v>
      </c>
      <c r="P82" s="912">
        <f>CF!P59</f>
        <v>0</v>
      </c>
      <c r="Q82" s="911">
        <f>CF!Q59</f>
        <v>-3.786</v>
      </c>
      <c r="R82" s="912">
        <f>CF!R59</f>
        <v>0</v>
      </c>
      <c r="S82" s="912">
        <f>CF!S59</f>
        <v>-36.536000000000001</v>
      </c>
      <c r="T82" s="912">
        <f>CF!T59</f>
        <v>-9.5500000000000007</v>
      </c>
      <c r="U82" s="491">
        <f>-$E$82*U83</f>
        <v>-75</v>
      </c>
      <c r="V82" s="369">
        <f>SUM(R82:U82)</f>
        <v>-121.086</v>
      </c>
      <c r="W82" s="491">
        <f>-$E$82*W83</f>
        <v>-109.5</v>
      </c>
      <c r="X82" s="491">
        <f>-$E$82*X83</f>
        <v>-93</v>
      </c>
      <c r="Y82" s="491">
        <f>-$E$82*Y83</f>
        <v>-45</v>
      </c>
      <c r="Z82" s="491">
        <f>-$E$82*Z83</f>
        <v>-15</v>
      </c>
      <c r="AA82" s="369">
        <f>SUM(W82:Z82)</f>
        <v>-262.5</v>
      </c>
      <c r="AB82" s="491">
        <f>-$E$82*AB83</f>
        <v>-48</v>
      </c>
      <c r="AC82" s="491">
        <f>-$E$82*AC83</f>
        <v>-81</v>
      </c>
      <c r="AD82" s="491">
        <f>-$E$82*AD83</f>
        <v>-57</v>
      </c>
      <c r="AE82" s="491">
        <f>-$E$82*AE83</f>
        <v>-21</v>
      </c>
      <c r="AF82" s="369">
        <f>SUM(AB82:AE82)</f>
        <v>-207</v>
      </c>
      <c r="AG82" s="491">
        <f>-$E$82*AG83</f>
        <v>-52.5</v>
      </c>
      <c r="AH82" s="491">
        <f>-$E$82*AH83</f>
        <v>-64.5</v>
      </c>
      <c r="AI82" s="491">
        <f>-$E$82*AI83</f>
        <v>-46.5</v>
      </c>
      <c r="AJ82" s="491">
        <f>-$E$82*AJ83</f>
        <v>-15</v>
      </c>
      <c r="AK82" s="369">
        <f>SUM(AG82:AJ82)</f>
        <v>-178.5</v>
      </c>
    </row>
    <row r="83" spans="1:37" s="913" customFormat="1" ht="12.75" hidden="1" customHeight="1" outlineLevel="1">
      <c r="A83" s="1292"/>
      <c r="B83" s="714" t="s">
        <v>696</v>
      </c>
      <c r="C83" s="895"/>
      <c r="D83" s="895"/>
      <c r="E83" s="895"/>
      <c r="F83" s="895"/>
      <c r="G83" s="900"/>
      <c r="H83" s="899"/>
      <c r="I83" s="899"/>
      <c r="J83" s="899"/>
      <c r="K83" s="899"/>
      <c r="L83" s="900"/>
      <c r="M83" s="899"/>
      <c r="N83" s="899"/>
      <c r="O83" s="899"/>
      <c r="P83" s="899"/>
      <c r="Q83" s="900"/>
      <c r="R83" s="899"/>
      <c r="S83" s="899"/>
      <c r="T83" s="899"/>
      <c r="U83" s="895">
        <f>U170+U177+U184</f>
        <v>5000</v>
      </c>
      <c r="V83" s="896">
        <f>SUM(R83:U83)</f>
        <v>5000</v>
      </c>
      <c r="W83" s="895">
        <f>W170+W177+W184</f>
        <v>7300</v>
      </c>
      <c r="X83" s="895">
        <f>X170+X177+X184</f>
        <v>6200</v>
      </c>
      <c r="Y83" s="895">
        <f>Y170+Y177+Y184</f>
        <v>3000</v>
      </c>
      <c r="Z83" s="895">
        <f>Z170+Z177+Z184</f>
        <v>1000</v>
      </c>
      <c r="AA83" s="896">
        <f>SUM(W83:Z83)</f>
        <v>17500</v>
      </c>
      <c r="AB83" s="895">
        <f>AB170+AB177+AB184</f>
        <v>3200</v>
      </c>
      <c r="AC83" s="895">
        <f>AC170+AC177+AC184</f>
        <v>5400</v>
      </c>
      <c r="AD83" s="895">
        <f>AD170+AD177+AD184</f>
        <v>3800</v>
      </c>
      <c r="AE83" s="895">
        <f>AE170+AE177+AE184</f>
        <v>1400</v>
      </c>
      <c r="AF83" s="896">
        <f>SUM(AB83:AE83)</f>
        <v>13800</v>
      </c>
      <c r="AG83" s="895">
        <f>AG170+AG177+AG184</f>
        <v>3500</v>
      </c>
      <c r="AH83" s="895">
        <f>AH170+AH177+AH184</f>
        <v>4300</v>
      </c>
      <c r="AI83" s="895">
        <f>AI170+AI177+AI184</f>
        <v>3100</v>
      </c>
      <c r="AJ83" s="895">
        <f>AJ170+AJ177+AJ184</f>
        <v>1000</v>
      </c>
      <c r="AK83" s="896">
        <f>SUM(AG83:AJ83)</f>
        <v>11900</v>
      </c>
    </row>
    <row r="84" spans="1:37" s="600" customFormat="1" ht="12.75" hidden="1" customHeight="1" outlineLevel="1">
      <c r="A84" s="1347"/>
      <c r="B84" s="714"/>
      <c r="C84" s="712"/>
      <c r="D84" s="712"/>
      <c r="E84" s="712"/>
      <c r="F84" s="712"/>
      <c r="G84" s="725"/>
      <c r="H84" s="715"/>
      <c r="I84" s="715"/>
      <c r="J84" s="715"/>
      <c r="K84" s="729"/>
      <c r="L84" s="730"/>
      <c r="M84" s="716"/>
      <c r="N84" s="716"/>
      <c r="O84" s="731"/>
      <c r="P84" s="716"/>
      <c r="Q84" s="717"/>
      <c r="R84" s="716"/>
      <c r="S84" s="716"/>
      <c r="T84" s="716"/>
      <c r="U84" s="716"/>
      <c r="V84" s="717"/>
      <c r="W84" s="716"/>
      <c r="X84" s="716"/>
      <c r="Y84" s="716"/>
      <c r="Z84" s="716"/>
      <c r="AA84" s="717"/>
      <c r="AB84" s="716"/>
      <c r="AC84" s="716"/>
      <c r="AD84" s="716"/>
      <c r="AE84" s="716"/>
      <c r="AF84" s="717"/>
      <c r="AG84" s="716"/>
      <c r="AH84" s="716"/>
      <c r="AI84" s="716"/>
      <c r="AJ84" s="716"/>
      <c r="AK84" s="717"/>
    </row>
    <row r="85" spans="1:37" s="913" customFormat="1" ht="12.75" hidden="1" customHeight="1" outlineLevel="1">
      <c r="A85" s="1292"/>
      <c r="B85" s="394" t="s">
        <v>472</v>
      </c>
      <c r="C85" s="491"/>
      <c r="D85" s="491"/>
      <c r="E85" s="491"/>
      <c r="F85" s="491"/>
      <c r="G85" s="911"/>
      <c r="H85" s="912"/>
      <c r="I85" s="912"/>
      <c r="J85" s="912"/>
      <c r="K85" s="912"/>
      <c r="L85" s="911"/>
      <c r="M85" s="912"/>
      <c r="N85" s="912"/>
      <c r="O85" s="912"/>
      <c r="P85" s="491">
        <f>P90+P101+P151+P142+P207+P171</f>
        <v>-172.5</v>
      </c>
      <c r="Q85" s="369">
        <f>Q90+Q101+Q151+Q142+Q207+Q171</f>
        <v>637.57600000000002</v>
      </c>
      <c r="R85" s="491">
        <f t="shared" ref="R85:AK85" si="28">R90+R101+R151+R142+R207+R171+R162</f>
        <v>-262.05899999999997</v>
      </c>
      <c r="S85" s="491">
        <f t="shared" si="28"/>
        <v>-1355.201</v>
      </c>
      <c r="T85" s="491">
        <f t="shared" si="28"/>
        <v>-459.59199999999998</v>
      </c>
      <c r="U85" s="491">
        <f t="shared" si="28"/>
        <v>-1300.7460000000001</v>
      </c>
      <c r="V85" s="369">
        <f t="shared" si="28"/>
        <v>-3377.598</v>
      </c>
      <c r="W85" s="491">
        <f t="shared" si="28"/>
        <v>-715.11504000000002</v>
      </c>
      <c r="X85" s="491">
        <f t="shared" si="28"/>
        <v>-773.85153660000003</v>
      </c>
      <c r="Y85" s="491">
        <f t="shared" si="28"/>
        <v>-860.06596022300005</v>
      </c>
      <c r="Z85" s="491">
        <f t="shared" si="28"/>
        <v>-880.84411705416005</v>
      </c>
      <c r="AA85" s="369">
        <f t="shared" si="28"/>
        <v>-3229.8766538771602</v>
      </c>
      <c r="AB85" s="491">
        <f t="shared" si="28"/>
        <v>-871.41826115105562</v>
      </c>
      <c r="AC85" s="491">
        <f t="shared" si="28"/>
        <v>-871.41826115105562</v>
      </c>
      <c r="AD85" s="491">
        <f t="shared" si="28"/>
        <v>-871.41826115105562</v>
      </c>
      <c r="AE85" s="491">
        <f t="shared" si="28"/>
        <v>-871.41826115105562</v>
      </c>
      <c r="AF85" s="369">
        <f t="shared" si="28"/>
        <v>-3485.6730446042225</v>
      </c>
      <c r="AG85" s="491">
        <f t="shared" si="28"/>
        <v>-971.84502028667566</v>
      </c>
      <c r="AH85" s="491">
        <f t="shared" si="28"/>
        <v>-776.34502028667566</v>
      </c>
      <c r="AI85" s="491">
        <f t="shared" si="28"/>
        <v>-776.34502028667566</v>
      </c>
      <c r="AJ85" s="491">
        <f t="shared" si="28"/>
        <v>-776.34502028667566</v>
      </c>
      <c r="AK85" s="369">
        <f t="shared" si="28"/>
        <v>-3300.8800811467027</v>
      </c>
    </row>
    <row r="86" spans="1:37" s="298" customFormat="1" ht="12.75" hidden="1" customHeight="1" outlineLevel="1">
      <c r="A86" s="1290"/>
      <c r="B86" s="433" t="s">
        <v>31</v>
      </c>
      <c r="C86" s="102"/>
      <c r="D86" s="102"/>
      <c r="E86" s="102"/>
      <c r="F86" s="102"/>
      <c r="G86" s="254"/>
      <c r="H86" s="102" t="str">
        <f t="shared" ref="H86:AF86" si="29">IFERROR(H85/C85-1,"")</f>
        <v/>
      </c>
      <c r="I86" s="102" t="str">
        <f t="shared" si="29"/>
        <v/>
      </c>
      <c r="J86" s="102" t="str">
        <f t="shared" si="29"/>
        <v/>
      </c>
      <c r="K86" s="102" t="str">
        <f t="shared" si="29"/>
        <v/>
      </c>
      <c r="L86" s="254" t="str">
        <f t="shared" si="29"/>
        <v/>
      </c>
      <c r="M86" s="102" t="str">
        <f t="shared" si="29"/>
        <v/>
      </c>
      <c r="N86" s="102" t="str">
        <f t="shared" si="29"/>
        <v/>
      </c>
      <c r="O86" s="102" t="str">
        <f t="shared" si="29"/>
        <v/>
      </c>
      <c r="P86" s="102" t="str">
        <f t="shared" si="29"/>
        <v/>
      </c>
      <c r="Q86" s="254" t="str">
        <f t="shared" si="29"/>
        <v/>
      </c>
      <c r="R86" s="102" t="str">
        <f t="shared" si="29"/>
        <v/>
      </c>
      <c r="S86" s="102" t="str">
        <f t="shared" si="29"/>
        <v/>
      </c>
      <c r="T86" s="102" t="str">
        <f t="shared" si="29"/>
        <v/>
      </c>
      <c r="U86" s="102">
        <f t="shared" si="29"/>
        <v>6.5405565217391306</v>
      </c>
      <c r="V86" s="254">
        <f t="shared" si="29"/>
        <v>-6.2975613887599282</v>
      </c>
      <c r="W86" s="102">
        <f t="shared" si="29"/>
        <v>1.7288322095406001</v>
      </c>
      <c r="X86" s="102">
        <f t="shared" si="29"/>
        <v>-0.4289765602298109</v>
      </c>
      <c r="Y86" s="102">
        <f t="shared" si="29"/>
        <v>0.87136843161543309</v>
      </c>
      <c r="Z86" s="102">
        <f t="shared" si="29"/>
        <v>-0.32281620158419866</v>
      </c>
      <c r="AA86" s="254">
        <f t="shared" si="29"/>
        <v>-4.3735621030933758E-2</v>
      </c>
      <c r="AB86" s="102">
        <f t="shared" si="29"/>
        <v>0.21857073674615424</v>
      </c>
      <c r="AC86" s="102">
        <f t="shared" si="29"/>
        <v>0.12607938336560709</v>
      </c>
      <c r="AD86" s="102">
        <f t="shared" si="29"/>
        <v>1.3199337554426815E-2</v>
      </c>
      <c r="AE86" s="102">
        <f t="shared" si="29"/>
        <v>-1.0700935296732994E-2</v>
      </c>
      <c r="AF86" s="254">
        <f t="shared" si="29"/>
        <v>7.9196953363529499E-2</v>
      </c>
      <c r="AG86" s="102">
        <f>IFERROR(AG85/AB85-1,"")</f>
        <v>0.11524518547840201</v>
      </c>
      <c r="AH86" s="102">
        <f>IFERROR(AH85/AC85-1,"")</f>
        <v>-0.10910173116959676</v>
      </c>
      <c r="AI86" s="102">
        <f>IFERROR(AI85/AD85-1,"")</f>
        <v>-0.10910173116959676</v>
      </c>
      <c r="AJ86" s="102">
        <f>IFERROR(AJ85/AE85-1,"")</f>
        <v>-0.10910173116959676</v>
      </c>
      <c r="AK86" s="254">
        <f>IFERROR(AK85/AF85-1,"")</f>
        <v>-5.3015002007597012E-2</v>
      </c>
    </row>
    <row r="87" spans="1:37" s="600" customFormat="1" ht="12.75" customHeight="1" collapsed="1">
      <c r="A87" s="548"/>
      <c r="B87" s="714"/>
      <c r="C87" s="712"/>
      <c r="D87" s="712"/>
      <c r="E87" s="712"/>
      <c r="F87" s="712"/>
      <c r="G87" s="725"/>
      <c r="H87" s="715"/>
      <c r="I87" s="715"/>
      <c r="J87" s="715"/>
      <c r="K87" s="729"/>
      <c r="L87" s="730"/>
      <c r="M87" s="716"/>
      <c r="N87" s="716"/>
      <c r="O87" s="731"/>
      <c r="P87" s="716"/>
      <c r="Q87" s="717"/>
      <c r="R87" s="716"/>
      <c r="S87" s="716"/>
      <c r="T87" s="716"/>
      <c r="U87" s="716"/>
      <c r="V87" s="717"/>
      <c r="W87" s="716"/>
      <c r="X87" s="716"/>
      <c r="Y87" s="716"/>
      <c r="Z87" s="716"/>
      <c r="AA87" s="717"/>
      <c r="AB87" s="716"/>
      <c r="AC87" s="716"/>
      <c r="AD87" s="716"/>
      <c r="AE87" s="716"/>
      <c r="AF87" s="717"/>
      <c r="AG87" s="716"/>
      <c r="AH87" s="716"/>
      <c r="AI87" s="716"/>
      <c r="AJ87" s="716"/>
      <c r="AK87" s="717"/>
    </row>
    <row r="88" spans="1:37" ht="12.75" customHeight="1">
      <c r="B88" s="763" t="s">
        <v>331</v>
      </c>
      <c r="C88" s="764" t="s">
        <v>355</v>
      </c>
      <c r="D88" s="429" t="s">
        <v>332</v>
      </c>
      <c r="E88" s="429" t="s">
        <v>333</v>
      </c>
      <c r="F88" s="429" t="s">
        <v>334</v>
      </c>
      <c r="G88" s="252"/>
      <c r="H88" s="429"/>
      <c r="I88" s="429"/>
      <c r="J88" s="429"/>
      <c r="K88" s="429"/>
      <c r="L88" s="252"/>
      <c r="M88" s="429"/>
      <c r="N88" s="429"/>
      <c r="O88" s="429"/>
      <c r="P88" s="429"/>
      <c r="Q88" s="252"/>
      <c r="R88" s="429"/>
      <c r="S88" s="429"/>
      <c r="T88" s="429"/>
      <c r="U88" s="429"/>
      <c r="V88" s="252"/>
      <c r="W88" s="429"/>
      <c r="X88" s="429"/>
      <c r="Y88" s="429"/>
      <c r="Z88" s="429"/>
      <c r="AA88" s="252"/>
      <c r="AB88" s="429"/>
      <c r="AC88" s="429"/>
      <c r="AD88" s="429"/>
      <c r="AE88" s="429"/>
      <c r="AF88" s="252"/>
      <c r="AG88" s="429"/>
      <c r="AH88" s="429"/>
      <c r="AI88" s="429"/>
      <c r="AJ88" s="429"/>
      <c r="AK88" s="252"/>
    </row>
    <row r="89" spans="1:37" s="470" customFormat="1" ht="12.75" customHeight="1">
      <c r="A89" s="464"/>
      <c r="B89" s="950" t="s">
        <v>330</v>
      </c>
      <c r="C89" s="1354">
        <v>2300</v>
      </c>
      <c r="D89" s="1355" t="s">
        <v>336</v>
      </c>
      <c r="E89" s="1356">
        <v>9.6199999999999994E-2</v>
      </c>
      <c r="F89" s="1356">
        <v>0.15</v>
      </c>
      <c r="G89" s="661"/>
      <c r="H89" s="698"/>
      <c r="I89" s="698"/>
      <c r="J89" s="698"/>
      <c r="K89" s="698">
        <v>1374.924</v>
      </c>
      <c r="L89" s="494">
        <f>K89</f>
        <v>1374.924</v>
      </c>
      <c r="M89" s="698">
        <v>2300</v>
      </c>
      <c r="N89" s="698">
        <v>2277</v>
      </c>
      <c r="O89" s="698">
        <v>2185</v>
      </c>
      <c r="P89" s="698">
        <v>2012.5</v>
      </c>
      <c r="Q89" s="564">
        <f>P89</f>
        <v>2012.5</v>
      </c>
      <c r="R89" s="698">
        <v>1897.5</v>
      </c>
      <c r="S89" s="698">
        <v>1782.5</v>
      </c>
      <c r="T89" s="698">
        <v>1667.5</v>
      </c>
      <c r="U89" s="493">
        <f>T89+U90</f>
        <v>1552.5</v>
      </c>
      <c r="V89" s="564">
        <f>U89</f>
        <v>1552.5</v>
      </c>
      <c r="W89" s="493">
        <f>V89+W90</f>
        <v>1437.5</v>
      </c>
      <c r="X89" s="493">
        <f>W89+X90</f>
        <v>1299.5</v>
      </c>
      <c r="Y89" s="493">
        <f>X89+Y90</f>
        <v>1138.5</v>
      </c>
      <c r="Z89" s="493">
        <f>Y89+Z90</f>
        <v>954.5</v>
      </c>
      <c r="AA89" s="564">
        <f>Z89</f>
        <v>954.5</v>
      </c>
      <c r="AB89" s="493">
        <f>AA89+AB90</f>
        <v>764.75</v>
      </c>
      <c r="AC89" s="493">
        <f>AB89+AC90</f>
        <v>575</v>
      </c>
      <c r="AD89" s="493">
        <f>AC89+AD90</f>
        <v>385.25</v>
      </c>
      <c r="AE89" s="493">
        <f>AD89+AE90</f>
        <v>195.5</v>
      </c>
      <c r="AF89" s="564">
        <f>AE89</f>
        <v>195.5</v>
      </c>
      <c r="AG89" s="493">
        <f>AF89+AG90</f>
        <v>0</v>
      </c>
      <c r="AH89" s="493">
        <f>AG89+AH90</f>
        <v>0</v>
      </c>
      <c r="AI89" s="493">
        <f>AH89+AI90</f>
        <v>0</v>
      </c>
      <c r="AJ89" s="493">
        <f>AI89+AJ90</f>
        <v>0</v>
      </c>
      <c r="AK89" s="564">
        <f>AJ89</f>
        <v>0</v>
      </c>
    </row>
    <row r="90" spans="1:37" s="470" customFormat="1" ht="12.75" hidden="1" customHeight="1" outlineLevel="1">
      <c r="A90" s="548"/>
      <c r="B90" s="862" t="s">
        <v>448</v>
      </c>
      <c r="C90" s="766"/>
      <c r="D90" s="724"/>
      <c r="E90" s="724"/>
      <c r="F90" s="724"/>
      <c r="G90" s="725"/>
      <c r="H90" s="715"/>
      <c r="I90" s="715"/>
      <c r="J90" s="715"/>
      <c r="K90" s="715"/>
      <c r="L90" s="713"/>
      <c r="M90" s="712">
        <f>M89-L89</f>
        <v>925.07600000000002</v>
      </c>
      <c r="N90" s="712">
        <f>N89-M89</f>
        <v>-23</v>
      </c>
      <c r="O90" s="712">
        <f>O89-N89</f>
        <v>-92</v>
      </c>
      <c r="P90" s="712">
        <f>P89-O89</f>
        <v>-172.5</v>
      </c>
      <c r="Q90" s="726">
        <f>Q89-L89</f>
        <v>637.57600000000002</v>
      </c>
      <c r="R90" s="712">
        <f>R89-Q89</f>
        <v>-115</v>
      </c>
      <c r="S90" s="712">
        <f>S89-R89</f>
        <v>-115</v>
      </c>
      <c r="T90" s="712">
        <f>T89-S89</f>
        <v>-115</v>
      </c>
      <c r="U90" s="712">
        <f>-2300*U91</f>
        <v>-115</v>
      </c>
      <c r="V90" s="726">
        <f>SUM(R90:U90)</f>
        <v>-460</v>
      </c>
      <c r="W90" s="712">
        <f>-2300*W91</f>
        <v>-115</v>
      </c>
      <c r="X90" s="712">
        <f>-2300*X91</f>
        <v>-138</v>
      </c>
      <c r="Y90" s="712">
        <f>-2300*Y91</f>
        <v>-161.00000000000003</v>
      </c>
      <c r="Z90" s="712">
        <f>-2300*Z91</f>
        <v>-184</v>
      </c>
      <c r="AA90" s="726">
        <f>SUM(W90:Z90)</f>
        <v>-598</v>
      </c>
      <c r="AB90" s="712">
        <f>-2300*AB91</f>
        <v>-189.75</v>
      </c>
      <c r="AC90" s="712">
        <f>-2300*AC91</f>
        <v>-189.75</v>
      </c>
      <c r="AD90" s="712">
        <f>-2300*AD91</f>
        <v>-189.75</v>
      </c>
      <c r="AE90" s="712">
        <f>-2300*AE91</f>
        <v>-189.75</v>
      </c>
      <c r="AF90" s="726">
        <f>SUM(AB90:AE90)</f>
        <v>-759</v>
      </c>
      <c r="AG90" s="712">
        <f>-AE89</f>
        <v>-195.5</v>
      </c>
      <c r="AH90" s="712">
        <f>-2300*AH91</f>
        <v>0</v>
      </c>
      <c r="AI90" s="712">
        <f>-2300*AI91</f>
        <v>0</v>
      </c>
      <c r="AJ90" s="712">
        <f>-2300*AJ91</f>
        <v>0</v>
      </c>
      <c r="AK90" s="726">
        <f>SUM(AG90:AJ90)</f>
        <v>-195.5</v>
      </c>
    </row>
    <row r="91" spans="1:37" s="859" customFormat="1" ht="12.75" hidden="1" customHeight="1" outlineLevel="1">
      <c r="A91" s="1348"/>
      <c r="B91" s="863" t="s">
        <v>447</v>
      </c>
      <c r="C91" s="854"/>
      <c r="D91" s="854"/>
      <c r="E91" s="854"/>
      <c r="F91" s="854"/>
      <c r="G91" s="855"/>
      <c r="H91" s="856"/>
      <c r="I91" s="856"/>
      <c r="J91" s="856"/>
      <c r="K91" s="856"/>
      <c r="L91" s="857"/>
      <c r="M91" s="856"/>
      <c r="N91" s="856"/>
      <c r="O91" s="856"/>
      <c r="P91" s="701"/>
      <c r="Q91" s="858"/>
      <c r="R91" s="701">
        <f>R90/-2300</f>
        <v>0.05</v>
      </c>
      <c r="S91" s="701">
        <f>S90/-2300</f>
        <v>0.05</v>
      </c>
      <c r="T91" s="701">
        <f>T90/-2300</f>
        <v>0.05</v>
      </c>
      <c r="U91" s="856">
        <v>0.05</v>
      </c>
      <c r="V91" s="858"/>
      <c r="W91" s="856">
        <v>0.05</v>
      </c>
      <c r="X91" s="856">
        <v>0.06</v>
      </c>
      <c r="Y91" s="856">
        <v>7.0000000000000007E-2</v>
      </c>
      <c r="Z91" s="856">
        <v>0.08</v>
      </c>
      <c r="AA91" s="858"/>
      <c r="AB91" s="856">
        <v>8.2500000000000004E-2</v>
      </c>
      <c r="AC91" s="856">
        <f>AB91</f>
        <v>8.2500000000000004E-2</v>
      </c>
      <c r="AD91" s="856">
        <f>AC91</f>
        <v>8.2500000000000004E-2</v>
      </c>
      <c r="AE91" s="856">
        <f>AD91</f>
        <v>8.2500000000000004E-2</v>
      </c>
      <c r="AF91" s="858"/>
      <c r="AG91" s="701">
        <f>-AG90/2300</f>
        <v>8.5000000000000006E-2</v>
      </c>
      <c r="AH91" s="856">
        <v>0</v>
      </c>
      <c r="AI91" s="856">
        <f>AH91</f>
        <v>0</v>
      </c>
      <c r="AJ91" s="856">
        <f>AI91</f>
        <v>0</v>
      </c>
      <c r="AK91" s="858"/>
    </row>
    <row r="92" spans="1:37" s="470" customFormat="1" ht="12.75" hidden="1" customHeight="1" outlineLevel="1">
      <c r="A92" s="548"/>
      <c r="B92" s="862"/>
      <c r="C92" s="766"/>
      <c r="D92" s="724"/>
      <c r="E92" s="724"/>
      <c r="F92" s="724"/>
      <c r="G92" s="725"/>
      <c r="H92" s="715"/>
      <c r="I92" s="715"/>
      <c r="J92" s="715"/>
      <c r="K92" s="715"/>
      <c r="L92" s="713"/>
      <c r="M92" s="715"/>
      <c r="N92" s="715"/>
      <c r="O92" s="715"/>
      <c r="P92" s="712"/>
      <c r="Q92" s="726"/>
      <c r="R92" s="715"/>
      <c r="S92" s="715"/>
      <c r="T92" s="715"/>
      <c r="U92" s="715"/>
      <c r="V92" s="726"/>
      <c r="W92" s="715"/>
      <c r="X92" s="715"/>
      <c r="Y92" s="715"/>
      <c r="Z92" s="715"/>
      <c r="AA92" s="726"/>
      <c r="AB92" s="715"/>
      <c r="AC92" s="715"/>
      <c r="AD92" s="715"/>
      <c r="AE92" s="715"/>
      <c r="AF92" s="726"/>
      <c r="AG92" s="715"/>
      <c r="AH92" s="715"/>
      <c r="AI92" s="715"/>
      <c r="AJ92" s="715"/>
      <c r="AK92" s="726"/>
    </row>
    <row r="93" spans="1:37" s="600" customFormat="1" ht="12.75" hidden="1" customHeight="1" outlineLevel="1">
      <c r="A93" s="548"/>
      <c r="B93" s="864" t="s">
        <v>342</v>
      </c>
      <c r="C93" s="767"/>
      <c r="D93" s="604"/>
      <c r="E93" s="604"/>
      <c r="F93" s="604"/>
      <c r="G93" s="554"/>
      <c r="H93" s="727"/>
      <c r="I93" s="728"/>
      <c r="J93" s="728"/>
      <c r="K93" s="604"/>
      <c r="L93" s="554"/>
      <c r="M93" s="727"/>
      <c r="N93" s="728"/>
      <c r="O93" s="728"/>
      <c r="P93" s="728">
        <f>AVERAGE(O89:P89)*($E$89+P$62)/4</f>
        <v>73.456249999999997</v>
      </c>
      <c r="Q93" s="554">
        <f>SUM(M93:P93)</f>
        <v>73.456249999999997</v>
      </c>
      <c r="R93" s="728">
        <f>AVERAGE(Q89:R89)*($E$89+R$62)/4</f>
        <v>68.278374999999997</v>
      </c>
      <c r="S93" s="728">
        <f>AVERAGE(R89:S89)*($E$89+S$62)/4</f>
        <v>64.215999999999994</v>
      </c>
      <c r="T93" s="728">
        <f>AVERAGE(S89:T89)*($E$89+T$62)/4</f>
        <v>60.029999999999994</v>
      </c>
      <c r="U93" s="728">
        <f>AVERAGE(T89:U89)*($E$89+U$62)/4</f>
        <v>54.820499999999996</v>
      </c>
      <c r="V93" s="554">
        <f>SUM(R93:U93)</f>
        <v>247.344875</v>
      </c>
      <c r="W93" s="728">
        <f>AVERAGE(V89:W89)*($E$89+W$62)/4</f>
        <v>49.222874999999995</v>
      </c>
      <c r="X93" s="728">
        <f>AVERAGE(W89:X89)*($E$89+X$62)/4</f>
        <v>44.202549999999995</v>
      </c>
      <c r="Y93" s="728">
        <f>AVERAGE(X89:Y89)*($E$89+Y$62)/4</f>
        <v>38.916574999999995</v>
      </c>
      <c r="Z93" s="728">
        <f>AVERAGE(Y89:Z89)*($E$89+Z$62)/4</f>
        <v>33.409512499999998</v>
      </c>
      <c r="AA93" s="554">
        <f>SUM(W93:Z93)</f>
        <v>165.75151249999999</v>
      </c>
      <c r="AB93" s="728">
        <f>AVERAGE(AA89:AB89)*($E$89+AB$62)/4</f>
        <v>27.443528124999997</v>
      </c>
      <c r="AC93" s="728">
        <f>AVERAGE(AB89:AC89)*($E$89+AC$62)/4</f>
        <v>21.385759374999996</v>
      </c>
      <c r="AD93" s="728">
        <f>AVERAGE(AC89:AD89)*($E$89+AD$62)/4</f>
        <v>15.327990624999998</v>
      </c>
      <c r="AE93" s="728">
        <f>AVERAGE(AD89:AE89)*($E$89+AE$62)/4</f>
        <v>9.2702218749999989</v>
      </c>
      <c r="AF93" s="554">
        <f>SUM(AB93:AE93)</f>
        <v>73.427499999999995</v>
      </c>
      <c r="AG93" s="728">
        <f>AVERAGE(AF89:AG89)*($E$89+AG$62)/4</f>
        <v>3.1206687499999997</v>
      </c>
      <c r="AH93" s="728">
        <f>AVERAGE(AG89:AH89)*($E$89+AH$62)/4</f>
        <v>0</v>
      </c>
      <c r="AI93" s="728">
        <f>AVERAGE(AH89:AI89)*($E$89+AI$62)/4</f>
        <v>0</v>
      </c>
      <c r="AJ93" s="728">
        <f>AVERAGE(AI89:AJ89)*($E$89+AJ$62)/4</f>
        <v>0</v>
      </c>
      <c r="AK93" s="554">
        <f>SUM(AG93:AJ93)</f>
        <v>3.1206687499999997</v>
      </c>
    </row>
    <row r="94" spans="1:37" s="600" customFormat="1" ht="12.75" hidden="1" customHeight="1" outlineLevel="1">
      <c r="A94" s="548"/>
      <c r="B94" s="864"/>
      <c r="C94" s="767"/>
      <c r="D94" s="604"/>
      <c r="E94" s="604"/>
      <c r="F94" s="604"/>
      <c r="G94" s="732"/>
      <c r="H94" s="727"/>
      <c r="I94" s="728"/>
      <c r="J94" s="728"/>
      <c r="K94" s="604"/>
      <c r="L94" s="732"/>
      <c r="M94" s="622"/>
      <c r="N94" s="587"/>
      <c r="O94" s="728"/>
      <c r="P94" s="728"/>
      <c r="Q94" s="554"/>
      <c r="R94" s="728"/>
      <c r="S94" s="728"/>
      <c r="T94" s="728"/>
      <c r="U94" s="728"/>
      <c r="V94" s="554"/>
      <c r="W94" s="728"/>
      <c r="X94" s="728"/>
      <c r="Y94" s="728"/>
      <c r="Z94" s="728"/>
      <c r="AA94" s="554"/>
      <c r="AB94" s="728"/>
      <c r="AC94" s="728"/>
      <c r="AD94" s="728"/>
      <c r="AE94" s="728"/>
      <c r="AF94" s="554"/>
      <c r="AG94" s="728"/>
      <c r="AH94" s="728"/>
      <c r="AI94" s="728"/>
      <c r="AJ94" s="728"/>
      <c r="AK94" s="554"/>
    </row>
    <row r="95" spans="1:37" s="600" customFormat="1" ht="12.75" hidden="1" customHeight="1" outlineLevel="1">
      <c r="A95" s="548"/>
      <c r="B95" s="864" t="s">
        <v>608</v>
      </c>
      <c r="C95" s="767"/>
      <c r="D95" s="604"/>
      <c r="E95" s="604"/>
      <c r="F95" s="604"/>
      <c r="G95" s="732"/>
      <c r="H95" s="727"/>
      <c r="I95" s="728"/>
      <c r="J95" s="728"/>
      <c r="K95" s="604">
        <f>K89*K96</f>
        <v>219.98784000000001</v>
      </c>
      <c r="L95" s="732"/>
      <c r="M95" s="604">
        <f>M89*M96</f>
        <v>368</v>
      </c>
      <c r="N95" s="728">
        <f>N89*N96</f>
        <v>91.08</v>
      </c>
      <c r="O95" s="728">
        <f>O89*O96</f>
        <v>87.4</v>
      </c>
      <c r="P95" s="728">
        <f>P89*P96</f>
        <v>80.5</v>
      </c>
      <c r="Q95" s="554">
        <f>P95</f>
        <v>80.5</v>
      </c>
      <c r="R95" s="728">
        <f>IF(R89*R96&gt;56,56,R89*R96)</f>
        <v>56</v>
      </c>
      <c r="S95" s="728">
        <f>IF(S89*S96&gt;56,56,S89*S96)</f>
        <v>56</v>
      </c>
      <c r="T95" s="728">
        <f>IF(T89*T96&gt;56,56,T89*T96)</f>
        <v>56</v>
      </c>
      <c r="U95" s="728">
        <f>IF(U89*U96&gt;56,56,U89*U96)</f>
        <v>56</v>
      </c>
      <c r="V95" s="554">
        <f>U95</f>
        <v>56</v>
      </c>
      <c r="W95" s="728">
        <f>IF(W89*W96&gt;56,56,W89*W96)</f>
        <v>56</v>
      </c>
      <c r="X95" s="728">
        <f>IF(X89*X96&gt;56,56,X89*X96)</f>
        <v>51.980000000000004</v>
      </c>
      <c r="Y95" s="728">
        <f>IF(Y89*Y96&gt;56,56,Y89*Y96)</f>
        <v>45.54</v>
      </c>
      <c r="Z95" s="728">
        <f>IF(Z89*Z96&gt;56,56,Z89*Z96)</f>
        <v>38.18</v>
      </c>
      <c r="AA95" s="554">
        <f>Z95</f>
        <v>38.18</v>
      </c>
      <c r="AB95" s="728">
        <f>IF(AB89*AB96&gt;56,56,AB89*AB96)</f>
        <v>30.59</v>
      </c>
      <c r="AC95" s="728">
        <f>IF(AC89*AC96&gt;56,56,AC89*AC96)</f>
        <v>23</v>
      </c>
      <c r="AD95" s="728">
        <f>IF(AD89*AD96&gt;56,56,AD89*AD96)</f>
        <v>15.41</v>
      </c>
      <c r="AE95" s="728">
        <f>IF(AE89*AE96&gt;56,56,AE89*AE96)</f>
        <v>7.82</v>
      </c>
      <c r="AF95" s="554">
        <f>AE95</f>
        <v>7.82</v>
      </c>
      <c r="AG95" s="728">
        <f>IF(AG89*AG96&gt;56,56,AG89*AG96)</f>
        <v>0</v>
      </c>
      <c r="AH95" s="728">
        <f>IF(AH89*AH96&gt;56,56,AH89*AH96)</f>
        <v>0</v>
      </c>
      <c r="AI95" s="728">
        <f>IF(AI89*AI96&gt;56,56,AI89*AI96)</f>
        <v>0</v>
      </c>
      <c r="AJ95" s="728">
        <f>IF(AJ89*AJ96&gt;56,56,AJ89*AJ96)</f>
        <v>0</v>
      </c>
      <c r="AK95" s="554">
        <f>AJ95</f>
        <v>0</v>
      </c>
    </row>
    <row r="96" spans="1:37" s="1210" customFormat="1" ht="12.75" hidden="1" customHeight="1" outlineLevel="1">
      <c r="A96" s="548"/>
      <c r="B96" s="865" t="s">
        <v>607</v>
      </c>
      <c r="C96" s="767"/>
      <c r="D96" s="604"/>
      <c r="E96" s="604"/>
      <c r="F96" s="604"/>
      <c r="G96" s="732"/>
      <c r="H96" s="727"/>
      <c r="I96" s="728"/>
      <c r="J96" s="728"/>
      <c r="K96" s="1208">
        <v>0.16</v>
      </c>
      <c r="L96" s="1207"/>
      <c r="M96" s="1208">
        <v>0.16</v>
      </c>
      <c r="N96" s="1208">
        <v>0.04</v>
      </c>
      <c r="O96" s="1208">
        <v>0.04</v>
      </c>
      <c r="P96" s="1208">
        <v>0.04</v>
      </c>
      <c r="Q96" s="1207"/>
      <c r="R96" s="1208">
        <v>0.04</v>
      </c>
      <c r="S96" s="1209">
        <f>R96</f>
        <v>0.04</v>
      </c>
      <c r="T96" s="1209">
        <f>S96</f>
        <v>0.04</v>
      </c>
      <c r="U96" s="1209">
        <f>T96</f>
        <v>0.04</v>
      </c>
      <c r="V96" s="1207"/>
      <c r="W96" s="1208">
        <v>0.04</v>
      </c>
      <c r="X96" s="1209">
        <f>W96</f>
        <v>0.04</v>
      </c>
      <c r="Y96" s="1209">
        <f>X96</f>
        <v>0.04</v>
      </c>
      <c r="Z96" s="1209">
        <f>Y96</f>
        <v>0.04</v>
      </c>
      <c r="AA96" s="1207"/>
      <c r="AB96" s="1208">
        <v>0.04</v>
      </c>
      <c r="AC96" s="1209">
        <f>AB96</f>
        <v>0.04</v>
      </c>
      <c r="AD96" s="1209">
        <f>AC96</f>
        <v>0.04</v>
      </c>
      <c r="AE96" s="1209">
        <f>AD96</f>
        <v>0.04</v>
      </c>
      <c r="AF96" s="1207"/>
      <c r="AG96" s="1208">
        <v>0.04</v>
      </c>
      <c r="AH96" s="1209">
        <f>AG96</f>
        <v>0.04</v>
      </c>
      <c r="AI96" s="1209">
        <f>AH96</f>
        <v>0.04</v>
      </c>
      <c r="AJ96" s="1209">
        <f>AI96</f>
        <v>0.04</v>
      </c>
      <c r="AK96" s="1207"/>
    </row>
    <row r="97" spans="1:37" s="269" customFormat="1" ht="12.75" hidden="1" customHeight="1" outlineLevel="1">
      <c r="A97" s="416"/>
      <c r="B97" s="866"/>
      <c r="C97" s="655"/>
      <c r="D97" s="290"/>
      <c r="E97" s="290"/>
      <c r="F97" s="290"/>
      <c r="G97" s="254"/>
      <c r="H97" s="655"/>
      <c r="I97" s="608"/>
      <c r="J97" s="608"/>
      <c r="K97" s="290"/>
      <c r="L97" s="254"/>
      <c r="M97" s="655"/>
      <c r="N97" s="608"/>
      <c r="O97" s="608"/>
      <c r="P97" s="608"/>
      <c r="Q97" s="254"/>
      <c r="R97" s="780"/>
      <c r="S97" s="608"/>
      <c r="T97" s="608"/>
      <c r="U97" s="608"/>
      <c r="V97" s="254"/>
      <c r="W97" s="655"/>
      <c r="X97" s="608"/>
      <c r="Y97" s="608"/>
      <c r="Z97" s="608"/>
      <c r="AA97" s="254"/>
      <c r="AB97" s="655"/>
      <c r="AC97" s="608"/>
      <c r="AD97" s="608"/>
      <c r="AE97" s="608"/>
      <c r="AF97" s="254"/>
      <c r="AG97" s="655"/>
      <c r="AH97" s="608"/>
      <c r="AI97" s="608"/>
      <c r="AJ97" s="608"/>
      <c r="AK97" s="254"/>
    </row>
    <row r="98" spans="1:37" s="269" customFormat="1" ht="12.75" customHeight="1" collapsed="1">
      <c r="A98" s="416"/>
      <c r="B98" s="866"/>
      <c r="C98" s="769"/>
      <c r="D98" s="290"/>
      <c r="E98" s="290"/>
      <c r="F98" s="290"/>
      <c r="G98" s="254"/>
      <c r="H98" s="655"/>
      <c r="I98" s="608"/>
      <c r="J98" s="608"/>
      <c r="K98" s="290"/>
      <c r="L98" s="254"/>
      <c r="M98" s="655"/>
      <c r="N98" s="608"/>
      <c r="O98" s="779"/>
      <c r="P98" s="778"/>
      <c r="Q98" s="254"/>
      <c r="R98" s="655"/>
      <c r="S98" s="608"/>
      <c r="T98" s="608"/>
      <c r="U98" s="608"/>
      <c r="V98" s="254"/>
      <c r="W98" s="655"/>
      <c r="X98" s="608"/>
      <c r="Y98" s="608"/>
      <c r="Z98" s="608"/>
      <c r="AA98" s="254"/>
      <c r="AB98" s="655"/>
      <c r="AC98" s="608"/>
      <c r="AD98" s="608"/>
      <c r="AE98" s="608"/>
      <c r="AF98" s="254"/>
      <c r="AG98" s="655"/>
      <c r="AH98" s="608"/>
      <c r="AI98" s="608"/>
      <c r="AJ98" s="608"/>
      <c r="AK98" s="254"/>
    </row>
    <row r="99" spans="1:37" s="470" customFormat="1" ht="12.75" customHeight="1">
      <c r="A99" s="416"/>
      <c r="B99" s="950" t="s">
        <v>700</v>
      </c>
      <c r="C99" s="1354">
        <v>7600</v>
      </c>
      <c r="D99" s="1355" t="s">
        <v>336</v>
      </c>
      <c r="E99" s="1357">
        <f>SUMPRODUCT($E$106:$E$108,P106:P108)</f>
        <v>6.1001E-2</v>
      </c>
      <c r="F99" s="1356">
        <v>0.1</v>
      </c>
      <c r="G99" s="661"/>
      <c r="H99" s="698"/>
      <c r="I99" s="698"/>
      <c r="J99" s="698"/>
      <c r="K99" s="698">
        <v>0</v>
      </c>
      <c r="L99" s="494">
        <f>K99</f>
        <v>0</v>
      </c>
      <c r="M99" s="698">
        <v>0</v>
      </c>
      <c r="N99" s="698">
        <v>235.21299999999999</v>
      </c>
      <c r="O99" s="698">
        <v>1276.472</v>
      </c>
      <c r="P99" s="698">
        <v>3843.819</v>
      </c>
      <c r="Q99" s="564">
        <f>P99</f>
        <v>3843.819</v>
      </c>
      <c r="R99" s="698">
        <v>4386.3029999999999</v>
      </c>
      <c r="S99" s="698">
        <v>4953.9669999999996</v>
      </c>
      <c r="T99" s="698">
        <v>5037.3720000000003</v>
      </c>
      <c r="U99" s="493">
        <f>T99+U100+U101</f>
        <v>5037.3720000000003</v>
      </c>
      <c r="V99" s="564">
        <f>U99</f>
        <v>5037.3720000000003</v>
      </c>
      <c r="W99" s="493">
        <f>V99+W100+W101</f>
        <v>4637.3720000000003</v>
      </c>
      <c r="X99" s="493">
        <f>W99+X100+X101</f>
        <v>4237.3720000000003</v>
      </c>
      <c r="Y99" s="493">
        <f>X99+Y100+Y101</f>
        <v>3817.3720000000003</v>
      </c>
      <c r="Z99" s="493">
        <f>Y99+Z100+Z101</f>
        <v>3367.3720000000003</v>
      </c>
      <c r="AA99" s="564">
        <f>Z99</f>
        <v>3367.3720000000003</v>
      </c>
      <c r="AB99" s="493">
        <f>AA99+AB100+AB101</f>
        <v>2967.3720000000003</v>
      </c>
      <c r="AC99" s="493">
        <f>AB99+AC100+AC101</f>
        <v>2567.3720000000003</v>
      </c>
      <c r="AD99" s="493">
        <f>AC99+AD100+AD101</f>
        <v>2167.3720000000003</v>
      </c>
      <c r="AE99" s="493">
        <f>AD99+AE100+AE101</f>
        <v>1767.3720000000003</v>
      </c>
      <c r="AF99" s="564">
        <f>AE99</f>
        <v>1767.3720000000003</v>
      </c>
      <c r="AG99" s="493">
        <f>AF99+AG100+AG101</f>
        <v>1367.3720000000003</v>
      </c>
      <c r="AH99" s="493">
        <f>AG99+AH100+AH101</f>
        <v>967.3720000000003</v>
      </c>
      <c r="AI99" s="493">
        <f>AH99+AI100+AI101</f>
        <v>567.3720000000003</v>
      </c>
      <c r="AJ99" s="493">
        <f>AI99+AJ100+AJ101</f>
        <v>167.3720000000003</v>
      </c>
      <c r="AK99" s="564">
        <f>AJ99</f>
        <v>167.3720000000003</v>
      </c>
    </row>
    <row r="100" spans="1:37" s="470" customFormat="1" ht="12.75" hidden="1" customHeight="1" outlineLevel="1">
      <c r="A100" s="548"/>
      <c r="B100" s="862" t="s">
        <v>449</v>
      </c>
      <c r="C100" s="766"/>
      <c r="D100" s="724"/>
      <c r="E100" s="724"/>
      <c r="F100" s="724"/>
      <c r="G100" s="725"/>
      <c r="H100" s="715"/>
      <c r="I100" s="715"/>
      <c r="J100" s="715"/>
      <c r="K100" s="715"/>
      <c r="L100" s="713"/>
      <c r="M100" s="712">
        <f>M99-L99</f>
        <v>0</v>
      </c>
      <c r="N100" s="712">
        <f>N99-M99</f>
        <v>235.21299999999999</v>
      </c>
      <c r="O100" s="781">
        <f>O99-N99</f>
        <v>1041.259</v>
      </c>
      <c r="P100" s="712">
        <f>P99-O99</f>
        <v>2567.3469999999998</v>
      </c>
      <c r="Q100" s="726">
        <f>Q99-L99</f>
        <v>3843.819</v>
      </c>
      <c r="R100" s="781">
        <f>R99-Q99</f>
        <v>542.48399999999992</v>
      </c>
      <c r="S100" s="712">
        <f>S99-R99</f>
        <v>567.66399999999976</v>
      </c>
      <c r="T100" s="712">
        <f>T99-S99</f>
        <v>83.405000000000655</v>
      </c>
      <c r="U100" s="715">
        <v>0</v>
      </c>
      <c r="V100" s="726">
        <f>SUM(R100:U100)</f>
        <v>1193.5530000000003</v>
      </c>
      <c r="W100" s="715">
        <v>0</v>
      </c>
      <c r="X100" s="715">
        <f>W100</f>
        <v>0</v>
      </c>
      <c r="Y100" s="715">
        <f>X100</f>
        <v>0</v>
      </c>
      <c r="Z100" s="715">
        <f>Y100</f>
        <v>0</v>
      </c>
      <c r="AA100" s="726">
        <f>SUM(W100:Z100)</f>
        <v>0</v>
      </c>
      <c r="AB100" s="715">
        <v>0</v>
      </c>
      <c r="AC100" s="715">
        <f>AB100</f>
        <v>0</v>
      </c>
      <c r="AD100" s="715">
        <f>AC100</f>
        <v>0</v>
      </c>
      <c r="AE100" s="715">
        <f>AD100</f>
        <v>0</v>
      </c>
      <c r="AF100" s="726">
        <f>SUM(AB100:AE100)</f>
        <v>0</v>
      </c>
      <c r="AG100" s="715">
        <v>0</v>
      </c>
      <c r="AH100" s="715">
        <f>AG100</f>
        <v>0</v>
      </c>
      <c r="AI100" s="715">
        <f>AH100</f>
        <v>0</v>
      </c>
      <c r="AJ100" s="715">
        <f>AI100</f>
        <v>0</v>
      </c>
      <c r="AK100" s="726">
        <f>SUM(AG100:AJ100)</f>
        <v>0</v>
      </c>
    </row>
    <row r="101" spans="1:37" s="470" customFormat="1" ht="12.75" hidden="1" customHeight="1" outlineLevel="1">
      <c r="A101" s="548"/>
      <c r="B101" s="862" t="s">
        <v>448</v>
      </c>
      <c r="C101" s="766"/>
      <c r="D101" s="724"/>
      <c r="E101" s="724"/>
      <c r="F101" s="724"/>
      <c r="G101" s="725"/>
      <c r="H101" s="715"/>
      <c r="I101" s="715"/>
      <c r="J101" s="715"/>
      <c r="K101" s="715"/>
      <c r="L101" s="713"/>
      <c r="M101" s="715"/>
      <c r="N101" s="715"/>
      <c r="O101" s="781"/>
      <c r="P101" s="712"/>
      <c r="Q101" s="726"/>
      <c r="R101" s="715">
        <v>0</v>
      </c>
      <c r="S101" s="715">
        <v>0</v>
      </c>
      <c r="T101" s="715">
        <v>0</v>
      </c>
      <c r="U101" s="715"/>
      <c r="V101" s="726">
        <f>SUM(R101:U101)</f>
        <v>0</v>
      </c>
      <c r="W101" s="715">
        <v>-400</v>
      </c>
      <c r="X101" s="715">
        <v>-400</v>
      </c>
      <c r="Y101" s="715">
        <v>-420</v>
      </c>
      <c r="Z101" s="715">
        <v>-450</v>
      </c>
      <c r="AA101" s="726">
        <f>SUM(W101:Z101)</f>
        <v>-1670</v>
      </c>
      <c r="AB101" s="715">
        <v>-400</v>
      </c>
      <c r="AC101" s="715">
        <v>-400</v>
      </c>
      <c r="AD101" s="715">
        <v>-400</v>
      </c>
      <c r="AE101" s="715">
        <v>-400</v>
      </c>
      <c r="AF101" s="726">
        <f>SUM(AB101:AE101)</f>
        <v>-1600</v>
      </c>
      <c r="AG101" s="715">
        <v>-400</v>
      </c>
      <c r="AH101" s="715">
        <v>-400</v>
      </c>
      <c r="AI101" s="715">
        <v>-400</v>
      </c>
      <c r="AJ101" s="715">
        <v>-400</v>
      </c>
      <c r="AK101" s="726">
        <f>SUM(AG101:AJ101)</f>
        <v>-1600</v>
      </c>
    </row>
    <row r="102" spans="1:37" s="470" customFormat="1" ht="12.75" hidden="1" customHeight="1" outlineLevel="1">
      <c r="A102" s="548"/>
      <c r="B102" s="862"/>
      <c r="C102" s="766"/>
      <c r="D102" s="724"/>
      <c r="E102" s="724"/>
      <c r="F102" s="724"/>
      <c r="G102" s="725"/>
      <c r="H102" s="715"/>
      <c r="I102" s="715"/>
      <c r="J102" s="715"/>
      <c r="K102" s="715"/>
      <c r="L102" s="713"/>
      <c r="M102" s="715"/>
      <c r="N102" s="715"/>
      <c r="O102" s="781"/>
      <c r="P102" s="712"/>
      <c r="Q102" s="726"/>
      <c r="R102" s="715"/>
      <c r="S102" s="715"/>
      <c r="T102" s="715"/>
      <c r="U102" s="715"/>
      <c r="V102" s="726"/>
      <c r="W102" s="715"/>
      <c r="X102" s="715"/>
      <c r="Y102" s="715"/>
      <c r="Z102" s="715"/>
      <c r="AA102" s="726"/>
      <c r="AB102" s="715"/>
      <c r="AC102" s="715"/>
      <c r="AD102" s="715"/>
      <c r="AE102" s="715"/>
      <c r="AF102" s="726"/>
      <c r="AG102" s="715"/>
      <c r="AH102" s="715"/>
      <c r="AI102" s="715"/>
      <c r="AJ102" s="715"/>
      <c r="AK102" s="726"/>
    </row>
    <row r="103" spans="1:37" s="600" customFormat="1" ht="12.75" hidden="1" customHeight="1" outlineLevel="1">
      <c r="A103" s="548"/>
      <c r="B103" s="864" t="s">
        <v>342</v>
      </c>
      <c r="C103" s="767"/>
      <c r="D103" s="604"/>
      <c r="E103" s="604"/>
      <c r="F103" s="604"/>
      <c r="G103" s="554"/>
      <c r="H103" s="727"/>
      <c r="I103" s="728"/>
      <c r="J103" s="728"/>
      <c r="K103" s="604"/>
      <c r="L103" s="554"/>
      <c r="M103" s="727"/>
      <c r="N103" s="728"/>
      <c r="O103" s="728"/>
      <c r="P103" s="728">
        <f t="shared" ref="P103:AE103" si="30">AVERAGE(O99:P99)*(P$104)/4</f>
        <v>67.076452136375011</v>
      </c>
      <c r="Q103" s="554">
        <f>SUM(M103:P103)</f>
        <v>67.076452136375011</v>
      </c>
      <c r="R103" s="728">
        <f t="shared" si="30"/>
        <v>107.50699739024999</v>
      </c>
      <c r="S103" s="728">
        <f t="shared" si="30"/>
        <v>124.22909360125</v>
      </c>
      <c r="T103" s="728">
        <f t="shared" si="30"/>
        <v>132.90479137799997</v>
      </c>
      <c r="U103" s="728">
        <f t="shared" si="30"/>
        <v>130.23621568799999</v>
      </c>
      <c r="V103" s="554">
        <f>SUM(R103:U103)</f>
        <v>494.87709805750001</v>
      </c>
      <c r="W103" s="728">
        <f t="shared" si="30"/>
        <v>119.62337218799998</v>
      </c>
      <c r="X103" s="728">
        <f t="shared" si="30"/>
        <v>106.95841468799999</v>
      </c>
      <c r="Y103" s="728">
        <f t="shared" si="30"/>
        <v>95.56551018799999</v>
      </c>
      <c r="Z103" s="728">
        <f t="shared" si="30"/>
        <v>85.243395187999994</v>
      </c>
      <c r="AA103" s="554">
        <f>SUM(W103:Z103)</f>
        <v>407.39069225200001</v>
      </c>
      <c r="AB103" s="728">
        <f t="shared" si="30"/>
        <v>75.158570187999999</v>
      </c>
      <c r="AC103" s="728">
        <f t="shared" si="30"/>
        <v>65.666970187999993</v>
      </c>
      <c r="AD103" s="728">
        <f t="shared" si="30"/>
        <v>56.175370188000002</v>
      </c>
      <c r="AE103" s="728">
        <f t="shared" si="30"/>
        <v>46.683770187999997</v>
      </c>
      <c r="AF103" s="554">
        <f>SUM(AB103:AE103)</f>
        <v>243.68468075199996</v>
      </c>
      <c r="AG103" s="728">
        <f>AVERAGE(AF99:AG99)*(AG$104)/4</f>
        <v>37.192170187999999</v>
      </c>
      <c r="AH103" s="728">
        <f>AVERAGE(AG99:AH99)*(AH$104)/4</f>
        <v>27.700570188000004</v>
      </c>
      <c r="AI103" s="728">
        <f>AVERAGE(AH99:AI99)*(AI$104)/4</f>
        <v>18.208970188000006</v>
      </c>
      <c r="AJ103" s="728">
        <f>AVERAGE(AI99:AJ99)*(AJ$104)/4</f>
        <v>8.7173701880000056</v>
      </c>
      <c r="AK103" s="554">
        <f>SUM(AG103:AJ103)</f>
        <v>91.819080752000019</v>
      </c>
    </row>
    <row r="104" spans="1:37" s="811" customFormat="1" ht="12.75" hidden="1" customHeight="1" outlineLevel="1">
      <c r="A104" s="1101"/>
      <c r="B104" s="1109" t="s">
        <v>450</v>
      </c>
      <c r="C104" s="1114"/>
      <c r="D104" s="1018"/>
      <c r="E104" s="1018"/>
      <c r="F104" s="1018"/>
      <c r="G104" s="867"/>
      <c r="H104" s="1017"/>
      <c r="I104" s="1014"/>
      <c r="J104" s="1014"/>
      <c r="K104" s="1018"/>
      <c r="L104" s="867"/>
      <c r="M104" s="1017"/>
      <c r="N104" s="1014"/>
      <c r="O104" s="1014"/>
      <c r="P104" s="1014">
        <f>SUMPRODUCT($E$106:$E$108,P106:P108)+P$62</f>
        <v>0.10480100000000001</v>
      </c>
      <c r="Q104" s="867">
        <f>P104</f>
        <v>0.10480100000000001</v>
      </c>
      <c r="R104" s="1014">
        <f>SUMPRODUCT($E$106:$E$108,R106:R108)+R$62</f>
        <v>0.104501</v>
      </c>
      <c r="S104" s="1014">
        <f>SUMPRODUCT($E$106:$E$108,S106:S108)+S$62</f>
        <v>0.106403</v>
      </c>
      <c r="T104" s="1014">
        <f>SUMPRODUCT($E$106:$E$108,T106:T108)+T$62</f>
        <v>0.10641599999999998</v>
      </c>
      <c r="U104" s="1014">
        <f>SUMPRODUCT($E$106:$E$108,U106:U108)+U$62</f>
        <v>0.10341599999999998</v>
      </c>
      <c r="V104" s="867">
        <f>V103/AVERAGE(V99,Q99)</f>
        <v>0.1114438588377392</v>
      </c>
      <c r="W104" s="1014">
        <f>SUMPRODUCT($E$106:$E$108,W106:W108)+W$62</f>
        <v>9.8915999999999976E-2</v>
      </c>
      <c r="X104" s="1014">
        <f>SUMPRODUCT($E$106:$E$108,X106:X108)+X$62</f>
        <v>9.6415999999999988E-2</v>
      </c>
      <c r="Y104" s="1014">
        <f>SUMPRODUCT($E$106:$E$108,Y106:Y108)+Y$62</f>
        <v>9.4915999999999986E-2</v>
      </c>
      <c r="Z104" s="1014">
        <f>SUMPRODUCT($E$106:$E$108,Z106:Z108)+Z$62</f>
        <v>9.4915999999999986E-2</v>
      </c>
      <c r="AA104" s="867">
        <f>AA103/AVERAGE(AA99,V99)</f>
        <v>9.6943034136911244E-2</v>
      </c>
      <c r="AB104" s="1014">
        <f>SUMPRODUCT($E$106:$E$108,AB106:AB108)+AB$62</f>
        <v>9.4915999999999986E-2</v>
      </c>
      <c r="AC104" s="1014">
        <f>SUMPRODUCT($E$106:$E$108,AC106:AC108)+AC$62</f>
        <v>9.4915999999999986E-2</v>
      </c>
      <c r="AD104" s="1014">
        <f>SUMPRODUCT($E$106:$E$108,AD106:AD108)+AD$62</f>
        <v>9.4915999999999986E-2</v>
      </c>
      <c r="AE104" s="1014">
        <f>SUMPRODUCT($E$106:$E$108,AE106:AE108)+AE$62</f>
        <v>9.4915999999999986E-2</v>
      </c>
      <c r="AF104" s="867">
        <f>AF103/AVERAGE(AF99,AA99)</f>
        <v>9.4915999999999973E-2</v>
      </c>
      <c r="AG104" s="1014">
        <f>SUMPRODUCT($E$106:$E$108,AG106:AG108)+AG$62</f>
        <v>9.4915999999999986E-2</v>
      </c>
      <c r="AH104" s="1014">
        <f>SUMPRODUCT($E$106:$E$108,AH106:AH108)+AH$62</f>
        <v>9.4915999999999986E-2</v>
      </c>
      <c r="AI104" s="1014">
        <f>SUMPRODUCT($E$106:$E$108,AI106:AI108)+AI$62</f>
        <v>9.4915999999999986E-2</v>
      </c>
      <c r="AJ104" s="1014">
        <f>SUMPRODUCT($E$106:$E$108,AJ106:AJ108)+AJ$62</f>
        <v>9.4915999999999986E-2</v>
      </c>
      <c r="AK104" s="867">
        <f>AK103/AVERAGE(AK99,AF99)</f>
        <v>9.4915999999999986E-2</v>
      </c>
    </row>
    <row r="105" spans="1:37" s="600" customFormat="1" ht="12.75" hidden="1" customHeight="1" outlineLevel="1">
      <c r="A105" s="548"/>
      <c r="B105" s="864"/>
      <c r="C105" s="767"/>
      <c r="D105" s="604"/>
      <c r="E105" s="604"/>
      <c r="F105" s="604"/>
      <c r="G105" s="732"/>
      <c r="H105" s="727"/>
      <c r="I105" s="728"/>
      <c r="J105" s="728"/>
      <c r="K105" s="604"/>
      <c r="L105" s="732"/>
      <c r="M105" s="622"/>
      <c r="N105" s="587"/>
      <c r="O105" s="587"/>
      <c r="P105" s="728"/>
      <c r="Q105" s="554"/>
      <c r="R105" s="728"/>
      <c r="S105" s="728"/>
      <c r="T105" s="728"/>
      <c r="U105" s="728"/>
      <c r="V105" s="554"/>
      <c r="W105" s="728"/>
      <c r="X105" s="728"/>
      <c r="Y105" s="728"/>
      <c r="Z105" s="728"/>
      <c r="AA105" s="554"/>
      <c r="AB105" s="728"/>
      <c r="AC105" s="728"/>
      <c r="AD105" s="728"/>
      <c r="AE105" s="728"/>
      <c r="AF105" s="554"/>
      <c r="AG105" s="728"/>
      <c r="AH105" s="728"/>
      <c r="AI105" s="728"/>
      <c r="AJ105" s="728"/>
      <c r="AK105" s="554"/>
    </row>
    <row r="106" spans="1:37" s="1108" customFormat="1" ht="12.75" hidden="1" customHeight="1" outlineLevel="1">
      <c r="A106" s="548"/>
      <c r="B106" s="864" t="s">
        <v>702</v>
      </c>
      <c r="C106" s="767"/>
      <c r="D106" s="604"/>
      <c r="E106" s="853">
        <v>0.06</v>
      </c>
      <c r="F106" s="604"/>
      <c r="G106" s="732"/>
      <c r="H106" s="727"/>
      <c r="I106" s="728"/>
      <c r="J106" s="728"/>
      <c r="K106" s="604"/>
      <c r="L106" s="732"/>
      <c r="M106" s="622"/>
      <c r="N106" s="587"/>
      <c r="O106" s="587"/>
      <c r="P106" s="1019">
        <v>0.98570000000000002</v>
      </c>
      <c r="Q106" s="554"/>
      <c r="R106" s="1019">
        <v>0.98570000000000002</v>
      </c>
      <c r="S106" s="868">
        <v>0.95709999999999995</v>
      </c>
      <c r="T106" s="868">
        <v>0.95120000000000005</v>
      </c>
      <c r="U106" s="868">
        <f>T106</f>
        <v>0.95120000000000005</v>
      </c>
      <c r="V106" s="1107"/>
      <c r="W106" s="1019">
        <f>U106</f>
        <v>0.95120000000000005</v>
      </c>
      <c r="X106" s="868">
        <f t="shared" ref="X106:Z107" si="31">W106</f>
        <v>0.95120000000000005</v>
      </c>
      <c r="Y106" s="868">
        <f t="shared" si="31"/>
        <v>0.95120000000000005</v>
      </c>
      <c r="Z106" s="868">
        <f t="shared" si="31"/>
        <v>0.95120000000000005</v>
      </c>
      <c r="AA106" s="1107"/>
      <c r="AB106" s="1019">
        <f>Z106</f>
        <v>0.95120000000000005</v>
      </c>
      <c r="AC106" s="868">
        <f t="shared" ref="AC106:AE107" si="32">AB106</f>
        <v>0.95120000000000005</v>
      </c>
      <c r="AD106" s="868">
        <f t="shared" si="32"/>
        <v>0.95120000000000005</v>
      </c>
      <c r="AE106" s="868">
        <f t="shared" si="32"/>
        <v>0.95120000000000005</v>
      </c>
      <c r="AF106" s="1107"/>
      <c r="AG106" s="1019">
        <f>AE106</f>
        <v>0.95120000000000005</v>
      </c>
      <c r="AH106" s="868">
        <f t="shared" ref="AH106:AJ107" si="33">AG106</f>
        <v>0.95120000000000005</v>
      </c>
      <c r="AI106" s="868">
        <f t="shared" si="33"/>
        <v>0.95120000000000005</v>
      </c>
      <c r="AJ106" s="868">
        <f t="shared" si="33"/>
        <v>0.95120000000000005</v>
      </c>
      <c r="AK106" s="1107"/>
    </row>
    <row r="107" spans="1:37" s="1108" customFormat="1" ht="12.75" hidden="1" customHeight="1" outlineLevel="1">
      <c r="A107" s="548"/>
      <c r="B107" s="864" t="s">
        <v>536</v>
      </c>
      <c r="C107" s="767"/>
      <c r="D107" s="604"/>
      <c r="E107" s="853">
        <v>6.5000000000000002E-2</v>
      </c>
      <c r="F107" s="604"/>
      <c r="G107" s="732"/>
      <c r="H107" s="727"/>
      <c r="I107" s="728"/>
      <c r="J107" s="728"/>
      <c r="K107" s="604"/>
      <c r="L107" s="732"/>
      <c r="M107" s="622"/>
      <c r="N107" s="587"/>
      <c r="O107" s="587"/>
      <c r="P107" s="1019">
        <v>0</v>
      </c>
      <c r="Q107" s="554"/>
      <c r="R107" s="1019">
        <v>0</v>
      </c>
      <c r="S107" s="868">
        <v>0</v>
      </c>
      <c r="T107" s="868">
        <v>0</v>
      </c>
      <c r="U107" s="868">
        <f>T107</f>
        <v>0</v>
      </c>
      <c r="V107" s="1107"/>
      <c r="W107" s="1019">
        <f>U107</f>
        <v>0</v>
      </c>
      <c r="X107" s="868">
        <f t="shared" si="31"/>
        <v>0</v>
      </c>
      <c r="Y107" s="868">
        <f t="shared" si="31"/>
        <v>0</v>
      </c>
      <c r="Z107" s="868">
        <f t="shared" si="31"/>
        <v>0</v>
      </c>
      <c r="AA107" s="1107"/>
      <c r="AB107" s="1019">
        <f>Z107</f>
        <v>0</v>
      </c>
      <c r="AC107" s="868">
        <f t="shared" si="32"/>
        <v>0</v>
      </c>
      <c r="AD107" s="868">
        <f t="shared" si="32"/>
        <v>0</v>
      </c>
      <c r="AE107" s="868">
        <f t="shared" si="32"/>
        <v>0</v>
      </c>
      <c r="AF107" s="1107"/>
      <c r="AG107" s="1019">
        <f>AE107</f>
        <v>0</v>
      </c>
      <c r="AH107" s="868">
        <f t="shared" si="33"/>
        <v>0</v>
      </c>
      <c r="AI107" s="868">
        <f t="shared" si="33"/>
        <v>0</v>
      </c>
      <c r="AJ107" s="868">
        <f t="shared" si="33"/>
        <v>0</v>
      </c>
      <c r="AK107" s="1107"/>
    </row>
    <row r="108" spans="1:37" s="1108" customFormat="1" ht="12.75" hidden="1" customHeight="1" outlineLevel="1">
      <c r="A108" s="548"/>
      <c r="B108" s="864" t="s">
        <v>537</v>
      </c>
      <c r="C108" s="767"/>
      <c r="D108" s="604"/>
      <c r="E108" s="853">
        <v>0.13</v>
      </c>
      <c r="F108" s="604"/>
      <c r="G108" s="732"/>
      <c r="H108" s="727"/>
      <c r="I108" s="728"/>
      <c r="J108" s="728"/>
      <c r="K108" s="604"/>
      <c r="L108" s="732"/>
      <c r="M108" s="622"/>
      <c r="N108" s="587"/>
      <c r="O108" s="587"/>
      <c r="P108" s="1017">
        <f t="shared" ref="P108:U108" si="34">1-P106-P107</f>
        <v>1.4299999999999979E-2</v>
      </c>
      <c r="Q108" s="554"/>
      <c r="R108" s="1017">
        <f t="shared" si="34"/>
        <v>1.4299999999999979E-2</v>
      </c>
      <c r="S108" s="1014">
        <f t="shared" si="34"/>
        <v>4.2900000000000049E-2</v>
      </c>
      <c r="T108" s="1014">
        <f t="shared" si="34"/>
        <v>4.8799999999999955E-2</v>
      </c>
      <c r="U108" s="1014">
        <f t="shared" si="34"/>
        <v>4.8799999999999955E-2</v>
      </c>
      <c r="V108" s="1107"/>
      <c r="W108" s="1014">
        <f>1-W106-W107</f>
        <v>4.8799999999999955E-2</v>
      </c>
      <c r="X108" s="1014">
        <f>1-X106-X107</f>
        <v>4.8799999999999955E-2</v>
      </c>
      <c r="Y108" s="1014">
        <f>1-Y106-Y107</f>
        <v>4.8799999999999955E-2</v>
      </c>
      <c r="Z108" s="1014">
        <f>1-Z106-Z107</f>
        <v>4.8799999999999955E-2</v>
      </c>
      <c r="AA108" s="1107"/>
      <c r="AB108" s="1014">
        <f>1-AB106-AB107</f>
        <v>4.8799999999999955E-2</v>
      </c>
      <c r="AC108" s="1014">
        <f>1-AC106-AC107</f>
        <v>4.8799999999999955E-2</v>
      </c>
      <c r="AD108" s="1014">
        <f>1-AD106-AD107</f>
        <v>4.8799999999999955E-2</v>
      </c>
      <c r="AE108" s="1014">
        <f>1-AE106-AE107</f>
        <v>4.8799999999999955E-2</v>
      </c>
      <c r="AF108" s="1107"/>
      <c r="AG108" s="1014">
        <f>1-AG106-AG107</f>
        <v>4.8799999999999955E-2</v>
      </c>
      <c r="AH108" s="1014">
        <f>1-AH106-AH107</f>
        <v>4.8799999999999955E-2</v>
      </c>
      <c r="AI108" s="1014">
        <f>1-AI106-AI107</f>
        <v>4.8799999999999955E-2</v>
      </c>
      <c r="AJ108" s="1014">
        <f>1-AJ106-AJ107</f>
        <v>4.8799999999999955E-2</v>
      </c>
      <c r="AK108" s="1107"/>
    </row>
    <row r="109" spans="1:37" s="600" customFormat="1" ht="12.75" hidden="1" customHeight="1" outlineLevel="1">
      <c r="A109" s="548"/>
      <c r="B109" s="864"/>
      <c r="C109" s="767"/>
      <c r="D109" s="604"/>
      <c r="E109" s="604"/>
      <c r="F109" s="604"/>
      <c r="G109" s="732"/>
      <c r="H109" s="727"/>
      <c r="I109" s="728"/>
      <c r="J109" s="728"/>
      <c r="K109" s="604"/>
      <c r="L109" s="732"/>
      <c r="M109" s="622"/>
      <c r="N109" s="587"/>
      <c r="O109" s="587"/>
      <c r="P109" s="728"/>
      <c r="Q109" s="554"/>
      <c r="R109" s="727"/>
      <c r="S109" s="728"/>
      <c r="T109" s="728"/>
      <c r="U109" s="728"/>
      <c r="V109" s="554"/>
      <c r="W109" s="727"/>
      <c r="X109" s="728"/>
      <c r="Y109" s="728"/>
      <c r="Z109" s="728"/>
      <c r="AA109" s="554"/>
      <c r="AB109" s="727"/>
      <c r="AC109" s="728"/>
      <c r="AD109" s="728"/>
      <c r="AE109" s="728"/>
      <c r="AF109" s="554"/>
      <c r="AG109" s="727"/>
      <c r="AH109" s="728"/>
      <c r="AI109" s="728"/>
      <c r="AJ109" s="728"/>
      <c r="AK109" s="554"/>
    </row>
    <row r="110" spans="1:37" s="600" customFormat="1" ht="12.75" hidden="1" customHeight="1" outlineLevel="1">
      <c r="A110" s="548"/>
      <c r="B110" s="864" t="s">
        <v>356</v>
      </c>
      <c r="C110" s="767"/>
      <c r="D110" s="604"/>
      <c r="E110" s="604"/>
      <c r="F110" s="604"/>
      <c r="G110" s="732"/>
      <c r="H110" s="727"/>
      <c r="I110" s="728"/>
      <c r="J110" s="728"/>
      <c r="K110" s="604"/>
      <c r="L110" s="732"/>
      <c r="M110" s="622"/>
      <c r="N110" s="587"/>
      <c r="O110" s="728">
        <f>O99*O111</f>
        <v>25.529440000000001</v>
      </c>
      <c r="P110" s="728">
        <f>P99*P111</f>
        <v>76.876379999999997</v>
      </c>
      <c r="Q110" s="554">
        <f>P110</f>
        <v>76.876379999999997</v>
      </c>
      <c r="R110" s="728">
        <f>R99*R111+500</f>
        <v>543.86302999999998</v>
      </c>
      <c r="S110" s="728">
        <f>S99*S111</f>
        <v>49.539670000000001</v>
      </c>
      <c r="T110" s="728">
        <f>T99*T111</f>
        <v>50.373720000000006</v>
      </c>
      <c r="U110" s="728">
        <f>U99*U111</f>
        <v>50.373720000000006</v>
      </c>
      <c r="V110" s="554">
        <f>U110</f>
        <v>50.373720000000006</v>
      </c>
      <c r="W110" s="728">
        <f>W99*W111</f>
        <v>46.373720000000006</v>
      </c>
      <c r="X110" s="728">
        <f>X99*X111</f>
        <v>42.373720000000006</v>
      </c>
      <c r="Y110" s="728">
        <f>Y99*Y111</f>
        <v>38.173720000000003</v>
      </c>
      <c r="Z110" s="728">
        <f>Z99*Z111</f>
        <v>33.673720000000003</v>
      </c>
      <c r="AA110" s="554">
        <f>Z110</f>
        <v>33.673720000000003</v>
      </c>
      <c r="AB110" s="728">
        <f>AB99*AB111</f>
        <v>29.673720000000003</v>
      </c>
      <c r="AC110" s="728">
        <f>AC99*AC111</f>
        <v>25.673720000000003</v>
      </c>
      <c r="AD110" s="728">
        <f>AD99*AD111</f>
        <v>21.673720000000003</v>
      </c>
      <c r="AE110" s="728">
        <f>AE99*AE111</f>
        <v>17.673720000000003</v>
      </c>
      <c r="AF110" s="554">
        <f>AE110</f>
        <v>17.673720000000003</v>
      </c>
      <c r="AG110" s="728">
        <f>AG99*AG111</f>
        <v>13.673720000000003</v>
      </c>
      <c r="AH110" s="728">
        <f>AH99*AH111</f>
        <v>9.673720000000003</v>
      </c>
      <c r="AI110" s="728">
        <f>AI99*AI111</f>
        <v>5.673720000000003</v>
      </c>
      <c r="AJ110" s="728">
        <f>AJ99*AJ111</f>
        <v>1.673720000000003</v>
      </c>
      <c r="AK110" s="554">
        <f>AJ110</f>
        <v>1.673720000000003</v>
      </c>
    </row>
    <row r="111" spans="1:37" s="1210" customFormat="1" ht="12.75" hidden="1" customHeight="1" outlineLevel="1">
      <c r="A111" s="548"/>
      <c r="B111" s="865" t="s">
        <v>607</v>
      </c>
      <c r="C111" s="767"/>
      <c r="D111" s="604"/>
      <c r="E111" s="604"/>
      <c r="F111" s="604"/>
      <c r="G111" s="732"/>
      <c r="H111" s="727"/>
      <c r="I111" s="728"/>
      <c r="J111" s="728"/>
      <c r="K111" s="1208">
        <v>0.16</v>
      </c>
      <c r="L111" s="1207"/>
      <c r="M111" s="1208"/>
      <c r="N111" s="1208"/>
      <c r="O111" s="1208">
        <v>0.02</v>
      </c>
      <c r="P111" s="1208">
        <v>0.02</v>
      </c>
      <c r="Q111" s="1207"/>
      <c r="R111" s="1209">
        <v>0.01</v>
      </c>
      <c r="S111" s="1209">
        <f>R111</f>
        <v>0.01</v>
      </c>
      <c r="T111" s="1209">
        <f>S111</f>
        <v>0.01</v>
      </c>
      <c r="U111" s="1209">
        <f>T111</f>
        <v>0.01</v>
      </c>
      <c r="V111" s="1207"/>
      <c r="W111" s="1208">
        <v>0.01</v>
      </c>
      <c r="X111" s="1209">
        <f>W111</f>
        <v>0.01</v>
      </c>
      <c r="Y111" s="1209">
        <f>X111</f>
        <v>0.01</v>
      </c>
      <c r="Z111" s="1209">
        <f>Y111</f>
        <v>0.01</v>
      </c>
      <c r="AA111" s="1207"/>
      <c r="AB111" s="1208">
        <v>0.01</v>
      </c>
      <c r="AC111" s="1209">
        <f>AB111</f>
        <v>0.01</v>
      </c>
      <c r="AD111" s="1209">
        <f>AC111</f>
        <v>0.01</v>
      </c>
      <c r="AE111" s="1209">
        <f>AD111</f>
        <v>0.01</v>
      </c>
      <c r="AF111" s="1207"/>
      <c r="AG111" s="1208">
        <v>0.01</v>
      </c>
      <c r="AH111" s="1209">
        <f>AG111</f>
        <v>0.01</v>
      </c>
      <c r="AI111" s="1209">
        <f>AH111</f>
        <v>0.01</v>
      </c>
      <c r="AJ111" s="1209">
        <f>AI111</f>
        <v>0.01</v>
      </c>
      <c r="AK111" s="1207"/>
    </row>
    <row r="112" spans="1:37" s="1210" customFormat="1" ht="12.75" customHeight="1" collapsed="1">
      <c r="A112" s="548"/>
      <c r="B112" s="865"/>
      <c r="C112" s="767"/>
      <c r="D112" s="604"/>
      <c r="E112" s="604"/>
      <c r="F112" s="604"/>
      <c r="G112" s="732"/>
      <c r="H112" s="727"/>
      <c r="I112" s="728"/>
      <c r="J112" s="728"/>
      <c r="K112" s="1208"/>
      <c r="L112" s="1207"/>
      <c r="M112" s="1208"/>
      <c r="N112" s="1208"/>
      <c r="O112" s="1208"/>
      <c r="P112" s="1208"/>
      <c r="Q112" s="1207"/>
      <c r="R112" s="1209"/>
      <c r="S112" s="1209"/>
      <c r="T112" s="1209"/>
      <c r="U112" s="1209"/>
      <c r="V112" s="1207"/>
      <c r="W112" s="1208"/>
      <c r="X112" s="1209"/>
      <c r="Y112" s="1209"/>
      <c r="Z112" s="1209"/>
      <c r="AA112" s="1207"/>
      <c r="AB112" s="1208"/>
      <c r="AC112" s="1209"/>
      <c r="AD112" s="1209"/>
      <c r="AE112" s="1209"/>
      <c r="AF112" s="1207"/>
      <c r="AG112" s="1208"/>
      <c r="AH112" s="1209"/>
      <c r="AI112" s="1209"/>
      <c r="AJ112" s="1209"/>
      <c r="AK112" s="1207"/>
    </row>
    <row r="113" spans="1:37" s="470" customFormat="1" ht="12.75" customHeight="1">
      <c r="A113" s="416"/>
      <c r="B113" s="950" t="s">
        <v>701</v>
      </c>
      <c r="C113" s="1354">
        <v>3000</v>
      </c>
      <c r="D113" s="1355" t="s">
        <v>336</v>
      </c>
      <c r="E113" s="1356">
        <v>4.2500000000000003E-2</v>
      </c>
      <c r="F113" s="1356">
        <v>0.09</v>
      </c>
      <c r="G113" s="661"/>
      <c r="H113" s="698"/>
      <c r="I113" s="698"/>
      <c r="J113" s="698"/>
      <c r="K113" s="698"/>
      <c r="L113" s="494"/>
      <c r="M113" s="698"/>
      <c r="N113" s="698"/>
      <c r="O113" s="698"/>
      <c r="P113" s="698"/>
      <c r="Q113" s="564"/>
      <c r="R113" s="698"/>
      <c r="S113" s="698"/>
      <c r="T113" s="698">
        <v>1241.325</v>
      </c>
      <c r="U113" s="493">
        <f>T113+U114+U115</f>
        <v>1241.325</v>
      </c>
      <c r="V113" s="564">
        <f>U113</f>
        <v>1241.325</v>
      </c>
      <c r="W113" s="493">
        <f>V113+W114+W115</f>
        <v>1241.325</v>
      </c>
      <c r="X113" s="493">
        <f>W113+X114+X115</f>
        <v>1241.325</v>
      </c>
      <c r="Y113" s="493">
        <f>X113+Y114+Y115</f>
        <v>1241.325</v>
      </c>
      <c r="Z113" s="493">
        <f>Y113+Z114+Z115</f>
        <v>1241.325</v>
      </c>
      <c r="AA113" s="564">
        <f>Z113</f>
        <v>1241.325</v>
      </c>
      <c r="AB113" s="493">
        <f>AA113+AB114+AB115</f>
        <v>1241.325</v>
      </c>
      <c r="AC113" s="493">
        <f>AB113+AC114+AC115</f>
        <v>1241.325</v>
      </c>
      <c r="AD113" s="493">
        <f>AC113+AD114+AD115</f>
        <v>1241.325</v>
      </c>
      <c r="AE113" s="493">
        <f>AD113+AE114+AE115</f>
        <v>1241.325</v>
      </c>
      <c r="AF113" s="564">
        <f>AE113</f>
        <v>1241.325</v>
      </c>
      <c r="AG113" s="493">
        <f>AF113+AG114+AG115</f>
        <v>1241.325</v>
      </c>
      <c r="AH113" s="493">
        <f>AG113+AH114+AH115</f>
        <v>1241.325</v>
      </c>
      <c r="AI113" s="493">
        <f>AH113+AI114+AI115</f>
        <v>1241.325</v>
      </c>
      <c r="AJ113" s="493">
        <f>AI113+AJ114+AJ115</f>
        <v>1241.325</v>
      </c>
      <c r="AK113" s="564">
        <f>AJ113</f>
        <v>1241.325</v>
      </c>
    </row>
    <row r="114" spans="1:37" s="1210" customFormat="1" ht="12.75" hidden="1" customHeight="1" outlineLevel="1">
      <c r="A114" s="548"/>
      <c r="B114" s="862" t="s">
        <v>449</v>
      </c>
      <c r="C114" s="767"/>
      <c r="D114" s="604"/>
      <c r="E114" s="604"/>
      <c r="F114" s="604" t="s">
        <v>706</v>
      </c>
      <c r="G114" s="732"/>
      <c r="H114" s="727"/>
      <c r="I114" s="728"/>
      <c r="J114" s="728"/>
      <c r="K114" s="1208"/>
      <c r="L114" s="1207"/>
      <c r="M114" s="1208"/>
      <c r="N114" s="1208"/>
      <c r="O114" s="1208"/>
      <c r="P114" s="1208"/>
      <c r="Q114" s="1207"/>
      <c r="R114" s="1209"/>
      <c r="S114" s="1209"/>
      <c r="T114" s="712">
        <f>T113-S113</f>
        <v>1241.325</v>
      </c>
      <c r="U114" s="715">
        <v>0</v>
      </c>
      <c r="V114" s="726">
        <f>SUM(R114:U114)</f>
        <v>1241.325</v>
      </c>
      <c r="W114" s="715">
        <v>0</v>
      </c>
      <c r="X114" s="715">
        <f>W114</f>
        <v>0</v>
      </c>
      <c r="Y114" s="715">
        <f>X114</f>
        <v>0</v>
      </c>
      <c r="Z114" s="715">
        <f>Y114</f>
        <v>0</v>
      </c>
      <c r="AA114" s="726">
        <f>SUM(W114:Z114)</f>
        <v>0</v>
      </c>
      <c r="AB114" s="715">
        <v>0</v>
      </c>
      <c r="AC114" s="715">
        <f>AB114</f>
        <v>0</v>
      </c>
      <c r="AD114" s="715">
        <f>AC114</f>
        <v>0</v>
      </c>
      <c r="AE114" s="715">
        <f>AD114</f>
        <v>0</v>
      </c>
      <c r="AF114" s="726">
        <f>SUM(AB114:AE114)</f>
        <v>0</v>
      </c>
      <c r="AG114" s="715">
        <v>0</v>
      </c>
      <c r="AH114" s="715">
        <f>AG114</f>
        <v>0</v>
      </c>
      <c r="AI114" s="715">
        <f>AH114</f>
        <v>0</v>
      </c>
      <c r="AJ114" s="715">
        <f>AI114</f>
        <v>0</v>
      </c>
      <c r="AK114" s="726">
        <f>SUM(AG114:AJ114)</f>
        <v>0</v>
      </c>
    </row>
    <row r="115" spans="1:37" s="1210" customFormat="1" ht="12.75" hidden="1" customHeight="1" outlineLevel="1">
      <c r="A115" s="548"/>
      <c r="B115" s="862" t="s">
        <v>448</v>
      </c>
      <c r="C115" s="767"/>
      <c r="D115" s="604"/>
      <c r="E115" s="604"/>
      <c r="F115" s="604"/>
      <c r="G115" s="732"/>
      <c r="H115" s="727"/>
      <c r="I115" s="728"/>
      <c r="J115" s="728"/>
      <c r="K115" s="1208"/>
      <c r="L115" s="1207"/>
      <c r="M115" s="1208"/>
      <c r="N115" s="1208"/>
      <c r="O115" s="1208"/>
      <c r="P115" s="1208"/>
      <c r="Q115" s="1207"/>
      <c r="R115" s="1209"/>
      <c r="S115" s="1209"/>
      <c r="T115" s="715">
        <v>0</v>
      </c>
      <c r="U115" s="715">
        <v>0</v>
      </c>
      <c r="V115" s="726">
        <f>SUM(R115:U115)</f>
        <v>0</v>
      </c>
      <c r="W115" s="715">
        <v>0</v>
      </c>
      <c r="X115" s="715">
        <v>0</v>
      </c>
      <c r="Y115" s="715">
        <v>0</v>
      </c>
      <c r="Z115" s="715">
        <v>0</v>
      </c>
      <c r="AA115" s="726">
        <f>SUM(W115:Z115)</f>
        <v>0</v>
      </c>
      <c r="AB115" s="715">
        <v>0</v>
      </c>
      <c r="AC115" s="715">
        <v>0</v>
      </c>
      <c r="AD115" s="715">
        <v>0</v>
      </c>
      <c r="AE115" s="715">
        <v>0</v>
      </c>
      <c r="AF115" s="726">
        <f>SUM(AB115:AE115)</f>
        <v>0</v>
      </c>
      <c r="AG115" s="715">
        <v>0</v>
      </c>
      <c r="AH115" s="715">
        <v>0</v>
      </c>
      <c r="AI115" s="715">
        <v>0</v>
      </c>
      <c r="AJ115" s="715">
        <v>0</v>
      </c>
      <c r="AK115" s="726">
        <f>SUM(AG115:AJ115)</f>
        <v>0</v>
      </c>
    </row>
    <row r="116" spans="1:37" s="1210" customFormat="1" ht="12.75" hidden="1" customHeight="1" outlineLevel="1">
      <c r="A116" s="548"/>
      <c r="B116" s="862"/>
      <c r="C116" s="767"/>
      <c r="D116" s="604"/>
      <c r="E116" s="604"/>
      <c r="F116" s="604"/>
      <c r="G116" s="732"/>
      <c r="H116" s="727"/>
      <c r="I116" s="728"/>
      <c r="J116" s="728"/>
      <c r="K116" s="1208"/>
      <c r="L116" s="1207"/>
      <c r="M116" s="1208"/>
      <c r="N116" s="1208"/>
      <c r="O116" s="1208"/>
      <c r="P116" s="1208"/>
      <c r="Q116" s="1207"/>
      <c r="R116" s="1209"/>
      <c r="S116" s="1209"/>
      <c r="T116" s="1209"/>
      <c r="U116" s="1209"/>
      <c r="V116" s="1207"/>
      <c r="W116" s="1208"/>
      <c r="X116" s="1209"/>
      <c r="Y116" s="1209"/>
      <c r="Z116" s="1209"/>
      <c r="AA116" s="1207"/>
      <c r="AB116" s="1208"/>
      <c r="AC116" s="1209"/>
      <c r="AD116" s="1209"/>
      <c r="AE116" s="1209"/>
      <c r="AF116" s="1207"/>
      <c r="AG116" s="1208"/>
      <c r="AH116" s="1209"/>
      <c r="AI116" s="1209"/>
      <c r="AJ116" s="1209"/>
      <c r="AK116" s="1207"/>
    </row>
    <row r="117" spans="1:37" s="600" customFormat="1" ht="12.75" hidden="1" customHeight="1" outlineLevel="1">
      <c r="A117" s="548"/>
      <c r="B117" s="864" t="s">
        <v>342</v>
      </c>
      <c r="C117" s="767"/>
      <c r="D117" s="604"/>
      <c r="E117" s="604"/>
      <c r="F117" s="604"/>
      <c r="G117" s="554"/>
      <c r="H117" s="727"/>
      <c r="I117" s="728"/>
      <c r="J117" s="728"/>
      <c r="K117" s="604"/>
      <c r="L117" s="554"/>
      <c r="M117" s="727"/>
      <c r="N117" s="728"/>
      <c r="O117" s="728"/>
      <c r="P117" s="728"/>
      <c r="Q117" s="554"/>
      <c r="R117" s="728"/>
      <c r="S117" s="728"/>
      <c r="T117" s="728">
        <f>AVERAGE(S113:T113)*($E$113+T$62)/4</f>
        <v>26.533321874999999</v>
      </c>
      <c r="U117" s="728">
        <f>AVERAGE(T113:U113)*($E$113+U$62)/4</f>
        <v>25.602328125000003</v>
      </c>
      <c r="V117" s="554">
        <f>SUM(R117:U117)</f>
        <v>52.135649999999998</v>
      </c>
      <c r="W117" s="728">
        <f>AVERAGE(V113:W113)*($E$113+W$62)/4</f>
        <v>24.205837500000001</v>
      </c>
      <c r="X117" s="728">
        <f>AVERAGE(W113:X113)*($E$113+X$62)/4</f>
        <v>23.430009375000004</v>
      </c>
      <c r="Y117" s="728">
        <f>AVERAGE(X113:Y113)*($E$113+Y$62)/4</f>
        <v>22.964512500000005</v>
      </c>
      <c r="Z117" s="728">
        <f>AVERAGE(Y113:Z113)*($E$113+Z$62)/4</f>
        <v>22.964512500000005</v>
      </c>
      <c r="AA117" s="554">
        <f>SUM(W117:Z117)</f>
        <v>93.564871875000023</v>
      </c>
      <c r="AB117" s="728">
        <f>AVERAGE(AA113:AB113)*($E$113+AB$62)/4</f>
        <v>22.964512500000005</v>
      </c>
      <c r="AC117" s="728">
        <f>AVERAGE(AB113:AC113)*($E$113+AC$62)/4</f>
        <v>22.964512500000005</v>
      </c>
      <c r="AD117" s="728">
        <f>AVERAGE(AC113:AD113)*($E$113+AD$62)/4</f>
        <v>22.964512500000005</v>
      </c>
      <c r="AE117" s="728">
        <f>AVERAGE(AD113:AE113)*($E$113+AE$62)/4</f>
        <v>22.964512500000005</v>
      </c>
      <c r="AF117" s="554">
        <f>SUM(AB117:AE117)</f>
        <v>91.85805000000002</v>
      </c>
      <c r="AG117" s="728">
        <f>AVERAGE(AF113:AG113)*($E$113+AG$62)/4</f>
        <v>22.964512500000005</v>
      </c>
      <c r="AH117" s="728">
        <f>AVERAGE(AG113:AH113)*($E$113+AH$62)/4</f>
        <v>22.964512500000005</v>
      </c>
      <c r="AI117" s="728">
        <f>AVERAGE(AH113:AI113)*($E$113+AI$62)/4</f>
        <v>22.964512500000005</v>
      </c>
      <c r="AJ117" s="728">
        <f>AVERAGE(AI113:AJ113)*($E$113+AJ$62)/4</f>
        <v>22.964512500000005</v>
      </c>
      <c r="AK117" s="554">
        <f>SUM(AG117:AJ117)</f>
        <v>91.85805000000002</v>
      </c>
    </row>
    <row r="118" spans="1:37" s="1210" customFormat="1" ht="12.75" customHeight="1" collapsed="1">
      <c r="A118" s="548"/>
      <c r="B118" s="862"/>
      <c r="C118" s="767"/>
      <c r="D118" s="604"/>
      <c r="E118" s="604"/>
      <c r="F118" s="604"/>
      <c r="G118" s="732"/>
      <c r="H118" s="727"/>
      <c r="I118" s="728"/>
      <c r="J118" s="728"/>
      <c r="K118" s="1208"/>
      <c r="L118" s="1207"/>
      <c r="M118" s="1208"/>
      <c r="N118" s="1208"/>
      <c r="O118" s="1208"/>
      <c r="P118" s="1208"/>
      <c r="Q118" s="1207"/>
      <c r="R118" s="1209"/>
      <c r="S118" s="1209"/>
      <c r="T118" s="1209"/>
      <c r="U118" s="1209"/>
      <c r="V118" s="1207"/>
      <c r="W118" s="1208"/>
      <c r="X118" s="1209"/>
      <c r="Y118" s="1209"/>
      <c r="Z118" s="1209"/>
      <c r="AA118" s="1207"/>
      <c r="AB118" s="1208"/>
      <c r="AC118" s="1209"/>
      <c r="AD118" s="1209"/>
      <c r="AE118" s="1209"/>
      <c r="AF118" s="1207"/>
      <c r="AG118" s="1208"/>
      <c r="AH118" s="1209"/>
      <c r="AI118" s="1209"/>
      <c r="AJ118" s="1209"/>
      <c r="AK118" s="1207"/>
    </row>
    <row r="119" spans="1:37" s="470" customFormat="1" ht="12.75" customHeight="1">
      <c r="A119" s="416"/>
      <c r="B119" s="950" t="s">
        <v>705</v>
      </c>
      <c r="C119" s="1354">
        <v>2600</v>
      </c>
      <c r="D119" s="1355" t="s">
        <v>336</v>
      </c>
      <c r="E119" s="1356">
        <v>0.04</v>
      </c>
      <c r="F119" s="1356">
        <v>0.1</v>
      </c>
      <c r="G119" s="661"/>
      <c r="H119" s="698"/>
      <c r="I119" s="698"/>
      <c r="J119" s="698"/>
      <c r="K119" s="698"/>
      <c r="L119" s="494"/>
      <c r="M119" s="698"/>
      <c r="N119" s="698"/>
      <c r="O119" s="698"/>
      <c r="P119" s="698"/>
      <c r="Q119" s="564"/>
      <c r="R119" s="698"/>
      <c r="S119" s="698"/>
      <c r="T119" s="698">
        <v>358.69600000000003</v>
      </c>
      <c r="U119" s="493">
        <f>T119+U120+U121</f>
        <v>358.69600000000003</v>
      </c>
      <c r="V119" s="564">
        <f>U119</f>
        <v>358.69600000000003</v>
      </c>
      <c r="W119" s="493">
        <f>V119+W120+W121</f>
        <v>358.69600000000003</v>
      </c>
      <c r="X119" s="493">
        <f>W119+X120+X121</f>
        <v>358.69600000000003</v>
      </c>
      <c r="Y119" s="493">
        <f>X119+Y120+Y121</f>
        <v>358.69600000000003</v>
      </c>
      <c r="Z119" s="493">
        <f>Y119+Z120+Z121</f>
        <v>358.69600000000003</v>
      </c>
      <c r="AA119" s="564">
        <f>Z119</f>
        <v>358.69600000000003</v>
      </c>
      <c r="AB119" s="493">
        <f>AA119+AB120+AB121</f>
        <v>358.69600000000003</v>
      </c>
      <c r="AC119" s="493">
        <f>AB119+AC120+AC121</f>
        <v>358.69600000000003</v>
      </c>
      <c r="AD119" s="493">
        <f>AC119+AD120+AD121</f>
        <v>358.69600000000003</v>
      </c>
      <c r="AE119" s="493">
        <f>AD119+AE120+AE121</f>
        <v>358.69600000000003</v>
      </c>
      <c r="AF119" s="564">
        <f>AE119</f>
        <v>358.69600000000003</v>
      </c>
      <c r="AG119" s="493">
        <f>AF119+AG120+AG121</f>
        <v>358.69600000000003</v>
      </c>
      <c r="AH119" s="493">
        <f>AG119+AH120+AH121</f>
        <v>358.69600000000003</v>
      </c>
      <c r="AI119" s="493">
        <f>AH119+AI120+AI121</f>
        <v>358.69600000000003</v>
      </c>
      <c r="AJ119" s="493">
        <f>AI119+AJ120+AJ121</f>
        <v>358.69600000000003</v>
      </c>
      <c r="AK119" s="564">
        <f>AJ119</f>
        <v>358.69600000000003</v>
      </c>
    </row>
    <row r="120" spans="1:37" s="1210" customFormat="1" ht="12.75" hidden="1" customHeight="1" outlineLevel="1">
      <c r="A120" s="548"/>
      <c r="B120" s="862" t="s">
        <v>449</v>
      </c>
      <c r="C120" s="767"/>
      <c r="D120" s="604"/>
      <c r="E120" s="604"/>
      <c r="F120" s="604"/>
      <c r="G120" s="732"/>
      <c r="H120" s="727"/>
      <c r="I120" s="728"/>
      <c r="J120" s="728"/>
      <c r="K120" s="1208"/>
      <c r="L120" s="1207"/>
      <c r="M120" s="1208"/>
      <c r="N120" s="1208"/>
      <c r="O120" s="1208"/>
      <c r="P120" s="1208"/>
      <c r="Q120" s="1207"/>
      <c r="R120" s="1209"/>
      <c r="S120" s="1209"/>
      <c r="T120" s="712">
        <f>T119-S119</f>
        <v>358.69600000000003</v>
      </c>
      <c r="U120" s="715">
        <v>0</v>
      </c>
      <c r="V120" s="726">
        <f>SUM(R120:U120)</f>
        <v>358.69600000000003</v>
      </c>
      <c r="W120" s="715">
        <v>0</v>
      </c>
      <c r="X120" s="715">
        <f>W120</f>
        <v>0</v>
      </c>
      <c r="Y120" s="715">
        <f>X120</f>
        <v>0</v>
      </c>
      <c r="Z120" s="715">
        <f>Y120</f>
        <v>0</v>
      </c>
      <c r="AA120" s="726">
        <f>SUM(W120:Z120)</f>
        <v>0</v>
      </c>
      <c r="AB120" s="715">
        <v>0</v>
      </c>
      <c r="AC120" s="715">
        <f>AB120</f>
        <v>0</v>
      </c>
      <c r="AD120" s="715">
        <f>AC120</f>
        <v>0</v>
      </c>
      <c r="AE120" s="715">
        <f>AD120</f>
        <v>0</v>
      </c>
      <c r="AF120" s="726">
        <f>SUM(AB120:AE120)</f>
        <v>0</v>
      </c>
      <c r="AG120" s="715">
        <v>0</v>
      </c>
      <c r="AH120" s="715">
        <f>AG120</f>
        <v>0</v>
      </c>
      <c r="AI120" s="715">
        <f>AH120</f>
        <v>0</v>
      </c>
      <c r="AJ120" s="715">
        <f>AI120</f>
        <v>0</v>
      </c>
      <c r="AK120" s="726">
        <f>SUM(AG120:AJ120)</f>
        <v>0</v>
      </c>
    </row>
    <row r="121" spans="1:37" s="1210" customFormat="1" ht="12.75" hidden="1" customHeight="1" outlineLevel="1">
      <c r="A121" s="548"/>
      <c r="B121" s="862" t="s">
        <v>448</v>
      </c>
      <c r="C121" s="767"/>
      <c r="D121" s="604"/>
      <c r="E121" s="604"/>
      <c r="F121" s="604"/>
      <c r="G121" s="732"/>
      <c r="H121" s="727"/>
      <c r="I121" s="728"/>
      <c r="J121" s="728"/>
      <c r="K121" s="1208"/>
      <c r="L121" s="1207"/>
      <c r="M121" s="1208"/>
      <c r="N121" s="1208"/>
      <c r="O121" s="1208"/>
      <c r="P121" s="1208"/>
      <c r="Q121" s="1207"/>
      <c r="R121" s="1209"/>
      <c r="S121" s="1209"/>
      <c r="T121" s="715">
        <v>0</v>
      </c>
      <c r="U121" s="715">
        <v>0</v>
      </c>
      <c r="V121" s="726">
        <f>SUM(R121:U121)</f>
        <v>0</v>
      </c>
      <c r="W121" s="715">
        <v>0</v>
      </c>
      <c r="X121" s="715">
        <v>0</v>
      </c>
      <c r="Y121" s="715">
        <v>0</v>
      </c>
      <c r="Z121" s="715">
        <v>0</v>
      </c>
      <c r="AA121" s="726">
        <f>SUM(W121:Z121)</f>
        <v>0</v>
      </c>
      <c r="AB121" s="715">
        <v>0</v>
      </c>
      <c r="AC121" s="715">
        <v>0</v>
      </c>
      <c r="AD121" s="715">
        <v>0</v>
      </c>
      <c r="AE121" s="715">
        <v>0</v>
      </c>
      <c r="AF121" s="726">
        <f>SUM(AB121:AE121)</f>
        <v>0</v>
      </c>
      <c r="AG121" s="715">
        <v>0</v>
      </c>
      <c r="AH121" s="715">
        <v>0</v>
      </c>
      <c r="AI121" s="715">
        <v>0</v>
      </c>
      <c r="AJ121" s="715">
        <v>0</v>
      </c>
      <c r="AK121" s="726">
        <f>SUM(AG121:AJ121)</f>
        <v>0</v>
      </c>
    </row>
    <row r="122" spans="1:37" s="1210" customFormat="1" ht="12.75" hidden="1" customHeight="1" outlineLevel="1">
      <c r="A122" s="548"/>
      <c r="B122" s="862"/>
      <c r="C122" s="767"/>
      <c r="D122" s="604"/>
      <c r="E122" s="604"/>
      <c r="F122" s="604"/>
      <c r="G122" s="732"/>
      <c r="H122" s="727"/>
      <c r="I122" s="728"/>
      <c r="J122" s="728"/>
      <c r="K122" s="1208"/>
      <c r="L122" s="1207"/>
      <c r="M122" s="1208"/>
      <c r="N122" s="1208"/>
      <c r="O122" s="1208"/>
      <c r="P122" s="1208"/>
      <c r="Q122" s="1207"/>
      <c r="R122" s="1209"/>
      <c r="S122" s="1209"/>
      <c r="T122" s="1209"/>
      <c r="U122" s="1209"/>
      <c r="V122" s="1207"/>
      <c r="W122" s="1208"/>
      <c r="X122" s="1209"/>
      <c r="Y122" s="1209"/>
      <c r="Z122" s="1209"/>
      <c r="AA122" s="1207"/>
      <c r="AB122" s="1208"/>
      <c r="AC122" s="1209"/>
      <c r="AD122" s="1209"/>
      <c r="AE122" s="1209"/>
      <c r="AF122" s="1207"/>
      <c r="AG122" s="1208"/>
      <c r="AH122" s="1209"/>
      <c r="AI122" s="1209"/>
      <c r="AJ122" s="1209"/>
      <c r="AK122" s="1207"/>
    </row>
    <row r="123" spans="1:37" s="600" customFormat="1" ht="12.75" hidden="1" customHeight="1" outlineLevel="1">
      <c r="A123" s="548"/>
      <c r="B123" s="864" t="s">
        <v>342</v>
      </c>
      <c r="C123" s="767"/>
      <c r="D123" s="604"/>
      <c r="E123" s="604"/>
      <c r="F123" s="604"/>
      <c r="G123" s="554"/>
      <c r="H123" s="727"/>
      <c r="I123" s="728"/>
      <c r="J123" s="728"/>
      <c r="K123" s="604"/>
      <c r="L123" s="554"/>
      <c r="M123" s="727"/>
      <c r="N123" s="728"/>
      <c r="O123" s="728"/>
      <c r="P123" s="728"/>
      <c r="Q123" s="554"/>
      <c r="R123" s="728"/>
      <c r="S123" s="728"/>
      <c r="T123" s="728">
        <f>AVERAGE(S119:T119)*(T$104)/4</f>
        <v>9.5427483839999994</v>
      </c>
      <c r="U123" s="728">
        <f>AVERAGE(T119:U119)*(U$104)/4</f>
        <v>9.2737263839999997</v>
      </c>
      <c r="V123" s="554">
        <f>SUM(R123:U123)</f>
        <v>18.816474767999999</v>
      </c>
      <c r="W123" s="728">
        <f>AVERAGE(V119:W119)*(W$104)/4</f>
        <v>8.8701933839999985</v>
      </c>
      <c r="X123" s="728">
        <f>AVERAGE(W119:X119)*(X$104)/4</f>
        <v>8.6460083839999999</v>
      </c>
      <c r="Y123" s="728">
        <f>AVERAGE(X119:Y119)*(Y$104)/4</f>
        <v>8.5114973840000001</v>
      </c>
      <c r="Z123" s="728">
        <f>AVERAGE(Y119:Z119)*(Z$104)/4</f>
        <v>8.5114973840000001</v>
      </c>
      <c r="AA123" s="554">
        <f>SUM(W123:Z123)</f>
        <v>34.539196535999999</v>
      </c>
      <c r="AB123" s="728">
        <f>AVERAGE(AA119:AB119)*(AB$104)/4</f>
        <v>8.5114973840000001</v>
      </c>
      <c r="AC123" s="728">
        <f>AVERAGE(AB119:AC119)*(AC$104)/4</f>
        <v>8.5114973840000001</v>
      </c>
      <c r="AD123" s="728">
        <f>AVERAGE(AC119:AD119)*(AD$104)/4</f>
        <v>8.5114973840000001</v>
      </c>
      <c r="AE123" s="728">
        <f>AVERAGE(AD119:AE119)*(AE$104)/4</f>
        <v>8.5114973840000001</v>
      </c>
      <c r="AF123" s="554">
        <f>SUM(AB123:AE123)</f>
        <v>34.045989536</v>
      </c>
      <c r="AG123" s="728">
        <f>AVERAGE(AF119:AG119)*(AG$104)/4</f>
        <v>8.5114973840000001</v>
      </c>
      <c r="AH123" s="728">
        <f>AVERAGE(AG119:AH119)*(AH$104)/4</f>
        <v>8.5114973840000001</v>
      </c>
      <c r="AI123" s="728">
        <f>AVERAGE(AH119:AI119)*(AI$104)/4</f>
        <v>8.5114973840000001</v>
      </c>
      <c r="AJ123" s="728">
        <f>AVERAGE(AI119:AJ119)*(AJ$104)/4</f>
        <v>8.5114973840000001</v>
      </c>
      <c r="AK123" s="554">
        <f>SUM(AG123:AJ123)</f>
        <v>34.045989536</v>
      </c>
    </row>
    <row r="124" spans="1:37" ht="12.75" customHeight="1" collapsed="1">
      <c r="B124" s="866"/>
      <c r="C124" s="770"/>
      <c r="D124" s="102"/>
      <c r="E124" s="102"/>
      <c r="F124" s="102"/>
      <c r="G124" s="255"/>
      <c r="H124" s="616"/>
      <c r="I124" s="291"/>
      <c r="J124" s="291"/>
      <c r="K124" s="102"/>
      <c r="L124" s="255"/>
      <c r="M124" s="616"/>
      <c r="N124" s="291"/>
      <c r="O124" s="291"/>
      <c r="P124" s="291"/>
      <c r="Q124" s="255"/>
      <c r="R124" s="616"/>
      <c r="S124" s="291"/>
      <c r="T124" s="291"/>
      <c r="U124" s="291"/>
      <c r="V124" s="255"/>
      <c r="W124" s="616"/>
      <c r="X124" s="291"/>
      <c r="Y124" s="291"/>
      <c r="Z124" s="291"/>
      <c r="AA124" s="255"/>
      <c r="AB124" s="616"/>
      <c r="AC124" s="291"/>
      <c r="AD124" s="291"/>
      <c r="AE124" s="291"/>
      <c r="AF124" s="255"/>
      <c r="AG124" s="616"/>
      <c r="AH124" s="291"/>
      <c r="AI124" s="291"/>
      <c r="AJ124" s="291"/>
      <c r="AK124" s="255"/>
    </row>
    <row r="125" spans="1:37" s="470" customFormat="1" ht="12.75" customHeight="1">
      <c r="A125" s="416"/>
      <c r="B125" s="950" t="s">
        <v>694</v>
      </c>
      <c r="C125" s="1354">
        <v>1000</v>
      </c>
      <c r="D125" s="1355" t="s">
        <v>335</v>
      </c>
      <c r="E125" s="1356">
        <v>9.2499999999999999E-2</v>
      </c>
      <c r="F125" s="1356"/>
      <c r="G125" s="661"/>
      <c r="H125" s="698"/>
      <c r="I125" s="698"/>
      <c r="J125" s="698"/>
      <c r="K125" s="698">
        <v>0</v>
      </c>
      <c r="L125" s="494">
        <f>K125</f>
        <v>0</v>
      </c>
      <c r="M125" s="698">
        <v>0</v>
      </c>
      <c r="N125" s="698">
        <v>0</v>
      </c>
      <c r="O125" s="698">
        <v>0</v>
      </c>
      <c r="P125" s="698">
        <v>0</v>
      </c>
      <c r="Q125" s="564">
        <f>P125</f>
        <v>0</v>
      </c>
      <c r="R125" s="698">
        <v>0</v>
      </c>
      <c r="S125" s="698">
        <v>2000</v>
      </c>
      <c r="T125" s="698">
        <v>2000</v>
      </c>
      <c r="U125" s="493">
        <f>T125+U126+U127</f>
        <v>2000</v>
      </c>
      <c r="V125" s="564">
        <f>U125</f>
        <v>2000</v>
      </c>
      <c r="W125" s="493">
        <f>V125+W126+W127</f>
        <v>2000</v>
      </c>
      <c r="X125" s="493">
        <f>W125+X126+X127</f>
        <v>2000</v>
      </c>
      <c r="Y125" s="493">
        <f>X125+Y126+Y127</f>
        <v>2000</v>
      </c>
      <c r="Z125" s="493">
        <f>Y125+Z126+Z127</f>
        <v>2000</v>
      </c>
      <c r="AA125" s="564">
        <f>Z125</f>
        <v>2000</v>
      </c>
      <c r="AB125" s="493">
        <f>AA125+AB126+AB127</f>
        <v>2000</v>
      </c>
      <c r="AC125" s="493">
        <f>AB125+AC126+AC127</f>
        <v>2000</v>
      </c>
      <c r="AD125" s="493">
        <f>AC125+AD126+AD127</f>
        <v>2000</v>
      </c>
      <c r="AE125" s="493">
        <f>AD125+AE126+AE127</f>
        <v>2000</v>
      </c>
      <c r="AF125" s="564">
        <f>AE125</f>
        <v>2000</v>
      </c>
      <c r="AG125" s="493">
        <f>AF125+AG126+AG127</f>
        <v>2000</v>
      </c>
      <c r="AH125" s="493">
        <f>AG125+AH126+AH127</f>
        <v>2000</v>
      </c>
      <c r="AI125" s="493">
        <f>AH125+AI126+AI127</f>
        <v>2000</v>
      </c>
      <c r="AJ125" s="493">
        <f>AI125+AJ126+AJ127</f>
        <v>2000</v>
      </c>
      <c r="AK125" s="564">
        <f>AJ125</f>
        <v>2000</v>
      </c>
    </row>
    <row r="126" spans="1:37" s="470" customFormat="1" ht="12.75" hidden="1" customHeight="1" outlineLevel="1">
      <c r="A126" s="548"/>
      <c r="B126" s="862" t="s">
        <v>449</v>
      </c>
      <c r="C126" s="766"/>
      <c r="D126" s="724"/>
      <c r="E126" s="724"/>
      <c r="F126" s="724"/>
      <c r="G126" s="725"/>
      <c r="H126" s="715"/>
      <c r="I126" s="715"/>
      <c r="J126" s="715"/>
      <c r="K126" s="715"/>
      <c r="L126" s="713"/>
      <c r="M126" s="715"/>
      <c r="N126" s="715"/>
      <c r="O126" s="715"/>
      <c r="P126" s="715"/>
      <c r="Q126" s="726"/>
      <c r="R126" s="781">
        <f>R125-Q125</f>
        <v>0</v>
      </c>
      <c r="S126" s="781">
        <f>S125-R125</f>
        <v>2000</v>
      </c>
      <c r="T126" s="715">
        <v>0</v>
      </c>
      <c r="U126" s="715">
        <f>T126</f>
        <v>0</v>
      </c>
      <c r="V126" s="726">
        <f>SUM(R126:U126)</f>
        <v>2000</v>
      </c>
      <c r="W126" s="715">
        <v>0</v>
      </c>
      <c r="X126" s="715">
        <f>W126</f>
        <v>0</v>
      </c>
      <c r="Y126" s="715">
        <f>X126</f>
        <v>0</v>
      </c>
      <c r="Z126" s="715">
        <f>Y126</f>
        <v>0</v>
      </c>
      <c r="AA126" s="726">
        <f>SUM(W126:Z126)</f>
        <v>0</v>
      </c>
      <c r="AB126" s="715">
        <v>0</v>
      </c>
      <c r="AC126" s="715">
        <f>AB126</f>
        <v>0</v>
      </c>
      <c r="AD126" s="715">
        <f>AC126</f>
        <v>0</v>
      </c>
      <c r="AE126" s="715">
        <f>AD126</f>
        <v>0</v>
      </c>
      <c r="AF126" s="726">
        <f>SUM(AB126:AE126)</f>
        <v>0</v>
      </c>
      <c r="AG126" s="715">
        <v>0</v>
      </c>
      <c r="AH126" s="715">
        <f>AG126</f>
        <v>0</v>
      </c>
      <c r="AI126" s="715">
        <f>AH126</f>
        <v>0</v>
      </c>
      <c r="AJ126" s="715">
        <f>AI126</f>
        <v>0</v>
      </c>
      <c r="AK126" s="726">
        <f>SUM(AG126:AJ126)</f>
        <v>0</v>
      </c>
    </row>
    <row r="127" spans="1:37" s="470" customFormat="1" ht="12.75" hidden="1" customHeight="1" outlineLevel="1">
      <c r="A127" s="548"/>
      <c r="B127" s="862" t="s">
        <v>448</v>
      </c>
      <c r="C127" s="766"/>
      <c r="D127" s="724"/>
      <c r="E127" s="724"/>
      <c r="F127" s="724"/>
      <c r="G127" s="725"/>
      <c r="H127" s="715"/>
      <c r="I127" s="715"/>
      <c r="J127" s="715"/>
      <c r="K127" s="715"/>
      <c r="L127" s="713"/>
      <c r="M127" s="715"/>
      <c r="N127" s="715"/>
      <c r="O127" s="715"/>
      <c r="P127" s="712"/>
      <c r="Q127" s="726"/>
      <c r="R127" s="715"/>
      <c r="S127" s="895"/>
      <c r="T127" s="715"/>
      <c r="U127" s="715"/>
      <c r="V127" s="726">
        <f>SUM(R127:U127)</f>
        <v>0</v>
      </c>
      <c r="W127" s="715"/>
      <c r="X127" s="715"/>
      <c r="Y127" s="715"/>
      <c r="Z127" s="715"/>
      <c r="AA127" s="726">
        <f>SUM(W127:Z127)</f>
        <v>0</v>
      </c>
      <c r="AB127" s="715"/>
      <c r="AC127" s="715"/>
      <c r="AD127" s="715"/>
      <c r="AE127" s="715"/>
      <c r="AF127" s="726"/>
      <c r="AG127" s="715"/>
      <c r="AH127" s="715"/>
      <c r="AI127" s="715"/>
      <c r="AJ127" s="715"/>
      <c r="AK127" s="726"/>
    </row>
    <row r="128" spans="1:37" s="470" customFormat="1" ht="12.75" hidden="1" customHeight="1" outlineLevel="1">
      <c r="A128" s="548"/>
      <c r="B128" s="862"/>
      <c r="C128" s="766"/>
      <c r="D128" s="724"/>
      <c r="E128" s="724"/>
      <c r="F128" s="724"/>
      <c r="G128" s="725"/>
      <c r="H128" s="715"/>
      <c r="I128" s="715"/>
      <c r="J128" s="715"/>
      <c r="K128" s="715"/>
      <c r="L128" s="713"/>
      <c r="M128" s="715"/>
      <c r="N128" s="715"/>
      <c r="O128" s="715"/>
      <c r="P128" s="712"/>
      <c r="Q128" s="726"/>
      <c r="R128" s="715"/>
      <c r="S128" s="715"/>
      <c r="T128" s="715"/>
      <c r="U128" s="715"/>
      <c r="V128" s="726"/>
      <c r="W128" s="715"/>
      <c r="X128" s="715"/>
      <c r="Y128" s="715"/>
      <c r="Z128" s="715"/>
      <c r="AA128" s="726"/>
      <c r="AB128" s="715"/>
      <c r="AC128" s="715"/>
      <c r="AD128" s="715"/>
      <c r="AE128" s="715"/>
      <c r="AF128" s="726"/>
      <c r="AG128" s="715"/>
      <c r="AH128" s="715"/>
      <c r="AI128" s="715"/>
      <c r="AJ128" s="715"/>
      <c r="AK128" s="726"/>
    </row>
    <row r="129" spans="1:37" s="600" customFormat="1" ht="12.75" hidden="1" customHeight="1" outlineLevel="1">
      <c r="A129" s="548"/>
      <c r="B129" s="864" t="s">
        <v>342</v>
      </c>
      <c r="C129" s="767"/>
      <c r="D129" s="604"/>
      <c r="E129" s="604"/>
      <c r="F129" s="604"/>
      <c r="G129" s="554"/>
      <c r="H129" s="727"/>
      <c r="I129" s="728"/>
      <c r="J129" s="728"/>
      <c r="K129" s="604"/>
      <c r="L129" s="554"/>
      <c r="M129" s="727"/>
      <c r="N129" s="728"/>
      <c r="O129" s="728"/>
      <c r="P129" s="728"/>
      <c r="Q129" s="554"/>
      <c r="R129" s="728">
        <f>AVERAGE(Q125:R125)*($E$205)/4</f>
        <v>0</v>
      </c>
      <c r="S129" s="728">
        <f>AVERAGE(R125:S125)*($E$125)/4</f>
        <v>23.125</v>
      </c>
      <c r="T129" s="728">
        <f>AVERAGE(S125:T125)*($E$125)/4</f>
        <v>46.25</v>
      </c>
      <c r="U129" s="728">
        <f>AVERAGE(T125:U125)*($E$125)/4</f>
        <v>46.25</v>
      </c>
      <c r="V129" s="554">
        <f>SUM(R129:U129)</f>
        <v>115.625</v>
      </c>
      <c r="W129" s="728">
        <f t="shared" ref="W129:AJ129" si="35">AVERAGE(V125:W125)*($E$125)/4</f>
        <v>46.25</v>
      </c>
      <c r="X129" s="728">
        <f t="shared" si="35"/>
        <v>46.25</v>
      </c>
      <c r="Y129" s="728">
        <f t="shared" si="35"/>
        <v>46.25</v>
      </c>
      <c r="Z129" s="728">
        <f t="shared" si="35"/>
        <v>46.25</v>
      </c>
      <c r="AA129" s="554">
        <f>SUM(W129:Z129)</f>
        <v>185</v>
      </c>
      <c r="AB129" s="728">
        <f t="shared" si="35"/>
        <v>46.25</v>
      </c>
      <c r="AC129" s="728">
        <f t="shared" si="35"/>
        <v>46.25</v>
      </c>
      <c r="AD129" s="728">
        <f t="shared" si="35"/>
        <v>46.25</v>
      </c>
      <c r="AE129" s="728">
        <f t="shared" si="35"/>
        <v>46.25</v>
      </c>
      <c r="AF129" s="554">
        <f>SUM(AB129:AE129)</f>
        <v>185</v>
      </c>
      <c r="AG129" s="728">
        <f t="shared" si="35"/>
        <v>46.25</v>
      </c>
      <c r="AH129" s="728">
        <f t="shared" si="35"/>
        <v>46.25</v>
      </c>
      <c r="AI129" s="728">
        <f t="shared" si="35"/>
        <v>46.25</v>
      </c>
      <c r="AJ129" s="728">
        <f t="shared" si="35"/>
        <v>46.25</v>
      </c>
      <c r="AK129" s="554">
        <f>SUM(AG129:AJ129)</f>
        <v>185</v>
      </c>
    </row>
    <row r="130" spans="1:37" s="269" customFormat="1" ht="12.75" customHeight="1" collapsed="1">
      <c r="A130" s="416"/>
      <c r="B130" s="866"/>
      <c r="C130" s="655"/>
      <c r="D130" s="290"/>
      <c r="E130" s="290"/>
      <c r="F130" s="290"/>
      <c r="G130" s="254"/>
      <c r="H130" s="655"/>
      <c r="I130" s="608"/>
      <c r="J130" s="608"/>
      <c r="K130" s="290"/>
      <c r="L130" s="254"/>
      <c r="M130" s="655"/>
      <c r="N130" s="608"/>
      <c r="O130" s="608"/>
      <c r="P130" s="608"/>
      <c r="Q130" s="254"/>
      <c r="R130" s="780"/>
      <c r="S130" s="1067"/>
      <c r="T130" s="1067"/>
      <c r="U130" s="1067"/>
      <c r="V130" s="1068"/>
      <c r="W130" s="1067"/>
      <c r="X130" s="1067"/>
      <c r="Y130" s="1067"/>
      <c r="Z130" s="1067"/>
      <c r="AA130" s="1068"/>
      <c r="AB130" s="655"/>
      <c r="AC130" s="608"/>
      <c r="AD130" s="608"/>
      <c r="AE130" s="608"/>
      <c r="AF130" s="254"/>
      <c r="AG130" s="655"/>
      <c r="AH130" s="608"/>
      <c r="AI130" s="608"/>
      <c r="AJ130" s="608"/>
      <c r="AK130" s="254"/>
    </row>
    <row r="131" spans="1:37" s="470" customFormat="1" ht="12.75" customHeight="1">
      <c r="A131" s="416"/>
      <c r="B131" s="950" t="s">
        <v>707</v>
      </c>
      <c r="C131" s="1354">
        <v>1800</v>
      </c>
      <c r="D131" s="1355" t="s">
        <v>335</v>
      </c>
      <c r="E131" s="1356">
        <v>0.09</v>
      </c>
      <c r="F131" s="1356"/>
      <c r="G131" s="661"/>
      <c r="H131" s="698"/>
      <c r="I131" s="698"/>
      <c r="J131" s="698"/>
      <c r="K131" s="698">
        <v>0</v>
      </c>
      <c r="L131" s="494">
        <f>K131</f>
        <v>0</v>
      </c>
      <c r="M131" s="698">
        <v>0</v>
      </c>
      <c r="N131" s="698">
        <v>0</v>
      </c>
      <c r="O131" s="698">
        <v>0</v>
      </c>
      <c r="P131" s="698">
        <v>0</v>
      </c>
      <c r="Q131" s="564">
        <f>P131</f>
        <v>0</v>
      </c>
      <c r="R131" s="698">
        <v>0</v>
      </c>
      <c r="S131" s="698">
        <v>0</v>
      </c>
      <c r="T131" s="698">
        <v>1750</v>
      </c>
      <c r="U131" s="493">
        <f>T131+U132+U133</f>
        <v>1750</v>
      </c>
      <c r="V131" s="564">
        <f>U131</f>
        <v>1750</v>
      </c>
      <c r="W131" s="493">
        <f>V131+W132+W133</f>
        <v>1750</v>
      </c>
      <c r="X131" s="493">
        <f>W131+X132+X133</f>
        <v>1750</v>
      </c>
      <c r="Y131" s="493">
        <f>X131+Y132+Y133</f>
        <v>1750</v>
      </c>
      <c r="Z131" s="493">
        <f>Y131+Z132+Z133</f>
        <v>1750</v>
      </c>
      <c r="AA131" s="564">
        <f>Z131</f>
        <v>1750</v>
      </c>
      <c r="AB131" s="493">
        <f>AA131+AB132+AB133</f>
        <v>1750</v>
      </c>
      <c r="AC131" s="493">
        <f>AB131+AC132+AC133</f>
        <v>1750</v>
      </c>
      <c r="AD131" s="493">
        <f>AC131+AD132+AD133</f>
        <v>1750</v>
      </c>
      <c r="AE131" s="493">
        <f>AD131+AE132+AE133</f>
        <v>1750</v>
      </c>
      <c r="AF131" s="564">
        <f>AE131</f>
        <v>1750</v>
      </c>
      <c r="AG131" s="493">
        <f>AF131+AG132+AG133</f>
        <v>1750</v>
      </c>
      <c r="AH131" s="493">
        <f>AG131+AH132+AH133</f>
        <v>1750</v>
      </c>
      <c r="AI131" s="493">
        <f>AH131+AI132+AI133</f>
        <v>1750</v>
      </c>
      <c r="AJ131" s="493">
        <f>AI131+AJ132+AJ133</f>
        <v>1750</v>
      </c>
      <c r="AK131" s="564">
        <f>AJ131</f>
        <v>1750</v>
      </c>
    </row>
    <row r="132" spans="1:37" s="470" customFormat="1" ht="12.75" hidden="1" customHeight="1" outlineLevel="1">
      <c r="A132" s="548"/>
      <c r="B132" s="862" t="s">
        <v>449</v>
      </c>
      <c r="C132" s="766"/>
      <c r="D132" s="724"/>
      <c r="E132" s="724"/>
      <c r="F132" s="724"/>
      <c r="G132" s="725"/>
      <c r="H132" s="715"/>
      <c r="I132" s="715"/>
      <c r="J132" s="715"/>
      <c r="K132" s="715"/>
      <c r="L132" s="713"/>
      <c r="M132" s="715"/>
      <c r="N132" s="715"/>
      <c r="O132" s="715"/>
      <c r="P132" s="715"/>
      <c r="Q132" s="726"/>
      <c r="R132" s="781">
        <f>R131-Q131</f>
        <v>0</v>
      </c>
      <c r="S132" s="781">
        <f>S131-R131</f>
        <v>0</v>
      </c>
      <c r="T132" s="781">
        <f>T131-S131</f>
        <v>1750</v>
      </c>
      <c r="U132" s="715">
        <v>0</v>
      </c>
      <c r="V132" s="726">
        <f>SUM(R132:U132)</f>
        <v>1750</v>
      </c>
      <c r="W132" s="715">
        <v>0</v>
      </c>
      <c r="X132" s="715">
        <f>W132</f>
        <v>0</v>
      </c>
      <c r="Y132" s="715">
        <f>X132</f>
        <v>0</v>
      </c>
      <c r="Z132" s="715">
        <f>Y132</f>
        <v>0</v>
      </c>
      <c r="AA132" s="726">
        <f>SUM(W132:Z132)</f>
        <v>0</v>
      </c>
      <c r="AB132" s="715">
        <v>0</v>
      </c>
      <c r="AC132" s="715">
        <f>AB132</f>
        <v>0</v>
      </c>
      <c r="AD132" s="715">
        <f>AC132</f>
        <v>0</v>
      </c>
      <c r="AE132" s="715">
        <f>AD132</f>
        <v>0</v>
      </c>
      <c r="AF132" s="726">
        <f>SUM(AB132:AE132)</f>
        <v>0</v>
      </c>
      <c r="AG132" s="715">
        <v>0</v>
      </c>
      <c r="AH132" s="715">
        <f>AG132</f>
        <v>0</v>
      </c>
      <c r="AI132" s="715">
        <f>AH132</f>
        <v>0</v>
      </c>
      <c r="AJ132" s="715">
        <f>AI132</f>
        <v>0</v>
      </c>
      <c r="AK132" s="726">
        <f>SUM(AG132:AJ132)</f>
        <v>0</v>
      </c>
    </row>
    <row r="133" spans="1:37" s="470" customFormat="1" ht="12.75" hidden="1" customHeight="1" outlineLevel="1">
      <c r="A133" s="548"/>
      <c r="B133" s="862" t="s">
        <v>448</v>
      </c>
      <c r="C133" s="766"/>
      <c r="D133" s="724"/>
      <c r="E133" s="724"/>
      <c r="F133" s="724"/>
      <c r="G133" s="725"/>
      <c r="H133" s="715"/>
      <c r="I133" s="715"/>
      <c r="J133" s="715"/>
      <c r="K133" s="715"/>
      <c r="L133" s="713"/>
      <c r="M133" s="715"/>
      <c r="N133" s="715"/>
      <c r="O133" s="715"/>
      <c r="P133" s="712"/>
      <c r="Q133" s="726"/>
      <c r="R133" s="715"/>
      <c r="S133" s="895"/>
      <c r="T133" s="715"/>
      <c r="U133" s="715"/>
      <c r="V133" s="726">
        <f>SUM(R133:U133)</f>
        <v>0</v>
      </c>
      <c r="W133" s="715"/>
      <c r="X133" s="715"/>
      <c r="Y133" s="715"/>
      <c r="Z133" s="715"/>
      <c r="AA133" s="726">
        <f>SUM(W133:Z133)</f>
        <v>0</v>
      </c>
      <c r="AB133" s="715"/>
      <c r="AC133" s="715"/>
      <c r="AD133" s="715"/>
      <c r="AE133" s="715"/>
      <c r="AF133" s="726"/>
      <c r="AG133" s="715"/>
      <c r="AH133" s="715"/>
      <c r="AI133" s="715"/>
      <c r="AJ133" s="715"/>
      <c r="AK133" s="726"/>
    </row>
    <row r="134" spans="1:37" s="470" customFormat="1" ht="12.75" hidden="1" customHeight="1" outlineLevel="1">
      <c r="A134" s="548"/>
      <c r="B134" s="862"/>
      <c r="C134" s="766"/>
      <c r="D134" s="724"/>
      <c r="E134" s="724"/>
      <c r="F134" s="724"/>
      <c r="G134" s="725"/>
      <c r="H134" s="715"/>
      <c r="I134" s="715"/>
      <c r="J134" s="715"/>
      <c r="K134" s="715"/>
      <c r="L134" s="713"/>
      <c r="M134" s="715"/>
      <c r="N134" s="715"/>
      <c r="O134" s="715"/>
      <c r="P134" s="712"/>
      <c r="Q134" s="726"/>
      <c r="R134" s="715"/>
      <c r="S134" s="715"/>
      <c r="T134" s="715"/>
      <c r="U134" s="715"/>
      <c r="V134" s="726"/>
      <c r="W134" s="715"/>
      <c r="X134" s="715"/>
      <c r="Y134" s="715"/>
      <c r="Z134" s="715"/>
      <c r="AA134" s="726"/>
      <c r="AB134" s="715"/>
      <c r="AC134" s="715"/>
      <c r="AD134" s="715"/>
      <c r="AE134" s="715"/>
      <c r="AF134" s="726"/>
      <c r="AG134" s="715"/>
      <c r="AH134" s="715"/>
      <c r="AI134" s="715"/>
      <c r="AJ134" s="715"/>
      <c r="AK134" s="726"/>
    </row>
    <row r="135" spans="1:37" s="600" customFormat="1" ht="12.75" hidden="1" customHeight="1" outlineLevel="1">
      <c r="A135" s="548"/>
      <c r="B135" s="864" t="s">
        <v>342</v>
      </c>
      <c r="C135" s="767"/>
      <c r="D135" s="604"/>
      <c r="E135" s="604"/>
      <c r="F135" s="604"/>
      <c r="G135" s="554"/>
      <c r="H135" s="727"/>
      <c r="I135" s="728"/>
      <c r="J135" s="728"/>
      <c r="K135" s="604"/>
      <c r="L135" s="554"/>
      <c r="M135" s="727"/>
      <c r="N135" s="728"/>
      <c r="O135" s="728"/>
      <c r="P135" s="728"/>
      <c r="Q135" s="554"/>
      <c r="R135" s="728">
        <f>AVERAGE(Q131:R131)*($E$205)/4</f>
        <v>0</v>
      </c>
      <c r="S135" s="728">
        <f>AVERAGE(R131:S131)*($E$125)/4</f>
        <v>0</v>
      </c>
      <c r="T135" s="728">
        <f>AVERAGE(S131:T131)*($E$131)/4</f>
        <v>19.6875</v>
      </c>
      <c r="U135" s="728">
        <f>AVERAGE(T131:U131)*($E$131)/4</f>
        <v>39.375</v>
      </c>
      <c r="V135" s="554">
        <f>SUM(R135:U135)</f>
        <v>59.0625</v>
      </c>
      <c r="W135" s="728">
        <f>AVERAGE(V131:W131)*($E$131)/4</f>
        <v>39.375</v>
      </c>
      <c r="X135" s="728">
        <f>AVERAGE(W131:X131)*($E$131)/4</f>
        <v>39.375</v>
      </c>
      <c r="Y135" s="728">
        <f>AVERAGE(X131:Y131)*($E$131)/4</f>
        <v>39.375</v>
      </c>
      <c r="Z135" s="728">
        <f>AVERAGE(Y131:Z131)*($E$131)/4</f>
        <v>39.375</v>
      </c>
      <c r="AA135" s="554">
        <f>SUM(W135:Z135)</f>
        <v>157.5</v>
      </c>
      <c r="AB135" s="728">
        <f>AVERAGE(AA131:AB131)*($E$131)/4</f>
        <v>39.375</v>
      </c>
      <c r="AC135" s="728">
        <f>AVERAGE(AB131:AC131)*($E$131)/4</f>
        <v>39.375</v>
      </c>
      <c r="AD135" s="728">
        <f>AVERAGE(AC131:AD131)*($E$131)/4</f>
        <v>39.375</v>
      </c>
      <c r="AE135" s="728">
        <f>AVERAGE(AD131:AE131)*($E$131)/4</f>
        <v>39.375</v>
      </c>
      <c r="AF135" s="554">
        <f>SUM(AB135:AE135)</f>
        <v>157.5</v>
      </c>
      <c r="AG135" s="728">
        <f>AVERAGE(AF131:AG131)*($E$131)/4</f>
        <v>39.375</v>
      </c>
      <c r="AH135" s="728">
        <f>AVERAGE(AG131:AH131)*($E$131)/4</f>
        <v>39.375</v>
      </c>
      <c r="AI135" s="728">
        <f>AVERAGE(AH131:AI131)*($E$131)/4</f>
        <v>39.375</v>
      </c>
      <c r="AJ135" s="728">
        <f>AVERAGE(AI131:AJ131)*($E$131)/4</f>
        <v>39.375</v>
      </c>
      <c r="AK135" s="554">
        <f>SUM(AG135:AJ135)</f>
        <v>157.5</v>
      </c>
    </row>
    <row r="136" spans="1:37" s="269" customFormat="1" ht="12.75" customHeight="1" collapsed="1">
      <c r="A136" s="416"/>
      <c r="B136" s="866"/>
      <c r="C136" s="655"/>
      <c r="D136" s="290"/>
      <c r="E136" s="290"/>
      <c r="F136" s="290"/>
      <c r="G136" s="254"/>
      <c r="H136" s="655"/>
      <c r="I136" s="608"/>
      <c r="J136" s="608"/>
      <c r="K136" s="290"/>
      <c r="L136" s="254"/>
      <c r="M136" s="655"/>
      <c r="N136" s="608"/>
      <c r="O136" s="608"/>
      <c r="P136" s="608"/>
      <c r="Q136" s="254"/>
      <c r="R136" s="780"/>
      <c r="S136" s="1067"/>
      <c r="T136" s="1067"/>
      <c r="U136" s="1067"/>
      <c r="V136" s="1068"/>
      <c r="W136" s="1067"/>
      <c r="X136" s="1067"/>
      <c r="Y136" s="1067"/>
      <c r="Z136" s="1067"/>
      <c r="AA136" s="1068"/>
      <c r="AB136" s="655"/>
      <c r="AC136" s="608"/>
      <c r="AD136" s="608"/>
      <c r="AE136" s="608"/>
      <c r="AF136" s="254"/>
      <c r="AG136" s="655"/>
      <c r="AH136" s="608"/>
      <c r="AI136" s="608"/>
      <c r="AJ136" s="608"/>
      <c r="AK136" s="254"/>
    </row>
    <row r="137" spans="1:37" s="470" customFormat="1" ht="12.75" customHeight="1">
      <c r="A137" s="416"/>
      <c r="B137" s="950" t="s">
        <v>704</v>
      </c>
      <c r="C137" s="1354">
        <v>1000</v>
      </c>
      <c r="D137" s="1355" t="s">
        <v>336</v>
      </c>
      <c r="E137" s="1356">
        <v>6.25E-2</v>
      </c>
      <c r="F137" s="1356" t="s">
        <v>337</v>
      </c>
      <c r="G137" s="661"/>
      <c r="H137" s="698"/>
      <c r="I137" s="698"/>
      <c r="J137" s="698"/>
      <c r="K137" s="698">
        <v>0</v>
      </c>
      <c r="L137" s="494">
        <f>K137</f>
        <v>0</v>
      </c>
      <c r="M137" s="698">
        <v>17.800999999999998</v>
      </c>
      <c r="N137" s="698">
        <v>635.24300000000005</v>
      </c>
      <c r="O137" s="698">
        <v>1053.0129999999999</v>
      </c>
      <c r="P137" s="698">
        <v>1177.1579999999999</v>
      </c>
      <c r="Q137" s="564">
        <f>P137</f>
        <v>1177.1579999999999</v>
      </c>
      <c r="R137" s="698">
        <v>1225.201</v>
      </c>
      <c r="S137" s="698">
        <v>1728.3879999999999</v>
      </c>
      <c r="T137" s="698">
        <v>1185.7090000000001</v>
      </c>
      <c r="U137" s="493">
        <f>T137+U138+U142</f>
        <v>2501.4380000000001</v>
      </c>
      <c r="V137" s="564">
        <f>U137</f>
        <v>2501.4380000000001</v>
      </c>
      <c r="W137" s="493">
        <f>V137+W138+W142</f>
        <v>2774.7239599999998</v>
      </c>
      <c r="X137" s="493">
        <f>W137+X138+X142</f>
        <v>2937.5364233999999</v>
      </c>
      <c r="Y137" s="493">
        <f>X137+Y138+Y142</f>
        <v>3085.5514631770002</v>
      </c>
      <c r="Z137" s="493">
        <f>Y137+Z138+Z142</f>
        <v>3129.6473461228402</v>
      </c>
      <c r="AA137" s="564">
        <f>Z137</f>
        <v>3129.6473461228402</v>
      </c>
      <c r="AB137" s="493">
        <f>AA137+AB138+AB142</f>
        <v>3373.8569899717845</v>
      </c>
      <c r="AC137" s="493">
        <f>AB137+AC138+AC142</f>
        <v>3643.1084388207291</v>
      </c>
      <c r="AD137" s="493">
        <f>AC137+AD138+AD142</f>
        <v>3912.3598876696738</v>
      </c>
      <c r="AE137" s="493">
        <f>AD137+AE138+AE142</f>
        <v>4181.6113365186184</v>
      </c>
      <c r="AF137" s="564">
        <f>AE137</f>
        <v>4181.6113365186184</v>
      </c>
      <c r="AG137" s="493">
        <f>AF137+AG138+AG142</f>
        <v>4278.6442212319434</v>
      </c>
      <c r="AH137" s="493">
        <f>AG137+AH138+AH142</f>
        <v>4398.2189109452684</v>
      </c>
      <c r="AI137" s="493">
        <f>AH137+AI138+AI142</f>
        <v>4517.7936006585933</v>
      </c>
      <c r="AJ137" s="493">
        <f>AI137+AJ138+AJ142</f>
        <v>4637.3682903719182</v>
      </c>
      <c r="AK137" s="564">
        <f>AJ137</f>
        <v>4637.3682903719182</v>
      </c>
    </row>
    <row r="138" spans="1:37" s="470" customFormat="1" ht="12.75" hidden="1" customHeight="1" outlineLevel="1">
      <c r="A138" s="548"/>
      <c r="B138" s="862" t="s">
        <v>354</v>
      </c>
      <c r="C138" s="724"/>
      <c r="D138" s="724"/>
      <c r="E138" s="724"/>
      <c r="F138" s="724"/>
      <c r="G138" s="725"/>
      <c r="H138" s="715"/>
      <c r="I138" s="715"/>
      <c r="J138" s="715"/>
      <c r="K138" s="715"/>
      <c r="L138" s="713"/>
      <c r="M138" s="715">
        <v>5.2119999999999997</v>
      </c>
      <c r="N138" s="715">
        <f>N137-M137</f>
        <v>617.44200000000001</v>
      </c>
      <c r="O138" s="715">
        <v>431.447</v>
      </c>
      <c r="P138" s="715">
        <v>314.665938640018</v>
      </c>
      <c r="Q138" s="726">
        <f>Q137-L137</f>
        <v>1177.1579999999999</v>
      </c>
      <c r="R138" s="781">
        <f>R137-Q137</f>
        <v>48.04300000000012</v>
      </c>
      <c r="S138" s="712">
        <f>S137-R137</f>
        <v>503.1869999999999</v>
      </c>
      <c r="T138" s="712">
        <f>T137-S137</f>
        <v>-542.67899999999986</v>
      </c>
      <c r="U138" s="715">
        <v>1801.4749999999999</v>
      </c>
      <c r="V138" s="726">
        <f>SUM(R138:U138)</f>
        <v>1810.0260000000001</v>
      </c>
      <c r="W138" s="715">
        <v>473.40100000000001</v>
      </c>
      <c r="X138" s="715">
        <v>398.66399999999999</v>
      </c>
      <c r="Y138" s="715">
        <v>427.08100000000002</v>
      </c>
      <c r="Z138" s="715">
        <v>290.94</v>
      </c>
      <c r="AA138" s="726">
        <f>SUM(W138:Z138)</f>
        <v>1590.0860000000002</v>
      </c>
      <c r="AB138" s="712">
        <f>AB139*AB140</f>
        <v>525.87790500000006</v>
      </c>
      <c r="AC138" s="712">
        <f>AC139*AC140</f>
        <v>550.91971000000012</v>
      </c>
      <c r="AD138" s="712">
        <f>AD139*AD140</f>
        <v>550.91971000000012</v>
      </c>
      <c r="AE138" s="712">
        <f>AE139*AE140</f>
        <v>550.91971000000012</v>
      </c>
      <c r="AF138" s="726">
        <f>SUM(AB138:AE138)</f>
        <v>2178.6370350000007</v>
      </c>
      <c r="AG138" s="712">
        <f>AG139*AG140</f>
        <v>473.37790500000006</v>
      </c>
      <c r="AH138" s="712">
        <f>AH139*AH140</f>
        <v>495.91971000000007</v>
      </c>
      <c r="AI138" s="712">
        <f>AI139*AI140</f>
        <v>495.91971000000007</v>
      </c>
      <c r="AJ138" s="712">
        <f>AJ139*AJ140</f>
        <v>495.91971000000007</v>
      </c>
      <c r="AK138" s="726">
        <f>SUM(AG138:AJ138)</f>
        <v>1961.1370350000004</v>
      </c>
    </row>
    <row r="139" spans="1:37" s="470" customFormat="1" ht="12.75" hidden="1" customHeight="1" outlineLevel="1">
      <c r="A139" s="548"/>
      <c r="B139" s="1021" t="s">
        <v>511</v>
      </c>
      <c r="C139" s="724"/>
      <c r="D139" s="724"/>
      <c r="E139" s="724"/>
      <c r="F139" s="724"/>
      <c r="G139" s="725"/>
      <c r="H139" s="715"/>
      <c r="I139" s="715"/>
      <c r="J139" s="715"/>
      <c r="K139" s="715"/>
      <c r="L139" s="713"/>
      <c r="M139" s="715"/>
      <c r="N139" s="715"/>
      <c r="O139" s="715"/>
      <c r="P139" s="716">
        <f>'Revenue and CapEx Build'!P52</f>
        <v>2340.018</v>
      </c>
      <c r="Q139" s="717">
        <f>'Revenue and CapEx Build'!Q52</f>
        <v>8119.4499173498598</v>
      </c>
      <c r="R139" s="716">
        <f>'Revenue and CapEx Build'!R52</f>
        <v>483.10399999999998</v>
      </c>
      <c r="S139" s="716">
        <f>'Revenue and CapEx Build'!S52</f>
        <v>2359.4749999999995</v>
      </c>
      <c r="T139" s="716">
        <f>'Revenue and CapEx Build'!T52</f>
        <v>382.36100000000056</v>
      </c>
      <c r="U139" s="1416">
        <f>'Revenue and CapEx Build'!U52</f>
        <v>4758.3610000000008</v>
      </c>
      <c r="V139" s="717">
        <f>'Revenue and CapEx Build'!V52</f>
        <v>7983.3010000000004</v>
      </c>
      <c r="W139" s="716">
        <f>'Revenue and CapEx Build'!W52</f>
        <v>10758.361000000001</v>
      </c>
      <c r="X139" s="716">
        <f>'Revenue and CapEx Build'!X52</f>
        <v>4758.3610000000008</v>
      </c>
      <c r="Y139" s="716">
        <f>'Revenue and CapEx Build'!Y52</f>
        <v>3008.3610000000008</v>
      </c>
      <c r="Z139" s="716">
        <f>'Revenue and CapEx Build'!Z52</f>
        <v>3008.3610000000008</v>
      </c>
      <c r="AA139" s="717">
        <f>'Revenue and CapEx Build'!AA52</f>
        <v>21533.444000000003</v>
      </c>
      <c r="AB139" s="716">
        <f>'Revenue and CapEx Build'!AB52</f>
        <v>5008.3610000000008</v>
      </c>
      <c r="AC139" s="716">
        <f>'Revenue and CapEx Build'!AC52</f>
        <v>5008.3610000000008</v>
      </c>
      <c r="AD139" s="716">
        <f>'Revenue and CapEx Build'!AD52</f>
        <v>5008.3610000000008</v>
      </c>
      <c r="AE139" s="716">
        <f>'Revenue and CapEx Build'!AE52</f>
        <v>5008.3610000000008</v>
      </c>
      <c r="AF139" s="717">
        <f>'Revenue and CapEx Build'!AF52</f>
        <v>20033.444000000003</v>
      </c>
      <c r="AG139" s="716">
        <f>'Revenue and CapEx Build'!AG52</f>
        <v>4508.3610000000008</v>
      </c>
      <c r="AH139" s="716">
        <f>'Revenue and CapEx Build'!AH52</f>
        <v>4508.3610000000008</v>
      </c>
      <c r="AI139" s="716">
        <f>'Revenue and CapEx Build'!AI52</f>
        <v>4508.3610000000008</v>
      </c>
      <c r="AJ139" s="716">
        <f>'Revenue and CapEx Build'!AJ52</f>
        <v>4508.3610000000008</v>
      </c>
      <c r="AK139" s="717">
        <f>'Revenue and CapEx Build'!AK52</f>
        <v>18033.444000000003</v>
      </c>
    </row>
    <row r="140" spans="1:37" s="811" customFormat="1" ht="12.75" hidden="1" customHeight="1" outlineLevel="1">
      <c r="A140" s="1101"/>
      <c r="B140" s="866" t="s">
        <v>510</v>
      </c>
      <c r="C140" s="1017"/>
      <c r="D140" s="1018"/>
      <c r="E140" s="1018"/>
      <c r="F140" s="1018"/>
      <c r="G140" s="867"/>
      <c r="H140" s="1017"/>
      <c r="I140" s="1014"/>
      <c r="J140" s="1014"/>
      <c r="K140" s="1018"/>
      <c r="L140" s="867"/>
      <c r="M140" s="1017"/>
      <c r="N140" s="1014"/>
      <c r="O140" s="1014"/>
      <c r="P140" s="1014">
        <f>P138/P139</f>
        <v>0.13447158895359693</v>
      </c>
      <c r="Q140" s="867"/>
      <c r="R140" s="1017">
        <f>R138/R139</f>
        <v>9.9446495992581554E-2</v>
      </c>
      <c r="S140" s="1017">
        <f>S138/S139</f>
        <v>0.21326227232753051</v>
      </c>
      <c r="T140" s="1017">
        <f>T138/T139</f>
        <v>-1.4192843935443182</v>
      </c>
      <c r="U140" s="1017">
        <f>U138/U139</f>
        <v>0.37859149400392272</v>
      </c>
      <c r="V140" s="867"/>
      <c r="W140" s="1017">
        <f>W138/W139</f>
        <v>4.4003078164043759E-2</v>
      </c>
      <c r="X140" s="1017">
        <f>X138/X139</f>
        <v>8.3781789569980072E-2</v>
      </c>
      <c r="Y140" s="1017">
        <f>Y138/Y139</f>
        <v>0.14196467777637056</v>
      </c>
      <c r="Z140" s="1017">
        <f>Z138/Z139</f>
        <v>9.6710467925890511E-2</v>
      </c>
      <c r="AA140" s="867"/>
      <c r="AB140" s="1019">
        <v>0.105</v>
      </c>
      <c r="AC140" s="1019">
        <v>0.11</v>
      </c>
      <c r="AD140" s="1019">
        <v>0.11</v>
      </c>
      <c r="AE140" s="1019">
        <v>0.11</v>
      </c>
      <c r="AF140" s="867"/>
      <c r="AG140" s="1019">
        <v>0.105</v>
      </c>
      <c r="AH140" s="1019">
        <v>0.11</v>
      </c>
      <c r="AI140" s="1019">
        <v>0.11</v>
      </c>
      <c r="AJ140" s="1019">
        <v>0.11</v>
      </c>
      <c r="AK140" s="867"/>
    </row>
    <row r="141" spans="1:37" s="811" customFormat="1" ht="12.75" hidden="1" customHeight="1" outlineLevel="1">
      <c r="A141" s="1101"/>
      <c r="B141" s="865"/>
      <c r="C141" s="1017"/>
      <c r="D141" s="1018"/>
      <c r="E141" s="1018"/>
      <c r="F141" s="1018"/>
      <c r="G141" s="867"/>
      <c r="H141" s="1017"/>
      <c r="I141" s="1014"/>
      <c r="J141" s="1014"/>
      <c r="K141" s="1018"/>
      <c r="L141" s="867"/>
      <c r="M141" s="1017"/>
      <c r="N141" s="1014"/>
      <c r="O141" s="868"/>
      <c r="P141" s="1014"/>
      <c r="Q141" s="867"/>
      <c r="R141" s="1019"/>
      <c r="S141" s="1019"/>
      <c r="T141" s="1019"/>
      <c r="U141" s="1019"/>
      <c r="V141" s="867"/>
      <c r="W141" s="1019"/>
      <c r="X141" s="1019"/>
      <c r="Y141" s="1019"/>
      <c r="Z141" s="1019"/>
      <c r="AA141" s="867"/>
      <c r="AB141" s="1019"/>
      <c r="AC141" s="1019"/>
      <c r="AD141" s="1019"/>
      <c r="AE141" s="1019"/>
      <c r="AF141" s="867"/>
      <c r="AG141" s="1019"/>
      <c r="AH141" s="1019"/>
      <c r="AI141" s="1019"/>
      <c r="AJ141" s="1019"/>
      <c r="AK141" s="867"/>
    </row>
    <row r="142" spans="1:37" s="470" customFormat="1" ht="12.75" hidden="1" customHeight="1" outlineLevel="1">
      <c r="A142" s="548"/>
      <c r="B142" s="862" t="s">
        <v>448</v>
      </c>
      <c r="C142" s="724"/>
      <c r="D142" s="724"/>
      <c r="E142" s="724"/>
      <c r="F142" s="724"/>
      <c r="G142" s="725"/>
      <c r="H142" s="715"/>
      <c r="I142" s="715"/>
      <c r="J142" s="715"/>
      <c r="K142" s="715"/>
      <c r="L142" s="713"/>
      <c r="M142" s="715"/>
      <c r="N142" s="715"/>
      <c r="O142" s="715"/>
      <c r="P142" s="712"/>
      <c r="Q142" s="726">
        <f>SUM(M142:P142)</f>
        <v>0</v>
      </c>
      <c r="R142" s="715">
        <v>-147.059</v>
      </c>
      <c r="S142" s="715">
        <v>-240.20099999999999</v>
      </c>
      <c r="T142" s="715">
        <v>-344.59199999999998</v>
      </c>
      <c r="U142" s="715">
        <v>-485.74599999999998</v>
      </c>
      <c r="V142" s="726">
        <f>SUM(R142:U142)</f>
        <v>-1217.598</v>
      </c>
      <c r="W142" s="712">
        <f>V137*W143</f>
        <v>-200.11504000000002</v>
      </c>
      <c r="X142" s="712">
        <f>W137*X143</f>
        <v>-235.8515366</v>
      </c>
      <c r="Y142" s="712">
        <f>X137*Y143</f>
        <v>-279.06596022299999</v>
      </c>
      <c r="Z142" s="712">
        <f>Y137*Z143</f>
        <v>-246.84411705416002</v>
      </c>
      <c r="AA142" s="726">
        <f>SUM(W142:Z142)</f>
        <v>-961.87665387716015</v>
      </c>
      <c r="AB142" s="712">
        <f>AA137*AB143</f>
        <v>-281.66826115105562</v>
      </c>
      <c r="AC142" s="712">
        <f t="shared" ref="AC142:AE143" si="36">AB142</f>
        <v>-281.66826115105562</v>
      </c>
      <c r="AD142" s="712">
        <f t="shared" si="36"/>
        <v>-281.66826115105562</v>
      </c>
      <c r="AE142" s="712">
        <f t="shared" si="36"/>
        <v>-281.66826115105562</v>
      </c>
      <c r="AF142" s="726">
        <f>SUM(AB142:AE142)</f>
        <v>-1126.6730446042225</v>
      </c>
      <c r="AG142" s="712">
        <f>AF137*AG143</f>
        <v>-376.34502028667566</v>
      </c>
      <c r="AH142" s="712">
        <f t="shared" ref="AH142:AJ143" si="37">AG142</f>
        <v>-376.34502028667566</v>
      </c>
      <c r="AI142" s="712">
        <f t="shared" si="37"/>
        <v>-376.34502028667566</v>
      </c>
      <c r="AJ142" s="712">
        <f t="shared" si="37"/>
        <v>-376.34502028667566</v>
      </c>
      <c r="AK142" s="726">
        <f>SUM(AG142:AJ142)</f>
        <v>-1505.3800811467027</v>
      </c>
    </row>
    <row r="143" spans="1:37" s="600" customFormat="1" ht="12.75" hidden="1" customHeight="1" outlineLevel="1">
      <c r="A143" s="548"/>
      <c r="B143" s="1059" t="s">
        <v>522</v>
      </c>
      <c r="C143" s="729"/>
      <c r="D143" s="729"/>
      <c r="E143" s="729"/>
      <c r="F143" s="729"/>
      <c r="G143" s="713"/>
      <c r="H143" s="712"/>
      <c r="I143" s="712"/>
      <c r="J143" s="712"/>
      <c r="K143" s="712"/>
      <c r="L143" s="713"/>
      <c r="M143" s="712"/>
      <c r="N143" s="712"/>
      <c r="O143" s="712"/>
      <c r="P143" s="712"/>
      <c r="Q143" s="713"/>
      <c r="R143" s="1052">
        <f>R142/Q137</f>
        <v>-0.12492715506329652</v>
      </c>
      <c r="S143" s="1052">
        <f>S142/R137</f>
        <v>-0.19605028072944766</v>
      </c>
      <c r="T143" s="1052">
        <f>T142/S137</f>
        <v>-0.1993719002909069</v>
      </c>
      <c r="U143" s="1052">
        <f>U142/T137</f>
        <v>-0.40966712743177286</v>
      </c>
      <c r="V143" s="713"/>
      <c r="W143" s="1058">
        <v>-0.08</v>
      </c>
      <c r="X143" s="1058">
        <v>-8.5000000000000006E-2</v>
      </c>
      <c r="Y143" s="1058">
        <v>-9.5000000000000001E-2</v>
      </c>
      <c r="Z143" s="1058">
        <v>-0.08</v>
      </c>
      <c r="AA143" s="725"/>
      <c r="AB143" s="1058">
        <v>-0.09</v>
      </c>
      <c r="AC143" s="1058">
        <f t="shared" si="36"/>
        <v>-0.09</v>
      </c>
      <c r="AD143" s="1058">
        <f t="shared" si="36"/>
        <v>-0.09</v>
      </c>
      <c r="AE143" s="1058">
        <f t="shared" si="36"/>
        <v>-0.09</v>
      </c>
      <c r="AF143" s="713"/>
      <c r="AG143" s="1058">
        <v>-0.09</v>
      </c>
      <c r="AH143" s="1058">
        <f t="shared" si="37"/>
        <v>-0.09</v>
      </c>
      <c r="AI143" s="1058">
        <f t="shared" si="37"/>
        <v>-0.09</v>
      </c>
      <c r="AJ143" s="1058">
        <f t="shared" si="37"/>
        <v>-0.09</v>
      </c>
      <c r="AK143" s="713"/>
    </row>
    <row r="144" spans="1:37" s="470" customFormat="1" ht="12.75" hidden="1" customHeight="1" outlineLevel="1">
      <c r="A144" s="548"/>
      <c r="B144" s="862"/>
      <c r="C144" s="724"/>
      <c r="D144" s="724"/>
      <c r="E144" s="724"/>
      <c r="F144" s="724"/>
      <c r="G144" s="725"/>
      <c r="H144" s="715"/>
      <c r="I144" s="715"/>
      <c r="J144" s="715"/>
      <c r="K144" s="715"/>
      <c r="L144" s="713"/>
      <c r="M144" s="715"/>
      <c r="N144" s="715"/>
      <c r="O144" s="715"/>
      <c r="P144" s="712"/>
      <c r="Q144" s="726"/>
      <c r="R144" s="1058"/>
      <c r="S144" s="1058"/>
      <c r="T144" s="1058"/>
      <c r="U144" s="1058"/>
      <c r="V144" s="726"/>
      <c r="W144" s="1058"/>
      <c r="X144" s="1058"/>
      <c r="Y144" s="1058"/>
      <c r="Z144" s="1058"/>
      <c r="AA144" s="726"/>
      <c r="AB144" s="715"/>
      <c r="AC144" s="715"/>
      <c r="AD144" s="715"/>
      <c r="AE144" s="715"/>
      <c r="AF144" s="726"/>
      <c r="AG144" s="715"/>
      <c r="AH144" s="715"/>
      <c r="AI144" s="715"/>
      <c r="AJ144" s="715"/>
      <c r="AK144" s="726"/>
    </row>
    <row r="145" spans="1:37" s="600" customFormat="1" ht="12.75" hidden="1" customHeight="1" outlineLevel="1">
      <c r="A145" s="548"/>
      <c r="B145" s="864" t="s">
        <v>342</v>
      </c>
      <c r="C145" s="727"/>
      <c r="D145" s="604"/>
      <c r="E145" s="604"/>
      <c r="F145" s="604"/>
      <c r="G145" s="554"/>
      <c r="H145" s="727"/>
      <c r="I145" s="728"/>
      <c r="J145" s="728"/>
      <c r="K145" s="604"/>
      <c r="L145" s="554"/>
      <c r="M145" s="727"/>
      <c r="N145" s="728"/>
      <c r="O145" s="587">
        <f>37-N145-M145</f>
        <v>37</v>
      </c>
      <c r="P145" s="728">
        <f>AVERAGE(O137:P137)*(P$146)/4</f>
        <v>25.646966499999998</v>
      </c>
      <c r="Q145" s="554">
        <f>SUM(M145:P145)</f>
        <v>62.646966499999998</v>
      </c>
      <c r="R145" s="728">
        <f>AVERAGE(Q137:R137)*(R$146)/4</f>
        <v>27.927423375</v>
      </c>
      <c r="S145" s="728">
        <f>AVERAGE(R137:S137)*(S$146)/4</f>
        <v>32.858677624999999</v>
      </c>
      <c r="T145" s="728">
        <f>AVERAGE(S137:T137)*(T$146)/4</f>
        <v>31.690804874999994</v>
      </c>
      <c r="U145" s="728">
        <f>AVERAGE(T137:U137)*(U$146)/4</f>
        <v>39.636830249999996</v>
      </c>
      <c r="V145" s="554">
        <f>SUM(R145:U145)</f>
        <v>132.113736125</v>
      </c>
      <c r="W145" s="728">
        <f>AVERAGE(V137:W137)*(W$146)/4</f>
        <v>56.059220824999997</v>
      </c>
      <c r="X145" s="728">
        <f>AVERAGE(W137:X137)*(X$146)/4</f>
        <v>60.692766573625008</v>
      </c>
      <c r="Y145" s="728">
        <f>AVERAGE(X137:Y137)*(Y$146)/4</f>
        <v>63.995308794880629</v>
      </c>
      <c r="Z145" s="728">
        <f>AVERAGE(Y137:Z137)*(Z$146)/4</f>
        <v>65.259587497648326</v>
      </c>
      <c r="AA145" s="554">
        <f>SUM(W145:Z145)</f>
        <v>246.00688369115397</v>
      </c>
      <c r="AB145" s="728">
        <f>AVERAGE(AA137:AB137)*(AB$146)/4</f>
        <v>69.099733571005387</v>
      </c>
      <c r="AC145" s="728">
        <f>AVERAGE(AB137:AC137)*(AC$146)/4</f>
        <v>74.555257680920462</v>
      </c>
      <c r="AD145" s="728">
        <f>AVERAGE(AC137:AD137)*(AD$146)/4</f>
        <v>80.276850968960545</v>
      </c>
      <c r="AE145" s="728">
        <f>AVERAGE(AD137:AE137)*(AE$146)/4</f>
        <v>85.9984442570006</v>
      </c>
      <c r="AF145" s="554">
        <f>SUM(AB145:AE145)</f>
        <v>309.93028647788697</v>
      </c>
      <c r="AG145" s="728">
        <f>AVERAGE(AF137:AG137)*(AG$146)/4</f>
        <v>89.89021530109973</v>
      </c>
      <c r="AH145" s="728">
        <f>AVERAGE(AG137:AH137)*(AH$146)/4</f>
        <v>92.191670779382889</v>
      </c>
      <c r="AI145" s="728">
        <f>AVERAGE(AH137:AI137)*(AI$146)/4</f>
        <v>94.732632935791031</v>
      </c>
      <c r="AJ145" s="728">
        <f>AVERAGE(AI137:AJ137)*(AJ$146)/4</f>
        <v>97.273595092199187</v>
      </c>
      <c r="AK145" s="554">
        <f>SUM(AG145:AJ145)</f>
        <v>374.08811410847278</v>
      </c>
    </row>
    <row r="146" spans="1:37" s="600" customFormat="1" ht="12.75" hidden="1" customHeight="1" outlineLevel="1">
      <c r="A146" s="548"/>
      <c r="B146" s="865" t="s">
        <v>538</v>
      </c>
      <c r="C146" s="767"/>
      <c r="D146" s="604"/>
      <c r="E146" s="604"/>
      <c r="F146" s="604"/>
      <c r="G146" s="554"/>
      <c r="H146" s="727"/>
      <c r="I146" s="728"/>
      <c r="J146" s="728"/>
      <c r="K146" s="604"/>
      <c r="L146" s="554"/>
      <c r="M146" s="727"/>
      <c r="N146" s="728"/>
      <c r="O146" s="728"/>
      <c r="P146" s="868">
        <v>9.1999999999999998E-2</v>
      </c>
      <c r="Q146" s="867">
        <f>P146</f>
        <v>9.1999999999999998E-2</v>
      </c>
      <c r="R146" s="868">
        <v>9.2999999999999999E-2</v>
      </c>
      <c r="S146" s="868">
        <v>8.8999999999999996E-2</v>
      </c>
      <c r="T146" s="868">
        <v>8.6999999999999994E-2</v>
      </c>
      <c r="U146" s="868">
        <v>8.5999999999999993E-2</v>
      </c>
      <c r="V146" s="867">
        <f>V145/AVERAGE(V137,Q137)</f>
        <v>7.1828347622299379E-2</v>
      </c>
      <c r="W146" s="868">
        <v>8.5000000000000006E-2</v>
      </c>
      <c r="X146" s="868">
        <f>W146</f>
        <v>8.5000000000000006E-2</v>
      </c>
      <c r="Y146" s="868">
        <f>X146</f>
        <v>8.5000000000000006E-2</v>
      </c>
      <c r="Z146" s="868">
        <f>Y146-0.1%</f>
        <v>8.4000000000000005E-2</v>
      </c>
      <c r="AA146" s="867">
        <f>AA145/AVERAGE(AA137,V137)</f>
        <v>8.7374588936229361E-2</v>
      </c>
      <c r="AB146" s="868">
        <v>8.5000000000000006E-2</v>
      </c>
      <c r="AC146" s="868">
        <f>AB146</f>
        <v>8.5000000000000006E-2</v>
      </c>
      <c r="AD146" s="868">
        <f>AC146</f>
        <v>8.5000000000000006E-2</v>
      </c>
      <c r="AE146" s="868">
        <f>AD146</f>
        <v>8.5000000000000006E-2</v>
      </c>
      <c r="AF146" s="867">
        <f>AF145/AVERAGE(AF137,AA137)</f>
        <v>8.4781649762640687E-2</v>
      </c>
      <c r="AG146" s="868">
        <v>8.5000000000000006E-2</v>
      </c>
      <c r="AH146" s="868">
        <f>AG146</f>
        <v>8.5000000000000006E-2</v>
      </c>
      <c r="AI146" s="868">
        <f>AH146</f>
        <v>8.5000000000000006E-2</v>
      </c>
      <c r="AJ146" s="868">
        <f>AI146</f>
        <v>8.5000000000000006E-2</v>
      </c>
      <c r="AK146" s="867">
        <f>AK145/AVERAGE(AK137,AF137)</f>
        <v>8.483705143570483E-2</v>
      </c>
    </row>
    <row r="147" spans="1:37" s="600" customFormat="1" ht="12.75" hidden="1" customHeight="1" outlineLevel="1">
      <c r="A147" s="548"/>
      <c r="B147" s="864"/>
      <c r="C147" s="727"/>
      <c r="D147" s="604"/>
      <c r="E147" s="604"/>
      <c r="F147" s="604"/>
      <c r="G147" s="554"/>
      <c r="H147" s="727"/>
      <c r="I147" s="728"/>
      <c r="J147" s="728"/>
      <c r="K147" s="604"/>
      <c r="L147" s="554"/>
      <c r="M147" s="727"/>
      <c r="N147" s="728"/>
      <c r="O147" s="587"/>
      <c r="P147" s="1013"/>
      <c r="Q147" s="554"/>
      <c r="R147" s="1013"/>
      <c r="S147" s="1013"/>
      <c r="T147" s="1013"/>
      <c r="U147" s="1013"/>
      <c r="V147" s="1016"/>
      <c r="W147" s="1015"/>
      <c r="X147" s="1013"/>
      <c r="Y147" s="1013"/>
      <c r="Z147" s="1013"/>
      <c r="AA147" s="1016"/>
      <c r="AB147" s="1015"/>
      <c r="AC147" s="1013"/>
      <c r="AD147" s="1013"/>
      <c r="AE147" s="1013"/>
      <c r="AF147" s="554"/>
      <c r="AG147" s="1015"/>
      <c r="AH147" s="1013"/>
      <c r="AI147" s="1013"/>
      <c r="AJ147" s="1013"/>
      <c r="AK147" s="554"/>
    </row>
    <row r="148" spans="1:37" s="600" customFormat="1" ht="12.75" customHeight="1" collapsed="1">
      <c r="A148" s="548"/>
      <c r="B148" s="864"/>
      <c r="C148" s="727"/>
      <c r="D148" s="604"/>
      <c r="E148" s="604"/>
      <c r="F148" s="604"/>
      <c r="G148" s="554"/>
      <c r="H148" s="727"/>
      <c r="I148" s="728"/>
      <c r="J148" s="728"/>
      <c r="K148" s="604"/>
      <c r="L148" s="554"/>
      <c r="M148" s="727"/>
      <c r="N148" s="728"/>
      <c r="O148" s="587"/>
      <c r="P148" s="587"/>
      <c r="Q148" s="554"/>
      <c r="R148" s="727"/>
      <c r="S148" s="728"/>
      <c r="T148" s="728"/>
      <c r="U148" s="728"/>
      <c r="V148" s="554"/>
      <c r="W148" s="727"/>
      <c r="X148" s="728"/>
      <c r="Y148" s="728"/>
      <c r="Z148" s="728"/>
      <c r="AA148" s="554"/>
      <c r="AB148" s="727"/>
      <c r="AC148" s="728"/>
      <c r="AD148" s="728"/>
      <c r="AE148" s="728"/>
      <c r="AF148" s="554"/>
      <c r="AG148" s="727"/>
      <c r="AH148" s="728"/>
      <c r="AI148" s="728"/>
      <c r="AJ148" s="728"/>
      <c r="AK148" s="554"/>
    </row>
    <row r="149" spans="1:37" s="470" customFormat="1" ht="12.75" customHeight="1">
      <c r="A149" s="416"/>
      <c r="B149" s="950" t="s">
        <v>703</v>
      </c>
      <c r="C149" s="1354">
        <v>1500</v>
      </c>
      <c r="D149" s="1355" t="s">
        <v>336</v>
      </c>
      <c r="E149" s="1356">
        <v>1.7500000000000002E-2</v>
      </c>
      <c r="F149" s="1356"/>
      <c r="G149" s="661"/>
      <c r="H149" s="698"/>
      <c r="I149" s="698"/>
      <c r="J149" s="698"/>
      <c r="K149" s="698">
        <v>0</v>
      </c>
      <c r="L149" s="494">
        <f>K149</f>
        <v>0</v>
      </c>
      <c r="M149" s="698">
        <v>0</v>
      </c>
      <c r="N149" s="698">
        <v>0</v>
      </c>
      <c r="O149" s="698">
        <v>0</v>
      </c>
      <c r="P149" s="698">
        <v>0</v>
      </c>
      <c r="Q149" s="564">
        <f>P149</f>
        <v>0</v>
      </c>
      <c r="R149" s="698">
        <v>50</v>
      </c>
      <c r="S149" s="698">
        <v>450</v>
      </c>
      <c r="T149" s="698">
        <v>700</v>
      </c>
      <c r="U149" s="493">
        <f t="shared" ref="U149:AE149" si="38">T149+U150+U151</f>
        <v>0</v>
      </c>
      <c r="V149" s="564">
        <f>U149</f>
        <v>0</v>
      </c>
      <c r="W149" s="493">
        <f t="shared" si="38"/>
        <v>0</v>
      </c>
      <c r="X149" s="493">
        <f t="shared" si="38"/>
        <v>0</v>
      </c>
      <c r="Y149" s="493">
        <f t="shared" si="38"/>
        <v>0</v>
      </c>
      <c r="Z149" s="493">
        <f t="shared" si="38"/>
        <v>0</v>
      </c>
      <c r="AA149" s="564">
        <f>Z149</f>
        <v>0</v>
      </c>
      <c r="AB149" s="493">
        <f t="shared" si="38"/>
        <v>0</v>
      </c>
      <c r="AC149" s="493">
        <f t="shared" si="38"/>
        <v>0</v>
      </c>
      <c r="AD149" s="493">
        <f t="shared" si="38"/>
        <v>0</v>
      </c>
      <c r="AE149" s="493">
        <f t="shared" si="38"/>
        <v>0</v>
      </c>
      <c r="AF149" s="564">
        <f>AE149</f>
        <v>0</v>
      </c>
      <c r="AG149" s="493">
        <f>AF149+AG150+AG151</f>
        <v>0</v>
      </c>
      <c r="AH149" s="493">
        <f>AG149+AH150+AH151</f>
        <v>0</v>
      </c>
      <c r="AI149" s="493">
        <f>AH149+AI150+AI151</f>
        <v>0</v>
      </c>
      <c r="AJ149" s="493">
        <f>AI149+AJ150+AJ151</f>
        <v>0</v>
      </c>
      <c r="AK149" s="564">
        <f>AJ149</f>
        <v>0</v>
      </c>
    </row>
    <row r="150" spans="1:37" s="470" customFormat="1" ht="12.75" hidden="1" customHeight="1" outlineLevel="1">
      <c r="A150" s="548"/>
      <c r="B150" s="862" t="s">
        <v>449</v>
      </c>
      <c r="C150" s="766"/>
      <c r="D150" s="724"/>
      <c r="E150" s="724"/>
      <c r="F150" s="724"/>
      <c r="G150" s="725"/>
      <c r="H150" s="715"/>
      <c r="I150" s="715"/>
      <c r="J150" s="715"/>
      <c r="K150" s="715"/>
      <c r="L150" s="713"/>
      <c r="M150" s="715"/>
      <c r="N150" s="715"/>
      <c r="O150" s="715"/>
      <c r="P150" s="712"/>
      <c r="Q150" s="726">
        <f>Q149-L149</f>
        <v>0</v>
      </c>
      <c r="R150" s="781">
        <f>R149-Q149</f>
        <v>50</v>
      </c>
      <c r="S150" s="781">
        <f>S149-R149</f>
        <v>400</v>
      </c>
      <c r="T150" s="712">
        <f>T149-S149</f>
        <v>250</v>
      </c>
      <c r="U150" s="715">
        <v>0</v>
      </c>
      <c r="V150" s="726">
        <f>SUM(R150:U150)</f>
        <v>700</v>
      </c>
      <c r="W150" s="715">
        <f>U150</f>
        <v>0</v>
      </c>
      <c r="X150" s="712">
        <f t="shared" ref="X150:Z151" si="39">W150</f>
        <v>0</v>
      </c>
      <c r="Y150" s="712">
        <f t="shared" si="39"/>
        <v>0</v>
      </c>
      <c r="Z150" s="712">
        <f t="shared" si="39"/>
        <v>0</v>
      </c>
      <c r="AA150" s="726">
        <f>SUM(W150:Z150)</f>
        <v>0</v>
      </c>
      <c r="AB150" s="715">
        <f>Z150</f>
        <v>0</v>
      </c>
      <c r="AC150" s="712">
        <f t="shared" ref="AC150:AE151" si="40">AB150</f>
        <v>0</v>
      </c>
      <c r="AD150" s="712">
        <f t="shared" si="40"/>
        <v>0</v>
      </c>
      <c r="AE150" s="712">
        <f t="shared" si="40"/>
        <v>0</v>
      </c>
      <c r="AF150" s="726">
        <f>SUM(AB150:AE150)</f>
        <v>0</v>
      </c>
      <c r="AG150" s="715">
        <f>AE150</f>
        <v>0</v>
      </c>
      <c r="AH150" s="712">
        <f t="shared" ref="AH150:AJ151" si="41">AG150</f>
        <v>0</v>
      </c>
      <c r="AI150" s="712">
        <f t="shared" si="41"/>
        <v>0</v>
      </c>
      <c r="AJ150" s="712">
        <f t="shared" si="41"/>
        <v>0</v>
      </c>
      <c r="AK150" s="726">
        <f>SUM(AG150:AJ150)</f>
        <v>0</v>
      </c>
    </row>
    <row r="151" spans="1:37" s="470" customFormat="1" ht="12.75" hidden="1" customHeight="1" outlineLevel="1">
      <c r="A151" s="548"/>
      <c r="B151" s="862" t="s">
        <v>448</v>
      </c>
      <c r="C151" s="766"/>
      <c r="D151" s="724"/>
      <c r="E151" s="724"/>
      <c r="F151" s="724"/>
      <c r="G151" s="725"/>
      <c r="H151" s="715"/>
      <c r="I151" s="715"/>
      <c r="J151" s="715"/>
      <c r="K151" s="715"/>
      <c r="L151" s="713"/>
      <c r="M151" s="715"/>
      <c r="N151" s="715"/>
      <c r="O151" s="715"/>
      <c r="P151" s="712"/>
      <c r="Q151" s="726">
        <f>SUM(M151:P151)</f>
        <v>0</v>
      </c>
      <c r="R151" s="715">
        <v>0</v>
      </c>
      <c r="S151" s="715"/>
      <c r="T151" s="715"/>
      <c r="U151" s="715">
        <v>-700</v>
      </c>
      <c r="V151" s="726">
        <f>SUM(R151:U151)</f>
        <v>-700</v>
      </c>
      <c r="W151" s="715">
        <v>0</v>
      </c>
      <c r="X151" s="715">
        <f t="shared" si="39"/>
        <v>0</v>
      </c>
      <c r="Y151" s="715">
        <f t="shared" si="39"/>
        <v>0</v>
      </c>
      <c r="Z151" s="715">
        <f t="shared" si="39"/>
        <v>0</v>
      </c>
      <c r="AA151" s="726">
        <f>SUM(W151:Z151)</f>
        <v>0</v>
      </c>
      <c r="AB151" s="715">
        <f>Z151</f>
        <v>0</v>
      </c>
      <c r="AC151" s="715">
        <f t="shared" si="40"/>
        <v>0</v>
      </c>
      <c r="AD151" s="715">
        <f t="shared" si="40"/>
        <v>0</v>
      </c>
      <c r="AE151" s="715">
        <f t="shared" si="40"/>
        <v>0</v>
      </c>
      <c r="AF151" s="726">
        <f>SUM(AB151:AE151)</f>
        <v>0</v>
      </c>
      <c r="AG151" s="715">
        <f>AE151</f>
        <v>0</v>
      </c>
      <c r="AH151" s="715">
        <f t="shared" si="41"/>
        <v>0</v>
      </c>
      <c r="AI151" s="715">
        <f t="shared" si="41"/>
        <v>0</v>
      </c>
      <c r="AJ151" s="715">
        <f t="shared" si="41"/>
        <v>0</v>
      </c>
      <c r="AK151" s="726">
        <f>SUM(AG151:AJ151)</f>
        <v>0</v>
      </c>
    </row>
    <row r="152" spans="1:37" s="470" customFormat="1" ht="12.75" hidden="1" customHeight="1" outlineLevel="1">
      <c r="A152" s="548"/>
      <c r="B152" s="862"/>
      <c r="C152" s="766"/>
      <c r="D152" s="724"/>
      <c r="E152" s="724"/>
      <c r="F152" s="724"/>
      <c r="G152" s="725"/>
      <c r="H152" s="715"/>
      <c r="I152" s="715"/>
      <c r="J152" s="715"/>
      <c r="K152" s="715"/>
      <c r="L152" s="713"/>
      <c r="M152" s="715"/>
      <c r="N152" s="715"/>
      <c r="O152" s="715"/>
      <c r="P152" s="712"/>
      <c r="Q152" s="726"/>
      <c r="R152" s="715"/>
      <c r="S152" s="715"/>
      <c r="T152" s="715"/>
      <c r="U152" s="715"/>
      <c r="V152" s="726"/>
      <c r="W152" s="715"/>
      <c r="X152" s="712"/>
      <c r="Y152" s="712"/>
      <c r="Z152" s="712"/>
      <c r="AA152" s="726"/>
      <c r="AB152" s="715"/>
      <c r="AC152" s="712"/>
      <c r="AD152" s="712"/>
      <c r="AE152" s="712"/>
      <c r="AF152" s="726"/>
      <c r="AG152" s="715"/>
      <c r="AH152" s="712"/>
      <c r="AI152" s="712"/>
      <c r="AJ152" s="712"/>
      <c r="AK152" s="726"/>
    </row>
    <row r="153" spans="1:37" s="600" customFormat="1" ht="12.75" hidden="1" customHeight="1" outlineLevel="1">
      <c r="A153" s="548"/>
      <c r="B153" s="864" t="s">
        <v>342</v>
      </c>
      <c r="C153" s="767"/>
      <c r="D153" s="604"/>
      <c r="E153" s="604"/>
      <c r="F153" s="604"/>
      <c r="G153" s="554"/>
      <c r="H153" s="727"/>
      <c r="I153" s="728"/>
      <c r="J153" s="728"/>
      <c r="K153" s="604"/>
      <c r="L153" s="554"/>
      <c r="M153" s="727"/>
      <c r="N153" s="728"/>
      <c r="O153" s="728"/>
      <c r="P153" s="728">
        <f>AVERAGE(O149:P149)*($E$89+P$62)/4</f>
        <v>0</v>
      </c>
      <c r="Q153" s="554">
        <f>SUM(M153:P153)</f>
        <v>0</v>
      </c>
      <c r="R153" s="728">
        <f>AVERAGE(Q149:R149)*($E$149+R$62)/4</f>
        <v>0.38124999999999998</v>
      </c>
      <c r="S153" s="728">
        <f>AVERAGE(R149:S149)*($E$149+S$62)/4</f>
        <v>3.8062500000000004</v>
      </c>
      <c r="T153" s="728">
        <f>AVERAGE(S149:T149)*($E$149+T$62)/4</f>
        <v>8.6968750000000004</v>
      </c>
      <c r="U153" s="728">
        <f>AVERAGE(T149:U149)*($E$149+U$62)/4</f>
        <v>5.03125</v>
      </c>
      <c r="V153" s="554">
        <f>SUM(R153:U153)</f>
        <v>17.915624999999999</v>
      </c>
      <c r="W153" s="728">
        <f>AVERAGE(V149:W149)*($E$149+W$62)/4</f>
        <v>0</v>
      </c>
      <c r="X153" s="728">
        <f>AVERAGE(W149:X149)*($E$149+X$62)/4</f>
        <v>0</v>
      </c>
      <c r="Y153" s="728">
        <f>AVERAGE(X149:Y149)*($E$149+Y$62)/4</f>
        <v>0</v>
      </c>
      <c r="Z153" s="728">
        <f>AVERAGE(Y149:Z149)*($E$149+Z$62)/4</f>
        <v>0</v>
      </c>
      <c r="AA153" s="554">
        <f>SUM(W153:Z153)</f>
        <v>0</v>
      </c>
      <c r="AB153" s="728">
        <f>AVERAGE(AA149:AB149)*($E$149+AB$62)/4</f>
        <v>0</v>
      </c>
      <c r="AC153" s="728">
        <f>AVERAGE(AB149:AC149)*($E$149+AC$62)/4</f>
        <v>0</v>
      </c>
      <c r="AD153" s="728">
        <f>AVERAGE(AC149:AD149)*($E$149+AD$62)/4</f>
        <v>0</v>
      </c>
      <c r="AE153" s="728">
        <f>AVERAGE(AD149:AE149)*($E$149+AE$62)/4</f>
        <v>0</v>
      </c>
      <c r="AF153" s="554">
        <f>SUM(AB153:AE153)</f>
        <v>0</v>
      </c>
      <c r="AG153" s="728">
        <f>AVERAGE(AF149:AG149)*($E$149+AG$62)/4</f>
        <v>0</v>
      </c>
      <c r="AH153" s="728">
        <f>AVERAGE(AG149:AH149)*($E$149+AH$62)/4</f>
        <v>0</v>
      </c>
      <c r="AI153" s="728">
        <f>AVERAGE(AH149:AI149)*($E$149+AI$62)/4</f>
        <v>0</v>
      </c>
      <c r="AJ153" s="728">
        <f>AVERAGE(AI149:AJ149)*($E$149+AJ$62)/4</f>
        <v>0</v>
      </c>
      <c r="AK153" s="554">
        <f>SUM(AG153:AJ153)</f>
        <v>0</v>
      </c>
    </row>
    <row r="154" spans="1:37" s="600" customFormat="1" ht="12.75" hidden="1" customHeight="1" outlineLevel="1">
      <c r="A154" s="548"/>
      <c r="B154" s="864"/>
      <c r="C154" s="767"/>
      <c r="D154" s="604"/>
      <c r="E154" s="604"/>
      <c r="F154" s="604"/>
      <c r="G154" s="554"/>
      <c r="H154" s="727"/>
      <c r="I154" s="728"/>
      <c r="J154" s="728"/>
      <c r="K154" s="604"/>
      <c r="L154" s="554"/>
      <c r="M154" s="727"/>
      <c r="N154" s="728"/>
      <c r="O154" s="728"/>
      <c r="P154" s="728"/>
      <c r="Q154" s="554"/>
      <c r="R154" s="728"/>
      <c r="S154" s="728"/>
      <c r="T154" s="728"/>
      <c r="U154" s="728"/>
      <c r="V154" s="554"/>
      <c r="W154" s="728"/>
      <c r="X154" s="728"/>
      <c r="Y154" s="728"/>
      <c r="Z154" s="728"/>
      <c r="AA154" s="554"/>
      <c r="AB154" s="728"/>
      <c r="AC154" s="728"/>
      <c r="AD154" s="728"/>
      <c r="AE154" s="728"/>
      <c r="AF154" s="554"/>
      <c r="AG154" s="728"/>
      <c r="AH154" s="728"/>
      <c r="AI154" s="728"/>
      <c r="AJ154" s="728"/>
      <c r="AK154" s="554"/>
    </row>
    <row r="155" spans="1:37" s="600" customFormat="1" ht="12.75" hidden="1" customHeight="1" outlineLevel="1">
      <c r="A155" s="548"/>
      <c r="B155" s="864" t="s">
        <v>609</v>
      </c>
      <c r="C155" s="767"/>
      <c r="D155" s="604"/>
      <c r="E155" s="604"/>
      <c r="F155" s="604"/>
      <c r="G155" s="554"/>
      <c r="H155" s="727"/>
      <c r="I155" s="728"/>
      <c r="J155" s="728"/>
      <c r="K155" s="604"/>
      <c r="L155" s="554"/>
      <c r="M155" s="727"/>
      <c r="N155" s="728"/>
      <c r="O155" s="728"/>
      <c r="P155" s="728"/>
      <c r="Q155" s="554"/>
      <c r="R155" s="728">
        <f>R157*R156/4</f>
        <v>0.36812499999999998</v>
      </c>
      <c r="S155" s="728">
        <f>S157*S156/4</f>
        <v>0.36812499999999998</v>
      </c>
      <c r="T155" s="728">
        <f>T157*T156/4</f>
        <v>0.36812499999999998</v>
      </c>
      <c r="U155" s="728">
        <f>U157*U156/4</f>
        <v>0.36812499999999998</v>
      </c>
      <c r="V155" s="554">
        <f>SUM(R155:U155)</f>
        <v>1.4724999999999999</v>
      </c>
      <c r="W155" s="728">
        <f>W157*W156/4</f>
        <v>0.36812499999999998</v>
      </c>
      <c r="X155" s="728">
        <f>X157*X156/4</f>
        <v>0.36812499999999998</v>
      </c>
      <c r="Y155" s="728">
        <f>Y157*Y156/4</f>
        <v>0.36812499999999998</v>
      </c>
      <c r="Z155" s="728">
        <f>Z157*Z156/4</f>
        <v>0.36812499999999998</v>
      </c>
      <c r="AA155" s="554">
        <f>SUM(W155:Z155)</f>
        <v>1.4724999999999999</v>
      </c>
      <c r="AB155" s="728">
        <f>AB157*AB156/4</f>
        <v>0.36812499999999998</v>
      </c>
      <c r="AC155" s="728">
        <f>AC157*AC156/4</f>
        <v>0.36812499999999998</v>
      </c>
      <c r="AD155" s="728">
        <f>AD157*AD156/4</f>
        <v>0.36812499999999998</v>
      </c>
      <c r="AE155" s="728">
        <f>AE157*AE156/4</f>
        <v>0.36812499999999998</v>
      </c>
      <c r="AF155" s="554">
        <f>SUM(AB155:AE155)</f>
        <v>1.4724999999999999</v>
      </c>
      <c r="AG155" s="728">
        <f>AG157*AG156/4</f>
        <v>0.36812499999999998</v>
      </c>
      <c r="AH155" s="728">
        <f>AH157*AH156/4</f>
        <v>0.36812499999999998</v>
      </c>
      <c r="AI155" s="728">
        <f>AI157*AI156/4</f>
        <v>0.36812499999999998</v>
      </c>
      <c r="AJ155" s="728">
        <f>AJ157*AJ156/4</f>
        <v>0.36812499999999998</v>
      </c>
      <c r="AK155" s="554">
        <f>SUM(AG155:AJ155)</f>
        <v>1.4724999999999999</v>
      </c>
    </row>
    <row r="156" spans="1:37" s="1213" customFormat="1" ht="12.75" hidden="1" customHeight="1" outlineLevel="1">
      <c r="A156" s="1349"/>
      <c r="B156" s="865" t="s">
        <v>610</v>
      </c>
      <c r="C156" s="1211"/>
      <c r="D156" s="1205"/>
      <c r="E156" s="1205"/>
      <c r="F156" s="1205"/>
      <c r="G156" s="1206"/>
      <c r="H156" s="1015"/>
      <c r="I156" s="1013"/>
      <c r="J156" s="1013"/>
      <c r="K156" s="853"/>
      <c r="L156" s="1206"/>
      <c r="M156" s="853"/>
      <c r="N156" s="853"/>
      <c r="O156" s="853"/>
      <c r="P156" s="853"/>
      <c r="Q156" s="1206"/>
      <c r="R156" s="853">
        <v>2.5000000000000001E-3</v>
      </c>
      <c r="S156" s="1212">
        <f t="shared" ref="S156:U157" si="42">R156</f>
        <v>2.5000000000000001E-3</v>
      </c>
      <c r="T156" s="1212">
        <f t="shared" si="42"/>
        <v>2.5000000000000001E-3</v>
      </c>
      <c r="U156" s="1212">
        <f t="shared" si="42"/>
        <v>2.5000000000000001E-3</v>
      </c>
      <c r="V156" s="1206"/>
      <c r="W156" s="853">
        <f>U156</f>
        <v>2.5000000000000001E-3</v>
      </c>
      <c r="X156" s="1212">
        <f t="shared" ref="X156:Z157" si="43">W156</f>
        <v>2.5000000000000001E-3</v>
      </c>
      <c r="Y156" s="1212">
        <f t="shared" si="43"/>
        <v>2.5000000000000001E-3</v>
      </c>
      <c r="Z156" s="1212">
        <f t="shared" si="43"/>
        <v>2.5000000000000001E-3</v>
      </c>
      <c r="AA156" s="1206"/>
      <c r="AB156" s="853">
        <f>Z156</f>
        <v>2.5000000000000001E-3</v>
      </c>
      <c r="AC156" s="1212">
        <f t="shared" ref="AC156:AE157" si="44">AB156</f>
        <v>2.5000000000000001E-3</v>
      </c>
      <c r="AD156" s="1212">
        <f t="shared" si="44"/>
        <v>2.5000000000000001E-3</v>
      </c>
      <c r="AE156" s="1212">
        <f t="shared" si="44"/>
        <v>2.5000000000000001E-3</v>
      </c>
      <c r="AF156" s="1206"/>
      <c r="AG156" s="853">
        <f>AE156</f>
        <v>2.5000000000000001E-3</v>
      </c>
      <c r="AH156" s="1212">
        <f t="shared" ref="AH156:AJ157" si="45">AG156</f>
        <v>2.5000000000000001E-3</v>
      </c>
      <c r="AI156" s="1212">
        <f t="shared" si="45"/>
        <v>2.5000000000000001E-3</v>
      </c>
      <c r="AJ156" s="1212">
        <f t="shared" si="45"/>
        <v>2.5000000000000001E-3</v>
      </c>
      <c r="AK156" s="1206"/>
    </row>
    <row r="157" spans="1:37" s="600" customFormat="1" ht="12.75" hidden="1" customHeight="1" outlineLevel="1">
      <c r="A157" s="548"/>
      <c r="B157" s="865" t="s">
        <v>611</v>
      </c>
      <c r="C157" s="767"/>
      <c r="D157" s="604"/>
      <c r="E157" s="604"/>
      <c r="F157" s="604"/>
      <c r="G157" s="554"/>
      <c r="H157" s="727"/>
      <c r="I157" s="728"/>
      <c r="J157" s="728"/>
      <c r="K157" s="604"/>
      <c r="L157" s="554"/>
      <c r="M157" s="727"/>
      <c r="N157" s="728"/>
      <c r="O157" s="728"/>
      <c r="P157" s="728"/>
      <c r="Q157" s="554"/>
      <c r="R157" s="587">
        <v>589</v>
      </c>
      <c r="S157" s="587">
        <f t="shared" si="42"/>
        <v>589</v>
      </c>
      <c r="T157" s="587">
        <f t="shared" si="42"/>
        <v>589</v>
      </c>
      <c r="U157" s="587">
        <f t="shared" si="42"/>
        <v>589</v>
      </c>
      <c r="V157" s="732"/>
      <c r="W157" s="587">
        <f>U157</f>
        <v>589</v>
      </c>
      <c r="X157" s="587">
        <f t="shared" si="43"/>
        <v>589</v>
      </c>
      <c r="Y157" s="587">
        <f t="shared" si="43"/>
        <v>589</v>
      </c>
      <c r="Z157" s="587">
        <f t="shared" si="43"/>
        <v>589</v>
      </c>
      <c r="AA157" s="732"/>
      <c r="AB157" s="587">
        <f>Z157</f>
        <v>589</v>
      </c>
      <c r="AC157" s="587">
        <f t="shared" si="44"/>
        <v>589</v>
      </c>
      <c r="AD157" s="587">
        <f t="shared" si="44"/>
        <v>589</v>
      </c>
      <c r="AE157" s="587">
        <f t="shared" si="44"/>
        <v>589</v>
      </c>
      <c r="AF157" s="732"/>
      <c r="AG157" s="587">
        <f>AE157</f>
        <v>589</v>
      </c>
      <c r="AH157" s="587">
        <f t="shared" si="45"/>
        <v>589</v>
      </c>
      <c r="AI157" s="587">
        <f t="shared" si="45"/>
        <v>589</v>
      </c>
      <c r="AJ157" s="587">
        <f t="shared" si="45"/>
        <v>589</v>
      </c>
      <c r="AK157" s="732"/>
    </row>
    <row r="158" spans="1:37" s="600" customFormat="1" ht="12.75" hidden="1" customHeight="1" outlineLevel="1">
      <c r="A158" s="548"/>
      <c r="B158" s="864"/>
      <c r="C158" s="767"/>
      <c r="D158" s="604"/>
      <c r="E158" s="604"/>
      <c r="F158" s="604"/>
      <c r="G158" s="554"/>
      <c r="H158" s="727"/>
      <c r="I158" s="728"/>
      <c r="J158" s="728"/>
      <c r="K158" s="604"/>
      <c r="L158" s="554"/>
      <c r="M158" s="727"/>
      <c r="N158" s="728"/>
      <c r="O158" s="728"/>
      <c r="P158" s="728"/>
      <c r="Q158" s="554"/>
      <c r="R158" s="728"/>
      <c r="S158" s="728"/>
      <c r="T158" s="728"/>
      <c r="U158" s="728"/>
      <c r="V158" s="554"/>
      <c r="W158" s="728"/>
      <c r="X158" s="728"/>
      <c r="Y158" s="728"/>
      <c r="Z158" s="728"/>
      <c r="AA158" s="554"/>
      <c r="AB158" s="728"/>
      <c r="AC158" s="728"/>
      <c r="AD158" s="728"/>
      <c r="AE158" s="728"/>
      <c r="AF158" s="554"/>
      <c r="AG158" s="728"/>
      <c r="AH158" s="728"/>
      <c r="AI158" s="728"/>
      <c r="AJ158" s="728"/>
      <c r="AK158" s="554"/>
    </row>
    <row r="159" spans="1:37" ht="12.75" customHeight="1" collapsed="1">
      <c r="B159" s="866"/>
      <c r="C159" s="770"/>
      <c r="D159" s="102"/>
      <c r="E159" s="102"/>
      <c r="F159" s="102"/>
      <c r="G159" s="255"/>
      <c r="H159" s="616"/>
      <c r="I159" s="291"/>
      <c r="J159" s="291"/>
      <c r="K159" s="102"/>
      <c r="L159" s="255"/>
      <c r="M159" s="616"/>
      <c r="N159" s="291"/>
      <c r="O159" s="291"/>
      <c r="P159" s="291"/>
      <c r="Q159" s="255"/>
      <c r="R159" s="616"/>
      <c r="S159" s="291"/>
      <c r="T159" s="291"/>
      <c r="U159" s="291"/>
      <c r="V159" s="255"/>
      <c r="W159" s="616"/>
      <c r="X159" s="291"/>
      <c r="Y159" s="291"/>
      <c r="Z159" s="291"/>
      <c r="AA159" s="255"/>
      <c r="AB159" s="616"/>
      <c r="AC159" s="291"/>
      <c r="AD159" s="291"/>
      <c r="AE159" s="291"/>
      <c r="AF159" s="255"/>
      <c r="AG159" s="616"/>
      <c r="AH159" s="291"/>
      <c r="AI159" s="291"/>
      <c r="AJ159" s="291"/>
      <c r="AK159" s="255"/>
    </row>
    <row r="160" spans="1:37" s="470" customFormat="1" ht="12.75" customHeight="1">
      <c r="A160" s="416"/>
      <c r="B160" s="950" t="s">
        <v>605</v>
      </c>
      <c r="C160" s="1354">
        <v>1000</v>
      </c>
      <c r="D160" s="1355" t="s">
        <v>336</v>
      </c>
      <c r="E160" s="1356">
        <v>0.12</v>
      </c>
      <c r="F160" s="1356"/>
      <c r="G160" s="661"/>
      <c r="H160" s="698"/>
      <c r="I160" s="698"/>
      <c r="J160" s="698"/>
      <c r="K160" s="698">
        <v>0</v>
      </c>
      <c r="L160" s="494">
        <f>K160</f>
        <v>0</v>
      </c>
      <c r="M160" s="698">
        <v>0</v>
      </c>
      <c r="N160" s="698">
        <v>0</v>
      </c>
      <c r="O160" s="698">
        <v>0</v>
      </c>
      <c r="P160" s="698">
        <v>0</v>
      </c>
      <c r="Q160" s="564">
        <f>P160</f>
        <v>0</v>
      </c>
      <c r="R160" s="698">
        <v>248.917</v>
      </c>
      <c r="S160" s="698">
        <v>256.63</v>
      </c>
      <c r="T160" s="698">
        <v>264.666</v>
      </c>
      <c r="U160" s="493">
        <f>T160+U161+U162</f>
        <v>272.702</v>
      </c>
      <c r="V160" s="564">
        <f>U160</f>
        <v>272.702</v>
      </c>
      <c r="W160" s="493">
        <f>V160+W161+W162</f>
        <v>272.702</v>
      </c>
      <c r="X160" s="493">
        <f>W160+X161+X162</f>
        <v>272.702</v>
      </c>
      <c r="Y160" s="493">
        <f>X160+Y161+Y162</f>
        <v>272.702</v>
      </c>
      <c r="Z160" s="493">
        <f>Y160+Z161+Z162</f>
        <v>272.702</v>
      </c>
      <c r="AA160" s="564">
        <f>Z160</f>
        <v>272.702</v>
      </c>
      <c r="AB160" s="493">
        <f>AA160+AB161+AB162</f>
        <v>272.702</v>
      </c>
      <c r="AC160" s="493">
        <f>AB160+AC161+AC162</f>
        <v>272.702</v>
      </c>
      <c r="AD160" s="493">
        <f>AC160+AD161+AD162</f>
        <v>272.702</v>
      </c>
      <c r="AE160" s="493">
        <f>AD160+AE161+AE162</f>
        <v>272.702</v>
      </c>
      <c r="AF160" s="564">
        <f>AE160</f>
        <v>272.702</v>
      </c>
      <c r="AG160" s="493">
        <f>AF160+AG161+AG162</f>
        <v>272.702</v>
      </c>
      <c r="AH160" s="493">
        <f>AG160+AH161+AH162</f>
        <v>272.702</v>
      </c>
      <c r="AI160" s="493">
        <f>AH160+AI161+AI162</f>
        <v>272.702</v>
      </c>
      <c r="AJ160" s="493">
        <f>AI160+AJ161+AJ162</f>
        <v>272.702</v>
      </c>
      <c r="AK160" s="564">
        <f>AJ160</f>
        <v>272.702</v>
      </c>
    </row>
    <row r="161" spans="1:37" s="470" customFormat="1" ht="12.75" hidden="1" customHeight="1" outlineLevel="1">
      <c r="A161" s="548"/>
      <c r="B161" s="862" t="s">
        <v>449</v>
      </c>
      <c r="C161" s="766"/>
      <c r="D161" s="724"/>
      <c r="E161" s="724"/>
      <c r="F161" s="724"/>
      <c r="G161" s="725"/>
      <c r="H161" s="715"/>
      <c r="I161" s="715"/>
      <c r="J161" s="715"/>
      <c r="K161" s="715"/>
      <c r="L161" s="713"/>
      <c r="M161" s="715"/>
      <c r="N161" s="715"/>
      <c r="O161" s="715"/>
      <c r="P161" s="715"/>
      <c r="Q161" s="726"/>
      <c r="R161" s="781">
        <f>R160-Q160</f>
        <v>248.917</v>
      </c>
      <c r="S161" s="781">
        <f>S160-R160</f>
        <v>7.7129999999999939</v>
      </c>
      <c r="T161" s="781">
        <f>T160-S160</f>
        <v>8.0360000000000014</v>
      </c>
      <c r="U161" s="715">
        <f>T161</f>
        <v>8.0360000000000014</v>
      </c>
      <c r="V161" s="726">
        <f>SUM(R161:U161)</f>
        <v>272.702</v>
      </c>
      <c r="W161" s="715">
        <v>0</v>
      </c>
      <c r="X161" s="715">
        <f>W161</f>
        <v>0</v>
      </c>
      <c r="Y161" s="715">
        <f>X161</f>
        <v>0</v>
      </c>
      <c r="Z161" s="715">
        <f>Y161</f>
        <v>0</v>
      </c>
      <c r="AA161" s="726">
        <f>SUM(W161:Z161)</f>
        <v>0</v>
      </c>
      <c r="AB161" s="715">
        <v>0</v>
      </c>
      <c r="AC161" s="715">
        <f>AB161</f>
        <v>0</v>
      </c>
      <c r="AD161" s="715">
        <f>AC161</f>
        <v>0</v>
      </c>
      <c r="AE161" s="715">
        <f>AD161</f>
        <v>0</v>
      </c>
      <c r="AF161" s="726">
        <f>SUM(AB161:AE161)</f>
        <v>0</v>
      </c>
      <c r="AG161" s="715">
        <v>0</v>
      </c>
      <c r="AH161" s="715">
        <f>AG161</f>
        <v>0</v>
      </c>
      <c r="AI161" s="715">
        <f>AH161</f>
        <v>0</v>
      </c>
      <c r="AJ161" s="715">
        <f>AI161</f>
        <v>0</v>
      </c>
      <c r="AK161" s="726">
        <f>SUM(AG161:AJ161)</f>
        <v>0</v>
      </c>
    </row>
    <row r="162" spans="1:37" s="470" customFormat="1" ht="12.75" hidden="1" customHeight="1" outlineLevel="1">
      <c r="A162" s="548"/>
      <c r="B162" s="862" t="s">
        <v>448</v>
      </c>
      <c r="C162" s="766"/>
      <c r="D162" s="724"/>
      <c r="E162" s="724"/>
      <c r="F162" s="724"/>
      <c r="G162" s="725"/>
      <c r="H162" s="715"/>
      <c r="I162" s="715"/>
      <c r="J162" s="715"/>
      <c r="K162" s="715"/>
      <c r="L162" s="713"/>
      <c r="M162" s="715"/>
      <c r="N162" s="715"/>
      <c r="O162" s="715"/>
      <c r="P162" s="712"/>
      <c r="Q162" s="726"/>
      <c r="R162" s="715"/>
      <c r="S162" s="897">
        <v>0</v>
      </c>
      <c r="T162" s="897">
        <v>0</v>
      </c>
      <c r="U162" s="715"/>
      <c r="V162" s="726">
        <f>SUM(R162:U162)</f>
        <v>0</v>
      </c>
      <c r="W162" s="715"/>
      <c r="X162" s="715"/>
      <c r="Y162" s="715"/>
      <c r="Z162" s="715"/>
      <c r="AA162" s="726">
        <f>SUM(W162:Z162)</f>
        <v>0</v>
      </c>
      <c r="AB162" s="715"/>
      <c r="AC162" s="715"/>
      <c r="AD162" s="715"/>
      <c r="AE162" s="715"/>
      <c r="AF162" s="726"/>
      <c r="AG162" s="715"/>
      <c r="AH162" s="715"/>
      <c r="AI162" s="715"/>
      <c r="AJ162" s="715"/>
      <c r="AK162" s="726"/>
    </row>
    <row r="163" spans="1:37" s="470" customFormat="1" ht="12.75" hidden="1" customHeight="1" outlineLevel="1">
      <c r="A163" s="548"/>
      <c r="B163" s="862"/>
      <c r="C163" s="766"/>
      <c r="D163" s="724"/>
      <c r="E163" s="724"/>
      <c r="F163" s="724"/>
      <c r="G163" s="725"/>
      <c r="H163" s="715"/>
      <c r="I163" s="715"/>
      <c r="J163" s="715"/>
      <c r="K163" s="715"/>
      <c r="L163" s="713"/>
      <c r="M163" s="715"/>
      <c r="N163" s="715"/>
      <c r="O163" s="715"/>
      <c r="P163" s="712"/>
      <c r="Q163" s="726"/>
      <c r="R163" s="715"/>
      <c r="S163" s="715"/>
      <c r="T163" s="715"/>
      <c r="U163" s="715"/>
      <c r="V163" s="726"/>
      <c r="W163" s="715"/>
      <c r="X163" s="715"/>
      <c r="Y163" s="715"/>
      <c r="Z163" s="715"/>
      <c r="AA163" s="726"/>
      <c r="AB163" s="715"/>
      <c r="AC163" s="715"/>
      <c r="AD163" s="715"/>
      <c r="AE163" s="715"/>
      <c r="AF163" s="726"/>
      <c r="AG163" s="715"/>
      <c r="AH163" s="715"/>
      <c r="AI163" s="715"/>
      <c r="AJ163" s="715"/>
      <c r="AK163" s="726"/>
    </row>
    <row r="164" spans="1:37" s="600" customFormat="1" ht="12.75" hidden="1" customHeight="1" outlineLevel="1">
      <c r="A164" s="548"/>
      <c r="B164" s="864" t="s">
        <v>612</v>
      </c>
      <c r="C164" s="767"/>
      <c r="D164" s="604"/>
      <c r="E164" s="604"/>
      <c r="F164" s="604"/>
      <c r="G164" s="554"/>
      <c r="H164" s="727"/>
      <c r="I164" s="728"/>
      <c r="J164" s="728"/>
      <c r="K164" s="604"/>
      <c r="L164" s="554"/>
      <c r="M164" s="727"/>
      <c r="N164" s="728"/>
      <c r="O164" s="728"/>
      <c r="P164" s="728"/>
      <c r="Q164" s="554"/>
      <c r="R164" s="587">
        <v>19</v>
      </c>
      <c r="S164" s="587">
        <v>27</v>
      </c>
      <c r="T164" s="587">
        <v>35</v>
      </c>
      <c r="U164" s="728">
        <f>T164+U165</f>
        <v>43.060519999999997</v>
      </c>
      <c r="V164" s="554">
        <f>U164</f>
        <v>43.060519999999997</v>
      </c>
      <c r="W164" s="728">
        <f>V164+W165</f>
        <v>51.241579999999999</v>
      </c>
      <c r="X164" s="728">
        <f>W164+X165</f>
        <v>59.422640000000001</v>
      </c>
      <c r="Y164" s="728">
        <f>X164+Y165</f>
        <v>67.603700000000003</v>
      </c>
      <c r="Z164" s="728">
        <f>Y164+Z165</f>
        <v>75.784760000000006</v>
      </c>
      <c r="AA164" s="554">
        <f>Z164</f>
        <v>75.784760000000006</v>
      </c>
      <c r="AB164" s="728">
        <f>AA164+AB165</f>
        <v>83.965820000000008</v>
      </c>
      <c r="AC164" s="728">
        <f>AB164+AC165</f>
        <v>92.14688000000001</v>
      </c>
      <c r="AD164" s="728">
        <f>AC164+AD165</f>
        <v>100.32794000000001</v>
      </c>
      <c r="AE164" s="728">
        <f>AD164+AE165</f>
        <v>108.50900000000001</v>
      </c>
      <c r="AF164" s="554">
        <f>AE164</f>
        <v>108.50900000000001</v>
      </c>
      <c r="AG164" s="728">
        <f>AF164+AG165</f>
        <v>116.69006000000002</v>
      </c>
      <c r="AH164" s="728">
        <f>AG164+AH165</f>
        <v>124.87112000000002</v>
      </c>
      <c r="AI164" s="728">
        <f>AH164+AI165</f>
        <v>133.05218000000002</v>
      </c>
      <c r="AJ164" s="728">
        <f>AI164+AJ165</f>
        <v>141.23324000000002</v>
      </c>
      <c r="AK164" s="554">
        <f>AJ164</f>
        <v>141.23324000000002</v>
      </c>
    </row>
    <row r="165" spans="1:37" s="600" customFormat="1" ht="12.75" hidden="1" customHeight="1" outlineLevel="1">
      <c r="A165" s="548"/>
      <c r="B165" s="864" t="s">
        <v>614</v>
      </c>
      <c r="C165" s="767"/>
      <c r="D165" s="604"/>
      <c r="E165" s="604"/>
      <c r="F165" s="604"/>
      <c r="G165" s="554"/>
      <c r="H165" s="727"/>
      <c r="I165" s="728"/>
      <c r="J165" s="728"/>
      <c r="K165" s="604"/>
      <c r="L165" s="554"/>
      <c r="M165" s="727"/>
      <c r="N165" s="728"/>
      <c r="O165" s="728"/>
      <c r="P165" s="728"/>
      <c r="Q165" s="554"/>
      <c r="R165" s="587">
        <f>AVERAGE(R160,Q160)*$E$160/4</f>
        <v>3.7337549999999999</v>
      </c>
      <c r="S165" s="587">
        <f>AVERAGE(S160,R160)*$E$160/4</f>
        <v>7.5832050000000004</v>
      </c>
      <c r="T165" s="587">
        <f>AVERAGE(T160,S160)*$E$160/4</f>
        <v>7.8194400000000002</v>
      </c>
      <c r="U165" s="587">
        <f>AVERAGE(U160,T160)*$E$160/4</f>
        <v>8.0605199999999986</v>
      </c>
      <c r="V165" s="554">
        <f>SUM(R165:U165)</f>
        <v>27.196919999999999</v>
      </c>
      <c r="W165" s="587">
        <f>AVERAGE(W160,V160)*$E$160/4</f>
        <v>8.1810600000000004</v>
      </c>
      <c r="X165" s="587">
        <f>AVERAGE(X160,W160)*$E$160/4</f>
        <v>8.1810600000000004</v>
      </c>
      <c r="Y165" s="587">
        <f>AVERAGE(Y160,X160)*$E$160/4</f>
        <v>8.1810600000000004</v>
      </c>
      <c r="Z165" s="587">
        <f>AVERAGE(Z160,Y160)*$E$160/4</f>
        <v>8.1810600000000004</v>
      </c>
      <c r="AA165" s="554">
        <f>SUM(W165:Z165)</f>
        <v>32.724240000000002</v>
      </c>
      <c r="AB165" s="587">
        <f>AVERAGE(AB160,AA160)*$E$160/4</f>
        <v>8.1810600000000004</v>
      </c>
      <c r="AC165" s="587">
        <f>AVERAGE(AC160,AB160)*$E$160/4</f>
        <v>8.1810600000000004</v>
      </c>
      <c r="AD165" s="587">
        <f>AVERAGE(AD160,AC160)*$E$160/4</f>
        <v>8.1810600000000004</v>
      </c>
      <c r="AE165" s="587">
        <f>AVERAGE(AE160,AD160)*$E$160/4</f>
        <v>8.1810600000000004</v>
      </c>
      <c r="AF165" s="554">
        <f>SUM(AB165:AE165)</f>
        <v>32.724240000000002</v>
      </c>
      <c r="AG165" s="587">
        <f>AVERAGE(AG160,AF160)*$E$160/4</f>
        <v>8.1810600000000004</v>
      </c>
      <c r="AH165" s="587">
        <f>AVERAGE(AH160,AG160)*$E$160/4</f>
        <v>8.1810600000000004</v>
      </c>
      <c r="AI165" s="587">
        <f>AVERAGE(AI160,AH160)*$E$160/4</f>
        <v>8.1810600000000004</v>
      </c>
      <c r="AJ165" s="587">
        <f>AVERAGE(AJ160,AI160)*$E$160/4</f>
        <v>8.1810600000000004</v>
      </c>
      <c r="AK165" s="554">
        <f>SUM(AG165:AJ165)</f>
        <v>32.724240000000002</v>
      </c>
    </row>
    <row r="166" spans="1:37" s="600" customFormat="1" ht="12.75" hidden="1" customHeight="1" outlineLevel="1">
      <c r="A166" s="548"/>
      <c r="B166" s="864" t="s">
        <v>613</v>
      </c>
      <c r="C166" s="767"/>
      <c r="D166" s="604"/>
      <c r="E166" s="604"/>
      <c r="F166" s="604"/>
      <c r="G166" s="554"/>
      <c r="H166" s="727"/>
      <c r="I166" s="728"/>
      <c r="J166" s="728"/>
      <c r="K166" s="604"/>
      <c r="L166" s="554"/>
      <c r="M166" s="727"/>
      <c r="N166" s="728"/>
      <c r="O166" s="728"/>
      <c r="P166" s="728"/>
      <c r="Q166" s="554"/>
      <c r="R166" s="728">
        <f>+R160-R164</f>
        <v>229.917</v>
      </c>
      <c r="S166" s="728">
        <f>+S160-S164</f>
        <v>229.63</v>
      </c>
      <c r="T166" s="728">
        <f>+T160-T164</f>
        <v>229.666</v>
      </c>
      <c r="U166" s="728">
        <f>+U160-U164</f>
        <v>229.64148</v>
      </c>
      <c r="V166" s="554">
        <f>U166</f>
        <v>229.64148</v>
      </c>
      <c r="W166" s="728">
        <f>+W160-W164</f>
        <v>221.46042</v>
      </c>
      <c r="X166" s="728">
        <f>+X160-X164</f>
        <v>213.27936</v>
      </c>
      <c r="Y166" s="728">
        <f>+Y160-Y164</f>
        <v>205.09829999999999</v>
      </c>
      <c r="Z166" s="728">
        <f>+Z160-Z164</f>
        <v>196.91723999999999</v>
      </c>
      <c r="AA166" s="554">
        <f>Z166</f>
        <v>196.91723999999999</v>
      </c>
      <c r="AB166" s="728">
        <f>+AB160-AB164</f>
        <v>188.73617999999999</v>
      </c>
      <c r="AC166" s="728">
        <f>+AC160-AC164</f>
        <v>180.55511999999999</v>
      </c>
      <c r="AD166" s="728">
        <f>+AD160-AD164</f>
        <v>172.37405999999999</v>
      </c>
      <c r="AE166" s="728">
        <f>+AE160-AE164</f>
        <v>164.19299999999998</v>
      </c>
      <c r="AF166" s="554">
        <f>AE166</f>
        <v>164.19299999999998</v>
      </c>
      <c r="AG166" s="728">
        <f>+AG160-AG164</f>
        <v>156.01193999999998</v>
      </c>
      <c r="AH166" s="728">
        <f>+AH160-AH164</f>
        <v>147.83087999999998</v>
      </c>
      <c r="AI166" s="728">
        <f>+AI160-AI164</f>
        <v>139.64981999999998</v>
      </c>
      <c r="AJ166" s="728">
        <f>+AJ160-AJ164</f>
        <v>131.46875999999997</v>
      </c>
      <c r="AK166" s="554">
        <f>AJ166</f>
        <v>131.46875999999997</v>
      </c>
    </row>
    <row r="167" spans="1:37" s="269" customFormat="1" ht="12.75" customHeight="1" collapsed="1">
      <c r="A167" s="416"/>
      <c r="B167" s="866"/>
      <c r="C167" s="655"/>
      <c r="D167" s="290"/>
      <c r="E167" s="1060"/>
      <c r="F167" s="290"/>
      <c r="G167" s="254"/>
      <c r="H167" s="655"/>
      <c r="I167" s="608"/>
      <c r="J167" s="608"/>
      <c r="K167" s="290"/>
      <c r="L167" s="254"/>
      <c r="M167" s="655"/>
      <c r="N167" s="608"/>
      <c r="O167" s="608"/>
      <c r="P167" s="608"/>
      <c r="Q167" s="254"/>
      <c r="R167" s="780"/>
      <c r="S167" s="1067"/>
      <c r="T167" s="1067"/>
      <c r="U167" s="1067"/>
      <c r="V167" s="1068"/>
      <c r="W167" s="1067"/>
      <c r="X167" s="1067"/>
      <c r="Y167" s="1067"/>
      <c r="Z167" s="1067"/>
      <c r="AA167" s="1068"/>
      <c r="AB167" s="655"/>
      <c r="AC167" s="608"/>
      <c r="AD167" s="608"/>
      <c r="AE167" s="608"/>
      <c r="AF167" s="254"/>
      <c r="AG167" s="655"/>
      <c r="AH167" s="608"/>
      <c r="AI167" s="608"/>
      <c r="AJ167" s="608"/>
      <c r="AK167" s="254"/>
    </row>
    <row r="168" spans="1:37" s="470" customFormat="1" ht="12.75" customHeight="1">
      <c r="A168" s="416"/>
      <c r="B168" s="950" t="s">
        <v>575</v>
      </c>
      <c r="C168" s="1354"/>
      <c r="D168" s="1355"/>
      <c r="E168" s="1356">
        <v>4.4999999999999998E-2</v>
      </c>
      <c r="F168" s="1356"/>
      <c r="G168" s="661"/>
      <c r="H168" s="493"/>
      <c r="I168" s="493"/>
      <c r="J168" s="493"/>
      <c r="K168" s="493"/>
      <c r="L168" s="564"/>
      <c r="M168" s="493"/>
      <c r="N168" s="493"/>
      <c r="O168" s="493"/>
      <c r="P168" s="493"/>
      <c r="Q168" s="564"/>
      <c r="R168" s="493">
        <f>Q168+R170+R171</f>
        <v>0</v>
      </c>
      <c r="S168" s="493">
        <f>R168+S170+S171</f>
        <v>0</v>
      </c>
      <c r="T168" s="493">
        <f>S168+T170+T171</f>
        <v>0</v>
      </c>
      <c r="U168" s="493">
        <f>T168+U170+U171</f>
        <v>5000</v>
      </c>
      <c r="V168" s="564">
        <f>U168</f>
        <v>5000</v>
      </c>
      <c r="W168" s="493"/>
      <c r="X168" s="493"/>
      <c r="Y168" s="659"/>
      <c r="Z168" s="493"/>
      <c r="AA168" s="564"/>
      <c r="AB168" s="493"/>
      <c r="AC168" s="493"/>
      <c r="AD168" s="493"/>
      <c r="AE168" s="493"/>
      <c r="AF168" s="564"/>
      <c r="AG168" s="493"/>
      <c r="AH168" s="493"/>
      <c r="AI168" s="493"/>
      <c r="AJ168" s="493"/>
      <c r="AK168" s="564"/>
    </row>
    <row r="169" spans="1:37" s="600" customFormat="1" ht="12.75" hidden="1" customHeight="1" outlineLevel="1">
      <c r="A169" s="548"/>
      <c r="B169" s="864" t="s">
        <v>568</v>
      </c>
      <c r="C169" s="767"/>
      <c r="D169" s="604"/>
      <c r="E169" s="604"/>
      <c r="F169" s="604"/>
      <c r="G169" s="554"/>
      <c r="H169" s="728"/>
      <c r="I169" s="728"/>
      <c r="J169" s="728"/>
      <c r="K169" s="728"/>
      <c r="L169" s="554"/>
      <c r="M169" s="728"/>
      <c r="N169" s="728"/>
      <c r="O169" s="728"/>
      <c r="P169" s="728"/>
      <c r="Q169" s="554"/>
      <c r="R169" s="728"/>
      <c r="S169" s="728"/>
      <c r="T169" s="728"/>
      <c r="U169" s="728">
        <f>U170/U200</f>
        <v>1.0490567371511372</v>
      </c>
      <c r="V169" s="554"/>
      <c r="W169" s="728"/>
      <c r="X169" s="728"/>
      <c r="Y169" s="728"/>
      <c r="Z169" s="728"/>
      <c r="AA169" s="554"/>
      <c r="AB169" s="728"/>
      <c r="AC169" s="728"/>
      <c r="AD169" s="728"/>
      <c r="AE169" s="728"/>
      <c r="AF169" s="554"/>
      <c r="AG169" s="728"/>
      <c r="AH169" s="728"/>
      <c r="AI169" s="728"/>
      <c r="AJ169" s="728"/>
      <c r="AK169" s="554"/>
    </row>
    <row r="170" spans="1:37" s="470" customFormat="1" ht="12.75" hidden="1" customHeight="1" outlineLevel="1">
      <c r="A170" s="548"/>
      <c r="B170" s="862" t="s">
        <v>449</v>
      </c>
      <c r="C170" s="766"/>
      <c r="D170" s="724"/>
      <c r="E170" s="724"/>
      <c r="F170" s="724"/>
      <c r="G170" s="725"/>
      <c r="H170" s="715"/>
      <c r="I170" s="715"/>
      <c r="J170" s="715"/>
      <c r="K170" s="715"/>
      <c r="L170" s="726"/>
      <c r="M170" s="715"/>
      <c r="N170" s="715"/>
      <c r="O170" s="715"/>
      <c r="P170" s="715"/>
      <c r="Q170" s="726"/>
      <c r="R170" s="715">
        <v>0</v>
      </c>
      <c r="S170" s="715">
        <v>0</v>
      </c>
      <c r="T170" s="715">
        <v>0</v>
      </c>
      <c r="U170" s="715">
        <v>5000</v>
      </c>
      <c r="V170" s="726">
        <f>SUM(R170:U170)</f>
        <v>5000</v>
      </c>
      <c r="W170" s="715"/>
      <c r="X170" s="715"/>
      <c r="Y170" s="715"/>
      <c r="Z170" s="715"/>
      <c r="AA170" s="726"/>
      <c r="AB170" s="715"/>
      <c r="AC170" s="715"/>
      <c r="AD170" s="715"/>
      <c r="AE170" s="715"/>
      <c r="AF170" s="726"/>
      <c r="AG170" s="715"/>
      <c r="AH170" s="715"/>
      <c r="AI170" s="715"/>
      <c r="AJ170" s="715"/>
      <c r="AK170" s="726"/>
    </row>
    <row r="171" spans="1:37" s="470" customFormat="1" ht="12.75" hidden="1" customHeight="1" outlineLevel="1">
      <c r="A171" s="548"/>
      <c r="B171" s="862" t="s">
        <v>448</v>
      </c>
      <c r="C171" s="766"/>
      <c r="D171" s="724"/>
      <c r="E171" s="724"/>
      <c r="F171" s="724"/>
      <c r="G171" s="725"/>
      <c r="H171" s="715"/>
      <c r="I171" s="715"/>
      <c r="J171" s="715"/>
      <c r="K171" s="715"/>
      <c r="L171" s="726"/>
      <c r="M171" s="715"/>
      <c r="N171" s="715"/>
      <c r="O171" s="715"/>
      <c r="P171" s="715"/>
      <c r="Q171" s="726"/>
      <c r="R171" s="715">
        <v>0</v>
      </c>
      <c r="S171" s="715">
        <v>0</v>
      </c>
      <c r="T171" s="715">
        <f>S171</f>
        <v>0</v>
      </c>
      <c r="U171" s="715">
        <f>T171</f>
        <v>0</v>
      </c>
      <c r="V171" s="726">
        <f>SUM(R171:U171)</f>
        <v>0</v>
      </c>
      <c r="W171" s="715"/>
      <c r="X171" s="715"/>
      <c r="Y171" s="715"/>
      <c r="Z171" s="715"/>
      <c r="AA171" s="726">
        <f>SUM(W171:Z171)</f>
        <v>0</v>
      </c>
      <c r="AB171" s="715"/>
      <c r="AC171" s="715"/>
      <c r="AD171" s="715"/>
      <c r="AE171" s="715"/>
      <c r="AF171" s="726"/>
      <c r="AG171" s="715"/>
      <c r="AH171" s="715"/>
      <c r="AI171" s="715"/>
      <c r="AJ171" s="715"/>
      <c r="AK171" s="726"/>
    </row>
    <row r="172" spans="1:37" s="470" customFormat="1" ht="12.75" hidden="1" customHeight="1" outlineLevel="1">
      <c r="A172" s="548"/>
      <c r="B172" s="862"/>
      <c r="C172" s="766"/>
      <c r="D172" s="724"/>
      <c r="E172" s="724"/>
      <c r="F172" s="724"/>
      <c r="G172" s="725"/>
      <c r="H172" s="715"/>
      <c r="I172" s="715"/>
      <c r="J172" s="715"/>
      <c r="K172" s="715"/>
      <c r="L172" s="726"/>
      <c r="M172" s="715"/>
      <c r="N172" s="715"/>
      <c r="O172" s="715"/>
      <c r="P172" s="715"/>
      <c r="Q172" s="726"/>
      <c r="R172" s="715"/>
      <c r="S172" s="715"/>
      <c r="T172" s="715"/>
      <c r="U172" s="715"/>
      <c r="V172" s="726"/>
      <c r="X172" s="715"/>
      <c r="Y172" s="715"/>
      <c r="Z172" s="715"/>
      <c r="AA172" s="726"/>
      <c r="AB172" s="715"/>
      <c r="AC172" s="715"/>
      <c r="AD172" s="715"/>
      <c r="AE172" s="715"/>
      <c r="AF172" s="726"/>
      <c r="AG172" s="715"/>
      <c r="AH172" s="715"/>
      <c r="AI172" s="715"/>
      <c r="AJ172" s="715"/>
      <c r="AK172" s="726"/>
    </row>
    <row r="173" spans="1:37" s="600" customFormat="1" ht="12.75" hidden="1" customHeight="1" outlineLevel="1">
      <c r="A173" s="548"/>
      <c r="B173" s="864" t="s">
        <v>342</v>
      </c>
      <c r="C173" s="767"/>
      <c r="D173" s="604"/>
      <c r="E173" s="604"/>
      <c r="F173" s="604"/>
      <c r="G173" s="554"/>
      <c r="H173" s="728"/>
      <c r="I173" s="728"/>
      <c r="J173" s="728"/>
      <c r="K173" s="728"/>
      <c r="L173" s="554"/>
      <c r="M173" s="728"/>
      <c r="N173" s="728"/>
      <c r="O173" s="728"/>
      <c r="P173" s="728"/>
      <c r="Q173" s="554"/>
      <c r="R173" s="728">
        <f>AVERAGE(Q168:R168)*($E$168+R$62)/4</f>
        <v>0</v>
      </c>
      <c r="S173" s="728">
        <f>AVERAGE(R168:S168)*($E$168+S$62)/4</f>
        <v>0</v>
      </c>
      <c r="T173" s="728">
        <f>AVERAGE(S168:T168)*($E$168+T$62)/4</f>
        <v>0</v>
      </c>
      <c r="U173" s="728">
        <f>AVERAGE(T168:U168)*($E$168+U$62)/4</f>
        <v>53.124999999999993</v>
      </c>
      <c r="V173" s="554">
        <f>SUM(R173:U173)</f>
        <v>53.124999999999993</v>
      </c>
      <c r="W173" s="728"/>
      <c r="X173" s="728"/>
      <c r="Y173" s="728"/>
      <c r="Z173" s="728"/>
      <c r="AA173" s="554"/>
      <c r="AB173" s="728"/>
      <c r="AC173" s="728"/>
      <c r="AD173" s="728"/>
      <c r="AE173" s="728"/>
      <c r="AF173" s="554"/>
      <c r="AG173" s="728"/>
      <c r="AH173" s="728"/>
      <c r="AI173" s="728"/>
      <c r="AJ173" s="728"/>
      <c r="AK173" s="554"/>
    </row>
    <row r="174" spans="1:37" s="600" customFormat="1" ht="12.75" customHeight="1" collapsed="1">
      <c r="A174" s="548"/>
      <c r="B174" s="864"/>
      <c r="C174" s="767"/>
      <c r="D174" s="604"/>
      <c r="E174" s="604"/>
      <c r="F174" s="604"/>
      <c r="G174" s="554"/>
      <c r="H174" s="728"/>
      <c r="I174" s="728"/>
      <c r="J174" s="728"/>
      <c r="K174" s="728"/>
      <c r="L174" s="554"/>
      <c r="M174" s="728"/>
      <c r="N174" s="728"/>
      <c r="O174" s="728"/>
      <c r="P174" s="728"/>
      <c r="Q174" s="554"/>
      <c r="R174" s="728"/>
      <c r="S174" s="728"/>
      <c r="T174" s="728"/>
      <c r="U174" s="728"/>
      <c r="V174" s="554"/>
      <c r="W174" s="728"/>
      <c r="X174" s="728"/>
      <c r="Y174" s="728"/>
      <c r="Z174" s="728"/>
      <c r="AA174" s="554"/>
      <c r="AB174" s="728"/>
      <c r="AC174" s="728"/>
      <c r="AD174" s="728"/>
      <c r="AE174" s="728"/>
      <c r="AF174" s="554"/>
      <c r="AG174" s="728"/>
      <c r="AH174" s="728"/>
      <c r="AI174" s="728"/>
      <c r="AJ174" s="728"/>
      <c r="AK174" s="554"/>
    </row>
    <row r="175" spans="1:37" s="600" customFormat="1" ht="12.75" customHeight="1">
      <c r="A175" s="548"/>
      <c r="B175" s="950" t="s">
        <v>574</v>
      </c>
      <c r="C175" s="1354"/>
      <c r="D175" s="1355"/>
      <c r="E175" s="1356">
        <v>0.04</v>
      </c>
      <c r="F175" s="1355"/>
      <c r="G175" s="554"/>
      <c r="H175" s="493"/>
      <c r="I175" s="493"/>
      <c r="J175" s="493"/>
      <c r="K175" s="493"/>
      <c r="L175" s="564"/>
      <c r="M175" s="493"/>
      <c r="N175" s="493"/>
      <c r="O175" s="493"/>
      <c r="P175" s="493"/>
      <c r="Q175" s="564"/>
      <c r="R175" s="493"/>
      <c r="S175" s="493"/>
      <c r="T175" s="493"/>
      <c r="U175" s="493"/>
      <c r="V175" s="564"/>
      <c r="W175" s="659">
        <f>V168+W177+W178</f>
        <v>12300</v>
      </c>
      <c r="X175" s="659">
        <f>W175+X177+X178</f>
        <v>18500</v>
      </c>
      <c r="Y175" s="659">
        <f>X175+Y177+Y178</f>
        <v>21500</v>
      </c>
      <c r="Z175" s="659">
        <f>Y175+Z177+Z178</f>
        <v>22500</v>
      </c>
      <c r="AA175" s="1414">
        <f>Z175</f>
        <v>22500</v>
      </c>
      <c r="AB175" s="659"/>
      <c r="AC175" s="493"/>
      <c r="AD175" s="493"/>
      <c r="AE175" s="493"/>
      <c r="AF175" s="564"/>
      <c r="AG175" s="493"/>
      <c r="AH175" s="493"/>
      <c r="AI175" s="493"/>
      <c r="AJ175" s="493"/>
      <c r="AK175" s="564"/>
    </row>
    <row r="176" spans="1:37" s="600" customFormat="1" ht="12.75" hidden="1" customHeight="1" outlineLevel="1">
      <c r="A176" s="548"/>
      <c r="B176" s="864" t="s">
        <v>568</v>
      </c>
      <c r="C176" s="767"/>
      <c r="D176" s="604"/>
      <c r="E176" s="604"/>
      <c r="F176" s="604"/>
      <c r="G176" s="554"/>
      <c r="H176" s="728"/>
      <c r="I176" s="728"/>
      <c r="J176" s="728"/>
      <c r="K176" s="728"/>
      <c r="L176" s="554"/>
      <c r="M176" s="728"/>
      <c r="N176" s="728"/>
      <c r="O176" s="728"/>
      <c r="P176" s="728"/>
      <c r="Q176" s="554"/>
      <c r="R176" s="728"/>
      <c r="S176" s="728"/>
      <c r="T176" s="728"/>
      <c r="U176" s="728"/>
      <c r="V176" s="554"/>
      <c r="W176" s="1415">
        <f>W177/W200</f>
        <v>1.0081611350847073</v>
      </c>
      <c r="X176" s="1415">
        <f>X177/X200</f>
        <v>1.0108405470976831</v>
      </c>
      <c r="Y176" s="1415">
        <f>Y177/Y200</f>
        <v>1.0417673570968891</v>
      </c>
      <c r="Z176" s="1415">
        <f>Z177/Z200</f>
        <v>2.2530321326211755</v>
      </c>
      <c r="AA176" s="999"/>
      <c r="AB176" s="1415"/>
      <c r="AC176" s="728"/>
      <c r="AD176" s="728"/>
      <c r="AE176" s="728"/>
      <c r="AF176" s="554"/>
      <c r="AG176" s="728"/>
      <c r="AH176" s="728"/>
      <c r="AI176" s="728"/>
      <c r="AJ176" s="728"/>
      <c r="AK176" s="554"/>
    </row>
    <row r="177" spans="1:37" s="600" customFormat="1" ht="12.75" hidden="1" customHeight="1" outlineLevel="1">
      <c r="A177" s="548"/>
      <c r="B177" s="862" t="s">
        <v>449</v>
      </c>
      <c r="C177" s="766"/>
      <c r="D177" s="724"/>
      <c r="E177" s="724"/>
      <c r="F177" s="724"/>
      <c r="G177" s="554"/>
      <c r="H177" s="715"/>
      <c r="I177" s="715"/>
      <c r="J177" s="715"/>
      <c r="K177" s="715"/>
      <c r="L177" s="726"/>
      <c r="M177" s="715"/>
      <c r="N177" s="715"/>
      <c r="O177" s="715"/>
      <c r="P177" s="715"/>
      <c r="Q177" s="726"/>
      <c r="R177" s="715"/>
      <c r="S177" s="715"/>
      <c r="T177" s="715"/>
      <c r="U177" s="715"/>
      <c r="V177" s="726"/>
      <c r="W177" s="715">
        <v>7300</v>
      </c>
      <c r="X177" s="715">
        <v>6200</v>
      </c>
      <c r="Y177" s="715">
        <v>3000</v>
      </c>
      <c r="Z177" s="715">
        <v>1000</v>
      </c>
      <c r="AA177" s="726">
        <f>SUM(W177:Z177)</f>
        <v>17500</v>
      </c>
      <c r="AB177" s="715"/>
      <c r="AC177" s="715"/>
      <c r="AD177" s="715"/>
      <c r="AE177" s="715"/>
      <c r="AF177" s="726"/>
      <c r="AG177" s="715"/>
      <c r="AH177" s="715"/>
      <c r="AI177" s="715"/>
      <c r="AJ177" s="715"/>
      <c r="AK177" s="726"/>
    </row>
    <row r="178" spans="1:37" s="600" customFormat="1" ht="12.75" hidden="1" customHeight="1" outlineLevel="1">
      <c r="A178" s="548"/>
      <c r="B178" s="862" t="s">
        <v>448</v>
      </c>
      <c r="C178" s="766"/>
      <c r="D178" s="724"/>
      <c r="E178" s="724"/>
      <c r="F178" s="724"/>
      <c r="G178" s="554"/>
      <c r="H178" s="715"/>
      <c r="I178" s="715"/>
      <c r="J178" s="715"/>
      <c r="K178" s="715"/>
      <c r="L178" s="726"/>
      <c r="M178" s="715"/>
      <c r="N178" s="715"/>
      <c r="O178" s="715"/>
      <c r="P178" s="715"/>
      <c r="Q178" s="726"/>
      <c r="R178" s="715"/>
      <c r="S178" s="715"/>
      <c r="T178" s="715"/>
      <c r="U178" s="715"/>
      <c r="V178" s="726"/>
      <c r="W178" s="715">
        <v>0</v>
      </c>
      <c r="X178" s="715">
        <f>W178</f>
        <v>0</v>
      </c>
      <c r="Y178" s="715">
        <f>X178</f>
        <v>0</v>
      </c>
      <c r="Z178" s="715">
        <f>Y178</f>
        <v>0</v>
      </c>
      <c r="AA178" s="726">
        <f>SUM(W178:Z178)</f>
        <v>0</v>
      </c>
      <c r="AB178" s="715"/>
      <c r="AC178" s="715"/>
      <c r="AD178" s="715"/>
      <c r="AE178" s="715"/>
      <c r="AF178" s="726"/>
      <c r="AG178" s="715"/>
      <c r="AH178" s="715"/>
      <c r="AI178" s="715"/>
      <c r="AJ178" s="715"/>
      <c r="AK178" s="726"/>
    </row>
    <row r="179" spans="1:37" s="600" customFormat="1" ht="12.75" hidden="1" customHeight="1" outlineLevel="1">
      <c r="A179" s="548"/>
      <c r="B179" s="862"/>
      <c r="C179" s="766"/>
      <c r="D179" s="724"/>
      <c r="E179" s="724"/>
      <c r="F179" s="724"/>
      <c r="G179" s="554"/>
      <c r="H179" s="715"/>
      <c r="I179" s="715"/>
      <c r="J179" s="715"/>
      <c r="K179" s="715"/>
      <c r="L179" s="726"/>
      <c r="M179" s="715"/>
      <c r="N179" s="715"/>
      <c r="O179" s="715"/>
      <c r="P179" s="715"/>
      <c r="Q179" s="726"/>
      <c r="R179" s="715"/>
      <c r="S179" s="715"/>
      <c r="T179" s="715"/>
      <c r="U179" s="715"/>
      <c r="V179" s="726"/>
      <c r="W179" s="470"/>
      <c r="X179" s="715"/>
      <c r="Y179" s="715"/>
      <c r="Z179" s="715"/>
      <c r="AA179" s="726"/>
      <c r="AB179" s="715"/>
      <c r="AC179" s="715"/>
      <c r="AD179" s="715"/>
      <c r="AE179" s="715"/>
      <c r="AF179" s="726"/>
      <c r="AG179" s="715"/>
      <c r="AH179" s="715"/>
      <c r="AI179" s="715"/>
      <c r="AJ179" s="715"/>
      <c r="AK179" s="726"/>
    </row>
    <row r="180" spans="1:37" s="600" customFormat="1" ht="12.75" hidden="1" customHeight="1" outlineLevel="1">
      <c r="A180" s="548"/>
      <c r="B180" s="864" t="s">
        <v>342</v>
      </c>
      <c r="C180" s="767"/>
      <c r="D180" s="604"/>
      <c r="E180" s="604"/>
      <c r="F180" s="604"/>
      <c r="G180" s="554"/>
      <c r="H180" s="728"/>
      <c r="I180" s="728"/>
      <c r="J180" s="728"/>
      <c r="K180" s="728"/>
      <c r="L180" s="554"/>
      <c r="M180" s="728"/>
      <c r="N180" s="728"/>
      <c r="O180" s="728"/>
      <c r="P180" s="728"/>
      <c r="Q180" s="554"/>
      <c r="R180" s="728"/>
      <c r="S180" s="728"/>
      <c r="T180" s="728"/>
      <c r="U180" s="728"/>
      <c r="V180" s="554"/>
      <c r="W180" s="728">
        <f>AVERAGE(V168,W175)*(((0.5*$E$175+0.5*E168))+W$62)/4</f>
        <v>168.67499999999998</v>
      </c>
      <c r="X180" s="728">
        <f>AVERAGE(W175:X175)*($E$175+X$62)/4</f>
        <v>281.05</v>
      </c>
      <c r="Y180" s="728">
        <f>AVERAGE(X175:Y175)*($E$175+Y$62)/4</f>
        <v>357.50000000000006</v>
      </c>
      <c r="Z180" s="728">
        <f>AVERAGE(Y175:Z175)*($E$175+Z$62)/4</f>
        <v>393.25000000000006</v>
      </c>
      <c r="AA180" s="554">
        <f>SUM(W180:Z180)</f>
        <v>1200.4750000000001</v>
      </c>
      <c r="AB180" s="728"/>
      <c r="AC180" s="728"/>
      <c r="AD180" s="728"/>
      <c r="AE180" s="728"/>
      <c r="AF180" s="554"/>
      <c r="AG180" s="728"/>
      <c r="AH180" s="728"/>
      <c r="AI180" s="728"/>
      <c r="AJ180" s="728"/>
      <c r="AK180" s="554"/>
    </row>
    <row r="181" spans="1:37" s="600" customFormat="1" ht="12.75" customHeight="1" collapsed="1">
      <c r="A181" s="548"/>
      <c r="B181" s="864"/>
      <c r="C181" s="767"/>
      <c r="D181" s="604"/>
      <c r="E181" s="604"/>
      <c r="F181" s="604"/>
      <c r="G181" s="554"/>
      <c r="H181" s="728"/>
      <c r="I181" s="728"/>
      <c r="J181" s="728"/>
      <c r="K181" s="728"/>
      <c r="L181" s="554"/>
      <c r="M181" s="728"/>
      <c r="N181" s="728"/>
      <c r="O181" s="728"/>
      <c r="P181" s="728"/>
      <c r="Q181" s="554"/>
      <c r="R181" s="728"/>
      <c r="S181" s="728"/>
      <c r="T181" s="728"/>
      <c r="U181" s="728"/>
      <c r="V181" s="554"/>
      <c r="W181" s="728"/>
      <c r="X181" s="728"/>
      <c r="Y181" s="728"/>
      <c r="Z181" s="728"/>
      <c r="AA181" s="554"/>
      <c r="AB181" s="728"/>
      <c r="AC181" s="728"/>
      <c r="AD181" s="728"/>
      <c r="AE181" s="728"/>
      <c r="AF181" s="554"/>
      <c r="AG181" s="728"/>
      <c r="AH181" s="728"/>
      <c r="AI181" s="728"/>
      <c r="AJ181" s="728"/>
      <c r="AK181" s="554"/>
    </row>
    <row r="182" spans="1:37" s="600" customFormat="1" ht="12.75" customHeight="1">
      <c r="A182" s="548"/>
      <c r="B182" s="950" t="s">
        <v>573</v>
      </c>
      <c r="C182" s="1354"/>
      <c r="D182" s="1355"/>
      <c r="E182" s="1356">
        <v>3.7499999999999999E-2</v>
      </c>
      <c r="F182" s="1355"/>
      <c r="G182" s="554"/>
      <c r="H182" s="493"/>
      <c r="I182" s="493"/>
      <c r="J182" s="493"/>
      <c r="K182" s="493"/>
      <c r="L182" s="564"/>
      <c r="M182" s="493"/>
      <c r="N182" s="493"/>
      <c r="O182" s="493"/>
      <c r="P182" s="493"/>
      <c r="Q182" s="564"/>
      <c r="R182" s="493"/>
      <c r="S182" s="493"/>
      <c r="T182" s="493"/>
      <c r="U182" s="493"/>
      <c r="V182" s="564"/>
      <c r="W182" s="493"/>
      <c r="X182" s="493"/>
      <c r="Y182" s="659"/>
      <c r="Z182" s="493"/>
      <c r="AA182" s="564"/>
      <c r="AB182" s="659">
        <f>AA175+AB184+AB185</f>
        <v>25700</v>
      </c>
      <c r="AC182" s="659">
        <f>AB182+AC184+AC185</f>
        <v>31100</v>
      </c>
      <c r="AD182" s="659">
        <f>AC182+AD184+AD185</f>
        <v>34900</v>
      </c>
      <c r="AE182" s="659">
        <f>AD182+AE184+AE185</f>
        <v>36300</v>
      </c>
      <c r="AF182" s="1414">
        <f>AE182</f>
        <v>36300</v>
      </c>
      <c r="AG182" s="659">
        <f>AE182+AG184+AG185</f>
        <v>39800</v>
      </c>
      <c r="AH182" s="659">
        <f>AG182+AH184+AH185</f>
        <v>44100</v>
      </c>
      <c r="AI182" s="659">
        <f>AH182+AI184+AI185</f>
        <v>47200</v>
      </c>
      <c r="AJ182" s="659">
        <f>AI182+AJ184+AJ185</f>
        <v>48200</v>
      </c>
      <c r="AK182" s="1414">
        <f>AJ182</f>
        <v>48200</v>
      </c>
    </row>
    <row r="183" spans="1:37" s="600" customFormat="1" ht="12.75" hidden="1" customHeight="1" outlineLevel="1">
      <c r="A183" s="548"/>
      <c r="B183" s="864" t="s">
        <v>568</v>
      </c>
      <c r="C183" s="767"/>
      <c r="D183" s="604"/>
      <c r="E183" s="604"/>
      <c r="F183" s="604"/>
      <c r="G183" s="554"/>
      <c r="H183" s="728"/>
      <c r="I183" s="728"/>
      <c r="J183" s="728"/>
      <c r="K183" s="728"/>
      <c r="L183" s="554"/>
      <c r="M183" s="728"/>
      <c r="N183" s="728"/>
      <c r="O183" s="728"/>
      <c r="P183" s="728"/>
      <c r="Q183" s="554"/>
      <c r="R183" s="728"/>
      <c r="S183" s="728"/>
      <c r="T183" s="728"/>
      <c r="U183" s="728"/>
      <c r="V183" s="554"/>
      <c r="W183" s="728"/>
      <c r="X183" s="728"/>
      <c r="Y183" s="728"/>
      <c r="Z183" s="728"/>
      <c r="AA183" s="554"/>
      <c r="AB183" s="728">
        <f>AB184/AB200</f>
        <v>1.0652938055970795</v>
      </c>
      <c r="AC183" s="728">
        <f>AC184/AC200</f>
        <v>1.0873222287801043</v>
      </c>
      <c r="AD183" s="728">
        <f>AD184/AD200</f>
        <v>1.2331299169848173</v>
      </c>
      <c r="AE183" s="728">
        <f>AE184/AE200</f>
        <v>2.3027353374849522</v>
      </c>
      <c r="AF183" s="554"/>
      <c r="AG183" s="728">
        <f>AG184/AG200</f>
        <v>1.1824207716701489</v>
      </c>
      <c r="AH183" s="728">
        <f>AH184/AH200</f>
        <v>1.1715571620192</v>
      </c>
      <c r="AI183" s="728">
        <f>IFERROR(AI184/AI200,"")</f>
        <v>1.4060081849297232</v>
      </c>
      <c r="AJ183" s="728" t="str">
        <f>IFERROR(AJ184/AJ200,"")</f>
        <v/>
      </c>
      <c r="AK183" s="554"/>
    </row>
    <row r="184" spans="1:37" s="600" customFormat="1" ht="12.75" hidden="1" customHeight="1" outlineLevel="1">
      <c r="A184" s="548"/>
      <c r="B184" s="862" t="s">
        <v>449</v>
      </c>
      <c r="C184" s="766"/>
      <c r="D184" s="724"/>
      <c r="E184" s="724"/>
      <c r="F184" s="724"/>
      <c r="G184" s="554"/>
      <c r="H184" s="715"/>
      <c r="I184" s="715"/>
      <c r="J184" s="715"/>
      <c r="K184" s="715"/>
      <c r="L184" s="726"/>
      <c r="M184" s="715"/>
      <c r="N184" s="715"/>
      <c r="O184" s="715"/>
      <c r="P184" s="715"/>
      <c r="Q184" s="726"/>
      <c r="R184" s="715"/>
      <c r="S184" s="715"/>
      <c r="T184" s="715"/>
      <c r="U184" s="715"/>
      <c r="V184" s="726"/>
      <c r="W184" s="715"/>
      <c r="X184" s="715"/>
      <c r="Y184" s="715"/>
      <c r="Z184" s="715"/>
      <c r="AA184" s="726"/>
      <c r="AB184" s="715">
        <v>3200</v>
      </c>
      <c r="AC184" s="715">
        <v>5400</v>
      </c>
      <c r="AD184" s="715">
        <v>3800</v>
      </c>
      <c r="AE184" s="715">
        <v>1400</v>
      </c>
      <c r="AF184" s="726">
        <f>SUM(AB184:AE184)</f>
        <v>13800</v>
      </c>
      <c r="AG184" s="715">
        <v>3500</v>
      </c>
      <c r="AH184" s="715">
        <v>4300</v>
      </c>
      <c r="AI184" s="715">
        <v>3100</v>
      </c>
      <c r="AJ184" s="715">
        <v>1000</v>
      </c>
      <c r="AK184" s="726">
        <f>SUM(AG184:AJ184)</f>
        <v>11900</v>
      </c>
    </row>
    <row r="185" spans="1:37" s="600" customFormat="1" ht="12.75" hidden="1" customHeight="1" outlineLevel="1">
      <c r="A185" s="548"/>
      <c r="B185" s="862" t="s">
        <v>448</v>
      </c>
      <c r="C185" s="766"/>
      <c r="D185" s="724"/>
      <c r="E185" s="724"/>
      <c r="F185" s="724"/>
      <c r="G185" s="554"/>
      <c r="H185" s="727"/>
      <c r="I185" s="728"/>
      <c r="J185" s="728"/>
      <c r="K185" s="604"/>
      <c r="L185" s="726"/>
      <c r="M185" s="727"/>
      <c r="N185" s="728"/>
      <c r="O185" s="728"/>
      <c r="P185" s="604"/>
      <c r="Q185" s="726"/>
      <c r="R185" s="715"/>
      <c r="S185" s="715"/>
      <c r="T185" s="715"/>
      <c r="U185" s="715"/>
      <c r="V185" s="726"/>
      <c r="W185" s="715"/>
      <c r="X185" s="715"/>
      <c r="Y185" s="715"/>
      <c r="Z185" s="715"/>
      <c r="AA185" s="726"/>
      <c r="AB185" s="715">
        <v>0</v>
      </c>
      <c r="AC185" s="715">
        <f>AB185</f>
        <v>0</v>
      </c>
      <c r="AD185" s="715">
        <f>AC185</f>
        <v>0</v>
      </c>
      <c r="AE185" s="715">
        <f>AD185</f>
        <v>0</v>
      </c>
      <c r="AF185" s="726">
        <f>SUM(AB185:AE185)</f>
        <v>0</v>
      </c>
      <c r="AG185" s="715">
        <v>0</v>
      </c>
      <c r="AH185" s="715">
        <f>AG185</f>
        <v>0</v>
      </c>
      <c r="AI185" s="715">
        <f>AH185</f>
        <v>0</v>
      </c>
      <c r="AJ185" s="715">
        <f>AI185</f>
        <v>0</v>
      </c>
      <c r="AK185" s="726">
        <f>SUM(AG185:AJ185)</f>
        <v>0</v>
      </c>
    </row>
    <row r="186" spans="1:37" s="600" customFormat="1" ht="12.75" hidden="1" customHeight="1" outlineLevel="1">
      <c r="A186" s="548"/>
      <c r="B186" s="862"/>
      <c r="C186" s="766"/>
      <c r="D186" s="724"/>
      <c r="E186" s="724"/>
      <c r="F186" s="724"/>
      <c r="G186" s="554"/>
      <c r="H186" s="727"/>
      <c r="I186" s="728"/>
      <c r="J186" s="728"/>
      <c r="K186" s="604"/>
      <c r="L186" s="554"/>
      <c r="M186" s="727"/>
      <c r="N186" s="728"/>
      <c r="O186" s="728"/>
      <c r="P186" s="728"/>
      <c r="Q186" s="554"/>
      <c r="R186" s="715"/>
      <c r="S186" s="715"/>
      <c r="T186" s="715"/>
      <c r="U186" s="715"/>
      <c r="V186" s="726"/>
      <c r="W186" s="470"/>
      <c r="X186" s="715"/>
      <c r="Y186" s="715"/>
      <c r="Z186" s="715"/>
      <c r="AA186" s="726"/>
      <c r="AB186" s="715"/>
      <c r="AC186" s="715"/>
      <c r="AD186" s="715"/>
      <c r="AE186" s="715"/>
      <c r="AF186" s="726"/>
      <c r="AG186" s="715"/>
      <c r="AH186" s="715"/>
      <c r="AI186" s="715"/>
      <c r="AJ186" s="715"/>
      <c r="AK186" s="726"/>
    </row>
    <row r="187" spans="1:37" s="600" customFormat="1" ht="12.75" hidden="1" customHeight="1" outlineLevel="1">
      <c r="A187" s="548"/>
      <c r="B187" s="864" t="s">
        <v>342</v>
      </c>
      <c r="C187" s="767"/>
      <c r="D187" s="604"/>
      <c r="E187" s="604"/>
      <c r="F187" s="604"/>
      <c r="G187" s="554"/>
      <c r="H187" s="727"/>
      <c r="I187" s="728"/>
      <c r="J187" s="728"/>
      <c r="K187" s="604"/>
      <c r="L187" s="554"/>
      <c r="M187" s="727"/>
      <c r="N187" s="728"/>
      <c r="O187" s="728"/>
      <c r="P187" s="728"/>
      <c r="Q187" s="554"/>
      <c r="R187" s="728"/>
      <c r="S187" s="728"/>
      <c r="T187" s="728"/>
      <c r="U187" s="728"/>
      <c r="V187" s="554"/>
      <c r="W187" s="728"/>
      <c r="X187" s="728"/>
      <c r="Y187" s="728"/>
      <c r="Z187" s="728"/>
      <c r="AA187" s="554"/>
      <c r="AB187" s="728">
        <f>AVERAGE(AA175,AB182)*(((0.5*$E$175+0.5*J175))+AB$62)/4</f>
        <v>310.28750000000002</v>
      </c>
      <c r="AC187" s="728">
        <f>AVERAGE(AB182:AC182)*($E$182+AC$62)/4</f>
        <v>489.90000000000003</v>
      </c>
      <c r="AD187" s="728">
        <f>AVERAGE(AC182:AD182)*($E$182+AD$62)/4</f>
        <v>569.25</v>
      </c>
      <c r="AE187" s="728">
        <f>AVERAGE(AD182:AE182)*($E$182+AE$62)/4</f>
        <v>614.1</v>
      </c>
      <c r="AF187" s="554">
        <f>SUM(AB187:AE187)</f>
        <v>1983.5374999999999</v>
      </c>
      <c r="AG187" s="728">
        <f>AVERAGE(AF175,AG182)*(((0.5*$E$175+0.5*O175))+AG$62)/4</f>
        <v>512.42500000000007</v>
      </c>
      <c r="AH187" s="728">
        <f>AVERAGE(AG182:AH182)*($E$182+AH$62)/4</f>
        <v>723.63750000000005</v>
      </c>
      <c r="AI187" s="728">
        <f>AVERAGE(AH182:AI182)*($E$182+AI$62)/4</f>
        <v>787.46250000000009</v>
      </c>
      <c r="AJ187" s="728">
        <f>AVERAGE(AI182:AJ182)*($E$182+AJ$62)/4</f>
        <v>822.82500000000005</v>
      </c>
      <c r="AK187" s="554">
        <f>SUM(AG187:AJ187)</f>
        <v>2846.3500000000004</v>
      </c>
    </row>
    <row r="188" spans="1:37" s="600" customFormat="1" ht="12.75" hidden="1" customHeight="1" outlineLevel="1">
      <c r="A188" s="548"/>
      <c r="B188" s="743"/>
      <c r="C188" s="727"/>
      <c r="D188" s="604"/>
      <c r="E188" s="604"/>
      <c r="F188" s="604"/>
      <c r="G188" s="554"/>
      <c r="H188" s="727"/>
      <c r="I188" s="728"/>
      <c r="J188" s="728"/>
      <c r="K188" s="604"/>
      <c r="L188" s="554"/>
      <c r="M188" s="727"/>
      <c r="N188" s="728"/>
      <c r="O188" s="587"/>
      <c r="P188" s="728"/>
      <c r="Q188" s="554"/>
      <c r="R188" s="727"/>
      <c r="S188" s="727"/>
      <c r="T188" s="727"/>
      <c r="U188" s="727"/>
      <c r="V188" s="554"/>
      <c r="W188" s="727"/>
      <c r="X188" s="727"/>
      <c r="Y188" s="727"/>
      <c r="Z188" s="727"/>
      <c r="AA188" s="554"/>
      <c r="AB188" s="727"/>
      <c r="AC188" s="727"/>
      <c r="AD188" s="727"/>
      <c r="AE188" s="727"/>
      <c r="AF188" s="554"/>
      <c r="AG188" s="727"/>
      <c r="AH188" s="727"/>
      <c r="AI188" s="727"/>
      <c r="AJ188" s="727"/>
      <c r="AK188" s="554"/>
    </row>
    <row r="189" spans="1:37" s="600" customFormat="1" ht="12.75" hidden="1" customHeight="1" outlineLevel="1">
      <c r="A189" s="548"/>
      <c r="B189" s="905" t="s">
        <v>480</v>
      </c>
      <c r="C189" s="727"/>
      <c r="D189" s="604"/>
      <c r="E189" s="604"/>
      <c r="F189" s="604"/>
      <c r="G189" s="554"/>
      <c r="H189" s="727"/>
      <c r="I189" s="728"/>
      <c r="J189" s="728"/>
      <c r="K189" s="604"/>
      <c r="L189" s="554"/>
      <c r="M189" s="727"/>
      <c r="N189" s="728"/>
      <c r="O189" s="587"/>
      <c r="P189" s="728"/>
      <c r="Q189" s="554"/>
      <c r="R189" s="727"/>
      <c r="S189" s="727"/>
      <c r="T189" s="727"/>
      <c r="U189" s="727"/>
      <c r="V189" s="554"/>
      <c r="W189" s="727"/>
      <c r="X189" s="727"/>
      <c r="Y189" s="727"/>
      <c r="Z189" s="727"/>
      <c r="AA189" s="554"/>
      <c r="AB189" s="727"/>
      <c r="AC189" s="727"/>
      <c r="AD189" s="727"/>
      <c r="AE189" s="727"/>
      <c r="AF189" s="554"/>
      <c r="AG189" s="727"/>
      <c r="AH189" s="727"/>
      <c r="AI189" s="727"/>
      <c r="AJ189" s="727"/>
      <c r="AK189" s="554"/>
    </row>
    <row r="190" spans="1:37" s="299" customFormat="1" ht="12.75" hidden="1" customHeight="1" outlineLevel="1">
      <c r="A190" s="283"/>
      <c r="B190" s="479" t="s">
        <v>481</v>
      </c>
      <c r="C190" s="656"/>
      <c r="D190" s="288"/>
      <c r="E190" s="288"/>
      <c r="F190" s="288"/>
      <c r="G190" s="1352"/>
      <c r="H190" s="656"/>
      <c r="I190" s="786"/>
      <c r="J190" s="786"/>
      <c r="K190" s="288"/>
      <c r="L190" s="1352"/>
      <c r="M190" s="656"/>
      <c r="N190" s="786"/>
      <c r="O190" s="1353"/>
      <c r="P190" s="1393"/>
      <c r="Q190" s="1011"/>
      <c r="R190" s="1118">
        <f>CF!R76</f>
        <v>2035.8330000000001</v>
      </c>
      <c r="S190" s="1118">
        <f>CF!S76</f>
        <v>2517.8159999999998</v>
      </c>
      <c r="T190" s="1118">
        <f>CF!T76</f>
        <v>2053.5830000000001</v>
      </c>
      <c r="U190" s="1118">
        <f>CF!U76</f>
        <v>2968.6909999999998</v>
      </c>
      <c r="V190" s="1011">
        <f>CF!V76</f>
        <v>2035.8330000000001</v>
      </c>
      <c r="W190" s="1118">
        <f>CF!W76</f>
        <v>2302.6700115988874</v>
      </c>
      <c r="X190" s="1118">
        <f>CF!X76</f>
        <v>2127.730836887235</v>
      </c>
      <c r="Y190" s="1118">
        <f>CF!Y76</f>
        <v>2143.0461488778797</v>
      </c>
      <c r="Z190" s="1118">
        <f>CF!Z76</f>
        <v>2209.7555297015474</v>
      </c>
      <c r="AA190" s="1011">
        <f>CF!AA76</f>
        <v>2302.6700115988879</v>
      </c>
      <c r="AB190" s="1118">
        <f>CF!AB76</f>
        <v>2650.4169392789008</v>
      </c>
      <c r="AC190" s="1118">
        <f>CF!AC76</f>
        <v>2292.7971022883335</v>
      </c>
      <c r="AD190" s="1118">
        <f>CF!AD76</f>
        <v>2534.3841737900852</v>
      </c>
      <c r="AE190" s="1118">
        <f>CF!AE76</f>
        <v>2821.9739156891796</v>
      </c>
      <c r="AF190" s="1011">
        <f>CF!AF76</f>
        <v>2650.4169392788995</v>
      </c>
      <c r="AG190" s="1118">
        <f>CF!AG76</f>
        <v>2896.6406457626931</v>
      </c>
      <c r="AH190" s="1118">
        <f>CF!AH76</f>
        <v>2647.2090591593233</v>
      </c>
      <c r="AI190" s="1118">
        <f>CF!AI76</f>
        <v>2740.134443688175</v>
      </c>
      <c r="AJ190" s="1118">
        <f>CF!AJ76</f>
        <v>3007.9646698620591</v>
      </c>
      <c r="AK190" s="1011">
        <f>CF!AK76</f>
        <v>2896.6406457626936</v>
      </c>
    </row>
    <row r="191" spans="1:37" s="299" customFormat="1" ht="12.75" hidden="1" customHeight="1" outlineLevel="1">
      <c r="A191" s="283"/>
      <c r="B191" s="479" t="s">
        <v>482</v>
      </c>
      <c r="C191" s="656"/>
      <c r="D191" s="288"/>
      <c r="E191" s="288"/>
      <c r="F191" s="288"/>
      <c r="G191" s="1352"/>
      <c r="H191" s="656"/>
      <c r="I191" s="786"/>
      <c r="J191" s="786"/>
      <c r="K191" s="288"/>
      <c r="L191" s="1352"/>
      <c r="M191" s="656"/>
      <c r="N191" s="786"/>
      <c r="O191" s="1353"/>
      <c r="P191" s="1393"/>
      <c r="Q191" s="1011"/>
      <c r="R191" s="1118">
        <f>CF!R36</f>
        <v>61.167999999999779</v>
      </c>
      <c r="S191" s="1118">
        <f>CF!S36</f>
        <v>-251.25100000000009</v>
      </c>
      <c r="T191" s="1118">
        <f>CF!T36</f>
        <v>1689.134</v>
      </c>
      <c r="U191" s="1118">
        <f>CF!U36</f>
        <v>2270.837810720484</v>
      </c>
      <c r="V191" s="1011">
        <f>CF!V36</f>
        <v>3769.8888107204839</v>
      </c>
      <c r="W191" s="1118">
        <f>CF!W36</f>
        <v>1713.8460822356255</v>
      </c>
      <c r="X191" s="1118">
        <f>CF!X36</f>
        <v>-626.99258812790845</v>
      </c>
      <c r="Y191" s="1118">
        <f>CF!Y36</f>
        <v>1137.0781469277476</v>
      </c>
      <c r="Z191" s="1118">
        <f>CF!Z36</f>
        <v>3488.3442869680657</v>
      </c>
      <c r="AA191" s="1011">
        <f>CF!AA36</f>
        <v>5712.2759280035307</v>
      </c>
      <c r="AB191" s="1118">
        <f>CF!AB36</f>
        <v>1111.8727406773828</v>
      </c>
      <c r="AC191" s="1118">
        <f>CF!AC36</f>
        <v>2103.2688687906812</v>
      </c>
      <c r="AD191" s="1118">
        <f>CF!AD36</f>
        <v>2561.3254041429582</v>
      </c>
      <c r="AE191" s="1118">
        <f>CF!AE36</f>
        <v>4973.5289349979266</v>
      </c>
      <c r="AF191" s="1011">
        <f>CF!AF36</f>
        <v>10749.995948608948</v>
      </c>
      <c r="AG191" s="1118">
        <f>CF!AG36</f>
        <v>2328.9219486027941</v>
      </c>
      <c r="AH191" s="1118">
        <f>CF!AH36</f>
        <v>2455.011300313532</v>
      </c>
      <c r="AI191" s="1118">
        <f>CF!AI36</f>
        <v>3983.9646022262564</v>
      </c>
      <c r="AJ191" s="1118">
        <f>CF!AJ36</f>
        <v>6249.5592000806555</v>
      </c>
      <c r="AK191" s="1011">
        <f>CF!AK36</f>
        <v>15017.457051223242</v>
      </c>
    </row>
    <row r="192" spans="1:37" s="299" customFormat="1" ht="12.75" hidden="1" customHeight="1" outlineLevel="1">
      <c r="A192" s="283"/>
      <c r="B192" s="479" t="s">
        <v>519</v>
      </c>
      <c r="C192" s="656"/>
      <c r="D192" s="288"/>
      <c r="E192" s="288"/>
      <c r="F192" s="288"/>
      <c r="G192" s="1352"/>
      <c r="H192" s="656"/>
      <c r="I192" s="786"/>
      <c r="J192" s="786"/>
      <c r="K192" s="288"/>
      <c r="L192" s="1352"/>
      <c r="M192" s="656"/>
      <c r="N192" s="786"/>
      <c r="O192" s="1353"/>
      <c r="P192" s="1393"/>
      <c r="Q192" s="1011"/>
      <c r="R192" s="1118">
        <f>CF!R53</f>
        <v>-1433.0509999999999</v>
      </c>
      <c r="S192" s="1118">
        <f>CF!S53</f>
        <v>-2442.1620000000003</v>
      </c>
      <c r="T192" s="1118">
        <f>CF!T53</f>
        <v>-3359.9839999999999</v>
      </c>
      <c r="U192" s="1118">
        <f>CF!U53</f>
        <v>-8358.3420051049998</v>
      </c>
      <c r="V192" s="1011">
        <f>CF!V53</f>
        <v>-15593.539005105</v>
      </c>
      <c r="W192" s="1118">
        <f>CF!W53</f>
        <v>-8819.5947919299997</v>
      </c>
      <c r="X192" s="1118">
        <f>CF!X53</f>
        <v>-5074.7968646079999</v>
      </c>
      <c r="Y192" s="1118">
        <f>CF!Y53</f>
        <v>-3588.3477235884015</v>
      </c>
      <c r="Z192" s="1118">
        <f>CF!Z53</f>
        <v>-3442.7787603365532</v>
      </c>
      <c r="AA192" s="1011">
        <f>CF!AA53</f>
        <v>-20925.518140462955</v>
      </c>
      <c r="AB192" s="1118">
        <f>CF!AB53</f>
        <v>-4275.9522215168945</v>
      </c>
      <c r="AC192" s="1118">
        <f>CF!AC53</f>
        <v>-6860.1832461378735</v>
      </c>
      <c r="AD192" s="1118">
        <f>CF!AD53</f>
        <v>-5696.2371110928079</v>
      </c>
      <c r="AE192" s="1118">
        <f>CF!AE53</f>
        <v>-5957.3636537733573</v>
      </c>
      <c r="AF192" s="1011">
        <f>CF!AF53</f>
        <v>-22789.736232520932</v>
      </c>
      <c r="AG192" s="1118">
        <f>CF!AG53</f>
        <v>-5527.3864199194886</v>
      </c>
      <c r="AH192" s="1118">
        <f>CF!AH53</f>
        <v>-6317.1606054980048</v>
      </c>
      <c r="AI192" s="1118">
        <f>CF!AI53</f>
        <v>-6489.2090657656963</v>
      </c>
      <c r="AJ192" s="1118">
        <f>CF!AJ53</f>
        <v>-6448.6564497883573</v>
      </c>
      <c r="AK192" s="1011">
        <f>CF!AK53</f>
        <v>-24782.412540971549</v>
      </c>
    </row>
    <row r="193" spans="1:37" s="299" customFormat="1" ht="12.75" hidden="1" customHeight="1" outlineLevel="1">
      <c r="A193" s="283"/>
      <c r="B193" s="479" t="s">
        <v>490</v>
      </c>
      <c r="C193" s="656"/>
      <c r="D193" s="288"/>
      <c r="E193" s="288"/>
      <c r="F193" s="288"/>
      <c r="G193" s="1352"/>
      <c r="H193" s="656"/>
      <c r="I193" s="786"/>
      <c r="J193" s="786"/>
      <c r="K193" s="288"/>
      <c r="L193" s="1352"/>
      <c r="M193" s="656"/>
      <c r="N193" s="786"/>
      <c r="O193" s="1353"/>
      <c r="P193" s="786"/>
      <c r="Q193" s="1352"/>
      <c r="R193" s="656">
        <f>R76-R170-R177-R184+R82</f>
        <v>851.75300000000004</v>
      </c>
      <c r="S193" s="656">
        <f>S76-S170-S177-S184+S82</f>
        <v>3412.9919999999997</v>
      </c>
      <c r="T193" s="656">
        <f>T76-T170-T177-T184+T82</f>
        <v>-231.83699999999922</v>
      </c>
      <c r="U193" s="656">
        <f>U76-U170-U177-U184+U82</f>
        <v>1727.6647500000008</v>
      </c>
      <c r="V193" s="1352">
        <f>SUM(R193:U193)</f>
        <v>5760.5727500000012</v>
      </c>
      <c r="W193" s="656">
        <f>W76-W170-W177-W184+W82</f>
        <v>351.57974999999988</v>
      </c>
      <c r="X193" s="656">
        <f>X76-X170-X177-X184+X82</f>
        <v>288.69275000000016</v>
      </c>
      <c r="Y193" s="656">
        <f>Y76-Y170-Y177-Y184+Y82</f>
        <v>362.85975000000008</v>
      </c>
      <c r="Z193" s="656">
        <f>Z76-Z170-Z177-Z184+Z82</f>
        <v>255.96875</v>
      </c>
      <c r="AA193" s="1352">
        <f>SUM(W193:Z193)</f>
        <v>1259.1010000000001</v>
      </c>
      <c r="AB193" s="656">
        <f>AB76-AB170-AB177-AB184+AB82</f>
        <v>455.50665500000014</v>
      </c>
      <c r="AC193" s="656">
        <f>AC76-AC170-AC177-AC184+AC82</f>
        <v>443.4984599999998</v>
      </c>
      <c r="AD193" s="656">
        <f>AD76-AD170-AD177-AD184+AD82</f>
        <v>464.64846000000034</v>
      </c>
      <c r="AE193" s="656">
        <f>AE76-AE170-AE177-AE184+AE82</f>
        <v>499.59846000000016</v>
      </c>
      <c r="AF193" s="1352">
        <f>SUM(AB193:AE193)</f>
        <v>1863.2520350000004</v>
      </c>
      <c r="AG193" s="656">
        <f>AG76-AG170-AG177-AG184+AG82</f>
        <v>387.93165500000032</v>
      </c>
      <c r="AH193" s="656">
        <f>AH76-AH170-AH177-AH184+AH82</f>
        <v>395.2484599999998</v>
      </c>
      <c r="AI193" s="656">
        <f>AI76-AI170-AI177-AI184+AI82</f>
        <v>410.92345999999998</v>
      </c>
      <c r="AJ193" s="656">
        <f>AJ76-AJ170-AJ177-AJ184+AJ82</f>
        <v>441.6734600000002</v>
      </c>
      <c r="AK193" s="1352">
        <f>SUM(AG193:AJ193)</f>
        <v>1635.7770350000003</v>
      </c>
    </row>
    <row r="194" spans="1:37" s="299" customFormat="1" ht="12.75" hidden="1" customHeight="1" outlineLevel="1">
      <c r="A194" s="283"/>
      <c r="B194" s="479" t="s">
        <v>483</v>
      </c>
      <c r="C194" s="656"/>
      <c r="D194" s="288"/>
      <c r="E194" s="288"/>
      <c r="F194" s="288"/>
      <c r="G194" s="1352"/>
      <c r="H194" s="656"/>
      <c r="I194" s="786"/>
      <c r="J194" s="786"/>
      <c r="K194" s="288"/>
      <c r="L194" s="1352"/>
      <c r="M194" s="656"/>
      <c r="N194" s="786"/>
      <c r="O194" s="1353"/>
      <c r="P194" s="1393"/>
      <c r="Q194" s="1011"/>
      <c r="R194" s="1118">
        <f>BS!R110</f>
        <v>0</v>
      </c>
      <c r="S194" s="1118">
        <f>BS!S110</f>
        <v>0</v>
      </c>
      <c r="T194" s="1118">
        <f>BS!T110</f>
        <v>0</v>
      </c>
      <c r="U194" s="1118">
        <f>BS!U110</f>
        <v>0</v>
      </c>
      <c r="V194" s="1011">
        <f>BS!V110</f>
        <v>0</v>
      </c>
      <c r="W194" s="1118">
        <f>BS!W110</f>
        <v>0</v>
      </c>
      <c r="X194" s="1118">
        <f>BS!X110</f>
        <v>0</v>
      </c>
      <c r="Y194" s="1118">
        <f>BS!Y110</f>
        <v>0</v>
      </c>
      <c r="Z194" s="1118">
        <f>BS!Z110</f>
        <v>0</v>
      </c>
      <c r="AA194" s="1011">
        <f>BS!AA110</f>
        <v>0</v>
      </c>
      <c r="AB194" s="1118">
        <f>BS!AB110</f>
        <v>0</v>
      </c>
      <c r="AC194" s="1118">
        <f>BS!AC110</f>
        <v>0</v>
      </c>
      <c r="AD194" s="1118">
        <f>BS!AD110</f>
        <v>0</v>
      </c>
      <c r="AE194" s="1118">
        <f>BS!AE110</f>
        <v>0</v>
      </c>
      <c r="AF194" s="1011">
        <f>BS!AF110</f>
        <v>0</v>
      </c>
      <c r="AG194" s="1118">
        <f>BS!AG110</f>
        <v>0</v>
      </c>
      <c r="AH194" s="1118">
        <f>BS!AH110</f>
        <v>0</v>
      </c>
      <c r="AI194" s="1118">
        <f>BS!AI110</f>
        <v>0</v>
      </c>
      <c r="AJ194" s="1118">
        <f>BS!AJ110</f>
        <v>0</v>
      </c>
      <c r="AK194" s="1011">
        <f>BS!AK110</f>
        <v>0</v>
      </c>
    </row>
    <row r="195" spans="1:37" s="299" customFormat="1" ht="12.75" hidden="1" customHeight="1" outlineLevel="1">
      <c r="A195" s="283"/>
      <c r="B195" s="479" t="s">
        <v>484</v>
      </c>
      <c r="C195" s="656"/>
      <c r="D195" s="288"/>
      <c r="E195" s="288"/>
      <c r="F195" s="288"/>
      <c r="G195" s="1352"/>
      <c r="H195" s="656"/>
      <c r="I195" s="786"/>
      <c r="J195" s="786"/>
      <c r="K195" s="288"/>
      <c r="L195" s="1352"/>
      <c r="M195" s="656"/>
      <c r="N195" s="786"/>
      <c r="O195" s="1353"/>
      <c r="P195" s="786"/>
      <c r="Q195" s="1352"/>
      <c r="R195" s="656">
        <f>R85</f>
        <v>-262.05899999999997</v>
      </c>
      <c r="S195" s="656">
        <f>S85</f>
        <v>-1355.201</v>
      </c>
      <c r="T195" s="656">
        <f>T85</f>
        <v>-459.59199999999998</v>
      </c>
      <c r="U195" s="656">
        <f>U85</f>
        <v>-1300.7460000000001</v>
      </c>
      <c r="V195" s="1352">
        <f>SUM(R195:U195)</f>
        <v>-3377.598</v>
      </c>
      <c r="W195" s="656">
        <f>W85</f>
        <v>-715.11504000000002</v>
      </c>
      <c r="X195" s="656">
        <f>X85</f>
        <v>-773.85153660000003</v>
      </c>
      <c r="Y195" s="656">
        <f>Y85</f>
        <v>-860.06596022300005</v>
      </c>
      <c r="Z195" s="656">
        <f>Z85</f>
        <v>-880.84411705416005</v>
      </c>
      <c r="AA195" s="1352">
        <f>SUM(W195:Z195)</f>
        <v>-3229.8766538771602</v>
      </c>
      <c r="AB195" s="656">
        <f>AB85</f>
        <v>-871.41826115105562</v>
      </c>
      <c r="AC195" s="656">
        <f>AC85</f>
        <v>-871.41826115105562</v>
      </c>
      <c r="AD195" s="656">
        <f>AD85</f>
        <v>-871.41826115105562</v>
      </c>
      <c r="AE195" s="656">
        <f>AE85</f>
        <v>-871.41826115105562</v>
      </c>
      <c r="AF195" s="1352">
        <f>SUM(AB195:AE195)</f>
        <v>-3485.6730446042225</v>
      </c>
      <c r="AG195" s="656">
        <f>AG85</f>
        <v>-971.84502028667566</v>
      </c>
      <c r="AH195" s="656">
        <f>AH85</f>
        <v>-776.34502028667566</v>
      </c>
      <c r="AI195" s="656">
        <f>AI85</f>
        <v>-776.34502028667566</v>
      </c>
      <c r="AJ195" s="656">
        <f>AJ85</f>
        <v>-776.34502028667566</v>
      </c>
      <c r="AK195" s="1352">
        <f>SUM(AG195:AJ195)</f>
        <v>-3300.8800811467027</v>
      </c>
    </row>
    <row r="196" spans="1:37" s="299" customFormat="1" ht="12.75" hidden="1" customHeight="1" outlineLevel="1">
      <c r="A196" s="283"/>
      <c r="B196" s="479" t="s">
        <v>485</v>
      </c>
      <c r="C196" s="656"/>
      <c r="D196" s="288"/>
      <c r="E196" s="288"/>
      <c r="F196" s="288"/>
      <c r="G196" s="1352"/>
      <c r="H196" s="656"/>
      <c r="I196" s="786"/>
      <c r="J196" s="786"/>
      <c r="K196" s="288"/>
      <c r="L196" s="1352"/>
      <c r="M196" s="656"/>
      <c r="N196" s="786"/>
      <c r="O196" s="1353"/>
      <c r="P196" s="786"/>
      <c r="Q196" s="1352"/>
      <c r="R196" s="656">
        <f>-(CF!R80+CF!R81)</f>
        <v>-1241.3600000000001</v>
      </c>
      <c r="S196" s="656">
        <f>-(CF!S80+CF!S81)</f>
        <v>-900.7</v>
      </c>
      <c r="T196" s="656">
        <f>-(CF!T80+CF!T81)</f>
        <v>-1074.2919999999999</v>
      </c>
      <c r="U196" s="656">
        <f>-(CF!U80+CF!U81)</f>
        <v>-1074.2919999999999</v>
      </c>
      <c r="V196" s="1352">
        <f>SUM(R196:U196)</f>
        <v>-4290.6440000000002</v>
      </c>
      <c r="W196" s="656">
        <f>-(CF!W80+CF!W81)</f>
        <v>-1074.2919999999999</v>
      </c>
      <c r="X196" s="656">
        <f>-(CF!X80+CF!X81)</f>
        <v>-1074.2919999999999</v>
      </c>
      <c r="Y196" s="656">
        <f>-(CF!Y80+CF!Y81)</f>
        <v>-1074.2919999999999</v>
      </c>
      <c r="Z196" s="656">
        <f>-(CF!Z80+CF!Z81)</f>
        <v>-1074.2919999999999</v>
      </c>
      <c r="AA196" s="1352">
        <f>SUM(W196:Z196)</f>
        <v>-4297.1679999999997</v>
      </c>
      <c r="AB196" s="656">
        <f>-(CF!AB80+CF!AB81)</f>
        <v>-1074.2919999999999</v>
      </c>
      <c r="AC196" s="656">
        <f>-(CF!AC80+CF!AC81)</f>
        <v>-1074.2919999999999</v>
      </c>
      <c r="AD196" s="656">
        <f>-(CF!AD80+CF!AD81)</f>
        <v>-1074.2919999999999</v>
      </c>
      <c r="AE196" s="656">
        <f>-(CF!AE80+CF!AE81)</f>
        <v>-1074.2919999999999</v>
      </c>
      <c r="AF196" s="1352">
        <f>SUM(AB196:AE196)</f>
        <v>-4297.1679999999997</v>
      </c>
      <c r="AG196" s="656">
        <f>-(CF!AG80+CF!AG81)</f>
        <v>-1074.2919999999999</v>
      </c>
      <c r="AH196" s="656">
        <f>-(CF!AH80+CF!AH81)</f>
        <v>-1074.2919999999999</v>
      </c>
      <c r="AI196" s="656">
        <f>-(CF!AI80+CF!AI81)</f>
        <v>-1074.2919999999999</v>
      </c>
      <c r="AJ196" s="656">
        <f>-(CF!AJ80+CF!AJ81)</f>
        <v>-1074.2919999999999</v>
      </c>
      <c r="AK196" s="1352">
        <f>SUM(AG196:AJ196)</f>
        <v>-4297.1679999999997</v>
      </c>
    </row>
    <row r="197" spans="1:37" s="299" customFormat="1" ht="12.75" hidden="1" customHeight="1" outlineLevel="1">
      <c r="A197" s="283"/>
      <c r="B197" s="479" t="s">
        <v>486</v>
      </c>
      <c r="C197" s="656"/>
      <c r="D197" s="288"/>
      <c r="E197" s="288"/>
      <c r="F197" s="288"/>
      <c r="G197" s="1352"/>
      <c r="H197" s="656"/>
      <c r="I197" s="786"/>
      <c r="J197" s="786"/>
      <c r="K197" s="288"/>
      <c r="L197" s="1352"/>
      <c r="M197" s="656"/>
      <c r="N197" s="786"/>
      <c r="O197" s="1353"/>
      <c r="P197" s="786"/>
      <c r="Q197" s="1352"/>
      <c r="R197" s="656"/>
      <c r="S197" s="1394">
        <v>-1000</v>
      </c>
      <c r="T197" s="1394">
        <f>S197</f>
        <v>-1000</v>
      </c>
      <c r="U197" s="1394">
        <f>T197</f>
        <v>-1000</v>
      </c>
      <c r="V197" s="1352">
        <f>U197</f>
        <v>-1000</v>
      </c>
      <c r="W197" s="1394">
        <f>U197</f>
        <v>-1000</v>
      </c>
      <c r="X197" s="1394">
        <f>W197</f>
        <v>-1000</v>
      </c>
      <c r="Y197" s="1394">
        <f>X197</f>
        <v>-1000</v>
      </c>
      <c r="Z197" s="1394">
        <f>Y197</f>
        <v>-1000</v>
      </c>
      <c r="AA197" s="1352">
        <f>Z197</f>
        <v>-1000</v>
      </c>
      <c r="AB197" s="1394">
        <f>Z197</f>
        <v>-1000</v>
      </c>
      <c r="AC197" s="1394">
        <f>AB197</f>
        <v>-1000</v>
      </c>
      <c r="AD197" s="1394">
        <f>AC197</f>
        <v>-1000</v>
      </c>
      <c r="AE197" s="1394">
        <f>AD197</f>
        <v>-1000</v>
      </c>
      <c r="AF197" s="1352">
        <f>AE197</f>
        <v>-1000</v>
      </c>
      <c r="AG197" s="1394">
        <f>AE197</f>
        <v>-1000</v>
      </c>
      <c r="AH197" s="1394">
        <f>AG197</f>
        <v>-1000</v>
      </c>
      <c r="AI197" s="1394">
        <f>AH197</f>
        <v>-1000</v>
      </c>
      <c r="AJ197" s="1394">
        <f>AI197</f>
        <v>-1000</v>
      </c>
      <c r="AK197" s="1352">
        <f>AJ197</f>
        <v>-1000</v>
      </c>
    </row>
    <row r="198" spans="1:37" s="299" customFormat="1" ht="12.75" hidden="1" customHeight="1" outlineLevel="1">
      <c r="A198" s="283"/>
      <c r="B198" s="861" t="s">
        <v>487</v>
      </c>
      <c r="C198" s="1395"/>
      <c r="D198" s="1396"/>
      <c r="E198" s="1396"/>
      <c r="F198" s="1396"/>
      <c r="G198" s="1397"/>
      <c r="H198" s="1395"/>
      <c r="I198" s="1398"/>
      <c r="J198" s="1398"/>
      <c r="K198" s="1396"/>
      <c r="L198" s="1397"/>
      <c r="M198" s="1395"/>
      <c r="N198" s="1398"/>
      <c r="O198" s="1399"/>
      <c r="P198" s="1398"/>
      <c r="Q198" s="1397"/>
      <c r="R198" s="1395">
        <f>SUM(R190:R197)</f>
        <v>12.283999999999878</v>
      </c>
      <c r="S198" s="1395">
        <f t="shared" ref="S198:AF198" si="46">SUM(S190:S197)</f>
        <v>-18.506000000000995</v>
      </c>
      <c r="T198" s="1395">
        <f t="shared" si="46"/>
        <v>-2382.9879999999989</v>
      </c>
      <c r="U198" s="1395">
        <f t="shared" si="46"/>
        <v>-4766.1864443845152</v>
      </c>
      <c r="V198" s="1397">
        <f>SUM(V190:V197)</f>
        <v>-12695.486444384514</v>
      </c>
      <c r="W198" s="1395">
        <f t="shared" si="46"/>
        <v>-7240.9059880954865</v>
      </c>
      <c r="X198" s="1395">
        <f t="shared" si="46"/>
        <v>-6133.5094024486734</v>
      </c>
      <c r="Y198" s="1395">
        <f t="shared" si="46"/>
        <v>-2879.7216380057744</v>
      </c>
      <c r="Z198" s="1395">
        <f t="shared" si="46"/>
        <v>-443.8463107210996</v>
      </c>
      <c r="AA198" s="1397">
        <f t="shared" si="46"/>
        <v>-20178.515854737696</v>
      </c>
      <c r="AB198" s="1395">
        <f t="shared" si="46"/>
        <v>-3003.8661477116661</v>
      </c>
      <c r="AC198" s="1395">
        <f t="shared" si="46"/>
        <v>-4966.3290762099141</v>
      </c>
      <c r="AD198" s="1395">
        <f t="shared" si="46"/>
        <v>-3081.58933431082</v>
      </c>
      <c r="AE198" s="1395">
        <f t="shared" si="46"/>
        <v>-607.97260423730677</v>
      </c>
      <c r="AF198" s="1397">
        <f t="shared" si="46"/>
        <v>-16308.912354237307</v>
      </c>
      <c r="AG198" s="1395">
        <f>SUM(AG190:AG197)</f>
        <v>-2960.0291908406771</v>
      </c>
      <c r="AH198" s="1395">
        <f>SUM(AH190:AH197)</f>
        <v>-3670.3288063118252</v>
      </c>
      <c r="AI198" s="1395">
        <f>SUM(AI190:AI197)</f>
        <v>-2204.8235801379406</v>
      </c>
      <c r="AJ198" s="1395">
        <f>SUM(AJ190:AJ197)</f>
        <v>399.90385986768069</v>
      </c>
      <c r="AK198" s="1397">
        <f>SUM(AK190:AK197)</f>
        <v>-13830.585890132314</v>
      </c>
    </row>
    <row r="199" spans="1:37" s="299" customFormat="1" ht="12.75" hidden="1" customHeight="1" outlineLevel="1">
      <c r="A199" s="283"/>
      <c r="B199" s="743"/>
      <c r="C199" s="656"/>
      <c r="D199" s="288"/>
      <c r="E199" s="288"/>
      <c r="F199" s="288"/>
      <c r="G199" s="1352"/>
      <c r="H199" s="656"/>
      <c r="I199" s="786"/>
      <c r="J199" s="786"/>
      <c r="K199" s="288"/>
      <c r="L199" s="1352"/>
      <c r="M199" s="656"/>
      <c r="N199" s="786"/>
      <c r="O199" s="1353"/>
      <c r="P199" s="786"/>
      <c r="Q199" s="1352"/>
      <c r="R199" s="1400"/>
      <c r="S199" s="1400"/>
      <c r="T199" s="1400"/>
      <c r="U199" s="1400"/>
      <c r="V199" s="1401"/>
      <c r="W199" s="1400"/>
      <c r="X199" s="1400"/>
      <c r="Y199" s="1400"/>
      <c r="Z199" s="1400"/>
      <c r="AA199" s="1401"/>
      <c r="AB199" s="656"/>
      <c r="AC199" s="656"/>
      <c r="AD199" s="656"/>
      <c r="AE199" s="656"/>
      <c r="AF199" s="1352"/>
      <c r="AG199" s="656"/>
      <c r="AH199" s="656"/>
      <c r="AI199" s="656"/>
      <c r="AJ199" s="656"/>
      <c r="AK199" s="1352"/>
    </row>
    <row r="200" spans="1:37" s="492" customFormat="1" ht="12.75" hidden="1" customHeight="1" outlineLevel="1">
      <c r="A200" s="1333"/>
      <c r="B200" s="905" t="s">
        <v>488</v>
      </c>
      <c r="C200" s="1402"/>
      <c r="D200" s="1403"/>
      <c r="E200" s="1403"/>
      <c r="F200" s="1403"/>
      <c r="G200" s="1404"/>
      <c r="H200" s="1402"/>
      <c r="I200" s="1405"/>
      <c r="J200" s="1405"/>
      <c r="K200" s="1403"/>
      <c r="L200" s="1404"/>
      <c r="M200" s="1402"/>
      <c r="N200" s="1405"/>
      <c r="O200" s="1406"/>
      <c r="P200" s="1405"/>
      <c r="Q200" s="1404"/>
      <c r="R200" s="1402"/>
      <c r="S200" s="1402"/>
      <c r="T200" s="1402"/>
      <c r="U200" s="1402">
        <f t="shared" ref="U200:AE200" si="47">IF(U198&lt;0,-U198,0)</f>
        <v>4766.1864443845152</v>
      </c>
      <c r="V200" s="1404"/>
      <c r="W200" s="1402">
        <f t="shared" si="47"/>
        <v>7240.9059880954865</v>
      </c>
      <c r="X200" s="1402">
        <f t="shared" si="47"/>
        <v>6133.5094024486734</v>
      </c>
      <c r="Y200" s="1402">
        <f t="shared" si="47"/>
        <v>2879.7216380057744</v>
      </c>
      <c r="Z200" s="1402">
        <f t="shared" si="47"/>
        <v>443.8463107210996</v>
      </c>
      <c r="AA200" s="1404"/>
      <c r="AB200" s="1402">
        <f t="shared" si="47"/>
        <v>3003.8661477116661</v>
      </c>
      <c r="AC200" s="1402">
        <f t="shared" si="47"/>
        <v>4966.3290762099141</v>
      </c>
      <c r="AD200" s="1402">
        <f t="shared" si="47"/>
        <v>3081.58933431082</v>
      </c>
      <c r="AE200" s="1402">
        <f t="shared" si="47"/>
        <v>607.97260423730677</v>
      </c>
      <c r="AF200" s="1404"/>
      <c r="AG200" s="1402">
        <f>IF(AG198&lt;0,-AG198,0)</f>
        <v>2960.0291908406771</v>
      </c>
      <c r="AH200" s="1402">
        <f>IF(AH198&lt;0,-AH198,0)</f>
        <v>3670.3288063118252</v>
      </c>
      <c r="AI200" s="1402">
        <f>IF(AI198&lt;0,-AI198,0)</f>
        <v>2204.8235801379406</v>
      </c>
      <c r="AJ200" s="1402">
        <f>IF(AJ198&lt;0,-AJ198,0)</f>
        <v>0</v>
      </c>
      <c r="AK200" s="1404"/>
    </row>
    <row r="201" spans="1:37" s="600" customFormat="1" ht="12.75" hidden="1" customHeight="1" outlineLevel="1">
      <c r="A201" s="548"/>
      <c r="B201" s="743" t="s">
        <v>520</v>
      </c>
      <c r="C201" s="727"/>
      <c r="D201" s="604"/>
      <c r="E201" s="604"/>
      <c r="F201" s="604"/>
      <c r="G201" s="554"/>
      <c r="H201" s="727"/>
      <c r="I201" s="728"/>
      <c r="J201" s="728"/>
      <c r="K201" s="604"/>
      <c r="L201" s="554"/>
      <c r="M201" s="727"/>
      <c r="N201" s="728"/>
      <c r="O201" s="587"/>
      <c r="P201" s="728"/>
      <c r="Q201" s="554"/>
      <c r="R201" s="727"/>
      <c r="S201" s="727"/>
      <c r="T201" s="727"/>
      <c r="U201" s="727" t="str">
        <f>IF(U170&lt;U200,"XX","OK")</f>
        <v>OK</v>
      </c>
      <c r="V201" s="554"/>
      <c r="W201" s="727" t="str">
        <f>IF(W177&lt;W200,"XX","OK")</f>
        <v>OK</v>
      </c>
      <c r="X201" s="727" t="str">
        <f>IF(X177&lt;X200,"XX","OK")</f>
        <v>OK</v>
      </c>
      <c r="Y201" s="727" t="str">
        <f>IF(Y177&lt;Y200,"XX","OK")</f>
        <v>OK</v>
      </c>
      <c r="Z201" s="727" t="str">
        <f>IF(Z177&lt;Z200,"XX","OK")</f>
        <v>OK</v>
      </c>
      <c r="AA201" s="1032"/>
      <c r="AB201" s="727" t="str">
        <f>IF(AB184&lt;AB200,"XX","OK")</f>
        <v>OK</v>
      </c>
      <c r="AC201" s="727" t="str">
        <f>IF(AC184&lt;AC200,"XX","OK")</f>
        <v>OK</v>
      </c>
      <c r="AD201" s="727" t="str">
        <f>IF(AD184&lt;AD200,"XX","OK")</f>
        <v>OK</v>
      </c>
      <c r="AE201" s="727" t="str">
        <f>IF(AE184&lt;AE200,"XX","OK")</f>
        <v>OK</v>
      </c>
      <c r="AF201" s="554"/>
      <c r="AG201" s="727" t="str">
        <f>IF(AG184&lt;AG200,"XX","OK")</f>
        <v>OK</v>
      </c>
      <c r="AH201" s="727" t="str">
        <f>IF(AH184&lt;AH200,"XX","OK")</f>
        <v>OK</v>
      </c>
      <c r="AI201" s="727" t="str">
        <f>IF(AI184&lt;AI200,"XX","OK")</f>
        <v>OK</v>
      </c>
      <c r="AJ201" s="727" t="str">
        <f>IF(AJ184&lt;AJ200,"XX","OK")</f>
        <v>OK</v>
      </c>
      <c r="AK201" s="554"/>
    </row>
    <row r="202" spans="1:37" s="600" customFormat="1" ht="12.75" hidden="1" customHeight="1" outlineLevel="1">
      <c r="A202" s="548"/>
      <c r="B202" s="743"/>
      <c r="C202" s="727"/>
      <c r="D202" s="604"/>
      <c r="E202" s="604"/>
      <c r="F202" s="604"/>
      <c r="G202" s="554"/>
      <c r="H202" s="727"/>
      <c r="I202" s="728"/>
      <c r="J202" s="728"/>
      <c r="K202" s="604"/>
      <c r="L202" s="554"/>
      <c r="M202" s="727"/>
      <c r="N202" s="728"/>
      <c r="O202" s="587"/>
      <c r="P202" s="728"/>
      <c r="Q202" s="554"/>
      <c r="R202" s="727"/>
      <c r="S202" s="727"/>
      <c r="T202" s="727"/>
      <c r="U202" s="727"/>
      <c r="V202" s="554"/>
      <c r="W202" s="727"/>
      <c r="X202" s="727"/>
      <c r="Y202" s="727"/>
      <c r="Z202" s="727"/>
      <c r="AA202" s="1032"/>
      <c r="AB202" s="727"/>
      <c r="AC202" s="727"/>
      <c r="AD202" s="727"/>
      <c r="AE202" s="727"/>
      <c r="AF202" s="554"/>
      <c r="AG202" s="727"/>
      <c r="AH202" s="727"/>
      <c r="AI202" s="727"/>
      <c r="AJ202" s="727"/>
      <c r="AK202" s="554"/>
    </row>
    <row r="203" spans="1:37" ht="12.75" customHeight="1" collapsed="1">
      <c r="B203" s="433"/>
      <c r="C203" s="770"/>
      <c r="D203" s="102"/>
      <c r="E203" s="102"/>
      <c r="F203" s="102"/>
      <c r="G203" s="255"/>
      <c r="H203" s="616"/>
      <c r="I203" s="291"/>
      <c r="J203" s="291"/>
      <c r="K203" s="102"/>
      <c r="L203" s="255"/>
      <c r="M203" s="616"/>
      <c r="N203" s="291"/>
      <c r="O203" s="291"/>
      <c r="P203" s="291"/>
      <c r="Q203" s="255"/>
      <c r="R203" s="616"/>
      <c r="S203" s="291"/>
      <c r="T203" s="291"/>
      <c r="U203" s="291"/>
      <c r="V203" s="255"/>
      <c r="W203" s="616"/>
      <c r="X203" s="291"/>
      <c r="Y203" s="291"/>
      <c r="Z203" s="291"/>
      <c r="AA203" s="255"/>
      <c r="AB203" s="616"/>
      <c r="AC203" s="291"/>
      <c r="AD203" s="291"/>
      <c r="AE203" s="291"/>
      <c r="AF203" s="255"/>
      <c r="AG203" s="616"/>
      <c r="AH203" s="291"/>
      <c r="AI203" s="291"/>
      <c r="AJ203" s="291"/>
      <c r="AK203" s="255"/>
    </row>
    <row r="204" spans="1:37" s="269" customFormat="1" ht="12.75" customHeight="1">
      <c r="A204" s="416"/>
      <c r="B204" s="763" t="s">
        <v>366</v>
      </c>
      <c r="C204" s="764" t="s">
        <v>355</v>
      </c>
      <c r="D204" s="429" t="s">
        <v>332</v>
      </c>
      <c r="E204" s="429" t="s">
        <v>333</v>
      </c>
      <c r="F204" s="429" t="s">
        <v>334</v>
      </c>
      <c r="G204" s="254"/>
      <c r="H204" s="655"/>
      <c r="I204" s="608"/>
      <c r="J204" s="608"/>
      <c r="K204" s="290"/>
      <c r="L204" s="254"/>
      <c r="M204" s="655"/>
      <c r="N204" s="608"/>
      <c r="O204" s="608"/>
      <c r="P204" s="608"/>
      <c r="Q204" s="254"/>
      <c r="R204" s="655"/>
      <c r="S204" s="608"/>
      <c r="T204" s="608"/>
      <c r="U204" s="608"/>
      <c r="V204" s="254"/>
      <c r="W204" s="655"/>
      <c r="X204" s="608"/>
      <c r="Y204" s="608"/>
      <c r="Z204" s="608"/>
      <c r="AA204" s="254"/>
      <c r="AB204" s="655"/>
      <c r="AC204" s="608"/>
      <c r="AD204" s="608"/>
      <c r="AE204" s="608"/>
      <c r="AF204" s="254"/>
      <c r="AG204" s="655"/>
      <c r="AH204" s="608"/>
      <c r="AI204" s="608"/>
      <c r="AJ204" s="608"/>
      <c r="AK204" s="254"/>
    </row>
    <row r="205" spans="1:37" s="470" customFormat="1" ht="12.75" hidden="1" customHeight="1" outlineLevel="1">
      <c r="A205" s="416"/>
      <c r="B205" s="950" t="s">
        <v>535</v>
      </c>
      <c r="C205" s="1354">
        <v>1000</v>
      </c>
      <c r="D205" s="1355" t="s">
        <v>336</v>
      </c>
      <c r="E205" s="1356">
        <v>9.5579999999999998E-2</v>
      </c>
      <c r="F205" s="1356"/>
      <c r="G205" s="661"/>
      <c r="H205" s="698"/>
      <c r="I205" s="698"/>
      <c r="J205" s="698"/>
      <c r="K205" s="698">
        <v>0</v>
      </c>
      <c r="L205" s="494">
        <f>K205</f>
        <v>0</v>
      </c>
      <c r="M205" s="698">
        <v>0</v>
      </c>
      <c r="N205" s="698">
        <v>0</v>
      </c>
      <c r="O205" s="698">
        <v>0</v>
      </c>
      <c r="P205" s="698">
        <v>1000</v>
      </c>
      <c r="Q205" s="564">
        <f>P205</f>
        <v>1000</v>
      </c>
      <c r="R205" s="698">
        <v>1000</v>
      </c>
      <c r="S205" s="698">
        <v>0</v>
      </c>
      <c r="T205" s="493">
        <f>S205+T206+T207</f>
        <v>0</v>
      </c>
      <c r="U205" s="493">
        <f>T205+U206+U207</f>
        <v>0</v>
      </c>
      <c r="V205" s="564">
        <f>U205</f>
        <v>0</v>
      </c>
      <c r="W205" s="493">
        <f>V205+W206+W207</f>
        <v>0</v>
      </c>
      <c r="X205" s="493">
        <f>W205+X206+X207</f>
        <v>0</v>
      </c>
      <c r="Y205" s="493">
        <f>X205+Y206+Y207</f>
        <v>0</v>
      </c>
      <c r="Z205" s="493">
        <f>Y205+Z206+Z207</f>
        <v>0</v>
      </c>
      <c r="AA205" s="564">
        <f>Z205</f>
        <v>0</v>
      </c>
      <c r="AB205" s="493">
        <f>AA205+AB206+AB207</f>
        <v>0</v>
      </c>
      <c r="AC205" s="493">
        <f>AB205+AC206+AC207</f>
        <v>0</v>
      </c>
      <c r="AD205" s="493">
        <f>AC205+AD206+AD207</f>
        <v>0</v>
      </c>
      <c r="AE205" s="493">
        <f>AD205+AE206+AE207</f>
        <v>0</v>
      </c>
      <c r="AF205" s="564">
        <f>AE205</f>
        <v>0</v>
      </c>
      <c r="AG205" s="493">
        <f>AF205+AG206+AG207</f>
        <v>0</v>
      </c>
      <c r="AH205" s="493">
        <f>AG205+AH206+AH207</f>
        <v>0</v>
      </c>
      <c r="AI205" s="493">
        <f>AH205+AI206+AI207</f>
        <v>0</v>
      </c>
      <c r="AJ205" s="493">
        <f>AI205+AJ206+AJ207</f>
        <v>0</v>
      </c>
      <c r="AK205" s="564">
        <f>AJ205</f>
        <v>0</v>
      </c>
    </row>
    <row r="206" spans="1:37" s="470" customFormat="1" ht="12.75" hidden="1" customHeight="1" outlineLevel="1">
      <c r="A206" s="548"/>
      <c r="B206" s="862" t="s">
        <v>449</v>
      </c>
      <c r="C206" s="766"/>
      <c r="D206" s="724"/>
      <c r="E206" s="724"/>
      <c r="F206" s="724"/>
      <c r="G206" s="725"/>
      <c r="H206" s="715"/>
      <c r="I206" s="715"/>
      <c r="J206" s="715"/>
      <c r="K206" s="715"/>
      <c r="L206" s="713"/>
      <c r="M206" s="715"/>
      <c r="N206" s="715"/>
      <c r="O206" s="715"/>
      <c r="P206" s="715">
        <v>1000</v>
      </c>
      <c r="Q206" s="726"/>
      <c r="R206" s="781">
        <v>0</v>
      </c>
      <c r="S206" s="781">
        <v>0</v>
      </c>
      <c r="T206" s="715">
        <v>0</v>
      </c>
      <c r="U206" s="715">
        <f>T206</f>
        <v>0</v>
      </c>
      <c r="V206" s="726">
        <f>SUM(R206:U206)</f>
        <v>0</v>
      </c>
      <c r="W206" s="715">
        <v>0</v>
      </c>
      <c r="X206" s="715">
        <f>W206</f>
        <v>0</v>
      </c>
      <c r="Y206" s="715">
        <f>X206</f>
        <v>0</v>
      </c>
      <c r="Z206" s="715">
        <f>Y206</f>
        <v>0</v>
      </c>
      <c r="AA206" s="726">
        <f>SUM(W206:Z206)</f>
        <v>0</v>
      </c>
      <c r="AB206" s="715">
        <v>0</v>
      </c>
      <c r="AC206" s="715">
        <f>AB206</f>
        <v>0</v>
      </c>
      <c r="AD206" s="715">
        <f>AC206</f>
        <v>0</v>
      </c>
      <c r="AE206" s="715">
        <f>AD206</f>
        <v>0</v>
      </c>
      <c r="AF206" s="726">
        <f>SUM(AB206:AE206)</f>
        <v>0</v>
      </c>
      <c r="AG206" s="715">
        <v>0</v>
      </c>
      <c r="AH206" s="715">
        <f>AG206</f>
        <v>0</v>
      </c>
      <c r="AI206" s="715">
        <f>AH206</f>
        <v>0</v>
      </c>
      <c r="AJ206" s="715">
        <f>AI206</f>
        <v>0</v>
      </c>
      <c r="AK206" s="726">
        <f>SUM(AG206:AJ206)</f>
        <v>0</v>
      </c>
    </row>
    <row r="207" spans="1:37" s="470" customFormat="1" ht="12.75" hidden="1" customHeight="1" outlineLevel="1">
      <c r="A207" s="548"/>
      <c r="B207" s="862" t="s">
        <v>448</v>
      </c>
      <c r="C207" s="766"/>
      <c r="D207" s="724"/>
      <c r="E207" s="724"/>
      <c r="F207" s="724"/>
      <c r="G207" s="725"/>
      <c r="H207" s="715"/>
      <c r="I207" s="715"/>
      <c r="J207" s="715"/>
      <c r="K207" s="715"/>
      <c r="L207" s="713"/>
      <c r="M207" s="715"/>
      <c r="N207" s="715"/>
      <c r="O207" s="715"/>
      <c r="P207" s="712"/>
      <c r="Q207" s="726"/>
      <c r="R207" s="715"/>
      <c r="S207" s="895">
        <f>S205-R205</f>
        <v>-1000</v>
      </c>
      <c r="T207" s="715"/>
      <c r="U207" s="715"/>
      <c r="V207" s="726">
        <f>SUM(R207:U207)</f>
        <v>-1000</v>
      </c>
      <c r="W207" s="715"/>
      <c r="X207" s="715"/>
      <c r="Y207" s="715"/>
      <c r="Z207" s="715"/>
      <c r="AA207" s="726">
        <f>SUM(W207:Z207)</f>
        <v>0</v>
      </c>
      <c r="AB207" s="715"/>
      <c r="AC207" s="715"/>
      <c r="AD207" s="715"/>
      <c r="AE207" s="715"/>
      <c r="AF207" s="726"/>
      <c r="AG207" s="715"/>
      <c r="AH207" s="715"/>
      <c r="AI207" s="715"/>
      <c r="AJ207" s="715"/>
      <c r="AK207" s="726"/>
    </row>
    <row r="208" spans="1:37" s="470" customFormat="1" ht="12.75" hidden="1" customHeight="1" outlineLevel="1">
      <c r="A208" s="548"/>
      <c r="B208" s="862"/>
      <c r="C208" s="766"/>
      <c r="D208" s="724"/>
      <c r="E208" s="724"/>
      <c r="F208" s="724"/>
      <c r="G208" s="725"/>
      <c r="H208" s="715"/>
      <c r="I208" s="715"/>
      <c r="J208" s="715"/>
      <c r="K208" s="715"/>
      <c r="L208" s="713"/>
      <c r="M208" s="715"/>
      <c r="N208" s="715"/>
      <c r="O208" s="715"/>
      <c r="P208" s="712"/>
      <c r="Q208" s="726"/>
      <c r="R208" s="715"/>
      <c r="S208" s="715"/>
      <c r="T208" s="715"/>
      <c r="U208" s="715"/>
      <c r="V208" s="726"/>
      <c r="W208" s="715"/>
      <c r="X208" s="715"/>
      <c r="Y208" s="715"/>
      <c r="Z208" s="715"/>
      <c r="AA208" s="726"/>
      <c r="AB208" s="715"/>
      <c r="AC208" s="715"/>
      <c r="AD208" s="715"/>
      <c r="AE208" s="715"/>
      <c r="AF208" s="726"/>
      <c r="AG208" s="715"/>
      <c r="AH208" s="715"/>
      <c r="AI208" s="715"/>
      <c r="AJ208" s="715"/>
      <c r="AK208" s="726"/>
    </row>
    <row r="209" spans="1:37" s="600" customFormat="1" ht="12.75" hidden="1" customHeight="1" outlineLevel="1">
      <c r="A209" s="548"/>
      <c r="B209" s="864" t="s">
        <v>342</v>
      </c>
      <c r="C209" s="767"/>
      <c r="D209" s="604"/>
      <c r="E209" s="604"/>
      <c r="F209" s="604"/>
      <c r="G209" s="554"/>
      <c r="H209" s="727"/>
      <c r="I209" s="728"/>
      <c r="J209" s="728"/>
      <c r="K209" s="604"/>
      <c r="L209" s="554"/>
      <c r="M209" s="727"/>
      <c r="N209" s="728"/>
      <c r="O209" s="728"/>
      <c r="P209" s="728"/>
      <c r="Q209" s="554"/>
      <c r="R209" s="728">
        <f>AVERAGE(Q205:R205)*($E$205)/4</f>
        <v>23.895</v>
      </c>
      <c r="S209" s="728">
        <f>AVERAGE(R205:S205)*($E$205)/4</f>
        <v>11.9475</v>
      </c>
      <c r="T209" s="728">
        <f>S205*(T$62+0.0475+0.01)/4</f>
        <v>0</v>
      </c>
      <c r="U209" s="728">
        <f>T205*(U$62+0.0475+0.01)/4</f>
        <v>0</v>
      </c>
      <c r="V209" s="554">
        <f>SUM(R209:U209)</f>
        <v>35.842500000000001</v>
      </c>
      <c r="W209" s="728">
        <f>V205*(W$62+0.0475+0.01)/4</f>
        <v>0</v>
      </c>
      <c r="X209" s="728">
        <f>W205*(X$62+0.0475+0.01)/4</f>
        <v>0</v>
      </c>
      <c r="Y209" s="728">
        <f>X205*(Y$62+0.0475+0.01)/4</f>
        <v>0</v>
      </c>
      <c r="Z209" s="728">
        <f>Y205*(Z$62+0.0475+0.01)/4</f>
        <v>0</v>
      </c>
      <c r="AA209" s="554">
        <f>SUM(W209:Z209)</f>
        <v>0</v>
      </c>
      <c r="AB209" s="728">
        <f>AA205*(AB$62+0.0475+0.01)/4</f>
        <v>0</v>
      </c>
      <c r="AC209" s="728">
        <f>AB205*(AC$62+0.0475+0.01)/4</f>
        <v>0</v>
      </c>
      <c r="AD209" s="728">
        <f>AC205*(AD$62+0.0475+0.01)/4</f>
        <v>0</v>
      </c>
      <c r="AE209" s="728">
        <f>AD205*(AE$62+0.0475+0.01)/4</f>
        <v>0</v>
      </c>
      <c r="AF209" s="554">
        <f>SUM(AB209:AE209)</f>
        <v>0</v>
      </c>
      <c r="AG209" s="728">
        <f>AF205*(AG$62+0.0475+0.01)/4</f>
        <v>0</v>
      </c>
      <c r="AH209" s="728">
        <f>AG205*(AH$62+0.0475+0.01)/4</f>
        <v>0</v>
      </c>
      <c r="AI209" s="728">
        <f>AH205*(AI$62+0.0475+0.01)/4</f>
        <v>0</v>
      </c>
      <c r="AJ209" s="728">
        <f>AI205*(AJ$62+0.0475+0.01)/4</f>
        <v>0</v>
      </c>
      <c r="AK209" s="554">
        <f>SUM(AG209:AJ209)</f>
        <v>0</v>
      </c>
    </row>
    <row r="210" spans="1:37" ht="12.75" hidden="1" customHeight="1" outlineLevel="1">
      <c r="B210" s="866"/>
      <c r="C210" s="770"/>
      <c r="D210" s="102"/>
      <c r="E210" s="102"/>
      <c r="F210" s="102"/>
      <c r="G210" s="255"/>
      <c r="H210" s="616"/>
      <c r="I210" s="291"/>
      <c r="J210" s="291"/>
      <c r="K210" s="102"/>
      <c r="L210" s="255"/>
      <c r="M210" s="616"/>
      <c r="N210" s="291"/>
      <c r="O210" s="291"/>
      <c r="P210" s="291"/>
      <c r="Q210" s="255"/>
      <c r="R210" s="616"/>
      <c r="S210" s="291"/>
      <c r="T210" s="291"/>
      <c r="U210" s="291"/>
      <c r="V210" s="255"/>
      <c r="W210" s="616"/>
      <c r="X210" s="291"/>
      <c r="Y210" s="291"/>
      <c r="Z210" s="291"/>
      <c r="AA210" s="255"/>
      <c r="AB210" s="616"/>
      <c r="AC210" s="291"/>
      <c r="AD210" s="291"/>
      <c r="AE210" s="291"/>
      <c r="AF210" s="255"/>
      <c r="AG210" s="616"/>
      <c r="AH210" s="291"/>
      <c r="AI210" s="291"/>
      <c r="AJ210" s="291"/>
      <c r="AK210" s="255"/>
    </row>
    <row r="211" spans="1:37" s="269" customFormat="1" ht="12.75" hidden="1" customHeight="1" outlineLevel="1">
      <c r="A211" s="416"/>
      <c r="B211" s="490"/>
      <c r="C211" s="769"/>
      <c r="D211" s="290"/>
      <c r="E211" s="290"/>
      <c r="F211" s="290"/>
      <c r="G211" s="254"/>
      <c r="H211" s="655"/>
      <c r="I211" s="608"/>
      <c r="J211" s="608"/>
      <c r="K211" s="290"/>
      <c r="L211" s="254"/>
      <c r="M211" s="655"/>
      <c r="N211" s="608"/>
      <c r="O211" s="608"/>
      <c r="P211" s="608"/>
      <c r="Q211" s="254"/>
      <c r="R211" s="655"/>
      <c r="S211" s="608"/>
      <c r="T211" s="608"/>
      <c r="U211" s="608"/>
      <c r="V211" s="254"/>
      <c r="W211" s="655"/>
      <c r="X211" s="608"/>
      <c r="Y211" s="608"/>
      <c r="Z211" s="608"/>
      <c r="AA211" s="254"/>
      <c r="AB211" s="655"/>
      <c r="AC211" s="608"/>
      <c r="AD211" s="608"/>
      <c r="AE211" s="608"/>
      <c r="AF211" s="254"/>
      <c r="AG211" s="655"/>
      <c r="AH211" s="608"/>
      <c r="AI211" s="608"/>
      <c r="AJ211" s="608"/>
      <c r="AK211" s="254"/>
    </row>
    <row r="212" spans="1:37" s="470" customFormat="1" ht="12.75" hidden="1" customHeight="1" outlineLevel="1">
      <c r="A212" s="416"/>
      <c r="B212" s="476" t="s">
        <v>329</v>
      </c>
      <c r="C212" s="1354">
        <v>125</v>
      </c>
      <c r="D212" s="1355" t="s">
        <v>335</v>
      </c>
      <c r="E212" s="1356">
        <v>0.12</v>
      </c>
      <c r="F212" s="1356">
        <v>0.1</v>
      </c>
      <c r="G212" s="661">
        <v>60</v>
      </c>
      <c r="H212" s="493">
        <f>G212+H213</f>
        <v>100</v>
      </c>
      <c r="I212" s="493">
        <f>H212+I213</f>
        <v>125</v>
      </c>
      <c r="J212" s="493">
        <f>K212</f>
        <v>125</v>
      </c>
      <c r="K212" s="698">
        <v>125</v>
      </c>
      <c r="L212" s="494">
        <f>K212</f>
        <v>125</v>
      </c>
      <c r="M212" s="698">
        <f>L212</f>
        <v>125</v>
      </c>
      <c r="N212" s="493">
        <f>M212+N213</f>
        <v>0</v>
      </c>
      <c r="O212" s="698">
        <v>0</v>
      </c>
      <c r="P212" s="493"/>
      <c r="Q212" s="564"/>
      <c r="R212" s="493"/>
      <c r="S212" s="493"/>
      <c r="T212" s="493"/>
      <c r="U212" s="493"/>
      <c r="V212" s="564"/>
      <c r="W212" s="493"/>
      <c r="X212" s="493"/>
      <c r="Y212" s="493"/>
      <c r="Z212" s="493"/>
      <c r="AA212" s="564"/>
      <c r="AB212" s="493"/>
      <c r="AC212" s="493"/>
      <c r="AD212" s="493"/>
      <c r="AE212" s="493"/>
      <c r="AF212" s="564"/>
      <c r="AG212" s="493"/>
      <c r="AH212" s="493"/>
      <c r="AI212" s="493"/>
      <c r="AJ212" s="493"/>
      <c r="AK212" s="564"/>
    </row>
    <row r="213" spans="1:37" s="470" customFormat="1" ht="12.75" hidden="1" customHeight="1" outlineLevel="1">
      <c r="A213" s="548"/>
      <c r="B213" s="860" t="s">
        <v>354</v>
      </c>
      <c r="C213" s="766"/>
      <c r="D213" s="724"/>
      <c r="E213" s="724"/>
      <c r="F213" s="724"/>
      <c r="G213" s="725"/>
      <c r="H213" s="715">
        <v>40</v>
      </c>
      <c r="I213" s="715">
        <v>25</v>
      </c>
      <c r="J213" s="715">
        <v>0</v>
      </c>
      <c r="K213" s="715">
        <v>0</v>
      </c>
      <c r="L213" s="713">
        <f>SUM(H213:K213)</f>
        <v>65</v>
      </c>
      <c r="M213" s="715">
        <v>0</v>
      </c>
      <c r="N213" s="715">
        <v>-125</v>
      </c>
      <c r="O213" s="715"/>
      <c r="P213" s="712"/>
      <c r="Q213" s="726"/>
      <c r="R213" s="712"/>
      <c r="S213" s="712"/>
      <c r="T213" s="712"/>
      <c r="U213" s="712"/>
      <c r="V213" s="726"/>
      <c r="W213" s="712"/>
      <c r="X213" s="712"/>
      <c r="Y213" s="712"/>
      <c r="Z213" s="712"/>
      <c r="AA213" s="726"/>
      <c r="AB213" s="712"/>
      <c r="AC213" s="712"/>
      <c r="AD213" s="712"/>
      <c r="AE213" s="712"/>
      <c r="AF213" s="726"/>
      <c r="AG213" s="712"/>
      <c r="AH213" s="712"/>
      <c r="AI213" s="712"/>
      <c r="AJ213" s="712"/>
      <c r="AK213" s="726"/>
    </row>
    <row r="214" spans="1:37" s="600" customFormat="1" ht="12.75" hidden="1" customHeight="1" outlineLevel="1">
      <c r="A214" s="548"/>
      <c r="B214" s="743" t="s">
        <v>347</v>
      </c>
      <c r="C214" s="767"/>
      <c r="D214" s="604"/>
      <c r="E214" s="604"/>
      <c r="F214" s="604"/>
      <c r="G214" s="732">
        <v>0</v>
      </c>
      <c r="H214" s="622"/>
      <c r="I214" s="587"/>
      <c r="J214" s="587">
        <v>47</v>
      </c>
      <c r="K214" s="604">
        <f>L214-J214-I214-H214</f>
        <v>20</v>
      </c>
      <c r="L214" s="732">
        <v>67</v>
      </c>
      <c r="M214" s="622"/>
      <c r="N214" s="587"/>
      <c r="O214" s="587">
        <v>122</v>
      </c>
      <c r="P214" s="728"/>
      <c r="Q214" s="554"/>
      <c r="R214" s="727"/>
      <c r="S214" s="728"/>
      <c r="T214" s="728"/>
      <c r="U214" s="728"/>
      <c r="V214" s="554"/>
      <c r="W214" s="727"/>
      <c r="X214" s="728"/>
      <c r="Y214" s="728"/>
      <c r="Z214" s="728"/>
      <c r="AA214" s="554"/>
      <c r="AB214" s="727"/>
      <c r="AC214" s="728"/>
      <c r="AD214" s="728"/>
      <c r="AE214" s="728"/>
      <c r="AF214" s="554"/>
      <c r="AG214" s="727"/>
      <c r="AH214" s="728"/>
      <c r="AI214" s="728"/>
      <c r="AJ214" s="728"/>
      <c r="AK214" s="554"/>
    </row>
    <row r="215" spans="1:37" s="600" customFormat="1" ht="12.75" hidden="1" customHeight="1" outlineLevel="1">
      <c r="A215" s="548"/>
      <c r="B215" s="743"/>
      <c r="C215" s="767"/>
      <c r="D215" s="604"/>
      <c r="E215" s="604"/>
      <c r="F215" s="604"/>
      <c r="G215" s="732"/>
      <c r="H215" s="622"/>
      <c r="I215" s="587"/>
      <c r="J215" s="587"/>
      <c r="K215" s="604"/>
      <c r="L215" s="732"/>
      <c r="M215" s="622"/>
      <c r="N215" s="587"/>
      <c r="O215" s="587"/>
      <c r="P215" s="728"/>
      <c r="Q215" s="554"/>
      <c r="R215" s="727"/>
      <c r="S215" s="728"/>
      <c r="T215" s="728"/>
      <c r="U215" s="728"/>
      <c r="V215" s="554"/>
      <c r="W215" s="727"/>
      <c r="X215" s="728"/>
      <c r="Y215" s="728"/>
      <c r="Z215" s="728"/>
      <c r="AA215" s="554"/>
      <c r="AB215" s="727"/>
      <c r="AC215" s="728"/>
      <c r="AD215" s="728"/>
      <c r="AE215" s="728"/>
      <c r="AF215" s="554"/>
      <c r="AG215" s="727"/>
      <c r="AH215" s="728"/>
      <c r="AI215" s="728"/>
      <c r="AJ215" s="728"/>
      <c r="AK215" s="554"/>
    </row>
    <row r="216" spans="1:37" s="470" customFormat="1" ht="12.75" hidden="1" customHeight="1" outlineLevel="1">
      <c r="A216" s="548"/>
      <c r="B216" s="898" t="s">
        <v>348</v>
      </c>
      <c r="C216" s="766"/>
      <c r="D216" s="724"/>
      <c r="E216" s="724"/>
      <c r="F216" s="724"/>
      <c r="G216" s="732"/>
      <c r="H216" s="622"/>
      <c r="I216" s="587"/>
      <c r="J216" s="587"/>
      <c r="K216" s="604"/>
      <c r="L216" s="732"/>
      <c r="M216" s="622"/>
      <c r="N216" s="587"/>
      <c r="O216" s="587"/>
      <c r="P216" s="712"/>
      <c r="Q216" s="726"/>
      <c r="R216" s="712"/>
      <c r="S216" s="712"/>
      <c r="T216" s="712"/>
      <c r="U216" s="712"/>
      <c r="V216" s="726"/>
      <c r="W216" s="712"/>
      <c r="X216" s="712"/>
      <c r="Y216" s="712"/>
      <c r="Z216" s="712"/>
      <c r="AA216" s="726"/>
      <c r="AB216" s="712"/>
      <c r="AC216" s="712"/>
      <c r="AD216" s="712"/>
      <c r="AE216" s="712"/>
      <c r="AF216" s="726"/>
      <c r="AG216" s="712"/>
      <c r="AH216" s="712"/>
      <c r="AI216" s="712"/>
      <c r="AJ216" s="712"/>
      <c r="AK216" s="726"/>
    </row>
    <row r="217" spans="1:37" s="470" customFormat="1" ht="12.75" hidden="1" customHeight="1" outlineLevel="1">
      <c r="A217" s="548"/>
      <c r="B217" s="898" t="s">
        <v>349</v>
      </c>
      <c r="C217" s="766"/>
      <c r="D217" s="724"/>
      <c r="E217" s="724"/>
      <c r="F217" s="724"/>
      <c r="G217" s="725"/>
      <c r="H217" s="715"/>
      <c r="I217" s="715"/>
      <c r="J217" s="715"/>
      <c r="K217" s="604"/>
      <c r="L217" s="713"/>
      <c r="M217" s="715"/>
      <c r="N217" s="715"/>
      <c r="O217" s="715"/>
      <c r="P217" s="712"/>
      <c r="Q217" s="726"/>
      <c r="R217" s="712"/>
      <c r="S217" s="712"/>
      <c r="T217" s="712"/>
      <c r="U217" s="712"/>
      <c r="V217" s="726"/>
      <c r="W217" s="712"/>
      <c r="X217" s="712"/>
      <c r="Y217" s="712"/>
      <c r="Z217" s="712"/>
      <c r="AA217" s="726"/>
      <c r="AB217" s="712"/>
      <c r="AC217" s="712"/>
      <c r="AD217" s="712"/>
      <c r="AE217" s="712"/>
      <c r="AF217" s="726"/>
      <c r="AG217" s="712"/>
      <c r="AH217" s="712"/>
      <c r="AI217" s="712"/>
      <c r="AJ217" s="712"/>
      <c r="AK217" s="726"/>
    </row>
    <row r="218" spans="1:37" s="600" customFormat="1" ht="12.75" hidden="1" customHeight="1" outlineLevel="1">
      <c r="A218" s="548"/>
      <c r="B218" s="479" t="s">
        <v>271</v>
      </c>
      <c r="C218" s="767"/>
      <c r="D218" s="604"/>
      <c r="E218" s="604"/>
      <c r="F218" s="604"/>
      <c r="G218" s="732"/>
      <c r="H218" s="622"/>
      <c r="I218" s="587"/>
      <c r="J218" s="587"/>
      <c r="K218" s="604"/>
      <c r="L218" s="732"/>
      <c r="M218" s="622"/>
      <c r="N218" s="587"/>
      <c r="O218" s="587"/>
      <c r="P218" s="728"/>
      <c r="Q218" s="554"/>
      <c r="R218" s="727"/>
      <c r="S218" s="728"/>
      <c r="T218" s="728"/>
      <c r="U218" s="728"/>
      <c r="V218" s="554"/>
      <c r="W218" s="727"/>
      <c r="X218" s="728"/>
      <c r="Y218" s="728"/>
      <c r="Z218" s="728"/>
      <c r="AA218" s="554"/>
      <c r="AB218" s="727"/>
      <c r="AC218" s="728"/>
      <c r="AD218" s="728"/>
      <c r="AE218" s="728"/>
      <c r="AF218" s="554"/>
      <c r="AG218" s="727"/>
      <c r="AH218" s="728"/>
      <c r="AI218" s="728"/>
      <c r="AJ218" s="728"/>
      <c r="AK218" s="554"/>
    </row>
    <row r="219" spans="1:37" s="600" customFormat="1" ht="12.75" hidden="1" customHeight="1" outlineLevel="1">
      <c r="A219" s="548"/>
      <c r="B219" s="861" t="s">
        <v>350</v>
      </c>
      <c r="C219" s="768"/>
      <c r="D219" s="734"/>
      <c r="E219" s="734"/>
      <c r="F219" s="734"/>
      <c r="G219" s="735"/>
      <c r="H219" s="736"/>
      <c r="I219" s="737"/>
      <c r="J219" s="737"/>
      <c r="K219" s="734"/>
      <c r="L219" s="735"/>
      <c r="M219" s="736"/>
      <c r="N219" s="737"/>
      <c r="O219" s="737"/>
      <c r="P219" s="739"/>
      <c r="Q219" s="738"/>
      <c r="R219" s="733"/>
      <c r="S219" s="733"/>
      <c r="T219" s="733"/>
      <c r="U219" s="733"/>
      <c r="V219" s="738"/>
      <c r="W219" s="733"/>
      <c r="X219" s="733"/>
      <c r="Y219" s="733"/>
      <c r="Z219" s="733"/>
      <c r="AA219" s="738"/>
      <c r="AB219" s="733"/>
      <c r="AC219" s="733"/>
      <c r="AD219" s="733"/>
      <c r="AE219" s="733"/>
      <c r="AF219" s="738"/>
      <c r="AG219" s="733"/>
      <c r="AH219" s="733"/>
      <c r="AI219" s="733"/>
      <c r="AJ219" s="733"/>
      <c r="AK219" s="738"/>
    </row>
    <row r="220" spans="1:37" s="269" customFormat="1" ht="12.75" hidden="1" customHeight="1" outlineLevel="1">
      <c r="A220" s="416"/>
      <c r="B220" s="866"/>
      <c r="C220" s="655"/>
      <c r="D220" s="290"/>
      <c r="E220" s="290"/>
      <c r="F220" s="290"/>
      <c r="G220" s="254"/>
      <c r="H220" s="655"/>
      <c r="I220" s="608"/>
      <c r="J220" s="608"/>
      <c r="K220" s="290"/>
      <c r="L220" s="254"/>
      <c r="M220" s="655"/>
      <c r="N220" s="608"/>
      <c r="O220" s="608"/>
      <c r="P220" s="608"/>
      <c r="Q220" s="254"/>
      <c r="R220" s="780"/>
      <c r="S220" s="1067"/>
      <c r="T220" s="1067"/>
      <c r="U220" s="1067"/>
      <c r="V220" s="1068"/>
      <c r="W220" s="1067"/>
      <c r="X220" s="1067"/>
      <c r="Y220" s="1067"/>
      <c r="Z220" s="1067"/>
      <c r="AA220" s="1068"/>
      <c r="AB220" s="655"/>
      <c r="AC220" s="608"/>
      <c r="AD220" s="608"/>
      <c r="AE220" s="608"/>
      <c r="AF220" s="254"/>
      <c r="AG220" s="655"/>
      <c r="AH220" s="608"/>
      <c r="AI220" s="608"/>
      <c r="AJ220" s="608"/>
      <c r="AK220" s="254"/>
    </row>
    <row r="221" spans="1:37" s="470" customFormat="1" ht="12.75" hidden="1" customHeight="1" outlineLevel="1">
      <c r="A221" s="416"/>
      <c r="B221" s="476" t="s">
        <v>328</v>
      </c>
      <c r="C221" s="1354">
        <v>50</v>
      </c>
      <c r="D221" s="1355" t="s">
        <v>335</v>
      </c>
      <c r="E221" s="1356">
        <v>0.1</v>
      </c>
      <c r="F221" s="1356">
        <v>0.17</v>
      </c>
      <c r="G221" s="661"/>
      <c r="H221" s="698"/>
      <c r="I221" s="698"/>
      <c r="J221" s="698"/>
      <c r="K221" s="698">
        <v>55.125</v>
      </c>
      <c r="L221" s="494">
        <f>K221</f>
        <v>55.125</v>
      </c>
      <c r="M221" s="698"/>
      <c r="N221" s="698"/>
      <c r="O221" s="698">
        <v>0</v>
      </c>
      <c r="P221" s="493"/>
      <c r="Q221" s="564"/>
      <c r="R221" s="493"/>
      <c r="S221" s="493"/>
      <c r="T221" s="493"/>
      <c r="U221" s="493"/>
      <c r="V221" s="564"/>
      <c r="W221" s="493"/>
      <c r="X221" s="493"/>
      <c r="Y221" s="493"/>
      <c r="Z221" s="493"/>
      <c r="AA221" s="564"/>
      <c r="AB221" s="493"/>
      <c r="AC221" s="493"/>
      <c r="AD221" s="493"/>
      <c r="AE221" s="493"/>
      <c r="AF221" s="564"/>
      <c r="AG221" s="493"/>
      <c r="AH221" s="493"/>
      <c r="AI221" s="493"/>
      <c r="AJ221" s="493"/>
      <c r="AK221" s="564"/>
    </row>
    <row r="222" spans="1:37" s="470" customFormat="1" ht="12.75" hidden="1" customHeight="1" outlineLevel="1">
      <c r="A222" s="548"/>
      <c r="B222" s="860" t="s">
        <v>354</v>
      </c>
      <c r="C222" s="766"/>
      <c r="D222" s="724"/>
      <c r="E222" s="724"/>
      <c r="F222" s="724"/>
      <c r="G222" s="725"/>
      <c r="H222" s="715"/>
      <c r="I222" s="715"/>
      <c r="J222" s="715"/>
      <c r="K222" s="715"/>
      <c r="L222" s="713"/>
      <c r="M222" s="715"/>
      <c r="N222" s="715"/>
      <c r="O222" s="715"/>
      <c r="P222" s="712"/>
      <c r="Q222" s="726"/>
      <c r="R222" s="712"/>
      <c r="S222" s="712"/>
      <c r="T222" s="712"/>
      <c r="U222" s="712"/>
      <c r="V222" s="726"/>
      <c r="W222" s="712"/>
      <c r="X222" s="712"/>
      <c r="Y222" s="712"/>
      <c r="Z222" s="712"/>
      <c r="AA222" s="726"/>
      <c r="AB222" s="712"/>
      <c r="AC222" s="712"/>
      <c r="AD222" s="712"/>
      <c r="AE222" s="712"/>
      <c r="AF222" s="726"/>
      <c r="AG222" s="712"/>
      <c r="AH222" s="712"/>
      <c r="AI222" s="712"/>
      <c r="AJ222" s="712"/>
      <c r="AK222" s="726"/>
    </row>
    <row r="223" spans="1:37" s="600" customFormat="1" ht="12.75" hidden="1" customHeight="1" outlineLevel="1">
      <c r="A223" s="548"/>
      <c r="B223" s="743" t="s">
        <v>347</v>
      </c>
      <c r="C223" s="767"/>
      <c r="D223" s="604"/>
      <c r="E223" s="604"/>
      <c r="F223" s="604"/>
      <c r="G223" s="732">
        <v>3</v>
      </c>
      <c r="H223" s="622"/>
      <c r="I223" s="587"/>
      <c r="J223" s="587">
        <v>261</v>
      </c>
      <c r="K223" s="604">
        <f>L223-J223-I223-H223</f>
        <v>100</v>
      </c>
      <c r="L223" s="732">
        <v>361</v>
      </c>
      <c r="M223" s="622"/>
      <c r="N223" s="587"/>
      <c r="O223" s="587">
        <v>627</v>
      </c>
      <c r="P223" s="728"/>
      <c r="Q223" s="554"/>
      <c r="R223" s="727"/>
      <c r="S223" s="728"/>
      <c r="T223" s="728"/>
      <c r="U223" s="728"/>
      <c r="V223" s="554"/>
      <c r="W223" s="727"/>
      <c r="X223" s="728"/>
      <c r="Y223" s="728"/>
      <c r="Z223" s="728"/>
      <c r="AA223" s="554"/>
      <c r="AB223" s="727"/>
      <c r="AC223" s="728"/>
      <c r="AD223" s="728"/>
      <c r="AE223" s="728"/>
      <c r="AF223" s="554"/>
      <c r="AG223" s="727"/>
      <c r="AH223" s="728"/>
      <c r="AI223" s="728"/>
      <c r="AJ223" s="728"/>
      <c r="AK223" s="554"/>
    </row>
    <row r="224" spans="1:37" s="600" customFormat="1" ht="12.75" hidden="1" customHeight="1" outlineLevel="1">
      <c r="A224" s="548"/>
      <c r="B224" s="743"/>
      <c r="C224" s="767"/>
      <c r="D224" s="604"/>
      <c r="E224" s="604"/>
      <c r="F224" s="604"/>
      <c r="G224" s="732"/>
      <c r="H224" s="622"/>
      <c r="I224" s="587"/>
      <c r="J224" s="587"/>
      <c r="K224" s="604"/>
      <c r="L224" s="732"/>
      <c r="M224" s="622"/>
      <c r="N224" s="587"/>
      <c r="O224" s="587"/>
      <c r="P224" s="728"/>
      <c r="Q224" s="554"/>
      <c r="R224" s="727"/>
      <c r="S224" s="728"/>
      <c r="T224" s="728"/>
      <c r="U224" s="728"/>
      <c r="V224" s="554"/>
      <c r="W224" s="727"/>
      <c r="X224" s="728"/>
      <c r="Y224" s="728"/>
      <c r="Z224" s="728"/>
      <c r="AA224" s="554"/>
      <c r="AB224" s="727"/>
      <c r="AC224" s="728"/>
      <c r="AD224" s="728"/>
      <c r="AE224" s="728"/>
      <c r="AF224" s="554"/>
      <c r="AG224" s="727"/>
      <c r="AH224" s="728"/>
      <c r="AI224" s="728"/>
      <c r="AJ224" s="728"/>
      <c r="AK224" s="554"/>
    </row>
    <row r="225" spans="1:37" s="470" customFormat="1" ht="12.75" hidden="1" customHeight="1" outlineLevel="1">
      <c r="A225" s="548"/>
      <c r="B225" s="898" t="s">
        <v>348</v>
      </c>
      <c r="C225" s="766"/>
      <c r="D225" s="724"/>
      <c r="E225" s="724"/>
      <c r="F225" s="724"/>
      <c r="G225" s="732">
        <v>4</v>
      </c>
      <c r="H225" s="622"/>
      <c r="I225" s="587"/>
      <c r="J225" s="587">
        <v>4</v>
      </c>
      <c r="K225" s="604">
        <f>L225-J225-I225-H225</f>
        <v>1</v>
      </c>
      <c r="L225" s="732">
        <v>5</v>
      </c>
      <c r="M225" s="622"/>
      <c r="N225" s="587"/>
      <c r="O225" s="587">
        <v>4</v>
      </c>
      <c r="P225" s="712"/>
      <c r="Q225" s="726"/>
      <c r="R225" s="712"/>
      <c r="S225" s="712"/>
      <c r="T225" s="712"/>
      <c r="U225" s="712"/>
      <c r="V225" s="726"/>
      <c r="W225" s="712"/>
      <c r="X225" s="712"/>
      <c r="Y225" s="712"/>
      <c r="Z225" s="712"/>
      <c r="AA225" s="726"/>
      <c r="AB225" s="712"/>
      <c r="AC225" s="712"/>
      <c r="AD225" s="712"/>
      <c r="AE225" s="712"/>
      <c r="AF225" s="726"/>
      <c r="AG225" s="712"/>
      <c r="AH225" s="712"/>
      <c r="AI225" s="712"/>
      <c r="AJ225" s="712"/>
      <c r="AK225" s="726"/>
    </row>
    <row r="226" spans="1:37" s="470" customFormat="1" ht="12.75" hidden="1" customHeight="1" outlineLevel="1">
      <c r="A226" s="548"/>
      <c r="B226" s="898" t="s">
        <v>349</v>
      </c>
      <c r="C226" s="766"/>
      <c r="D226" s="724"/>
      <c r="E226" s="724"/>
      <c r="F226" s="724"/>
      <c r="G226" s="725">
        <v>0</v>
      </c>
      <c r="H226" s="715"/>
      <c r="I226" s="715"/>
      <c r="J226" s="715">
        <v>6</v>
      </c>
      <c r="K226" s="604">
        <f>L226-J226-I226-H226</f>
        <v>16</v>
      </c>
      <c r="L226" s="713">
        <v>22</v>
      </c>
      <c r="M226" s="715"/>
      <c r="N226" s="715"/>
      <c r="O226" s="715">
        <v>0</v>
      </c>
      <c r="P226" s="712"/>
      <c r="Q226" s="726"/>
      <c r="R226" s="712"/>
      <c r="S226" s="712"/>
      <c r="T226" s="712"/>
      <c r="U226" s="712"/>
      <c r="V226" s="726"/>
      <c r="W226" s="712"/>
      <c r="X226" s="712"/>
      <c r="Y226" s="712"/>
      <c r="Z226" s="712"/>
      <c r="AA226" s="726"/>
      <c r="AB226" s="712"/>
      <c r="AC226" s="712"/>
      <c r="AD226" s="712"/>
      <c r="AE226" s="712"/>
      <c r="AF226" s="726"/>
      <c r="AG226" s="712"/>
      <c r="AH226" s="712"/>
      <c r="AI226" s="712"/>
      <c r="AJ226" s="712"/>
      <c r="AK226" s="726"/>
    </row>
    <row r="227" spans="1:37" s="600" customFormat="1" ht="12.75" hidden="1" customHeight="1" outlineLevel="1">
      <c r="A227" s="548"/>
      <c r="B227" s="479" t="s">
        <v>271</v>
      </c>
      <c r="C227" s="767"/>
      <c r="D227" s="604"/>
      <c r="E227" s="604"/>
      <c r="F227" s="604"/>
      <c r="G227" s="732">
        <v>3</v>
      </c>
      <c r="H227" s="622"/>
      <c r="I227" s="587"/>
      <c r="J227" s="587">
        <v>3</v>
      </c>
      <c r="K227" s="604">
        <f>L227-J227-I227-H227</f>
        <v>1</v>
      </c>
      <c r="L227" s="732">
        <v>4</v>
      </c>
      <c r="M227" s="622"/>
      <c r="N227" s="587"/>
      <c r="O227" s="587">
        <v>4</v>
      </c>
      <c r="P227" s="728"/>
      <c r="Q227" s="554"/>
      <c r="R227" s="727"/>
      <c r="S227" s="728"/>
      <c r="T227" s="728"/>
      <c r="U227" s="728"/>
      <c r="V227" s="554"/>
      <c r="W227" s="727"/>
      <c r="X227" s="728"/>
      <c r="Y227" s="728"/>
      <c r="Z227" s="728"/>
      <c r="AA227" s="554"/>
      <c r="AB227" s="727"/>
      <c r="AC227" s="728"/>
      <c r="AD227" s="728"/>
      <c r="AE227" s="728"/>
      <c r="AF227" s="554"/>
      <c r="AG227" s="727"/>
      <c r="AH227" s="728"/>
      <c r="AI227" s="728"/>
      <c r="AJ227" s="728"/>
      <c r="AK227" s="554"/>
    </row>
    <row r="228" spans="1:37" s="600" customFormat="1" ht="12.75" hidden="1" customHeight="1" outlineLevel="1">
      <c r="A228" s="548"/>
      <c r="B228" s="861" t="s">
        <v>350</v>
      </c>
      <c r="C228" s="768"/>
      <c r="D228" s="734"/>
      <c r="E228" s="734"/>
      <c r="F228" s="734"/>
      <c r="G228" s="738">
        <f t="shared" ref="G228:O228" si="48">SUM(G225:G227)</f>
        <v>7</v>
      </c>
      <c r="H228" s="733">
        <f t="shared" si="48"/>
        <v>0</v>
      </c>
      <c r="I228" s="739">
        <f t="shared" si="48"/>
        <v>0</v>
      </c>
      <c r="J228" s="739">
        <f t="shared" si="48"/>
        <v>13</v>
      </c>
      <c r="K228" s="734">
        <f t="shared" si="48"/>
        <v>18</v>
      </c>
      <c r="L228" s="738">
        <f t="shared" si="48"/>
        <v>31</v>
      </c>
      <c r="M228" s="733">
        <f t="shared" si="48"/>
        <v>0</v>
      </c>
      <c r="N228" s="739">
        <f t="shared" si="48"/>
        <v>0</v>
      </c>
      <c r="O228" s="777">
        <f t="shared" si="48"/>
        <v>8</v>
      </c>
      <c r="P228" s="739"/>
      <c r="Q228" s="738"/>
      <c r="R228" s="733"/>
      <c r="S228" s="733"/>
      <c r="T228" s="733"/>
      <c r="U228" s="733"/>
      <c r="V228" s="738"/>
      <c r="W228" s="733"/>
      <c r="X228" s="733"/>
      <c r="Y228" s="733"/>
      <c r="Z228" s="733"/>
      <c r="AA228" s="738"/>
      <c r="AB228" s="733"/>
      <c r="AC228" s="733"/>
      <c r="AD228" s="733"/>
      <c r="AE228" s="733"/>
      <c r="AF228" s="738"/>
      <c r="AG228" s="733"/>
      <c r="AH228" s="733"/>
      <c r="AI228" s="733"/>
      <c r="AJ228" s="733"/>
      <c r="AK228" s="738"/>
    </row>
    <row r="229" spans="1:37" s="89" customFormat="1" collapsed="1">
      <c r="A229" s="416"/>
      <c r="B229" s="378"/>
      <c r="C229" s="373"/>
      <c r="G229" s="541"/>
      <c r="H229" s="373"/>
      <c r="I229" s="373"/>
      <c r="J229" s="373"/>
      <c r="L229" s="541"/>
      <c r="M229" s="373"/>
      <c r="N229" s="373"/>
      <c r="O229" s="373"/>
      <c r="P229" s="373"/>
      <c r="Q229" s="541"/>
      <c r="R229" s="373"/>
      <c r="S229" s="373"/>
      <c r="T229" s="373"/>
      <c r="U229" s="373"/>
      <c r="V229" s="541"/>
      <c r="W229" s="373"/>
      <c r="X229" s="373"/>
      <c r="Y229" s="373"/>
      <c r="Z229" s="373"/>
      <c r="AA229" s="541"/>
      <c r="AB229" s="373"/>
      <c r="AC229" s="373"/>
      <c r="AD229" s="373"/>
      <c r="AE229" s="373"/>
      <c r="AF229" s="541"/>
      <c r="AG229" s="373"/>
      <c r="AH229" s="373"/>
      <c r="AI229" s="373"/>
      <c r="AJ229" s="373"/>
      <c r="AK229" s="541"/>
    </row>
    <row r="230" spans="1:37" ht="12.75" customHeight="1">
      <c r="B230" s="411"/>
      <c r="C230" s="412"/>
      <c r="D230" s="241"/>
      <c r="E230" s="241"/>
      <c r="F230" s="241"/>
      <c r="G230" s="239"/>
      <c r="H230" s="412"/>
      <c r="I230" s="241"/>
      <c r="J230" s="241"/>
      <c r="K230" s="241"/>
      <c r="L230" s="239"/>
      <c r="M230" s="412"/>
      <c r="N230" s="241"/>
      <c r="O230" s="241"/>
      <c r="P230" s="241"/>
      <c r="Q230" s="239"/>
      <c r="R230" s="412"/>
      <c r="S230" s="241"/>
      <c r="T230" s="241"/>
      <c r="U230" s="241"/>
      <c r="V230" s="239"/>
      <c r="W230" s="412"/>
      <c r="X230" s="241"/>
      <c r="Y230" s="241"/>
      <c r="Z230" s="241"/>
      <c r="AA230" s="239"/>
      <c r="AB230" s="412"/>
      <c r="AC230" s="241"/>
      <c r="AD230" s="241"/>
      <c r="AE230" s="241"/>
      <c r="AF230" s="239"/>
      <c r="AG230" s="412"/>
      <c r="AH230" s="241"/>
      <c r="AI230" s="241"/>
      <c r="AJ230" s="241"/>
      <c r="AK230" s="239"/>
    </row>
    <row r="231" spans="1:37" ht="12.75" customHeight="1">
      <c r="B231" s="401"/>
    </row>
    <row r="232" spans="1:37" ht="12.75" customHeight="1">
      <c r="B232" s="401"/>
    </row>
    <row r="233" spans="1:37" customFormat="1" ht="12.75" customHeight="1">
      <c r="A233" s="67"/>
      <c r="B233" s="376"/>
    </row>
    <row r="234" spans="1:37" customFormat="1" ht="12.75" customHeight="1">
      <c r="A234" s="67"/>
      <c r="B234" s="376"/>
    </row>
    <row r="235" spans="1:37" customFormat="1" ht="12.75" customHeight="1">
      <c r="A235" s="67"/>
      <c r="B235" s="376"/>
    </row>
    <row r="236" spans="1:37" customFormat="1" ht="12.75" customHeight="1">
      <c r="A236" s="67"/>
      <c r="B236" s="376"/>
    </row>
    <row r="237" spans="1:37" customFormat="1" ht="12.75" customHeight="1">
      <c r="A237" s="67"/>
      <c r="B237" s="376"/>
    </row>
    <row r="238" spans="1:37" customFormat="1" ht="12.75" customHeight="1">
      <c r="A238" s="67"/>
      <c r="B238" s="376"/>
    </row>
    <row r="239" spans="1:37" customFormat="1" ht="12.75" customHeight="1">
      <c r="A239" s="67"/>
      <c r="B239" s="376"/>
    </row>
    <row r="240" spans="1:37" customFormat="1" ht="12.75" customHeight="1">
      <c r="A240" s="67"/>
      <c r="B240" s="376"/>
    </row>
    <row r="241" spans="1:2" customFormat="1">
      <c r="A241" s="67"/>
      <c r="B241" s="376"/>
    </row>
    <row r="242" spans="1:2" customFormat="1">
      <c r="A242" s="67"/>
      <c r="B242" s="376"/>
    </row>
    <row r="243" spans="1:2" customFormat="1">
      <c r="A243" s="67"/>
      <c r="B243" s="376"/>
    </row>
    <row r="244" spans="1:2" customFormat="1">
      <c r="A244" s="67"/>
      <c r="B244" s="376"/>
    </row>
    <row r="245" spans="1:2" customFormat="1">
      <c r="A245" s="67"/>
      <c r="B245" s="376"/>
    </row>
    <row r="246" spans="1:2" customFormat="1">
      <c r="A246" s="67"/>
      <c r="B246" s="376"/>
    </row>
    <row r="247" spans="1:2" customFormat="1">
      <c r="A247" s="67"/>
      <c r="B247" s="376"/>
    </row>
    <row r="248" spans="1:2" customFormat="1">
      <c r="A248" s="67"/>
      <c r="B248" s="376"/>
    </row>
    <row r="249" spans="1:2" customFormat="1">
      <c r="A249" s="67"/>
      <c r="B249" s="376"/>
    </row>
    <row r="250" spans="1:2" customFormat="1">
      <c r="A250" s="67"/>
      <c r="B250" s="376"/>
    </row>
    <row r="251" spans="1:2" customFormat="1">
      <c r="A251" s="67"/>
      <c r="B251" s="376"/>
    </row>
    <row r="252" spans="1:2" customFormat="1">
      <c r="A252" s="67"/>
      <c r="B252" s="376"/>
    </row>
    <row r="253" spans="1:2" customFormat="1">
      <c r="A253" s="67"/>
      <c r="B253" s="376"/>
    </row>
    <row r="254" spans="1:2" customFormat="1">
      <c r="A254" s="67"/>
      <c r="B254" s="376"/>
    </row>
    <row r="255" spans="1:2" customFormat="1">
      <c r="A255" s="67"/>
      <c r="B255" s="376"/>
    </row>
    <row r="256" spans="1:2" customFormat="1">
      <c r="A256" s="67"/>
      <c r="B256" s="376"/>
    </row>
    <row r="257" spans="1:2" customFormat="1">
      <c r="A257" s="67"/>
      <c r="B257" s="376"/>
    </row>
    <row r="258" spans="1:2" customFormat="1">
      <c r="A258" s="67"/>
      <c r="B258" s="376"/>
    </row>
    <row r="259" spans="1:2" customFormat="1">
      <c r="A259" s="67"/>
      <c r="B259" s="376"/>
    </row>
    <row r="260" spans="1:2" customFormat="1">
      <c r="A260" s="67"/>
      <c r="B260" s="376"/>
    </row>
    <row r="261" spans="1:2" customFormat="1">
      <c r="A261" s="67"/>
      <c r="B261" s="376"/>
    </row>
    <row r="262" spans="1:2" customFormat="1">
      <c r="A262" s="67"/>
      <c r="B262" s="376"/>
    </row>
    <row r="263" spans="1:2" customFormat="1">
      <c r="A263" s="67"/>
      <c r="B263" s="376"/>
    </row>
    <row r="264" spans="1:2" customFormat="1">
      <c r="A264" s="67"/>
      <c r="B264" s="376"/>
    </row>
    <row r="265" spans="1:2" customFormat="1">
      <c r="A265" s="67"/>
      <c r="B265" s="376"/>
    </row>
    <row r="266" spans="1:2" customFormat="1">
      <c r="A266" s="67"/>
      <c r="B266" s="376"/>
    </row>
    <row r="267" spans="1:2" customFormat="1">
      <c r="A267" s="67"/>
      <c r="B267" s="376"/>
    </row>
    <row r="268" spans="1:2" customFormat="1">
      <c r="A268" s="67"/>
      <c r="B268" s="376"/>
    </row>
    <row r="269" spans="1:2" customFormat="1">
      <c r="A269" s="67"/>
      <c r="B269" s="376"/>
    </row>
    <row r="270" spans="1:2" customFormat="1">
      <c r="A270" s="67"/>
      <c r="B270" s="376"/>
    </row>
  </sheetData>
  <pageMargins left="0.7" right="0.7" top="0.75" bottom="0.75" header="0.3" footer="0.3"/>
  <customProperties>
    <customPr name="Qube.Worksheet.Visibility" r:id="rId1"/>
  </customPropertie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FE8D5-7CB1-4BEF-90D0-29C952F79A9C}">
  <sheetPr codeName="Sheet17">
    <tabColor rgb="FF002060"/>
  </sheetPr>
  <dimension ref="A1:AK607"/>
  <sheetViews>
    <sheetView showGridLines="0" zoomScaleNormal="100" workbookViewId="0">
      <pane xSplit="2" ySplit="8" topLeftCell="R9" activePane="bottomRight" state="frozen"/>
      <selection activeCell="DD115" sqref="DD115"/>
      <selection pane="topRight" activeCell="DD115" sqref="DD115"/>
      <selection pane="bottomLeft" activeCell="DD115" sqref="DD115"/>
      <selection pane="bottomRight"/>
    </sheetView>
  </sheetViews>
  <sheetFormatPr defaultColWidth="9.140625" defaultRowHeight="12.75" customHeight="1" outlineLevelRow="1" outlineLevelCol="1"/>
  <cols>
    <col min="1" max="1" width="3.7109375" style="67" customWidth="1"/>
    <col min="2" max="2" width="42.140625" style="89" bestFit="1" customWidth="1"/>
    <col min="3" max="3" width="9.5703125" style="90" hidden="1" customWidth="1" outlineLevel="1"/>
    <col min="4" max="6" width="9.5703125" style="128" hidden="1" customWidth="1" outlineLevel="1"/>
    <col min="7" max="7" width="9.85546875" style="128" bestFit="1" customWidth="1" collapsed="1"/>
    <col min="8" max="8" width="9.5703125" style="90" hidden="1" customWidth="1" outlineLevel="1"/>
    <col min="9" max="11" width="9.5703125" style="128" hidden="1" customWidth="1" outlineLevel="1"/>
    <col min="12" max="12" width="9.85546875" style="128" bestFit="1" customWidth="1" collapsed="1"/>
    <col min="13" max="13" width="9.5703125" style="90" hidden="1" customWidth="1" outlineLevel="1"/>
    <col min="14" max="16" width="9.5703125" style="128" hidden="1" customWidth="1" outlineLevel="1"/>
    <col min="17" max="17" width="9.85546875" style="128" bestFit="1" customWidth="1" collapsed="1"/>
    <col min="18" max="18" width="9.5703125" style="90" customWidth="1" outlineLevel="1"/>
    <col min="19" max="21" width="9.5703125" style="128" customWidth="1" outlineLevel="1"/>
    <col min="22" max="22" width="9.85546875" style="128" bestFit="1" customWidth="1"/>
    <col min="23" max="23" width="9.5703125" style="90" customWidth="1" outlineLevel="1"/>
    <col min="24" max="26" width="9.5703125" style="128" customWidth="1" outlineLevel="1"/>
    <col min="27" max="27" width="9.85546875" style="128" bestFit="1" customWidth="1"/>
    <col min="28" max="28" width="9.5703125" style="90" customWidth="1" outlineLevel="1"/>
    <col min="29" max="31" width="9.5703125" style="128" customWidth="1" outlineLevel="1"/>
    <col min="32" max="32" width="9.85546875" style="128" bestFit="1" customWidth="1"/>
    <col min="33" max="33" width="9.5703125" style="90" hidden="1" customWidth="1" outlineLevel="1"/>
    <col min="34" max="36" width="9.5703125" style="128" hidden="1" customWidth="1" outlineLevel="1"/>
    <col min="37" max="37" width="9.85546875" style="128" bestFit="1" customWidth="1" collapsed="1"/>
    <col min="38" max="16384" width="9.140625" style="89"/>
  </cols>
  <sheetData>
    <row r="1" spans="1:37" s="378" customFormat="1" ht="12.75" customHeight="1">
      <c r="A1" s="416"/>
      <c r="C1" s="744"/>
      <c r="D1" s="745"/>
      <c r="E1" s="745"/>
      <c r="F1" s="745"/>
      <c r="G1" s="745"/>
      <c r="H1" s="744"/>
      <c r="I1" s="745"/>
      <c r="J1" s="745"/>
      <c r="K1" s="745"/>
      <c r="L1" s="745"/>
      <c r="M1" s="744"/>
      <c r="N1" s="745"/>
      <c r="O1" s="745"/>
      <c r="P1" s="745"/>
      <c r="Q1" s="745"/>
      <c r="R1" s="744"/>
      <c r="S1" s="745"/>
      <c r="T1" s="745"/>
      <c r="U1" s="745"/>
      <c r="V1" s="745"/>
      <c r="W1" s="744"/>
      <c r="X1" s="745"/>
      <c r="Y1" s="745"/>
      <c r="Z1" s="745"/>
      <c r="AA1" s="745"/>
      <c r="AB1" s="744"/>
      <c r="AC1" s="745"/>
      <c r="AD1" s="745"/>
      <c r="AE1" s="745"/>
      <c r="AF1" s="745"/>
      <c r="AG1" s="744"/>
      <c r="AH1" s="745"/>
      <c r="AI1" s="745"/>
      <c r="AJ1" s="745"/>
      <c r="AK1" s="745"/>
    </row>
    <row r="2" spans="1:37" s="378" customFormat="1" ht="12.75" customHeight="1">
      <c r="A2" s="416"/>
      <c r="B2" s="475" t="s">
        <v>231</v>
      </c>
      <c r="C2" s="744"/>
      <c r="D2" s="745"/>
      <c r="E2" s="745"/>
      <c r="F2" s="745"/>
      <c r="G2" s="745"/>
      <c r="H2" s="744"/>
      <c r="I2" s="745"/>
      <c r="J2" s="745"/>
      <c r="K2" s="745"/>
      <c r="L2" s="745"/>
      <c r="M2" s="744"/>
      <c r="N2" s="745"/>
      <c r="O2" s="745"/>
      <c r="P2" s="745"/>
      <c r="Q2" s="745"/>
      <c r="R2" s="744"/>
      <c r="S2" s="745"/>
      <c r="T2" s="745"/>
      <c r="U2" s="745"/>
      <c r="V2" s="745"/>
      <c r="W2" s="744"/>
      <c r="X2" s="745"/>
      <c r="Y2" s="745"/>
      <c r="Z2" s="745"/>
      <c r="AA2" s="745"/>
      <c r="AB2" s="744"/>
      <c r="AC2" s="745"/>
      <c r="AD2" s="745"/>
      <c r="AE2" s="745"/>
      <c r="AF2" s="745"/>
      <c r="AG2" s="744"/>
      <c r="AH2" s="745"/>
      <c r="AI2" s="745"/>
      <c r="AJ2" s="745"/>
      <c r="AK2" s="745"/>
    </row>
    <row r="3" spans="1:37" s="378" customFormat="1" ht="12.75" customHeight="1">
      <c r="A3" s="416"/>
      <c r="B3" s="475" t="s">
        <v>169</v>
      </c>
      <c r="C3" s="744"/>
      <c r="D3" s="745"/>
      <c r="E3" s="745"/>
      <c r="F3" s="745"/>
      <c r="G3" s="745"/>
      <c r="H3" s="744"/>
      <c r="I3" s="745"/>
      <c r="J3" s="745"/>
      <c r="K3" s="745"/>
      <c r="L3" s="745"/>
      <c r="M3" s="744"/>
      <c r="N3" s="745"/>
      <c r="O3" s="745"/>
      <c r="P3" s="745"/>
      <c r="Q3" s="745"/>
      <c r="R3" s="744"/>
      <c r="S3" s="745"/>
      <c r="T3" s="745"/>
      <c r="U3" s="745"/>
      <c r="V3" s="745"/>
      <c r="W3" s="744"/>
      <c r="X3" s="745"/>
      <c r="Y3" s="745"/>
      <c r="Z3" s="745"/>
      <c r="AA3" s="745"/>
      <c r="AB3" s="744"/>
      <c r="AC3" s="745"/>
      <c r="AD3" s="745"/>
      <c r="AE3" s="745"/>
      <c r="AF3" s="745"/>
      <c r="AG3" s="744"/>
      <c r="AH3" s="745"/>
      <c r="AI3" s="745"/>
      <c r="AJ3" s="745"/>
      <c r="AK3" s="745"/>
    </row>
    <row r="4" spans="1:37" s="378" customFormat="1" ht="12.75" customHeight="1">
      <c r="A4" s="416"/>
      <c r="B4" s="475" t="s">
        <v>24</v>
      </c>
      <c r="C4" s="744"/>
      <c r="D4" s="745"/>
      <c r="E4" s="745"/>
      <c r="F4" s="745"/>
      <c r="G4" s="745"/>
      <c r="H4" s="744"/>
      <c r="I4" s="745"/>
      <c r="J4" s="745"/>
      <c r="K4" s="745"/>
      <c r="L4" s="745"/>
      <c r="M4" s="744"/>
      <c r="N4" s="745"/>
      <c r="O4" s="745"/>
      <c r="P4" s="745"/>
      <c r="Q4" s="745"/>
      <c r="R4" s="744"/>
      <c r="S4" s="745"/>
      <c r="T4" s="745"/>
      <c r="U4" s="745"/>
      <c r="V4" s="745"/>
      <c r="W4" s="744"/>
      <c r="X4" s="745"/>
      <c r="Y4" s="745"/>
      <c r="Z4" s="745"/>
      <c r="AA4" s="745"/>
      <c r="AB4" s="744"/>
      <c r="AC4" s="745"/>
      <c r="AD4" s="745"/>
      <c r="AE4" s="745"/>
      <c r="AF4" s="745"/>
      <c r="AG4" s="744"/>
      <c r="AH4" s="745"/>
      <c r="AI4" s="745"/>
      <c r="AJ4" s="745"/>
      <c r="AK4" s="745"/>
    </row>
    <row r="5" spans="1:37" s="378" customFormat="1" ht="12.75" customHeight="1">
      <c r="A5" s="416"/>
      <c r="C5" s="744"/>
      <c r="D5" s="745"/>
      <c r="E5" s="745"/>
      <c r="F5" s="745"/>
      <c r="G5" s="745"/>
      <c r="H5" s="744"/>
      <c r="I5" s="745"/>
      <c r="J5" s="745"/>
      <c r="K5" s="745"/>
      <c r="L5" s="745"/>
      <c r="M5" s="744"/>
      <c r="N5" s="745"/>
      <c r="O5" s="745"/>
      <c r="P5" s="745"/>
      <c r="Q5" s="1214"/>
      <c r="R5" s="744"/>
      <c r="S5" s="745"/>
      <c r="T5" s="745"/>
      <c r="U5" s="745"/>
      <c r="V5" s="745"/>
      <c r="W5" s="744"/>
      <c r="X5" s="745"/>
      <c r="Y5" s="745"/>
      <c r="Z5" s="745"/>
      <c r="AA5" s="745"/>
      <c r="AB5" s="744"/>
      <c r="AC5" s="745"/>
      <c r="AD5" s="745"/>
      <c r="AE5" s="745"/>
      <c r="AF5" s="745"/>
      <c r="AG5" s="744"/>
      <c r="AH5" s="745"/>
      <c r="AI5" s="745"/>
      <c r="AJ5" s="745"/>
      <c r="AK5" s="745"/>
    </row>
    <row r="6" spans="1:37" ht="12.75" customHeight="1">
      <c r="C6" s="46" t="str">
        <f>Dates!C3</f>
        <v>2022 (A)</v>
      </c>
      <c r="D6" s="46"/>
      <c r="E6" s="46"/>
      <c r="F6" s="46"/>
      <c r="G6" s="89"/>
      <c r="H6" s="46" t="str">
        <f>Dates!H3</f>
        <v>2023 (A)</v>
      </c>
      <c r="I6" s="46"/>
      <c r="J6" s="46"/>
      <c r="K6" s="46"/>
      <c r="L6" s="89"/>
      <c r="M6" s="46" t="str">
        <f>Dates!M3</f>
        <v>2024 (A)</v>
      </c>
      <c r="N6" s="46"/>
      <c r="O6" s="46"/>
      <c r="P6" s="46"/>
      <c r="Q6" s="89"/>
      <c r="R6" s="46" t="str">
        <f>Dates!R3</f>
        <v>2025 (E)</v>
      </c>
      <c r="S6" s="46"/>
      <c r="T6" s="46"/>
      <c r="U6" s="46"/>
      <c r="V6" s="89"/>
      <c r="W6" s="46" t="str">
        <f>Dates!W3</f>
        <v>2026 (E)</v>
      </c>
      <c r="X6" s="46"/>
      <c r="Y6" s="46"/>
      <c r="Z6" s="46"/>
      <c r="AA6" s="89"/>
      <c r="AB6" s="46" t="str">
        <f>Dates!AB3</f>
        <v>2027 (E)</v>
      </c>
      <c r="AC6" s="46"/>
      <c r="AD6" s="46"/>
      <c r="AE6" s="46"/>
      <c r="AF6" s="89"/>
      <c r="AG6" s="46" t="str">
        <f>Dates!AG3</f>
        <v>2028 (E)</v>
      </c>
      <c r="AH6" s="46"/>
      <c r="AI6" s="46"/>
      <c r="AJ6" s="46"/>
      <c r="AK6" s="89"/>
    </row>
    <row r="7" spans="1:37" ht="12.75" customHeight="1">
      <c r="C7" s="91" t="str">
        <f>Dates!C4</f>
        <v>1Q22 (A)</v>
      </c>
      <c r="D7" s="91" t="str">
        <f>Dates!D4</f>
        <v>2Q22 (A)</v>
      </c>
      <c r="E7" s="91" t="str">
        <f>Dates!E4</f>
        <v>3Q22 (A)</v>
      </c>
      <c r="F7" s="91" t="str">
        <f>Dates!F4</f>
        <v>4Q22 (A)</v>
      </c>
      <c r="G7" s="92" t="str">
        <f>Dates!G4</f>
        <v>FY22 (A)</v>
      </c>
      <c r="H7" s="91" t="str">
        <f>Dates!H4</f>
        <v>1Q23 (A)</v>
      </c>
      <c r="I7" s="91" t="str">
        <f>Dates!I4</f>
        <v>2Q23 (A)</v>
      </c>
      <c r="J7" s="91" t="str">
        <f>Dates!J4</f>
        <v>3Q23 (A)</v>
      </c>
      <c r="K7" s="91" t="str">
        <f>Dates!K4</f>
        <v>4Q23 (A)</v>
      </c>
      <c r="L7" s="92" t="str">
        <f>Dates!L4</f>
        <v>FY23 (A)</v>
      </c>
      <c r="M7" s="91" t="str">
        <f>Dates!M4</f>
        <v>1Q24 (A)</v>
      </c>
      <c r="N7" s="91" t="str">
        <f>Dates!N4</f>
        <v>2Q24 (A)</v>
      </c>
      <c r="O7" s="91" t="str">
        <f>Dates!O4</f>
        <v>3Q24 (A)</v>
      </c>
      <c r="P7" s="91" t="str">
        <f>Dates!P4</f>
        <v>4Q24 (A)</v>
      </c>
      <c r="Q7" s="92" t="str">
        <f>Dates!Q4</f>
        <v>FY24 (A)</v>
      </c>
      <c r="R7" s="91" t="str">
        <f>Dates!R4</f>
        <v>1Q25 (A)</v>
      </c>
      <c r="S7" s="91" t="str">
        <f>Dates!S4</f>
        <v>2Q25 (A)</v>
      </c>
      <c r="T7" s="91" t="str">
        <f>Dates!T4</f>
        <v>3Q25 (A)</v>
      </c>
      <c r="U7" s="91" t="str">
        <f>Dates!U4</f>
        <v>4Q25 (E)</v>
      </c>
      <c r="V7" s="92" t="str">
        <f>Dates!V4</f>
        <v>FY25 (E)</v>
      </c>
      <c r="W7" s="91" t="str">
        <f>Dates!W4</f>
        <v>1Q26 (E)</v>
      </c>
      <c r="X7" s="91" t="str">
        <f>Dates!X4</f>
        <v>2Q26 (E)</v>
      </c>
      <c r="Y7" s="91" t="str">
        <f>Dates!Y4</f>
        <v>3Q26 (E)</v>
      </c>
      <c r="Z7" s="91" t="str">
        <f>Dates!Z4</f>
        <v>4Q26 (E)</v>
      </c>
      <c r="AA7" s="92" t="str">
        <f>Dates!AA4</f>
        <v>FY26 (E)</v>
      </c>
      <c r="AB7" s="91" t="str">
        <f>Dates!AB4</f>
        <v>1Q27 (E)</v>
      </c>
      <c r="AC7" s="91" t="str">
        <f>Dates!AC4</f>
        <v>2Q27 (E)</v>
      </c>
      <c r="AD7" s="91" t="str">
        <f>Dates!AD4</f>
        <v>3Q27 (E)</v>
      </c>
      <c r="AE7" s="91" t="str">
        <f>Dates!AE4</f>
        <v>4Q27 (E)</v>
      </c>
      <c r="AF7" s="92" t="str">
        <f>Dates!AF4</f>
        <v>FY27 (E)</v>
      </c>
      <c r="AG7" s="91" t="str">
        <f>Dates!AG4</f>
        <v>1Q28 (E)</v>
      </c>
      <c r="AH7" s="91" t="str">
        <f>Dates!AH4</f>
        <v>2Q28 (E)</v>
      </c>
      <c r="AI7" s="91" t="str">
        <f>Dates!AI4</f>
        <v>3Q28 (E)</v>
      </c>
      <c r="AJ7" s="91" t="str">
        <f>Dates!AJ4</f>
        <v>4Q28 (E)</v>
      </c>
      <c r="AK7" s="92" t="str">
        <f>Dates!AK4</f>
        <v>FY28 (E)</v>
      </c>
    </row>
    <row r="8" spans="1:37" ht="12.75" customHeight="1">
      <c r="C8" s="93">
        <f>Dates!C5</f>
        <v>44651</v>
      </c>
      <c r="D8" s="93">
        <f>Dates!D5</f>
        <v>44742</v>
      </c>
      <c r="E8" s="93">
        <f>Dates!E5</f>
        <v>44834</v>
      </c>
      <c r="F8" s="93">
        <f>Dates!F5</f>
        <v>44926</v>
      </c>
      <c r="G8" s="94">
        <f>Dates!G5</f>
        <v>44926</v>
      </c>
      <c r="H8" s="93">
        <f>Dates!H5</f>
        <v>45016</v>
      </c>
      <c r="I8" s="93">
        <f>Dates!I5</f>
        <v>45107</v>
      </c>
      <c r="J8" s="93">
        <f>Dates!J5</f>
        <v>45199</v>
      </c>
      <c r="K8" s="93">
        <f>Dates!K5</f>
        <v>45291</v>
      </c>
      <c r="L8" s="94">
        <f>Dates!L5</f>
        <v>45291</v>
      </c>
      <c r="M8" s="93">
        <f>Dates!M5</f>
        <v>45382</v>
      </c>
      <c r="N8" s="93">
        <f>Dates!N5</f>
        <v>45473</v>
      </c>
      <c r="O8" s="93">
        <f>Dates!O5</f>
        <v>45565</v>
      </c>
      <c r="P8" s="93">
        <f>Dates!P5</f>
        <v>45657</v>
      </c>
      <c r="Q8" s="94">
        <f>Dates!Q5</f>
        <v>45657</v>
      </c>
      <c r="R8" s="93">
        <f>Dates!R5</f>
        <v>45747</v>
      </c>
      <c r="S8" s="93">
        <f>Dates!S5</f>
        <v>45838</v>
      </c>
      <c r="T8" s="93">
        <f>Dates!T5</f>
        <v>45930</v>
      </c>
      <c r="U8" s="93">
        <f>Dates!U5</f>
        <v>46022</v>
      </c>
      <c r="V8" s="94">
        <f>Dates!V5</f>
        <v>46022</v>
      </c>
      <c r="W8" s="93">
        <f>Dates!W5</f>
        <v>46112</v>
      </c>
      <c r="X8" s="93">
        <f>Dates!X5</f>
        <v>46203</v>
      </c>
      <c r="Y8" s="93">
        <f>Dates!Y5</f>
        <v>46295</v>
      </c>
      <c r="Z8" s="93">
        <f>Dates!Z5</f>
        <v>46387</v>
      </c>
      <c r="AA8" s="94">
        <f>Dates!AA5</f>
        <v>46387</v>
      </c>
      <c r="AB8" s="93">
        <f>Dates!AB5</f>
        <v>46477</v>
      </c>
      <c r="AC8" s="93">
        <f>Dates!AC5</f>
        <v>46568</v>
      </c>
      <c r="AD8" s="93">
        <f>Dates!AD5</f>
        <v>46660</v>
      </c>
      <c r="AE8" s="93">
        <f>Dates!AE5</f>
        <v>46752</v>
      </c>
      <c r="AF8" s="94">
        <f>Dates!AF5</f>
        <v>46752</v>
      </c>
      <c r="AG8" s="93">
        <f>Dates!AG5</f>
        <v>46843</v>
      </c>
      <c r="AH8" s="93">
        <f>Dates!AH5</f>
        <v>46934</v>
      </c>
      <c r="AI8" s="93">
        <f>Dates!AI5</f>
        <v>47026</v>
      </c>
      <c r="AJ8" s="93">
        <f>Dates!AJ5</f>
        <v>47118</v>
      </c>
      <c r="AK8" s="94">
        <f>Dates!AK5</f>
        <v>47118</v>
      </c>
    </row>
    <row r="9" spans="1:37" ht="12.75" customHeight="1">
      <c r="C9" s="93"/>
      <c r="D9" s="93"/>
      <c r="E9" s="93"/>
      <c r="F9" s="93"/>
      <c r="G9" s="94"/>
      <c r="H9" s="93"/>
      <c r="I9" s="93"/>
      <c r="J9" s="93"/>
      <c r="K9" s="93"/>
      <c r="L9" s="94"/>
      <c r="M9" s="93"/>
      <c r="N9" s="93"/>
      <c r="O9" s="93"/>
      <c r="P9" s="93"/>
      <c r="Q9" s="94"/>
      <c r="R9" s="93"/>
      <c r="S9" s="93"/>
      <c r="T9" s="93"/>
      <c r="U9" s="93"/>
      <c r="V9" s="94"/>
      <c r="W9" s="93"/>
      <c r="X9" s="93"/>
      <c r="Y9" s="93"/>
      <c r="Z9" s="93"/>
      <c r="AA9" s="94"/>
      <c r="AB9" s="93"/>
      <c r="AC9" s="93"/>
      <c r="AD9" s="93"/>
      <c r="AE9" s="93"/>
      <c r="AF9" s="94"/>
      <c r="AG9" s="93"/>
      <c r="AH9" s="93"/>
      <c r="AI9" s="93"/>
      <c r="AJ9" s="93"/>
      <c r="AK9" s="94"/>
    </row>
    <row r="10" spans="1:37" s="246" customFormat="1" ht="12.75" customHeight="1">
      <c r="A10" s="245"/>
      <c r="B10" s="398" t="s">
        <v>102</v>
      </c>
      <c r="C10" s="364"/>
      <c r="D10" s="364"/>
      <c r="E10" s="364"/>
      <c r="F10" s="364"/>
      <c r="G10" s="511">
        <f>'KPI Summary'!G10</f>
        <v>15.83</v>
      </c>
      <c r="H10" s="364">
        <f>'KPI Summary'!H10</f>
        <v>7.9236842923050173</v>
      </c>
      <c r="I10" s="364">
        <f>'KPI Summary'!I10</f>
        <v>29.843600214370358</v>
      </c>
      <c r="J10" s="364">
        <f>'KPI Summary'!J10</f>
        <v>75.178825237918673</v>
      </c>
      <c r="K10" s="364">
        <f>'KPI Summary'!K10</f>
        <v>115.99689025540596</v>
      </c>
      <c r="L10" s="511">
        <f>'KPI Summary'!L10</f>
        <v>228.94300000000001</v>
      </c>
      <c r="M10" s="364">
        <f>'KPI Summary'!M10</f>
        <v>188.684</v>
      </c>
      <c r="N10" s="364">
        <f>'KPI Summary'!N10</f>
        <v>395.37099999999998</v>
      </c>
      <c r="O10" s="364">
        <f>'KPI Summary'!O10</f>
        <v>583.94100000000003</v>
      </c>
      <c r="P10" s="364">
        <f>'KPI Summary'!P10</f>
        <v>747.43</v>
      </c>
      <c r="Q10" s="511">
        <f>'KPI Summary'!Q10</f>
        <v>1915.4259999999999</v>
      </c>
      <c r="R10" s="364">
        <f>'KPI Summary'!R10</f>
        <v>981.63199999999995</v>
      </c>
      <c r="S10" s="364">
        <f>'KPI Summary'!S10</f>
        <v>1212.788</v>
      </c>
      <c r="T10" s="364">
        <f>'KPI Summary'!T10</f>
        <v>1364.6759999999999</v>
      </c>
      <c r="U10" s="364">
        <f>'KPI Summary'!U10</f>
        <v>1542.8798383352844</v>
      </c>
      <c r="V10" s="511">
        <f>'KPI Summary'!V10</f>
        <v>5101.9758383352846</v>
      </c>
      <c r="W10" s="364">
        <f>'KPI Summary'!W10</f>
        <v>2227.1271940102652</v>
      </c>
      <c r="X10" s="364">
        <f>'KPI Summary'!X10</f>
        <v>2964.1923267606126</v>
      </c>
      <c r="Y10" s="364">
        <f>'KPI Summary'!Y10</f>
        <v>3289.6841382241842</v>
      </c>
      <c r="Z10" s="364">
        <f>'KPI Summary'!Z10</f>
        <v>3520.6358086433452</v>
      </c>
      <c r="AA10" s="511">
        <f>'KPI Summary'!AA10</f>
        <v>12001.639467638406</v>
      </c>
      <c r="AB10" s="364">
        <f>'KPI Summary'!AB10</f>
        <v>3811.6134309688914</v>
      </c>
      <c r="AC10" s="364">
        <f>'KPI Summary'!AC10</f>
        <v>4153.967972772637</v>
      </c>
      <c r="AD10" s="364">
        <f>'KPI Summary'!AD10</f>
        <v>4473.832737778841</v>
      </c>
      <c r="AE10" s="364">
        <f>'KPI Summary'!AE10</f>
        <v>4771.4757275279553</v>
      </c>
      <c r="AF10" s="511">
        <f>'KPI Summary'!AF10</f>
        <v>17210.889869048326</v>
      </c>
      <c r="AG10" s="364">
        <f>'KPI Summary'!AG10</f>
        <v>5118.4482278277555</v>
      </c>
      <c r="AH10" s="364">
        <f>'KPI Summary'!AH10</f>
        <v>5329.7806915375268</v>
      </c>
      <c r="AI10" s="364">
        <f>'KPI Summary'!AI10</f>
        <v>5519.2671656952671</v>
      </c>
      <c r="AJ10" s="364">
        <f>'KPI Summary'!AJ10</f>
        <v>5687.5931059802742</v>
      </c>
      <c r="AK10" s="511">
        <f>'KPI Summary'!AK10</f>
        <v>21655.089191040825</v>
      </c>
    </row>
    <row r="11" spans="1:37" s="298" customFormat="1" ht="12.75" customHeight="1">
      <c r="A11" s="282"/>
      <c r="B11" s="433" t="s">
        <v>31</v>
      </c>
      <c r="C11" s="102"/>
      <c r="D11" s="102"/>
      <c r="E11" s="102"/>
      <c r="F11" s="102"/>
      <c r="G11" s="254"/>
      <c r="H11" s="102" t="str">
        <f t="shared" ref="H11:AF11" si="0">IFERROR(H10/C10-1,"")</f>
        <v/>
      </c>
      <c r="I11" s="102" t="str">
        <f t="shared" si="0"/>
        <v/>
      </c>
      <c r="J11" s="102" t="str">
        <f t="shared" si="0"/>
        <v/>
      </c>
      <c r="K11" s="102" t="str">
        <f t="shared" si="0"/>
        <v/>
      </c>
      <c r="L11" s="254">
        <f t="shared" si="0"/>
        <v>13.462602653190146</v>
      </c>
      <c r="M11" s="102">
        <f t="shared" si="0"/>
        <v>22.812660000000001</v>
      </c>
      <c r="N11" s="102">
        <f t="shared" si="0"/>
        <v>12.248100000000001</v>
      </c>
      <c r="O11" s="102">
        <f t="shared" si="0"/>
        <v>6.7673600000000009</v>
      </c>
      <c r="P11" s="102">
        <f t="shared" si="0"/>
        <v>5.4435348081684154</v>
      </c>
      <c r="Q11" s="254">
        <f t="shared" si="0"/>
        <v>7.366388140279458</v>
      </c>
      <c r="R11" s="102">
        <f t="shared" si="0"/>
        <v>4.2025184965338873</v>
      </c>
      <c r="S11" s="102">
        <f t="shared" si="0"/>
        <v>2.0674682766313159</v>
      </c>
      <c r="T11" s="102">
        <f t="shared" si="0"/>
        <v>1.3370100746479521</v>
      </c>
      <c r="U11" s="102">
        <f t="shared" si="0"/>
        <v>1.0642466028059947</v>
      </c>
      <c r="V11" s="254">
        <f t="shared" si="0"/>
        <v>1.663624613185414</v>
      </c>
      <c r="W11" s="102">
        <f t="shared" si="0"/>
        <v>1.2688005219983305</v>
      </c>
      <c r="X11" s="102">
        <f t="shared" si="0"/>
        <v>1.4441141623767817</v>
      </c>
      <c r="Y11" s="102">
        <f t="shared" si="0"/>
        <v>1.4105971953959653</v>
      </c>
      <c r="Z11" s="102">
        <f t="shared" si="0"/>
        <v>1.281860013442131</v>
      </c>
      <c r="AA11" s="254">
        <f t="shared" si="0"/>
        <v>1.3523512944652443</v>
      </c>
      <c r="AB11" s="102">
        <f t="shared" si="0"/>
        <v>0.71144847102581932</v>
      </c>
      <c r="AC11" s="102">
        <f t="shared" si="0"/>
        <v>0.40138274270221141</v>
      </c>
      <c r="AD11" s="102">
        <f t="shared" si="0"/>
        <v>0.3599581448551703</v>
      </c>
      <c r="AE11" s="102">
        <f t="shared" si="0"/>
        <v>0.35528807490219028</v>
      </c>
      <c r="AF11" s="254">
        <f t="shared" si="0"/>
        <v>0.43404489990357598</v>
      </c>
      <c r="AG11" s="102">
        <f>IFERROR(AG10/AB10-1,"")</f>
        <v>0.34285606883452346</v>
      </c>
      <c r="AH11" s="102">
        <f>IFERROR(AH10/AC10-1,"")</f>
        <v>0.28305772371665006</v>
      </c>
      <c r="AI11" s="102">
        <f>IFERROR(AI10/AD10-1,"")</f>
        <v>0.23367758456599375</v>
      </c>
      <c r="AJ11" s="102">
        <f>IFERROR(AJ10/AE10-1,"")</f>
        <v>0.19199875065212768</v>
      </c>
      <c r="AK11" s="254">
        <f>IFERROR(AK10/AF10-1,"")</f>
        <v>0.25822019406357644</v>
      </c>
    </row>
    <row r="12" spans="1:37" s="248" customFormat="1" ht="12.75" customHeight="1">
      <c r="A12" s="269"/>
      <c r="B12" s="433" t="s">
        <v>33</v>
      </c>
      <c r="C12" s="253"/>
      <c r="D12" s="102"/>
      <c r="E12" s="102"/>
      <c r="F12" s="102"/>
      <c r="G12" s="255"/>
      <c r="H12" s="253" t="str">
        <f>IFERROR(H10/F10-1,"")</f>
        <v/>
      </c>
      <c r="I12" s="102">
        <f>IFERROR(I10/H10-1,"")</f>
        <v>2.7663792641704039</v>
      </c>
      <c r="J12" s="102">
        <f>IFERROR(J10/I10-1,"")</f>
        <v>1.5190936984110381</v>
      </c>
      <c r="K12" s="102">
        <f>IFERROR(K10/J10-1,"")</f>
        <v>0.54294630021565538</v>
      </c>
      <c r="L12" s="255"/>
      <c r="M12" s="253">
        <f>IFERROR(M10/K10-1,"")</f>
        <v>0.62662981382129335</v>
      </c>
      <c r="N12" s="102">
        <f>IFERROR(N10/M10-1,"")</f>
        <v>1.0954134955799115</v>
      </c>
      <c r="O12" s="102">
        <f>IFERROR(O10/N10-1,"")</f>
        <v>0.47694443952641974</v>
      </c>
      <c r="P12" s="102">
        <f>IFERROR(P10/O10-1,"")</f>
        <v>0.27997520297427303</v>
      </c>
      <c r="Q12" s="255"/>
      <c r="R12" s="253">
        <f>IFERROR(R10/P10-1,"")</f>
        <v>0.31334305553697339</v>
      </c>
      <c r="S12" s="102">
        <f>IFERROR(S10/R10-1,"")</f>
        <v>0.23548132090233409</v>
      </c>
      <c r="T12" s="102">
        <f>IFERROR(T10/S10-1,"")</f>
        <v>0.12523870618772603</v>
      </c>
      <c r="U12" s="102">
        <f>IFERROR(U10/T10-1,"")</f>
        <v>0.13058325810323068</v>
      </c>
      <c r="V12" s="255"/>
      <c r="W12" s="253">
        <f>IFERROR(W10/U10-1,"")</f>
        <v>0.44348713274603457</v>
      </c>
      <c r="X12" s="102">
        <f>IFERROR(X10/W10-1,"")</f>
        <v>0.33094882714047191</v>
      </c>
      <c r="Y12" s="102">
        <f>IFERROR(Y10/X10-1,"")</f>
        <v>0.10980792593147348</v>
      </c>
      <c r="Z12" s="102">
        <f>IFERROR(Z10/Y10-1,"")</f>
        <v>7.0204816242276591E-2</v>
      </c>
      <c r="AA12" s="255"/>
      <c r="AB12" s="253">
        <f>IFERROR(AB10/Z10-1,"")</f>
        <v>8.264916854256299E-2</v>
      </c>
      <c r="AC12" s="102">
        <f>IFERROR(AC10/AB10-1,"")</f>
        <v>8.9818799310065645E-2</v>
      </c>
      <c r="AD12" s="102">
        <f>IFERROR(AD10/AC10-1,"")</f>
        <v>7.700222223733344E-2</v>
      </c>
      <c r="AE12" s="102">
        <f>IFERROR(AE10/AD10-1,"")</f>
        <v>6.652975361275737E-2</v>
      </c>
      <c r="AF12" s="255"/>
      <c r="AG12" s="253">
        <f>IFERROR(AG10/AE10-1,"")</f>
        <v>7.271806881422882E-2</v>
      </c>
      <c r="AH12" s="102">
        <f>IFERROR(AH10/AG10-1,"")</f>
        <v>4.1288385522942006E-2</v>
      </c>
      <c r="AI12" s="102">
        <f>IFERROR(AI10/AH10-1,"")</f>
        <v>3.5552396078623261E-2</v>
      </c>
      <c r="AJ12" s="102">
        <f>IFERROR(AJ10/AI10-1,"")</f>
        <v>3.0497878655200594E-2</v>
      </c>
      <c r="AK12" s="255"/>
    </row>
    <row r="13" spans="1:37" s="301" customFormat="1" ht="12.75" customHeight="1">
      <c r="A13" s="78"/>
      <c r="B13" s="399"/>
      <c r="C13" s="302"/>
      <c r="D13" s="302"/>
      <c r="E13" s="302"/>
      <c r="F13" s="302"/>
      <c r="G13" s="303"/>
      <c r="H13" s="302"/>
      <c r="I13" s="302"/>
      <c r="J13" s="302"/>
      <c r="K13" s="302"/>
      <c r="L13" s="303"/>
      <c r="M13" s="302"/>
      <c r="N13" s="302"/>
      <c r="O13" s="302"/>
      <c r="P13" s="302"/>
      <c r="Q13" s="303"/>
      <c r="R13" s="302"/>
      <c r="S13" s="302"/>
      <c r="T13" s="302"/>
      <c r="U13" s="302"/>
      <c r="V13" s="303"/>
      <c r="W13" s="302"/>
      <c r="X13" s="302"/>
      <c r="Y13" s="302"/>
      <c r="Z13" s="302"/>
      <c r="AA13" s="303"/>
      <c r="AB13" s="302"/>
      <c r="AC13" s="302"/>
      <c r="AD13" s="302"/>
      <c r="AE13" s="302"/>
      <c r="AF13" s="303"/>
      <c r="AG13" s="302"/>
      <c r="AH13" s="302"/>
      <c r="AI13" s="302"/>
      <c r="AJ13" s="302"/>
      <c r="AK13" s="303"/>
    </row>
    <row r="14" spans="1:37" s="305" customFormat="1" ht="12.75" customHeight="1">
      <c r="A14" s="67"/>
      <c r="B14" s="400" t="s">
        <v>103</v>
      </c>
      <c r="C14" s="304"/>
      <c r="D14" s="304"/>
      <c r="E14" s="304"/>
      <c r="F14" s="304"/>
      <c r="G14" s="94"/>
      <c r="H14" s="304"/>
      <c r="I14" s="304"/>
      <c r="J14" s="304"/>
      <c r="K14" s="304"/>
      <c r="L14" s="94"/>
      <c r="M14" s="304"/>
      <c r="N14" s="304"/>
      <c r="O14" s="304"/>
      <c r="P14" s="304"/>
      <c r="Q14" s="94"/>
      <c r="R14" s="304"/>
      <c r="S14" s="304"/>
      <c r="T14" s="304"/>
      <c r="U14" s="304"/>
      <c r="V14" s="94"/>
      <c r="W14" s="304"/>
      <c r="X14" s="304"/>
      <c r="Y14" s="304"/>
      <c r="Z14" s="304"/>
      <c r="AA14" s="94"/>
      <c r="AB14" s="304"/>
      <c r="AC14" s="304"/>
      <c r="AD14" s="304"/>
      <c r="AE14" s="304"/>
      <c r="AF14" s="94"/>
      <c r="AG14" s="304"/>
      <c r="AH14" s="304"/>
      <c r="AI14" s="304"/>
      <c r="AJ14" s="304"/>
      <c r="AK14" s="94"/>
    </row>
    <row r="15" spans="1:37" s="246" customFormat="1" ht="12.75" customHeight="1" outlineLevel="1">
      <c r="A15" s="245"/>
      <c r="B15" s="398" t="s">
        <v>104</v>
      </c>
      <c r="C15" s="364"/>
      <c r="D15" s="364"/>
      <c r="E15" s="364"/>
      <c r="F15" s="364"/>
      <c r="G15" s="511"/>
      <c r="H15" s="364"/>
      <c r="I15" s="364"/>
      <c r="J15" s="364"/>
      <c r="K15" s="364">
        <f>BS!K33</f>
        <v>249.83099999999999</v>
      </c>
      <c r="L15" s="511">
        <f>BS!L33</f>
        <v>249.83099999999999</v>
      </c>
      <c r="M15" s="364">
        <f>BS!M33</f>
        <v>195.28120000000001</v>
      </c>
      <c r="N15" s="364">
        <f>BS!N33</f>
        <v>143.95599999999999</v>
      </c>
      <c r="O15" s="364">
        <f>BS!O33</f>
        <v>1079.1110000000001</v>
      </c>
      <c r="P15" s="364">
        <f>BS!P33</f>
        <v>768.92700000000002</v>
      </c>
      <c r="Q15" s="511">
        <f>BS!Q33</f>
        <v>768.92700000000002</v>
      </c>
      <c r="R15" s="364">
        <f>BS!R33</f>
        <v>436.53</v>
      </c>
      <c r="S15" s="364">
        <f>BS!S33</f>
        <v>951.346</v>
      </c>
      <c r="T15" s="364">
        <f>BS!T33</f>
        <v>1107.58</v>
      </c>
      <c r="U15" s="365">
        <f>U$31*U20</f>
        <v>1020.7143253642471</v>
      </c>
      <c r="V15" s="362">
        <f>U15</f>
        <v>1020.7143253642471</v>
      </c>
      <c r="W15" s="365">
        <f>W$31*W20</f>
        <v>1117.5512198763374</v>
      </c>
      <c r="X15" s="365">
        <f>X$31*X20</f>
        <v>1353.3720519346296</v>
      </c>
      <c r="Y15" s="365">
        <f>Y$31*Y20</f>
        <v>1511.8467000000001</v>
      </c>
      <c r="Z15" s="365">
        <f>Z$31*Z20</f>
        <v>1429.8360843370647</v>
      </c>
      <c r="AA15" s="362">
        <f>Z15</f>
        <v>1429.8360843370647</v>
      </c>
      <c r="AB15" s="365">
        <f>AB$31*AB20</f>
        <v>1430.4655614417118</v>
      </c>
      <c r="AC15" s="365">
        <f>AC$31*AC20</f>
        <v>1732.3162264763259</v>
      </c>
      <c r="AD15" s="365">
        <f>AD$31*AD20</f>
        <v>1935.1637760000001</v>
      </c>
      <c r="AE15" s="365">
        <f>AE$31*AE20</f>
        <v>1830.190187951443</v>
      </c>
      <c r="AF15" s="362">
        <f>AE15</f>
        <v>1830.190187951443</v>
      </c>
      <c r="AG15" s="365">
        <f>AG$31*AG20</f>
        <v>1830.9959186453914</v>
      </c>
      <c r="AH15" s="365">
        <f>AH$31*AH20</f>
        <v>2217.3647698896975</v>
      </c>
      <c r="AI15" s="365">
        <f>AI$31*AI20</f>
        <v>2477.0096332800003</v>
      </c>
      <c r="AJ15" s="365">
        <f>AJ$31*AJ20</f>
        <v>2342.6434405778468</v>
      </c>
      <c r="AK15" s="362">
        <f>AJ15</f>
        <v>2342.6434405778468</v>
      </c>
    </row>
    <row r="16" spans="1:37" s="298" customFormat="1" ht="12.75" customHeight="1" outlineLevel="1">
      <c r="A16" s="282"/>
      <c r="B16" s="433" t="s">
        <v>31</v>
      </c>
      <c r="C16" s="102"/>
      <c r="D16" s="102"/>
      <c r="E16" s="102"/>
      <c r="F16" s="102"/>
      <c r="G16" s="254"/>
      <c r="H16" s="102"/>
      <c r="I16" s="102"/>
      <c r="J16" s="102"/>
      <c r="K16" s="102" t="str">
        <f t="shared" ref="K16:AF16" si="1">IFERROR(K15/F15-1,"")</f>
        <v/>
      </c>
      <c r="L16" s="254" t="str">
        <f t="shared" si="1"/>
        <v/>
      </c>
      <c r="M16" s="102" t="str">
        <f t="shared" si="1"/>
        <v/>
      </c>
      <c r="N16" s="102" t="str">
        <f t="shared" si="1"/>
        <v/>
      </c>
      <c r="O16" s="102" t="str">
        <f t="shared" si="1"/>
        <v/>
      </c>
      <c r="P16" s="102">
        <f t="shared" si="1"/>
        <v>2.0777885850835167</v>
      </c>
      <c r="Q16" s="254">
        <f t="shared" si="1"/>
        <v>2.0777885850835167</v>
      </c>
      <c r="R16" s="102">
        <f t="shared" si="1"/>
        <v>1.2353918349539019</v>
      </c>
      <c r="S16" s="102">
        <f t="shared" si="1"/>
        <v>5.6085887354469426</v>
      </c>
      <c r="T16" s="102">
        <f t="shared" si="1"/>
        <v>2.6381901398465857E-2</v>
      </c>
      <c r="U16" s="102">
        <f t="shared" si="1"/>
        <v>0.32745283409770631</v>
      </c>
      <c r="V16" s="254">
        <f t="shared" si="1"/>
        <v>0.32745283409770631</v>
      </c>
      <c r="W16" s="102">
        <f t="shared" si="1"/>
        <v>1.56007884882216</v>
      </c>
      <c r="X16" s="102">
        <f t="shared" si="1"/>
        <v>0.42258657936715927</v>
      </c>
      <c r="Y16" s="102">
        <f t="shared" si="1"/>
        <v>0.36500000000000021</v>
      </c>
      <c r="Z16" s="102">
        <f t="shared" si="1"/>
        <v>0.4008190625000001</v>
      </c>
      <c r="AA16" s="254">
        <f t="shared" si="1"/>
        <v>0.4008190625000001</v>
      </c>
      <c r="AB16" s="102">
        <f t="shared" si="1"/>
        <v>0.2799999999999998</v>
      </c>
      <c r="AC16" s="102">
        <f t="shared" si="1"/>
        <v>0.28000000000000003</v>
      </c>
      <c r="AD16" s="102">
        <f t="shared" si="1"/>
        <v>0.28000000000000003</v>
      </c>
      <c r="AE16" s="102">
        <f t="shared" si="1"/>
        <v>0.28000000000000025</v>
      </c>
      <c r="AF16" s="254">
        <f t="shared" si="1"/>
        <v>0.28000000000000025</v>
      </c>
      <c r="AG16" s="102">
        <f>IFERROR(AG15/AB15-1,"")</f>
        <v>0.28000000000000025</v>
      </c>
      <c r="AH16" s="102">
        <f>IFERROR(AH15/AC15-1,"")</f>
        <v>0.28000000000000025</v>
      </c>
      <c r="AI16" s="102">
        <f>IFERROR(AI15/AD15-1,"")</f>
        <v>0.28000000000000003</v>
      </c>
      <c r="AJ16" s="102">
        <f>IFERROR(AJ15/AE15-1,"")</f>
        <v>0.2799999999999998</v>
      </c>
      <c r="AK16" s="254">
        <f>IFERROR(AK15/AF15-1,"")</f>
        <v>0.2799999999999998</v>
      </c>
    </row>
    <row r="17" spans="1:37" s="248" customFormat="1" ht="12.75" customHeight="1" outlineLevel="1">
      <c r="A17" s="269"/>
      <c r="B17" s="433" t="s">
        <v>33</v>
      </c>
      <c r="C17" s="253"/>
      <c r="D17" s="102"/>
      <c r="E17" s="102"/>
      <c r="F17" s="102"/>
      <c r="G17" s="255"/>
      <c r="H17" s="253"/>
      <c r="I17" s="102"/>
      <c r="J17" s="102"/>
      <c r="K17" s="102" t="str">
        <f>IFERROR(K15/J15-1,"")</f>
        <v/>
      </c>
      <c r="L17" s="255"/>
      <c r="M17" s="253">
        <f>IFERROR(M15/K15-1,"")</f>
        <v>-0.21834680243844828</v>
      </c>
      <c r="N17" s="102">
        <f>IFERROR(N15/M15-1,"")</f>
        <v>-0.2628271436267291</v>
      </c>
      <c r="O17" s="102">
        <f>IFERROR(O15/N15-1,"")</f>
        <v>6.4961168690433198</v>
      </c>
      <c r="P17" s="102">
        <f>IFERROR(P15/O15-1,"")</f>
        <v>-0.28744401641721751</v>
      </c>
      <c r="Q17" s="255"/>
      <c r="R17" s="253">
        <f>IFERROR(R15/P15-1,"")</f>
        <v>-0.43228681006129321</v>
      </c>
      <c r="S17" s="102">
        <f>IFERROR(S15/R15-1,"")</f>
        <v>1.1793370444184821</v>
      </c>
      <c r="T17" s="102">
        <f>IFERROR(T15/S15-1,"")</f>
        <v>0.16422416239727711</v>
      </c>
      <c r="U17" s="102">
        <f>IFERROR(U15/T15-1,"")</f>
        <v>-7.8428352476347385E-2</v>
      </c>
      <c r="V17" s="255"/>
      <c r="W17" s="253">
        <f>IFERROR(W15/U15-1,"")</f>
        <v>9.4871691427994342E-2</v>
      </c>
      <c r="X17" s="102">
        <f>IFERROR(X15/W15-1,"")</f>
        <v>0.21101568130755277</v>
      </c>
      <c r="Y17" s="102">
        <f>IFERROR(Y15/X15-1,"")</f>
        <v>0.11709614354665665</v>
      </c>
      <c r="Z17" s="102">
        <f>IFERROR(Z15/Y15-1,"")</f>
        <v>-5.4245325047132975E-2</v>
      </c>
      <c r="AA17" s="255"/>
      <c r="AB17" s="253">
        <f>IFERROR(AB15/Z15-1,"")</f>
        <v>4.4024424305888488E-4</v>
      </c>
      <c r="AC17" s="102">
        <f>IFERROR(AC15/AB15-1,"")</f>
        <v>0.21101568130755299</v>
      </c>
      <c r="AD17" s="102">
        <f>IFERROR(AD15/AC15-1,"")</f>
        <v>0.11709614354665643</v>
      </c>
      <c r="AE17" s="102">
        <f>IFERROR(AE15/AD15-1,"")</f>
        <v>-5.4245325047132864E-2</v>
      </c>
      <c r="AF17" s="255"/>
      <c r="AG17" s="253">
        <f>IFERROR(AG15/AE15-1,"")</f>
        <v>4.4024424305888488E-4</v>
      </c>
      <c r="AH17" s="102">
        <f>IFERROR(AH15/AG15-1,"")</f>
        <v>0.21101568130755299</v>
      </c>
      <c r="AI17" s="102">
        <f>IFERROR(AI15/AH15-1,"")</f>
        <v>0.11709614354665643</v>
      </c>
      <c r="AJ17" s="102">
        <f>IFERROR(AJ15/AI15-1,"")</f>
        <v>-5.4245325047133086E-2</v>
      </c>
      <c r="AK17" s="255"/>
    </row>
    <row r="18" spans="1:37" s="269" customFormat="1" ht="12.75" customHeight="1" outlineLevel="1">
      <c r="A18" s="67"/>
      <c r="B18" s="433" t="s">
        <v>117</v>
      </c>
      <c r="C18" s="608"/>
      <c r="D18" s="290"/>
      <c r="E18" s="290"/>
      <c r="F18" s="290"/>
      <c r="G18" s="410"/>
      <c r="H18" s="290"/>
      <c r="I18" s="290"/>
      <c r="J18" s="290"/>
      <c r="K18" s="290">
        <f t="shared" ref="K18:AF18" si="2">K15-F15</f>
        <v>249.83099999999999</v>
      </c>
      <c r="L18" s="410">
        <f t="shared" si="2"/>
        <v>249.83099999999999</v>
      </c>
      <c r="M18" s="290">
        <f t="shared" si="2"/>
        <v>195.28120000000001</v>
      </c>
      <c r="N18" s="290">
        <f t="shared" si="2"/>
        <v>143.95599999999999</v>
      </c>
      <c r="O18" s="290">
        <f t="shared" si="2"/>
        <v>1079.1110000000001</v>
      </c>
      <c r="P18" s="290">
        <f t="shared" si="2"/>
        <v>519.096</v>
      </c>
      <c r="Q18" s="410">
        <f t="shared" si="2"/>
        <v>519.096</v>
      </c>
      <c r="R18" s="290">
        <f t="shared" si="2"/>
        <v>241.24879999999996</v>
      </c>
      <c r="S18" s="290">
        <f t="shared" si="2"/>
        <v>807.39</v>
      </c>
      <c r="T18" s="290">
        <f t="shared" si="2"/>
        <v>28.468999999999824</v>
      </c>
      <c r="U18" s="290">
        <f t="shared" si="2"/>
        <v>251.78732536424707</v>
      </c>
      <c r="V18" s="410">
        <f t="shared" si="2"/>
        <v>251.78732536424707</v>
      </c>
      <c r="W18" s="290">
        <f t="shared" si="2"/>
        <v>681.02121987633745</v>
      </c>
      <c r="X18" s="290">
        <f t="shared" si="2"/>
        <v>402.02605193462955</v>
      </c>
      <c r="Y18" s="290">
        <f t="shared" si="2"/>
        <v>404.26670000000013</v>
      </c>
      <c r="Z18" s="290">
        <f t="shared" si="2"/>
        <v>409.12175897281759</v>
      </c>
      <c r="AA18" s="410">
        <f t="shared" si="2"/>
        <v>409.12175897281759</v>
      </c>
      <c r="AB18" s="290">
        <f t="shared" si="2"/>
        <v>312.91434156537434</v>
      </c>
      <c r="AC18" s="290">
        <f t="shared" si="2"/>
        <v>378.94417454169638</v>
      </c>
      <c r="AD18" s="290">
        <f t="shared" si="2"/>
        <v>423.31707600000004</v>
      </c>
      <c r="AE18" s="290">
        <f t="shared" si="2"/>
        <v>400.35410361437835</v>
      </c>
      <c r="AF18" s="410">
        <f t="shared" si="2"/>
        <v>400.35410361437835</v>
      </c>
      <c r="AG18" s="290">
        <f>AG15-AB15</f>
        <v>400.53035720367961</v>
      </c>
      <c r="AH18" s="290">
        <f>AH15-AC15</f>
        <v>485.04854341337159</v>
      </c>
      <c r="AI18" s="290">
        <f>AI15-AD15</f>
        <v>541.84585728000025</v>
      </c>
      <c r="AJ18" s="290">
        <f>AJ15-AE15</f>
        <v>512.45325262640381</v>
      </c>
      <c r="AK18" s="410">
        <f>AK15-AF15</f>
        <v>512.45325262640381</v>
      </c>
    </row>
    <row r="19" spans="1:37" s="269" customFormat="1" ht="12.75" customHeight="1" outlineLevel="1">
      <c r="A19" s="67"/>
      <c r="B19" s="433" t="s">
        <v>118</v>
      </c>
      <c r="C19" s="655"/>
      <c r="D19" s="290"/>
      <c r="E19" s="290"/>
      <c r="F19" s="290"/>
      <c r="G19" s="254"/>
      <c r="H19" s="293"/>
      <c r="I19" s="290"/>
      <c r="J19" s="290"/>
      <c r="K19" s="290">
        <f>K15-J15</f>
        <v>249.83099999999999</v>
      </c>
      <c r="L19" s="254"/>
      <c r="M19" s="293">
        <f>M15-K15</f>
        <v>-54.549799999999976</v>
      </c>
      <c r="N19" s="290">
        <f>N15-M15</f>
        <v>-51.325200000000024</v>
      </c>
      <c r="O19" s="290">
        <f>O15-N15</f>
        <v>935.15500000000009</v>
      </c>
      <c r="P19" s="290">
        <f>P15-O15</f>
        <v>-310.18400000000008</v>
      </c>
      <c r="Q19" s="254"/>
      <c r="R19" s="293">
        <f>R15-P15</f>
        <v>-332.39700000000005</v>
      </c>
      <c r="S19" s="290">
        <f>S15-R15</f>
        <v>514.81600000000003</v>
      </c>
      <c r="T19" s="290">
        <f>T15-S15</f>
        <v>156.23399999999992</v>
      </c>
      <c r="U19" s="290">
        <f>U15-T15</f>
        <v>-86.865674635752839</v>
      </c>
      <c r="V19" s="254"/>
      <c r="W19" s="293">
        <f>W15-U15</f>
        <v>96.836894512090339</v>
      </c>
      <c r="X19" s="290">
        <f>X15-W15</f>
        <v>235.82083205829213</v>
      </c>
      <c r="Y19" s="290">
        <f>Y15-X15</f>
        <v>158.4746480653705</v>
      </c>
      <c r="Z19" s="290">
        <f>Z15-Y15</f>
        <v>-82.010615662935379</v>
      </c>
      <c r="AA19" s="254"/>
      <c r="AB19" s="293">
        <f>AB15-Z15</f>
        <v>0.62947710464709417</v>
      </c>
      <c r="AC19" s="290">
        <f>AC15-AB15</f>
        <v>301.85066503461417</v>
      </c>
      <c r="AD19" s="290">
        <f>AD15-AC15</f>
        <v>202.84754952367416</v>
      </c>
      <c r="AE19" s="290">
        <f>AE15-AD15</f>
        <v>-104.97358804855708</v>
      </c>
      <c r="AF19" s="254"/>
      <c r="AG19" s="293">
        <f>AG15-AE15</f>
        <v>0.80573069394836239</v>
      </c>
      <c r="AH19" s="290">
        <f>AH15-AG15</f>
        <v>386.36885124430614</v>
      </c>
      <c r="AI19" s="290">
        <f>AI15-AH15</f>
        <v>259.64486339030282</v>
      </c>
      <c r="AJ19" s="290">
        <f>AJ15-AI15</f>
        <v>-134.36619270215351</v>
      </c>
      <c r="AK19" s="254"/>
    </row>
    <row r="20" spans="1:37" s="301" customFormat="1" ht="12.75" customHeight="1" outlineLevel="1">
      <c r="A20" s="78"/>
      <c r="B20" s="677" t="s">
        <v>112</v>
      </c>
      <c r="C20" s="102"/>
      <c r="D20" s="102"/>
      <c r="E20" s="102"/>
      <c r="F20" s="102"/>
      <c r="G20" s="307"/>
      <c r="H20" s="102"/>
      <c r="I20" s="102"/>
      <c r="J20" s="102"/>
      <c r="K20" s="102">
        <f t="shared" ref="K20:P20" si="3">IFERROR(K15/K$31,"")</f>
        <v>0.12462238814308746</v>
      </c>
      <c r="L20" s="307">
        <f t="shared" si="3"/>
        <v>0.12462238814308746</v>
      </c>
      <c r="M20" s="102">
        <f t="shared" si="3"/>
        <v>5.6697344247446969E-2</v>
      </c>
      <c r="N20" s="102">
        <f t="shared" si="3"/>
        <v>4.0702053593845773E-2</v>
      </c>
      <c r="O20" s="102">
        <f t="shared" si="3"/>
        <v>0.24362755954771667</v>
      </c>
      <c r="P20" s="102">
        <f t="shared" si="3"/>
        <v>0.18920894784916178</v>
      </c>
      <c r="Q20" s="307">
        <f>IFERROR(Q15/Q$31,"")</f>
        <v>0.18920894784916178</v>
      </c>
      <c r="R20" s="102">
        <f>IFERROR(R15/R$31,"")</f>
        <v>0.10783846537511496</v>
      </c>
      <c r="S20" s="102">
        <f>IFERROR(S15/S$31,"")</f>
        <v>0.19625420756473569</v>
      </c>
      <c r="T20" s="102">
        <f>IFERROR(T15/T$31,"")</f>
        <v>0.20757516864381401</v>
      </c>
      <c r="U20" s="107">
        <f>T20</f>
        <v>0.20757516864381401</v>
      </c>
      <c r="V20" s="307">
        <f>IFERROR(V15/V$31,"")</f>
        <v>0.20757516864381401</v>
      </c>
      <c r="W20" s="107">
        <f>U20</f>
        <v>0.20757516864381401</v>
      </c>
      <c r="X20" s="107">
        <f>W20</f>
        <v>0.20757516864381401</v>
      </c>
      <c r="Y20" s="107">
        <f>X20</f>
        <v>0.20757516864381401</v>
      </c>
      <c r="Z20" s="107">
        <f>Y20</f>
        <v>0.20757516864381401</v>
      </c>
      <c r="AA20" s="307">
        <f>IFERROR(AA15/AA$31,"")</f>
        <v>0.20757516864381401</v>
      </c>
      <c r="AB20" s="107">
        <f>AA20</f>
        <v>0.20757516864381401</v>
      </c>
      <c r="AC20" s="107">
        <f>AB20</f>
        <v>0.20757516864381401</v>
      </c>
      <c r="AD20" s="107">
        <f>AC20</f>
        <v>0.20757516864381401</v>
      </c>
      <c r="AE20" s="107">
        <f>AD20</f>
        <v>0.20757516864381401</v>
      </c>
      <c r="AF20" s="307">
        <f>IFERROR(AF15/AF$31,"")</f>
        <v>0.20757516864381401</v>
      </c>
      <c r="AG20" s="107">
        <f>AF20</f>
        <v>0.20757516864381401</v>
      </c>
      <c r="AH20" s="107">
        <f>AG20</f>
        <v>0.20757516864381401</v>
      </c>
      <c r="AI20" s="107">
        <f>AH20</f>
        <v>0.20757516864381401</v>
      </c>
      <c r="AJ20" s="107">
        <f>AI20</f>
        <v>0.20757516864381401</v>
      </c>
      <c r="AK20" s="307">
        <f>IFERROR(AK15/AK$31,"")</f>
        <v>0.20757516864381401</v>
      </c>
    </row>
    <row r="21" spans="1:37" s="301" customFormat="1" ht="12.75" customHeight="1" outlineLevel="1">
      <c r="A21" s="78"/>
      <c r="B21" s="677" t="s">
        <v>99</v>
      </c>
      <c r="C21" s="102"/>
      <c r="D21" s="102"/>
      <c r="E21" s="102"/>
      <c r="F21" s="102"/>
      <c r="G21" s="307"/>
      <c r="H21" s="102"/>
      <c r="I21" s="102"/>
      <c r="J21" s="102"/>
      <c r="K21" s="102">
        <f t="shared" ref="K21:AF21" si="4">IFERROR(K15/K$10,"")</f>
        <v>2.1537732559029252</v>
      </c>
      <c r="L21" s="307">
        <f t="shared" si="4"/>
        <v>1.0912366833666021</v>
      </c>
      <c r="M21" s="102">
        <f t="shared" si="4"/>
        <v>1.0349642789001718</v>
      </c>
      <c r="N21" s="102">
        <f t="shared" si="4"/>
        <v>0.36410358878117011</v>
      </c>
      <c r="O21" s="102">
        <f t="shared" si="4"/>
        <v>1.8479795047787362</v>
      </c>
      <c r="P21" s="102">
        <f t="shared" si="4"/>
        <v>1.0287612217866557</v>
      </c>
      <c r="Q21" s="307">
        <f t="shared" si="4"/>
        <v>0.40143915765996707</v>
      </c>
      <c r="R21" s="102">
        <f>IFERROR(R15/R$10,"")</f>
        <v>0.44469821684704652</v>
      </c>
      <c r="S21" s="102">
        <f>IFERROR(S15/S$10,"")</f>
        <v>0.78442893564250304</v>
      </c>
      <c r="T21" s="102">
        <f>IFERROR(T15/T$10,"")</f>
        <v>0.81160656448856727</v>
      </c>
      <c r="U21" s="102">
        <f t="shared" si="4"/>
        <v>0.66156436814001252</v>
      </c>
      <c r="V21" s="307">
        <f t="shared" si="4"/>
        <v>0.20006255570533912</v>
      </c>
      <c r="W21" s="102">
        <f t="shared" si="4"/>
        <v>0.50179047828158596</v>
      </c>
      <c r="X21" s="102">
        <f t="shared" si="4"/>
        <v>0.45657363043431409</v>
      </c>
      <c r="Y21" s="102">
        <f t="shared" si="4"/>
        <v>0.45957199429368784</v>
      </c>
      <c r="Z21" s="102">
        <f t="shared" si="4"/>
        <v>0.40613007480828955</v>
      </c>
      <c r="AA21" s="307">
        <f t="shared" si="4"/>
        <v>0.11913673029360024</v>
      </c>
      <c r="AB21" s="102">
        <f t="shared" si="4"/>
        <v>0.37529135295288724</v>
      </c>
      <c r="AC21" s="102">
        <f t="shared" si="4"/>
        <v>0.41702686150467883</v>
      </c>
      <c r="AD21" s="102">
        <f t="shared" si="4"/>
        <v>0.43255165971197351</v>
      </c>
      <c r="AE21" s="102">
        <f t="shared" si="4"/>
        <v>0.38356900306388914</v>
      </c>
      <c r="AF21" s="307">
        <f t="shared" si="4"/>
        <v>0.1063390796104515</v>
      </c>
      <c r="AG21" s="102">
        <f>IFERROR(AG15/AG$10,"")</f>
        <v>0.35772480977549265</v>
      </c>
      <c r="AH21" s="102">
        <f>IFERROR(AH15/AH$10,"")</f>
        <v>0.41603302241129092</v>
      </c>
      <c r="AI21" s="102">
        <f>IFERROR(AI15/AI$10,"")</f>
        <v>0.4487932109312866</v>
      </c>
      <c r="AJ21" s="102">
        <f>IFERROR(AJ15/AJ$10,"")</f>
        <v>0.41188660948946082</v>
      </c>
      <c r="AK21" s="307">
        <f>IFERROR(AK15/AK$10,"")</f>
        <v>0.10817981029360289</v>
      </c>
    </row>
    <row r="22" spans="1:37" s="305" customFormat="1" ht="12.75" customHeight="1" outlineLevel="1">
      <c r="A22" s="67"/>
      <c r="B22" s="397"/>
      <c r="C22" s="304"/>
      <c r="D22" s="304"/>
      <c r="E22" s="304"/>
      <c r="F22" s="304"/>
      <c r="G22" s="94"/>
      <c r="H22" s="304"/>
      <c r="I22" s="304"/>
      <c r="J22" s="304"/>
      <c r="K22" s="304"/>
      <c r="L22" s="94"/>
      <c r="M22" s="304"/>
      <c r="N22" s="304"/>
      <c r="O22" s="304"/>
      <c r="P22" s="304"/>
      <c r="Q22" s="94"/>
      <c r="R22" s="304"/>
      <c r="S22" s="304"/>
      <c r="T22" s="304"/>
      <c r="U22" s="304"/>
      <c r="V22" s="94"/>
      <c r="W22" s="304"/>
      <c r="X22" s="304"/>
      <c r="Y22" s="304"/>
      <c r="Z22" s="304"/>
      <c r="AA22" s="94"/>
      <c r="AB22" s="304"/>
      <c r="AC22" s="304"/>
      <c r="AD22" s="304"/>
      <c r="AE22" s="304"/>
      <c r="AF22" s="94"/>
      <c r="AG22" s="304"/>
      <c r="AH22" s="304"/>
      <c r="AI22" s="304"/>
      <c r="AJ22" s="304"/>
      <c r="AK22" s="94"/>
    </row>
    <row r="23" spans="1:37" s="246" customFormat="1" ht="12.75" customHeight="1" outlineLevel="1">
      <c r="A23" s="245"/>
      <c r="B23" s="398" t="s">
        <v>105</v>
      </c>
      <c r="C23" s="364"/>
      <c r="D23" s="364"/>
      <c r="E23" s="364"/>
      <c r="F23" s="364"/>
      <c r="G23" s="511"/>
      <c r="H23" s="364"/>
      <c r="I23" s="364"/>
      <c r="J23" s="364"/>
      <c r="K23" s="364">
        <f>BS!K41</f>
        <v>1754.873</v>
      </c>
      <c r="L23" s="511">
        <f>BS!L41</f>
        <v>1754.873</v>
      </c>
      <c r="M23" s="364">
        <f>BS!M41</f>
        <v>3248.9929999999999</v>
      </c>
      <c r="N23" s="364">
        <f>BS!N41</f>
        <v>3392.8679999999999</v>
      </c>
      <c r="O23" s="364">
        <f>BS!O41</f>
        <v>3350.2359999999999</v>
      </c>
      <c r="P23" s="364">
        <f>BS!P41</f>
        <v>3294.9769999999999</v>
      </c>
      <c r="Q23" s="511">
        <f>BS!Q41</f>
        <v>3294.9769999999999</v>
      </c>
      <c r="R23" s="364">
        <f>BS!R41</f>
        <v>3611.4690000000001</v>
      </c>
      <c r="S23" s="364">
        <f>BS!S41</f>
        <v>3896.1729999999998</v>
      </c>
      <c r="T23" s="364">
        <f>BS!T41</f>
        <v>4228.2219999999998</v>
      </c>
      <c r="U23" s="365">
        <f>U$31*U28</f>
        <v>3896.6095146357529</v>
      </c>
      <c r="V23" s="362">
        <f>U23</f>
        <v>3896.6095146357529</v>
      </c>
      <c r="W23" s="365">
        <f>W$31*W28</f>
        <v>4266.2874501236629</v>
      </c>
      <c r="X23" s="365">
        <f>X$31*X28</f>
        <v>5166.5410030653702</v>
      </c>
      <c r="Y23" s="365">
        <f>Y$31*Y28</f>
        <v>5771.5230299999994</v>
      </c>
      <c r="Z23" s="365">
        <f>Z$31*Z28</f>
        <v>5458.4448872206358</v>
      </c>
      <c r="AA23" s="362">
        <f>Z23</f>
        <v>5458.4448872206358</v>
      </c>
      <c r="AB23" s="365">
        <f>AB$31*AB28</f>
        <v>5460.8479361582886</v>
      </c>
      <c r="AC23" s="365">
        <f>AC$31*AC28</f>
        <v>6613.1724839236749</v>
      </c>
      <c r="AD23" s="365">
        <f>AD$31*AD28</f>
        <v>7387.5494784000002</v>
      </c>
      <c r="AE23" s="365">
        <f>AE$31*AE28</f>
        <v>6986.8094556424148</v>
      </c>
      <c r="AF23" s="362">
        <f>AE23</f>
        <v>6986.8094556424148</v>
      </c>
      <c r="AG23" s="365">
        <f>AG$31*AG28</f>
        <v>6989.8853582826105</v>
      </c>
      <c r="AH23" s="365">
        <f>AH$31*AH28</f>
        <v>8464.8607794223044</v>
      </c>
      <c r="AI23" s="365">
        <f>AI$31*AI28</f>
        <v>9456.0633323519996</v>
      </c>
      <c r="AJ23" s="365">
        <f>AJ$31*AJ28</f>
        <v>8943.1161032222899</v>
      </c>
      <c r="AK23" s="362">
        <f>AJ23</f>
        <v>8943.1161032222899</v>
      </c>
    </row>
    <row r="24" spans="1:37" s="301" customFormat="1" ht="12.75" customHeight="1" outlineLevel="1">
      <c r="A24" s="78"/>
      <c r="B24" s="399" t="s">
        <v>31</v>
      </c>
      <c r="C24" s="253"/>
      <c r="D24" s="102"/>
      <c r="E24" s="102"/>
      <c r="F24" s="102"/>
      <c r="G24" s="254"/>
      <c r="H24" s="102"/>
      <c r="I24" s="102"/>
      <c r="J24" s="102"/>
      <c r="K24" s="102" t="str">
        <f t="shared" ref="K24:AF24" si="5">IFERROR(K23/F23-1,"")</f>
        <v/>
      </c>
      <c r="L24" s="254" t="str">
        <f t="shared" si="5"/>
        <v/>
      </c>
      <c r="M24" s="102" t="str">
        <f t="shared" si="5"/>
        <v/>
      </c>
      <c r="N24" s="102" t="str">
        <f t="shared" si="5"/>
        <v/>
      </c>
      <c r="O24" s="102" t="str">
        <f t="shared" si="5"/>
        <v/>
      </c>
      <c r="P24" s="102">
        <f t="shared" si="5"/>
        <v>0.87761564512075796</v>
      </c>
      <c r="Q24" s="254">
        <f t="shared" si="5"/>
        <v>0.87761564512075796</v>
      </c>
      <c r="R24" s="102">
        <f t="shared" si="5"/>
        <v>0.11156564510911537</v>
      </c>
      <c r="S24" s="102">
        <f t="shared" si="5"/>
        <v>0.14834205162122416</v>
      </c>
      <c r="T24" s="102">
        <f t="shared" si="5"/>
        <v>0.26206691110715785</v>
      </c>
      <c r="U24" s="102">
        <f t="shared" si="5"/>
        <v>0.18259080856581189</v>
      </c>
      <c r="V24" s="254">
        <f t="shared" si="5"/>
        <v>0.18259080856581189</v>
      </c>
      <c r="W24" s="102">
        <f t="shared" si="5"/>
        <v>0.18131637018721825</v>
      </c>
      <c r="X24" s="102">
        <f t="shared" si="5"/>
        <v>0.3260553376519395</v>
      </c>
      <c r="Y24" s="102">
        <f t="shared" si="5"/>
        <v>0.36499999999999999</v>
      </c>
      <c r="Z24" s="102">
        <f t="shared" si="5"/>
        <v>0.4008190625000001</v>
      </c>
      <c r="AA24" s="254">
        <f t="shared" si="5"/>
        <v>0.4008190625000001</v>
      </c>
      <c r="AB24" s="102">
        <f t="shared" si="5"/>
        <v>0.28000000000000003</v>
      </c>
      <c r="AC24" s="102">
        <f t="shared" si="5"/>
        <v>0.28000000000000025</v>
      </c>
      <c r="AD24" s="102">
        <f t="shared" si="5"/>
        <v>0.28000000000000025</v>
      </c>
      <c r="AE24" s="102">
        <f t="shared" si="5"/>
        <v>0.28000000000000025</v>
      </c>
      <c r="AF24" s="254">
        <f t="shared" si="5"/>
        <v>0.28000000000000025</v>
      </c>
      <c r="AG24" s="102">
        <f>IFERROR(AG23/AB23-1,"")</f>
        <v>0.28000000000000025</v>
      </c>
      <c r="AH24" s="102">
        <f>IFERROR(AH23/AC23-1,"")</f>
        <v>0.28000000000000003</v>
      </c>
      <c r="AI24" s="102">
        <f>IFERROR(AI23/AD23-1,"")</f>
        <v>0.2799999999999998</v>
      </c>
      <c r="AJ24" s="102">
        <f>IFERROR(AJ23/AE23-1,"")</f>
        <v>0.2799999999999998</v>
      </c>
      <c r="AK24" s="254">
        <f>IFERROR(AK23/AF23-1,"")</f>
        <v>0.2799999999999998</v>
      </c>
    </row>
    <row r="25" spans="1:37" s="301" customFormat="1" ht="12.75" customHeight="1" outlineLevel="1">
      <c r="A25" s="78"/>
      <c r="B25" s="399" t="s">
        <v>33</v>
      </c>
      <c r="C25" s="253"/>
      <c r="D25" s="102"/>
      <c r="E25" s="102"/>
      <c r="F25" s="102"/>
      <c r="G25" s="255"/>
      <c r="H25" s="253"/>
      <c r="I25" s="102"/>
      <c r="J25" s="102"/>
      <c r="K25" s="102" t="str">
        <f>IFERROR(K23/J23-1,"")</f>
        <v/>
      </c>
      <c r="L25" s="255"/>
      <c r="M25" s="253">
        <f>IFERROR(M23/K23-1,"")</f>
        <v>0.85141203950371325</v>
      </c>
      <c r="N25" s="102">
        <f>IFERROR(N23/M23-1,"")</f>
        <v>4.4282951671487103E-2</v>
      </c>
      <c r="O25" s="102">
        <f>IFERROR(O23/N23-1,"")</f>
        <v>-1.2565180844052892E-2</v>
      </c>
      <c r="P25" s="102">
        <f>IFERROR(P23/O23-1,"")</f>
        <v>-1.6494061910862445E-2</v>
      </c>
      <c r="Q25" s="255"/>
      <c r="R25" s="253">
        <f>IFERROR(R23/P23-1,"")</f>
        <v>9.6052870778764232E-2</v>
      </c>
      <c r="S25" s="102">
        <f>IFERROR(S23/R23-1,"")</f>
        <v>7.8833294706392332E-2</v>
      </c>
      <c r="T25" s="102">
        <f>IFERROR(T23/S23-1,"")</f>
        <v>8.5224398403253687E-2</v>
      </c>
      <c r="U25" s="102">
        <f>IFERROR(U23/T23-1,"")</f>
        <v>-7.8428352476347496E-2</v>
      </c>
      <c r="V25" s="255"/>
      <c r="W25" s="253">
        <f>IFERROR(W23/U23-1,"")</f>
        <v>9.4871691427994342E-2</v>
      </c>
      <c r="X25" s="102">
        <f>IFERROR(X23/W23-1,"")</f>
        <v>0.21101568130755299</v>
      </c>
      <c r="Y25" s="102">
        <f>IFERROR(Y23/X23-1,"")</f>
        <v>0.11709614354665643</v>
      </c>
      <c r="Z25" s="102">
        <f>IFERROR(Z23/Y23-1,"")</f>
        <v>-5.4245325047132975E-2</v>
      </c>
      <c r="AA25" s="255"/>
      <c r="AB25" s="253">
        <f>IFERROR(AB23/Z23-1,"")</f>
        <v>4.4024424305888488E-4</v>
      </c>
      <c r="AC25" s="102">
        <f>IFERROR(AC23/AB23-1,"")</f>
        <v>0.21101568130755299</v>
      </c>
      <c r="AD25" s="102">
        <f>IFERROR(AD23/AC23-1,"")</f>
        <v>0.11709614354665643</v>
      </c>
      <c r="AE25" s="102">
        <f>IFERROR(AE23/AD23-1,"")</f>
        <v>-5.4245325047132975E-2</v>
      </c>
      <c r="AF25" s="255"/>
      <c r="AG25" s="253">
        <f>IFERROR(AG23/AE23-1,"")</f>
        <v>4.4024424305888488E-4</v>
      </c>
      <c r="AH25" s="102">
        <f>IFERROR(AH23/AG23-1,"")</f>
        <v>0.21101568130755299</v>
      </c>
      <c r="AI25" s="102">
        <f>IFERROR(AI23/AH23-1,"")</f>
        <v>0.11709614354665621</v>
      </c>
      <c r="AJ25" s="102">
        <f>IFERROR(AJ23/AI23-1,"")</f>
        <v>-5.4245325047132975E-2</v>
      </c>
      <c r="AK25" s="255"/>
    </row>
    <row r="26" spans="1:37" s="301" customFormat="1" ht="12.75" customHeight="1" outlineLevel="1">
      <c r="A26" s="78"/>
      <c r="B26" s="399" t="s">
        <v>117</v>
      </c>
      <c r="C26" s="293"/>
      <c r="D26" s="290"/>
      <c r="E26" s="290"/>
      <c r="F26" s="290"/>
      <c r="G26" s="410"/>
      <c r="H26" s="290"/>
      <c r="I26" s="290"/>
      <c r="J26" s="290"/>
      <c r="K26" s="290">
        <f t="shared" ref="K26:AF26" si="6">K23-F23</f>
        <v>1754.873</v>
      </c>
      <c r="L26" s="410">
        <f t="shared" si="6"/>
        <v>1754.873</v>
      </c>
      <c r="M26" s="290">
        <f t="shared" si="6"/>
        <v>3248.9929999999999</v>
      </c>
      <c r="N26" s="290">
        <f t="shared" si="6"/>
        <v>3392.8679999999999</v>
      </c>
      <c r="O26" s="290">
        <f t="shared" si="6"/>
        <v>3350.2359999999999</v>
      </c>
      <c r="P26" s="290">
        <f t="shared" si="6"/>
        <v>1540.1039999999998</v>
      </c>
      <c r="Q26" s="410">
        <f t="shared" si="6"/>
        <v>1540.1039999999998</v>
      </c>
      <c r="R26" s="290">
        <f t="shared" si="6"/>
        <v>362.47600000000011</v>
      </c>
      <c r="S26" s="290">
        <f t="shared" si="6"/>
        <v>503.30499999999984</v>
      </c>
      <c r="T26" s="290">
        <f t="shared" si="6"/>
        <v>877.98599999999988</v>
      </c>
      <c r="U26" s="290">
        <f t="shared" si="6"/>
        <v>601.63251463575307</v>
      </c>
      <c r="V26" s="410">
        <f t="shared" si="6"/>
        <v>601.63251463575307</v>
      </c>
      <c r="W26" s="290">
        <f t="shared" si="6"/>
        <v>654.81845012366284</v>
      </c>
      <c r="X26" s="290">
        <f t="shared" si="6"/>
        <v>1270.3680030653704</v>
      </c>
      <c r="Y26" s="290">
        <f t="shared" si="6"/>
        <v>1543.3010299999996</v>
      </c>
      <c r="Z26" s="290">
        <f t="shared" si="6"/>
        <v>1561.8353725848829</v>
      </c>
      <c r="AA26" s="410">
        <f t="shared" si="6"/>
        <v>1561.8353725848829</v>
      </c>
      <c r="AB26" s="290">
        <f t="shared" si="6"/>
        <v>1194.5604860346257</v>
      </c>
      <c r="AC26" s="290">
        <f t="shared" si="6"/>
        <v>1446.6314808583047</v>
      </c>
      <c r="AD26" s="290">
        <f t="shared" si="6"/>
        <v>1616.0264484000008</v>
      </c>
      <c r="AE26" s="290">
        <f t="shared" si="6"/>
        <v>1528.364568421779</v>
      </c>
      <c r="AF26" s="410">
        <f t="shared" si="6"/>
        <v>1528.364568421779</v>
      </c>
      <c r="AG26" s="290">
        <f>AG23-AB23</f>
        <v>1529.0374221243219</v>
      </c>
      <c r="AH26" s="290">
        <f>AH23-AC23</f>
        <v>1851.6882954986295</v>
      </c>
      <c r="AI26" s="290">
        <f>AI23-AD23</f>
        <v>2068.5138539519994</v>
      </c>
      <c r="AJ26" s="290">
        <f>AJ23-AE23</f>
        <v>1956.3066475798751</v>
      </c>
      <c r="AK26" s="410">
        <f>AK23-AF23</f>
        <v>1956.3066475798751</v>
      </c>
    </row>
    <row r="27" spans="1:37" s="301" customFormat="1" ht="12.75" customHeight="1" outlineLevel="1">
      <c r="A27" s="78"/>
      <c r="B27" s="399" t="s">
        <v>118</v>
      </c>
      <c r="C27" s="293"/>
      <c r="D27" s="290"/>
      <c r="E27" s="290"/>
      <c r="F27" s="290"/>
      <c r="G27" s="254"/>
      <c r="H27" s="293"/>
      <c r="I27" s="290"/>
      <c r="J27" s="290"/>
      <c r="K27" s="290">
        <f>K23-J23</f>
        <v>1754.873</v>
      </c>
      <c r="L27" s="254"/>
      <c r="M27" s="293">
        <f>M23-K23</f>
        <v>1494.12</v>
      </c>
      <c r="N27" s="290">
        <f>N23-M23</f>
        <v>143.875</v>
      </c>
      <c r="O27" s="290">
        <f>O23-N23</f>
        <v>-42.632000000000062</v>
      </c>
      <c r="P27" s="290">
        <f>P23-O23</f>
        <v>-55.259000000000015</v>
      </c>
      <c r="Q27" s="254"/>
      <c r="R27" s="293">
        <f>R23-P23</f>
        <v>316.49200000000019</v>
      </c>
      <c r="S27" s="290">
        <f>S23-R23</f>
        <v>284.70399999999972</v>
      </c>
      <c r="T27" s="290">
        <f>T23-S23</f>
        <v>332.04899999999998</v>
      </c>
      <c r="U27" s="290">
        <f>U23-T23</f>
        <v>-331.61248536424682</v>
      </c>
      <c r="V27" s="254"/>
      <c r="W27" s="293">
        <f>W23-U23</f>
        <v>369.67793548790996</v>
      </c>
      <c r="X27" s="290">
        <f>X23-W23</f>
        <v>900.25355294170731</v>
      </c>
      <c r="Y27" s="290">
        <f>Y23-X23</f>
        <v>604.98202693462918</v>
      </c>
      <c r="Z27" s="290">
        <f>Z23-Y23</f>
        <v>-313.07814277936359</v>
      </c>
      <c r="AA27" s="254"/>
      <c r="AB27" s="293">
        <f>AB23-Z23</f>
        <v>2.4030489376527839</v>
      </c>
      <c r="AC27" s="290">
        <f>AC23-AB23</f>
        <v>1152.3245477653863</v>
      </c>
      <c r="AD27" s="290">
        <f>AD23-AC23</f>
        <v>774.37699447632531</v>
      </c>
      <c r="AE27" s="290">
        <f>AE23-AD23</f>
        <v>-400.74002275758539</v>
      </c>
      <c r="AF27" s="254"/>
      <c r="AG27" s="293">
        <f>AG23-AE23</f>
        <v>3.0759026401956362</v>
      </c>
      <c r="AH27" s="290">
        <f>AH23-AG23</f>
        <v>1474.9754211396939</v>
      </c>
      <c r="AI27" s="290">
        <f>AI23-AH23</f>
        <v>991.20255292969523</v>
      </c>
      <c r="AJ27" s="290">
        <f>AJ23-AI23</f>
        <v>-512.94722912970974</v>
      </c>
      <c r="AK27" s="254"/>
    </row>
    <row r="28" spans="1:37" s="301" customFormat="1" ht="12.75" customHeight="1" outlineLevel="1">
      <c r="A28" s="78"/>
      <c r="B28" s="399" t="s">
        <v>112</v>
      </c>
      <c r="C28" s="102"/>
      <c r="D28" s="102"/>
      <c r="E28" s="102"/>
      <c r="F28" s="102"/>
      <c r="G28" s="307"/>
      <c r="H28" s="102"/>
      <c r="I28" s="102"/>
      <c r="J28" s="102"/>
      <c r="K28" s="102">
        <f t="shared" ref="K28:P28" si="7">IFERROR(K23/K$31,"")</f>
        <v>0.87537761185691254</v>
      </c>
      <c r="L28" s="307">
        <f t="shared" si="7"/>
        <v>0.87537761185691254</v>
      </c>
      <c r="M28" s="102">
        <f t="shared" si="7"/>
        <v>0.94330265575255301</v>
      </c>
      <c r="N28" s="102">
        <f t="shared" si="7"/>
        <v>0.95929794640615418</v>
      </c>
      <c r="O28" s="102">
        <f t="shared" si="7"/>
        <v>0.75637244045228336</v>
      </c>
      <c r="P28" s="102">
        <f t="shared" si="7"/>
        <v>0.81079105215083813</v>
      </c>
      <c r="Q28" s="307">
        <f>IFERROR(Q23/Q$31,"")</f>
        <v>0.81079105215083813</v>
      </c>
      <c r="R28" s="102">
        <f>IFERROR(R23/R$31,"")</f>
        <v>0.89216153462488512</v>
      </c>
      <c r="S28" s="102">
        <f>IFERROR(S23/S$31,"")</f>
        <v>0.80374579243526423</v>
      </c>
      <c r="T28" s="102">
        <f>IFERROR(T23/T$31,"")</f>
        <v>0.79242483135618602</v>
      </c>
      <c r="U28" s="102">
        <f t="shared" ref="U28:AE28" si="8">1-U20</f>
        <v>0.79242483135618602</v>
      </c>
      <c r="V28" s="307">
        <f>IFERROR(V23/V$31,"")</f>
        <v>0.79242483135618602</v>
      </c>
      <c r="W28" s="102">
        <f t="shared" si="8"/>
        <v>0.79242483135618602</v>
      </c>
      <c r="X28" s="102">
        <f t="shared" si="8"/>
        <v>0.79242483135618602</v>
      </c>
      <c r="Y28" s="102">
        <f t="shared" si="8"/>
        <v>0.79242483135618602</v>
      </c>
      <c r="Z28" s="102">
        <f t="shared" si="8"/>
        <v>0.79242483135618602</v>
      </c>
      <c r="AA28" s="307">
        <f>IFERROR(AA23/AA$31,"")</f>
        <v>0.79242483135618602</v>
      </c>
      <c r="AB28" s="102">
        <f t="shared" si="8"/>
        <v>0.79242483135618602</v>
      </c>
      <c r="AC28" s="102">
        <f t="shared" si="8"/>
        <v>0.79242483135618602</v>
      </c>
      <c r="AD28" s="102">
        <f t="shared" si="8"/>
        <v>0.79242483135618602</v>
      </c>
      <c r="AE28" s="102">
        <f t="shared" si="8"/>
        <v>0.79242483135618602</v>
      </c>
      <c r="AF28" s="307">
        <f>IFERROR(AF23/AF$31,"")</f>
        <v>0.79242483135618602</v>
      </c>
      <c r="AG28" s="102">
        <f>1-AG20</f>
        <v>0.79242483135618602</v>
      </c>
      <c r="AH28" s="102">
        <f>1-AH20</f>
        <v>0.79242483135618602</v>
      </c>
      <c r="AI28" s="102">
        <f>1-AI20</f>
        <v>0.79242483135618602</v>
      </c>
      <c r="AJ28" s="102">
        <f>1-AJ20</f>
        <v>0.79242483135618602</v>
      </c>
      <c r="AK28" s="307">
        <f>IFERROR(AK23/AK$31,"")</f>
        <v>0.79242483135618591</v>
      </c>
    </row>
    <row r="29" spans="1:37" s="301" customFormat="1" ht="12.75" customHeight="1" outlineLevel="1">
      <c r="A29" s="78"/>
      <c r="B29" s="399" t="s">
        <v>99</v>
      </c>
      <c r="C29" s="102"/>
      <c r="D29" s="102"/>
      <c r="E29" s="102"/>
      <c r="F29" s="102"/>
      <c r="G29" s="307"/>
      <c r="H29" s="102"/>
      <c r="I29" s="102"/>
      <c r="J29" s="102"/>
      <c r="K29" s="102">
        <f t="shared" ref="K29:V29" si="9">IFERROR(K23/K$10,"")</f>
        <v>15.128621087479674</v>
      </c>
      <c r="L29" s="307">
        <f t="shared" si="9"/>
        <v>7.6651087825353903</v>
      </c>
      <c r="M29" s="102">
        <f t="shared" si="9"/>
        <v>17.219228975429818</v>
      </c>
      <c r="N29" s="102">
        <f t="shared" si="9"/>
        <v>8.5814791676678368</v>
      </c>
      <c r="O29" s="102">
        <f t="shared" si="9"/>
        <v>5.7372851024332929</v>
      </c>
      <c r="P29" s="102">
        <f t="shared" si="9"/>
        <v>4.4084088142033373</v>
      </c>
      <c r="Q29" s="307">
        <f t="shared" si="9"/>
        <v>1.7202319484020787</v>
      </c>
      <c r="R29" s="102">
        <f>IFERROR(R23/R$10,"")</f>
        <v>3.6790457116312427</v>
      </c>
      <c r="S29" s="102">
        <f>IFERROR(S23/S$10,"")</f>
        <v>3.2125754872244774</v>
      </c>
      <c r="T29" s="102">
        <f>IFERROR(T23/T$10,"")</f>
        <v>3.0983339635195462</v>
      </c>
      <c r="U29" s="102">
        <f t="shared" si="9"/>
        <v>2.525543090147619</v>
      </c>
      <c r="V29" s="307">
        <f t="shared" si="9"/>
        <v>0.76374519168777</v>
      </c>
      <c r="W29" s="102">
        <f t="shared" ref="W29:AF29" si="10">IFERROR(W23/W$10,"")</f>
        <v>1.9156011662008376</v>
      </c>
      <c r="X29" s="102">
        <f t="shared" si="10"/>
        <v>1.7429844063834994</v>
      </c>
      <c r="Y29" s="102">
        <f t="shared" si="10"/>
        <v>1.75443075611373</v>
      </c>
      <c r="Z29" s="102">
        <f t="shared" si="10"/>
        <v>1.5504145228029176</v>
      </c>
      <c r="AA29" s="307">
        <f t="shared" si="10"/>
        <v>0.45480827031498122</v>
      </c>
      <c r="AB29" s="102">
        <f t="shared" si="10"/>
        <v>1.4326867178579992</v>
      </c>
      <c r="AC29" s="102">
        <f t="shared" si="10"/>
        <v>1.5920133538029182</v>
      </c>
      <c r="AD29" s="102">
        <f t="shared" si="10"/>
        <v>1.6512797664554073</v>
      </c>
      <c r="AE29" s="102">
        <f t="shared" si="10"/>
        <v>1.4642869113497927</v>
      </c>
      <c r="AF29" s="307">
        <f t="shared" si="10"/>
        <v>0.40595283037673341</v>
      </c>
      <c r="AG29" s="102">
        <f>IFERROR(AG23/AG$10,"")</f>
        <v>1.3656258786169424</v>
      </c>
      <c r="AH29" s="102">
        <f>IFERROR(AH23/AH$10,"")</f>
        <v>1.5882193413441135</v>
      </c>
      <c r="AI29" s="102">
        <f>IFERROR(AI23/AI$10,"")</f>
        <v>1.7132824066074741</v>
      </c>
      <c r="AJ29" s="102">
        <f>IFERROR(AJ23/AJ$10,"")</f>
        <v>1.5723902776763277</v>
      </c>
      <c r="AK29" s="307">
        <f>IFERROR(AK23/AK$10,"")</f>
        <v>0.41297987850921664</v>
      </c>
    </row>
    <row r="30" spans="1:37" ht="12.75" customHeight="1" outlineLevel="1">
      <c r="B30" s="397"/>
      <c r="C30" s="304"/>
      <c r="D30" s="304"/>
      <c r="E30" s="304"/>
      <c r="F30" s="304"/>
      <c r="G30" s="94"/>
      <c r="H30" s="304"/>
      <c r="I30" s="304"/>
      <c r="J30" s="304"/>
      <c r="K30" s="304"/>
      <c r="L30" s="94"/>
      <c r="M30" s="304"/>
      <c r="N30" s="304"/>
      <c r="O30" s="304"/>
      <c r="P30" s="304"/>
      <c r="Q30" s="94"/>
      <c r="R30" s="304"/>
      <c r="S30" s="304"/>
      <c r="T30" s="304"/>
      <c r="U30" s="304"/>
      <c r="V30" s="94"/>
      <c r="W30" s="304"/>
      <c r="X30" s="304"/>
      <c r="Y30" s="304"/>
      <c r="Z30" s="304"/>
      <c r="AA30" s="94"/>
      <c r="AB30" s="304"/>
      <c r="AC30" s="304"/>
      <c r="AD30" s="304"/>
      <c r="AE30" s="304"/>
      <c r="AF30" s="94"/>
      <c r="AG30" s="304"/>
      <c r="AH30" s="304"/>
      <c r="AI30" s="304"/>
      <c r="AJ30" s="304"/>
      <c r="AK30" s="94"/>
    </row>
    <row r="31" spans="1:37" s="440" customFormat="1" ht="12.75" customHeight="1" outlineLevel="1">
      <c r="A31" s="405" t="s">
        <v>48</v>
      </c>
      <c r="B31" s="441" t="s">
        <v>106</v>
      </c>
      <c r="C31" s="368"/>
      <c r="D31" s="442"/>
      <c r="E31" s="442"/>
      <c r="F31" s="442"/>
      <c r="G31" s="443"/>
      <c r="H31" s="442"/>
      <c r="I31" s="442"/>
      <c r="J31" s="442"/>
      <c r="K31" s="442">
        <f t="shared" ref="K31:P31" si="11">K23+K15</f>
        <v>2004.704</v>
      </c>
      <c r="L31" s="443">
        <f t="shared" si="11"/>
        <v>2004.704</v>
      </c>
      <c r="M31" s="442">
        <f t="shared" si="11"/>
        <v>3444.2741999999998</v>
      </c>
      <c r="N31" s="442">
        <f t="shared" si="11"/>
        <v>3536.8240000000001</v>
      </c>
      <c r="O31" s="442">
        <f t="shared" si="11"/>
        <v>4429.3469999999998</v>
      </c>
      <c r="P31" s="442">
        <f t="shared" si="11"/>
        <v>4063.904</v>
      </c>
      <c r="Q31" s="443">
        <f>P31</f>
        <v>4063.904</v>
      </c>
      <c r="R31" s="442">
        <f>R23+R15</f>
        <v>4047.9989999999998</v>
      </c>
      <c r="S31" s="442">
        <f>S23+S15</f>
        <v>4847.5190000000002</v>
      </c>
      <c r="T31" s="442">
        <f>T23+T15</f>
        <v>5335.8019999999997</v>
      </c>
      <c r="U31" s="442">
        <f>P31*(1+U32)</f>
        <v>4917.32384</v>
      </c>
      <c r="V31" s="443">
        <f>U31</f>
        <v>4917.32384</v>
      </c>
      <c r="W31" s="442">
        <f>R31*(1+W32)</f>
        <v>5383.8386700000001</v>
      </c>
      <c r="X31" s="442">
        <f>S31*(1+X32)</f>
        <v>6519.913055</v>
      </c>
      <c r="Y31" s="442">
        <f>T31*(1+Y32)</f>
        <v>7283.3697299999994</v>
      </c>
      <c r="Z31" s="442">
        <f>U31*(1+Z32)</f>
        <v>6888.2809715577005</v>
      </c>
      <c r="AA31" s="443">
        <f>Z31</f>
        <v>6888.2809715577005</v>
      </c>
      <c r="AB31" s="442">
        <f>W31*(1+AB32)</f>
        <v>6891.3134976000001</v>
      </c>
      <c r="AC31" s="442">
        <f>X31*(1+AC32)</f>
        <v>8345.4887104000009</v>
      </c>
      <c r="AD31" s="442">
        <f>Y31*(1+AD32)</f>
        <v>9322.7132543999996</v>
      </c>
      <c r="AE31" s="442">
        <f>Z31*(1+AE32)</f>
        <v>8816.9996435938574</v>
      </c>
      <c r="AF31" s="443">
        <f>AE31</f>
        <v>8816.9996435938574</v>
      </c>
      <c r="AG31" s="442">
        <f>AB31*(1+AG32)</f>
        <v>8820.8812769280012</v>
      </c>
      <c r="AH31" s="442">
        <f>AC31*(1+AH32)</f>
        <v>10682.225549312001</v>
      </c>
      <c r="AI31" s="442">
        <f>AD31*(1+AI32)</f>
        <v>11933.072965632</v>
      </c>
      <c r="AJ31" s="442">
        <f>AE31*(1+AJ32)</f>
        <v>11285.759543800137</v>
      </c>
      <c r="AK31" s="443">
        <f>AJ31</f>
        <v>11285.759543800137</v>
      </c>
    </row>
    <row r="32" spans="1:37" s="301" customFormat="1" ht="12.75" customHeight="1" outlineLevel="1">
      <c r="A32" s="78"/>
      <c r="B32" s="399" t="s">
        <v>31</v>
      </c>
      <c r="C32" s="253"/>
      <c r="D32" s="102"/>
      <c r="E32" s="102"/>
      <c r="F32" s="102"/>
      <c r="G32" s="254"/>
      <c r="H32" s="102"/>
      <c r="I32" s="102"/>
      <c r="J32" s="102"/>
      <c r="K32" s="102" t="str">
        <f t="shared" ref="K32:T32" si="12">IFERROR(K31/F31-1,"")</f>
        <v/>
      </c>
      <c r="L32" s="254" t="str">
        <f t="shared" si="12"/>
        <v/>
      </c>
      <c r="M32" s="102" t="str">
        <f t="shared" si="12"/>
        <v/>
      </c>
      <c r="N32" s="102" t="str">
        <f t="shared" si="12"/>
        <v/>
      </c>
      <c r="O32" s="102" t="str">
        <f t="shared" si="12"/>
        <v/>
      </c>
      <c r="P32" s="102">
        <f t="shared" si="12"/>
        <v>1.0271840630836273</v>
      </c>
      <c r="Q32" s="254">
        <f t="shared" si="12"/>
        <v>1.0271840630836273</v>
      </c>
      <c r="R32" s="102">
        <f t="shared" si="12"/>
        <v>0.17528360546904187</v>
      </c>
      <c r="S32" s="102">
        <f t="shared" si="12"/>
        <v>0.37058530478191742</v>
      </c>
      <c r="T32" s="102">
        <f t="shared" si="12"/>
        <v>0.20464754736984925</v>
      </c>
      <c r="U32" s="107">
        <v>0.21</v>
      </c>
      <c r="V32" s="254">
        <f>IFERROR(V31/Q31-1,"")</f>
        <v>0.20999999999999996</v>
      </c>
      <c r="W32" s="107">
        <v>0.33</v>
      </c>
      <c r="X32" s="107">
        <v>0.34499999999999997</v>
      </c>
      <c r="Y32" s="107">
        <v>0.36499999999999999</v>
      </c>
      <c r="Z32" s="107">
        <v>0.4008190625000001</v>
      </c>
      <c r="AA32" s="254">
        <f>IFERROR(AA31/V31-1,"")</f>
        <v>0.4008190625000001</v>
      </c>
      <c r="AB32" s="107">
        <v>0.28000000000000003</v>
      </c>
      <c r="AC32" s="107">
        <f>AB32</f>
        <v>0.28000000000000003</v>
      </c>
      <c r="AD32" s="107">
        <f>AC32</f>
        <v>0.28000000000000003</v>
      </c>
      <c r="AE32" s="107">
        <f>AD32</f>
        <v>0.28000000000000003</v>
      </c>
      <c r="AF32" s="254">
        <f>IFERROR(AF31/AA31-1,"")</f>
        <v>0.28000000000000003</v>
      </c>
      <c r="AG32" s="107">
        <v>0.28000000000000003</v>
      </c>
      <c r="AH32" s="107">
        <f>AG32</f>
        <v>0.28000000000000003</v>
      </c>
      <c r="AI32" s="107">
        <f>AH32</f>
        <v>0.28000000000000003</v>
      </c>
      <c r="AJ32" s="107">
        <f>AI32</f>
        <v>0.28000000000000003</v>
      </c>
      <c r="AK32" s="254">
        <f>IFERROR(AK31/AF31-1,"")</f>
        <v>0.28000000000000003</v>
      </c>
    </row>
    <row r="33" spans="1:37" s="301" customFormat="1" ht="12.75" customHeight="1" outlineLevel="1">
      <c r="A33" s="78"/>
      <c r="B33" s="399" t="s">
        <v>33</v>
      </c>
      <c r="C33" s="253"/>
      <c r="D33" s="102"/>
      <c r="E33" s="102"/>
      <c r="F33" s="102"/>
      <c r="G33" s="255"/>
      <c r="H33" s="253"/>
      <c r="I33" s="102"/>
      <c r="J33" s="102"/>
      <c r="K33" s="102" t="str">
        <f>IFERROR(K31/J31-1,"")</f>
        <v/>
      </c>
      <c r="L33" s="255"/>
      <c r="M33" s="253">
        <f>IFERROR(M31/K31-1,"")</f>
        <v>0.71809613788369742</v>
      </c>
      <c r="N33" s="102">
        <f>IFERROR(N31/M31-1,"")</f>
        <v>2.687062487649805E-2</v>
      </c>
      <c r="O33" s="102">
        <f>IFERROR(O31/N31-1,"")</f>
        <v>0.25235154477576494</v>
      </c>
      <c r="P33" s="102">
        <f>IFERROR(P31/O31-1,"")</f>
        <v>-8.2504938086810475E-2</v>
      </c>
      <c r="Q33" s="255"/>
      <c r="R33" s="253">
        <f>IFERROR(R31/P31-1,"")</f>
        <v>-3.9137243399450794E-3</v>
      </c>
      <c r="S33" s="102">
        <f>IFERROR(S31/R31-1,"")</f>
        <v>0.19750993021490393</v>
      </c>
      <c r="T33" s="102">
        <f>IFERROR(T31/S31-1,"")</f>
        <v>0.10072843448370183</v>
      </c>
      <c r="U33" s="102">
        <f>IFERROR(U31/T31-1,"")</f>
        <v>-7.8428352476347496E-2</v>
      </c>
      <c r="V33" s="521"/>
      <c r="W33" s="253">
        <f>IFERROR(W31/U31-1,"")</f>
        <v>9.4871691427994342E-2</v>
      </c>
      <c r="X33" s="102">
        <f>IFERROR(X31/W31-1,"")</f>
        <v>0.21101568130755299</v>
      </c>
      <c r="Y33" s="102">
        <f>IFERROR(Y31/X31-1,"")</f>
        <v>0.11709614354665643</v>
      </c>
      <c r="Z33" s="102">
        <f>IFERROR(Z31/Y31-1,"")</f>
        <v>-5.4245325047132975E-2</v>
      </c>
      <c r="AA33" s="521"/>
      <c r="AB33" s="253">
        <f>IFERROR(AB31/Z31-1,"")</f>
        <v>4.4024424305888488E-4</v>
      </c>
      <c r="AC33" s="102">
        <f>IFERROR(AC31/AB31-1,"")</f>
        <v>0.21101568130755299</v>
      </c>
      <c r="AD33" s="102">
        <f>IFERROR(AD31/AC31-1,"")</f>
        <v>0.11709614354665643</v>
      </c>
      <c r="AE33" s="102">
        <f>IFERROR(AE31/AD31-1,"")</f>
        <v>-5.4245325047132864E-2</v>
      </c>
      <c r="AF33" s="255"/>
      <c r="AG33" s="253">
        <f>IFERROR(AG31/AE31-1,"")</f>
        <v>4.4024424305888488E-4</v>
      </c>
      <c r="AH33" s="102">
        <f>IFERROR(AH31/AG31-1,"")</f>
        <v>0.21101568130755299</v>
      </c>
      <c r="AI33" s="102">
        <f>IFERROR(AI31/AH31-1,"")</f>
        <v>0.11709614354665643</v>
      </c>
      <c r="AJ33" s="102">
        <f>IFERROR(AJ31/AI31-1,"")</f>
        <v>-5.4245325047132975E-2</v>
      </c>
      <c r="AK33" s="255"/>
    </row>
    <row r="34" spans="1:37" s="301" customFormat="1" ht="12.75" customHeight="1" outlineLevel="1">
      <c r="A34" s="78"/>
      <c r="B34" s="399" t="s">
        <v>117</v>
      </c>
      <c r="C34" s="293"/>
      <c r="D34" s="290"/>
      <c r="E34" s="290"/>
      <c r="F34" s="290"/>
      <c r="G34" s="410"/>
      <c r="H34" s="290"/>
      <c r="I34" s="290"/>
      <c r="J34" s="290"/>
      <c r="K34" s="290">
        <f t="shared" ref="K34:AF34" si="13">K31-F31</f>
        <v>2004.704</v>
      </c>
      <c r="L34" s="410">
        <f t="shared" si="13"/>
        <v>2004.704</v>
      </c>
      <c r="M34" s="290">
        <f t="shared" si="13"/>
        <v>3444.2741999999998</v>
      </c>
      <c r="N34" s="290">
        <f t="shared" si="13"/>
        <v>3536.8240000000001</v>
      </c>
      <c r="O34" s="290">
        <f t="shared" si="13"/>
        <v>4429.3469999999998</v>
      </c>
      <c r="P34" s="290">
        <f t="shared" si="13"/>
        <v>2059.1999999999998</v>
      </c>
      <c r="Q34" s="410">
        <f t="shared" si="13"/>
        <v>2059.1999999999998</v>
      </c>
      <c r="R34" s="290">
        <f t="shared" si="13"/>
        <v>603.72479999999996</v>
      </c>
      <c r="S34" s="290">
        <f t="shared" si="13"/>
        <v>1310.6950000000002</v>
      </c>
      <c r="T34" s="290">
        <f t="shared" si="13"/>
        <v>906.45499999999993</v>
      </c>
      <c r="U34" s="290">
        <f t="shared" si="13"/>
        <v>853.41984000000002</v>
      </c>
      <c r="V34" s="410">
        <f t="shared" si="13"/>
        <v>853.41984000000002</v>
      </c>
      <c r="W34" s="290">
        <f t="shared" si="13"/>
        <v>1335.8396700000003</v>
      </c>
      <c r="X34" s="290">
        <f t="shared" si="13"/>
        <v>1672.3940549999998</v>
      </c>
      <c r="Y34" s="290">
        <f t="shared" si="13"/>
        <v>1947.5677299999998</v>
      </c>
      <c r="Z34" s="290">
        <f t="shared" si="13"/>
        <v>1970.9571315577004</v>
      </c>
      <c r="AA34" s="410">
        <f t="shared" si="13"/>
        <v>1970.9571315577004</v>
      </c>
      <c r="AB34" s="290">
        <f t="shared" si="13"/>
        <v>1507.4748276</v>
      </c>
      <c r="AC34" s="290">
        <f t="shared" si="13"/>
        <v>1825.5756554000009</v>
      </c>
      <c r="AD34" s="290">
        <f t="shared" si="13"/>
        <v>2039.3435244000002</v>
      </c>
      <c r="AE34" s="290">
        <f t="shared" si="13"/>
        <v>1928.7186720361569</v>
      </c>
      <c r="AF34" s="410">
        <f t="shared" si="13"/>
        <v>1928.7186720361569</v>
      </c>
      <c r="AG34" s="290">
        <f>AG31-AB31</f>
        <v>1929.5677793280011</v>
      </c>
      <c r="AH34" s="290">
        <f>AH31-AC31</f>
        <v>2336.7368389120002</v>
      </c>
      <c r="AI34" s="290">
        <f>AI31-AD31</f>
        <v>2610.3597112320003</v>
      </c>
      <c r="AJ34" s="290">
        <f>AJ31-AE31</f>
        <v>2468.7599002062798</v>
      </c>
      <c r="AK34" s="410">
        <f>AK31-AF31</f>
        <v>2468.7599002062798</v>
      </c>
    </row>
    <row r="35" spans="1:37" s="301" customFormat="1" ht="12.75" customHeight="1" outlineLevel="1">
      <c r="A35" s="78"/>
      <c r="B35" s="399" t="s">
        <v>118</v>
      </c>
      <c r="C35" s="293"/>
      <c r="D35" s="290"/>
      <c r="E35" s="290"/>
      <c r="F35" s="290"/>
      <c r="G35" s="254"/>
      <c r="H35" s="293"/>
      <c r="I35" s="290"/>
      <c r="J35" s="290"/>
      <c r="K35" s="290">
        <f>K31-J31</f>
        <v>2004.704</v>
      </c>
      <c r="L35" s="254"/>
      <c r="M35" s="293">
        <f>M31-K31</f>
        <v>1439.5701999999999</v>
      </c>
      <c r="N35" s="290">
        <f>N31-M31</f>
        <v>92.549800000000232</v>
      </c>
      <c r="O35" s="290">
        <f>O31-N31</f>
        <v>892.52299999999968</v>
      </c>
      <c r="P35" s="290">
        <f>P31-O31</f>
        <v>-365.44299999999976</v>
      </c>
      <c r="Q35" s="254"/>
      <c r="R35" s="293">
        <f>R31-P31</f>
        <v>-15.9050000000002</v>
      </c>
      <c r="S35" s="290">
        <f>S31-R31</f>
        <v>799.52000000000044</v>
      </c>
      <c r="T35" s="290">
        <f>T31-S31</f>
        <v>488.28299999999945</v>
      </c>
      <c r="U35" s="290">
        <f>U31-T31</f>
        <v>-418.47815999999966</v>
      </c>
      <c r="V35" s="254"/>
      <c r="W35" s="293">
        <f>W31-U31</f>
        <v>466.51483000000007</v>
      </c>
      <c r="X35" s="290">
        <f>X31-W31</f>
        <v>1136.0743849999999</v>
      </c>
      <c r="Y35" s="290">
        <f>Y31-X31</f>
        <v>763.45667499999945</v>
      </c>
      <c r="Z35" s="290">
        <f>Z31-Y31</f>
        <v>-395.08875844229897</v>
      </c>
      <c r="AA35" s="254"/>
      <c r="AB35" s="293">
        <f>AB31-Z31</f>
        <v>3.0325260422996507</v>
      </c>
      <c r="AC35" s="290">
        <f>AC31-AB31</f>
        <v>1454.1752128000007</v>
      </c>
      <c r="AD35" s="290">
        <f>AD31-AC31</f>
        <v>977.22454399999879</v>
      </c>
      <c r="AE35" s="290">
        <f>AE31-AD31</f>
        <v>-505.71361080614224</v>
      </c>
      <c r="AF35" s="254"/>
      <c r="AG35" s="293">
        <f>AG31-AE31</f>
        <v>3.8816333341437712</v>
      </c>
      <c r="AH35" s="290">
        <f>AH31-AG31</f>
        <v>1861.3442723839999</v>
      </c>
      <c r="AI35" s="290">
        <f>AI31-AH31</f>
        <v>1250.847416319999</v>
      </c>
      <c r="AJ35" s="290">
        <f>AJ31-AI31</f>
        <v>-647.3134218318628</v>
      </c>
      <c r="AK35" s="254"/>
    </row>
    <row r="36" spans="1:37" s="301" customFormat="1" ht="12.75" customHeight="1" outlineLevel="1">
      <c r="A36" s="78"/>
      <c r="B36" s="904" t="s">
        <v>99</v>
      </c>
      <c r="C36" s="102"/>
      <c r="D36" s="102"/>
      <c r="E36" s="102"/>
      <c r="F36" s="102"/>
      <c r="G36" s="307"/>
      <c r="H36" s="102"/>
      <c r="I36" s="102"/>
      <c r="J36" s="102"/>
      <c r="K36" s="102">
        <f>IFERROR(K31/K$10,"")</f>
        <v>17.282394343382599</v>
      </c>
      <c r="L36" s="307">
        <f>IFERROR(L31/L$10,"")</f>
        <v>8.7563454659019921</v>
      </c>
      <c r="M36" s="102">
        <f>IFERROR(M31/M$10,"")</f>
        <v>18.254193254329991</v>
      </c>
      <c r="N36" s="102">
        <f>IFERROR(N31/N$10,"")</f>
        <v>8.9455827564490065</v>
      </c>
      <c r="O36" s="102">
        <f>IFERROR(O31/O$10,"")</f>
        <v>7.5852646072120296</v>
      </c>
      <c r="P36" s="102">
        <f t="shared" ref="P36:AE36" si="14">IFERROR(P31/P$10,"")</f>
        <v>5.4371700359899924</v>
      </c>
      <c r="Q36" s="307">
        <f t="shared" si="14"/>
        <v>2.1216711060620459</v>
      </c>
      <c r="R36" s="102">
        <f>IFERROR(R31/R$10,"")</f>
        <v>4.1237439284782891</v>
      </c>
      <c r="S36" s="102">
        <f>IFERROR(S31/S$10,"")</f>
        <v>3.997004422866981</v>
      </c>
      <c r="T36" s="102">
        <f>IFERROR(T31/T$10,"")</f>
        <v>3.9099405280081134</v>
      </c>
      <c r="U36" s="102">
        <f t="shared" si="14"/>
        <v>3.1871074582876315</v>
      </c>
      <c r="V36" s="307">
        <f t="shared" si="14"/>
        <v>0.96380774739310915</v>
      </c>
      <c r="W36" s="102">
        <f t="shared" si="14"/>
        <v>2.4173916444824233</v>
      </c>
      <c r="X36" s="102">
        <f t="shared" si="14"/>
        <v>2.1995580368178138</v>
      </c>
      <c r="Y36" s="102">
        <f t="shared" si="14"/>
        <v>2.2140027504074178</v>
      </c>
      <c r="Z36" s="102">
        <f t="shared" si="14"/>
        <v>1.956544597611207</v>
      </c>
      <c r="AA36" s="307">
        <f t="shared" si="14"/>
        <v>0.57394500060858145</v>
      </c>
      <c r="AB36" s="102">
        <f t="shared" si="14"/>
        <v>1.8079780708108864</v>
      </c>
      <c r="AC36" s="102">
        <f t="shared" si="14"/>
        <v>2.0090402153075968</v>
      </c>
      <c r="AD36" s="102">
        <f t="shared" si="14"/>
        <v>2.0838314261673809</v>
      </c>
      <c r="AE36" s="102">
        <f t="shared" si="14"/>
        <v>1.8478559144136817</v>
      </c>
      <c r="AF36" s="307" t="s">
        <v>479</v>
      </c>
      <c r="AG36" s="102">
        <f>IFERROR(AG31/AG$10,"")</f>
        <v>1.723350688392435</v>
      </c>
      <c r="AH36" s="102">
        <f>IFERROR(AH31/AH$10,"")</f>
        <v>2.0042523637554042</v>
      </c>
      <c r="AI36" s="102">
        <f>IFERROR(AI31/AI$10,"")</f>
        <v>2.1620756175387608</v>
      </c>
      <c r="AJ36" s="102">
        <f>IFERROR(AJ31/AJ$10,"")</f>
        <v>1.9842768871657885</v>
      </c>
      <c r="AK36" s="307" t="s">
        <v>479</v>
      </c>
    </row>
    <row r="37" spans="1:37" ht="12.75" customHeight="1">
      <c r="B37" s="386"/>
      <c r="C37" s="308"/>
      <c r="D37" s="304"/>
      <c r="E37" s="304"/>
      <c r="F37" s="304"/>
      <c r="G37" s="307"/>
      <c r="H37" s="102"/>
      <c r="I37" s="102"/>
      <c r="J37" s="102"/>
      <c r="K37" s="102"/>
      <c r="L37" s="307"/>
      <c r="M37" s="102"/>
      <c r="N37" s="102"/>
      <c r="O37" s="102"/>
      <c r="P37" s="102"/>
      <c r="Q37" s="307"/>
      <c r="R37" s="102"/>
      <c r="S37" s="102"/>
      <c r="T37" s="102"/>
      <c r="U37" s="102"/>
      <c r="V37" s="307"/>
      <c r="W37" s="102"/>
      <c r="X37" s="102"/>
      <c r="Y37" s="102"/>
      <c r="Z37" s="102"/>
      <c r="AA37" s="307"/>
      <c r="AB37" s="102"/>
      <c r="AC37" s="102"/>
      <c r="AD37" s="102"/>
      <c r="AE37" s="102"/>
      <c r="AF37" s="307"/>
      <c r="AG37" s="102"/>
      <c r="AH37" s="102"/>
      <c r="AI37" s="102"/>
      <c r="AJ37" s="102"/>
      <c r="AK37" s="307"/>
    </row>
    <row r="38" spans="1:37" ht="12.75" customHeight="1">
      <c r="B38" s="386" t="s">
        <v>56</v>
      </c>
      <c r="C38" s="93"/>
      <c r="D38" s="93"/>
      <c r="E38" s="93"/>
      <c r="F38" s="93"/>
      <c r="G38" s="94"/>
      <c r="H38" s="93"/>
      <c r="I38" s="93"/>
      <c r="J38" s="93"/>
      <c r="K38" s="93"/>
      <c r="L38" s="94"/>
      <c r="M38" s="93"/>
      <c r="N38" s="93"/>
      <c r="O38" s="93"/>
      <c r="P38" s="93"/>
      <c r="Q38" s="94"/>
      <c r="R38" s="93"/>
      <c r="S38" s="93"/>
      <c r="T38" s="93"/>
      <c r="U38" s="93"/>
      <c r="V38" s="94"/>
      <c r="W38" s="93"/>
      <c r="X38" s="93"/>
      <c r="Y38" s="93"/>
      <c r="Z38" s="93"/>
      <c r="AA38" s="94"/>
      <c r="AB38" s="93"/>
      <c r="AC38" s="93"/>
      <c r="AD38" s="93"/>
      <c r="AE38" s="93"/>
      <c r="AF38" s="94"/>
      <c r="AG38" s="93"/>
      <c r="AH38" s="93"/>
      <c r="AI38" s="93"/>
      <c r="AJ38" s="93"/>
      <c r="AK38" s="94"/>
    </row>
    <row r="39" spans="1:37" ht="12.75" customHeight="1" outlineLevel="1">
      <c r="B39" s="376" t="s">
        <v>113</v>
      </c>
      <c r="C39" s="430"/>
      <c r="D39" s="430"/>
      <c r="E39" s="430"/>
      <c r="F39" s="430"/>
      <c r="G39" s="432">
        <f>CF!G28</f>
        <v>9.3539999999999992</v>
      </c>
      <c r="H39" s="430"/>
      <c r="I39" s="430"/>
      <c r="J39" s="430"/>
      <c r="K39" s="430"/>
      <c r="L39" s="432">
        <f>CF!L28</f>
        <v>1986.3040000000001</v>
      </c>
      <c r="M39" s="430">
        <f>CF!M28</f>
        <v>1439.5709999999999</v>
      </c>
      <c r="N39" s="430"/>
      <c r="O39" s="430"/>
      <c r="P39" s="430">
        <f>CF!P28</f>
        <v>-365.44400000000002</v>
      </c>
      <c r="Q39" s="432">
        <f>CF!Q28</f>
        <v>2049.0680000000002</v>
      </c>
      <c r="R39" s="430">
        <f>CF!R28</f>
        <v>-15.904</v>
      </c>
      <c r="S39" s="430">
        <f>CF!S28</f>
        <v>758.79600000000005</v>
      </c>
      <c r="T39" s="430">
        <f>CF!T28</f>
        <v>659.27200000000005</v>
      </c>
      <c r="U39" s="430">
        <f>CF!U28</f>
        <v>-418.47815999999966</v>
      </c>
      <c r="V39" s="432">
        <f>CF!V28</f>
        <v>983.68584000000055</v>
      </c>
      <c r="W39" s="430">
        <f>CF!W28</f>
        <v>466.51483000000007</v>
      </c>
      <c r="X39" s="430">
        <f>CF!X28</f>
        <v>1136.0743849999999</v>
      </c>
      <c r="Y39" s="430">
        <f>CF!Y28</f>
        <v>763.45667499999945</v>
      </c>
      <c r="Z39" s="430">
        <f>CF!Z28</f>
        <v>-395.08875844229897</v>
      </c>
      <c r="AA39" s="432">
        <f>CF!AA28</f>
        <v>1970.9571315577004</v>
      </c>
      <c r="AB39" s="430">
        <f>CF!AB28</f>
        <v>3.0325260422996507</v>
      </c>
      <c r="AC39" s="430">
        <f>CF!AC28</f>
        <v>1454.1752128000007</v>
      </c>
      <c r="AD39" s="430">
        <f>CF!AD28</f>
        <v>977.22454399999879</v>
      </c>
      <c r="AE39" s="430">
        <f>CF!AE28</f>
        <v>-505.71361080614224</v>
      </c>
      <c r="AF39" s="432">
        <f>CF!AF28</f>
        <v>1928.7186720361569</v>
      </c>
      <c r="AG39" s="430">
        <f>CF!AG28</f>
        <v>3.8816333341437712</v>
      </c>
      <c r="AH39" s="430">
        <f>CF!AH28</f>
        <v>1861.3442723839999</v>
      </c>
      <c r="AI39" s="430">
        <f>CF!AI28</f>
        <v>1250.847416319999</v>
      </c>
      <c r="AJ39" s="430">
        <f>CF!AJ28</f>
        <v>-647.3134218318628</v>
      </c>
      <c r="AK39" s="432">
        <f>CF!AK28</f>
        <v>2468.7599002062798</v>
      </c>
    </row>
    <row r="40" spans="1:37" s="268" customFormat="1" ht="12.75" customHeight="1" outlineLevel="1">
      <c r="A40" s="306" t="s">
        <v>122</v>
      </c>
      <c r="B40" s="394" t="s">
        <v>107</v>
      </c>
      <c r="C40" s="363"/>
      <c r="D40" s="363"/>
      <c r="E40" s="363"/>
      <c r="F40" s="363"/>
      <c r="G40" s="362">
        <f t="shared" ref="G40:AK40" si="15">G10+G39</f>
        <v>25.183999999999997</v>
      </c>
      <c r="H40" s="363"/>
      <c r="I40" s="363"/>
      <c r="J40" s="363"/>
      <c r="K40" s="363"/>
      <c r="L40" s="362">
        <f t="shared" si="15"/>
        <v>2215.2470000000003</v>
      </c>
      <c r="M40" s="363">
        <f t="shared" si="15"/>
        <v>1628.2549999999999</v>
      </c>
      <c r="N40" s="363"/>
      <c r="O40" s="363"/>
      <c r="P40" s="363">
        <f t="shared" si="15"/>
        <v>381.98599999999993</v>
      </c>
      <c r="Q40" s="362">
        <f t="shared" si="15"/>
        <v>3964.4940000000001</v>
      </c>
      <c r="R40" s="363">
        <f t="shared" si="15"/>
        <v>965.72799999999995</v>
      </c>
      <c r="S40" s="363">
        <f t="shared" si="15"/>
        <v>1971.5840000000001</v>
      </c>
      <c r="T40" s="363">
        <f>T10+T39</f>
        <v>2023.9479999999999</v>
      </c>
      <c r="U40" s="363">
        <f t="shared" si="15"/>
        <v>1124.4016783352847</v>
      </c>
      <c r="V40" s="362">
        <f t="shared" si="15"/>
        <v>6085.6616783352856</v>
      </c>
      <c r="W40" s="363">
        <f t="shared" si="15"/>
        <v>2693.6420240102652</v>
      </c>
      <c r="X40" s="363">
        <f t="shared" si="15"/>
        <v>4100.2667117606125</v>
      </c>
      <c r="Y40" s="363">
        <f>Y10+Y39</f>
        <v>4053.1408132241836</v>
      </c>
      <c r="Z40" s="363">
        <f t="shared" si="15"/>
        <v>3125.5470502010462</v>
      </c>
      <c r="AA40" s="362">
        <f t="shared" si="15"/>
        <v>13972.596599196106</v>
      </c>
      <c r="AB40" s="363">
        <f t="shared" si="15"/>
        <v>3814.6459570111911</v>
      </c>
      <c r="AC40" s="363">
        <f t="shared" si="15"/>
        <v>5608.1431855726378</v>
      </c>
      <c r="AD40" s="363">
        <f t="shared" si="15"/>
        <v>5451.0572817788398</v>
      </c>
      <c r="AE40" s="363">
        <f t="shared" si="15"/>
        <v>4265.7621167218131</v>
      </c>
      <c r="AF40" s="362">
        <f t="shared" si="15"/>
        <v>19139.608541084483</v>
      </c>
      <c r="AG40" s="363">
        <f t="shared" si="15"/>
        <v>5122.3298611618993</v>
      </c>
      <c r="AH40" s="363">
        <f t="shared" si="15"/>
        <v>7191.1249639215266</v>
      </c>
      <c r="AI40" s="363">
        <f t="shared" si="15"/>
        <v>6770.114582015266</v>
      </c>
      <c r="AJ40" s="363">
        <f t="shared" si="15"/>
        <v>5040.2796841484114</v>
      </c>
      <c r="AK40" s="362">
        <f t="shared" si="15"/>
        <v>24123.849091247102</v>
      </c>
    </row>
    <row r="41" spans="1:37" s="301" customFormat="1" ht="12.75" customHeight="1" outlineLevel="1">
      <c r="A41" s="78"/>
      <c r="B41" s="399" t="s">
        <v>31</v>
      </c>
      <c r="C41" s="253"/>
      <c r="D41" s="102"/>
      <c r="E41" s="102"/>
      <c r="F41" s="102"/>
      <c r="G41" s="254"/>
      <c r="H41" s="102"/>
      <c r="I41" s="102"/>
      <c r="J41" s="102"/>
      <c r="K41" s="102"/>
      <c r="L41" s="254">
        <f>IFERROR(L40/G40-1,"")</f>
        <v>86.962476175349451</v>
      </c>
      <c r="M41" s="102" t="str">
        <f>IFERROR(M40/H40-1,"")</f>
        <v/>
      </c>
      <c r="N41" s="102"/>
      <c r="O41" s="102"/>
      <c r="P41" s="102" t="str">
        <f t="shared" ref="P41:AK41" si="16">IFERROR(P40/K40-1,"")</f>
        <v/>
      </c>
      <c r="Q41" s="254">
        <f t="shared" si="16"/>
        <v>0.78963971060563432</v>
      </c>
      <c r="R41" s="102">
        <f t="shared" si="16"/>
        <v>-0.40689388332908538</v>
      </c>
      <c r="S41" s="102" t="str">
        <f>IFERROR(S40/N40-1,"")</f>
        <v/>
      </c>
      <c r="T41" s="102" t="str">
        <f>IFERROR(T40/O40-1,"")</f>
        <v/>
      </c>
      <c r="U41" s="102">
        <f t="shared" si="16"/>
        <v>1.9435677703771472</v>
      </c>
      <c r="V41" s="254">
        <f t="shared" si="16"/>
        <v>0.53504121291021889</v>
      </c>
      <c r="W41" s="102">
        <f t="shared" si="16"/>
        <v>1.789234674784479</v>
      </c>
      <c r="X41" s="102">
        <f t="shared" si="16"/>
        <v>1.079681470209036</v>
      </c>
      <c r="Y41" s="102">
        <f t="shared" si="16"/>
        <v>1.0025913774584052</v>
      </c>
      <c r="Z41" s="102">
        <f t="shared" si="16"/>
        <v>1.779742426948816</v>
      </c>
      <c r="AA41" s="254">
        <f t="shared" si="16"/>
        <v>1.2959864247692239</v>
      </c>
      <c r="AB41" s="102">
        <f t="shared" si="16"/>
        <v>0.41616663350536354</v>
      </c>
      <c r="AC41" s="102">
        <f t="shared" si="16"/>
        <v>0.367750826912564</v>
      </c>
      <c r="AD41" s="102">
        <f t="shared" si="16"/>
        <v>0.34489708918912299</v>
      </c>
      <c r="AE41" s="102">
        <f t="shared" si="16"/>
        <v>0.36480495996610385</v>
      </c>
      <c r="AF41" s="254">
        <f t="shared" si="16"/>
        <v>0.3697961152178153</v>
      </c>
      <c r="AG41" s="102">
        <f t="shared" si="16"/>
        <v>0.34280610019580693</v>
      </c>
      <c r="AH41" s="102">
        <f t="shared" si="16"/>
        <v>0.28226486485245705</v>
      </c>
      <c r="AI41" s="102">
        <f t="shared" si="16"/>
        <v>0.24198191874549146</v>
      </c>
      <c r="AJ41" s="102">
        <f t="shared" si="16"/>
        <v>0.18156604757459038</v>
      </c>
      <c r="AK41" s="254">
        <f t="shared" si="16"/>
        <v>0.2604149682300767</v>
      </c>
    </row>
    <row r="42" spans="1:37" s="301" customFormat="1" ht="12.75" customHeight="1" outlineLevel="1">
      <c r="A42" s="78"/>
      <c r="B42" s="399" t="s">
        <v>33</v>
      </c>
      <c r="C42" s="253"/>
      <c r="D42" s="102"/>
      <c r="E42" s="102"/>
      <c r="F42" s="102"/>
      <c r="G42" s="255"/>
      <c r="H42" s="253"/>
      <c r="I42" s="102"/>
      <c r="J42" s="102"/>
      <c r="K42" s="102"/>
      <c r="L42" s="255"/>
      <c r="M42" s="253" t="str">
        <f>IFERROR(M40/K40-1,"")</f>
        <v/>
      </c>
      <c r="N42" s="102"/>
      <c r="O42" s="102"/>
      <c r="P42" s="102" t="str">
        <f>IFERROR(P40/O40-1,"")</f>
        <v/>
      </c>
      <c r="Q42" s="255"/>
      <c r="R42" s="253">
        <f>IFERROR(R40/P40-1,"")</f>
        <v>1.5281764253140171</v>
      </c>
      <c r="S42" s="102">
        <f>IFERROR(S40/R40-1,"")</f>
        <v>1.0415520726332881</v>
      </c>
      <c r="T42" s="102">
        <f>IFERROR(T40/S40-1,"")</f>
        <v>2.6559355320391997E-2</v>
      </c>
      <c r="U42" s="102">
        <f>IFERROR(U40/T40-1,"")</f>
        <v>-0.44445130095472574</v>
      </c>
      <c r="V42" s="255"/>
      <c r="W42" s="253">
        <f>IFERROR(W40/U40-1,"")</f>
        <v>1.3956225572326559</v>
      </c>
      <c r="X42" s="102">
        <f>IFERROR(X40/W40-1,"")</f>
        <v>0.52220179044288129</v>
      </c>
      <c r="Y42" s="102">
        <f>IFERROR(Y40/X40-1,"")</f>
        <v>-1.1493373931324991E-2</v>
      </c>
      <c r="Z42" s="102">
        <f>IFERROR(Z40/Y40-1,"")</f>
        <v>-0.2288580154917581</v>
      </c>
      <c r="AA42" s="255"/>
      <c r="AB42" s="253">
        <f>IFERROR(AB40/Z40-1,"")</f>
        <v>0.22047305503394021</v>
      </c>
      <c r="AC42" s="102">
        <f>IFERROR(AC40/AB40-1,"")</f>
        <v>0.47016086126290668</v>
      </c>
      <c r="AD42" s="102">
        <f>IFERROR(AD40/AC40-1,"")</f>
        <v>-2.801032330948916E-2</v>
      </c>
      <c r="AE42" s="102">
        <f>IFERROR(AE40/AD40-1,"")</f>
        <v>-0.21744316813897613</v>
      </c>
      <c r="AF42" s="255"/>
      <c r="AG42" s="253">
        <f>IFERROR(AG40/AE40-1,"")</f>
        <v>0.20080063561967876</v>
      </c>
      <c r="AH42" s="102">
        <f>IFERROR(AH40/AG40-1,"")</f>
        <v>0.4038777585265394</v>
      </c>
      <c r="AI42" s="102">
        <f>IFERROR(AI40/AH40-1,"")</f>
        <v>-5.8545830314242209E-2</v>
      </c>
      <c r="AJ42" s="102">
        <f>IFERROR(AJ40/AI40-1,"")</f>
        <v>-0.25551043145741459</v>
      </c>
      <c r="AK42" s="255"/>
    </row>
    <row r="43" spans="1:37" ht="12.75" customHeight="1" outlineLevel="1">
      <c r="B43" s="397"/>
      <c r="C43" s="93"/>
      <c r="D43" s="93"/>
      <c r="E43" s="93"/>
      <c r="F43" s="93"/>
      <c r="G43" s="94"/>
      <c r="H43" s="93"/>
      <c r="I43" s="93"/>
      <c r="J43" s="93"/>
      <c r="K43" s="93"/>
      <c r="L43" s="94"/>
      <c r="M43" s="93"/>
      <c r="N43" s="93"/>
      <c r="O43" s="93"/>
      <c r="P43" s="93"/>
      <c r="Q43" s="94"/>
      <c r="R43" s="93"/>
      <c r="S43" s="93"/>
      <c r="T43" s="93"/>
      <c r="U43" s="93"/>
      <c r="V43" s="94"/>
      <c r="W43" s="93"/>
      <c r="X43" s="93"/>
      <c r="Y43" s="93"/>
      <c r="Z43" s="93"/>
      <c r="AA43" s="94"/>
      <c r="AB43" s="93"/>
      <c r="AC43" s="93"/>
      <c r="AD43" s="93"/>
      <c r="AE43" s="93"/>
      <c r="AF43" s="94"/>
      <c r="AG43" s="93"/>
      <c r="AH43" s="93"/>
      <c r="AI43" s="93"/>
      <c r="AJ43" s="93"/>
      <c r="AK43" s="94"/>
    </row>
    <row r="44" spans="1:37" s="222" customFormat="1" ht="12.75" customHeight="1" outlineLevel="1">
      <c r="A44" s="122"/>
      <c r="B44" s="381" t="s">
        <v>108</v>
      </c>
      <c r="C44" s="1295"/>
      <c r="D44" s="1295"/>
      <c r="E44" s="1295"/>
      <c r="F44" s="1295"/>
      <c r="G44" s="366"/>
      <c r="H44" s="367"/>
      <c r="I44" s="367"/>
      <c r="J44" s="367"/>
      <c r="K44" s="367"/>
      <c r="L44" s="366"/>
      <c r="M44" s="367">
        <f>M19</f>
        <v>-54.549799999999976</v>
      </c>
      <c r="N44" s="367">
        <f>N19</f>
        <v>-51.325200000000024</v>
      </c>
      <c r="O44" s="367">
        <f>O19</f>
        <v>935.15500000000009</v>
      </c>
      <c r="P44" s="367">
        <f>P19</f>
        <v>-310.18400000000008</v>
      </c>
      <c r="Q44" s="366">
        <f>SUM(M44:P44)</f>
        <v>519.096</v>
      </c>
      <c r="R44" s="367">
        <f>R19</f>
        <v>-332.39700000000005</v>
      </c>
      <c r="S44" s="367">
        <f>S19</f>
        <v>514.81600000000003</v>
      </c>
      <c r="T44" s="367">
        <f>T19</f>
        <v>156.23399999999992</v>
      </c>
      <c r="U44" s="367">
        <f>U19</f>
        <v>-86.865674635752839</v>
      </c>
      <c r="V44" s="366">
        <f>SUM(R44:U44)</f>
        <v>251.78732536424707</v>
      </c>
      <c r="W44" s="367">
        <f>W19</f>
        <v>96.836894512090339</v>
      </c>
      <c r="X44" s="367">
        <f>X19</f>
        <v>235.82083205829213</v>
      </c>
      <c r="Y44" s="367">
        <f>Y19</f>
        <v>158.4746480653705</v>
      </c>
      <c r="Z44" s="367">
        <f>Z19</f>
        <v>-82.010615662935379</v>
      </c>
      <c r="AA44" s="366">
        <f>SUM(W44:Z44)</f>
        <v>409.12175897281759</v>
      </c>
      <c r="AB44" s="367">
        <f>AB19</f>
        <v>0.62947710464709417</v>
      </c>
      <c r="AC44" s="367">
        <f>AC19</f>
        <v>301.85066503461417</v>
      </c>
      <c r="AD44" s="367">
        <f>AD19</f>
        <v>202.84754952367416</v>
      </c>
      <c r="AE44" s="367">
        <f>AE19</f>
        <v>-104.97358804855708</v>
      </c>
      <c r="AF44" s="366">
        <f>SUM(AB44:AE44)</f>
        <v>400.35410361437835</v>
      </c>
      <c r="AG44" s="367">
        <f>AG19</f>
        <v>0.80573069394836239</v>
      </c>
      <c r="AH44" s="367">
        <f>AH19</f>
        <v>386.36885124430614</v>
      </c>
      <c r="AI44" s="367">
        <f>AI19</f>
        <v>259.64486339030282</v>
      </c>
      <c r="AJ44" s="367">
        <f>AJ19</f>
        <v>-134.36619270215351</v>
      </c>
      <c r="AK44" s="366">
        <f>SUM(AG44:AJ44)</f>
        <v>512.45325262640381</v>
      </c>
    </row>
    <row r="45" spans="1:37" s="268" customFormat="1" ht="12.75" customHeight="1" outlineLevel="1">
      <c r="A45" s="245"/>
      <c r="B45" s="394" t="s">
        <v>109</v>
      </c>
      <c r="C45" s="294"/>
      <c r="D45" s="363"/>
      <c r="E45" s="363"/>
      <c r="F45" s="363"/>
      <c r="G45" s="362"/>
      <c r="H45" s="294"/>
      <c r="I45" s="363"/>
      <c r="J45" s="363"/>
      <c r="K45" s="363"/>
      <c r="L45" s="362"/>
      <c r="M45" s="294">
        <f>M44+M10</f>
        <v>134.13420000000002</v>
      </c>
      <c r="N45" s="363">
        <f>N44+N10</f>
        <v>344.04579999999999</v>
      </c>
      <c r="O45" s="363">
        <f>O44+O10</f>
        <v>1519.096</v>
      </c>
      <c r="P45" s="363">
        <f t="shared" ref="P45:AK45" si="17">P44+P10</f>
        <v>437.24599999999987</v>
      </c>
      <c r="Q45" s="362">
        <f t="shared" si="17"/>
        <v>2434.5219999999999</v>
      </c>
      <c r="R45" s="294">
        <f t="shared" si="17"/>
        <v>649.2349999999999</v>
      </c>
      <c r="S45" s="363">
        <f t="shared" si="17"/>
        <v>1727.604</v>
      </c>
      <c r="T45" s="363">
        <f>T44+T10</f>
        <v>1520.9099999999999</v>
      </c>
      <c r="U45" s="363">
        <f t="shared" si="17"/>
        <v>1456.0141636995315</v>
      </c>
      <c r="V45" s="362">
        <f t="shared" si="17"/>
        <v>5353.763163699532</v>
      </c>
      <c r="W45" s="294">
        <f t="shared" si="17"/>
        <v>2323.9640885223553</v>
      </c>
      <c r="X45" s="363">
        <f t="shared" si="17"/>
        <v>3200.0131588189047</v>
      </c>
      <c r="Y45" s="363">
        <f t="shared" si="17"/>
        <v>3448.1587862895549</v>
      </c>
      <c r="Z45" s="363">
        <f t="shared" si="17"/>
        <v>3438.6251929804098</v>
      </c>
      <c r="AA45" s="362">
        <f t="shared" si="17"/>
        <v>12410.761226611223</v>
      </c>
      <c r="AB45" s="294">
        <f t="shared" si="17"/>
        <v>3812.2429080735383</v>
      </c>
      <c r="AC45" s="363">
        <f t="shared" si="17"/>
        <v>4455.8186378072514</v>
      </c>
      <c r="AD45" s="363">
        <f t="shared" si="17"/>
        <v>4676.6802873025154</v>
      </c>
      <c r="AE45" s="363">
        <f t="shared" si="17"/>
        <v>4666.5021394793985</v>
      </c>
      <c r="AF45" s="362">
        <f t="shared" si="17"/>
        <v>17611.243972662705</v>
      </c>
      <c r="AG45" s="294">
        <f t="shared" si="17"/>
        <v>5119.2539585217037</v>
      </c>
      <c r="AH45" s="363">
        <f t="shared" si="17"/>
        <v>5716.1495427818327</v>
      </c>
      <c r="AI45" s="363">
        <f t="shared" si="17"/>
        <v>5778.9120290855699</v>
      </c>
      <c r="AJ45" s="363">
        <f t="shared" si="17"/>
        <v>5553.2269132781203</v>
      </c>
      <c r="AK45" s="362">
        <f t="shared" si="17"/>
        <v>22167.542443667229</v>
      </c>
    </row>
    <row r="46" spans="1:37" s="301" customFormat="1" ht="12.75" customHeight="1" outlineLevel="1">
      <c r="A46" s="78"/>
      <c r="B46" s="399" t="s">
        <v>31</v>
      </c>
      <c r="C46" s="253"/>
      <c r="D46" s="102"/>
      <c r="E46" s="102"/>
      <c r="F46" s="102"/>
      <c r="G46" s="1296"/>
      <c r="H46" s="253"/>
      <c r="I46" s="102"/>
      <c r="J46" s="102"/>
      <c r="K46" s="102"/>
      <c r="L46" s="254"/>
      <c r="M46" s="253" t="str">
        <f>IFERROR(M45/H45-1,"")</f>
        <v/>
      </c>
      <c r="N46" s="102" t="str">
        <f>IFERROR(N45/I45-1,"")</f>
        <v/>
      </c>
      <c r="O46" s="102" t="str">
        <f>IFERROR(O45/J45-1,"")</f>
        <v/>
      </c>
      <c r="P46" s="102" t="str">
        <f>IFERROR(P45/K45-1,"")</f>
        <v/>
      </c>
      <c r="Q46" s="254" t="str">
        <f>IFERROR(Q45/L45-1,"")</f>
        <v/>
      </c>
      <c r="R46" s="253">
        <f t="shared" ref="R46:AK46" si="18">IFERROR(R45/M45-1,"")</f>
        <v>3.8401898993694363</v>
      </c>
      <c r="S46" s="102">
        <f t="shared" si="18"/>
        <v>4.0214360994960554</v>
      </c>
      <c r="T46" s="102">
        <f>IFERROR(T45/O45-1,"")</f>
        <v>1.1941312464780474E-3</v>
      </c>
      <c r="U46" s="102">
        <f t="shared" si="18"/>
        <v>2.3299656570889886</v>
      </c>
      <c r="V46" s="254">
        <f t="shared" si="18"/>
        <v>1.199102396158068</v>
      </c>
      <c r="W46" s="253">
        <f t="shared" si="18"/>
        <v>2.5795422127925258</v>
      </c>
      <c r="X46" s="102">
        <f t="shared" si="18"/>
        <v>0.85228394864731993</v>
      </c>
      <c r="Y46" s="102">
        <f t="shared" si="18"/>
        <v>1.2671681994921169</v>
      </c>
      <c r="Z46" s="102">
        <f t="shared" si="18"/>
        <v>1.3616701531551976</v>
      </c>
      <c r="AA46" s="254">
        <f t="shared" si="18"/>
        <v>1.3181378867785396</v>
      </c>
      <c r="AB46" s="253">
        <f t="shared" si="18"/>
        <v>0.64040525707842355</v>
      </c>
      <c r="AC46" s="102">
        <f t="shared" si="18"/>
        <v>0.39243759842908044</v>
      </c>
      <c r="AD46" s="102">
        <f t="shared" si="18"/>
        <v>0.35628333181689986</v>
      </c>
      <c r="AE46" s="102">
        <f t="shared" si="18"/>
        <v>0.35708368245703825</v>
      </c>
      <c r="AF46" s="254">
        <f t="shared" si="18"/>
        <v>0.41903011838633875</v>
      </c>
      <c r="AG46" s="253">
        <f t="shared" si="18"/>
        <v>0.34284569004776366</v>
      </c>
      <c r="AH46" s="102">
        <f t="shared" si="18"/>
        <v>0.28285058424074494</v>
      </c>
      <c r="AI46" s="102">
        <f t="shared" si="18"/>
        <v>0.23568678508464314</v>
      </c>
      <c r="AJ46" s="102">
        <f t="shared" si="18"/>
        <v>0.19001915081038545</v>
      </c>
      <c r="AK46" s="254">
        <f t="shared" si="18"/>
        <v>0.25871531154057603</v>
      </c>
    </row>
    <row r="47" spans="1:37" s="301" customFormat="1" ht="12.75" customHeight="1" outlineLevel="1">
      <c r="A47" s="78"/>
      <c r="B47" s="399" t="s">
        <v>33</v>
      </c>
      <c r="C47" s="253"/>
      <c r="D47" s="125"/>
      <c r="E47" s="125"/>
      <c r="F47" s="125"/>
      <c r="G47" s="1297"/>
      <c r="H47" s="253"/>
      <c r="I47" s="102"/>
      <c r="J47" s="102"/>
      <c r="K47" s="102"/>
      <c r="L47" s="255"/>
      <c r="M47" s="253" t="str">
        <f>IFERROR(M45/K45-1,"")</f>
        <v/>
      </c>
      <c r="N47" s="102">
        <f>IFERROR(N45/M45-1,"")</f>
        <v>1.5649372046800885</v>
      </c>
      <c r="O47" s="102">
        <f>IFERROR(O45/N45-1,"")</f>
        <v>3.4153888813640512</v>
      </c>
      <c r="P47" s="102">
        <f>IFERROR(P45/O45-1,"")</f>
        <v>-0.71216697298919895</v>
      </c>
      <c r="Q47" s="255"/>
      <c r="R47" s="253">
        <f>IFERROR(R45/P45-1,"")</f>
        <v>0.48482776286118123</v>
      </c>
      <c r="S47" s="102">
        <f>IFERROR(S45/R45-1,"")</f>
        <v>1.660984081264874</v>
      </c>
      <c r="T47" s="102">
        <f>IFERROR(T45/S45-1,"")</f>
        <v>-0.1196420012919629</v>
      </c>
      <c r="U47" s="102">
        <f>IFERROR(U45/T45-1,"")</f>
        <v>-4.2669083838273392E-2</v>
      </c>
      <c r="V47" s="255"/>
      <c r="W47" s="253">
        <f>IFERROR(W45/U45-1,"")</f>
        <v>0.59611365497810986</v>
      </c>
      <c r="X47" s="102">
        <f>IFERROR(X45/W45-1,"")</f>
        <v>0.37696325628403637</v>
      </c>
      <c r="Y47" s="102">
        <f>IFERROR(Y45/X45-1,"")</f>
        <v>7.7545189708606799E-2</v>
      </c>
      <c r="Z47" s="102">
        <f>IFERROR(Z45/Y45-1,"")</f>
        <v>-2.7648359312953952E-3</v>
      </c>
      <c r="AA47" s="255"/>
      <c r="AB47" s="253">
        <f>IFERROR(AB45/Z45-1,"")</f>
        <v>0.10865322450839643</v>
      </c>
      <c r="AC47" s="102">
        <f>IFERROR(AC45/AB45-1,"")</f>
        <v>0.16881813285579295</v>
      </c>
      <c r="AD47" s="102">
        <f>IFERROR(AD45/AC45-1,"")</f>
        <v>4.9567019541879809E-2</v>
      </c>
      <c r="AE47" s="102">
        <f>IFERROR(AE45/AD45-1,"")</f>
        <v>-2.1763616920214002E-3</v>
      </c>
      <c r="AF47" s="255"/>
      <c r="AG47" s="253">
        <f>IFERROR(AG45/AE45-1,"")</f>
        <v>9.7021667516649757E-2</v>
      </c>
      <c r="AH47" s="102">
        <f>IFERROR(AH45/AG45-1,"")</f>
        <v>0.11659815846145194</v>
      </c>
      <c r="AI47" s="102">
        <f>IFERROR(AI45/AH45-1,"")</f>
        <v>1.0979853804383266E-2</v>
      </c>
      <c r="AJ47" s="102">
        <f>IFERROR(AJ45/AI45-1,"")</f>
        <v>-3.9053218784360189E-2</v>
      </c>
      <c r="AK47" s="255"/>
    </row>
    <row r="48" spans="1:37" ht="12.75" customHeight="1" outlineLevel="1">
      <c r="B48" s="397"/>
      <c r="C48" s="93"/>
      <c r="D48" s="93"/>
      <c r="E48" s="93"/>
      <c r="F48" s="93"/>
      <c r="G48" s="94"/>
      <c r="H48" s="93"/>
      <c r="I48" s="93"/>
      <c r="J48" s="93"/>
      <c r="K48" s="93"/>
      <c r="L48" s="94"/>
      <c r="M48" s="93"/>
      <c r="N48" s="93"/>
      <c r="O48" s="93"/>
      <c r="P48" s="93"/>
      <c r="Q48" s="94"/>
      <c r="R48" s="93"/>
      <c r="S48" s="93"/>
      <c r="T48" s="93"/>
      <c r="U48" s="93"/>
      <c r="V48" s="94"/>
      <c r="W48" s="93"/>
      <c r="X48" s="93"/>
      <c r="Y48" s="93"/>
      <c r="Z48" s="93"/>
      <c r="AA48" s="94"/>
      <c r="AB48" s="93"/>
      <c r="AC48" s="93"/>
      <c r="AD48" s="93"/>
      <c r="AE48" s="93"/>
      <c r="AF48" s="94"/>
      <c r="AG48" s="93"/>
      <c r="AH48" s="93"/>
      <c r="AI48" s="93"/>
      <c r="AJ48" s="93"/>
      <c r="AK48" s="94"/>
    </row>
    <row r="49" spans="1:37" s="222" customFormat="1" ht="12.75" customHeight="1" outlineLevel="1">
      <c r="A49" s="122"/>
      <c r="B49" s="381" t="s">
        <v>110</v>
      </c>
      <c r="C49" s="1295"/>
      <c r="D49" s="1295"/>
      <c r="E49" s="1295"/>
      <c r="F49" s="1295"/>
      <c r="G49" s="366"/>
      <c r="H49" s="367"/>
      <c r="I49" s="367"/>
      <c r="J49" s="367"/>
      <c r="K49" s="367"/>
      <c r="L49" s="366"/>
      <c r="M49" s="367">
        <f>M27</f>
        <v>1494.12</v>
      </c>
      <c r="N49" s="367">
        <f>N27</f>
        <v>143.875</v>
      </c>
      <c r="O49" s="367">
        <f>O27</f>
        <v>-42.632000000000062</v>
      </c>
      <c r="P49" s="367">
        <f>P27</f>
        <v>-55.259000000000015</v>
      </c>
      <c r="Q49" s="366">
        <f>SUM(M49:P49)</f>
        <v>1540.1039999999998</v>
      </c>
      <c r="R49" s="367">
        <f>R27</f>
        <v>316.49200000000019</v>
      </c>
      <c r="S49" s="367">
        <f>S27</f>
        <v>284.70399999999972</v>
      </c>
      <c r="T49" s="367">
        <f>T27</f>
        <v>332.04899999999998</v>
      </c>
      <c r="U49" s="367">
        <f>U27</f>
        <v>-331.61248536424682</v>
      </c>
      <c r="V49" s="366">
        <f>SUM(R49:U49)</f>
        <v>601.63251463575307</v>
      </c>
      <c r="W49" s="367">
        <f>W27</f>
        <v>369.67793548790996</v>
      </c>
      <c r="X49" s="367">
        <f>X27</f>
        <v>900.25355294170731</v>
      </c>
      <c r="Y49" s="367">
        <f>Y27</f>
        <v>604.98202693462918</v>
      </c>
      <c r="Z49" s="367">
        <f>Z27</f>
        <v>-313.07814277936359</v>
      </c>
      <c r="AA49" s="366">
        <f>SUM(W49:Z49)</f>
        <v>1561.8353725848829</v>
      </c>
      <c r="AB49" s="367">
        <f>AB27</f>
        <v>2.4030489376527839</v>
      </c>
      <c r="AC49" s="367">
        <f>AC27</f>
        <v>1152.3245477653863</v>
      </c>
      <c r="AD49" s="367">
        <f>AD27</f>
        <v>774.37699447632531</v>
      </c>
      <c r="AE49" s="367">
        <f>AE27</f>
        <v>-400.74002275758539</v>
      </c>
      <c r="AF49" s="366">
        <f>SUM(AB49:AE49)</f>
        <v>1528.364568421779</v>
      </c>
      <c r="AG49" s="367">
        <f>AG27</f>
        <v>3.0759026401956362</v>
      </c>
      <c r="AH49" s="367">
        <f>AH27</f>
        <v>1474.9754211396939</v>
      </c>
      <c r="AI49" s="367">
        <f>AI27</f>
        <v>991.20255292969523</v>
      </c>
      <c r="AJ49" s="367">
        <f>AJ27</f>
        <v>-512.94722912970974</v>
      </c>
      <c r="AK49" s="366">
        <f>SUM(AG49:AJ49)</f>
        <v>1956.3066475798751</v>
      </c>
    </row>
    <row r="50" spans="1:37" s="268" customFormat="1" ht="12.75" customHeight="1" outlineLevel="1">
      <c r="A50" s="245"/>
      <c r="B50" s="394" t="s">
        <v>111</v>
      </c>
      <c r="C50" s="294"/>
      <c r="D50" s="363"/>
      <c r="E50" s="363"/>
      <c r="F50" s="363"/>
      <c r="G50" s="362"/>
      <c r="H50" s="294"/>
      <c r="I50" s="363"/>
      <c r="J50" s="363"/>
      <c r="K50" s="363"/>
      <c r="L50" s="362"/>
      <c r="M50" s="294">
        <f t="shared" ref="M50:V50" si="19">M49+M10</f>
        <v>1682.8039999999999</v>
      </c>
      <c r="N50" s="363">
        <f t="shared" si="19"/>
        <v>539.24599999999998</v>
      </c>
      <c r="O50" s="363">
        <f t="shared" si="19"/>
        <v>541.30899999999997</v>
      </c>
      <c r="P50" s="363">
        <f t="shared" si="19"/>
        <v>692.17099999999994</v>
      </c>
      <c r="Q50" s="362">
        <f t="shared" si="19"/>
        <v>3455.5299999999997</v>
      </c>
      <c r="R50" s="294">
        <f t="shared" si="19"/>
        <v>1298.1240000000003</v>
      </c>
      <c r="S50" s="363">
        <f t="shared" si="19"/>
        <v>1497.4919999999997</v>
      </c>
      <c r="T50" s="363">
        <f>T49+T10</f>
        <v>1696.7249999999999</v>
      </c>
      <c r="U50" s="363">
        <f t="shared" si="19"/>
        <v>1211.2673529710376</v>
      </c>
      <c r="V50" s="362">
        <f t="shared" si="19"/>
        <v>5703.6083529710377</v>
      </c>
      <c r="W50" s="294">
        <f t="shared" ref="W50:AK50" si="20">W49+W10</f>
        <v>2596.8051294981751</v>
      </c>
      <c r="X50" s="363">
        <f t="shared" si="20"/>
        <v>3864.4458797023199</v>
      </c>
      <c r="Y50" s="363">
        <f t="shared" si="20"/>
        <v>3894.6661651588133</v>
      </c>
      <c r="Z50" s="363">
        <f t="shared" si="20"/>
        <v>3207.5576658639816</v>
      </c>
      <c r="AA50" s="362">
        <f t="shared" si="20"/>
        <v>13563.474840223289</v>
      </c>
      <c r="AB50" s="294">
        <f t="shared" si="20"/>
        <v>3814.0164799065442</v>
      </c>
      <c r="AC50" s="363">
        <f t="shared" si="20"/>
        <v>5306.2925205380234</v>
      </c>
      <c r="AD50" s="363">
        <f t="shared" si="20"/>
        <v>5248.2097322551663</v>
      </c>
      <c r="AE50" s="363">
        <f t="shared" si="20"/>
        <v>4370.7357047703699</v>
      </c>
      <c r="AF50" s="362">
        <f t="shared" si="20"/>
        <v>18739.254437470103</v>
      </c>
      <c r="AG50" s="294">
        <f t="shared" si="20"/>
        <v>5121.5241304679512</v>
      </c>
      <c r="AH50" s="363">
        <f t="shared" si="20"/>
        <v>6804.7561126772207</v>
      </c>
      <c r="AI50" s="363">
        <f t="shared" si="20"/>
        <v>6510.4697186249623</v>
      </c>
      <c r="AJ50" s="363">
        <f t="shared" si="20"/>
        <v>5174.6458768505645</v>
      </c>
      <c r="AK50" s="362">
        <f t="shared" si="20"/>
        <v>23611.395838620701</v>
      </c>
    </row>
    <row r="51" spans="1:37" s="301" customFormat="1" ht="12.75" customHeight="1" outlineLevel="1">
      <c r="A51" s="78"/>
      <c r="B51" s="399" t="s">
        <v>31</v>
      </c>
      <c r="C51" s="253"/>
      <c r="D51" s="102"/>
      <c r="E51" s="102"/>
      <c r="F51" s="102"/>
      <c r="G51" s="1296"/>
      <c r="H51" s="253"/>
      <c r="I51" s="102"/>
      <c r="J51" s="102"/>
      <c r="K51" s="102"/>
      <c r="L51" s="254"/>
      <c r="M51" s="253" t="str">
        <f>IFERROR(M50/H50-1,"")</f>
        <v/>
      </c>
      <c r="N51" s="102" t="str">
        <f>IFERROR(N50/I50-1,"")</f>
        <v/>
      </c>
      <c r="O51" s="102" t="str">
        <f>IFERROR(O50/J50-1,"")</f>
        <v/>
      </c>
      <c r="P51" s="102" t="str">
        <f>IFERROR(P50/K50-1,"")</f>
        <v/>
      </c>
      <c r="Q51" s="254" t="str">
        <f>IFERROR(Q50/L50-1,"")</f>
        <v/>
      </c>
      <c r="R51" s="253">
        <f t="shared" ref="R51:AK51" si="21">IFERROR(R50/M50-1,"")</f>
        <v>-0.22859465511134969</v>
      </c>
      <c r="S51" s="102">
        <f t="shared" si="21"/>
        <v>1.7770108633165562</v>
      </c>
      <c r="T51" s="102">
        <f>IFERROR(T50/O50-1,"")</f>
        <v>2.1344851092444426</v>
      </c>
      <c r="U51" s="102">
        <f t="shared" si="21"/>
        <v>0.74995391741497075</v>
      </c>
      <c r="V51" s="254">
        <f t="shared" si="21"/>
        <v>0.6505741096072204</v>
      </c>
      <c r="W51" s="253">
        <f t="shared" si="21"/>
        <v>1.0004291804929073</v>
      </c>
      <c r="X51" s="102">
        <f t="shared" si="21"/>
        <v>1.5806120364598413</v>
      </c>
      <c r="Y51" s="102">
        <f t="shared" si="21"/>
        <v>1.295402121828118</v>
      </c>
      <c r="Z51" s="102">
        <f t="shared" si="21"/>
        <v>1.6481004858228663</v>
      </c>
      <c r="AA51" s="254">
        <f t="shared" si="21"/>
        <v>1.3780515773243804</v>
      </c>
      <c r="AB51" s="253">
        <f t="shared" si="21"/>
        <v>0.46873419055652876</v>
      </c>
      <c r="AC51" s="102">
        <f t="shared" si="21"/>
        <v>0.37310566267957923</v>
      </c>
      <c r="AD51" s="102">
        <f t="shared" si="21"/>
        <v>0.34753776310919293</v>
      </c>
      <c r="AE51" s="102">
        <f t="shared" si="21"/>
        <v>0.36263667253292442</v>
      </c>
      <c r="AF51" s="254">
        <f t="shared" si="21"/>
        <v>0.38159687382600005</v>
      </c>
      <c r="AG51" s="253">
        <f t="shared" si="21"/>
        <v>0.34281646590930448</v>
      </c>
      <c r="AH51" s="102">
        <f t="shared" si="21"/>
        <v>0.28239370263501096</v>
      </c>
      <c r="AI51" s="102">
        <f t="shared" si="21"/>
        <v>0.24051248916597712</v>
      </c>
      <c r="AJ51" s="102">
        <f t="shared" si="21"/>
        <v>0.18393017248853094</v>
      </c>
      <c r="AK51" s="254">
        <f t="shared" si="21"/>
        <v>0.25999654454813848</v>
      </c>
    </row>
    <row r="52" spans="1:37" s="301" customFormat="1" ht="12.75" customHeight="1" outlineLevel="1">
      <c r="A52" s="78"/>
      <c r="B52" s="399" t="s">
        <v>33</v>
      </c>
      <c r="C52" s="253"/>
      <c r="D52" s="125"/>
      <c r="E52" s="125"/>
      <c r="F52" s="125"/>
      <c r="G52" s="1297"/>
      <c r="H52" s="253"/>
      <c r="I52" s="102"/>
      <c r="J52" s="102"/>
      <c r="K52" s="102"/>
      <c r="L52" s="255"/>
      <c r="M52" s="253" t="str">
        <f>IFERROR(M50/K50-1,"")</f>
        <v/>
      </c>
      <c r="N52" s="102">
        <f>IFERROR(N50/M50-1,"")</f>
        <v>-0.67955507593278841</v>
      </c>
      <c r="O52" s="102">
        <f>IFERROR(O50/N50-1,"")</f>
        <v>3.8257121981433162E-3</v>
      </c>
      <c r="P52" s="102">
        <f>IFERROR(P50/O50-1,"")</f>
        <v>0.27869848829411659</v>
      </c>
      <c r="Q52" s="255"/>
      <c r="R52" s="253">
        <f>IFERROR(R50/P50-1,"")</f>
        <v>0.87543829487222147</v>
      </c>
      <c r="S52" s="102">
        <f>IFERROR(S50/R50-1,"")</f>
        <v>0.15358163010621428</v>
      </c>
      <c r="T52" s="102">
        <f>IFERROR(T50/S50-1,"")</f>
        <v>0.1330444503209367</v>
      </c>
      <c r="U52" s="102">
        <f>IFERROR(U50/T50-1,"")</f>
        <v>-0.28611451297585788</v>
      </c>
      <c r="V52" s="255"/>
      <c r="W52" s="253">
        <f>IFERROR(W50/U50-1,"")</f>
        <v>1.1438744494587785</v>
      </c>
      <c r="X52" s="102">
        <f>IFERROR(X50/W50-1,"")</f>
        <v>0.48815397651694892</v>
      </c>
      <c r="Y52" s="102">
        <f>IFERROR(Y50/X50-1,"")</f>
        <v>7.820082463885214E-3</v>
      </c>
      <c r="Z52" s="102">
        <f>IFERROR(Z50/Y50-1,"")</f>
        <v>-0.17642295132805397</v>
      </c>
      <c r="AA52" s="255"/>
      <c r="AB52" s="253">
        <f>IFERROR(AB50/Z50-1,"")</f>
        <v>0.18907183509020653</v>
      </c>
      <c r="AC52" s="102">
        <f>IFERROR(AC50/AB50-1,"")</f>
        <v>0.39126103636239273</v>
      </c>
      <c r="AD52" s="102">
        <f>IFERROR(AD50/AC50-1,"")</f>
        <v>-1.0946020796638645E-2</v>
      </c>
      <c r="AE52" s="102">
        <f>IFERROR(AE50/AD50-1,"")</f>
        <v>-0.16719492403131231</v>
      </c>
      <c r="AF52" s="255"/>
      <c r="AG52" s="253">
        <f>IFERROR(AG50/AE50-1,"")</f>
        <v>0.17177621261293496</v>
      </c>
      <c r="AH52" s="102">
        <f>IFERROR(AH50/AG50-1,"")</f>
        <v>0.32865841092024173</v>
      </c>
      <c r="AI52" s="102">
        <f>IFERROR(AI50/AH50-1,"")</f>
        <v>-4.3247162599112765E-2</v>
      </c>
      <c r="AJ52" s="102">
        <f>IFERROR(AJ50/AI50-1,"")</f>
        <v>-0.20518087012261366</v>
      </c>
      <c r="AK52" s="255"/>
    </row>
    <row r="53" spans="1:37" s="311" customFormat="1" ht="12.75" customHeight="1">
      <c r="A53" s="309"/>
      <c r="B53" s="261"/>
      <c r="C53" s="247"/>
      <c r="D53" s="224"/>
      <c r="E53" s="224"/>
      <c r="F53" s="224"/>
      <c r="G53" s="310"/>
      <c r="H53" s="247"/>
      <c r="I53" s="224"/>
      <c r="J53" s="224"/>
      <c r="K53" s="224"/>
      <c r="L53" s="310"/>
      <c r="M53" s="247"/>
      <c r="N53" s="224"/>
      <c r="O53" s="224"/>
      <c r="P53" s="224"/>
      <c r="Q53" s="310"/>
      <c r="R53" s="247"/>
      <c r="S53" s="224"/>
      <c r="T53" s="224"/>
      <c r="U53" s="224"/>
      <c r="V53" s="310"/>
      <c r="W53" s="247"/>
      <c r="X53" s="224"/>
      <c r="Y53" s="224"/>
      <c r="Z53" s="224"/>
      <c r="AA53" s="310"/>
      <c r="AB53" s="247"/>
      <c r="AC53" s="224"/>
      <c r="AD53" s="224"/>
      <c r="AE53" s="224"/>
      <c r="AF53" s="310"/>
      <c r="AG53" s="247"/>
      <c r="AH53" s="224"/>
      <c r="AI53" s="224"/>
      <c r="AJ53" s="224"/>
      <c r="AK53" s="310"/>
    </row>
    <row r="54" spans="1:37" ht="12.75" customHeight="1">
      <c r="B54" s="95"/>
      <c r="C54" s="229"/>
      <c r="D54" s="229"/>
      <c r="E54" s="229"/>
      <c r="F54" s="229"/>
      <c r="G54" s="231"/>
      <c r="H54" s="229"/>
      <c r="I54" s="229"/>
      <c r="J54" s="229"/>
      <c r="K54" s="229"/>
      <c r="L54" s="231"/>
      <c r="M54" s="229"/>
      <c r="N54" s="229"/>
      <c r="O54" s="229"/>
      <c r="P54" s="229"/>
      <c r="Q54" s="231"/>
      <c r="R54" s="229"/>
      <c r="S54" s="229"/>
      <c r="T54" s="229"/>
      <c r="U54" s="229"/>
      <c r="V54" s="231"/>
      <c r="W54" s="229"/>
      <c r="X54" s="229"/>
      <c r="Y54" s="229"/>
      <c r="Z54" s="229"/>
      <c r="AA54" s="231"/>
      <c r="AB54" s="229"/>
      <c r="AC54" s="229"/>
      <c r="AD54" s="229"/>
      <c r="AE54" s="229"/>
      <c r="AF54" s="231"/>
      <c r="AG54" s="229"/>
      <c r="AH54" s="229"/>
      <c r="AI54" s="229"/>
      <c r="AJ54" s="229"/>
      <c r="AK54" s="231"/>
    </row>
    <row r="55" spans="1:37" s="233" customFormat="1" ht="12.75" customHeight="1">
      <c r="A55" s="232"/>
      <c r="C55" s="235"/>
      <c r="D55" s="235"/>
      <c r="E55" s="235"/>
      <c r="F55" s="235"/>
      <c r="G55" s="234"/>
      <c r="H55" s="235"/>
      <c r="I55" s="235"/>
      <c r="J55" s="235"/>
      <c r="K55" s="235"/>
      <c r="L55" s="234"/>
      <c r="M55" s="235"/>
      <c r="N55" s="235"/>
      <c r="O55" s="235"/>
      <c r="P55" s="235"/>
      <c r="Q55" s="234"/>
      <c r="R55" s="235"/>
      <c r="S55" s="235"/>
      <c r="T55" s="235"/>
      <c r="U55" s="235"/>
      <c r="V55" s="234"/>
      <c r="W55" s="235"/>
      <c r="X55" s="235"/>
      <c r="Y55" s="235"/>
      <c r="Z55" s="235"/>
      <c r="AA55" s="234"/>
      <c r="AB55" s="235"/>
      <c r="AC55" s="235"/>
      <c r="AD55" s="235"/>
      <c r="AE55" s="235"/>
      <c r="AF55" s="234"/>
      <c r="AG55" s="235"/>
      <c r="AH55" s="235"/>
      <c r="AI55" s="235"/>
      <c r="AJ55" s="235"/>
      <c r="AK55" s="234"/>
    </row>
    <row r="56" spans="1:37" s="313" customFormat="1" ht="12.75" customHeight="1">
      <c r="A56" s="130"/>
      <c r="B56" s="312"/>
      <c r="C56" s="101"/>
      <c r="D56" s="102"/>
      <c r="E56" s="102"/>
      <c r="F56" s="102"/>
      <c r="G56" s="272"/>
      <c r="H56" s="101"/>
      <c r="I56" s="102"/>
      <c r="J56" s="102"/>
      <c r="K56" s="102"/>
      <c r="L56" s="272"/>
      <c r="M56" s="101"/>
      <c r="N56" s="102"/>
      <c r="O56" s="102"/>
      <c r="P56" s="102"/>
      <c r="Q56" s="272"/>
      <c r="R56" s="101"/>
      <c r="S56" s="102"/>
      <c r="T56" s="102"/>
      <c r="U56" s="102"/>
      <c r="V56" s="272"/>
      <c r="W56" s="101"/>
      <c r="X56" s="102"/>
      <c r="Y56" s="102"/>
      <c r="Z56" s="102"/>
      <c r="AA56" s="272"/>
      <c r="AB56" s="101"/>
      <c r="AC56" s="102"/>
      <c r="AD56" s="102"/>
      <c r="AE56" s="102"/>
      <c r="AF56" s="272"/>
      <c r="AG56" s="101"/>
      <c r="AH56" s="102"/>
      <c r="AI56" s="102"/>
      <c r="AJ56" s="102"/>
      <c r="AK56" s="272"/>
    </row>
    <row r="57" spans="1:37" s="314" customFormat="1" ht="12.75" customHeight="1">
      <c r="A57" s="103"/>
      <c r="B57" s="104"/>
      <c r="C57" s="105"/>
      <c r="D57" s="105"/>
      <c r="E57" s="105"/>
      <c r="F57" s="105"/>
      <c r="G57" s="105"/>
      <c r="H57" s="105"/>
      <c r="I57" s="105"/>
      <c r="J57" s="105"/>
      <c r="K57" s="105"/>
      <c r="L57" s="105"/>
      <c r="M57" s="105"/>
      <c r="N57" s="105"/>
      <c r="O57" s="105"/>
      <c r="P57" s="105"/>
      <c r="Q57" s="105"/>
      <c r="R57" s="105"/>
      <c r="S57" s="105"/>
      <c r="T57" s="105"/>
      <c r="U57" s="105"/>
      <c r="V57" s="105"/>
      <c r="W57" s="105"/>
      <c r="X57" s="105"/>
      <c r="Y57" s="105"/>
      <c r="Z57" s="105"/>
      <c r="AA57" s="105"/>
      <c r="AB57" s="105"/>
      <c r="AC57" s="105"/>
      <c r="AD57" s="105"/>
      <c r="AE57" s="105"/>
      <c r="AF57" s="105"/>
      <c r="AG57" s="105"/>
      <c r="AH57" s="105"/>
      <c r="AI57" s="105"/>
      <c r="AJ57" s="105"/>
      <c r="AK57" s="105"/>
    </row>
    <row r="58" spans="1:37" s="319" customFormat="1" ht="12.75" customHeight="1">
      <c r="A58" s="315"/>
      <c r="B58" s="316"/>
      <c r="C58" s="317"/>
      <c r="D58" s="277"/>
      <c r="E58" s="277"/>
      <c r="F58" s="277"/>
      <c r="G58" s="318"/>
      <c r="H58" s="317"/>
      <c r="I58" s="277"/>
      <c r="J58" s="277"/>
      <c r="K58" s="277"/>
      <c r="L58" s="318"/>
      <c r="M58" s="317"/>
      <c r="N58" s="277"/>
      <c r="O58" s="277"/>
      <c r="P58" s="277"/>
      <c r="Q58" s="318"/>
      <c r="R58" s="317"/>
      <c r="S58" s="277"/>
      <c r="T58" s="277"/>
      <c r="U58" s="277"/>
      <c r="V58" s="318"/>
      <c r="W58" s="317"/>
      <c r="X58" s="277"/>
      <c r="Y58" s="277"/>
      <c r="Z58" s="277"/>
      <c r="AA58" s="318"/>
      <c r="AB58" s="317"/>
      <c r="AC58" s="277"/>
      <c r="AD58" s="277"/>
      <c r="AE58" s="277"/>
      <c r="AF58" s="318"/>
      <c r="AG58" s="317"/>
      <c r="AH58" s="277"/>
      <c r="AI58" s="277"/>
      <c r="AJ58" s="277"/>
      <c r="AK58" s="318"/>
    </row>
    <row r="59" spans="1:37" s="322" customFormat="1" ht="12.75" customHeight="1">
      <c r="A59" s="130"/>
      <c r="B59" s="320"/>
      <c r="C59" s="99"/>
      <c r="D59" s="100"/>
      <c r="E59" s="100"/>
      <c r="F59" s="100"/>
      <c r="G59" s="321"/>
      <c r="H59" s="99"/>
      <c r="I59" s="100"/>
      <c r="J59" s="100"/>
      <c r="K59" s="100"/>
      <c r="L59" s="321"/>
      <c r="M59" s="99"/>
      <c r="N59" s="100"/>
      <c r="O59" s="100"/>
      <c r="P59" s="100"/>
      <c r="Q59" s="321"/>
      <c r="R59" s="99"/>
      <c r="S59" s="100"/>
      <c r="T59" s="100"/>
      <c r="U59" s="100"/>
      <c r="V59" s="321"/>
      <c r="W59" s="99"/>
      <c r="X59" s="100"/>
      <c r="Y59" s="100"/>
      <c r="Z59" s="100"/>
      <c r="AA59" s="321"/>
      <c r="AB59" s="99"/>
      <c r="AC59" s="100"/>
      <c r="AD59" s="100"/>
      <c r="AE59" s="100"/>
      <c r="AF59" s="321"/>
      <c r="AG59" s="99"/>
      <c r="AH59" s="100"/>
      <c r="AI59" s="100"/>
      <c r="AJ59" s="100"/>
      <c r="AK59" s="321"/>
    </row>
    <row r="60" spans="1:37" s="305" customFormat="1" ht="12.75" customHeight="1">
      <c r="A60" s="67"/>
      <c r="B60" s="89"/>
      <c r="C60" s="201"/>
      <c r="D60" s="202"/>
      <c r="E60" s="202"/>
      <c r="F60" s="202"/>
      <c r="G60" s="89"/>
      <c r="H60" s="201"/>
      <c r="I60" s="202"/>
      <c r="J60" s="202"/>
      <c r="K60" s="202"/>
      <c r="L60" s="89"/>
      <c r="M60" s="201"/>
      <c r="N60" s="202"/>
      <c r="O60" s="202"/>
      <c r="P60" s="202"/>
      <c r="Q60" s="89"/>
      <c r="R60" s="201"/>
      <c r="S60" s="202"/>
      <c r="T60" s="202"/>
      <c r="U60" s="202"/>
      <c r="V60" s="89"/>
      <c r="W60" s="201"/>
      <c r="X60" s="202"/>
      <c r="Y60" s="202"/>
      <c r="Z60" s="202"/>
      <c r="AA60" s="89"/>
      <c r="AB60" s="201"/>
      <c r="AC60" s="202"/>
      <c r="AD60" s="202"/>
      <c r="AE60" s="202"/>
      <c r="AF60" s="89"/>
      <c r="AG60" s="201"/>
      <c r="AH60" s="202"/>
      <c r="AI60" s="202"/>
      <c r="AJ60" s="202"/>
      <c r="AK60" s="89"/>
    </row>
    <row r="61" spans="1:37" s="305" customFormat="1" ht="12.75" customHeight="1">
      <c r="A61" s="67"/>
      <c r="B61" s="89"/>
      <c r="C61" s="90"/>
      <c r="D61" s="128"/>
      <c r="E61" s="128"/>
      <c r="F61" s="128"/>
      <c r="G61" s="89"/>
      <c r="H61" s="90"/>
      <c r="I61" s="128"/>
      <c r="J61" s="128"/>
      <c r="K61" s="128"/>
      <c r="L61" s="89"/>
      <c r="M61" s="90"/>
      <c r="N61" s="128"/>
      <c r="O61" s="128"/>
      <c r="P61" s="128"/>
      <c r="Q61" s="89"/>
      <c r="R61" s="90"/>
      <c r="S61" s="128"/>
      <c r="T61" s="128"/>
      <c r="U61" s="128"/>
      <c r="V61" s="89"/>
      <c r="W61" s="90"/>
      <c r="X61" s="128"/>
      <c r="Y61" s="128"/>
      <c r="Z61" s="128"/>
      <c r="AA61" s="89"/>
      <c r="AB61" s="90"/>
      <c r="AC61" s="128"/>
      <c r="AD61" s="128"/>
      <c r="AE61" s="128"/>
      <c r="AF61" s="89"/>
      <c r="AG61" s="90"/>
      <c r="AH61" s="128"/>
      <c r="AI61" s="128"/>
      <c r="AJ61" s="128"/>
      <c r="AK61" s="89"/>
    </row>
    <row r="62" spans="1:37" s="305" customFormat="1" ht="12.75" customHeight="1">
      <c r="A62" s="67"/>
      <c r="B62" s="89"/>
      <c r="C62" s="99"/>
      <c r="D62" s="100"/>
      <c r="E62" s="100"/>
      <c r="F62" s="100"/>
      <c r="G62" s="321"/>
      <c r="H62" s="99"/>
      <c r="I62" s="100"/>
      <c r="J62" s="100"/>
      <c r="K62" s="100"/>
      <c r="L62" s="321"/>
      <c r="M62" s="99"/>
      <c r="N62" s="100"/>
      <c r="O62" s="100"/>
      <c r="P62" s="100"/>
      <c r="Q62" s="321"/>
      <c r="R62" s="99"/>
      <c r="S62" s="100"/>
      <c r="T62" s="100"/>
      <c r="U62" s="100"/>
      <c r="V62" s="321"/>
      <c r="W62" s="99"/>
      <c r="X62" s="100"/>
      <c r="Y62" s="100"/>
      <c r="Z62" s="100"/>
      <c r="AA62" s="321"/>
      <c r="AB62" s="99"/>
      <c r="AC62" s="100"/>
      <c r="AD62" s="100"/>
      <c r="AE62" s="100"/>
      <c r="AF62" s="321"/>
      <c r="AG62" s="99"/>
      <c r="AH62" s="100"/>
      <c r="AI62" s="100"/>
      <c r="AJ62" s="100"/>
      <c r="AK62" s="321"/>
    </row>
    <row r="63" spans="1:37" s="322" customFormat="1" ht="12.75" customHeight="1">
      <c r="A63" s="130"/>
      <c r="B63" s="89"/>
      <c r="C63" s="99"/>
      <c r="D63" s="100"/>
      <c r="E63" s="100"/>
      <c r="F63" s="100"/>
      <c r="G63" s="321"/>
      <c r="H63" s="99"/>
      <c r="I63" s="100"/>
      <c r="J63" s="100"/>
      <c r="K63" s="100"/>
      <c r="L63" s="321"/>
      <c r="M63" s="99"/>
      <c r="N63" s="100"/>
      <c r="O63" s="100"/>
      <c r="P63" s="100"/>
      <c r="Q63" s="321"/>
      <c r="R63" s="99"/>
      <c r="S63" s="100"/>
      <c r="T63" s="100"/>
      <c r="U63" s="100"/>
      <c r="V63" s="321"/>
      <c r="W63" s="99"/>
      <c r="X63" s="100"/>
      <c r="Y63" s="100"/>
      <c r="Z63" s="100"/>
      <c r="AA63" s="321"/>
      <c r="AB63" s="99"/>
      <c r="AC63" s="100"/>
      <c r="AD63" s="100"/>
      <c r="AE63" s="100"/>
      <c r="AF63" s="321"/>
      <c r="AG63" s="99"/>
      <c r="AH63" s="100"/>
      <c r="AI63" s="100"/>
      <c r="AJ63" s="100"/>
      <c r="AK63" s="321"/>
    </row>
    <row r="64" spans="1:37" s="305" customFormat="1" ht="12.75" customHeight="1">
      <c r="A64" s="67"/>
      <c r="B64" s="89"/>
      <c r="C64" s="201"/>
      <c r="D64" s="202"/>
      <c r="E64" s="202"/>
      <c r="F64" s="202"/>
      <c r="G64" s="89"/>
      <c r="H64" s="201"/>
      <c r="I64" s="202"/>
      <c r="J64" s="202"/>
      <c r="K64" s="202"/>
      <c r="L64" s="89"/>
      <c r="M64" s="201"/>
      <c r="N64" s="202"/>
      <c r="O64" s="202"/>
      <c r="P64" s="202"/>
      <c r="Q64" s="89"/>
      <c r="R64" s="201"/>
      <c r="S64" s="202"/>
      <c r="T64" s="202"/>
      <c r="U64" s="202"/>
      <c r="V64" s="89"/>
      <c r="W64" s="201"/>
      <c r="X64" s="202"/>
      <c r="Y64" s="202"/>
      <c r="Z64" s="202"/>
      <c r="AA64" s="89"/>
      <c r="AB64" s="201"/>
      <c r="AC64" s="202"/>
      <c r="AD64" s="202"/>
      <c r="AE64" s="202"/>
      <c r="AF64" s="89"/>
      <c r="AG64" s="201"/>
      <c r="AH64" s="202"/>
      <c r="AI64" s="202"/>
      <c r="AJ64" s="202"/>
      <c r="AK64" s="89"/>
    </row>
    <row r="65" spans="1:37" s="305" customFormat="1" ht="12.75" customHeight="1">
      <c r="A65" s="67"/>
      <c r="B65" s="89"/>
      <c r="C65" s="160"/>
      <c r="D65" s="161"/>
      <c r="E65" s="161"/>
      <c r="F65" s="161"/>
      <c r="G65" s="323"/>
      <c r="H65" s="160"/>
      <c r="I65" s="161"/>
      <c r="J65" s="161"/>
      <c r="K65" s="161"/>
      <c r="L65" s="323"/>
      <c r="M65" s="160"/>
      <c r="N65" s="161"/>
      <c r="O65" s="161"/>
      <c r="P65" s="161"/>
      <c r="Q65" s="323"/>
      <c r="R65" s="160"/>
      <c r="S65" s="161"/>
      <c r="T65" s="161"/>
      <c r="U65" s="161"/>
      <c r="V65" s="323"/>
      <c r="W65" s="160"/>
      <c r="X65" s="161"/>
      <c r="Y65" s="161"/>
      <c r="Z65" s="161"/>
      <c r="AA65" s="323"/>
      <c r="AB65" s="160"/>
      <c r="AC65" s="161"/>
      <c r="AD65" s="161"/>
      <c r="AE65" s="161"/>
      <c r="AF65" s="323"/>
      <c r="AG65" s="160"/>
      <c r="AH65" s="161"/>
      <c r="AI65" s="161"/>
      <c r="AJ65" s="161"/>
      <c r="AK65" s="323"/>
    </row>
    <row r="66" spans="1:37" s="305" customFormat="1" ht="12.75" customHeight="1">
      <c r="A66" s="67"/>
      <c r="B66" s="89"/>
      <c r="C66" s="201"/>
      <c r="D66" s="202"/>
      <c r="E66" s="202"/>
      <c r="F66" s="202"/>
      <c r="G66" s="89"/>
      <c r="H66" s="201"/>
      <c r="I66" s="202"/>
      <c r="J66" s="202"/>
      <c r="K66" s="202"/>
      <c r="L66" s="89"/>
      <c r="M66" s="201"/>
      <c r="N66" s="202"/>
      <c r="O66" s="202"/>
      <c r="P66" s="202"/>
      <c r="Q66" s="89"/>
      <c r="R66" s="201"/>
      <c r="S66" s="202"/>
      <c r="T66" s="202"/>
      <c r="U66" s="202"/>
      <c r="V66" s="89"/>
      <c r="W66" s="201"/>
      <c r="X66" s="202"/>
      <c r="Y66" s="202"/>
      <c r="Z66" s="202"/>
      <c r="AA66" s="89"/>
      <c r="AB66" s="201"/>
      <c r="AC66" s="202"/>
      <c r="AD66" s="202"/>
      <c r="AE66" s="202"/>
      <c r="AF66" s="89"/>
      <c r="AG66" s="201"/>
      <c r="AH66" s="202"/>
      <c r="AI66" s="202"/>
      <c r="AJ66" s="202"/>
      <c r="AK66" s="89"/>
    </row>
    <row r="67" spans="1:37" s="305" customFormat="1" ht="12.75" customHeight="1">
      <c r="A67" s="67"/>
      <c r="B67" s="89"/>
      <c r="C67" s="90"/>
      <c r="D67" s="128"/>
      <c r="E67" s="128"/>
      <c r="F67" s="128"/>
      <c r="G67" s="89"/>
      <c r="H67" s="90"/>
      <c r="I67" s="128"/>
      <c r="J67" s="128"/>
      <c r="K67" s="128"/>
      <c r="L67" s="89"/>
      <c r="M67" s="90"/>
      <c r="N67" s="128"/>
      <c r="O67" s="128"/>
      <c r="P67" s="128"/>
      <c r="Q67" s="89"/>
      <c r="R67" s="90"/>
      <c r="S67" s="128"/>
      <c r="T67" s="128"/>
      <c r="U67" s="128"/>
      <c r="V67" s="89"/>
      <c r="W67" s="90"/>
      <c r="X67" s="128"/>
      <c r="Y67" s="128"/>
      <c r="Z67" s="128"/>
      <c r="AA67" s="89"/>
      <c r="AB67" s="90"/>
      <c r="AC67" s="128"/>
      <c r="AD67" s="128"/>
      <c r="AE67" s="128"/>
      <c r="AF67" s="89"/>
      <c r="AG67" s="90"/>
      <c r="AH67" s="128"/>
      <c r="AI67" s="128"/>
      <c r="AJ67" s="128"/>
      <c r="AK67" s="89"/>
    </row>
    <row r="68" spans="1:37" s="305" customFormat="1" ht="12.75" customHeight="1">
      <c r="A68" s="67"/>
      <c r="B68" s="89"/>
      <c r="C68" s="99"/>
      <c r="D68" s="100"/>
      <c r="E68" s="100"/>
      <c r="F68" s="100"/>
      <c r="G68" s="321"/>
      <c r="H68" s="99"/>
      <c r="I68" s="100"/>
      <c r="J68" s="100"/>
      <c r="K68" s="100"/>
      <c r="L68" s="321"/>
      <c r="M68" s="99"/>
      <c r="N68" s="100"/>
      <c r="O68" s="100"/>
      <c r="P68" s="100"/>
      <c r="Q68" s="321"/>
      <c r="R68" s="99"/>
      <c r="S68" s="100"/>
      <c r="T68" s="100"/>
      <c r="U68" s="100"/>
      <c r="V68" s="321"/>
      <c r="W68" s="99"/>
      <c r="X68" s="100"/>
      <c r="Y68" s="100"/>
      <c r="Z68" s="100"/>
      <c r="AA68" s="321"/>
      <c r="AB68" s="99"/>
      <c r="AC68" s="100"/>
      <c r="AD68" s="100"/>
      <c r="AE68" s="100"/>
      <c r="AF68" s="321"/>
      <c r="AG68" s="99"/>
      <c r="AH68" s="100"/>
      <c r="AI68" s="100"/>
      <c r="AJ68" s="100"/>
      <c r="AK68" s="321"/>
    </row>
    <row r="69" spans="1:37" s="322" customFormat="1" ht="12.75" customHeight="1">
      <c r="A69" s="130"/>
      <c r="B69" s="89"/>
      <c r="C69" s="99"/>
      <c r="D69" s="100"/>
      <c r="E69" s="100"/>
      <c r="F69" s="100"/>
      <c r="G69" s="321"/>
      <c r="H69" s="99"/>
      <c r="I69" s="100"/>
      <c r="J69" s="100"/>
      <c r="K69" s="100"/>
      <c r="L69" s="321"/>
      <c r="M69" s="99"/>
      <c r="N69" s="100"/>
      <c r="O69" s="100"/>
      <c r="P69" s="100"/>
      <c r="Q69" s="321"/>
      <c r="R69" s="99"/>
      <c r="S69" s="100"/>
      <c r="T69" s="100"/>
      <c r="U69" s="100"/>
      <c r="V69" s="321"/>
      <c r="W69" s="99"/>
      <c r="X69" s="100"/>
      <c r="Y69" s="100"/>
      <c r="Z69" s="100"/>
      <c r="AA69" s="321"/>
      <c r="AB69" s="99"/>
      <c r="AC69" s="100"/>
      <c r="AD69" s="100"/>
      <c r="AE69" s="100"/>
      <c r="AF69" s="321"/>
      <c r="AG69" s="99"/>
      <c r="AH69" s="100"/>
      <c r="AI69" s="100"/>
      <c r="AJ69" s="100"/>
      <c r="AK69" s="321"/>
    </row>
    <row r="70" spans="1:37" s="305" customFormat="1" ht="12.75" customHeight="1">
      <c r="A70" s="67"/>
      <c r="B70" s="89"/>
      <c r="C70" s="201"/>
      <c r="D70" s="202"/>
      <c r="E70" s="202"/>
      <c r="F70" s="202"/>
      <c r="G70" s="89"/>
      <c r="H70" s="201"/>
      <c r="I70" s="202"/>
      <c r="J70" s="202"/>
      <c r="K70" s="202"/>
      <c r="L70" s="89"/>
      <c r="M70" s="201"/>
      <c r="N70" s="202"/>
      <c r="O70" s="202"/>
      <c r="P70" s="202"/>
      <c r="Q70" s="89"/>
      <c r="R70" s="201"/>
      <c r="S70" s="202"/>
      <c r="T70" s="202"/>
      <c r="U70" s="202"/>
      <c r="V70" s="89"/>
      <c r="W70" s="201"/>
      <c r="X70" s="202"/>
      <c r="Y70" s="202"/>
      <c r="Z70" s="202"/>
      <c r="AA70" s="89"/>
      <c r="AB70" s="201"/>
      <c r="AC70" s="202"/>
      <c r="AD70" s="202"/>
      <c r="AE70" s="202"/>
      <c r="AF70" s="89"/>
      <c r="AG70" s="201"/>
      <c r="AH70" s="202"/>
      <c r="AI70" s="202"/>
      <c r="AJ70" s="202"/>
      <c r="AK70" s="89"/>
    </row>
    <row r="71" spans="1:37" s="322" customFormat="1" ht="12" customHeight="1">
      <c r="A71" s="130"/>
      <c r="B71" s="324"/>
      <c r="C71" s="99"/>
      <c r="D71" s="100"/>
      <c r="E71" s="100"/>
      <c r="F71" s="100"/>
      <c r="G71" s="321"/>
      <c r="H71" s="99"/>
      <c r="I71" s="100"/>
      <c r="J71" s="100"/>
      <c r="K71" s="100"/>
      <c r="L71" s="321"/>
      <c r="M71" s="99"/>
      <c r="N71" s="100"/>
      <c r="O71" s="100"/>
      <c r="P71" s="100"/>
      <c r="Q71" s="321"/>
      <c r="R71" s="99"/>
      <c r="S71" s="100"/>
      <c r="T71" s="100"/>
      <c r="U71" s="100"/>
      <c r="V71" s="321"/>
      <c r="W71" s="99"/>
      <c r="X71" s="100"/>
      <c r="Y71" s="100"/>
      <c r="Z71" s="100"/>
      <c r="AA71" s="321"/>
      <c r="AB71" s="99"/>
      <c r="AC71" s="100"/>
      <c r="AD71" s="100"/>
      <c r="AE71" s="100"/>
      <c r="AF71" s="321"/>
      <c r="AG71" s="99"/>
      <c r="AH71" s="100"/>
      <c r="AI71" s="100"/>
      <c r="AJ71" s="100"/>
      <c r="AK71" s="321"/>
    </row>
    <row r="72" spans="1:37" s="305" customFormat="1" ht="12.75" customHeight="1">
      <c r="A72" s="67"/>
      <c r="B72" s="89"/>
      <c r="C72" s="201"/>
      <c r="D72" s="202"/>
      <c r="E72" s="202"/>
      <c r="F72" s="202"/>
      <c r="G72" s="89"/>
      <c r="H72" s="201"/>
      <c r="I72" s="202"/>
      <c r="J72" s="202"/>
      <c r="K72" s="202"/>
      <c r="L72" s="89"/>
      <c r="M72" s="201"/>
      <c r="N72" s="202"/>
      <c r="O72" s="202"/>
      <c r="P72" s="202"/>
      <c r="Q72" s="89"/>
      <c r="R72" s="201"/>
      <c r="S72" s="202"/>
      <c r="T72" s="202"/>
      <c r="U72" s="202"/>
      <c r="V72" s="89"/>
      <c r="W72" s="201"/>
      <c r="X72" s="202"/>
      <c r="Y72" s="202"/>
      <c r="Z72" s="202"/>
      <c r="AA72" s="89"/>
      <c r="AB72" s="201"/>
      <c r="AC72" s="202"/>
      <c r="AD72" s="202"/>
      <c r="AE72" s="202"/>
      <c r="AF72" s="89"/>
      <c r="AG72" s="201"/>
      <c r="AH72" s="202"/>
      <c r="AI72" s="202"/>
      <c r="AJ72" s="202"/>
      <c r="AK72" s="89"/>
    </row>
    <row r="73" spans="1:37" s="305" customFormat="1" ht="12.75" customHeight="1">
      <c r="A73" s="67"/>
      <c r="B73" s="89"/>
      <c r="C73" s="90"/>
      <c r="D73" s="128"/>
      <c r="E73" s="128"/>
      <c r="F73" s="128"/>
      <c r="G73" s="89"/>
      <c r="H73" s="90"/>
      <c r="I73" s="128"/>
      <c r="J73" s="128"/>
      <c r="K73" s="128"/>
      <c r="L73" s="89"/>
      <c r="M73" s="90"/>
      <c r="N73" s="128"/>
      <c r="O73" s="128"/>
      <c r="P73" s="128"/>
      <c r="Q73" s="89"/>
      <c r="R73" s="90"/>
      <c r="S73" s="128"/>
      <c r="T73" s="128"/>
      <c r="U73" s="128"/>
      <c r="V73" s="89"/>
      <c r="W73" s="90"/>
      <c r="X73" s="128"/>
      <c r="Y73" s="128"/>
      <c r="Z73" s="128"/>
      <c r="AA73" s="89"/>
      <c r="AB73" s="90"/>
      <c r="AC73" s="128"/>
      <c r="AD73" s="128"/>
      <c r="AE73" s="128"/>
      <c r="AF73" s="89"/>
      <c r="AG73" s="90"/>
      <c r="AH73" s="128"/>
      <c r="AI73" s="128"/>
      <c r="AJ73" s="128"/>
      <c r="AK73" s="89"/>
    </row>
    <row r="74" spans="1:37" s="305" customFormat="1" ht="12.75" customHeight="1">
      <c r="A74" s="67"/>
      <c r="B74" s="89"/>
      <c r="C74" s="99"/>
      <c r="D74" s="100"/>
      <c r="E74" s="100"/>
      <c r="F74" s="100"/>
      <c r="G74" s="321"/>
      <c r="H74" s="99"/>
      <c r="I74" s="100"/>
      <c r="J74" s="100"/>
      <c r="K74" s="100"/>
      <c r="L74" s="321"/>
      <c r="M74" s="99"/>
      <c r="N74" s="100"/>
      <c r="O74" s="100"/>
      <c r="P74" s="100"/>
      <c r="Q74" s="321"/>
      <c r="R74" s="99"/>
      <c r="S74" s="100"/>
      <c r="T74" s="100"/>
      <c r="U74" s="100"/>
      <c r="V74" s="321"/>
      <c r="W74" s="99"/>
      <c r="X74" s="100"/>
      <c r="Y74" s="100"/>
      <c r="Z74" s="100"/>
      <c r="AA74" s="321"/>
      <c r="AB74" s="99"/>
      <c r="AC74" s="100"/>
      <c r="AD74" s="100"/>
      <c r="AE74" s="100"/>
      <c r="AF74" s="321"/>
      <c r="AG74" s="99"/>
      <c r="AH74" s="100"/>
      <c r="AI74" s="100"/>
      <c r="AJ74" s="100"/>
      <c r="AK74" s="321"/>
    </row>
    <row r="75" spans="1:37" s="322" customFormat="1" ht="12.75" customHeight="1">
      <c r="A75" s="130"/>
      <c r="B75" s="89"/>
      <c r="C75" s="99"/>
      <c r="D75" s="100"/>
      <c r="E75" s="100"/>
      <c r="F75" s="100"/>
      <c r="G75" s="321"/>
      <c r="H75" s="99"/>
      <c r="I75" s="100"/>
      <c r="J75" s="100"/>
      <c r="K75" s="100"/>
      <c r="L75" s="321"/>
      <c r="M75" s="99"/>
      <c r="N75" s="100"/>
      <c r="O75" s="100"/>
      <c r="P75" s="100"/>
      <c r="Q75" s="321"/>
      <c r="R75" s="99"/>
      <c r="S75" s="100"/>
      <c r="T75" s="100"/>
      <c r="U75" s="100"/>
      <c r="V75" s="321"/>
      <c r="W75" s="99"/>
      <c r="X75" s="100"/>
      <c r="Y75" s="100"/>
      <c r="Z75" s="100"/>
      <c r="AA75" s="321"/>
      <c r="AB75" s="99"/>
      <c r="AC75" s="100"/>
      <c r="AD75" s="100"/>
      <c r="AE75" s="100"/>
      <c r="AF75" s="321"/>
      <c r="AG75" s="99"/>
      <c r="AH75" s="100"/>
      <c r="AI75" s="100"/>
      <c r="AJ75" s="100"/>
      <c r="AK75" s="321"/>
    </row>
    <row r="76" spans="1:37" s="305" customFormat="1" ht="12.75" customHeight="1">
      <c r="A76" s="67"/>
      <c r="B76" s="89"/>
      <c r="C76" s="201"/>
      <c r="D76" s="202"/>
      <c r="E76" s="202"/>
      <c r="F76" s="202"/>
      <c r="G76" s="89"/>
      <c r="H76" s="201"/>
      <c r="I76" s="202"/>
      <c r="J76" s="202"/>
      <c r="K76" s="202"/>
      <c r="L76" s="89"/>
      <c r="M76" s="201"/>
      <c r="N76" s="202"/>
      <c r="O76" s="202"/>
      <c r="P76" s="202"/>
      <c r="Q76" s="89"/>
      <c r="R76" s="201"/>
      <c r="S76" s="202"/>
      <c r="T76" s="202"/>
      <c r="U76" s="202"/>
      <c r="V76" s="89"/>
      <c r="W76" s="201"/>
      <c r="X76" s="202"/>
      <c r="Y76" s="202"/>
      <c r="Z76" s="202"/>
      <c r="AA76" s="89"/>
      <c r="AB76" s="201"/>
      <c r="AC76" s="202"/>
      <c r="AD76" s="202"/>
      <c r="AE76" s="202"/>
      <c r="AF76" s="89"/>
      <c r="AG76" s="201"/>
      <c r="AH76" s="202"/>
      <c r="AI76" s="202"/>
      <c r="AJ76" s="202"/>
      <c r="AK76" s="89"/>
    </row>
    <row r="77" spans="1:37" s="305" customFormat="1" ht="12.75" customHeight="1">
      <c r="A77" s="67"/>
      <c r="B77" s="89"/>
      <c r="C77" s="123"/>
      <c r="D77" s="100"/>
      <c r="E77" s="100"/>
      <c r="F77" s="100"/>
      <c r="G77" s="95"/>
      <c r="H77" s="123"/>
      <c r="I77" s="100"/>
      <c r="J77" s="100"/>
      <c r="K77" s="100"/>
      <c r="L77" s="95"/>
      <c r="M77" s="123"/>
      <c r="N77" s="100"/>
      <c r="O77" s="100"/>
      <c r="P77" s="100"/>
      <c r="Q77" s="95"/>
      <c r="R77" s="123"/>
      <c r="S77" s="100"/>
      <c r="T77" s="100"/>
      <c r="U77" s="100"/>
      <c r="V77" s="95"/>
      <c r="W77" s="123"/>
      <c r="X77" s="100"/>
      <c r="Y77" s="100"/>
      <c r="Z77" s="100"/>
      <c r="AA77" s="95"/>
      <c r="AB77" s="123"/>
      <c r="AC77" s="100"/>
      <c r="AD77" s="100"/>
      <c r="AE77" s="100"/>
      <c r="AF77" s="95"/>
      <c r="AG77" s="123"/>
      <c r="AH77" s="100"/>
      <c r="AI77" s="100"/>
      <c r="AJ77" s="100"/>
      <c r="AK77" s="95"/>
    </row>
    <row r="78" spans="1:37" s="326" customFormat="1" ht="12.75" customHeight="1">
      <c r="A78" s="221"/>
      <c r="B78" s="223"/>
      <c r="C78" s="325"/>
      <c r="D78" s="225"/>
      <c r="E78" s="225"/>
      <c r="F78" s="225"/>
      <c r="G78" s="223"/>
      <c r="H78" s="325"/>
      <c r="I78" s="225"/>
      <c r="J78" s="225"/>
      <c r="K78" s="225"/>
      <c r="L78" s="223"/>
      <c r="M78" s="325"/>
      <c r="N78" s="225"/>
      <c r="O78" s="225"/>
      <c r="P78" s="225"/>
      <c r="Q78" s="223"/>
      <c r="R78" s="325"/>
      <c r="S78" s="225"/>
      <c r="T78" s="225"/>
      <c r="U78" s="225"/>
      <c r="V78" s="223"/>
      <c r="W78" s="325"/>
      <c r="X78" s="225"/>
      <c r="Y78" s="225"/>
      <c r="Z78" s="225"/>
      <c r="AA78" s="223"/>
      <c r="AB78" s="325"/>
      <c r="AC78" s="225"/>
      <c r="AD78" s="225"/>
      <c r="AE78" s="225"/>
      <c r="AF78" s="223"/>
      <c r="AG78" s="325"/>
      <c r="AH78" s="225"/>
      <c r="AI78" s="225"/>
      <c r="AJ78" s="225"/>
      <c r="AK78" s="223"/>
    </row>
    <row r="79" spans="1:37" s="322" customFormat="1" ht="12.75" customHeight="1">
      <c r="A79" s="130"/>
      <c r="B79" s="324"/>
      <c r="C79" s="327"/>
      <c r="D79" s="100"/>
      <c r="E79" s="100"/>
      <c r="F79" s="100"/>
      <c r="G79" s="328"/>
      <c r="H79" s="327"/>
      <c r="I79" s="100"/>
      <c r="J79" s="100"/>
      <c r="K79" s="100"/>
      <c r="L79" s="328"/>
      <c r="M79" s="327"/>
      <c r="N79" s="100"/>
      <c r="O79" s="100"/>
      <c r="P79" s="100"/>
      <c r="Q79" s="328"/>
      <c r="R79" s="327"/>
      <c r="S79" s="100"/>
      <c r="T79" s="100"/>
      <c r="U79" s="100"/>
      <c r="V79" s="328"/>
      <c r="W79" s="327"/>
      <c r="X79" s="100"/>
      <c r="Y79" s="100"/>
      <c r="Z79" s="100"/>
      <c r="AA79" s="328"/>
      <c r="AB79" s="327"/>
      <c r="AC79" s="100"/>
      <c r="AD79" s="100"/>
      <c r="AE79" s="100"/>
      <c r="AF79" s="328"/>
      <c r="AG79" s="327"/>
      <c r="AH79" s="100"/>
      <c r="AI79" s="100"/>
      <c r="AJ79" s="100"/>
      <c r="AK79" s="328"/>
    </row>
    <row r="80" spans="1:37" s="305" customFormat="1" ht="12.75" customHeight="1">
      <c r="A80" s="67"/>
      <c r="B80" s="324"/>
      <c r="C80" s="226"/>
      <c r="D80" s="128"/>
      <c r="E80" s="128"/>
      <c r="F80" s="128"/>
      <c r="G80" s="95"/>
      <c r="H80" s="226"/>
      <c r="I80" s="128"/>
      <c r="J80" s="128"/>
      <c r="K80" s="128"/>
      <c r="L80" s="95"/>
      <c r="M80" s="226"/>
      <c r="N80" s="128"/>
      <c r="O80" s="128"/>
      <c r="P80" s="128"/>
      <c r="Q80" s="95"/>
      <c r="R80" s="226"/>
      <c r="S80" s="128"/>
      <c r="T80" s="128"/>
      <c r="U80" s="128"/>
      <c r="V80" s="95"/>
      <c r="W80" s="226"/>
      <c r="X80" s="128"/>
      <c r="Y80" s="128"/>
      <c r="Z80" s="128"/>
      <c r="AA80" s="95"/>
      <c r="AB80" s="226"/>
      <c r="AC80" s="128"/>
      <c r="AD80" s="128"/>
      <c r="AE80" s="128"/>
      <c r="AF80" s="95"/>
      <c r="AG80" s="226"/>
      <c r="AH80" s="128"/>
      <c r="AI80" s="128"/>
      <c r="AJ80" s="128"/>
      <c r="AK80" s="95"/>
    </row>
    <row r="81" spans="1:37" s="322" customFormat="1" ht="12.75" customHeight="1">
      <c r="A81" s="130"/>
      <c r="B81" s="312"/>
      <c r="C81" s="127"/>
      <c r="D81" s="100"/>
      <c r="E81" s="100"/>
      <c r="F81" s="100"/>
      <c r="G81" s="328"/>
      <c r="H81" s="127"/>
      <c r="I81" s="100"/>
      <c r="J81" s="100"/>
      <c r="K81" s="100"/>
      <c r="L81" s="328"/>
      <c r="M81" s="127"/>
      <c r="N81" s="100"/>
      <c r="O81" s="100"/>
      <c r="P81" s="100"/>
      <c r="Q81" s="328"/>
      <c r="R81" s="127"/>
      <c r="S81" s="100"/>
      <c r="T81" s="100"/>
      <c r="U81" s="100"/>
      <c r="V81" s="328"/>
      <c r="W81" s="127"/>
      <c r="X81" s="100"/>
      <c r="Y81" s="100"/>
      <c r="Z81" s="100"/>
      <c r="AA81" s="328"/>
      <c r="AB81" s="127"/>
      <c r="AC81" s="100"/>
      <c r="AD81" s="100"/>
      <c r="AE81" s="100"/>
      <c r="AF81" s="328"/>
      <c r="AG81" s="127"/>
      <c r="AH81" s="100"/>
      <c r="AI81" s="100"/>
      <c r="AJ81" s="100"/>
      <c r="AK81" s="328"/>
    </row>
    <row r="82" spans="1:37" s="305" customFormat="1" ht="12.75" customHeight="1">
      <c r="A82" s="67"/>
      <c r="B82" s="89"/>
      <c r="C82" s="123"/>
      <c r="D82" s="100"/>
      <c r="E82" s="100"/>
      <c r="F82" s="100"/>
      <c r="G82" s="95"/>
      <c r="H82" s="123"/>
      <c r="I82" s="100"/>
      <c r="J82" s="100"/>
      <c r="K82" s="100"/>
      <c r="L82" s="95"/>
      <c r="M82" s="123"/>
      <c r="N82" s="100"/>
      <c r="O82" s="100"/>
      <c r="P82" s="100"/>
      <c r="Q82" s="95"/>
      <c r="R82" s="123"/>
      <c r="S82" s="100"/>
      <c r="T82" s="100"/>
      <c r="U82" s="100"/>
      <c r="V82" s="95"/>
      <c r="W82" s="123"/>
      <c r="X82" s="100"/>
      <c r="Y82" s="100"/>
      <c r="Z82" s="100"/>
      <c r="AA82" s="95"/>
      <c r="AB82" s="123"/>
      <c r="AC82" s="100"/>
      <c r="AD82" s="100"/>
      <c r="AE82" s="100"/>
      <c r="AF82" s="95"/>
      <c r="AG82" s="123"/>
      <c r="AH82" s="100"/>
      <c r="AI82" s="100"/>
      <c r="AJ82" s="100"/>
      <c r="AK82" s="95"/>
    </row>
    <row r="83" spans="1:37" s="333" customFormat="1" ht="12.75" customHeight="1">
      <c r="A83" s="329"/>
      <c r="B83" s="330"/>
      <c r="C83" s="331"/>
      <c r="D83" s="331"/>
      <c r="E83" s="331"/>
      <c r="F83" s="331"/>
      <c r="G83" s="332"/>
      <c r="H83" s="331"/>
      <c r="I83" s="331"/>
      <c r="J83" s="331"/>
      <c r="K83" s="331"/>
      <c r="L83" s="332"/>
      <c r="M83" s="331"/>
      <c r="N83" s="331"/>
      <c r="O83" s="331"/>
      <c r="P83" s="331"/>
      <c r="Q83" s="332"/>
      <c r="R83" s="331"/>
      <c r="S83" s="331"/>
      <c r="T83" s="331"/>
      <c r="U83" s="331"/>
      <c r="V83" s="332"/>
      <c r="W83" s="331"/>
      <c r="X83" s="331"/>
      <c r="Y83" s="331"/>
      <c r="Z83" s="331"/>
      <c r="AA83" s="332"/>
      <c r="AB83" s="331"/>
      <c r="AC83" s="331"/>
      <c r="AD83" s="331"/>
      <c r="AE83" s="331"/>
      <c r="AF83" s="332"/>
      <c r="AG83" s="331"/>
      <c r="AH83" s="331"/>
      <c r="AI83" s="331"/>
      <c r="AJ83" s="331"/>
      <c r="AK83" s="332"/>
    </row>
    <row r="84" spans="1:37" s="335" customFormat="1" ht="12.75" customHeight="1">
      <c r="A84" s="334"/>
      <c r="C84" s="336"/>
      <c r="D84" s="336"/>
      <c r="E84" s="336"/>
      <c r="F84" s="336"/>
      <c r="G84" s="337"/>
      <c r="H84" s="336"/>
      <c r="I84" s="336"/>
      <c r="J84" s="336"/>
      <c r="K84" s="336"/>
      <c r="L84" s="337"/>
      <c r="M84" s="336"/>
      <c r="N84" s="336"/>
      <c r="O84" s="336"/>
      <c r="P84" s="336"/>
      <c r="Q84" s="337"/>
      <c r="R84" s="336"/>
      <c r="S84" s="336"/>
      <c r="T84" s="336"/>
      <c r="U84" s="336"/>
      <c r="V84" s="337"/>
      <c r="W84" s="336"/>
      <c r="X84" s="336"/>
      <c r="Y84" s="336"/>
      <c r="Z84" s="336"/>
      <c r="AA84" s="337"/>
      <c r="AB84" s="336"/>
      <c r="AC84" s="336"/>
      <c r="AD84" s="336"/>
      <c r="AE84" s="336"/>
      <c r="AF84" s="337"/>
      <c r="AG84" s="336"/>
      <c r="AH84" s="336"/>
      <c r="AI84" s="336"/>
      <c r="AJ84" s="336"/>
      <c r="AK84" s="337"/>
    </row>
    <row r="85" spans="1:37" ht="12.75" customHeight="1">
      <c r="C85" s="338"/>
      <c r="D85" s="339"/>
      <c r="E85" s="339"/>
      <c r="F85" s="339"/>
      <c r="G85" s="95"/>
      <c r="H85" s="338"/>
      <c r="I85" s="339"/>
      <c r="J85" s="339"/>
      <c r="K85" s="339"/>
      <c r="L85" s="95"/>
      <c r="M85" s="338"/>
      <c r="N85" s="339"/>
      <c r="O85" s="339"/>
      <c r="P85" s="339"/>
      <c r="Q85" s="95"/>
      <c r="R85" s="338"/>
      <c r="S85" s="339"/>
      <c r="T85" s="339"/>
      <c r="U85" s="339"/>
      <c r="V85" s="95"/>
      <c r="W85" s="338"/>
      <c r="X85" s="339"/>
      <c r="Y85" s="339"/>
      <c r="Z85" s="339"/>
      <c r="AA85" s="95"/>
      <c r="AB85" s="338"/>
      <c r="AC85" s="339"/>
      <c r="AD85" s="339"/>
      <c r="AE85" s="339"/>
      <c r="AF85" s="95"/>
      <c r="AG85" s="338"/>
      <c r="AH85" s="339"/>
      <c r="AI85" s="339"/>
      <c r="AJ85" s="339"/>
      <c r="AK85" s="95"/>
    </row>
    <row r="86" spans="1:37" s="333" customFormat="1" ht="12.75" customHeight="1">
      <c r="A86" s="329"/>
      <c r="B86" s="330"/>
      <c r="C86" s="340"/>
      <c r="D86" s="340"/>
      <c r="E86" s="340"/>
      <c r="F86" s="340"/>
      <c r="H86" s="340"/>
      <c r="I86" s="340"/>
      <c r="J86" s="340"/>
      <c r="K86" s="340"/>
      <c r="M86" s="340"/>
      <c r="N86" s="340"/>
      <c r="O86" s="340"/>
      <c r="P86" s="340"/>
      <c r="R86" s="340"/>
      <c r="S86" s="340"/>
      <c r="T86" s="340"/>
      <c r="U86" s="340"/>
      <c r="W86" s="340"/>
      <c r="X86" s="340"/>
      <c r="Y86" s="340"/>
      <c r="Z86" s="340"/>
      <c r="AB86" s="340"/>
      <c r="AC86" s="340"/>
      <c r="AD86" s="340"/>
      <c r="AE86" s="340"/>
      <c r="AG86" s="340"/>
      <c r="AH86" s="340"/>
      <c r="AI86" s="340"/>
      <c r="AJ86" s="340"/>
    </row>
    <row r="87" spans="1:37" s="322" customFormat="1" ht="12.75" customHeight="1">
      <c r="A87" s="341"/>
      <c r="B87" s="342"/>
      <c r="C87" s="100"/>
      <c r="D87" s="100"/>
      <c r="E87" s="100"/>
      <c r="F87" s="100"/>
      <c r="G87" s="343"/>
      <c r="H87" s="100"/>
      <c r="I87" s="100"/>
      <c r="J87" s="100"/>
      <c r="K87" s="100"/>
      <c r="L87" s="343"/>
      <c r="M87" s="100"/>
      <c r="N87" s="100"/>
      <c r="O87" s="100"/>
      <c r="P87" s="100"/>
      <c r="Q87" s="343"/>
      <c r="R87" s="100"/>
      <c r="S87" s="100"/>
      <c r="T87" s="100"/>
      <c r="U87" s="100"/>
      <c r="V87" s="343"/>
      <c r="W87" s="100"/>
      <c r="X87" s="100"/>
      <c r="Y87" s="100"/>
      <c r="Z87" s="100"/>
      <c r="AA87" s="343"/>
      <c r="AB87" s="100"/>
      <c r="AC87" s="100"/>
      <c r="AD87" s="100"/>
      <c r="AE87" s="100"/>
      <c r="AF87" s="343"/>
      <c r="AG87" s="100"/>
      <c r="AH87" s="100"/>
      <c r="AI87" s="100"/>
      <c r="AJ87" s="100"/>
      <c r="AK87" s="343"/>
    </row>
    <row r="88" spans="1:37" ht="12.75" customHeight="1">
      <c r="C88" s="226"/>
      <c r="G88" s="95"/>
      <c r="H88" s="226"/>
      <c r="L88" s="95"/>
      <c r="M88" s="226"/>
      <c r="Q88" s="95"/>
      <c r="R88" s="226"/>
      <c r="V88" s="95"/>
      <c r="W88" s="226"/>
      <c r="AA88" s="95"/>
      <c r="AB88" s="226"/>
      <c r="AF88" s="95"/>
      <c r="AG88" s="226"/>
      <c r="AK88" s="95"/>
    </row>
    <row r="89" spans="1:37" s="345" customFormat="1" ht="12.75" customHeight="1">
      <c r="A89" s="344"/>
      <c r="B89" s="281"/>
      <c r="C89" s="225"/>
      <c r="D89" s="225"/>
      <c r="E89" s="225"/>
      <c r="F89" s="225"/>
      <c r="G89" s="326"/>
      <c r="H89" s="225"/>
      <c r="I89" s="225"/>
      <c r="J89" s="225"/>
      <c r="K89" s="225"/>
      <c r="L89" s="326"/>
      <c r="M89" s="225"/>
      <c r="N89" s="225"/>
      <c r="O89" s="225"/>
      <c r="P89" s="225"/>
      <c r="Q89" s="326"/>
      <c r="R89" s="225"/>
      <c r="S89" s="225"/>
      <c r="T89" s="225"/>
      <c r="U89" s="225"/>
      <c r="V89" s="326"/>
      <c r="W89" s="225"/>
      <c r="X89" s="225"/>
      <c r="Y89" s="225"/>
      <c r="Z89" s="225"/>
      <c r="AA89" s="326"/>
      <c r="AB89" s="225"/>
      <c r="AC89" s="225"/>
      <c r="AD89" s="225"/>
      <c r="AE89" s="225"/>
      <c r="AF89" s="326"/>
      <c r="AG89" s="225"/>
      <c r="AH89" s="225"/>
      <c r="AI89" s="225"/>
      <c r="AJ89" s="225"/>
      <c r="AK89" s="326"/>
    </row>
    <row r="90" spans="1:37" s="131" customFormat="1" ht="12.75" customHeight="1">
      <c r="A90" s="130"/>
      <c r="B90" s="324"/>
      <c r="C90" s="127"/>
      <c r="D90" s="100"/>
      <c r="E90" s="100"/>
      <c r="F90" s="100"/>
      <c r="G90" s="328"/>
      <c r="H90" s="127"/>
      <c r="I90" s="100"/>
      <c r="J90" s="100"/>
      <c r="K90" s="100"/>
      <c r="L90" s="328"/>
      <c r="M90" s="127"/>
      <c r="N90" s="100"/>
      <c r="O90" s="100"/>
      <c r="P90" s="100"/>
      <c r="Q90" s="328"/>
      <c r="R90" s="127"/>
      <c r="S90" s="100"/>
      <c r="T90" s="100"/>
      <c r="U90" s="100"/>
      <c r="V90" s="328"/>
      <c r="W90" s="127"/>
      <c r="X90" s="100"/>
      <c r="Y90" s="100"/>
      <c r="Z90" s="100"/>
      <c r="AA90" s="328"/>
      <c r="AB90" s="127"/>
      <c r="AC90" s="100"/>
      <c r="AD90" s="100"/>
      <c r="AE90" s="100"/>
      <c r="AF90" s="328"/>
      <c r="AG90" s="127"/>
      <c r="AH90" s="100"/>
      <c r="AI90" s="100"/>
      <c r="AJ90" s="100"/>
      <c r="AK90" s="328"/>
    </row>
    <row r="91" spans="1:37" ht="12.75" customHeight="1">
      <c r="B91" s="324"/>
      <c r="C91" s="338"/>
      <c r="D91" s="339"/>
      <c r="E91" s="339"/>
      <c r="F91" s="339"/>
      <c r="G91" s="95"/>
      <c r="H91" s="338"/>
      <c r="I91" s="339"/>
      <c r="J91" s="339"/>
      <c r="K91" s="339"/>
      <c r="L91" s="95"/>
      <c r="M91" s="338"/>
      <c r="N91" s="339"/>
      <c r="O91" s="339"/>
      <c r="P91" s="339"/>
      <c r="Q91" s="95"/>
      <c r="R91" s="338"/>
      <c r="S91" s="339"/>
      <c r="T91" s="339"/>
      <c r="U91" s="339"/>
      <c r="V91" s="95"/>
      <c r="W91" s="338"/>
      <c r="X91" s="339"/>
      <c r="Y91" s="339"/>
      <c r="Z91" s="339"/>
      <c r="AA91" s="95"/>
      <c r="AB91" s="338"/>
      <c r="AC91" s="339"/>
      <c r="AD91" s="339"/>
      <c r="AE91" s="339"/>
      <c r="AF91" s="95"/>
      <c r="AG91" s="338"/>
      <c r="AH91" s="339"/>
      <c r="AI91" s="339"/>
      <c r="AJ91" s="339"/>
      <c r="AK91" s="95"/>
    </row>
    <row r="92" spans="1:37" s="346" customFormat="1" ht="12.75" customHeight="1">
      <c r="A92" s="62"/>
      <c r="C92" s="347"/>
      <c r="D92" s="348"/>
      <c r="E92" s="348"/>
      <c r="F92" s="348"/>
      <c r="G92" s="349"/>
      <c r="H92" s="347"/>
      <c r="I92" s="348"/>
      <c r="J92" s="348"/>
      <c r="K92" s="348"/>
      <c r="L92" s="349"/>
      <c r="M92" s="347"/>
      <c r="N92" s="348"/>
      <c r="O92" s="348"/>
      <c r="P92" s="348"/>
      <c r="Q92" s="349"/>
      <c r="R92" s="347"/>
      <c r="S92" s="348"/>
      <c r="T92" s="348"/>
      <c r="U92" s="348"/>
      <c r="V92" s="349"/>
      <c r="W92" s="347"/>
      <c r="X92" s="348"/>
      <c r="Y92" s="348"/>
      <c r="Z92" s="348"/>
      <c r="AA92" s="349"/>
      <c r="AB92" s="347"/>
      <c r="AC92" s="348"/>
      <c r="AD92" s="348"/>
      <c r="AE92" s="348"/>
      <c r="AF92" s="349"/>
      <c r="AG92" s="347"/>
      <c r="AH92" s="348"/>
      <c r="AI92" s="348"/>
      <c r="AJ92" s="348"/>
      <c r="AK92" s="349"/>
    </row>
    <row r="93" spans="1:37" s="346" customFormat="1" ht="12.75" customHeight="1">
      <c r="A93" s="62"/>
      <c r="C93" s="350"/>
      <c r="D93" s="264"/>
      <c r="E93" s="264"/>
      <c r="F93" s="264"/>
      <c r="G93" s="349"/>
      <c r="H93" s="350"/>
      <c r="I93" s="264"/>
      <c r="J93" s="264"/>
      <c r="K93" s="264"/>
      <c r="L93" s="349"/>
      <c r="M93" s="350"/>
      <c r="N93" s="264"/>
      <c r="O93" s="264"/>
      <c r="P93" s="264"/>
      <c r="Q93" s="349"/>
      <c r="R93" s="350"/>
      <c r="S93" s="264"/>
      <c r="T93" s="264"/>
      <c r="U93" s="264"/>
      <c r="V93" s="349"/>
      <c r="W93" s="350"/>
      <c r="X93" s="264"/>
      <c r="Y93" s="264"/>
      <c r="Z93" s="264"/>
      <c r="AA93" s="349"/>
      <c r="AB93" s="350"/>
      <c r="AC93" s="264"/>
      <c r="AD93" s="264"/>
      <c r="AE93" s="264"/>
      <c r="AF93" s="349"/>
      <c r="AG93" s="350"/>
      <c r="AH93" s="264"/>
      <c r="AI93" s="264"/>
      <c r="AJ93" s="264"/>
      <c r="AK93" s="349"/>
    </row>
    <row r="94" spans="1:37" ht="12.75" customHeight="1">
      <c r="C94" s="123"/>
      <c r="D94" s="100"/>
      <c r="E94" s="100"/>
      <c r="F94" s="100"/>
      <c r="G94" s="95"/>
      <c r="H94" s="123"/>
      <c r="I94" s="100"/>
      <c r="J94" s="100"/>
      <c r="K94" s="100"/>
      <c r="L94" s="95"/>
      <c r="M94" s="123"/>
      <c r="N94" s="100"/>
      <c r="O94" s="100"/>
      <c r="P94" s="100"/>
      <c r="Q94" s="95"/>
      <c r="R94" s="123"/>
      <c r="S94" s="100"/>
      <c r="T94" s="100"/>
      <c r="U94" s="100"/>
      <c r="V94" s="95"/>
      <c r="W94" s="123"/>
      <c r="X94" s="100"/>
      <c r="Y94" s="100"/>
      <c r="Z94" s="100"/>
      <c r="AA94" s="95"/>
      <c r="AB94" s="123"/>
      <c r="AC94" s="100"/>
      <c r="AD94" s="100"/>
      <c r="AE94" s="100"/>
      <c r="AF94" s="95"/>
      <c r="AG94" s="123"/>
      <c r="AH94" s="100"/>
      <c r="AI94" s="100"/>
      <c r="AJ94" s="100"/>
      <c r="AK94" s="95"/>
    </row>
    <row r="95" spans="1:37" ht="12.75" customHeight="1">
      <c r="C95" s="226"/>
      <c r="G95" s="95"/>
      <c r="H95" s="226"/>
      <c r="L95" s="95"/>
      <c r="M95" s="226"/>
      <c r="Q95" s="95"/>
      <c r="R95" s="226"/>
      <c r="V95" s="95"/>
      <c r="W95" s="226"/>
      <c r="AA95" s="95"/>
      <c r="AB95" s="226"/>
      <c r="AF95" s="95"/>
      <c r="AG95" s="226"/>
      <c r="AK95" s="95"/>
    </row>
    <row r="96" spans="1:37" ht="12.75" customHeight="1">
      <c r="C96" s="338"/>
      <c r="D96" s="339"/>
      <c r="E96" s="339"/>
      <c r="F96" s="339"/>
      <c r="G96" s="95"/>
      <c r="H96" s="338"/>
      <c r="I96" s="339"/>
      <c r="J96" s="339"/>
      <c r="K96" s="339"/>
      <c r="L96" s="95"/>
      <c r="M96" s="338"/>
      <c r="N96" s="339"/>
      <c r="O96" s="339"/>
      <c r="P96" s="339"/>
      <c r="Q96" s="95"/>
      <c r="R96" s="338"/>
      <c r="S96" s="339"/>
      <c r="T96" s="339"/>
      <c r="U96" s="339"/>
      <c r="V96" s="95"/>
      <c r="W96" s="338"/>
      <c r="X96" s="339"/>
      <c r="Y96" s="339"/>
      <c r="Z96" s="339"/>
      <c r="AA96" s="95"/>
      <c r="AB96" s="338"/>
      <c r="AC96" s="339"/>
      <c r="AD96" s="339"/>
      <c r="AE96" s="339"/>
      <c r="AF96" s="95"/>
      <c r="AG96" s="338"/>
      <c r="AH96" s="339"/>
      <c r="AI96" s="339"/>
      <c r="AJ96" s="339"/>
      <c r="AK96" s="95"/>
    </row>
    <row r="97" spans="1:37" ht="12.75" customHeight="1">
      <c r="C97" s="123"/>
      <c r="D97" s="100"/>
      <c r="E97" s="100"/>
      <c r="F97" s="100"/>
      <c r="G97" s="95"/>
      <c r="H97" s="123"/>
      <c r="I97" s="100"/>
      <c r="J97" s="100"/>
      <c r="K97" s="100"/>
      <c r="L97" s="95"/>
      <c r="M97" s="123"/>
      <c r="N97" s="100"/>
      <c r="O97" s="100"/>
      <c r="P97" s="100"/>
      <c r="Q97" s="95"/>
      <c r="R97" s="123"/>
      <c r="S97" s="100"/>
      <c r="T97" s="100"/>
      <c r="U97" s="100"/>
      <c r="V97" s="95"/>
      <c r="W97" s="123"/>
      <c r="X97" s="100"/>
      <c r="Y97" s="100"/>
      <c r="Z97" s="100"/>
      <c r="AA97" s="95"/>
      <c r="AB97" s="123"/>
      <c r="AC97" s="100"/>
      <c r="AD97" s="100"/>
      <c r="AE97" s="100"/>
      <c r="AF97" s="95"/>
      <c r="AG97" s="123"/>
      <c r="AH97" s="100"/>
      <c r="AI97" s="100"/>
      <c r="AJ97" s="100"/>
      <c r="AK97" s="95"/>
    </row>
    <row r="98" spans="1:37" ht="12.75" customHeight="1">
      <c r="C98" s="226"/>
      <c r="G98" s="95"/>
      <c r="H98" s="226"/>
      <c r="L98" s="95"/>
      <c r="M98" s="226"/>
      <c r="Q98" s="95"/>
      <c r="R98" s="226"/>
      <c r="V98" s="95"/>
      <c r="W98" s="226"/>
      <c r="AA98" s="95"/>
      <c r="AB98" s="226"/>
      <c r="AF98" s="95"/>
      <c r="AG98" s="226"/>
      <c r="AK98" s="95"/>
    </row>
    <row r="99" spans="1:37" ht="12.75" customHeight="1">
      <c r="B99" s="351"/>
      <c r="C99" s="226"/>
      <c r="G99" s="95"/>
      <c r="H99" s="226"/>
      <c r="L99" s="95"/>
      <c r="M99" s="226"/>
      <c r="Q99" s="95"/>
      <c r="R99" s="226"/>
      <c r="V99" s="95"/>
      <c r="W99" s="226"/>
      <c r="AA99" s="95"/>
      <c r="AB99" s="226"/>
      <c r="AF99" s="95"/>
      <c r="AG99" s="226"/>
      <c r="AK99" s="95"/>
    </row>
    <row r="100" spans="1:37" s="353" customFormat="1" ht="12.75" customHeight="1" outlineLevel="1">
      <c r="A100" s="352"/>
      <c r="C100" s="354"/>
      <c r="D100" s="355"/>
      <c r="E100" s="355"/>
      <c r="F100" s="355"/>
      <c r="G100" s="356"/>
      <c r="H100" s="354"/>
      <c r="I100" s="355"/>
      <c r="J100" s="355"/>
      <c r="K100" s="355"/>
      <c r="L100" s="356"/>
      <c r="M100" s="354"/>
      <c r="N100" s="355"/>
      <c r="O100" s="355"/>
      <c r="P100" s="355"/>
      <c r="Q100" s="356"/>
      <c r="R100" s="354"/>
      <c r="S100" s="355"/>
      <c r="T100" s="355"/>
      <c r="U100" s="355"/>
      <c r="V100" s="356"/>
      <c r="W100" s="354"/>
      <c r="X100" s="355"/>
      <c r="Y100" s="355"/>
      <c r="Z100" s="355"/>
      <c r="AA100" s="356"/>
      <c r="AB100" s="354"/>
      <c r="AC100" s="355"/>
      <c r="AD100" s="355"/>
      <c r="AE100" s="355"/>
      <c r="AF100" s="356"/>
      <c r="AG100" s="354"/>
      <c r="AH100" s="355"/>
      <c r="AI100" s="355"/>
      <c r="AJ100" s="355"/>
      <c r="AK100" s="356"/>
    </row>
    <row r="101" spans="1:37" s="353" customFormat="1" ht="12.75" customHeight="1" outlineLevel="1">
      <c r="A101" s="352"/>
      <c r="C101" s="357"/>
      <c r="D101" s="357"/>
      <c r="E101" s="357"/>
      <c r="F101" s="357"/>
      <c r="G101" s="356"/>
      <c r="H101" s="357"/>
      <c r="I101" s="357"/>
      <c r="J101" s="357"/>
      <c r="K101" s="357"/>
      <c r="L101" s="356"/>
      <c r="M101" s="357"/>
      <c r="N101" s="357"/>
      <c r="O101" s="357"/>
      <c r="P101" s="357"/>
      <c r="Q101" s="356"/>
      <c r="R101" s="357"/>
      <c r="S101" s="357"/>
      <c r="T101" s="357"/>
      <c r="U101" s="357"/>
      <c r="V101" s="356"/>
      <c r="W101" s="357"/>
      <c r="X101" s="357"/>
      <c r="Y101" s="357"/>
      <c r="Z101" s="357"/>
      <c r="AA101" s="356"/>
      <c r="AB101" s="357"/>
      <c r="AC101" s="357"/>
      <c r="AD101" s="357"/>
      <c r="AE101" s="357"/>
      <c r="AF101" s="356"/>
      <c r="AG101" s="357"/>
      <c r="AH101" s="357"/>
      <c r="AI101" s="357"/>
      <c r="AJ101" s="357"/>
      <c r="AK101" s="356"/>
    </row>
    <row r="102" spans="1:37" s="353" customFormat="1" ht="12.75" customHeight="1" outlineLevel="1">
      <c r="A102" s="352"/>
      <c r="C102" s="358"/>
      <c r="D102" s="359"/>
      <c r="E102" s="359"/>
      <c r="F102" s="359"/>
      <c r="G102" s="356"/>
      <c r="H102" s="358"/>
      <c r="I102" s="359"/>
      <c r="J102" s="359"/>
      <c r="K102" s="359"/>
      <c r="L102" s="356"/>
      <c r="M102" s="358"/>
      <c r="N102" s="359"/>
      <c r="O102" s="359"/>
      <c r="P102" s="359"/>
      <c r="Q102" s="356"/>
      <c r="R102" s="358"/>
      <c r="S102" s="359"/>
      <c r="T102" s="359"/>
      <c r="U102" s="359"/>
      <c r="V102" s="356"/>
      <c r="W102" s="358"/>
      <c r="X102" s="359"/>
      <c r="Y102" s="359"/>
      <c r="Z102" s="359"/>
      <c r="AA102" s="356"/>
      <c r="AB102" s="358"/>
      <c r="AC102" s="359"/>
      <c r="AD102" s="359"/>
      <c r="AE102" s="359"/>
      <c r="AF102" s="356"/>
      <c r="AG102" s="358"/>
      <c r="AH102" s="359"/>
      <c r="AI102" s="359"/>
      <c r="AJ102" s="359"/>
      <c r="AK102" s="356"/>
    </row>
    <row r="103" spans="1:37" s="353" customFormat="1" ht="12.75" customHeight="1" outlineLevel="1">
      <c r="A103" s="352"/>
      <c r="C103" s="358"/>
      <c r="D103" s="359"/>
      <c r="E103" s="359"/>
      <c r="F103" s="359"/>
      <c r="G103" s="356"/>
      <c r="H103" s="358"/>
      <c r="I103" s="359"/>
      <c r="J103" s="359"/>
      <c r="K103" s="359"/>
      <c r="L103" s="356"/>
      <c r="M103" s="358"/>
      <c r="N103" s="359"/>
      <c r="O103" s="359"/>
      <c r="P103" s="359"/>
      <c r="Q103" s="356"/>
      <c r="R103" s="358"/>
      <c r="S103" s="359"/>
      <c r="T103" s="359"/>
      <c r="U103" s="359"/>
      <c r="V103" s="356"/>
      <c r="W103" s="358"/>
      <c r="X103" s="359"/>
      <c r="Y103" s="359"/>
      <c r="Z103" s="359"/>
      <c r="AA103" s="356"/>
      <c r="AB103" s="358"/>
      <c r="AC103" s="359"/>
      <c r="AD103" s="359"/>
      <c r="AE103" s="359"/>
      <c r="AF103" s="356"/>
      <c r="AG103" s="358"/>
      <c r="AH103" s="359"/>
      <c r="AI103" s="359"/>
      <c r="AJ103" s="359"/>
      <c r="AK103" s="356"/>
    </row>
    <row r="104" spans="1:37" s="353" customFormat="1" ht="12.75" customHeight="1" outlineLevel="1">
      <c r="A104" s="352"/>
      <c r="C104" s="358"/>
      <c r="D104" s="359"/>
      <c r="E104" s="359"/>
      <c r="F104" s="359"/>
      <c r="G104" s="356"/>
      <c r="H104" s="358"/>
      <c r="I104" s="359"/>
      <c r="J104" s="359"/>
      <c r="K104" s="359"/>
      <c r="L104" s="356"/>
      <c r="M104" s="358"/>
      <c r="N104" s="359"/>
      <c r="O104" s="359"/>
      <c r="P104" s="359"/>
      <c r="Q104" s="356"/>
      <c r="R104" s="358"/>
      <c r="S104" s="359"/>
      <c r="T104" s="359"/>
      <c r="U104" s="359"/>
      <c r="V104" s="356"/>
      <c r="W104" s="358"/>
      <c r="X104" s="359"/>
      <c r="Y104" s="359"/>
      <c r="Z104" s="359"/>
      <c r="AA104" s="356"/>
      <c r="AB104" s="358"/>
      <c r="AC104" s="359"/>
      <c r="AD104" s="359"/>
      <c r="AE104" s="359"/>
      <c r="AF104" s="356"/>
      <c r="AG104" s="358"/>
      <c r="AH104" s="359"/>
      <c r="AI104" s="359"/>
      <c r="AJ104" s="359"/>
      <c r="AK104" s="356"/>
    </row>
    <row r="105" spans="1:37" s="353" customFormat="1" ht="12.75" customHeight="1" outlineLevel="1">
      <c r="A105" s="352"/>
      <c r="B105" s="356"/>
      <c r="C105" s="358"/>
      <c r="D105" s="359"/>
      <c r="E105" s="359"/>
      <c r="F105" s="359"/>
      <c r="G105" s="356"/>
      <c r="H105" s="358"/>
      <c r="I105" s="359"/>
      <c r="J105" s="359"/>
      <c r="K105" s="359"/>
      <c r="L105" s="356"/>
      <c r="M105" s="358"/>
      <c r="N105" s="359"/>
      <c r="O105" s="359"/>
      <c r="P105" s="359"/>
      <c r="Q105" s="356"/>
      <c r="R105" s="358"/>
      <c r="S105" s="359"/>
      <c r="T105" s="359"/>
      <c r="U105" s="359"/>
      <c r="V105" s="356"/>
      <c r="W105" s="358"/>
      <c r="X105" s="359"/>
      <c r="Y105" s="359"/>
      <c r="Z105" s="359"/>
      <c r="AA105" s="356"/>
      <c r="AB105" s="358"/>
      <c r="AC105" s="359"/>
      <c r="AD105" s="359"/>
      <c r="AE105" s="359"/>
      <c r="AF105" s="356"/>
      <c r="AG105" s="358"/>
      <c r="AH105" s="359"/>
      <c r="AI105" s="359"/>
      <c r="AJ105" s="359"/>
      <c r="AK105" s="356"/>
    </row>
    <row r="106" spans="1:37" s="335" customFormat="1" ht="12.75" customHeight="1" outlineLevel="1">
      <c r="A106" s="334"/>
      <c r="C106" s="360"/>
      <c r="D106" s="340"/>
      <c r="E106" s="340"/>
      <c r="F106" s="340"/>
      <c r="G106" s="337"/>
      <c r="H106" s="360"/>
      <c r="I106" s="340"/>
      <c r="J106" s="340"/>
      <c r="K106" s="340"/>
      <c r="L106" s="337"/>
      <c r="M106" s="360"/>
      <c r="N106" s="340"/>
      <c r="O106" s="340"/>
      <c r="P106" s="340"/>
      <c r="Q106" s="337"/>
      <c r="R106" s="360"/>
      <c r="S106" s="340"/>
      <c r="T106" s="340"/>
      <c r="U106" s="340"/>
      <c r="V106" s="337"/>
      <c r="W106" s="360"/>
      <c r="X106" s="340"/>
      <c r="Y106" s="340"/>
      <c r="Z106" s="340"/>
      <c r="AA106" s="337"/>
      <c r="AB106" s="360"/>
      <c r="AC106" s="340"/>
      <c r="AD106" s="340"/>
      <c r="AE106" s="340"/>
      <c r="AF106" s="337"/>
      <c r="AG106" s="360"/>
      <c r="AH106" s="340"/>
      <c r="AI106" s="340"/>
      <c r="AJ106" s="340"/>
      <c r="AK106" s="337"/>
    </row>
    <row r="107" spans="1:37" ht="12.75" customHeight="1">
      <c r="C107" s="127"/>
      <c r="D107" s="100"/>
      <c r="E107" s="100"/>
      <c r="F107" s="100"/>
      <c r="G107" s="95"/>
      <c r="H107" s="127"/>
      <c r="I107" s="100"/>
      <c r="J107" s="100"/>
      <c r="K107" s="100"/>
      <c r="L107" s="95"/>
      <c r="M107" s="127"/>
      <c r="N107" s="100"/>
      <c r="O107" s="100"/>
      <c r="P107" s="100"/>
      <c r="Q107" s="95"/>
      <c r="R107" s="127"/>
      <c r="S107" s="100"/>
      <c r="T107" s="100"/>
      <c r="U107" s="100"/>
      <c r="V107" s="95"/>
      <c r="W107" s="127"/>
      <c r="X107" s="100"/>
      <c r="Y107" s="100"/>
      <c r="Z107" s="100"/>
      <c r="AA107" s="95"/>
      <c r="AB107" s="127"/>
      <c r="AC107" s="100"/>
      <c r="AD107" s="100"/>
      <c r="AE107" s="100"/>
      <c r="AF107" s="95"/>
      <c r="AG107" s="127"/>
      <c r="AH107" s="100"/>
      <c r="AI107" s="100"/>
      <c r="AJ107" s="100"/>
      <c r="AK107" s="95"/>
    </row>
    <row r="108" spans="1:37" ht="12.75" customHeight="1">
      <c r="B108" s="351"/>
      <c r="G108" s="95"/>
      <c r="L108" s="95"/>
      <c r="Q108" s="95"/>
      <c r="V108" s="95"/>
      <c r="AA108" s="95"/>
      <c r="AF108" s="95"/>
      <c r="AK108" s="95"/>
    </row>
    <row r="109" spans="1:37" ht="12.75" customHeight="1" outlineLevel="1">
      <c r="B109" s="353"/>
      <c r="G109" s="95"/>
      <c r="L109" s="95"/>
      <c r="Q109" s="95"/>
      <c r="V109" s="95"/>
      <c r="AA109" s="95"/>
      <c r="AF109" s="95"/>
      <c r="AK109" s="95"/>
    </row>
    <row r="110" spans="1:37" ht="12.75" customHeight="1" outlineLevel="1">
      <c r="B110" s="353"/>
      <c r="C110" s="338"/>
      <c r="D110" s="339"/>
      <c r="E110" s="339"/>
      <c r="F110" s="339"/>
      <c r="G110" s="95"/>
      <c r="H110" s="338"/>
      <c r="I110" s="339"/>
      <c r="J110" s="339"/>
      <c r="K110" s="339"/>
      <c r="L110" s="95"/>
      <c r="M110" s="338"/>
      <c r="N110" s="339"/>
      <c r="O110" s="339"/>
      <c r="P110" s="339"/>
      <c r="Q110" s="95"/>
      <c r="R110" s="338"/>
      <c r="S110" s="339"/>
      <c r="T110" s="339"/>
      <c r="U110" s="339"/>
      <c r="V110" s="95"/>
      <c r="W110" s="338"/>
      <c r="X110" s="339"/>
      <c r="Y110" s="339"/>
      <c r="Z110" s="339"/>
      <c r="AA110" s="95"/>
      <c r="AB110" s="338"/>
      <c r="AC110" s="339"/>
      <c r="AD110" s="339"/>
      <c r="AE110" s="339"/>
      <c r="AF110" s="95"/>
      <c r="AG110" s="338"/>
      <c r="AH110" s="339"/>
      <c r="AI110" s="339"/>
      <c r="AJ110" s="339"/>
      <c r="AK110" s="95"/>
    </row>
    <row r="111" spans="1:37" ht="12.75" customHeight="1" outlineLevel="1">
      <c r="B111" s="353"/>
      <c r="C111" s="338"/>
      <c r="D111" s="339"/>
      <c r="E111" s="339"/>
      <c r="F111" s="339"/>
      <c r="G111" s="95"/>
      <c r="H111" s="338"/>
      <c r="I111" s="339"/>
      <c r="J111" s="339"/>
      <c r="K111" s="339"/>
      <c r="L111" s="95"/>
      <c r="M111" s="338"/>
      <c r="N111" s="339"/>
      <c r="O111" s="339"/>
      <c r="P111" s="339"/>
      <c r="Q111" s="95"/>
      <c r="R111" s="338"/>
      <c r="S111" s="339"/>
      <c r="T111" s="339"/>
      <c r="U111" s="339"/>
      <c r="V111" s="95"/>
      <c r="W111" s="338"/>
      <c r="X111" s="339"/>
      <c r="Y111" s="339"/>
      <c r="Z111" s="339"/>
      <c r="AA111" s="95"/>
      <c r="AB111" s="338"/>
      <c r="AC111" s="339"/>
      <c r="AD111" s="339"/>
      <c r="AE111" s="339"/>
      <c r="AF111" s="95"/>
      <c r="AG111" s="338"/>
      <c r="AH111" s="339"/>
      <c r="AI111" s="339"/>
      <c r="AJ111" s="339"/>
      <c r="AK111" s="95"/>
    </row>
    <row r="112" spans="1:37" ht="12.75" customHeight="1" outlineLevel="1">
      <c r="B112" s="353"/>
      <c r="C112" s="338"/>
      <c r="D112" s="339"/>
      <c r="E112" s="339"/>
      <c r="F112" s="339"/>
      <c r="G112" s="95"/>
      <c r="H112" s="338"/>
      <c r="I112" s="339"/>
      <c r="J112" s="339"/>
      <c r="K112" s="339"/>
      <c r="L112" s="95"/>
      <c r="M112" s="338"/>
      <c r="N112" s="339"/>
      <c r="O112" s="339"/>
      <c r="P112" s="339"/>
      <c r="Q112" s="95"/>
      <c r="R112" s="338"/>
      <c r="S112" s="339"/>
      <c r="T112" s="339"/>
      <c r="U112" s="339"/>
      <c r="V112" s="95"/>
      <c r="W112" s="338"/>
      <c r="X112" s="339"/>
      <c r="Y112" s="339"/>
      <c r="Z112" s="339"/>
      <c r="AA112" s="95"/>
      <c r="AB112" s="338"/>
      <c r="AC112" s="339"/>
      <c r="AD112" s="339"/>
      <c r="AE112" s="339"/>
      <c r="AF112" s="95"/>
      <c r="AG112" s="338"/>
      <c r="AH112" s="339"/>
      <c r="AI112" s="339"/>
      <c r="AJ112" s="339"/>
      <c r="AK112" s="95"/>
    </row>
    <row r="113" spans="1:37" ht="12.75" customHeight="1" outlineLevel="1">
      <c r="B113" s="353"/>
      <c r="C113" s="338"/>
      <c r="D113" s="339"/>
      <c r="E113" s="339"/>
      <c r="F113" s="339"/>
      <c r="G113" s="95"/>
      <c r="H113" s="338"/>
      <c r="I113" s="339"/>
      <c r="J113" s="339"/>
      <c r="K113" s="339"/>
      <c r="L113" s="95"/>
      <c r="M113" s="338"/>
      <c r="N113" s="339"/>
      <c r="O113" s="339"/>
      <c r="P113" s="339"/>
      <c r="Q113" s="95"/>
      <c r="R113" s="338"/>
      <c r="S113" s="339"/>
      <c r="T113" s="339"/>
      <c r="U113" s="339"/>
      <c r="V113" s="95"/>
      <c r="W113" s="338"/>
      <c r="X113" s="339"/>
      <c r="Y113" s="339"/>
      <c r="Z113" s="339"/>
      <c r="AA113" s="95"/>
      <c r="AB113" s="338"/>
      <c r="AC113" s="339"/>
      <c r="AD113" s="339"/>
      <c r="AE113" s="339"/>
      <c r="AF113" s="95"/>
      <c r="AG113" s="338"/>
      <c r="AH113" s="339"/>
      <c r="AI113" s="339"/>
      <c r="AJ113" s="339"/>
      <c r="AK113" s="95"/>
    </row>
    <row r="114" spans="1:37" ht="12.75" customHeight="1" outlineLevel="1">
      <c r="B114" s="353"/>
      <c r="C114" s="338"/>
      <c r="D114" s="339"/>
      <c r="E114" s="339"/>
      <c r="F114" s="339"/>
      <c r="G114" s="95"/>
      <c r="H114" s="338"/>
      <c r="I114" s="339"/>
      <c r="J114" s="339"/>
      <c r="K114" s="339"/>
      <c r="L114" s="95"/>
      <c r="M114" s="338"/>
      <c r="N114" s="339"/>
      <c r="O114" s="339"/>
      <c r="P114" s="339"/>
      <c r="Q114" s="95"/>
      <c r="R114" s="338"/>
      <c r="S114" s="339"/>
      <c r="T114" s="339"/>
      <c r="U114" s="339"/>
      <c r="V114" s="95"/>
      <c r="W114" s="338"/>
      <c r="X114" s="339"/>
      <c r="Y114" s="339"/>
      <c r="Z114" s="339"/>
      <c r="AA114" s="95"/>
      <c r="AB114" s="338"/>
      <c r="AC114" s="339"/>
      <c r="AD114" s="339"/>
      <c r="AE114" s="339"/>
      <c r="AF114" s="95"/>
      <c r="AG114" s="338"/>
      <c r="AH114" s="339"/>
      <c r="AI114" s="339"/>
      <c r="AJ114" s="339"/>
      <c r="AK114" s="95"/>
    </row>
    <row r="115" spans="1:37" ht="12.75" customHeight="1" outlineLevel="1">
      <c r="B115" s="353"/>
      <c r="C115" s="338"/>
      <c r="D115" s="339"/>
      <c r="E115" s="339"/>
      <c r="F115" s="339"/>
      <c r="G115" s="95"/>
      <c r="H115" s="338"/>
      <c r="I115" s="339"/>
      <c r="J115" s="339"/>
      <c r="K115" s="339"/>
      <c r="L115" s="95"/>
      <c r="M115" s="338"/>
      <c r="N115" s="339"/>
      <c r="O115" s="339"/>
      <c r="P115" s="339"/>
      <c r="Q115" s="95"/>
      <c r="R115" s="338"/>
      <c r="S115" s="339"/>
      <c r="T115" s="339"/>
      <c r="U115" s="339"/>
      <c r="V115" s="95"/>
      <c r="W115" s="338"/>
      <c r="X115" s="339"/>
      <c r="Y115" s="339"/>
      <c r="Z115" s="339"/>
      <c r="AA115" s="95"/>
      <c r="AB115" s="338"/>
      <c r="AC115" s="339"/>
      <c r="AD115" s="339"/>
      <c r="AE115" s="339"/>
      <c r="AF115" s="95"/>
      <c r="AG115" s="338"/>
      <c r="AH115" s="339"/>
      <c r="AI115" s="339"/>
      <c r="AJ115" s="339"/>
      <c r="AK115" s="95"/>
    </row>
    <row r="116" spans="1:37" ht="12.75" customHeight="1" outlineLevel="1">
      <c r="B116" s="353"/>
      <c r="C116" s="338"/>
      <c r="D116" s="339"/>
      <c r="E116" s="339"/>
      <c r="F116" s="339"/>
      <c r="G116" s="95"/>
      <c r="H116" s="338"/>
      <c r="I116" s="339"/>
      <c r="J116" s="339"/>
      <c r="K116" s="339"/>
      <c r="L116" s="95"/>
      <c r="M116" s="338"/>
      <c r="N116" s="339"/>
      <c r="O116" s="339"/>
      <c r="P116" s="339"/>
      <c r="Q116" s="95"/>
      <c r="R116" s="338"/>
      <c r="S116" s="339"/>
      <c r="T116" s="339"/>
      <c r="U116" s="339"/>
      <c r="V116" s="95"/>
      <c r="W116" s="338"/>
      <c r="X116" s="339"/>
      <c r="Y116" s="339"/>
      <c r="Z116" s="339"/>
      <c r="AA116" s="95"/>
      <c r="AB116" s="338"/>
      <c r="AC116" s="339"/>
      <c r="AD116" s="339"/>
      <c r="AE116" s="339"/>
      <c r="AF116" s="95"/>
      <c r="AG116" s="338"/>
      <c r="AH116" s="339"/>
      <c r="AI116" s="339"/>
      <c r="AJ116" s="339"/>
      <c r="AK116" s="95"/>
    </row>
    <row r="117" spans="1:37" ht="12.75" customHeight="1" outlineLevel="1">
      <c r="B117" s="353"/>
      <c r="C117" s="338"/>
      <c r="D117" s="339"/>
      <c r="E117" s="339"/>
      <c r="F117" s="339"/>
      <c r="G117" s="95"/>
      <c r="H117" s="338"/>
      <c r="I117" s="339"/>
      <c r="J117" s="339"/>
      <c r="K117" s="339"/>
      <c r="L117" s="95"/>
      <c r="M117" s="338"/>
      <c r="N117" s="339"/>
      <c r="O117" s="339"/>
      <c r="P117" s="339"/>
      <c r="Q117" s="95"/>
      <c r="R117" s="338"/>
      <c r="S117" s="339"/>
      <c r="T117" s="339"/>
      <c r="U117" s="339"/>
      <c r="V117" s="95"/>
      <c r="W117" s="338"/>
      <c r="X117" s="339"/>
      <c r="Y117" s="339"/>
      <c r="Z117" s="339"/>
      <c r="AA117" s="95"/>
      <c r="AB117" s="338"/>
      <c r="AC117" s="339"/>
      <c r="AD117" s="339"/>
      <c r="AE117" s="339"/>
      <c r="AF117" s="95"/>
      <c r="AG117" s="338"/>
      <c r="AH117" s="339"/>
      <c r="AI117" s="339"/>
      <c r="AJ117" s="339"/>
      <c r="AK117" s="95"/>
    </row>
    <row r="118" spans="1:37" ht="12.75" customHeight="1" outlineLevel="1">
      <c r="B118" s="353"/>
      <c r="C118" s="338"/>
      <c r="D118" s="339"/>
      <c r="E118" s="339"/>
      <c r="F118" s="339"/>
      <c r="G118" s="95"/>
      <c r="H118" s="338"/>
      <c r="I118" s="339"/>
      <c r="J118" s="339"/>
      <c r="K118" s="339"/>
      <c r="L118" s="95"/>
      <c r="M118" s="338"/>
      <c r="N118" s="339"/>
      <c r="O118" s="339"/>
      <c r="P118" s="339"/>
      <c r="Q118" s="95"/>
      <c r="R118" s="338"/>
      <c r="S118" s="339"/>
      <c r="T118" s="339"/>
      <c r="U118" s="339"/>
      <c r="V118" s="95"/>
      <c r="W118" s="338"/>
      <c r="X118" s="339"/>
      <c r="Y118" s="339"/>
      <c r="Z118" s="339"/>
      <c r="AA118" s="95"/>
      <c r="AB118" s="338"/>
      <c r="AC118" s="339"/>
      <c r="AD118" s="339"/>
      <c r="AE118" s="339"/>
      <c r="AF118" s="95"/>
      <c r="AG118" s="338"/>
      <c r="AH118" s="339"/>
      <c r="AI118" s="339"/>
      <c r="AJ118" s="339"/>
      <c r="AK118" s="95"/>
    </row>
    <row r="119" spans="1:37" ht="12.75" customHeight="1" outlineLevel="1">
      <c r="B119" s="353"/>
      <c r="C119" s="338"/>
      <c r="D119" s="339"/>
      <c r="E119" s="339"/>
      <c r="F119" s="339"/>
      <c r="G119" s="95"/>
      <c r="H119" s="338"/>
      <c r="I119" s="339"/>
      <c r="J119" s="339"/>
      <c r="K119" s="339"/>
      <c r="L119" s="95"/>
      <c r="M119" s="338"/>
      <c r="N119" s="339"/>
      <c r="O119" s="339"/>
      <c r="P119" s="339"/>
      <c r="Q119" s="95"/>
      <c r="R119" s="338"/>
      <c r="S119" s="339"/>
      <c r="T119" s="339"/>
      <c r="U119" s="339"/>
      <c r="V119" s="95"/>
      <c r="W119" s="338"/>
      <c r="X119" s="339"/>
      <c r="Y119" s="339"/>
      <c r="Z119" s="339"/>
      <c r="AA119" s="95"/>
      <c r="AB119" s="338"/>
      <c r="AC119" s="339"/>
      <c r="AD119" s="339"/>
      <c r="AE119" s="339"/>
      <c r="AF119" s="95"/>
      <c r="AG119" s="338"/>
      <c r="AH119" s="339"/>
      <c r="AI119" s="339"/>
      <c r="AJ119" s="339"/>
      <c r="AK119" s="95"/>
    </row>
    <row r="120" spans="1:37" s="335" customFormat="1" ht="12.75" customHeight="1" outlineLevel="1">
      <c r="A120" s="334"/>
      <c r="B120" s="337"/>
      <c r="C120" s="360"/>
      <c r="D120" s="340"/>
      <c r="E120" s="340"/>
      <c r="F120" s="340"/>
      <c r="G120" s="337"/>
      <c r="H120" s="360"/>
      <c r="I120" s="340"/>
      <c r="J120" s="340"/>
      <c r="K120" s="340"/>
      <c r="L120" s="337"/>
      <c r="M120" s="360"/>
      <c r="N120" s="340"/>
      <c r="O120" s="340"/>
      <c r="P120" s="340"/>
      <c r="Q120" s="337"/>
      <c r="R120" s="360"/>
      <c r="S120" s="340"/>
      <c r="T120" s="340"/>
      <c r="U120" s="340"/>
      <c r="V120" s="337"/>
      <c r="W120" s="360"/>
      <c r="X120" s="340"/>
      <c r="Y120" s="340"/>
      <c r="Z120" s="340"/>
      <c r="AA120" s="337"/>
      <c r="AB120" s="360"/>
      <c r="AC120" s="340"/>
      <c r="AD120" s="340"/>
      <c r="AE120" s="340"/>
      <c r="AF120" s="337"/>
      <c r="AG120" s="360"/>
      <c r="AH120" s="340"/>
      <c r="AI120" s="340"/>
      <c r="AJ120" s="340"/>
      <c r="AK120" s="337"/>
    </row>
    <row r="121" spans="1:37" ht="12.75" customHeight="1">
      <c r="G121" s="95"/>
      <c r="L121" s="95"/>
      <c r="Q121" s="95"/>
      <c r="V121" s="95"/>
      <c r="AA121" s="95"/>
      <c r="AF121" s="95"/>
      <c r="AK121" s="95"/>
    </row>
    <row r="122" spans="1:37" ht="12.75" customHeight="1">
      <c r="G122" s="95"/>
      <c r="L122" s="95"/>
      <c r="Q122" s="95"/>
      <c r="V122" s="95"/>
      <c r="AA122" s="95"/>
      <c r="AF122" s="95"/>
      <c r="AK122" s="95"/>
    </row>
    <row r="123" spans="1:37" ht="12.75" customHeight="1">
      <c r="G123" s="95"/>
      <c r="L123" s="95"/>
      <c r="Q123" s="95"/>
      <c r="V123" s="95"/>
      <c r="AA123" s="95"/>
      <c r="AF123" s="95"/>
      <c r="AK123" s="95"/>
    </row>
    <row r="124" spans="1:37" ht="12.75" customHeight="1">
      <c r="C124" s="160"/>
      <c r="D124" s="161"/>
      <c r="E124" s="161"/>
      <c r="F124" s="161"/>
      <c r="G124" s="95"/>
      <c r="H124" s="160"/>
      <c r="I124" s="161"/>
      <c r="J124" s="161"/>
      <c r="K124" s="161"/>
      <c r="L124" s="95"/>
      <c r="M124" s="160"/>
      <c r="N124" s="161"/>
      <c r="O124" s="161"/>
      <c r="P124" s="161"/>
      <c r="Q124" s="95"/>
      <c r="R124" s="160"/>
      <c r="S124" s="161"/>
      <c r="T124" s="161"/>
      <c r="U124" s="161"/>
      <c r="V124" s="95"/>
      <c r="W124" s="160"/>
      <c r="X124" s="161"/>
      <c r="Y124" s="161"/>
      <c r="Z124" s="161"/>
      <c r="AA124" s="95"/>
      <c r="AB124" s="160"/>
      <c r="AC124" s="161"/>
      <c r="AD124" s="161"/>
      <c r="AE124" s="161"/>
      <c r="AF124" s="95"/>
      <c r="AG124" s="160"/>
      <c r="AH124" s="161"/>
      <c r="AI124" s="161"/>
      <c r="AJ124" s="161"/>
      <c r="AK124" s="95"/>
    </row>
    <row r="125" spans="1:37" ht="12.75" customHeight="1">
      <c r="C125" s="338"/>
      <c r="D125" s="339"/>
      <c r="E125" s="339"/>
      <c r="F125" s="339"/>
      <c r="G125" s="95"/>
      <c r="H125" s="338"/>
      <c r="I125" s="339"/>
      <c r="J125" s="339"/>
      <c r="K125" s="339"/>
      <c r="L125" s="95"/>
      <c r="M125" s="338"/>
      <c r="N125" s="339"/>
      <c r="O125" s="339"/>
      <c r="P125" s="339"/>
      <c r="Q125" s="95"/>
      <c r="R125" s="338"/>
      <c r="S125" s="339"/>
      <c r="T125" s="339"/>
      <c r="U125" s="339"/>
      <c r="V125" s="95"/>
      <c r="W125" s="338"/>
      <c r="X125" s="339"/>
      <c r="Y125" s="339"/>
      <c r="Z125" s="339"/>
      <c r="AA125" s="95"/>
      <c r="AB125" s="338"/>
      <c r="AC125" s="339"/>
      <c r="AD125" s="339"/>
      <c r="AE125" s="339"/>
      <c r="AF125" s="95"/>
      <c r="AG125" s="338"/>
      <c r="AH125" s="339"/>
      <c r="AI125" s="339"/>
      <c r="AJ125" s="339"/>
      <c r="AK125" s="95"/>
    </row>
    <row r="126" spans="1:37" ht="12.75" customHeight="1">
      <c r="C126" s="127"/>
      <c r="D126" s="100"/>
      <c r="E126" s="100"/>
      <c r="F126" s="100"/>
      <c r="G126" s="95"/>
      <c r="H126" s="127"/>
      <c r="I126" s="100"/>
      <c r="J126" s="100"/>
      <c r="K126" s="100"/>
      <c r="L126" s="95"/>
      <c r="M126" s="127"/>
      <c r="N126" s="100"/>
      <c r="O126" s="100"/>
      <c r="P126" s="100"/>
      <c r="Q126" s="95"/>
      <c r="R126" s="127"/>
      <c r="S126" s="100"/>
      <c r="T126" s="100"/>
      <c r="U126" s="100"/>
      <c r="V126" s="95"/>
      <c r="W126" s="127"/>
      <c r="X126" s="100"/>
      <c r="Y126" s="100"/>
      <c r="Z126" s="100"/>
      <c r="AA126" s="95"/>
      <c r="AB126" s="127"/>
      <c r="AC126" s="100"/>
      <c r="AD126" s="100"/>
      <c r="AE126" s="100"/>
      <c r="AF126" s="95"/>
      <c r="AG126" s="127"/>
      <c r="AH126" s="100"/>
      <c r="AI126" s="100"/>
      <c r="AJ126" s="100"/>
      <c r="AK126" s="95"/>
    </row>
    <row r="127" spans="1:37" ht="12.75" customHeight="1">
      <c r="G127" s="95"/>
      <c r="L127" s="95"/>
      <c r="Q127" s="95"/>
      <c r="V127" s="95"/>
      <c r="AA127" s="95"/>
      <c r="AF127" s="95"/>
      <c r="AK127" s="95"/>
    </row>
    <row r="128" spans="1:37" ht="12.75" customHeight="1">
      <c r="G128" s="95"/>
      <c r="L128" s="95"/>
      <c r="Q128" s="95"/>
      <c r="V128" s="95"/>
      <c r="AA128" s="95"/>
      <c r="AF128" s="95"/>
      <c r="AK128" s="95"/>
    </row>
    <row r="129" spans="3:37" ht="12.75" customHeight="1">
      <c r="G129" s="95"/>
      <c r="L129" s="95"/>
      <c r="Q129" s="95"/>
      <c r="V129" s="95"/>
      <c r="AA129" s="95"/>
      <c r="AF129" s="95"/>
      <c r="AK129" s="95"/>
    </row>
    <row r="130" spans="3:37" ht="12.75" customHeight="1">
      <c r="C130" s="338"/>
      <c r="D130" s="339"/>
      <c r="E130" s="339"/>
      <c r="F130" s="339"/>
      <c r="G130" s="95"/>
      <c r="H130" s="338"/>
      <c r="I130" s="339"/>
      <c r="J130" s="339"/>
      <c r="K130" s="339"/>
      <c r="L130" s="95"/>
      <c r="M130" s="338"/>
      <c r="N130" s="339"/>
      <c r="O130" s="339"/>
      <c r="P130" s="339"/>
      <c r="Q130" s="95"/>
      <c r="R130" s="338"/>
      <c r="S130" s="339"/>
      <c r="T130" s="339"/>
      <c r="U130" s="339"/>
      <c r="V130" s="95"/>
      <c r="W130" s="338"/>
      <c r="X130" s="339"/>
      <c r="Y130" s="339"/>
      <c r="Z130" s="339"/>
      <c r="AA130" s="95"/>
      <c r="AB130" s="338"/>
      <c r="AC130" s="339"/>
      <c r="AD130" s="339"/>
      <c r="AE130" s="339"/>
      <c r="AF130" s="95"/>
      <c r="AG130" s="338"/>
      <c r="AH130" s="339"/>
      <c r="AI130" s="339"/>
      <c r="AJ130" s="339"/>
      <c r="AK130" s="95"/>
    </row>
    <row r="131" spans="3:37" ht="12.75" customHeight="1">
      <c r="G131" s="95"/>
      <c r="L131" s="95"/>
      <c r="Q131" s="95"/>
      <c r="V131" s="95"/>
      <c r="AA131" s="95"/>
      <c r="AF131" s="95"/>
      <c r="AK131" s="95"/>
    </row>
    <row r="132" spans="3:37" ht="12.75" customHeight="1">
      <c r="G132" s="95"/>
      <c r="L132" s="95"/>
      <c r="Q132" s="95"/>
      <c r="V132" s="95"/>
      <c r="AA132" s="95"/>
      <c r="AF132" s="95"/>
      <c r="AK132" s="95"/>
    </row>
    <row r="133" spans="3:37" ht="12.75" customHeight="1">
      <c r="G133" s="95"/>
      <c r="L133" s="95"/>
      <c r="Q133" s="95"/>
      <c r="V133" s="95"/>
      <c r="AA133" s="95"/>
      <c r="AF133" s="95"/>
      <c r="AK133" s="95"/>
    </row>
    <row r="209" spans="3:37" ht="12.75" customHeight="1">
      <c r="C209" s="134"/>
      <c r="D209" s="134"/>
      <c r="E209" s="134"/>
      <c r="F209" s="134"/>
      <c r="G209" s="134"/>
      <c r="H209" s="134"/>
      <c r="I209" s="134"/>
      <c r="J209" s="134"/>
      <c r="K209" s="134"/>
      <c r="L209" s="134"/>
      <c r="M209" s="134"/>
      <c r="N209" s="134"/>
      <c r="O209" s="134"/>
      <c r="P209" s="134"/>
      <c r="Q209" s="134"/>
      <c r="R209" s="134"/>
      <c r="S209" s="134"/>
      <c r="T209" s="134"/>
      <c r="U209" s="134"/>
      <c r="V209" s="134"/>
      <c r="W209" s="134"/>
      <c r="X209" s="134"/>
      <c r="Y209" s="134"/>
      <c r="Z209" s="134"/>
      <c r="AA209" s="134"/>
      <c r="AB209" s="134"/>
      <c r="AC209" s="134"/>
      <c r="AD209" s="134"/>
      <c r="AE209" s="134"/>
      <c r="AF209" s="134"/>
      <c r="AG209" s="134"/>
      <c r="AH209" s="134"/>
      <c r="AI209" s="134"/>
      <c r="AJ209" s="134"/>
      <c r="AK209" s="134"/>
    </row>
    <row r="210" spans="3:37" ht="12.75" customHeight="1">
      <c r="C210" s="134"/>
      <c r="D210" s="134"/>
      <c r="E210" s="134"/>
      <c r="F210" s="134"/>
      <c r="G210" s="134"/>
      <c r="H210" s="134"/>
      <c r="I210" s="134"/>
      <c r="J210" s="134"/>
      <c r="K210" s="134"/>
      <c r="L210" s="134"/>
      <c r="M210" s="134"/>
      <c r="N210" s="134"/>
      <c r="O210" s="134"/>
      <c r="P210" s="134"/>
      <c r="Q210" s="134"/>
      <c r="R210" s="134"/>
      <c r="S210" s="134"/>
      <c r="T210" s="134"/>
      <c r="U210" s="134"/>
      <c r="V210" s="134"/>
      <c r="W210" s="134"/>
      <c r="X210" s="134"/>
      <c r="Y210" s="134"/>
      <c r="Z210" s="134"/>
      <c r="AA210" s="134"/>
      <c r="AB210" s="134"/>
      <c r="AC210" s="134"/>
      <c r="AD210" s="134"/>
      <c r="AE210" s="134"/>
      <c r="AF210" s="134"/>
      <c r="AG210" s="134"/>
      <c r="AH210" s="134"/>
      <c r="AI210" s="134"/>
      <c r="AJ210" s="134"/>
      <c r="AK210" s="134"/>
    </row>
    <row r="211" spans="3:37" ht="12.75" customHeight="1">
      <c r="C211" s="135"/>
      <c r="D211" s="134"/>
      <c r="E211" s="134"/>
      <c r="F211" s="134"/>
      <c r="G211" s="134"/>
      <c r="H211" s="135"/>
      <c r="I211" s="134"/>
      <c r="J211" s="134"/>
      <c r="K211" s="134"/>
      <c r="L211" s="134"/>
      <c r="M211" s="135"/>
      <c r="N211" s="134"/>
      <c r="O211" s="134"/>
      <c r="P211" s="134"/>
      <c r="Q211" s="134"/>
      <c r="R211" s="135"/>
      <c r="S211" s="134"/>
      <c r="T211" s="134"/>
      <c r="U211" s="134"/>
      <c r="V211" s="134"/>
      <c r="W211" s="135"/>
      <c r="X211" s="134"/>
      <c r="Y211" s="134"/>
      <c r="Z211" s="134"/>
      <c r="AA211" s="134"/>
      <c r="AB211" s="135"/>
      <c r="AC211" s="134"/>
      <c r="AD211" s="134"/>
      <c r="AE211" s="134"/>
      <c r="AF211" s="134"/>
      <c r="AG211" s="135"/>
      <c r="AH211" s="134"/>
      <c r="AI211" s="134"/>
      <c r="AJ211" s="134"/>
      <c r="AK211" s="134"/>
    </row>
    <row r="212" spans="3:37" ht="12.75" customHeight="1">
      <c r="C212" s="361"/>
      <c r="D212" s="134"/>
      <c r="E212" s="134"/>
      <c r="F212" s="134"/>
      <c r="G212" s="134"/>
      <c r="H212" s="361"/>
      <c r="I212" s="134"/>
      <c r="J212" s="134"/>
      <c r="K212" s="134"/>
      <c r="L212" s="134"/>
      <c r="M212" s="361"/>
      <c r="N212" s="134"/>
      <c r="O212" s="134"/>
      <c r="P212" s="134"/>
      <c r="Q212" s="134"/>
      <c r="R212" s="361"/>
      <c r="S212" s="134"/>
      <c r="T212" s="134"/>
      <c r="U212" s="134"/>
      <c r="V212" s="134"/>
      <c r="W212" s="361"/>
      <c r="X212" s="134"/>
      <c r="Y212" s="134"/>
      <c r="Z212" s="134"/>
      <c r="AA212" s="134"/>
      <c r="AB212" s="361"/>
      <c r="AC212" s="134"/>
      <c r="AD212" s="134"/>
      <c r="AE212" s="134"/>
      <c r="AF212" s="134"/>
      <c r="AG212" s="361"/>
      <c r="AH212" s="134"/>
      <c r="AI212" s="134"/>
      <c r="AJ212" s="134"/>
      <c r="AK212" s="134"/>
    </row>
    <row r="213" spans="3:37" ht="12.75" customHeight="1">
      <c r="C213" s="137"/>
      <c r="D213" s="138"/>
      <c r="E213" s="138"/>
      <c r="F213" s="138"/>
      <c r="G213" s="138"/>
      <c r="H213" s="137"/>
      <c r="I213" s="138"/>
      <c r="J213" s="138"/>
      <c r="K213" s="138"/>
      <c r="L213" s="138"/>
      <c r="M213" s="137"/>
      <c r="N213" s="138"/>
      <c r="O213" s="138"/>
      <c r="P213" s="138"/>
      <c r="Q213" s="138"/>
      <c r="R213" s="137"/>
      <c r="S213" s="138"/>
      <c r="T213" s="138"/>
      <c r="U213" s="138"/>
      <c r="V213" s="138"/>
      <c r="W213" s="137"/>
      <c r="X213" s="138"/>
      <c r="Y213" s="138"/>
      <c r="Z213" s="138"/>
      <c r="AA213" s="138"/>
      <c r="AB213" s="137"/>
      <c r="AC213" s="138"/>
      <c r="AD213" s="138"/>
      <c r="AE213" s="138"/>
      <c r="AF213" s="138"/>
      <c r="AG213" s="137"/>
      <c r="AH213" s="138"/>
      <c r="AI213" s="138"/>
      <c r="AJ213" s="138"/>
      <c r="AK213" s="138"/>
    </row>
    <row r="214" spans="3:37" ht="12.75" customHeight="1">
      <c r="C214" s="139"/>
      <c r="D214" s="140"/>
      <c r="E214" s="140"/>
      <c r="F214" s="140"/>
      <c r="G214" s="140"/>
      <c r="H214" s="139"/>
      <c r="I214" s="140"/>
      <c r="J214" s="140"/>
      <c r="K214" s="140"/>
      <c r="L214" s="140"/>
      <c r="M214" s="139"/>
      <c r="N214" s="140"/>
      <c r="O214" s="140"/>
      <c r="P214" s="140"/>
      <c r="Q214" s="140"/>
      <c r="R214" s="139"/>
      <c r="S214" s="140"/>
      <c r="T214" s="140"/>
      <c r="U214" s="140"/>
      <c r="V214" s="140"/>
      <c r="W214" s="139"/>
      <c r="X214" s="140"/>
      <c r="Y214" s="140"/>
      <c r="Z214" s="140"/>
      <c r="AA214" s="140"/>
      <c r="AB214" s="139"/>
      <c r="AC214" s="140"/>
      <c r="AD214" s="140"/>
      <c r="AE214" s="140"/>
      <c r="AF214" s="140"/>
      <c r="AG214" s="139"/>
      <c r="AH214" s="140"/>
      <c r="AI214" s="140"/>
      <c r="AJ214" s="140"/>
      <c r="AK214" s="140"/>
    </row>
    <row r="215" spans="3:37" ht="12.75" customHeight="1">
      <c r="C215" s="139"/>
      <c r="D215" s="140"/>
      <c r="E215" s="140"/>
      <c r="F215" s="140"/>
      <c r="G215" s="140"/>
      <c r="H215" s="139"/>
      <c r="I215" s="140"/>
      <c r="J215" s="140"/>
      <c r="K215" s="140"/>
      <c r="L215" s="140"/>
      <c r="M215" s="139"/>
      <c r="N215" s="140"/>
      <c r="O215" s="140"/>
      <c r="P215" s="140"/>
      <c r="Q215" s="140"/>
      <c r="R215" s="139"/>
      <c r="S215" s="140"/>
      <c r="T215" s="140"/>
      <c r="U215" s="140"/>
      <c r="V215" s="140"/>
      <c r="W215" s="139"/>
      <c r="X215" s="140"/>
      <c r="Y215" s="140"/>
      <c r="Z215" s="140"/>
      <c r="AA215" s="140"/>
      <c r="AB215" s="139"/>
      <c r="AC215" s="140"/>
      <c r="AD215" s="140"/>
      <c r="AE215" s="140"/>
      <c r="AF215" s="140"/>
      <c r="AG215" s="139"/>
      <c r="AH215" s="140"/>
      <c r="AI215" s="140"/>
      <c r="AJ215" s="140"/>
      <c r="AK215" s="140"/>
    </row>
    <row r="216" spans="3:37" ht="12.75" customHeight="1">
      <c r="C216" s="139"/>
      <c r="D216" s="140"/>
      <c r="E216" s="140"/>
      <c r="F216" s="140"/>
      <c r="G216" s="140"/>
      <c r="H216" s="139"/>
      <c r="I216" s="140"/>
      <c r="J216" s="140"/>
      <c r="K216" s="140"/>
      <c r="L216" s="140"/>
      <c r="M216" s="139"/>
      <c r="N216" s="140"/>
      <c r="O216" s="140"/>
      <c r="P216" s="140"/>
      <c r="Q216" s="140"/>
      <c r="R216" s="139"/>
      <c r="S216" s="140"/>
      <c r="T216" s="140"/>
      <c r="U216" s="140"/>
      <c r="V216" s="140"/>
      <c r="W216" s="139"/>
      <c r="X216" s="140"/>
      <c r="Y216" s="140"/>
      <c r="Z216" s="140"/>
      <c r="AA216" s="140"/>
      <c r="AB216" s="139"/>
      <c r="AC216" s="140"/>
      <c r="AD216" s="140"/>
      <c r="AE216" s="140"/>
      <c r="AF216" s="140"/>
      <c r="AG216" s="139"/>
      <c r="AH216" s="140"/>
      <c r="AI216" s="140"/>
      <c r="AJ216" s="140"/>
      <c r="AK216" s="140"/>
    </row>
    <row r="217" spans="3:37" ht="12.75" customHeight="1">
      <c r="C217" s="141"/>
      <c r="D217" s="142"/>
      <c r="E217" s="142"/>
      <c r="F217" s="142"/>
      <c r="G217" s="142"/>
      <c r="H217" s="141"/>
      <c r="I217" s="142"/>
      <c r="J217" s="142"/>
      <c r="K217" s="142"/>
      <c r="L217" s="142"/>
      <c r="M217" s="141"/>
      <c r="N217" s="142"/>
      <c r="O217" s="142"/>
      <c r="P217" s="142"/>
      <c r="Q217" s="142"/>
      <c r="R217" s="141"/>
      <c r="S217" s="142"/>
      <c r="T217" s="142"/>
      <c r="U217" s="142"/>
      <c r="V217" s="142"/>
      <c r="W217" s="141"/>
      <c r="X217" s="142"/>
      <c r="Y217" s="142"/>
      <c r="Z217" s="142"/>
      <c r="AA217" s="142"/>
      <c r="AB217" s="141"/>
      <c r="AC217" s="142"/>
      <c r="AD217" s="142"/>
      <c r="AE217" s="142"/>
      <c r="AF217" s="142"/>
      <c r="AG217" s="141"/>
      <c r="AH217" s="142"/>
      <c r="AI217" s="142"/>
      <c r="AJ217" s="142"/>
      <c r="AK217" s="142"/>
    </row>
    <row r="218" spans="3:37" ht="12.75" customHeight="1">
      <c r="C218" s="143"/>
      <c r="D218" s="140"/>
      <c r="E218" s="140"/>
      <c r="F218" s="140"/>
      <c r="G218" s="140"/>
      <c r="H218" s="143"/>
      <c r="I218" s="140"/>
      <c r="J218" s="140"/>
      <c r="K218" s="140"/>
      <c r="L218" s="140"/>
      <c r="M218" s="143"/>
      <c r="N218" s="140"/>
      <c r="O218" s="140"/>
      <c r="P218" s="140"/>
      <c r="Q218" s="140"/>
      <c r="R218" s="143"/>
      <c r="S218" s="140"/>
      <c r="T218" s="140"/>
      <c r="U218" s="140"/>
      <c r="V218" s="140"/>
      <c r="W218" s="143"/>
      <c r="X218" s="140"/>
      <c r="Y218" s="140"/>
      <c r="Z218" s="140"/>
      <c r="AA218" s="140"/>
      <c r="AB218" s="143"/>
      <c r="AC218" s="140"/>
      <c r="AD218" s="140"/>
      <c r="AE218" s="140"/>
      <c r="AF218" s="140"/>
      <c r="AG218" s="143"/>
      <c r="AH218" s="140"/>
      <c r="AI218" s="140"/>
      <c r="AJ218" s="140"/>
      <c r="AK218" s="140"/>
    </row>
    <row r="219" spans="3:37" ht="12.75" customHeight="1">
      <c r="C219" s="143"/>
      <c r="D219" s="140"/>
      <c r="E219" s="140"/>
      <c r="F219" s="140"/>
      <c r="G219" s="140"/>
      <c r="H219" s="143"/>
      <c r="I219" s="140"/>
      <c r="J219" s="140"/>
      <c r="K219" s="140"/>
      <c r="L219" s="140"/>
      <c r="M219" s="143"/>
      <c r="N219" s="140"/>
      <c r="O219" s="140"/>
      <c r="P219" s="140"/>
      <c r="Q219" s="140"/>
      <c r="R219" s="143"/>
      <c r="S219" s="140"/>
      <c r="T219" s="140"/>
      <c r="U219" s="140"/>
      <c r="V219" s="140"/>
      <c r="W219" s="143"/>
      <c r="X219" s="140"/>
      <c r="Y219" s="140"/>
      <c r="Z219" s="140"/>
      <c r="AA219" s="140"/>
      <c r="AB219" s="143"/>
      <c r="AC219" s="140"/>
      <c r="AD219" s="140"/>
      <c r="AE219" s="140"/>
      <c r="AF219" s="140"/>
      <c r="AG219" s="143"/>
      <c r="AH219" s="140"/>
      <c r="AI219" s="140"/>
      <c r="AJ219" s="140"/>
      <c r="AK219" s="140"/>
    </row>
    <row r="220" spans="3:37" ht="12.75" customHeight="1">
      <c r="C220" s="143"/>
      <c r="D220" s="140"/>
      <c r="E220" s="140"/>
      <c r="F220" s="140"/>
      <c r="G220" s="140"/>
      <c r="H220" s="143"/>
      <c r="I220" s="140"/>
      <c r="J220" s="140"/>
      <c r="K220" s="140"/>
      <c r="L220" s="140"/>
      <c r="M220" s="143"/>
      <c r="N220" s="140"/>
      <c r="O220" s="140"/>
      <c r="P220" s="140"/>
      <c r="Q220" s="140"/>
      <c r="R220" s="143"/>
      <c r="S220" s="140"/>
      <c r="T220" s="140"/>
      <c r="U220" s="140"/>
      <c r="V220" s="140"/>
      <c r="W220" s="143"/>
      <c r="X220" s="140"/>
      <c r="Y220" s="140"/>
      <c r="Z220" s="140"/>
      <c r="AA220" s="140"/>
      <c r="AB220" s="143"/>
      <c r="AC220" s="140"/>
      <c r="AD220" s="140"/>
      <c r="AE220" s="140"/>
      <c r="AF220" s="140"/>
      <c r="AG220" s="143"/>
      <c r="AH220" s="140"/>
      <c r="AI220" s="140"/>
      <c r="AJ220" s="140"/>
      <c r="AK220" s="140"/>
    </row>
    <row r="221" spans="3:37" ht="12.75" customHeight="1">
      <c r="C221" s="141"/>
      <c r="D221" s="142"/>
      <c r="E221" s="142"/>
      <c r="F221" s="142"/>
      <c r="G221" s="142"/>
      <c r="H221" s="141"/>
      <c r="I221" s="142"/>
      <c r="J221" s="142"/>
      <c r="K221" s="142"/>
      <c r="L221" s="142"/>
      <c r="M221" s="141"/>
      <c r="N221" s="142"/>
      <c r="O221" s="142"/>
      <c r="P221" s="142"/>
      <c r="Q221" s="142"/>
      <c r="R221" s="141"/>
      <c r="S221" s="142"/>
      <c r="T221" s="142"/>
      <c r="U221" s="142"/>
      <c r="V221" s="142"/>
      <c r="W221" s="141"/>
      <c r="X221" s="142"/>
      <c r="Y221" s="142"/>
      <c r="Z221" s="142"/>
      <c r="AA221" s="142"/>
      <c r="AB221" s="141"/>
      <c r="AC221" s="142"/>
      <c r="AD221" s="142"/>
      <c r="AE221" s="142"/>
      <c r="AF221" s="142"/>
      <c r="AG221" s="141"/>
      <c r="AH221" s="142"/>
      <c r="AI221" s="142"/>
      <c r="AJ221" s="142"/>
      <c r="AK221" s="142"/>
    </row>
    <row r="222" spans="3:37" ht="12.75" customHeight="1">
      <c r="C222" s="144"/>
      <c r="D222" s="140"/>
      <c r="E222" s="140"/>
      <c r="F222" s="140"/>
      <c r="G222" s="140"/>
      <c r="H222" s="144"/>
      <c r="I222" s="140"/>
      <c r="J222" s="140"/>
      <c r="K222" s="140"/>
      <c r="L222" s="140"/>
      <c r="M222" s="144"/>
      <c r="N222" s="140"/>
      <c r="O222" s="140"/>
      <c r="P222" s="140"/>
      <c r="Q222" s="140"/>
      <c r="R222" s="144"/>
      <c r="S222" s="140"/>
      <c r="T222" s="140"/>
      <c r="U222" s="140"/>
      <c r="V222" s="140"/>
      <c r="W222" s="144"/>
      <c r="X222" s="140"/>
      <c r="Y222" s="140"/>
      <c r="Z222" s="140"/>
      <c r="AA222" s="140"/>
      <c r="AB222" s="144"/>
      <c r="AC222" s="140"/>
      <c r="AD222" s="140"/>
      <c r="AE222" s="140"/>
      <c r="AF222" s="140"/>
      <c r="AG222" s="144"/>
      <c r="AH222" s="140"/>
      <c r="AI222" s="140"/>
      <c r="AJ222" s="140"/>
      <c r="AK222" s="140"/>
    </row>
    <row r="223" spans="3:37" ht="12.75" customHeight="1">
      <c r="C223" s="144"/>
      <c r="D223" s="140"/>
      <c r="E223" s="140"/>
      <c r="F223" s="140"/>
      <c r="G223" s="140"/>
      <c r="H223" s="144"/>
      <c r="I223" s="140"/>
      <c r="J223" s="140"/>
      <c r="K223" s="140"/>
      <c r="L223" s="140"/>
      <c r="M223" s="144"/>
      <c r="N223" s="140"/>
      <c r="O223" s="140"/>
      <c r="P223" s="140"/>
      <c r="Q223" s="140"/>
      <c r="R223" s="144"/>
      <c r="S223" s="140"/>
      <c r="T223" s="140"/>
      <c r="U223" s="140"/>
      <c r="V223" s="140"/>
      <c r="W223" s="144"/>
      <c r="X223" s="140"/>
      <c r="Y223" s="140"/>
      <c r="Z223" s="140"/>
      <c r="AA223" s="140"/>
      <c r="AB223" s="144"/>
      <c r="AC223" s="140"/>
      <c r="AD223" s="140"/>
      <c r="AE223" s="140"/>
      <c r="AF223" s="140"/>
      <c r="AG223" s="144"/>
      <c r="AH223" s="140"/>
      <c r="AI223" s="140"/>
      <c r="AJ223" s="140"/>
      <c r="AK223" s="140"/>
    </row>
    <row r="224" spans="3:37" ht="12.75" customHeight="1">
      <c r="C224" s="144"/>
      <c r="D224" s="140"/>
      <c r="E224" s="140"/>
      <c r="F224" s="140"/>
      <c r="G224" s="140"/>
      <c r="H224" s="144"/>
      <c r="I224" s="140"/>
      <c r="J224" s="140"/>
      <c r="K224" s="140"/>
      <c r="L224" s="140"/>
      <c r="M224" s="144"/>
      <c r="N224" s="140"/>
      <c r="O224" s="140"/>
      <c r="P224" s="140"/>
      <c r="Q224" s="140"/>
      <c r="R224" s="144"/>
      <c r="S224" s="140"/>
      <c r="T224" s="140"/>
      <c r="U224" s="140"/>
      <c r="V224" s="140"/>
      <c r="W224" s="144"/>
      <c r="X224" s="140"/>
      <c r="Y224" s="140"/>
      <c r="Z224" s="140"/>
      <c r="AA224" s="140"/>
      <c r="AB224" s="144"/>
      <c r="AC224" s="140"/>
      <c r="AD224" s="140"/>
      <c r="AE224" s="140"/>
      <c r="AF224" s="140"/>
      <c r="AG224" s="144"/>
      <c r="AH224" s="140"/>
      <c r="AI224" s="140"/>
      <c r="AJ224" s="140"/>
      <c r="AK224" s="140"/>
    </row>
    <row r="225" spans="3:37" ht="12.75" customHeight="1">
      <c r="C225" s="141"/>
      <c r="D225" s="142"/>
      <c r="E225" s="142"/>
      <c r="F225" s="142"/>
      <c r="G225" s="142"/>
      <c r="H225" s="141"/>
      <c r="I225" s="142"/>
      <c r="J225" s="142"/>
      <c r="K225" s="142"/>
      <c r="L225" s="142"/>
      <c r="M225" s="141"/>
      <c r="N225" s="142"/>
      <c r="O225" s="142"/>
      <c r="P225" s="142"/>
      <c r="Q225" s="142"/>
      <c r="R225" s="141"/>
      <c r="S225" s="142"/>
      <c r="T225" s="142"/>
      <c r="U225" s="142"/>
      <c r="V225" s="142"/>
      <c r="W225" s="141"/>
      <c r="X225" s="142"/>
      <c r="Y225" s="142"/>
      <c r="Z225" s="142"/>
      <c r="AA225" s="142"/>
      <c r="AB225" s="141"/>
      <c r="AC225" s="142"/>
      <c r="AD225" s="142"/>
      <c r="AE225" s="142"/>
      <c r="AF225" s="142"/>
      <c r="AG225" s="141"/>
      <c r="AH225" s="142"/>
      <c r="AI225" s="142"/>
      <c r="AJ225" s="142"/>
      <c r="AK225" s="142"/>
    </row>
    <row r="226" spans="3:37" ht="12.75" customHeight="1">
      <c r="C226" s="144"/>
      <c r="D226" s="140"/>
      <c r="E226" s="140"/>
      <c r="F226" s="140"/>
      <c r="G226" s="140"/>
      <c r="H226" s="144"/>
      <c r="I226" s="140"/>
      <c r="J226" s="140"/>
      <c r="K226" s="140"/>
      <c r="L226" s="140"/>
      <c r="M226" s="144"/>
      <c r="N226" s="140"/>
      <c r="O226" s="140"/>
      <c r="P226" s="140"/>
      <c r="Q226" s="140"/>
      <c r="R226" s="144"/>
      <c r="S226" s="140"/>
      <c r="T226" s="140"/>
      <c r="U226" s="140"/>
      <c r="V226" s="140"/>
      <c r="W226" s="144"/>
      <c r="X226" s="140"/>
      <c r="Y226" s="140"/>
      <c r="Z226" s="140"/>
      <c r="AA226" s="140"/>
      <c r="AB226" s="144"/>
      <c r="AC226" s="140"/>
      <c r="AD226" s="140"/>
      <c r="AE226" s="140"/>
      <c r="AF226" s="140"/>
      <c r="AG226" s="144"/>
      <c r="AH226" s="140"/>
      <c r="AI226" s="140"/>
      <c r="AJ226" s="140"/>
      <c r="AK226" s="140"/>
    </row>
    <row r="227" spans="3:37" ht="12.75" customHeight="1">
      <c r="C227" s="144"/>
      <c r="D227" s="140"/>
      <c r="E227" s="140"/>
      <c r="F227" s="140"/>
      <c r="G227" s="140"/>
      <c r="H227" s="144"/>
      <c r="I227" s="140"/>
      <c r="J227" s="140"/>
      <c r="K227" s="140"/>
      <c r="L227" s="140"/>
      <c r="M227" s="144"/>
      <c r="N227" s="140"/>
      <c r="O227" s="140"/>
      <c r="P227" s="140"/>
      <c r="Q227" s="140"/>
      <c r="R227" s="144"/>
      <c r="S227" s="140"/>
      <c r="T227" s="140"/>
      <c r="U227" s="140"/>
      <c r="V227" s="140"/>
      <c r="W227" s="144"/>
      <c r="X227" s="140"/>
      <c r="Y227" s="140"/>
      <c r="Z227" s="140"/>
      <c r="AA227" s="140"/>
      <c r="AB227" s="144"/>
      <c r="AC227" s="140"/>
      <c r="AD227" s="140"/>
      <c r="AE227" s="140"/>
      <c r="AF227" s="140"/>
      <c r="AG227" s="144"/>
      <c r="AH227" s="140"/>
      <c r="AI227" s="140"/>
      <c r="AJ227" s="140"/>
      <c r="AK227" s="140"/>
    </row>
    <row r="228" spans="3:37" ht="12.75" customHeight="1">
      <c r="C228" s="144"/>
      <c r="D228" s="140"/>
      <c r="E228" s="140"/>
      <c r="F228" s="140"/>
      <c r="G228" s="140"/>
      <c r="H228" s="144"/>
      <c r="I228" s="140"/>
      <c r="J228" s="140"/>
      <c r="K228" s="140"/>
      <c r="L228" s="140"/>
      <c r="M228" s="144"/>
      <c r="N228" s="140"/>
      <c r="O228" s="140"/>
      <c r="P228" s="140"/>
      <c r="Q228" s="140"/>
      <c r="R228" s="144"/>
      <c r="S228" s="140"/>
      <c r="T228" s="140"/>
      <c r="U228" s="140"/>
      <c r="V228" s="140"/>
      <c r="W228" s="144"/>
      <c r="X228" s="140"/>
      <c r="Y228" s="140"/>
      <c r="Z228" s="140"/>
      <c r="AA228" s="140"/>
      <c r="AB228" s="144"/>
      <c r="AC228" s="140"/>
      <c r="AD228" s="140"/>
      <c r="AE228" s="140"/>
      <c r="AF228" s="140"/>
      <c r="AG228" s="144"/>
      <c r="AH228" s="140"/>
      <c r="AI228" s="140"/>
      <c r="AJ228" s="140"/>
      <c r="AK228" s="140"/>
    </row>
    <row r="229" spans="3:37" ht="12.75" customHeight="1">
      <c r="C229" s="137"/>
      <c r="D229" s="142"/>
      <c r="E229" s="142"/>
      <c r="F229" s="142"/>
      <c r="G229" s="142"/>
      <c r="H229" s="137"/>
      <c r="I229" s="142"/>
      <c r="J229" s="142"/>
      <c r="K229" s="142"/>
      <c r="L229" s="142"/>
      <c r="M229" s="137"/>
      <c r="N229" s="142"/>
      <c r="O229" s="142"/>
      <c r="P229" s="142"/>
      <c r="Q229" s="142"/>
      <c r="R229" s="137"/>
      <c r="S229" s="142"/>
      <c r="T229" s="142"/>
      <c r="U229" s="142"/>
      <c r="V229" s="142"/>
      <c r="W229" s="137"/>
      <c r="X229" s="142"/>
      <c r="Y229" s="142"/>
      <c r="Z229" s="142"/>
      <c r="AA229" s="142"/>
      <c r="AB229" s="137"/>
      <c r="AC229" s="142"/>
      <c r="AD229" s="142"/>
      <c r="AE229" s="142"/>
      <c r="AF229" s="142"/>
      <c r="AG229" s="137"/>
      <c r="AH229" s="142"/>
      <c r="AI229" s="142"/>
      <c r="AJ229" s="142"/>
      <c r="AK229" s="142"/>
    </row>
    <row r="230" spans="3:37" ht="12.75" customHeight="1">
      <c r="C230" s="139"/>
      <c r="D230" s="140"/>
      <c r="E230" s="140"/>
      <c r="F230" s="140"/>
      <c r="G230" s="140"/>
      <c r="H230" s="139"/>
      <c r="I230" s="140"/>
      <c r="J230" s="140"/>
      <c r="K230" s="140"/>
      <c r="L230" s="140"/>
      <c r="M230" s="139"/>
      <c r="N230" s="140"/>
      <c r="O230" s="140"/>
      <c r="P230" s="140"/>
      <c r="Q230" s="140"/>
      <c r="R230" s="139"/>
      <c r="S230" s="140"/>
      <c r="T230" s="140"/>
      <c r="U230" s="140"/>
      <c r="V230" s="140"/>
      <c r="W230" s="139"/>
      <c r="X230" s="140"/>
      <c r="Y230" s="140"/>
      <c r="Z230" s="140"/>
      <c r="AA230" s="140"/>
      <c r="AB230" s="139"/>
      <c r="AC230" s="140"/>
      <c r="AD230" s="140"/>
      <c r="AE230" s="140"/>
      <c r="AF230" s="140"/>
      <c r="AG230" s="139"/>
      <c r="AH230" s="140"/>
      <c r="AI230" s="140"/>
      <c r="AJ230" s="140"/>
      <c r="AK230" s="140"/>
    </row>
    <row r="231" spans="3:37" ht="12.75" customHeight="1">
      <c r="C231" s="139"/>
      <c r="D231" s="140"/>
      <c r="E231" s="140"/>
      <c r="F231" s="140"/>
      <c r="G231" s="140"/>
      <c r="H231" s="139"/>
      <c r="I231" s="140"/>
      <c r="J231" s="140"/>
      <c r="K231" s="140"/>
      <c r="L231" s="140"/>
      <c r="M231" s="139"/>
      <c r="N231" s="140"/>
      <c r="O231" s="140"/>
      <c r="P231" s="140"/>
      <c r="Q231" s="140"/>
      <c r="R231" s="139"/>
      <c r="S231" s="140"/>
      <c r="T231" s="140"/>
      <c r="U231" s="140"/>
      <c r="V231" s="140"/>
      <c r="W231" s="139"/>
      <c r="X231" s="140"/>
      <c r="Y231" s="140"/>
      <c r="Z231" s="140"/>
      <c r="AA231" s="140"/>
      <c r="AB231" s="139"/>
      <c r="AC231" s="140"/>
      <c r="AD231" s="140"/>
      <c r="AE231" s="140"/>
      <c r="AF231" s="140"/>
      <c r="AG231" s="139"/>
      <c r="AH231" s="140"/>
      <c r="AI231" s="140"/>
      <c r="AJ231" s="140"/>
      <c r="AK231" s="140"/>
    </row>
    <row r="232" spans="3:37" ht="12.75" customHeight="1">
      <c r="C232" s="139"/>
      <c r="D232" s="140"/>
      <c r="E232" s="140"/>
      <c r="F232" s="140"/>
      <c r="G232" s="140"/>
      <c r="H232" s="139"/>
      <c r="I232" s="140"/>
      <c r="J232" s="140"/>
      <c r="K232" s="140"/>
      <c r="L232" s="140"/>
      <c r="M232" s="139"/>
      <c r="N232" s="140"/>
      <c r="O232" s="140"/>
      <c r="P232" s="140"/>
      <c r="Q232" s="140"/>
      <c r="R232" s="139"/>
      <c r="S232" s="140"/>
      <c r="T232" s="140"/>
      <c r="U232" s="140"/>
      <c r="V232" s="140"/>
      <c r="W232" s="139"/>
      <c r="X232" s="140"/>
      <c r="Y232" s="140"/>
      <c r="Z232" s="140"/>
      <c r="AA232" s="140"/>
      <c r="AB232" s="139"/>
      <c r="AC232" s="140"/>
      <c r="AD232" s="140"/>
      <c r="AE232" s="140"/>
      <c r="AF232" s="140"/>
      <c r="AG232" s="139"/>
      <c r="AH232" s="140"/>
      <c r="AI232" s="140"/>
      <c r="AJ232" s="140"/>
      <c r="AK232" s="140"/>
    </row>
    <row r="233" spans="3:37" ht="12.75" customHeight="1">
      <c r="C233" s="145"/>
      <c r="D233" s="146"/>
      <c r="E233" s="146"/>
      <c r="F233" s="146"/>
      <c r="G233" s="146"/>
      <c r="H233" s="145"/>
      <c r="I233" s="146"/>
      <c r="J233" s="146"/>
      <c r="K233" s="146"/>
      <c r="L233" s="146"/>
      <c r="M233" s="145"/>
      <c r="N233" s="146"/>
      <c r="O233" s="146"/>
      <c r="P233" s="146"/>
      <c r="Q233" s="146"/>
      <c r="R233" s="145"/>
      <c r="S233" s="146"/>
      <c r="T233" s="146"/>
      <c r="U233" s="146"/>
      <c r="V233" s="146"/>
      <c r="W233" s="145"/>
      <c r="X233" s="146"/>
      <c r="Y233" s="146"/>
      <c r="Z233" s="146"/>
      <c r="AA233" s="146"/>
      <c r="AB233" s="145"/>
      <c r="AC233" s="146"/>
      <c r="AD233" s="146"/>
      <c r="AE233" s="146"/>
      <c r="AF233" s="146"/>
      <c r="AG233" s="145"/>
      <c r="AH233" s="146"/>
      <c r="AI233" s="146"/>
      <c r="AJ233" s="146"/>
      <c r="AK233" s="146"/>
    </row>
    <row r="234" spans="3:37" ht="12.75" customHeight="1">
      <c r="C234" s="139"/>
      <c r="D234" s="140"/>
      <c r="E234" s="140"/>
      <c r="F234" s="140"/>
      <c r="G234" s="140"/>
      <c r="H234" s="139"/>
      <c r="I234" s="140"/>
      <c r="J234" s="140"/>
      <c r="K234" s="140"/>
      <c r="L234" s="140"/>
      <c r="M234" s="139"/>
      <c r="N234" s="140"/>
      <c r="O234" s="140"/>
      <c r="P234" s="140"/>
      <c r="Q234" s="140"/>
      <c r="R234" s="139"/>
      <c r="S234" s="140"/>
      <c r="T234" s="140"/>
      <c r="U234" s="140"/>
      <c r="V234" s="140"/>
      <c r="W234" s="139"/>
      <c r="X234" s="140"/>
      <c r="Y234" s="140"/>
      <c r="Z234" s="140"/>
      <c r="AA234" s="140"/>
      <c r="AB234" s="139"/>
      <c r="AC234" s="140"/>
      <c r="AD234" s="140"/>
      <c r="AE234" s="140"/>
      <c r="AF234" s="140"/>
      <c r="AG234" s="139"/>
      <c r="AH234" s="140"/>
      <c r="AI234" s="140"/>
      <c r="AJ234" s="140"/>
      <c r="AK234" s="140"/>
    </row>
    <row r="235" spans="3:37" ht="12.75" customHeight="1">
      <c r="C235" s="139"/>
      <c r="D235" s="140"/>
      <c r="E235" s="140"/>
      <c r="F235" s="140"/>
      <c r="G235" s="140"/>
      <c r="H235" s="139"/>
      <c r="I235" s="140"/>
      <c r="J235" s="140"/>
      <c r="K235" s="140"/>
      <c r="L235" s="140"/>
      <c r="M235" s="139"/>
      <c r="N235" s="140"/>
      <c r="O235" s="140"/>
      <c r="P235" s="140"/>
      <c r="Q235" s="140"/>
      <c r="R235" s="139"/>
      <c r="S235" s="140"/>
      <c r="T235" s="140"/>
      <c r="U235" s="140"/>
      <c r="V235" s="140"/>
      <c r="W235" s="139"/>
      <c r="X235" s="140"/>
      <c r="Y235" s="140"/>
      <c r="Z235" s="140"/>
      <c r="AA235" s="140"/>
      <c r="AB235" s="139"/>
      <c r="AC235" s="140"/>
      <c r="AD235" s="140"/>
      <c r="AE235" s="140"/>
      <c r="AF235" s="140"/>
      <c r="AG235" s="139"/>
      <c r="AH235" s="140"/>
      <c r="AI235" s="140"/>
      <c r="AJ235" s="140"/>
      <c r="AK235" s="140"/>
    </row>
    <row r="236" spans="3:37" ht="12.75" customHeight="1">
      <c r="C236" s="139"/>
      <c r="D236" s="140"/>
      <c r="E236" s="140"/>
      <c r="F236" s="140"/>
      <c r="G236" s="140"/>
      <c r="H236" s="139"/>
      <c r="I236" s="140"/>
      <c r="J236" s="140"/>
      <c r="K236" s="140"/>
      <c r="L236" s="140"/>
      <c r="M236" s="139"/>
      <c r="N236" s="140"/>
      <c r="O236" s="140"/>
      <c r="P236" s="140"/>
      <c r="Q236" s="140"/>
      <c r="R236" s="139"/>
      <c r="S236" s="140"/>
      <c r="T236" s="140"/>
      <c r="U236" s="140"/>
      <c r="V236" s="140"/>
      <c r="W236" s="139"/>
      <c r="X236" s="140"/>
      <c r="Y236" s="140"/>
      <c r="Z236" s="140"/>
      <c r="AA236" s="140"/>
      <c r="AB236" s="139"/>
      <c r="AC236" s="140"/>
      <c r="AD236" s="140"/>
      <c r="AE236" s="140"/>
      <c r="AF236" s="140"/>
      <c r="AG236" s="139"/>
      <c r="AH236" s="140"/>
      <c r="AI236" s="140"/>
      <c r="AJ236" s="140"/>
      <c r="AK236" s="140"/>
    </row>
    <row r="237" spans="3:37" ht="12.75" customHeight="1">
      <c r="C237" s="137"/>
      <c r="D237" s="142"/>
      <c r="E237" s="142"/>
      <c r="F237" s="142"/>
      <c r="G237" s="142"/>
      <c r="H237" s="137"/>
      <c r="I237" s="142"/>
      <c r="J237" s="142"/>
      <c r="K237" s="142"/>
      <c r="L237" s="142"/>
      <c r="M237" s="137"/>
      <c r="N237" s="142"/>
      <c r="O237" s="142"/>
      <c r="P237" s="142"/>
      <c r="Q237" s="142"/>
      <c r="R237" s="137"/>
      <c r="S237" s="142"/>
      <c r="T237" s="142"/>
      <c r="U237" s="142"/>
      <c r="V237" s="142"/>
      <c r="W237" s="137"/>
      <c r="X237" s="142"/>
      <c r="Y237" s="142"/>
      <c r="Z237" s="142"/>
      <c r="AA237" s="142"/>
      <c r="AB237" s="137"/>
      <c r="AC237" s="142"/>
      <c r="AD237" s="142"/>
      <c r="AE237" s="142"/>
      <c r="AF237" s="142"/>
      <c r="AG237" s="137"/>
      <c r="AH237" s="142"/>
      <c r="AI237" s="142"/>
      <c r="AJ237" s="142"/>
      <c r="AK237" s="142"/>
    </row>
    <row r="238" spans="3:37" ht="12.75" customHeight="1">
      <c r="C238" s="139"/>
      <c r="D238" s="140"/>
      <c r="E238" s="140"/>
      <c r="F238" s="140"/>
      <c r="G238" s="140"/>
      <c r="H238" s="139"/>
      <c r="I238" s="140"/>
      <c r="J238" s="140"/>
      <c r="K238" s="140"/>
      <c r="L238" s="140"/>
      <c r="M238" s="139"/>
      <c r="N238" s="140"/>
      <c r="O238" s="140"/>
      <c r="P238" s="140"/>
      <c r="Q238" s="140"/>
      <c r="R238" s="139"/>
      <c r="S238" s="140"/>
      <c r="T238" s="140"/>
      <c r="U238" s="140"/>
      <c r="V238" s="140"/>
      <c r="W238" s="139"/>
      <c r="X238" s="140"/>
      <c r="Y238" s="140"/>
      <c r="Z238" s="140"/>
      <c r="AA238" s="140"/>
      <c r="AB238" s="139"/>
      <c r="AC238" s="140"/>
      <c r="AD238" s="140"/>
      <c r="AE238" s="140"/>
      <c r="AF238" s="140"/>
      <c r="AG238" s="139"/>
      <c r="AH238" s="140"/>
      <c r="AI238" s="140"/>
      <c r="AJ238" s="140"/>
      <c r="AK238" s="140"/>
    </row>
    <row r="239" spans="3:37" ht="12.75" customHeight="1">
      <c r="C239" s="139"/>
      <c r="D239" s="140"/>
      <c r="E239" s="140"/>
      <c r="F239" s="140"/>
      <c r="G239" s="140"/>
      <c r="H239" s="139"/>
      <c r="I239" s="140"/>
      <c r="J239" s="140"/>
      <c r="K239" s="140"/>
      <c r="L239" s="140"/>
      <c r="M239" s="139"/>
      <c r="N239" s="140"/>
      <c r="O239" s="140"/>
      <c r="P239" s="140"/>
      <c r="Q239" s="140"/>
      <c r="R239" s="139"/>
      <c r="S239" s="140"/>
      <c r="T239" s="140"/>
      <c r="U239" s="140"/>
      <c r="V239" s="140"/>
      <c r="W239" s="139"/>
      <c r="X239" s="140"/>
      <c r="Y239" s="140"/>
      <c r="Z239" s="140"/>
      <c r="AA239" s="140"/>
      <c r="AB239" s="139"/>
      <c r="AC239" s="140"/>
      <c r="AD239" s="140"/>
      <c r="AE239" s="140"/>
      <c r="AF239" s="140"/>
      <c r="AG239" s="139"/>
      <c r="AH239" s="140"/>
      <c r="AI239" s="140"/>
      <c r="AJ239" s="140"/>
      <c r="AK239" s="140"/>
    </row>
    <row r="240" spans="3:37" ht="12.75" customHeight="1">
      <c r="C240" s="139"/>
      <c r="D240" s="140"/>
      <c r="E240" s="140"/>
      <c r="F240" s="140"/>
      <c r="G240" s="140"/>
      <c r="H240" s="139"/>
      <c r="I240" s="140"/>
      <c r="J240" s="140"/>
      <c r="K240" s="140"/>
      <c r="L240" s="140"/>
      <c r="M240" s="139"/>
      <c r="N240" s="140"/>
      <c r="O240" s="140"/>
      <c r="P240" s="140"/>
      <c r="Q240" s="140"/>
      <c r="R240" s="139"/>
      <c r="S240" s="140"/>
      <c r="T240" s="140"/>
      <c r="U240" s="140"/>
      <c r="V240" s="140"/>
      <c r="W240" s="139"/>
      <c r="X240" s="140"/>
      <c r="Y240" s="140"/>
      <c r="Z240" s="140"/>
      <c r="AA240" s="140"/>
      <c r="AB240" s="139"/>
      <c r="AC240" s="140"/>
      <c r="AD240" s="140"/>
      <c r="AE240" s="140"/>
      <c r="AF240" s="140"/>
      <c r="AG240" s="139"/>
      <c r="AH240" s="140"/>
      <c r="AI240" s="140"/>
      <c r="AJ240" s="140"/>
      <c r="AK240" s="140"/>
    </row>
    <row r="241" spans="3:37" ht="12.75" customHeight="1">
      <c r="C241" s="147"/>
      <c r="D241" s="148"/>
      <c r="E241" s="148"/>
      <c r="F241" s="148"/>
      <c r="G241" s="148"/>
      <c r="H241" s="147"/>
      <c r="I241" s="148"/>
      <c r="J241" s="148"/>
      <c r="K241" s="148"/>
      <c r="L241" s="148"/>
      <c r="M241" s="147"/>
      <c r="N241" s="148"/>
      <c r="O241" s="148"/>
      <c r="P241" s="148"/>
      <c r="Q241" s="148"/>
      <c r="R241" s="147"/>
      <c r="S241" s="148"/>
      <c r="T241" s="148"/>
      <c r="U241" s="148"/>
      <c r="V241" s="148"/>
      <c r="W241" s="147"/>
      <c r="X241" s="148"/>
      <c r="Y241" s="148"/>
      <c r="Z241" s="148"/>
      <c r="AA241" s="148"/>
      <c r="AB241" s="147"/>
      <c r="AC241" s="148"/>
      <c r="AD241" s="148"/>
      <c r="AE241" s="148"/>
      <c r="AF241" s="148"/>
      <c r="AG241" s="147"/>
      <c r="AH241" s="148"/>
      <c r="AI241" s="148"/>
      <c r="AJ241" s="148"/>
      <c r="AK241" s="148"/>
    </row>
    <row r="242" spans="3:37" ht="12.75" customHeight="1">
      <c r="C242" s="139"/>
      <c r="D242" s="140"/>
      <c r="E242" s="140"/>
      <c r="F242" s="140"/>
      <c r="G242" s="140"/>
      <c r="H242" s="139"/>
      <c r="I242" s="140"/>
      <c r="J242" s="140"/>
      <c r="K242" s="140"/>
      <c r="L242" s="140"/>
      <c r="M242" s="139"/>
      <c r="N242" s="140"/>
      <c r="O242" s="140"/>
      <c r="P242" s="140"/>
      <c r="Q242" s="140"/>
      <c r="R242" s="139"/>
      <c r="S242" s="140"/>
      <c r="T242" s="140"/>
      <c r="U242" s="140"/>
      <c r="V242" s="140"/>
      <c r="W242" s="139"/>
      <c r="X242" s="140"/>
      <c r="Y242" s="140"/>
      <c r="Z242" s="140"/>
      <c r="AA242" s="140"/>
      <c r="AB242" s="139"/>
      <c r="AC242" s="140"/>
      <c r="AD242" s="140"/>
      <c r="AE242" s="140"/>
      <c r="AF242" s="140"/>
      <c r="AG242" s="139"/>
      <c r="AH242" s="140"/>
      <c r="AI242" s="140"/>
      <c r="AJ242" s="140"/>
      <c r="AK242" s="140"/>
    </row>
    <row r="243" spans="3:37" ht="12.75" customHeight="1">
      <c r="C243" s="139"/>
      <c r="D243" s="140"/>
      <c r="E243" s="140"/>
      <c r="F243" s="140"/>
      <c r="G243" s="140"/>
      <c r="H243" s="139"/>
      <c r="I243" s="140"/>
      <c r="J243" s="140"/>
      <c r="K243" s="140"/>
      <c r="L243" s="140"/>
      <c r="M243" s="139"/>
      <c r="N243" s="140"/>
      <c r="O243" s="140"/>
      <c r="P243" s="140"/>
      <c r="Q243" s="140"/>
      <c r="R243" s="139"/>
      <c r="S243" s="140"/>
      <c r="T243" s="140"/>
      <c r="U243" s="140"/>
      <c r="V243" s="140"/>
      <c r="W243" s="139"/>
      <c r="X243" s="140"/>
      <c r="Y243" s="140"/>
      <c r="Z243" s="140"/>
      <c r="AA243" s="140"/>
      <c r="AB243" s="139"/>
      <c r="AC243" s="140"/>
      <c r="AD243" s="140"/>
      <c r="AE243" s="140"/>
      <c r="AF243" s="140"/>
      <c r="AG243" s="139"/>
      <c r="AH243" s="140"/>
      <c r="AI243" s="140"/>
      <c r="AJ243" s="140"/>
      <c r="AK243" s="140"/>
    </row>
    <row r="244" spans="3:37" ht="12.75" customHeight="1">
      <c r="C244" s="149"/>
      <c r="D244" s="150"/>
      <c r="E244" s="150"/>
      <c r="F244" s="150"/>
      <c r="G244" s="150"/>
      <c r="H244" s="149"/>
      <c r="I244" s="150"/>
      <c r="J244" s="150"/>
      <c r="K244" s="150"/>
      <c r="L244" s="150"/>
      <c r="M244" s="149"/>
      <c r="N244" s="150"/>
      <c r="O244" s="150"/>
      <c r="P244" s="150"/>
      <c r="Q244" s="150"/>
      <c r="R244" s="149"/>
      <c r="S244" s="150"/>
      <c r="T244" s="150"/>
      <c r="U244" s="150"/>
      <c r="V244" s="150"/>
      <c r="W244" s="149"/>
      <c r="X244" s="150"/>
      <c r="Y244" s="150"/>
      <c r="Z244" s="150"/>
      <c r="AA244" s="150"/>
      <c r="AB244" s="149"/>
      <c r="AC244" s="150"/>
      <c r="AD244" s="150"/>
      <c r="AE244" s="150"/>
      <c r="AF244" s="150"/>
      <c r="AG244" s="149"/>
      <c r="AH244" s="150"/>
      <c r="AI244" s="150"/>
      <c r="AJ244" s="150"/>
      <c r="AK244" s="150"/>
    </row>
    <row r="246" spans="3:37" ht="12.75" customHeight="1">
      <c r="C246" s="151"/>
      <c r="D246" s="152"/>
      <c r="E246" s="152"/>
      <c r="F246" s="152"/>
      <c r="G246" s="152"/>
      <c r="H246" s="151"/>
      <c r="I246" s="152"/>
      <c r="J246" s="152"/>
      <c r="K246" s="152"/>
      <c r="L246" s="152"/>
      <c r="M246" s="151"/>
      <c r="N246" s="152"/>
      <c r="O246" s="152"/>
      <c r="P246" s="152"/>
      <c r="Q246" s="152"/>
      <c r="R246" s="151"/>
      <c r="S246" s="152"/>
      <c r="T246" s="152"/>
      <c r="U246" s="152"/>
      <c r="V246" s="152"/>
      <c r="W246" s="151"/>
      <c r="X246" s="152"/>
      <c r="Y246" s="152"/>
      <c r="Z246" s="152"/>
      <c r="AA246" s="152"/>
      <c r="AB246" s="151"/>
      <c r="AC246" s="152"/>
      <c r="AD246" s="152"/>
      <c r="AE246" s="152"/>
      <c r="AF246" s="152"/>
      <c r="AG246" s="151"/>
      <c r="AH246" s="152"/>
      <c r="AI246" s="152"/>
      <c r="AJ246" s="152"/>
      <c r="AK246" s="152"/>
    </row>
    <row r="247" spans="3:37" ht="12.75" customHeight="1">
      <c r="C247" s="153"/>
      <c r="D247" s="154"/>
      <c r="E247" s="154"/>
      <c r="F247" s="154"/>
      <c r="G247" s="154"/>
      <c r="H247" s="153"/>
      <c r="I247" s="154"/>
      <c r="J247" s="154"/>
      <c r="K247" s="154"/>
      <c r="L247" s="154"/>
      <c r="M247" s="153"/>
      <c r="N247" s="154"/>
      <c r="O247" s="154"/>
      <c r="P247" s="154"/>
      <c r="Q247" s="154"/>
      <c r="R247" s="153"/>
      <c r="S247" s="154"/>
      <c r="T247" s="154"/>
      <c r="U247" s="154"/>
      <c r="V247" s="154"/>
      <c r="W247" s="153"/>
      <c r="X247" s="154"/>
      <c r="Y247" s="154"/>
      <c r="Z247" s="154"/>
      <c r="AA247" s="154"/>
      <c r="AB247" s="153"/>
      <c r="AC247" s="154"/>
      <c r="AD247" s="154"/>
      <c r="AE247" s="154"/>
      <c r="AF247" s="154"/>
      <c r="AG247" s="153"/>
      <c r="AH247" s="154"/>
      <c r="AI247" s="154"/>
      <c r="AJ247" s="154"/>
      <c r="AK247" s="154"/>
    </row>
    <row r="248" spans="3:37" ht="12.75" customHeight="1">
      <c r="C248" s="155"/>
      <c r="D248" s="156"/>
      <c r="E248" s="156"/>
      <c r="F248" s="156"/>
      <c r="G248" s="156"/>
      <c r="H248" s="155"/>
      <c r="I248" s="156"/>
      <c r="J248" s="156"/>
      <c r="K248" s="156"/>
      <c r="L248" s="156"/>
      <c r="M248" s="155"/>
      <c r="N248" s="156"/>
      <c r="O248" s="156"/>
      <c r="P248" s="156"/>
      <c r="Q248" s="156"/>
      <c r="R248" s="155"/>
      <c r="S248" s="156"/>
      <c r="T248" s="156"/>
      <c r="U248" s="156"/>
      <c r="V248" s="156"/>
      <c r="W248" s="155"/>
      <c r="X248" s="156"/>
      <c r="Y248" s="156"/>
      <c r="Z248" s="156"/>
      <c r="AA248" s="156"/>
      <c r="AB248" s="155"/>
      <c r="AC248" s="156"/>
      <c r="AD248" s="156"/>
      <c r="AE248" s="156"/>
      <c r="AF248" s="156"/>
      <c r="AG248" s="155"/>
      <c r="AH248" s="156"/>
      <c r="AI248" s="156"/>
      <c r="AJ248" s="156"/>
      <c r="AK248" s="156"/>
    </row>
    <row r="249" spans="3:37" ht="12.75" customHeight="1">
      <c r="C249" s="157"/>
      <c r="D249" s="157"/>
      <c r="E249" s="157"/>
      <c r="F249" s="157"/>
      <c r="G249" s="157"/>
      <c r="H249" s="157"/>
      <c r="I249" s="157"/>
      <c r="J249" s="157"/>
      <c r="K249" s="157"/>
      <c r="L249" s="157"/>
      <c r="M249" s="157"/>
      <c r="N249" s="157"/>
      <c r="O249" s="157"/>
      <c r="P249" s="157"/>
      <c r="Q249" s="157"/>
      <c r="R249" s="157"/>
      <c r="S249" s="157"/>
      <c r="T249" s="157"/>
      <c r="U249" s="157"/>
      <c r="V249" s="157"/>
      <c r="W249" s="157"/>
      <c r="X249" s="157"/>
      <c r="Y249" s="157"/>
      <c r="Z249" s="157"/>
      <c r="AA249" s="157"/>
      <c r="AB249" s="157"/>
      <c r="AC249" s="157"/>
      <c r="AD249" s="157"/>
      <c r="AE249" s="157"/>
      <c r="AF249" s="157"/>
      <c r="AG249" s="157"/>
      <c r="AH249" s="157"/>
      <c r="AI249" s="157"/>
      <c r="AJ249" s="157"/>
      <c r="AK249" s="157"/>
    </row>
    <row r="250" spans="3:37" ht="12.75" customHeight="1">
      <c r="D250" s="158"/>
      <c r="E250" s="158"/>
      <c r="F250" s="158"/>
      <c r="G250" s="158"/>
      <c r="I250" s="158"/>
      <c r="J250" s="158"/>
      <c r="K250" s="158"/>
      <c r="L250" s="158"/>
      <c r="N250" s="158"/>
      <c r="O250" s="158"/>
      <c r="P250" s="158"/>
      <c r="Q250" s="158"/>
      <c r="S250" s="158"/>
      <c r="T250" s="158"/>
      <c r="U250" s="158"/>
      <c r="V250" s="158"/>
      <c r="X250" s="158"/>
      <c r="Y250" s="158"/>
      <c r="Z250" s="158"/>
      <c r="AA250" s="158"/>
      <c r="AC250" s="158"/>
      <c r="AD250" s="158"/>
      <c r="AE250" s="158"/>
      <c r="AF250" s="158"/>
      <c r="AH250" s="158"/>
      <c r="AI250" s="158"/>
      <c r="AJ250" s="158"/>
      <c r="AK250" s="158"/>
    </row>
    <row r="251" spans="3:37" ht="12.75" customHeight="1">
      <c r="C251" s="144"/>
      <c r="D251" s="139"/>
      <c r="E251" s="139"/>
      <c r="F251" s="139"/>
      <c r="G251" s="139"/>
      <c r="H251" s="144"/>
      <c r="I251" s="139"/>
      <c r="J251" s="139"/>
      <c r="K251" s="139"/>
      <c r="L251" s="139"/>
      <c r="M251" s="144"/>
      <c r="N251" s="139"/>
      <c r="O251" s="139"/>
      <c r="P251" s="139"/>
      <c r="Q251" s="139"/>
      <c r="R251" s="144"/>
      <c r="S251" s="139"/>
      <c r="T251" s="139"/>
      <c r="U251" s="139"/>
      <c r="V251" s="139"/>
      <c r="W251" s="144"/>
      <c r="X251" s="139"/>
      <c r="Y251" s="139"/>
      <c r="Z251" s="139"/>
      <c r="AA251" s="139"/>
      <c r="AB251" s="144"/>
      <c r="AC251" s="139"/>
      <c r="AD251" s="139"/>
      <c r="AE251" s="139"/>
      <c r="AF251" s="139"/>
      <c r="AG251" s="144"/>
      <c r="AH251" s="139"/>
      <c r="AI251" s="139"/>
      <c r="AJ251" s="139"/>
      <c r="AK251" s="139"/>
    </row>
    <row r="252" spans="3:37" ht="12.75" customHeight="1">
      <c r="C252" s="144"/>
      <c r="D252" s="139"/>
      <c r="E252" s="139"/>
      <c r="F252" s="139"/>
      <c r="G252" s="139"/>
      <c r="H252" s="144"/>
      <c r="I252" s="139"/>
      <c r="J252" s="139"/>
      <c r="K252" s="139"/>
      <c r="L252" s="139"/>
      <c r="M252" s="144"/>
      <c r="N252" s="139"/>
      <c r="O252" s="139"/>
      <c r="P252" s="139"/>
      <c r="Q252" s="139"/>
      <c r="R252" s="144"/>
      <c r="S252" s="139"/>
      <c r="T252" s="139"/>
      <c r="U252" s="139"/>
      <c r="V252" s="139"/>
      <c r="W252" s="144"/>
      <c r="X252" s="139"/>
      <c r="Y252" s="139"/>
      <c r="Z252" s="139"/>
      <c r="AA252" s="139"/>
      <c r="AB252" s="144"/>
      <c r="AC252" s="139"/>
      <c r="AD252" s="139"/>
      <c r="AE252" s="139"/>
      <c r="AF252" s="139"/>
      <c r="AG252" s="144"/>
      <c r="AH252" s="139"/>
      <c r="AI252" s="139"/>
      <c r="AJ252" s="139"/>
      <c r="AK252" s="139"/>
    </row>
    <row r="253" spans="3:37" ht="12.75" customHeight="1">
      <c r="C253" s="144"/>
      <c r="D253" s="139"/>
      <c r="E253" s="139"/>
      <c r="F253" s="139"/>
      <c r="G253" s="139"/>
      <c r="H253" s="144"/>
      <c r="I253" s="139"/>
      <c r="J253" s="139"/>
      <c r="K253" s="139"/>
      <c r="L253" s="139"/>
      <c r="M253" s="144"/>
      <c r="N253" s="139"/>
      <c r="O253" s="139"/>
      <c r="P253" s="139"/>
      <c r="Q253" s="139"/>
      <c r="R253" s="144"/>
      <c r="S253" s="139"/>
      <c r="T253" s="139"/>
      <c r="U253" s="139"/>
      <c r="V253" s="139"/>
      <c r="W253" s="144"/>
      <c r="X253" s="139"/>
      <c r="Y253" s="139"/>
      <c r="Z253" s="139"/>
      <c r="AA253" s="139"/>
      <c r="AB253" s="144"/>
      <c r="AC253" s="139"/>
      <c r="AD253" s="139"/>
      <c r="AE253" s="139"/>
      <c r="AF253" s="139"/>
      <c r="AG253" s="144"/>
      <c r="AH253" s="139"/>
      <c r="AI253" s="139"/>
      <c r="AJ253" s="139"/>
      <c r="AK253" s="139"/>
    </row>
    <row r="254" spans="3:37" ht="12.75" customHeight="1">
      <c r="C254" s="144"/>
      <c r="D254" s="139"/>
      <c r="E254" s="139"/>
      <c r="F254" s="139"/>
      <c r="G254" s="139"/>
      <c r="H254" s="144"/>
      <c r="I254" s="139"/>
      <c r="J254" s="139"/>
      <c r="K254" s="139"/>
      <c r="L254" s="139"/>
      <c r="M254" s="144"/>
      <c r="N254" s="139"/>
      <c r="O254" s="139"/>
      <c r="P254" s="139"/>
      <c r="Q254" s="139"/>
      <c r="R254" s="144"/>
      <c r="S254" s="139"/>
      <c r="T254" s="139"/>
      <c r="U254" s="139"/>
      <c r="V254" s="139"/>
      <c r="W254" s="144"/>
      <c r="X254" s="139"/>
      <c r="Y254" s="139"/>
      <c r="Z254" s="139"/>
      <c r="AA254" s="139"/>
      <c r="AB254" s="144"/>
      <c r="AC254" s="139"/>
      <c r="AD254" s="139"/>
      <c r="AE254" s="139"/>
      <c r="AF254" s="139"/>
      <c r="AG254" s="144"/>
      <c r="AH254" s="139"/>
      <c r="AI254" s="139"/>
      <c r="AJ254" s="139"/>
      <c r="AK254" s="139"/>
    </row>
    <row r="255" spans="3:37" ht="12.75" customHeight="1">
      <c r="C255" s="144"/>
      <c r="D255" s="139"/>
      <c r="E255" s="139"/>
      <c r="F255" s="139"/>
      <c r="G255" s="139"/>
      <c r="H255" s="144"/>
      <c r="I255" s="139"/>
      <c r="J255" s="139"/>
      <c r="K255" s="139"/>
      <c r="L255" s="139"/>
      <c r="M255" s="144"/>
      <c r="N255" s="139"/>
      <c r="O255" s="139"/>
      <c r="P255" s="139"/>
      <c r="Q255" s="139"/>
      <c r="R255" s="144"/>
      <c r="S255" s="139"/>
      <c r="T255" s="139"/>
      <c r="U255" s="139"/>
      <c r="V255" s="139"/>
      <c r="W255" s="144"/>
      <c r="X255" s="139"/>
      <c r="Y255" s="139"/>
      <c r="Z255" s="139"/>
      <c r="AA255" s="139"/>
      <c r="AB255" s="144"/>
      <c r="AC255" s="139"/>
      <c r="AD255" s="139"/>
      <c r="AE255" s="139"/>
      <c r="AF255" s="139"/>
      <c r="AG255" s="144"/>
      <c r="AH255" s="139"/>
      <c r="AI255" s="139"/>
      <c r="AJ255" s="139"/>
      <c r="AK255" s="139"/>
    </row>
    <row r="257" spans="3:37" ht="12.75" customHeight="1">
      <c r="C257" s="159"/>
      <c r="D257" s="159"/>
      <c r="E257" s="159"/>
      <c r="F257" s="159"/>
      <c r="G257" s="159"/>
      <c r="H257" s="159"/>
      <c r="I257" s="159"/>
      <c r="J257" s="159"/>
      <c r="K257" s="159"/>
      <c r="L257" s="159"/>
      <c r="M257" s="159"/>
      <c r="N257" s="159"/>
      <c r="O257" s="159"/>
      <c r="P257" s="159"/>
      <c r="Q257" s="159"/>
      <c r="R257" s="159"/>
      <c r="S257" s="159"/>
      <c r="T257" s="159"/>
      <c r="U257" s="159"/>
      <c r="V257" s="159"/>
      <c r="W257" s="159"/>
      <c r="X257" s="159"/>
      <c r="Y257" s="159"/>
      <c r="Z257" s="159"/>
      <c r="AA257" s="159"/>
      <c r="AB257" s="159"/>
      <c r="AC257" s="159"/>
      <c r="AD257" s="159"/>
      <c r="AE257" s="159"/>
      <c r="AF257" s="159"/>
      <c r="AG257" s="159"/>
      <c r="AH257" s="159"/>
      <c r="AI257" s="159"/>
      <c r="AJ257" s="159"/>
      <c r="AK257" s="159"/>
    </row>
    <row r="258" spans="3:37" ht="12.75" customHeight="1">
      <c r="C258" s="155"/>
      <c r="D258" s="155"/>
      <c r="E258" s="155"/>
      <c r="F258" s="155"/>
      <c r="G258" s="155"/>
      <c r="H258" s="155"/>
      <c r="I258" s="155"/>
      <c r="J258" s="155"/>
      <c r="K258" s="155"/>
      <c r="L258" s="155"/>
      <c r="M258" s="155"/>
      <c r="N258" s="155"/>
      <c r="O258" s="155"/>
      <c r="P258" s="155"/>
      <c r="Q258" s="155"/>
      <c r="R258" s="155"/>
      <c r="S258" s="155"/>
      <c r="T258" s="155"/>
      <c r="U258" s="155"/>
      <c r="V258" s="155"/>
      <c r="W258" s="155"/>
      <c r="X258" s="155"/>
      <c r="Y258" s="155"/>
      <c r="Z258" s="155"/>
      <c r="AA258" s="155"/>
      <c r="AB258" s="155"/>
      <c r="AC258" s="155"/>
      <c r="AD258" s="155"/>
      <c r="AE258" s="155"/>
      <c r="AF258" s="155"/>
      <c r="AG258" s="155"/>
      <c r="AH258" s="155"/>
      <c r="AI258" s="155"/>
      <c r="AJ258" s="155"/>
      <c r="AK258" s="155"/>
    </row>
    <row r="259" spans="3:37" ht="12.75" customHeight="1">
      <c r="C259" s="155"/>
      <c r="D259" s="155"/>
      <c r="E259" s="155"/>
      <c r="F259" s="155"/>
      <c r="G259" s="155"/>
      <c r="H259" s="155"/>
      <c r="I259" s="155"/>
      <c r="J259" s="155"/>
      <c r="K259" s="155"/>
      <c r="L259" s="155"/>
      <c r="M259" s="155"/>
      <c r="N259" s="155"/>
      <c r="O259" s="155"/>
      <c r="P259" s="155"/>
      <c r="Q259" s="155"/>
      <c r="R259" s="155"/>
      <c r="S259" s="155"/>
      <c r="T259" s="155"/>
      <c r="U259" s="155"/>
      <c r="V259" s="155"/>
      <c r="W259" s="155"/>
      <c r="X259" s="155"/>
      <c r="Y259" s="155"/>
      <c r="Z259" s="155"/>
      <c r="AA259" s="155"/>
      <c r="AB259" s="155"/>
      <c r="AC259" s="155"/>
      <c r="AD259" s="155"/>
      <c r="AE259" s="155"/>
      <c r="AF259" s="155"/>
      <c r="AG259" s="155"/>
      <c r="AH259" s="155"/>
      <c r="AI259" s="155"/>
      <c r="AJ259" s="155"/>
      <c r="AK259" s="155"/>
    </row>
    <row r="261" spans="3:37" ht="12.75" customHeight="1">
      <c r="C261" s="160"/>
      <c r="D261" s="161"/>
      <c r="E261" s="161"/>
      <c r="F261" s="161"/>
      <c r="G261" s="161"/>
      <c r="H261" s="160"/>
      <c r="I261" s="161"/>
      <c r="J261" s="161"/>
      <c r="K261" s="161"/>
      <c r="L261" s="161"/>
      <c r="M261" s="160"/>
      <c r="N261" s="161"/>
      <c r="O261" s="161"/>
      <c r="P261" s="161"/>
      <c r="Q261" s="161"/>
      <c r="R261" s="160"/>
      <c r="S261" s="161"/>
      <c r="T261" s="161"/>
      <c r="U261" s="161"/>
      <c r="V261" s="161"/>
      <c r="W261" s="160"/>
      <c r="X261" s="161"/>
      <c r="Y261" s="161"/>
      <c r="Z261" s="161"/>
      <c r="AA261" s="161"/>
      <c r="AB261" s="160"/>
      <c r="AC261" s="161"/>
      <c r="AD261" s="161"/>
      <c r="AE261" s="161"/>
      <c r="AF261" s="161"/>
      <c r="AG261" s="160"/>
      <c r="AH261" s="161"/>
      <c r="AI261" s="161"/>
      <c r="AJ261" s="161"/>
      <c r="AK261" s="161"/>
    </row>
    <row r="262" spans="3:37" ht="12.75" customHeight="1">
      <c r="C262" s="162"/>
      <c r="D262" s="163"/>
      <c r="E262" s="163"/>
      <c r="F262" s="163"/>
      <c r="G262" s="163"/>
      <c r="H262" s="162"/>
      <c r="I262" s="163"/>
      <c r="J262" s="163"/>
      <c r="K262" s="163"/>
      <c r="L262" s="163"/>
      <c r="M262" s="162"/>
      <c r="N262" s="163"/>
      <c r="O262" s="163"/>
      <c r="P262" s="163"/>
      <c r="Q262" s="163"/>
      <c r="R262" s="162"/>
      <c r="S262" s="163"/>
      <c r="T262" s="163"/>
      <c r="U262" s="163"/>
      <c r="V262" s="163"/>
      <c r="W262" s="162"/>
      <c r="X262" s="163"/>
      <c r="Y262" s="163"/>
      <c r="Z262" s="163"/>
      <c r="AA262" s="163"/>
      <c r="AB262" s="162"/>
      <c r="AC262" s="163"/>
      <c r="AD262" s="163"/>
      <c r="AE262" s="163"/>
      <c r="AF262" s="163"/>
      <c r="AG262" s="162"/>
      <c r="AH262" s="163"/>
      <c r="AI262" s="163"/>
      <c r="AJ262" s="163"/>
      <c r="AK262" s="163"/>
    </row>
    <row r="263" spans="3:37" ht="12.75" customHeight="1">
      <c r="C263" s="127"/>
      <c r="D263" s="100"/>
      <c r="E263" s="100"/>
      <c r="F263" s="100"/>
      <c r="G263" s="100"/>
      <c r="H263" s="127"/>
      <c r="I263" s="100"/>
      <c r="J263" s="100"/>
      <c r="K263" s="100"/>
      <c r="L263" s="100"/>
      <c r="M263" s="127"/>
      <c r="N263" s="100"/>
      <c r="O263" s="100"/>
      <c r="P263" s="100"/>
      <c r="Q263" s="100"/>
      <c r="R263" s="127"/>
      <c r="S263" s="100"/>
      <c r="T263" s="100"/>
      <c r="U263" s="100"/>
      <c r="V263" s="100"/>
      <c r="W263" s="127"/>
      <c r="X263" s="100"/>
      <c r="Y263" s="100"/>
      <c r="Z263" s="100"/>
      <c r="AA263" s="100"/>
      <c r="AB263" s="127"/>
      <c r="AC263" s="100"/>
      <c r="AD263" s="100"/>
      <c r="AE263" s="100"/>
      <c r="AF263" s="100"/>
      <c r="AG263" s="127"/>
      <c r="AH263" s="100"/>
      <c r="AI263" s="100"/>
      <c r="AJ263" s="100"/>
      <c r="AK263" s="100"/>
    </row>
    <row r="264" spans="3:37" ht="12.75" customHeight="1">
      <c r="C264" s="127"/>
      <c r="D264" s="100"/>
      <c r="E264" s="100"/>
      <c r="F264" s="100"/>
      <c r="G264" s="100"/>
      <c r="H264" s="127"/>
      <c r="I264" s="100"/>
      <c r="J264" s="100"/>
      <c r="K264" s="100"/>
      <c r="L264" s="100"/>
      <c r="M264" s="127"/>
      <c r="N264" s="100"/>
      <c r="O264" s="100"/>
      <c r="P264" s="100"/>
      <c r="Q264" s="100"/>
      <c r="R264" s="127"/>
      <c r="S264" s="100"/>
      <c r="T264" s="100"/>
      <c r="U264" s="100"/>
      <c r="V264" s="100"/>
      <c r="W264" s="127"/>
      <c r="X264" s="100"/>
      <c r="Y264" s="100"/>
      <c r="Z264" s="100"/>
      <c r="AA264" s="100"/>
      <c r="AB264" s="127"/>
      <c r="AC264" s="100"/>
      <c r="AD264" s="100"/>
      <c r="AE264" s="100"/>
      <c r="AF264" s="100"/>
      <c r="AG264" s="127"/>
      <c r="AH264" s="100"/>
      <c r="AI264" s="100"/>
      <c r="AJ264" s="100"/>
      <c r="AK264" s="100"/>
    </row>
    <row r="265" spans="3:37" ht="12.75" customHeight="1">
      <c r="C265" s="127"/>
      <c r="D265" s="100"/>
      <c r="E265" s="100"/>
      <c r="F265" s="100"/>
      <c r="G265" s="100"/>
      <c r="H265" s="127"/>
      <c r="I265" s="100"/>
      <c r="J265" s="100"/>
      <c r="K265" s="100"/>
      <c r="L265" s="100"/>
      <c r="M265" s="127"/>
      <c r="N265" s="100"/>
      <c r="O265" s="100"/>
      <c r="P265" s="100"/>
      <c r="Q265" s="100"/>
      <c r="R265" s="127"/>
      <c r="S265" s="100"/>
      <c r="T265" s="100"/>
      <c r="U265" s="100"/>
      <c r="V265" s="100"/>
      <c r="W265" s="127"/>
      <c r="X265" s="100"/>
      <c r="Y265" s="100"/>
      <c r="Z265" s="100"/>
      <c r="AA265" s="100"/>
      <c r="AB265" s="127"/>
      <c r="AC265" s="100"/>
      <c r="AD265" s="100"/>
      <c r="AE265" s="100"/>
      <c r="AF265" s="100"/>
      <c r="AG265" s="127"/>
      <c r="AH265" s="100"/>
      <c r="AI265" s="100"/>
      <c r="AJ265" s="100"/>
      <c r="AK265" s="100"/>
    </row>
    <row r="266" spans="3:37" ht="12.75" customHeight="1">
      <c r="C266" s="162"/>
      <c r="D266" s="163"/>
      <c r="E266" s="163"/>
      <c r="F266" s="163"/>
      <c r="G266" s="163"/>
      <c r="H266" s="162"/>
      <c r="I266" s="163"/>
      <c r="J266" s="163"/>
      <c r="K266" s="163"/>
      <c r="L266" s="163"/>
      <c r="M266" s="162"/>
      <c r="N266" s="163"/>
      <c r="O266" s="163"/>
      <c r="P266" s="163"/>
      <c r="Q266" s="163"/>
      <c r="R266" s="162"/>
      <c r="S266" s="163"/>
      <c r="T266" s="163"/>
      <c r="U266" s="163"/>
      <c r="V266" s="163"/>
      <c r="W266" s="162"/>
      <c r="X266" s="163"/>
      <c r="Y266" s="163"/>
      <c r="Z266" s="163"/>
      <c r="AA266" s="163"/>
      <c r="AB266" s="162"/>
      <c r="AC266" s="163"/>
      <c r="AD266" s="163"/>
      <c r="AE266" s="163"/>
      <c r="AF266" s="163"/>
      <c r="AG266" s="162"/>
      <c r="AH266" s="163"/>
      <c r="AI266" s="163"/>
      <c r="AJ266" s="163"/>
      <c r="AK266" s="163"/>
    </row>
    <row r="267" spans="3:37" ht="12.75" customHeight="1">
      <c r="C267" s="101"/>
      <c r="D267" s="102"/>
      <c r="E267" s="102"/>
      <c r="F267" s="102"/>
      <c r="G267" s="102"/>
      <c r="H267" s="101"/>
      <c r="I267" s="102"/>
      <c r="J267" s="102"/>
      <c r="K267" s="102"/>
      <c r="L267" s="102"/>
      <c r="M267" s="101"/>
      <c r="N267" s="102"/>
      <c r="O267" s="102"/>
      <c r="P267" s="102"/>
      <c r="Q267" s="102"/>
      <c r="R267" s="101"/>
      <c r="S267" s="102"/>
      <c r="T267" s="102"/>
      <c r="U267" s="102"/>
      <c r="V267" s="102"/>
      <c r="W267" s="101"/>
      <c r="X267" s="102"/>
      <c r="Y267" s="102"/>
      <c r="Z267" s="102"/>
      <c r="AA267" s="102"/>
      <c r="AB267" s="101"/>
      <c r="AC267" s="102"/>
      <c r="AD267" s="102"/>
      <c r="AE267" s="102"/>
      <c r="AF267" s="102"/>
      <c r="AG267" s="101"/>
      <c r="AH267" s="102"/>
      <c r="AI267" s="102"/>
      <c r="AJ267" s="102"/>
      <c r="AK267" s="102"/>
    </row>
    <row r="268" spans="3:37" ht="12.75" customHeight="1">
      <c r="C268" s="101"/>
      <c r="D268" s="102"/>
      <c r="E268" s="102"/>
      <c r="F268" s="102"/>
      <c r="G268" s="102"/>
      <c r="H268" s="101"/>
      <c r="I268" s="102"/>
      <c r="J268" s="102"/>
      <c r="K268" s="102"/>
      <c r="L268" s="102"/>
      <c r="M268" s="101"/>
      <c r="N268" s="102"/>
      <c r="O268" s="102"/>
      <c r="P268" s="102"/>
      <c r="Q268" s="102"/>
      <c r="R268" s="101"/>
      <c r="S268" s="102"/>
      <c r="T268" s="102"/>
      <c r="U268" s="102"/>
      <c r="V268" s="102"/>
      <c r="W268" s="101"/>
      <c r="X268" s="102"/>
      <c r="Y268" s="102"/>
      <c r="Z268" s="102"/>
      <c r="AA268" s="102"/>
      <c r="AB268" s="101"/>
      <c r="AC268" s="102"/>
      <c r="AD268" s="102"/>
      <c r="AE268" s="102"/>
      <c r="AF268" s="102"/>
      <c r="AG268" s="101"/>
      <c r="AH268" s="102"/>
      <c r="AI268" s="102"/>
      <c r="AJ268" s="102"/>
      <c r="AK268" s="102"/>
    </row>
    <row r="269" spans="3:37" ht="12.75" customHeight="1">
      <c r="C269" s="101"/>
      <c r="D269" s="102"/>
      <c r="E269" s="102"/>
      <c r="F269" s="102"/>
      <c r="G269" s="102"/>
      <c r="H269" s="101"/>
      <c r="I269" s="102"/>
      <c r="J269" s="102"/>
      <c r="K269" s="102"/>
      <c r="L269" s="102"/>
      <c r="M269" s="101"/>
      <c r="N269" s="102"/>
      <c r="O269" s="102"/>
      <c r="P269" s="102"/>
      <c r="Q269" s="102"/>
      <c r="R269" s="101"/>
      <c r="S269" s="102"/>
      <c r="T269" s="102"/>
      <c r="U269" s="102"/>
      <c r="V269" s="102"/>
      <c r="W269" s="101"/>
      <c r="X269" s="102"/>
      <c r="Y269" s="102"/>
      <c r="Z269" s="102"/>
      <c r="AA269" s="102"/>
      <c r="AB269" s="101"/>
      <c r="AC269" s="102"/>
      <c r="AD269" s="102"/>
      <c r="AE269" s="102"/>
      <c r="AF269" s="102"/>
      <c r="AG269" s="101"/>
      <c r="AH269" s="102"/>
      <c r="AI269" s="102"/>
      <c r="AJ269" s="102"/>
      <c r="AK269" s="102"/>
    </row>
    <row r="270" spans="3:37" ht="12.75" customHeight="1">
      <c r="C270" s="164"/>
      <c r="D270" s="165"/>
      <c r="E270" s="165"/>
      <c r="F270" s="165"/>
      <c r="G270" s="165"/>
      <c r="H270" s="164"/>
      <c r="I270" s="165"/>
      <c r="J270" s="165"/>
      <c r="K270" s="165"/>
      <c r="L270" s="165"/>
      <c r="M270" s="164"/>
      <c r="N270" s="165"/>
      <c r="O270" s="165"/>
      <c r="P270" s="165"/>
      <c r="Q270" s="165"/>
      <c r="R270" s="164"/>
      <c r="S270" s="165"/>
      <c r="T270" s="165"/>
      <c r="U270" s="165"/>
      <c r="V270" s="165"/>
      <c r="W270" s="164"/>
      <c r="X270" s="165"/>
      <c r="Y270" s="165"/>
      <c r="Z270" s="165"/>
      <c r="AA270" s="165"/>
      <c r="AB270" s="164"/>
      <c r="AC270" s="165"/>
      <c r="AD270" s="165"/>
      <c r="AE270" s="165"/>
      <c r="AF270" s="165"/>
      <c r="AG270" s="164"/>
      <c r="AH270" s="165"/>
      <c r="AI270" s="165"/>
      <c r="AJ270" s="165"/>
      <c r="AK270" s="165"/>
    </row>
    <row r="271" spans="3:37" ht="12.75" customHeight="1">
      <c r="C271" s="101"/>
      <c r="D271" s="102"/>
      <c r="E271" s="102"/>
      <c r="F271" s="102"/>
      <c r="G271" s="102"/>
      <c r="H271" s="101"/>
      <c r="I271" s="102"/>
      <c r="J271" s="102"/>
      <c r="K271" s="102"/>
      <c r="L271" s="102"/>
      <c r="M271" s="101"/>
      <c r="N271" s="102"/>
      <c r="O271" s="102"/>
      <c r="P271" s="102"/>
      <c r="Q271" s="102"/>
      <c r="R271" s="101"/>
      <c r="S271" s="102"/>
      <c r="T271" s="102"/>
      <c r="U271" s="102"/>
      <c r="V271" s="102"/>
      <c r="W271" s="101"/>
      <c r="X271" s="102"/>
      <c r="Y271" s="102"/>
      <c r="Z271" s="102"/>
      <c r="AA271" s="102"/>
      <c r="AB271" s="101"/>
      <c r="AC271" s="102"/>
      <c r="AD271" s="102"/>
      <c r="AE271" s="102"/>
      <c r="AF271" s="102"/>
      <c r="AG271" s="101"/>
      <c r="AH271" s="102"/>
      <c r="AI271" s="102"/>
      <c r="AJ271" s="102"/>
      <c r="AK271" s="102"/>
    </row>
    <row r="272" spans="3:37" ht="12.75" customHeight="1">
      <c r="C272" s="162"/>
      <c r="D272" s="102"/>
      <c r="E272" s="102"/>
      <c r="F272" s="102"/>
      <c r="G272" s="102"/>
      <c r="H272" s="162"/>
      <c r="I272" s="102"/>
      <c r="J272" s="102"/>
      <c r="K272" s="102"/>
      <c r="L272" s="102"/>
      <c r="M272" s="162"/>
      <c r="N272" s="102"/>
      <c r="O272" s="102"/>
      <c r="P272" s="102"/>
      <c r="Q272" s="102"/>
      <c r="R272" s="162"/>
      <c r="S272" s="102"/>
      <c r="T272" s="102"/>
      <c r="U272" s="102"/>
      <c r="V272" s="102"/>
      <c r="W272" s="162"/>
      <c r="X272" s="102"/>
      <c r="Y272" s="102"/>
      <c r="Z272" s="102"/>
      <c r="AA272" s="102"/>
      <c r="AB272" s="162"/>
      <c r="AC272" s="102"/>
      <c r="AD272" s="102"/>
      <c r="AE272" s="102"/>
      <c r="AF272" s="102"/>
      <c r="AG272" s="162"/>
      <c r="AH272" s="102"/>
      <c r="AI272" s="102"/>
      <c r="AJ272" s="102"/>
      <c r="AK272" s="102"/>
    </row>
    <row r="273" spans="3:37" ht="12.75" customHeight="1">
      <c r="C273" s="101"/>
      <c r="D273" s="102"/>
      <c r="E273" s="102"/>
      <c r="F273" s="102"/>
      <c r="G273" s="102"/>
      <c r="H273" s="101"/>
      <c r="I273" s="102"/>
      <c r="J273" s="102"/>
      <c r="K273" s="102"/>
      <c r="L273" s="102"/>
      <c r="M273" s="101"/>
      <c r="N273" s="102"/>
      <c r="O273" s="102"/>
      <c r="P273" s="102"/>
      <c r="Q273" s="102"/>
      <c r="R273" s="101"/>
      <c r="S273" s="102"/>
      <c r="T273" s="102"/>
      <c r="U273" s="102"/>
      <c r="V273" s="102"/>
      <c r="W273" s="101"/>
      <c r="X273" s="102"/>
      <c r="Y273" s="102"/>
      <c r="Z273" s="102"/>
      <c r="AA273" s="102"/>
      <c r="AB273" s="101"/>
      <c r="AC273" s="102"/>
      <c r="AD273" s="102"/>
      <c r="AE273" s="102"/>
      <c r="AF273" s="102"/>
      <c r="AG273" s="101"/>
      <c r="AH273" s="102"/>
      <c r="AI273" s="102"/>
      <c r="AJ273" s="102"/>
      <c r="AK273" s="102"/>
    </row>
    <row r="274" spans="3:37" ht="12.75" customHeight="1">
      <c r="C274" s="101"/>
      <c r="D274" s="166"/>
      <c r="E274" s="166"/>
      <c r="F274" s="166"/>
      <c r="G274" s="166"/>
      <c r="H274" s="101"/>
      <c r="I274" s="166"/>
      <c r="J274" s="166"/>
      <c r="K274" s="166"/>
      <c r="L274" s="166"/>
      <c r="M274" s="101"/>
      <c r="N274" s="166"/>
      <c r="O274" s="166"/>
      <c r="P274" s="166"/>
      <c r="Q274" s="166"/>
      <c r="R274" s="101"/>
      <c r="S274" s="166"/>
      <c r="T274" s="166"/>
      <c r="U274" s="166"/>
      <c r="V274" s="166"/>
      <c r="W274" s="101"/>
      <c r="X274" s="166"/>
      <c r="Y274" s="166"/>
      <c r="Z274" s="166"/>
      <c r="AA274" s="166"/>
      <c r="AB274" s="101"/>
      <c r="AC274" s="166"/>
      <c r="AD274" s="166"/>
      <c r="AE274" s="166"/>
      <c r="AF274" s="166"/>
      <c r="AG274" s="101"/>
      <c r="AH274" s="166"/>
      <c r="AI274" s="166"/>
      <c r="AJ274" s="166"/>
      <c r="AK274" s="166"/>
    </row>
    <row r="275" spans="3:37" ht="12.75" customHeight="1">
      <c r="C275" s="167"/>
      <c r="D275" s="168"/>
      <c r="E275" s="168"/>
      <c r="F275" s="168"/>
      <c r="G275" s="168"/>
      <c r="H275" s="167"/>
      <c r="I275" s="168"/>
      <c r="J275" s="168"/>
      <c r="K275" s="168"/>
      <c r="L275" s="168"/>
      <c r="M275" s="167"/>
      <c r="N275" s="168"/>
      <c r="O275" s="168"/>
      <c r="P275" s="168"/>
      <c r="Q275" s="168"/>
      <c r="R275" s="167"/>
      <c r="S275" s="168"/>
      <c r="T275" s="168"/>
      <c r="U275" s="168"/>
      <c r="V275" s="168"/>
      <c r="W275" s="167"/>
      <c r="X275" s="168"/>
      <c r="Y275" s="168"/>
      <c r="Z275" s="168"/>
      <c r="AA275" s="168"/>
      <c r="AB275" s="167"/>
      <c r="AC275" s="168"/>
      <c r="AD275" s="168"/>
      <c r="AE275" s="168"/>
      <c r="AF275" s="168"/>
      <c r="AG275" s="167"/>
      <c r="AH275" s="168"/>
      <c r="AI275" s="168"/>
      <c r="AJ275" s="168"/>
      <c r="AK275" s="168"/>
    </row>
    <row r="278" spans="3:37" ht="12.75" customHeight="1">
      <c r="C278" s="127"/>
      <c r="D278" s="100"/>
      <c r="E278" s="100"/>
      <c r="F278" s="100"/>
      <c r="G278" s="100"/>
      <c r="H278" s="127"/>
      <c r="I278" s="100"/>
      <c r="J278" s="100"/>
      <c r="K278" s="100"/>
      <c r="L278" s="100"/>
      <c r="M278" s="127"/>
      <c r="N278" s="100"/>
      <c r="O278" s="100"/>
      <c r="P278" s="100"/>
      <c r="Q278" s="100"/>
      <c r="R278" s="127"/>
      <c r="S278" s="100"/>
      <c r="T278" s="100"/>
      <c r="U278" s="100"/>
      <c r="V278" s="100"/>
      <c r="W278" s="127"/>
      <c r="X278" s="100"/>
      <c r="Y278" s="100"/>
      <c r="Z278" s="100"/>
      <c r="AA278" s="100"/>
      <c r="AB278" s="127"/>
      <c r="AC278" s="100"/>
      <c r="AD278" s="100"/>
      <c r="AE278" s="100"/>
      <c r="AF278" s="100"/>
      <c r="AG278" s="127"/>
      <c r="AH278" s="100"/>
      <c r="AI278" s="100"/>
      <c r="AJ278" s="100"/>
      <c r="AK278" s="100"/>
    </row>
    <row r="281" spans="3:37" ht="12.75" customHeight="1">
      <c r="C281" s="169"/>
      <c r="D281" s="170"/>
      <c r="E281" s="170"/>
      <c r="F281" s="170"/>
      <c r="G281" s="170"/>
      <c r="H281" s="169"/>
      <c r="I281" s="170"/>
      <c r="J281" s="170"/>
      <c r="K281" s="170"/>
      <c r="L281" s="170"/>
      <c r="M281" s="169"/>
      <c r="N281" s="170"/>
      <c r="O281" s="170"/>
      <c r="P281" s="170"/>
      <c r="Q281" s="170"/>
      <c r="R281" s="169"/>
      <c r="S281" s="170"/>
      <c r="T281" s="170"/>
      <c r="U281" s="170"/>
      <c r="V281" s="170"/>
      <c r="W281" s="169"/>
      <c r="X281" s="170"/>
      <c r="Y281" s="170"/>
      <c r="Z281" s="170"/>
      <c r="AA281" s="170"/>
      <c r="AB281" s="169"/>
      <c r="AC281" s="170"/>
      <c r="AD281" s="170"/>
      <c r="AE281" s="170"/>
      <c r="AF281" s="170"/>
      <c r="AG281" s="169"/>
      <c r="AH281" s="170"/>
      <c r="AI281" s="170"/>
      <c r="AJ281" s="170"/>
      <c r="AK281" s="170"/>
    </row>
    <row r="284" spans="3:37" ht="12.75" customHeight="1">
      <c r="C284" s="127"/>
      <c r="D284" s="100"/>
      <c r="E284" s="100"/>
      <c r="F284" s="100"/>
      <c r="G284" s="100"/>
      <c r="H284" s="127"/>
      <c r="I284" s="100"/>
      <c r="J284" s="100"/>
      <c r="K284" s="100"/>
      <c r="L284" s="100"/>
      <c r="M284" s="127"/>
      <c r="N284" s="100"/>
      <c r="O284" s="100"/>
      <c r="P284" s="100"/>
      <c r="Q284" s="100"/>
      <c r="R284" s="127"/>
      <c r="S284" s="100"/>
      <c r="T284" s="100"/>
      <c r="U284" s="100"/>
      <c r="V284" s="100"/>
      <c r="W284" s="127"/>
      <c r="X284" s="100"/>
      <c r="Y284" s="100"/>
      <c r="Z284" s="100"/>
      <c r="AA284" s="100"/>
      <c r="AB284" s="127"/>
      <c r="AC284" s="100"/>
      <c r="AD284" s="100"/>
      <c r="AE284" s="100"/>
      <c r="AF284" s="100"/>
      <c r="AG284" s="127"/>
      <c r="AH284" s="100"/>
      <c r="AI284" s="100"/>
      <c r="AJ284" s="100"/>
      <c r="AK284" s="100"/>
    </row>
    <row r="285" spans="3:37" ht="12.75" customHeight="1">
      <c r="C285" s="171"/>
      <c r="D285" s="172"/>
      <c r="E285" s="172"/>
      <c r="F285" s="172"/>
      <c r="G285" s="172"/>
      <c r="H285" s="171"/>
      <c r="I285" s="172"/>
      <c r="J285" s="172"/>
      <c r="K285" s="172"/>
      <c r="L285" s="172"/>
      <c r="M285" s="171"/>
      <c r="N285" s="172"/>
      <c r="O285" s="172"/>
      <c r="P285" s="172"/>
      <c r="Q285" s="172"/>
      <c r="R285" s="171"/>
      <c r="S285" s="172"/>
      <c r="T285" s="172"/>
      <c r="U285" s="172"/>
      <c r="V285" s="172"/>
      <c r="W285" s="171"/>
      <c r="X285" s="172"/>
      <c r="Y285" s="172"/>
      <c r="Z285" s="172"/>
      <c r="AA285" s="172"/>
      <c r="AB285" s="171"/>
      <c r="AC285" s="172"/>
      <c r="AD285" s="172"/>
      <c r="AE285" s="172"/>
      <c r="AF285" s="172"/>
      <c r="AG285" s="171"/>
      <c r="AH285" s="172"/>
      <c r="AI285" s="172"/>
      <c r="AJ285" s="172"/>
      <c r="AK285" s="172"/>
    </row>
    <row r="286" spans="3:37" ht="12.75" customHeight="1">
      <c r="C286" s="167"/>
      <c r="D286" s="100"/>
      <c r="E286" s="100"/>
      <c r="F286" s="100"/>
      <c r="G286" s="100"/>
      <c r="H286" s="167"/>
      <c r="I286" s="100"/>
      <c r="J286" s="100"/>
      <c r="K286" s="100"/>
      <c r="L286" s="100"/>
      <c r="M286" s="167"/>
      <c r="N286" s="100"/>
      <c r="O286" s="100"/>
      <c r="P286" s="100"/>
      <c r="Q286" s="100"/>
      <c r="R286" s="167"/>
      <c r="S286" s="100"/>
      <c r="T286" s="100"/>
      <c r="U286" s="100"/>
      <c r="V286" s="100"/>
      <c r="W286" s="167"/>
      <c r="X286" s="100"/>
      <c r="Y286" s="100"/>
      <c r="Z286" s="100"/>
      <c r="AA286" s="100"/>
      <c r="AB286" s="167"/>
      <c r="AC286" s="100"/>
      <c r="AD286" s="100"/>
      <c r="AE286" s="100"/>
      <c r="AF286" s="100"/>
      <c r="AG286" s="167"/>
      <c r="AH286" s="100"/>
      <c r="AI286" s="100"/>
      <c r="AJ286" s="100"/>
      <c r="AK286" s="100"/>
    </row>
    <row r="288" spans="3:37" ht="12.75" customHeight="1">
      <c r="C288" s="162"/>
      <c r="D288" s="163"/>
      <c r="E288" s="163"/>
      <c r="F288" s="163"/>
      <c r="G288" s="163"/>
      <c r="H288" s="162"/>
      <c r="I288" s="163"/>
      <c r="J288" s="163"/>
      <c r="K288" s="163"/>
      <c r="L288" s="163"/>
      <c r="M288" s="162"/>
      <c r="N288" s="163"/>
      <c r="O288" s="163"/>
      <c r="P288" s="163"/>
      <c r="Q288" s="163"/>
      <c r="R288" s="162"/>
      <c r="S288" s="163"/>
      <c r="T288" s="163"/>
      <c r="U288" s="163"/>
      <c r="V288" s="163"/>
      <c r="W288" s="162"/>
      <c r="X288" s="163"/>
      <c r="Y288" s="163"/>
      <c r="Z288" s="163"/>
      <c r="AA288" s="163"/>
      <c r="AB288" s="162"/>
      <c r="AC288" s="163"/>
      <c r="AD288" s="163"/>
      <c r="AE288" s="163"/>
      <c r="AF288" s="163"/>
      <c r="AG288" s="162"/>
      <c r="AH288" s="163"/>
      <c r="AI288" s="163"/>
      <c r="AJ288" s="163"/>
      <c r="AK288" s="163"/>
    </row>
    <row r="289" spans="3:37" ht="12.75" customHeight="1">
      <c r="C289" s="127"/>
      <c r="D289" s="100"/>
      <c r="E289" s="100"/>
      <c r="F289" s="100"/>
      <c r="G289" s="100"/>
      <c r="H289" s="127"/>
      <c r="I289" s="100"/>
      <c r="J289" s="100"/>
      <c r="K289" s="100"/>
      <c r="L289" s="100"/>
      <c r="M289" s="127"/>
      <c r="N289" s="100"/>
      <c r="O289" s="100"/>
      <c r="P289" s="100"/>
      <c r="Q289" s="100"/>
      <c r="R289" s="127"/>
      <c r="S289" s="100"/>
      <c r="T289" s="100"/>
      <c r="U289" s="100"/>
      <c r="V289" s="100"/>
      <c r="W289" s="127"/>
      <c r="X289" s="100"/>
      <c r="Y289" s="100"/>
      <c r="Z289" s="100"/>
      <c r="AA289" s="100"/>
      <c r="AB289" s="127"/>
      <c r="AC289" s="100"/>
      <c r="AD289" s="100"/>
      <c r="AE289" s="100"/>
      <c r="AF289" s="100"/>
      <c r="AG289" s="127"/>
      <c r="AH289" s="100"/>
      <c r="AI289" s="100"/>
      <c r="AJ289" s="100"/>
      <c r="AK289" s="100"/>
    </row>
    <row r="291" spans="3:37" ht="12.75" customHeight="1">
      <c r="C291" s="173"/>
      <c r="D291" s="166"/>
      <c r="E291" s="166"/>
      <c r="F291" s="166"/>
      <c r="G291" s="166"/>
      <c r="H291" s="173"/>
      <c r="I291" s="166"/>
      <c r="J291" s="166"/>
      <c r="K291" s="166"/>
      <c r="L291" s="166"/>
      <c r="M291" s="173"/>
      <c r="N291" s="166"/>
      <c r="O291" s="166"/>
      <c r="P291" s="166"/>
      <c r="Q291" s="166"/>
      <c r="R291" s="173"/>
      <c r="S291" s="166"/>
      <c r="T291" s="166"/>
      <c r="U291" s="166"/>
      <c r="V291" s="166"/>
      <c r="W291" s="173"/>
      <c r="X291" s="166"/>
      <c r="Y291" s="166"/>
      <c r="Z291" s="166"/>
      <c r="AA291" s="166"/>
      <c r="AB291" s="173"/>
      <c r="AC291" s="166"/>
      <c r="AD291" s="166"/>
      <c r="AE291" s="166"/>
      <c r="AF291" s="166"/>
      <c r="AG291" s="173"/>
      <c r="AH291" s="166"/>
      <c r="AI291" s="166"/>
      <c r="AJ291" s="166"/>
      <c r="AK291" s="166"/>
    </row>
    <row r="292" spans="3:37" ht="12.75" customHeight="1">
      <c r="C292" s="167"/>
      <c r="D292" s="168"/>
      <c r="E292" s="168"/>
      <c r="F292" s="168"/>
      <c r="G292" s="168"/>
      <c r="H292" s="167"/>
      <c r="I292" s="168"/>
      <c r="J292" s="168"/>
      <c r="K292" s="168"/>
      <c r="L292" s="168"/>
      <c r="M292" s="167"/>
      <c r="N292" s="168"/>
      <c r="O292" s="168"/>
      <c r="P292" s="168"/>
      <c r="Q292" s="168"/>
      <c r="R292" s="167"/>
      <c r="S292" s="168"/>
      <c r="T292" s="168"/>
      <c r="U292" s="168"/>
      <c r="V292" s="168"/>
      <c r="W292" s="167"/>
      <c r="X292" s="168"/>
      <c r="Y292" s="168"/>
      <c r="Z292" s="168"/>
      <c r="AA292" s="168"/>
      <c r="AB292" s="167"/>
      <c r="AC292" s="168"/>
      <c r="AD292" s="168"/>
      <c r="AE292" s="168"/>
      <c r="AF292" s="168"/>
      <c r="AG292" s="167"/>
      <c r="AH292" s="168"/>
      <c r="AI292" s="168"/>
      <c r="AJ292" s="168"/>
      <c r="AK292" s="168"/>
    </row>
    <row r="294" spans="3:37" ht="12.75" customHeight="1">
      <c r="C294" s="162"/>
      <c r="D294" s="163"/>
      <c r="E294" s="163"/>
      <c r="F294" s="163"/>
      <c r="G294" s="163"/>
      <c r="H294" s="162"/>
      <c r="I294" s="163"/>
      <c r="J294" s="163"/>
      <c r="K294" s="163"/>
      <c r="L294" s="163"/>
      <c r="M294" s="162"/>
      <c r="N294" s="163"/>
      <c r="O294" s="163"/>
      <c r="P294" s="163"/>
      <c r="Q294" s="163"/>
      <c r="R294" s="162"/>
      <c r="S294" s="163"/>
      <c r="T294" s="163"/>
      <c r="U294" s="163"/>
      <c r="V294" s="163"/>
      <c r="W294" s="162"/>
      <c r="X294" s="163"/>
      <c r="Y294" s="163"/>
      <c r="Z294" s="163"/>
      <c r="AA294" s="163"/>
      <c r="AB294" s="162"/>
      <c r="AC294" s="163"/>
      <c r="AD294" s="163"/>
      <c r="AE294" s="163"/>
      <c r="AF294" s="163"/>
      <c r="AG294" s="162"/>
      <c r="AH294" s="163"/>
      <c r="AI294" s="163"/>
      <c r="AJ294" s="163"/>
      <c r="AK294" s="163"/>
    </row>
    <row r="295" spans="3:37" ht="12.75" customHeight="1">
      <c r="C295" s="127"/>
      <c r="D295" s="100"/>
      <c r="E295" s="100"/>
      <c r="F295" s="100"/>
      <c r="G295" s="100"/>
      <c r="H295" s="127"/>
      <c r="I295" s="100"/>
      <c r="J295" s="100"/>
      <c r="K295" s="100"/>
      <c r="L295" s="100"/>
      <c r="M295" s="127"/>
      <c r="N295" s="100"/>
      <c r="O295" s="100"/>
      <c r="P295" s="100"/>
      <c r="Q295" s="100"/>
      <c r="R295" s="127"/>
      <c r="S295" s="100"/>
      <c r="T295" s="100"/>
      <c r="U295" s="100"/>
      <c r="V295" s="100"/>
      <c r="W295" s="127"/>
      <c r="X295" s="100"/>
      <c r="Y295" s="100"/>
      <c r="Z295" s="100"/>
      <c r="AA295" s="100"/>
      <c r="AB295" s="127"/>
      <c r="AC295" s="100"/>
      <c r="AD295" s="100"/>
      <c r="AE295" s="100"/>
      <c r="AF295" s="100"/>
      <c r="AG295" s="127"/>
      <c r="AH295" s="100"/>
      <c r="AI295" s="100"/>
      <c r="AJ295" s="100"/>
      <c r="AK295" s="100"/>
    </row>
    <row r="297" spans="3:37" ht="12.75" customHeight="1">
      <c r="C297" s="127"/>
      <c r="D297" s="100"/>
      <c r="E297" s="100"/>
      <c r="F297" s="100"/>
      <c r="G297" s="100"/>
      <c r="H297" s="127"/>
      <c r="I297" s="100"/>
      <c r="J297" s="100"/>
      <c r="K297" s="100"/>
      <c r="L297" s="100"/>
      <c r="M297" s="127"/>
      <c r="N297" s="100"/>
      <c r="O297" s="100"/>
      <c r="P297" s="100"/>
      <c r="Q297" s="100"/>
      <c r="R297" s="127"/>
      <c r="S297" s="100"/>
      <c r="T297" s="100"/>
      <c r="U297" s="100"/>
      <c r="V297" s="100"/>
      <c r="W297" s="127"/>
      <c r="X297" s="100"/>
      <c r="Y297" s="100"/>
      <c r="Z297" s="100"/>
      <c r="AA297" s="100"/>
      <c r="AB297" s="127"/>
      <c r="AC297" s="100"/>
      <c r="AD297" s="100"/>
      <c r="AE297" s="100"/>
      <c r="AF297" s="100"/>
      <c r="AG297" s="127"/>
      <c r="AH297" s="100"/>
      <c r="AI297" s="100"/>
      <c r="AJ297" s="100"/>
      <c r="AK297" s="100"/>
    </row>
    <row r="300" spans="3:37" ht="12.75" customHeight="1">
      <c r="C300" s="174"/>
      <c r="D300" s="175"/>
      <c r="E300" s="175"/>
      <c r="F300" s="175"/>
      <c r="G300" s="175"/>
      <c r="H300" s="174"/>
      <c r="I300" s="175"/>
      <c r="J300" s="175"/>
      <c r="K300" s="175"/>
      <c r="L300" s="175"/>
      <c r="M300" s="174"/>
      <c r="N300" s="175"/>
      <c r="O300" s="175"/>
      <c r="P300" s="175"/>
      <c r="Q300" s="175"/>
      <c r="R300" s="174"/>
      <c r="S300" s="175"/>
      <c r="T300" s="175"/>
      <c r="U300" s="175"/>
      <c r="V300" s="175"/>
      <c r="W300" s="174"/>
      <c r="X300" s="175"/>
      <c r="Y300" s="175"/>
      <c r="Z300" s="175"/>
      <c r="AA300" s="175"/>
      <c r="AB300" s="174"/>
      <c r="AC300" s="175"/>
      <c r="AD300" s="175"/>
      <c r="AE300" s="175"/>
      <c r="AF300" s="175"/>
      <c r="AG300" s="174"/>
      <c r="AH300" s="175"/>
      <c r="AI300" s="175"/>
      <c r="AJ300" s="175"/>
      <c r="AK300" s="175"/>
    </row>
    <row r="301" spans="3:37" ht="12.75" customHeight="1">
      <c r="C301" s="127"/>
      <c r="D301" s="100"/>
      <c r="E301" s="100"/>
      <c r="F301" s="100"/>
      <c r="G301" s="100"/>
      <c r="H301" s="127"/>
      <c r="I301" s="100"/>
      <c r="J301" s="100"/>
      <c r="K301" s="100"/>
      <c r="L301" s="100"/>
      <c r="M301" s="127"/>
      <c r="N301" s="100"/>
      <c r="O301" s="100"/>
      <c r="P301" s="100"/>
      <c r="Q301" s="100"/>
      <c r="R301" s="127"/>
      <c r="S301" s="100"/>
      <c r="T301" s="100"/>
      <c r="U301" s="100"/>
      <c r="V301" s="100"/>
      <c r="W301" s="127"/>
      <c r="X301" s="100"/>
      <c r="Y301" s="100"/>
      <c r="Z301" s="100"/>
      <c r="AA301" s="100"/>
      <c r="AB301" s="127"/>
      <c r="AC301" s="100"/>
      <c r="AD301" s="100"/>
      <c r="AE301" s="100"/>
      <c r="AF301" s="100"/>
      <c r="AG301" s="127"/>
      <c r="AH301" s="100"/>
      <c r="AI301" s="100"/>
      <c r="AJ301" s="100"/>
      <c r="AK301" s="100"/>
    </row>
    <row r="304" spans="3:37" ht="12.75" customHeight="1">
      <c r="C304" s="162"/>
      <c r="D304" s="163"/>
      <c r="E304" s="163"/>
      <c r="F304" s="163"/>
      <c r="G304" s="163"/>
      <c r="H304" s="162"/>
      <c r="I304" s="163"/>
      <c r="J304" s="163"/>
      <c r="K304" s="163"/>
      <c r="L304" s="163"/>
      <c r="M304" s="162"/>
      <c r="N304" s="163"/>
      <c r="O304" s="163"/>
      <c r="P304" s="163"/>
      <c r="Q304" s="163"/>
      <c r="R304" s="162"/>
      <c r="S304" s="163"/>
      <c r="T304" s="163"/>
      <c r="U304" s="163"/>
      <c r="V304" s="163"/>
      <c r="W304" s="162"/>
      <c r="X304" s="163"/>
      <c r="Y304" s="163"/>
      <c r="Z304" s="163"/>
      <c r="AA304" s="163"/>
      <c r="AB304" s="162"/>
      <c r="AC304" s="163"/>
      <c r="AD304" s="163"/>
      <c r="AE304" s="163"/>
      <c r="AF304" s="163"/>
      <c r="AG304" s="162"/>
      <c r="AH304" s="163"/>
      <c r="AI304" s="163"/>
      <c r="AJ304" s="163"/>
      <c r="AK304" s="163"/>
    </row>
    <row r="305" spans="3:37" ht="12.75" customHeight="1">
      <c r="C305" s="101"/>
      <c r="D305" s="102"/>
      <c r="E305" s="102"/>
      <c r="F305" s="102"/>
      <c r="G305" s="102"/>
      <c r="H305" s="101"/>
      <c r="I305" s="102"/>
      <c r="J305" s="102"/>
      <c r="K305" s="102"/>
      <c r="L305" s="102"/>
      <c r="M305" s="101"/>
      <c r="N305" s="102"/>
      <c r="O305" s="102"/>
      <c r="P305" s="102"/>
      <c r="Q305" s="102"/>
      <c r="R305" s="101"/>
      <c r="S305" s="102"/>
      <c r="T305" s="102"/>
      <c r="U305" s="102"/>
      <c r="V305" s="102"/>
      <c r="W305" s="101"/>
      <c r="X305" s="102"/>
      <c r="Y305" s="102"/>
      <c r="Z305" s="102"/>
      <c r="AA305" s="102"/>
      <c r="AB305" s="101"/>
      <c r="AC305" s="102"/>
      <c r="AD305" s="102"/>
      <c r="AE305" s="102"/>
      <c r="AF305" s="102"/>
      <c r="AG305" s="101"/>
      <c r="AH305" s="102"/>
      <c r="AI305" s="102"/>
      <c r="AJ305" s="102"/>
      <c r="AK305" s="102"/>
    </row>
    <row r="306" spans="3:37" ht="12.75" customHeight="1">
      <c r="C306" s="101"/>
      <c r="D306" s="102"/>
      <c r="E306" s="102"/>
      <c r="F306" s="102"/>
      <c r="G306" s="102"/>
      <c r="H306" s="101"/>
      <c r="I306" s="102"/>
      <c r="J306" s="102"/>
      <c r="K306" s="102"/>
      <c r="L306" s="102"/>
      <c r="M306" s="101"/>
      <c r="N306" s="102"/>
      <c r="O306" s="102"/>
      <c r="P306" s="102"/>
      <c r="Q306" s="102"/>
      <c r="R306" s="101"/>
      <c r="S306" s="102"/>
      <c r="T306" s="102"/>
      <c r="U306" s="102"/>
      <c r="V306" s="102"/>
      <c r="W306" s="101"/>
      <c r="X306" s="102"/>
      <c r="Y306" s="102"/>
      <c r="Z306" s="102"/>
      <c r="AA306" s="102"/>
      <c r="AB306" s="101"/>
      <c r="AC306" s="102"/>
      <c r="AD306" s="102"/>
      <c r="AE306" s="102"/>
      <c r="AF306" s="102"/>
      <c r="AG306" s="101"/>
      <c r="AH306" s="102"/>
      <c r="AI306" s="102"/>
      <c r="AJ306" s="102"/>
      <c r="AK306" s="102"/>
    </row>
    <row r="307" spans="3:37" ht="12.75" customHeight="1">
      <c r="C307" s="173"/>
      <c r="D307" s="166"/>
      <c r="E307" s="166"/>
      <c r="F307" s="166"/>
      <c r="G307" s="166"/>
      <c r="H307" s="173"/>
      <c r="I307" s="166"/>
      <c r="J307" s="166"/>
      <c r="K307" s="166"/>
      <c r="L307" s="166"/>
      <c r="M307" s="173"/>
      <c r="N307" s="166"/>
      <c r="O307" s="166"/>
      <c r="P307" s="166"/>
      <c r="Q307" s="166"/>
      <c r="R307" s="173"/>
      <c r="S307" s="166"/>
      <c r="T307" s="166"/>
      <c r="U307" s="166"/>
      <c r="V307" s="166"/>
      <c r="W307" s="173"/>
      <c r="X307" s="166"/>
      <c r="Y307" s="166"/>
      <c r="Z307" s="166"/>
      <c r="AA307" s="166"/>
      <c r="AB307" s="173"/>
      <c r="AC307" s="166"/>
      <c r="AD307" s="166"/>
      <c r="AE307" s="166"/>
      <c r="AF307" s="166"/>
      <c r="AG307" s="173"/>
      <c r="AH307" s="166"/>
      <c r="AI307" s="166"/>
      <c r="AJ307" s="166"/>
      <c r="AK307" s="166"/>
    </row>
    <row r="308" spans="3:37" ht="12.75" customHeight="1">
      <c r="C308" s="167"/>
      <c r="D308" s="168"/>
      <c r="E308" s="168"/>
      <c r="F308" s="168"/>
      <c r="G308" s="168"/>
      <c r="H308" s="167"/>
      <c r="I308" s="168"/>
      <c r="J308" s="168"/>
      <c r="K308" s="168"/>
      <c r="L308" s="168"/>
      <c r="M308" s="167"/>
      <c r="N308" s="168"/>
      <c r="O308" s="168"/>
      <c r="P308" s="168"/>
      <c r="Q308" s="168"/>
      <c r="R308" s="167"/>
      <c r="S308" s="168"/>
      <c r="T308" s="168"/>
      <c r="U308" s="168"/>
      <c r="V308" s="168"/>
      <c r="W308" s="167"/>
      <c r="X308" s="168"/>
      <c r="Y308" s="168"/>
      <c r="Z308" s="168"/>
      <c r="AA308" s="168"/>
      <c r="AB308" s="167"/>
      <c r="AC308" s="168"/>
      <c r="AD308" s="168"/>
      <c r="AE308" s="168"/>
      <c r="AF308" s="168"/>
      <c r="AG308" s="167"/>
      <c r="AH308" s="168"/>
      <c r="AI308" s="168"/>
      <c r="AJ308" s="168"/>
      <c r="AK308" s="168"/>
    </row>
    <row r="309" spans="3:37" ht="12.75" customHeight="1">
      <c r="C309" s="101"/>
      <c r="D309" s="102"/>
      <c r="E309" s="102"/>
      <c r="F309" s="102"/>
      <c r="G309" s="102"/>
      <c r="H309" s="101"/>
      <c r="I309" s="102"/>
      <c r="J309" s="102"/>
      <c r="K309" s="102"/>
      <c r="L309" s="102"/>
      <c r="M309" s="101"/>
      <c r="N309" s="102"/>
      <c r="O309" s="102"/>
      <c r="P309" s="102"/>
      <c r="Q309" s="102"/>
      <c r="R309" s="101"/>
      <c r="S309" s="102"/>
      <c r="T309" s="102"/>
      <c r="U309" s="102"/>
      <c r="V309" s="102"/>
      <c r="W309" s="101"/>
      <c r="X309" s="102"/>
      <c r="Y309" s="102"/>
      <c r="Z309" s="102"/>
      <c r="AA309" s="102"/>
      <c r="AB309" s="101"/>
      <c r="AC309" s="102"/>
      <c r="AD309" s="102"/>
      <c r="AE309" s="102"/>
      <c r="AF309" s="102"/>
      <c r="AG309" s="101"/>
      <c r="AH309" s="102"/>
      <c r="AI309" s="102"/>
      <c r="AJ309" s="102"/>
      <c r="AK309" s="102"/>
    </row>
    <row r="310" spans="3:37" ht="12.75" customHeight="1">
      <c r="C310" s="174"/>
      <c r="D310" s="175"/>
      <c r="E310" s="175"/>
      <c r="F310" s="175"/>
      <c r="G310" s="175"/>
      <c r="H310" s="174"/>
      <c r="I310" s="175"/>
      <c r="J310" s="175"/>
      <c r="K310" s="175"/>
      <c r="L310" s="175"/>
      <c r="M310" s="174"/>
      <c r="N310" s="175"/>
      <c r="O310" s="175"/>
      <c r="P310" s="175"/>
      <c r="Q310" s="175"/>
      <c r="R310" s="174"/>
      <c r="S310" s="175"/>
      <c r="T310" s="175"/>
      <c r="U310" s="175"/>
      <c r="V310" s="175"/>
      <c r="W310" s="174"/>
      <c r="X310" s="175"/>
      <c r="Y310" s="175"/>
      <c r="Z310" s="175"/>
      <c r="AA310" s="175"/>
      <c r="AB310" s="174"/>
      <c r="AC310" s="175"/>
      <c r="AD310" s="175"/>
      <c r="AE310" s="175"/>
      <c r="AF310" s="175"/>
      <c r="AG310" s="174"/>
      <c r="AH310" s="175"/>
      <c r="AI310" s="175"/>
      <c r="AJ310" s="175"/>
      <c r="AK310" s="175"/>
    </row>
    <row r="311" spans="3:37" ht="12.75" customHeight="1">
      <c r="C311" s="127"/>
      <c r="D311" s="100"/>
      <c r="E311" s="100"/>
      <c r="F311" s="100"/>
      <c r="G311" s="100"/>
      <c r="H311" s="127"/>
      <c r="I311" s="100"/>
      <c r="J311" s="100"/>
      <c r="K311" s="100"/>
      <c r="L311" s="100"/>
      <c r="M311" s="127"/>
      <c r="N311" s="100"/>
      <c r="O311" s="100"/>
      <c r="P311" s="100"/>
      <c r="Q311" s="100"/>
      <c r="R311" s="127"/>
      <c r="S311" s="100"/>
      <c r="T311" s="100"/>
      <c r="U311" s="100"/>
      <c r="V311" s="100"/>
      <c r="W311" s="127"/>
      <c r="X311" s="100"/>
      <c r="Y311" s="100"/>
      <c r="Z311" s="100"/>
      <c r="AA311" s="100"/>
      <c r="AB311" s="127"/>
      <c r="AC311" s="100"/>
      <c r="AD311" s="100"/>
      <c r="AE311" s="100"/>
      <c r="AF311" s="100"/>
      <c r="AG311" s="127"/>
      <c r="AH311" s="100"/>
      <c r="AI311" s="100"/>
      <c r="AJ311" s="100"/>
      <c r="AK311" s="100"/>
    </row>
    <row r="317" spans="3:37" ht="12.75" customHeight="1">
      <c r="C317" s="176"/>
      <c r="D317" s="177"/>
      <c r="E317" s="177"/>
      <c r="F317" s="177"/>
      <c r="G317" s="177"/>
      <c r="H317" s="176"/>
      <c r="I317" s="177"/>
      <c r="J317" s="177"/>
      <c r="K317" s="177"/>
      <c r="L317" s="177"/>
      <c r="M317" s="176"/>
      <c r="N317" s="177"/>
      <c r="O317" s="177"/>
      <c r="P317" s="177"/>
      <c r="Q317" s="177"/>
      <c r="R317" s="176"/>
      <c r="S317" s="177"/>
      <c r="T317" s="177"/>
      <c r="U317" s="177"/>
      <c r="V317" s="177"/>
      <c r="W317" s="176"/>
      <c r="X317" s="177"/>
      <c r="Y317" s="177"/>
      <c r="Z317" s="177"/>
      <c r="AA317" s="177"/>
      <c r="AB317" s="176"/>
      <c r="AC317" s="177"/>
      <c r="AD317" s="177"/>
      <c r="AE317" s="177"/>
      <c r="AF317" s="177"/>
      <c r="AG317" s="176"/>
      <c r="AH317" s="177"/>
      <c r="AI317" s="177"/>
      <c r="AJ317" s="177"/>
      <c r="AK317" s="177"/>
    </row>
    <row r="318" spans="3:37" ht="12.75" customHeight="1">
      <c r="C318" s="178"/>
      <c r="D318" s="179"/>
      <c r="E318" s="179"/>
      <c r="F318" s="179"/>
      <c r="G318" s="179"/>
      <c r="H318" s="178"/>
      <c r="I318" s="179"/>
      <c r="J318" s="179"/>
      <c r="K318" s="179"/>
      <c r="L318" s="179"/>
      <c r="M318" s="178"/>
      <c r="N318" s="179"/>
      <c r="O318" s="179"/>
      <c r="P318" s="179"/>
      <c r="Q318" s="179"/>
      <c r="R318" s="178"/>
      <c r="S318" s="179"/>
      <c r="T318" s="179"/>
      <c r="U318" s="179"/>
      <c r="V318" s="179"/>
      <c r="W318" s="178"/>
      <c r="X318" s="179"/>
      <c r="Y318" s="179"/>
      <c r="Z318" s="179"/>
      <c r="AA318" s="179"/>
      <c r="AB318" s="178"/>
      <c r="AC318" s="179"/>
      <c r="AD318" s="179"/>
      <c r="AE318" s="179"/>
      <c r="AF318" s="179"/>
      <c r="AG318" s="178"/>
      <c r="AH318" s="179"/>
      <c r="AI318" s="179"/>
      <c r="AJ318" s="179"/>
      <c r="AK318" s="179"/>
    </row>
    <row r="319" spans="3:37" ht="12.75" customHeight="1">
      <c r="C319" s="167"/>
      <c r="D319" s="168"/>
      <c r="E319" s="168"/>
      <c r="F319" s="168"/>
      <c r="G319" s="168"/>
      <c r="H319" s="167"/>
      <c r="I319" s="168"/>
      <c r="J319" s="168"/>
      <c r="K319" s="168"/>
      <c r="L319" s="168"/>
      <c r="M319" s="167"/>
      <c r="N319" s="168"/>
      <c r="O319" s="168"/>
      <c r="P319" s="168"/>
      <c r="Q319" s="168"/>
      <c r="R319" s="167"/>
      <c r="S319" s="168"/>
      <c r="T319" s="168"/>
      <c r="U319" s="168"/>
      <c r="V319" s="168"/>
      <c r="W319" s="167"/>
      <c r="X319" s="168"/>
      <c r="Y319" s="168"/>
      <c r="Z319" s="168"/>
      <c r="AA319" s="168"/>
      <c r="AB319" s="167"/>
      <c r="AC319" s="168"/>
      <c r="AD319" s="168"/>
      <c r="AE319" s="168"/>
      <c r="AF319" s="168"/>
      <c r="AG319" s="167"/>
      <c r="AH319" s="168"/>
      <c r="AI319" s="168"/>
      <c r="AJ319" s="168"/>
      <c r="AK319" s="168"/>
    </row>
    <row r="321" spans="3:37" ht="12.75" customHeight="1">
      <c r="C321" s="162"/>
      <c r="D321" s="163"/>
      <c r="E321" s="163"/>
      <c r="F321" s="163"/>
      <c r="G321" s="163"/>
      <c r="H321" s="162"/>
      <c r="I321" s="163"/>
      <c r="J321" s="163"/>
      <c r="K321" s="163"/>
      <c r="L321" s="163"/>
      <c r="M321" s="162"/>
      <c r="N321" s="163"/>
      <c r="O321" s="163"/>
      <c r="P321" s="163"/>
      <c r="Q321" s="163"/>
      <c r="R321" s="162"/>
      <c r="S321" s="163"/>
      <c r="T321" s="163"/>
      <c r="U321" s="163"/>
      <c r="V321" s="163"/>
      <c r="W321" s="162"/>
      <c r="X321" s="163"/>
      <c r="Y321" s="163"/>
      <c r="Z321" s="163"/>
      <c r="AA321" s="163"/>
      <c r="AB321" s="162"/>
      <c r="AC321" s="163"/>
      <c r="AD321" s="163"/>
      <c r="AE321" s="163"/>
      <c r="AF321" s="163"/>
      <c r="AG321" s="162"/>
      <c r="AH321" s="163"/>
      <c r="AI321" s="163"/>
      <c r="AJ321" s="163"/>
      <c r="AK321" s="163"/>
    </row>
    <row r="322" spans="3:37" ht="12.75" customHeight="1">
      <c r="C322" s="127"/>
      <c r="D322" s="100"/>
      <c r="E322" s="100"/>
      <c r="F322" s="100"/>
      <c r="G322" s="100"/>
      <c r="H322" s="127"/>
      <c r="I322" s="100"/>
      <c r="J322" s="100"/>
      <c r="K322" s="100"/>
      <c r="L322" s="100"/>
      <c r="M322" s="127"/>
      <c r="N322" s="100"/>
      <c r="O322" s="100"/>
      <c r="P322" s="100"/>
      <c r="Q322" s="100"/>
      <c r="R322" s="127"/>
      <c r="S322" s="100"/>
      <c r="T322" s="100"/>
      <c r="U322" s="100"/>
      <c r="V322" s="100"/>
      <c r="W322" s="127"/>
      <c r="X322" s="100"/>
      <c r="Y322" s="100"/>
      <c r="Z322" s="100"/>
      <c r="AA322" s="100"/>
      <c r="AB322" s="127"/>
      <c r="AC322" s="100"/>
      <c r="AD322" s="100"/>
      <c r="AE322" s="100"/>
      <c r="AF322" s="100"/>
      <c r="AG322" s="127"/>
      <c r="AH322" s="100"/>
      <c r="AI322" s="100"/>
      <c r="AJ322" s="100"/>
      <c r="AK322" s="100"/>
    </row>
    <row r="324" spans="3:37" ht="12.75" customHeight="1">
      <c r="C324" s="173"/>
      <c r="D324" s="166"/>
      <c r="E324" s="166"/>
      <c r="F324" s="166"/>
      <c r="G324" s="166"/>
      <c r="H324" s="173"/>
      <c r="I324" s="166"/>
      <c r="J324" s="166"/>
      <c r="K324" s="166"/>
      <c r="L324" s="166"/>
      <c r="M324" s="173"/>
      <c r="N324" s="166"/>
      <c r="O324" s="166"/>
      <c r="P324" s="166"/>
      <c r="Q324" s="166"/>
      <c r="R324" s="173"/>
      <c r="S324" s="166"/>
      <c r="T324" s="166"/>
      <c r="U324" s="166"/>
      <c r="V324" s="166"/>
      <c r="W324" s="173"/>
      <c r="X324" s="166"/>
      <c r="Y324" s="166"/>
      <c r="Z324" s="166"/>
      <c r="AA324" s="166"/>
      <c r="AB324" s="173"/>
      <c r="AC324" s="166"/>
      <c r="AD324" s="166"/>
      <c r="AE324" s="166"/>
      <c r="AF324" s="166"/>
      <c r="AG324" s="173"/>
      <c r="AH324" s="166"/>
      <c r="AI324" s="166"/>
      <c r="AJ324" s="166"/>
      <c r="AK324" s="166"/>
    </row>
    <row r="325" spans="3:37" ht="12.75" customHeight="1">
      <c r="C325" s="167"/>
      <c r="D325" s="168"/>
      <c r="E325" s="168"/>
      <c r="F325" s="168"/>
      <c r="G325" s="168"/>
      <c r="H325" s="167"/>
      <c r="I325" s="168"/>
      <c r="J325" s="168"/>
      <c r="K325" s="168"/>
      <c r="L325" s="168"/>
      <c r="M325" s="167"/>
      <c r="N325" s="168"/>
      <c r="O325" s="168"/>
      <c r="P325" s="168"/>
      <c r="Q325" s="168"/>
      <c r="R325" s="167"/>
      <c r="S325" s="168"/>
      <c r="T325" s="168"/>
      <c r="U325" s="168"/>
      <c r="V325" s="168"/>
      <c r="W325" s="167"/>
      <c r="X325" s="168"/>
      <c r="Y325" s="168"/>
      <c r="Z325" s="168"/>
      <c r="AA325" s="168"/>
      <c r="AB325" s="167"/>
      <c r="AC325" s="168"/>
      <c r="AD325" s="168"/>
      <c r="AE325" s="168"/>
      <c r="AF325" s="168"/>
      <c r="AG325" s="167"/>
      <c r="AH325" s="168"/>
      <c r="AI325" s="168"/>
      <c r="AJ325" s="168"/>
      <c r="AK325" s="168"/>
    </row>
    <row r="327" spans="3:37" ht="12.75" customHeight="1">
      <c r="C327" s="162"/>
      <c r="D327" s="163"/>
      <c r="E327" s="163"/>
      <c r="F327" s="163"/>
      <c r="G327" s="163"/>
      <c r="H327" s="162"/>
      <c r="I327" s="163"/>
      <c r="J327" s="163"/>
      <c r="K327" s="163"/>
      <c r="L327" s="163"/>
      <c r="M327" s="162"/>
      <c r="N327" s="163"/>
      <c r="O327" s="163"/>
      <c r="P327" s="163"/>
      <c r="Q327" s="163"/>
      <c r="R327" s="162"/>
      <c r="S327" s="163"/>
      <c r="T327" s="163"/>
      <c r="U327" s="163"/>
      <c r="V327" s="163"/>
      <c r="W327" s="162"/>
      <c r="X327" s="163"/>
      <c r="Y327" s="163"/>
      <c r="Z327" s="163"/>
      <c r="AA327" s="163"/>
      <c r="AB327" s="162"/>
      <c r="AC327" s="163"/>
      <c r="AD327" s="163"/>
      <c r="AE327" s="163"/>
      <c r="AF327" s="163"/>
      <c r="AG327" s="162"/>
      <c r="AH327" s="163"/>
      <c r="AI327" s="163"/>
      <c r="AJ327" s="163"/>
      <c r="AK327" s="163"/>
    </row>
    <row r="328" spans="3:37" ht="12.75" customHeight="1">
      <c r="C328" s="127"/>
      <c r="D328" s="100"/>
      <c r="E328" s="100"/>
      <c r="F328" s="100"/>
      <c r="G328" s="100"/>
      <c r="H328" s="127"/>
      <c r="I328" s="100"/>
      <c r="J328" s="100"/>
      <c r="K328" s="100"/>
      <c r="L328" s="100"/>
      <c r="M328" s="127"/>
      <c r="N328" s="100"/>
      <c r="O328" s="100"/>
      <c r="P328" s="100"/>
      <c r="Q328" s="100"/>
      <c r="R328" s="127"/>
      <c r="S328" s="100"/>
      <c r="T328" s="100"/>
      <c r="U328" s="100"/>
      <c r="V328" s="100"/>
      <c r="W328" s="127"/>
      <c r="X328" s="100"/>
      <c r="Y328" s="100"/>
      <c r="Z328" s="100"/>
      <c r="AA328" s="100"/>
      <c r="AB328" s="127"/>
      <c r="AC328" s="100"/>
      <c r="AD328" s="100"/>
      <c r="AE328" s="100"/>
      <c r="AF328" s="100"/>
      <c r="AG328" s="127"/>
      <c r="AH328" s="100"/>
      <c r="AI328" s="100"/>
      <c r="AJ328" s="100"/>
      <c r="AK328" s="100"/>
    </row>
    <row r="332" spans="3:37" ht="12.75" customHeight="1">
      <c r="C332" s="169"/>
      <c r="D332" s="170"/>
      <c r="E332" s="170"/>
      <c r="F332" s="170"/>
      <c r="G332" s="170"/>
      <c r="H332" s="169"/>
      <c r="I332" s="170"/>
      <c r="J332" s="170"/>
      <c r="K332" s="170"/>
      <c r="L332" s="170"/>
      <c r="M332" s="169"/>
      <c r="N332" s="170"/>
      <c r="O332" s="170"/>
      <c r="P332" s="170"/>
      <c r="Q332" s="170"/>
      <c r="R332" s="169"/>
      <c r="S332" s="170"/>
      <c r="T332" s="170"/>
      <c r="U332" s="170"/>
      <c r="V332" s="170"/>
      <c r="W332" s="169"/>
      <c r="X332" s="170"/>
      <c r="Y332" s="170"/>
      <c r="Z332" s="170"/>
      <c r="AA332" s="170"/>
      <c r="AB332" s="169"/>
      <c r="AC332" s="170"/>
      <c r="AD332" s="170"/>
      <c r="AE332" s="170"/>
      <c r="AF332" s="170"/>
      <c r="AG332" s="169"/>
      <c r="AH332" s="170"/>
      <c r="AI332" s="170"/>
      <c r="AJ332" s="170"/>
      <c r="AK332" s="170"/>
    </row>
    <row r="333" spans="3:37" ht="12.75" customHeight="1">
      <c r="C333" s="174"/>
      <c r="D333" s="175"/>
      <c r="E333" s="175"/>
      <c r="F333" s="175"/>
      <c r="G333" s="175"/>
      <c r="H333" s="174"/>
      <c r="I333" s="175"/>
      <c r="J333" s="175"/>
      <c r="K333" s="175"/>
      <c r="L333" s="175"/>
      <c r="M333" s="174"/>
      <c r="N333" s="175"/>
      <c r="O333" s="175"/>
      <c r="P333" s="175"/>
      <c r="Q333" s="175"/>
      <c r="R333" s="174"/>
      <c r="S333" s="175"/>
      <c r="T333" s="175"/>
      <c r="U333" s="175"/>
      <c r="V333" s="175"/>
      <c r="W333" s="174"/>
      <c r="X333" s="175"/>
      <c r="Y333" s="175"/>
      <c r="Z333" s="175"/>
      <c r="AA333" s="175"/>
      <c r="AB333" s="174"/>
      <c r="AC333" s="175"/>
      <c r="AD333" s="175"/>
      <c r="AE333" s="175"/>
      <c r="AF333" s="175"/>
      <c r="AG333" s="174"/>
      <c r="AH333" s="175"/>
      <c r="AI333" s="175"/>
      <c r="AJ333" s="175"/>
      <c r="AK333" s="175"/>
    </row>
    <row r="334" spans="3:37" ht="12.75" customHeight="1">
      <c r="C334" s="127"/>
      <c r="D334" s="100"/>
      <c r="E334" s="100"/>
      <c r="F334" s="100"/>
      <c r="G334" s="100"/>
      <c r="H334" s="127"/>
      <c r="I334" s="100"/>
      <c r="J334" s="100"/>
      <c r="K334" s="100"/>
      <c r="L334" s="100"/>
      <c r="M334" s="127"/>
      <c r="N334" s="100"/>
      <c r="O334" s="100"/>
      <c r="P334" s="100"/>
      <c r="Q334" s="100"/>
      <c r="R334" s="127"/>
      <c r="S334" s="100"/>
      <c r="T334" s="100"/>
      <c r="U334" s="100"/>
      <c r="V334" s="100"/>
      <c r="W334" s="127"/>
      <c r="X334" s="100"/>
      <c r="Y334" s="100"/>
      <c r="Z334" s="100"/>
      <c r="AA334" s="100"/>
      <c r="AB334" s="127"/>
      <c r="AC334" s="100"/>
      <c r="AD334" s="100"/>
      <c r="AE334" s="100"/>
      <c r="AF334" s="100"/>
      <c r="AG334" s="127"/>
      <c r="AH334" s="100"/>
      <c r="AI334" s="100"/>
      <c r="AJ334" s="100"/>
      <c r="AK334" s="100"/>
    </row>
    <row r="337" spans="3:37" ht="12.75" customHeight="1">
      <c r="C337" s="162"/>
      <c r="D337" s="163"/>
      <c r="E337" s="163"/>
      <c r="F337" s="163"/>
      <c r="G337" s="163"/>
      <c r="H337" s="162"/>
      <c r="I337" s="163"/>
      <c r="J337" s="163"/>
      <c r="K337" s="163"/>
      <c r="L337" s="163"/>
      <c r="M337" s="162"/>
      <c r="N337" s="163"/>
      <c r="O337" s="163"/>
      <c r="P337" s="163"/>
      <c r="Q337" s="163"/>
      <c r="R337" s="162"/>
      <c r="S337" s="163"/>
      <c r="T337" s="163"/>
      <c r="U337" s="163"/>
      <c r="V337" s="163"/>
      <c r="W337" s="162"/>
      <c r="X337" s="163"/>
      <c r="Y337" s="163"/>
      <c r="Z337" s="163"/>
      <c r="AA337" s="163"/>
      <c r="AB337" s="162"/>
      <c r="AC337" s="163"/>
      <c r="AD337" s="163"/>
      <c r="AE337" s="163"/>
      <c r="AF337" s="163"/>
      <c r="AG337" s="162"/>
      <c r="AH337" s="163"/>
      <c r="AI337" s="163"/>
      <c r="AJ337" s="163"/>
      <c r="AK337" s="163"/>
    </row>
    <row r="338" spans="3:37" ht="12.75" customHeight="1">
      <c r="C338" s="101"/>
      <c r="D338" s="102"/>
      <c r="E338" s="102"/>
      <c r="F338" s="102"/>
      <c r="G338" s="102"/>
      <c r="H338" s="101"/>
      <c r="I338" s="102"/>
      <c r="J338" s="102"/>
      <c r="K338" s="102"/>
      <c r="L338" s="102"/>
      <c r="M338" s="101"/>
      <c r="N338" s="102"/>
      <c r="O338" s="102"/>
      <c r="P338" s="102"/>
      <c r="Q338" s="102"/>
      <c r="R338" s="101"/>
      <c r="S338" s="102"/>
      <c r="T338" s="102"/>
      <c r="U338" s="102"/>
      <c r="V338" s="102"/>
      <c r="W338" s="101"/>
      <c r="X338" s="102"/>
      <c r="Y338" s="102"/>
      <c r="Z338" s="102"/>
      <c r="AA338" s="102"/>
      <c r="AB338" s="101"/>
      <c r="AC338" s="102"/>
      <c r="AD338" s="102"/>
      <c r="AE338" s="102"/>
      <c r="AF338" s="102"/>
      <c r="AG338" s="101"/>
      <c r="AH338" s="102"/>
      <c r="AI338" s="102"/>
      <c r="AJ338" s="102"/>
      <c r="AK338" s="102"/>
    </row>
    <row r="339" spans="3:37" ht="12.75" customHeight="1">
      <c r="C339" s="101"/>
      <c r="D339" s="102"/>
      <c r="E339" s="102"/>
      <c r="F339" s="102"/>
      <c r="G339" s="102"/>
      <c r="H339" s="101"/>
      <c r="I339" s="102"/>
      <c r="J339" s="102"/>
      <c r="K339" s="102"/>
      <c r="L339" s="102"/>
      <c r="M339" s="101"/>
      <c r="N339" s="102"/>
      <c r="O339" s="102"/>
      <c r="P339" s="102"/>
      <c r="Q339" s="102"/>
      <c r="R339" s="101"/>
      <c r="S339" s="102"/>
      <c r="T339" s="102"/>
      <c r="U339" s="102"/>
      <c r="V339" s="102"/>
      <c r="W339" s="101"/>
      <c r="X339" s="102"/>
      <c r="Y339" s="102"/>
      <c r="Z339" s="102"/>
      <c r="AA339" s="102"/>
      <c r="AB339" s="101"/>
      <c r="AC339" s="102"/>
      <c r="AD339" s="102"/>
      <c r="AE339" s="102"/>
      <c r="AF339" s="102"/>
      <c r="AG339" s="101"/>
      <c r="AH339" s="102"/>
      <c r="AI339" s="102"/>
      <c r="AJ339" s="102"/>
      <c r="AK339" s="102"/>
    </row>
    <row r="340" spans="3:37" ht="12.75" customHeight="1">
      <c r="C340" s="101"/>
      <c r="D340" s="102"/>
      <c r="E340" s="102"/>
      <c r="F340" s="102"/>
      <c r="G340" s="102"/>
      <c r="H340" s="101"/>
      <c r="I340" s="102"/>
      <c r="J340" s="102"/>
      <c r="K340" s="102"/>
      <c r="L340" s="102"/>
      <c r="M340" s="101"/>
      <c r="N340" s="102"/>
      <c r="O340" s="102"/>
      <c r="P340" s="102"/>
      <c r="Q340" s="102"/>
      <c r="R340" s="101"/>
      <c r="S340" s="102"/>
      <c r="T340" s="102"/>
      <c r="U340" s="102"/>
      <c r="V340" s="102"/>
      <c r="W340" s="101"/>
      <c r="X340" s="102"/>
      <c r="Y340" s="102"/>
      <c r="Z340" s="102"/>
      <c r="AA340" s="102"/>
      <c r="AB340" s="101"/>
      <c r="AC340" s="102"/>
      <c r="AD340" s="102"/>
      <c r="AE340" s="102"/>
      <c r="AF340" s="102"/>
      <c r="AG340" s="101"/>
      <c r="AH340" s="102"/>
      <c r="AI340" s="102"/>
      <c r="AJ340" s="102"/>
      <c r="AK340" s="102"/>
    </row>
    <row r="341" spans="3:37" ht="12.75" customHeight="1">
      <c r="C341" s="164"/>
      <c r="D341" s="102"/>
      <c r="E341" s="102"/>
      <c r="F341" s="102"/>
      <c r="G341" s="102"/>
      <c r="H341" s="164"/>
      <c r="I341" s="102"/>
      <c r="J341" s="102"/>
      <c r="K341" s="102"/>
      <c r="L341" s="102"/>
      <c r="M341" s="164"/>
      <c r="N341" s="102"/>
      <c r="O341" s="102"/>
      <c r="P341" s="102"/>
      <c r="Q341" s="102"/>
      <c r="R341" s="164"/>
      <c r="S341" s="102"/>
      <c r="T341" s="102"/>
      <c r="U341" s="102"/>
      <c r="V341" s="102"/>
      <c r="W341" s="164"/>
      <c r="X341" s="102"/>
      <c r="Y341" s="102"/>
      <c r="Z341" s="102"/>
      <c r="AA341" s="102"/>
      <c r="AB341" s="164"/>
      <c r="AC341" s="102"/>
      <c r="AD341" s="102"/>
      <c r="AE341" s="102"/>
      <c r="AF341" s="102"/>
      <c r="AG341" s="164"/>
      <c r="AH341" s="102"/>
      <c r="AI341" s="102"/>
      <c r="AJ341" s="102"/>
      <c r="AK341" s="102"/>
    </row>
    <row r="342" spans="3:37" ht="12.75" customHeight="1">
      <c r="C342" s="101"/>
      <c r="D342" s="102"/>
      <c r="E342" s="102"/>
      <c r="F342" s="102"/>
      <c r="G342" s="102"/>
      <c r="H342" s="101"/>
      <c r="I342" s="102"/>
      <c r="J342" s="102"/>
      <c r="K342" s="102"/>
      <c r="L342" s="102"/>
      <c r="M342" s="101"/>
      <c r="N342" s="102"/>
      <c r="O342" s="102"/>
      <c r="P342" s="102"/>
      <c r="Q342" s="102"/>
      <c r="R342" s="101"/>
      <c r="S342" s="102"/>
      <c r="T342" s="102"/>
      <c r="U342" s="102"/>
      <c r="V342" s="102"/>
      <c r="W342" s="101"/>
      <c r="X342" s="102"/>
      <c r="Y342" s="102"/>
      <c r="Z342" s="102"/>
      <c r="AA342" s="102"/>
      <c r="AB342" s="101"/>
      <c r="AC342" s="102"/>
      <c r="AD342" s="102"/>
      <c r="AE342" s="102"/>
      <c r="AF342" s="102"/>
      <c r="AG342" s="101"/>
      <c r="AH342" s="102"/>
      <c r="AI342" s="102"/>
      <c r="AJ342" s="102"/>
      <c r="AK342" s="102"/>
    </row>
    <row r="343" spans="3:37" ht="12.75" customHeight="1">
      <c r="C343" s="162"/>
      <c r="D343" s="102"/>
      <c r="E343" s="102"/>
      <c r="F343" s="102"/>
      <c r="G343" s="102"/>
      <c r="H343" s="162"/>
      <c r="I343" s="102"/>
      <c r="J343" s="102"/>
      <c r="K343" s="102"/>
      <c r="L343" s="102"/>
      <c r="M343" s="162"/>
      <c r="N343" s="102"/>
      <c r="O343" s="102"/>
      <c r="P343" s="102"/>
      <c r="Q343" s="102"/>
      <c r="R343" s="162"/>
      <c r="S343" s="102"/>
      <c r="T343" s="102"/>
      <c r="U343" s="102"/>
      <c r="V343" s="102"/>
      <c r="W343" s="162"/>
      <c r="X343" s="102"/>
      <c r="Y343" s="102"/>
      <c r="Z343" s="102"/>
      <c r="AA343" s="102"/>
      <c r="AB343" s="162"/>
      <c r="AC343" s="102"/>
      <c r="AD343" s="102"/>
      <c r="AE343" s="102"/>
      <c r="AF343" s="102"/>
      <c r="AG343" s="162"/>
      <c r="AH343" s="102"/>
      <c r="AI343" s="102"/>
      <c r="AJ343" s="102"/>
      <c r="AK343" s="102"/>
    </row>
    <row r="344" spans="3:37" ht="12.75" customHeight="1">
      <c r="C344" s="101"/>
      <c r="D344" s="102"/>
      <c r="E344" s="102"/>
      <c r="F344" s="102"/>
      <c r="G344" s="102"/>
      <c r="H344" s="101"/>
      <c r="I344" s="102"/>
      <c r="J344" s="102"/>
      <c r="K344" s="102"/>
      <c r="L344" s="102"/>
      <c r="M344" s="101"/>
      <c r="N344" s="102"/>
      <c r="O344" s="102"/>
      <c r="P344" s="102"/>
      <c r="Q344" s="102"/>
      <c r="R344" s="101"/>
      <c r="S344" s="102"/>
      <c r="T344" s="102"/>
      <c r="U344" s="102"/>
      <c r="V344" s="102"/>
      <c r="W344" s="101"/>
      <c r="X344" s="102"/>
      <c r="Y344" s="102"/>
      <c r="Z344" s="102"/>
      <c r="AA344" s="102"/>
      <c r="AB344" s="101"/>
      <c r="AC344" s="102"/>
      <c r="AD344" s="102"/>
      <c r="AE344" s="102"/>
      <c r="AF344" s="102"/>
      <c r="AG344" s="101"/>
      <c r="AH344" s="102"/>
      <c r="AI344" s="102"/>
      <c r="AJ344" s="102"/>
      <c r="AK344" s="102"/>
    </row>
    <row r="345" spans="3:37" ht="12.75" customHeight="1">
      <c r="C345" s="101"/>
      <c r="D345" s="102"/>
      <c r="E345" s="102"/>
      <c r="F345" s="102"/>
      <c r="G345" s="102"/>
      <c r="H345" s="101"/>
      <c r="I345" s="102"/>
      <c r="J345" s="102"/>
      <c r="K345" s="102"/>
      <c r="L345" s="102"/>
      <c r="M345" s="101"/>
      <c r="N345" s="102"/>
      <c r="O345" s="102"/>
      <c r="P345" s="102"/>
      <c r="Q345" s="102"/>
      <c r="R345" s="101"/>
      <c r="S345" s="102"/>
      <c r="T345" s="102"/>
      <c r="U345" s="102"/>
      <c r="V345" s="102"/>
      <c r="W345" s="101"/>
      <c r="X345" s="102"/>
      <c r="Y345" s="102"/>
      <c r="Z345" s="102"/>
      <c r="AA345" s="102"/>
      <c r="AB345" s="101"/>
      <c r="AC345" s="102"/>
      <c r="AD345" s="102"/>
      <c r="AE345" s="102"/>
      <c r="AF345" s="102"/>
      <c r="AG345" s="101"/>
      <c r="AH345" s="102"/>
      <c r="AI345" s="102"/>
      <c r="AJ345" s="102"/>
      <c r="AK345" s="102"/>
    </row>
    <row r="346" spans="3:37" ht="12.75" customHeight="1">
      <c r="C346" s="178"/>
      <c r="D346" s="179"/>
      <c r="E346" s="179"/>
      <c r="F346" s="179"/>
      <c r="G346" s="179"/>
      <c r="H346" s="178"/>
      <c r="I346" s="179"/>
      <c r="J346" s="179"/>
      <c r="K346" s="179"/>
      <c r="L346" s="179"/>
      <c r="M346" s="178"/>
      <c r="N346" s="179"/>
      <c r="O346" s="179"/>
      <c r="P346" s="179"/>
      <c r="Q346" s="179"/>
      <c r="R346" s="178"/>
      <c r="S346" s="179"/>
      <c r="T346" s="179"/>
      <c r="U346" s="179"/>
      <c r="V346" s="179"/>
      <c r="W346" s="178"/>
      <c r="X346" s="179"/>
      <c r="Y346" s="179"/>
      <c r="Z346" s="179"/>
      <c r="AA346" s="179"/>
      <c r="AB346" s="178"/>
      <c r="AC346" s="179"/>
      <c r="AD346" s="179"/>
      <c r="AE346" s="179"/>
      <c r="AF346" s="179"/>
      <c r="AG346" s="178"/>
      <c r="AH346" s="179"/>
      <c r="AI346" s="179"/>
      <c r="AJ346" s="179"/>
      <c r="AK346" s="179"/>
    </row>
    <row r="347" spans="3:37" ht="12.75" customHeight="1">
      <c r="C347" s="167"/>
      <c r="D347" s="168"/>
      <c r="E347" s="168"/>
      <c r="F347" s="168"/>
      <c r="G347" s="168"/>
      <c r="H347" s="167"/>
      <c r="I347" s="168"/>
      <c r="J347" s="168"/>
      <c r="K347" s="168"/>
      <c r="L347" s="168"/>
      <c r="M347" s="167"/>
      <c r="N347" s="168"/>
      <c r="O347" s="168"/>
      <c r="P347" s="168"/>
      <c r="Q347" s="168"/>
      <c r="R347" s="167"/>
      <c r="S347" s="168"/>
      <c r="T347" s="168"/>
      <c r="U347" s="168"/>
      <c r="V347" s="168"/>
      <c r="W347" s="167"/>
      <c r="X347" s="168"/>
      <c r="Y347" s="168"/>
      <c r="Z347" s="168"/>
      <c r="AA347" s="168"/>
      <c r="AB347" s="167"/>
      <c r="AC347" s="168"/>
      <c r="AD347" s="168"/>
      <c r="AE347" s="168"/>
      <c r="AF347" s="168"/>
      <c r="AG347" s="167"/>
      <c r="AH347" s="168"/>
      <c r="AI347" s="168"/>
      <c r="AJ347" s="168"/>
      <c r="AK347" s="168"/>
    </row>
    <row r="348" spans="3:37" ht="12.75" customHeight="1">
      <c r="C348" s="101"/>
      <c r="D348" s="102"/>
      <c r="E348" s="102"/>
      <c r="F348" s="102"/>
      <c r="G348" s="102"/>
      <c r="H348" s="101"/>
      <c r="I348" s="102"/>
      <c r="J348" s="102"/>
      <c r="K348" s="102"/>
      <c r="L348" s="102"/>
      <c r="M348" s="101"/>
      <c r="N348" s="102"/>
      <c r="O348" s="102"/>
      <c r="P348" s="102"/>
      <c r="Q348" s="102"/>
      <c r="R348" s="101"/>
      <c r="S348" s="102"/>
      <c r="T348" s="102"/>
      <c r="U348" s="102"/>
      <c r="V348" s="102"/>
      <c r="W348" s="101"/>
      <c r="X348" s="102"/>
      <c r="Y348" s="102"/>
      <c r="Z348" s="102"/>
      <c r="AA348" s="102"/>
      <c r="AB348" s="101"/>
      <c r="AC348" s="102"/>
      <c r="AD348" s="102"/>
      <c r="AE348" s="102"/>
      <c r="AF348" s="102"/>
      <c r="AG348" s="101"/>
      <c r="AH348" s="102"/>
      <c r="AI348" s="102"/>
      <c r="AJ348" s="102"/>
      <c r="AK348" s="102"/>
    </row>
    <row r="349" spans="3:37" ht="12.75" customHeight="1">
      <c r="C349" s="127"/>
      <c r="D349" s="100"/>
      <c r="E349" s="100"/>
      <c r="F349" s="100"/>
      <c r="G349" s="100"/>
      <c r="H349" s="127"/>
      <c r="I349" s="100"/>
      <c r="J349" s="100"/>
      <c r="K349" s="100"/>
      <c r="L349" s="100"/>
      <c r="M349" s="127"/>
      <c r="N349" s="100"/>
      <c r="O349" s="100"/>
      <c r="P349" s="100"/>
      <c r="Q349" s="100"/>
      <c r="R349" s="127"/>
      <c r="S349" s="100"/>
      <c r="T349" s="100"/>
      <c r="U349" s="100"/>
      <c r="V349" s="100"/>
      <c r="W349" s="127"/>
      <c r="X349" s="100"/>
      <c r="Y349" s="100"/>
      <c r="Z349" s="100"/>
      <c r="AA349" s="100"/>
      <c r="AB349" s="127"/>
      <c r="AC349" s="100"/>
      <c r="AD349" s="100"/>
      <c r="AE349" s="100"/>
      <c r="AF349" s="100"/>
      <c r="AG349" s="127"/>
      <c r="AH349" s="100"/>
      <c r="AI349" s="100"/>
      <c r="AJ349" s="100"/>
      <c r="AK349" s="100"/>
    </row>
    <row r="351" spans="3:37" ht="12.75" customHeight="1">
      <c r="C351" s="174"/>
      <c r="D351" s="175"/>
      <c r="E351" s="175"/>
      <c r="F351" s="175"/>
      <c r="G351" s="175"/>
      <c r="H351" s="174"/>
      <c r="I351" s="175"/>
      <c r="J351" s="175"/>
      <c r="K351" s="175"/>
      <c r="L351" s="175"/>
      <c r="M351" s="174"/>
      <c r="N351" s="175"/>
      <c r="O351" s="175"/>
      <c r="P351" s="175"/>
      <c r="Q351" s="175"/>
      <c r="R351" s="174"/>
      <c r="S351" s="175"/>
      <c r="T351" s="175"/>
      <c r="U351" s="175"/>
      <c r="V351" s="175"/>
      <c r="W351" s="174"/>
      <c r="X351" s="175"/>
      <c r="Y351" s="175"/>
      <c r="Z351" s="175"/>
      <c r="AA351" s="175"/>
      <c r="AB351" s="174"/>
      <c r="AC351" s="175"/>
      <c r="AD351" s="175"/>
      <c r="AE351" s="175"/>
      <c r="AF351" s="175"/>
      <c r="AG351" s="174"/>
      <c r="AH351" s="175"/>
      <c r="AI351" s="175"/>
      <c r="AJ351" s="175"/>
      <c r="AK351" s="175"/>
    </row>
    <row r="352" spans="3:37" ht="12.75" customHeight="1">
      <c r="C352" s="127"/>
      <c r="D352" s="100"/>
      <c r="E352" s="100"/>
      <c r="F352" s="100"/>
      <c r="G352" s="100"/>
      <c r="H352" s="127"/>
      <c r="I352" s="100"/>
      <c r="J352" s="100"/>
      <c r="K352" s="100"/>
      <c r="L352" s="100"/>
      <c r="M352" s="127"/>
      <c r="N352" s="100"/>
      <c r="O352" s="100"/>
      <c r="P352" s="100"/>
      <c r="Q352" s="100"/>
      <c r="R352" s="127"/>
      <c r="S352" s="100"/>
      <c r="T352" s="100"/>
      <c r="U352" s="100"/>
      <c r="V352" s="100"/>
      <c r="W352" s="127"/>
      <c r="X352" s="100"/>
      <c r="Y352" s="100"/>
      <c r="Z352" s="100"/>
      <c r="AA352" s="100"/>
      <c r="AB352" s="127"/>
      <c r="AC352" s="100"/>
      <c r="AD352" s="100"/>
      <c r="AE352" s="100"/>
      <c r="AF352" s="100"/>
      <c r="AG352" s="127"/>
      <c r="AH352" s="100"/>
      <c r="AI352" s="100"/>
      <c r="AJ352" s="100"/>
      <c r="AK352" s="100"/>
    </row>
    <row r="355" spans="3:37" ht="12.75" customHeight="1">
      <c r="C355" s="169"/>
      <c r="D355" s="170"/>
      <c r="E355" s="170"/>
      <c r="F355" s="170"/>
      <c r="G355" s="170"/>
      <c r="H355" s="169"/>
      <c r="I355" s="170"/>
      <c r="J355" s="170"/>
      <c r="K355" s="170"/>
      <c r="L355" s="170"/>
      <c r="M355" s="169"/>
      <c r="N355" s="170"/>
      <c r="O355" s="170"/>
      <c r="P355" s="170"/>
      <c r="Q355" s="170"/>
      <c r="R355" s="169"/>
      <c r="S355" s="170"/>
      <c r="T355" s="170"/>
      <c r="U355" s="170"/>
      <c r="V355" s="170"/>
      <c r="W355" s="169"/>
      <c r="X355" s="170"/>
      <c r="Y355" s="170"/>
      <c r="Z355" s="170"/>
      <c r="AA355" s="170"/>
      <c r="AB355" s="169"/>
      <c r="AC355" s="170"/>
      <c r="AD355" s="170"/>
      <c r="AE355" s="170"/>
      <c r="AF355" s="170"/>
      <c r="AG355" s="169"/>
      <c r="AH355" s="170"/>
      <c r="AI355" s="170"/>
      <c r="AJ355" s="170"/>
      <c r="AK355" s="170"/>
    </row>
    <row r="358" spans="3:37" ht="12.75" customHeight="1">
      <c r="C358" s="178"/>
      <c r="D358" s="179"/>
      <c r="E358" s="179"/>
      <c r="F358" s="179"/>
      <c r="G358" s="179"/>
      <c r="H358" s="178"/>
      <c r="I358" s="179"/>
      <c r="J358" s="179"/>
      <c r="K358" s="179"/>
      <c r="L358" s="179"/>
      <c r="M358" s="178"/>
      <c r="N358" s="179"/>
      <c r="O358" s="179"/>
      <c r="P358" s="179"/>
      <c r="Q358" s="179"/>
      <c r="R358" s="178"/>
      <c r="S358" s="179"/>
      <c r="T358" s="179"/>
      <c r="U358" s="179"/>
      <c r="V358" s="179"/>
      <c r="W358" s="178"/>
      <c r="X358" s="179"/>
      <c r="Y358" s="179"/>
      <c r="Z358" s="179"/>
      <c r="AA358" s="179"/>
      <c r="AB358" s="178"/>
      <c r="AC358" s="179"/>
      <c r="AD358" s="179"/>
      <c r="AE358" s="179"/>
      <c r="AF358" s="179"/>
      <c r="AG358" s="178"/>
      <c r="AH358" s="179"/>
      <c r="AI358" s="179"/>
      <c r="AJ358" s="179"/>
      <c r="AK358" s="179"/>
    </row>
    <row r="359" spans="3:37" ht="12.75" customHeight="1">
      <c r="C359" s="167"/>
      <c r="D359" s="168"/>
      <c r="E359" s="168"/>
      <c r="F359" s="168"/>
      <c r="G359" s="168"/>
      <c r="H359" s="167"/>
      <c r="I359" s="168"/>
      <c r="J359" s="168"/>
      <c r="K359" s="168"/>
      <c r="L359" s="168"/>
      <c r="M359" s="167"/>
      <c r="N359" s="168"/>
      <c r="O359" s="168"/>
      <c r="P359" s="168"/>
      <c r="Q359" s="168"/>
      <c r="R359" s="167"/>
      <c r="S359" s="168"/>
      <c r="T359" s="168"/>
      <c r="U359" s="168"/>
      <c r="V359" s="168"/>
      <c r="W359" s="167"/>
      <c r="X359" s="168"/>
      <c r="Y359" s="168"/>
      <c r="Z359" s="168"/>
      <c r="AA359" s="168"/>
      <c r="AB359" s="167"/>
      <c r="AC359" s="168"/>
      <c r="AD359" s="168"/>
      <c r="AE359" s="168"/>
      <c r="AF359" s="168"/>
      <c r="AG359" s="167"/>
      <c r="AH359" s="168"/>
      <c r="AI359" s="168"/>
      <c r="AJ359" s="168"/>
      <c r="AK359" s="168"/>
    </row>
    <row r="361" spans="3:37" ht="12.75" customHeight="1">
      <c r="C361" s="127"/>
      <c r="D361" s="100"/>
      <c r="E361" s="100"/>
      <c r="F361" s="100"/>
      <c r="G361" s="100"/>
      <c r="H361" s="127"/>
      <c r="I361" s="100"/>
      <c r="J361" s="100"/>
      <c r="K361" s="100"/>
      <c r="L361" s="100"/>
      <c r="M361" s="127"/>
      <c r="N361" s="100"/>
      <c r="O361" s="100"/>
      <c r="P361" s="100"/>
      <c r="Q361" s="100"/>
      <c r="R361" s="127"/>
      <c r="S361" s="100"/>
      <c r="T361" s="100"/>
      <c r="U361" s="100"/>
      <c r="V361" s="100"/>
      <c r="W361" s="127"/>
      <c r="X361" s="100"/>
      <c r="Y361" s="100"/>
      <c r="Z361" s="100"/>
      <c r="AA361" s="100"/>
      <c r="AB361" s="127"/>
      <c r="AC361" s="100"/>
      <c r="AD361" s="100"/>
      <c r="AE361" s="100"/>
      <c r="AF361" s="100"/>
      <c r="AG361" s="127"/>
      <c r="AH361" s="100"/>
      <c r="AI361" s="100"/>
      <c r="AJ361" s="100"/>
      <c r="AK361" s="100"/>
    </row>
    <row r="364" spans="3:37" ht="12.75" customHeight="1">
      <c r="C364" s="127"/>
      <c r="D364" s="100"/>
      <c r="E364" s="100"/>
      <c r="F364" s="100"/>
      <c r="G364" s="100"/>
      <c r="H364" s="127"/>
      <c r="I364" s="100"/>
      <c r="J364" s="100"/>
      <c r="K364" s="100"/>
      <c r="L364" s="100"/>
      <c r="M364" s="127"/>
      <c r="N364" s="100"/>
      <c r="O364" s="100"/>
      <c r="P364" s="100"/>
      <c r="Q364" s="100"/>
      <c r="R364" s="127"/>
      <c r="S364" s="100"/>
      <c r="T364" s="100"/>
      <c r="U364" s="100"/>
      <c r="V364" s="100"/>
      <c r="W364" s="127"/>
      <c r="X364" s="100"/>
      <c r="Y364" s="100"/>
      <c r="Z364" s="100"/>
      <c r="AA364" s="100"/>
      <c r="AB364" s="127"/>
      <c r="AC364" s="100"/>
      <c r="AD364" s="100"/>
      <c r="AE364" s="100"/>
      <c r="AF364" s="100"/>
      <c r="AG364" s="127"/>
      <c r="AH364" s="100"/>
      <c r="AI364" s="100"/>
      <c r="AJ364" s="100"/>
      <c r="AK364" s="100"/>
    </row>
    <row r="366" spans="3:37" ht="12.75" customHeight="1">
      <c r="C366" s="173"/>
      <c r="D366" s="166"/>
      <c r="E366" s="166"/>
      <c r="F366" s="166"/>
      <c r="G366" s="166"/>
      <c r="H366" s="173"/>
      <c r="I366" s="166"/>
      <c r="J366" s="166"/>
      <c r="K366" s="166"/>
      <c r="L366" s="166"/>
      <c r="M366" s="173"/>
      <c r="N366" s="166"/>
      <c r="O366" s="166"/>
      <c r="P366" s="166"/>
      <c r="Q366" s="166"/>
      <c r="R366" s="173"/>
      <c r="S366" s="166"/>
      <c r="T366" s="166"/>
      <c r="U366" s="166"/>
      <c r="V366" s="166"/>
      <c r="W366" s="173"/>
      <c r="X366" s="166"/>
      <c r="Y366" s="166"/>
      <c r="Z366" s="166"/>
      <c r="AA366" s="166"/>
      <c r="AB366" s="173"/>
      <c r="AC366" s="166"/>
      <c r="AD366" s="166"/>
      <c r="AE366" s="166"/>
      <c r="AF366" s="166"/>
      <c r="AG366" s="173"/>
      <c r="AH366" s="166"/>
      <c r="AI366" s="166"/>
      <c r="AJ366" s="166"/>
      <c r="AK366" s="166"/>
    </row>
    <row r="367" spans="3:37" ht="12.75" customHeight="1">
      <c r="C367" s="167"/>
      <c r="D367" s="168"/>
      <c r="E367" s="168"/>
      <c r="F367" s="168"/>
      <c r="G367" s="168"/>
      <c r="H367" s="167"/>
      <c r="I367" s="168"/>
      <c r="J367" s="168"/>
      <c r="K367" s="168"/>
      <c r="L367" s="168"/>
      <c r="M367" s="167"/>
      <c r="N367" s="168"/>
      <c r="O367" s="168"/>
      <c r="P367" s="168"/>
      <c r="Q367" s="168"/>
      <c r="R367" s="167"/>
      <c r="S367" s="168"/>
      <c r="T367" s="168"/>
      <c r="U367" s="168"/>
      <c r="V367" s="168"/>
      <c r="W367" s="167"/>
      <c r="X367" s="168"/>
      <c r="Y367" s="168"/>
      <c r="Z367" s="168"/>
      <c r="AA367" s="168"/>
      <c r="AB367" s="167"/>
      <c r="AC367" s="168"/>
      <c r="AD367" s="168"/>
      <c r="AE367" s="168"/>
      <c r="AF367" s="168"/>
      <c r="AG367" s="167"/>
      <c r="AH367" s="168"/>
      <c r="AI367" s="168"/>
      <c r="AJ367" s="168"/>
      <c r="AK367" s="168"/>
    </row>
    <row r="369" spans="3:37" ht="12.75" customHeight="1">
      <c r="C369" s="127"/>
      <c r="D369" s="100"/>
      <c r="E369" s="100"/>
      <c r="F369" s="100"/>
      <c r="G369" s="100"/>
      <c r="H369" s="127"/>
      <c r="I369" s="100"/>
      <c r="J369" s="100"/>
      <c r="K369" s="100"/>
      <c r="L369" s="100"/>
      <c r="M369" s="127"/>
      <c r="N369" s="100"/>
      <c r="O369" s="100"/>
      <c r="P369" s="100"/>
      <c r="Q369" s="100"/>
      <c r="R369" s="127"/>
      <c r="S369" s="100"/>
      <c r="T369" s="100"/>
      <c r="U369" s="100"/>
      <c r="V369" s="100"/>
      <c r="W369" s="127"/>
      <c r="X369" s="100"/>
      <c r="Y369" s="100"/>
      <c r="Z369" s="100"/>
      <c r="AA369" s="100"/>
      <c r="AB369" s="127"/>
      <c r="AC369" s="100"/>
      <c r="AD369" s="100"/>
      <c r="AE369" s="100"/>
      <c r="AF369" s="100"/>
      <c r="AG369" s="127"/>
      <c r="AH369" s="100"/>
      <c r="AI369" s="100"/>
      <c r="AJ369" s="100"/>
      <c r="AK369" s="100"/>
    </row>
    <row r="371" spans="3:37" ht="12.75" customHeight="1">
      <c r="C371" s="162"/>
      <c r="D371" s="163"/>
      <c r="E371" s="163"/>
      <c r="F371" s="163"/>
      <c r="G371" s="163"/>
      <c r="H371" s="162"/>
      <c r="I371" s="163"/>
      <c r="J371" s="163"/>
      <c r="K371" s="163"/>
      <c r="L371" s="163"/>
      <c r="M371" s="162"/>
      <c r="N371" s="163"/>
      <c r="O371" s="163"/>
      <c r="P371" s="163"/>
      <c r="Q371" s="163"/>
      <c r="R371" s="162"/>
      <c r="S371" s="163"/>
      <c r="T371" s="163"/>
      <c r="U371" s="163"/>
      <c r="V371" s="163"/>
      <c r="W371" s="162"/>
      <c r="X371" s="163"/>
      <c r="Y371" s="163"/>
      <c r="Z371" s="163"/>
      <c r="AA371" s="163"/>
      <c r="AB371" s="162"/>
      <c r="AC371" s="163"/>
      <c r="AD371" s="163"/>
      <c r="AE371" s="163"/>
      <c r="AF371" s="163"/>
      <c r="AG371" s="162"/>
      <c r="AH371" s="163"/>
      <c r="AI371" s="163"/>
      <c r="AJ371" s="163"/>
      <c r="AK371" s="163"/>
    </row>
    <row r="372" spans="3:37" ht="12.75" customHeight="1">
      <c r="C372" s="127"/>
      <c r="D372" s="100"/>
      <c r="E372" s="100"/>
      <c r="F372" s="100"/>
      <c r="G372" s="100"/>
      <c r="H372" s="127"/>
      <c r="I372" s="100"/>
      <c r="J372" s="100"/>
      <c r="K372" s="100"/>
      <c r="L372" s="100"/>
      <c r="M372" s="127"/>
      <c r="N372" s="100"/>
      <c r="O372" s="100"/>
      <c r="P372" s="100"/>
      <c r="Q372" s="100"/>
      <c r="R372" s="127"/>
      <c r="S372" s="100"/>
      <c r="T372" s="100"/>
      <c r="U372" s="100"/>
      <c r="V372" s="100"/>
      <c r="W372" s="127"/>
      <c r="X372" s="100"/>
      <c r="Y372" s="100"/>
      <c r="Z372" s="100"/>
      <c r="AA372" s="100"/>
      <c r="AB372" s="127"/>
      <c r="AC372" s="100"/>
      <c r="AD372" s="100"/>
      <c r="AE372" s="100"/>
      <c r="AF372" s="100"/>
      <c r="AG372" s="127"/>
      <c r="AH372" s="100"/>
      <c r="AI372" s="100"/>
      <c r="AJ372" s="100"/>
      <c r="AK372" s="100"/>
    </row>
    <row r="376" spans="3:37" ht="12.75" customHeight="1">
      <c r="C376" s="127"/>
      <c r="D376" s="100"/>
      <c r="E376" s="100"/>
      <c r="F376" s="100"/>
      <c r="G376" s="100"/>
      <c r="H376" s="127"/>
      <c r="I376" s="100"/>
      <c r="J376" s="100"/>
      <c r="K376" s="100"/>
      <c r="L376" s="100"/>
      <c r="M376" s="127"/>
      <c r="N376" s="100"/>
      <c r="O376" s="100"/>
      <c r="P376" s="100"/>
      <c r="Q376" s="100"/>
      <c r="R376" s="127"/>
      <c r="S376" s="100"/>
      <c r="T376" s="100"/>
      <c r="U376" s="100"/>
      <c r="V376" s="100"/>
      <c r="W376" s="127"/>
      <c r="X376" s="100"/>
      <c r="Y376" s="100"/>
      <c r="Z376" s="100"/>
      <c r="AA376" s="100"/>
      <c r="AB376" s="127"/>
      <c r="AC376" s="100"/>
      <c r="AD376" s="100"/>
      <c r="AE376" s="100"/>
      <c r="AF376" s="100"/>
      <c r="AG376" s="127"/>
      <c r="AH376" s="100"/>
      <c r="AI376" s="100"/>
      <c r="AJ376" s="100"/>
      <c r="AK376" s="100"/>
    </row>
    <row r="377" spans="3:37" ht="12.75" customHeight="1">
      <c r="C377" s="127"/>
      <c r="D377" s="100"/>
      <c r="E377" s="100"/>
      <c r="F377" s="100"/>
      <c r="G377" s="100"/>
      <c r="H377" s="127"/>
      <c r="I377" s="100"/>
      <c r="J377" s="100"/>
      <c r="K377" s="100"/>
      <c r="L377" s="100"/>
      <c r="M377" s="127"/>
      <c r="N377" s="100"/>
      <c r="O377" s="100"/>
      <c r="P377" s="100"/>
      <c r="Q377" s="100"/>
      <c r="R377" s="127"/>
      <c r="S377" s="100"/>
      <c r="T377" s="100"/>
      <c r="U377" s="100"/>
      <c r="V377" s="100"/>
      <c r="W377" s="127"/>
      <c r="X377" s="100"/>
      <c r="Y377" s="100"/>
      <c r="Z377" s="100"/>
      <c r="AA377" s="100"/>
      <c r="AB377" s="127"/>
      <c r="AC377" s="100"/>
      <c r="AD377" s="100"/>
      <c r="AE377" s="100"/>
      <c r="AF377" s="100"/>
      <c r="AG377" s="127"/>
      <c r="AH377" s="100"/>
      <c r="AI377" s="100"/>
      <c r="AJ377" s="100"/>
      <c r="AK377" s="100"/>
    </row>
    <row r="378" spans="3:37" ht="12.75" customHeight="1">
      <c r="C378" s="169"/>
      <c r="D378" s="170"/>
      <c r="E378" s="170"/>
      <c r="F378" s="170"/>
      <c r="G378" s="170"/>
      <c r="H378" s="169"/>
      <c r="I378" s="170"/>
      <c r="J378" s="170"/>
      <c r="K378" s="170"/>
      <c r="L378" s="170"/>
      <c r="M378" s="169"/>
      <c r="N378" s="170"/>
      <c r="O378" s="170"/>
      <c r="P378" s="170"/>
      <c r="Q378" s="170"/>
      <c r="R378" s="169"/>
      <c r="S378" s="170"/>
      <c r="T378" s="170"/>
      <c r="U378" s="170"/>
      <c r="V378" s="170"/>
      <c r="W378" s="169"/>
      <c r="X378" s="170"/>
      <c r="Y378" s="170"/>
      <c r="Z378" s="170"/>
      <c r="AA378" s="170"/>
      <c r="AB378" s="169"/>
      <c r="AC378" s="170"/>
      <c r="AD378" s="170"/>
      <c r="AE378" s="170"/>
      <c r="AF378" s="170"/>
      <c r="AG378" s="169"/>
      <c r="AH378" s="170"/>
      <c r="AI378" s="170"/>
      <c r="AJ378" s="170"/>
      <c r="AK378" s="170"/>
    </row>
    <row r="379" spans="3:37" ht="12.75" customHeight="1">
      <c r="C379" s="127"/>
      <c r="D379" s="100"/>
      <c r="E379" s="100"/>
      <c r="F379" s="100"/>
      <c r="G379" s="100"/>
      <c r="H379" s="127"/>
      <c r="I379" s="100"/>
      <c r="J379" s="100"/>
      <c r="K379" s="100"/>
      <c r="L379" s="100"/>
      <c r="M379" s="127"/>
      <c r="N379" s="100"/>
      <c r="O379" s="100"/>
      <c r="P379" s="100"/>
      <c r="Q379" s="100"/>
      <c r="R379" s="127"/>
      <c r="S379" s="100"/>
      <c r="T379" s="100"/>
      <c r="U379" s="100"/>
      <c r="V379" s="100"/>
      <c r="W379" s="127"/>
      <c r="X379" s="100"/>
      <c r="Y379" s="100"/>
      <c r="Z379" s="100"/>
      <c r="AA379" s="100"/>
      <c r="AB379" s="127"/>
      <c r="AC379" s="100"/>
      <c r="AD379" s="100"/>
      <c r="AE379" s="100"/>
      <c r="AF379" s="100"/>
      <c r="AG379" s="127"/>
      <c r="AH379" s="100"/>
      <c r="AI379" s="100"/>
      <c r="AJ379" s="100"/>
      <c r="AK379" s="100"/>
    </row>
    <row r="380" spans="3:37" ht="12.75" customHeight="1">
      <c r="C380" s="176"/>
      <c r="D380" s="177"/>
      <c r="E380" s="177"/>
      <c r="F380" s="177"/>
      <c r="G380" s="177"/>
      <c r="H380" s="176"/>
      <c r="I380" s="177"/>
      <c r="J380" s="177"/>
      <c r="K380" s="177"/>
      <c r="L380" s="177"/>
      <c r="M380" s="176"/>
      <c r="N380" s="177"/>
      <c r="O380" s="177"/>
      <c r="P380" s="177"/>
      <c r="Q380" s="177"/>
      <c r="R380" s="176"/>
      <c r="S380" s="177"/>
      <c r="T380" s="177"/>
      <c r="U380" s="177"/>
      <c r="V380" s="177"/>
      <c r="W380" s="176"/>
      <c r="X380" s="177"/>
      <c r="Y380" s="177"/>
      <c r="Z380" s="177"/>
      <c r="AA380" s="177"/>
      <c r="AB380" s="176"/>
      <c r="AC380" s="177"/>
      <c r="AD380" s="177"/>
      <c r="AE380" s="177"/>
      <c r="AF380" s="177"/>
      <c r="AG380" s="176"/>
      <c r="AH380" s="177"/>
      <c r="AI380" s="177"/>
      <c r="AJ380" s="177"/>
      <c r="AK380" s="177"/>
    </row>
    <row r="383" spans="3:37" ht="12.75" customHeight="1">
      <c r="C383" s="169"/>
      <c r="D383" s="170"/>
      <c r="E383" s="170"/>
      <c r="F383" s="170"/>
      <c r="G383" s="170"/>
      <c r="H383" s="169"/>
      <c r="I383" s="170"/>
      <c r="J383" s="170"/>
      <c r="K383" s="170"/>
      <c r="L383" s="170"/>
      <c r="M383" s="169"/>
      <c r="N383" s="170"/>
      <c r="O383" s="170"/>
      <c r="P383" s="170"/>
      <c r="Q383" s="170"/>
      <c r="R383" s="169"/>
      <c r="S383" s="170"/>
      <c r="T383" s="170"/>
      <c r="U383" s="170"/>
      <c r="V383" s="170"/>
      <c r="W383" s="169"/>
      <c r="X383" s="170"/>
      <c r="Y383" s="170"/>
      <c r="Z383" s="170"/>
      <c r="AA383" s="170"/>
      <c r="AB383" s="169"/>
      <c r="AC383" s="170"/>
      <c r="AD383" s="170"/>
      <c r="AE383" s="170"/>
      <c r="AF383" s="170"/>
      <c r="AG383" s="169"/>
      <c r="AH383" s="170"/>
      <c r="AI383" s="170"/>
      <c r="AJ383" s="170"/>
      <c r="AK383" s="170"/>
    </row>
    <row r="384" spans="3:37" ht="12.75" customHeight="1">
      <c r="C384" s="127"/>
      <c r="D384" s="100"/>
      <c r="E384" s="100"/>
      <c r="F384" s="100"/>
      <c r="G384" s="100"/>
      <c r="H384" s="127"/>
      <c r="I384" s="100"/>
      <c r="J384" s="100"/>
      <c r="K384" s="100"/>
      <c r="L384" s="100"/>
      <c r="M384" s="127"/>
      <c r="N384" s="100"/>
      <c r="O384" s="100"/>
      <c r="P384" s="100"/>
      <c r="Q384" s="100"/>
      <c r="R384" s="127"/>
      <c r="S384" s="100"/>
      <c r="T384" s="100"/>
      <c r="U384" s="100"/>
      <c r="V384" s="100"/>
      <c r="W384" s="127"/>
      <c r="X384" s="100"/>
      <c r="Y384" s="100"/>
      <c r="Z384" s="100"/>
      <c r="AA384" s="100"/>
      <c r="AB384" s="127"/>
      <c r="AC384" s="100"/>
      <c r="AD384" s="100"/>
      <c r="AE384" s="100"/>
      <c r="AF384" s="100"/>
      <c r="AG384" s="127"/>
      <c r="AH384" s="100"/>
      <c r="AI384" s="100"/>
      <c r="AJ384" s="100"/>
      <c r="AK384" s="100"/>
    </row>
    <row r="385" spans="3:37" ht="12.75" customHeight="1">
      <c r="C385" s="176"/>
      <c r="D385" s="177"/>
      <c r="E385" s="177"/>
      <c r="F385" s="177"/>
      <c r="G385" s="177"/>
      <c r="H385" s="176"/>
      <c r="I385" s="177"/>
      <c r="J385" s="177"/>
      <c r="K385" s="177"/>
      <c r="L385" s="177"/>
      <c r="M385" s="176"/>
      <c r="N385" s="177"/>
      <c r="O385" s="177"/>
      <c r="P385" s="177"/>
      <c r="Q385" s="177"/>
      <c r="R385" s="176"/>
      <c r="S385" s="177"/>
      <c r="T385" s="177"/>
      <c r="U385" s="177"/>
      <c r="V385" s="177"/>
      <c r="W385" s="176"/>
      <c r="X385" s="177"/>
      <c r="Y385" s="177"/>
      <c r="Z385" s="177"/>
      <c r="AA385" s="177"/>
      <c r="AB385" s="176"/>
      <c r="AC385" s="177"/>
      <c r="AD385" s="177"/>
      <c r="AE385" s="177"/>
      <c r="AF385" s="177"/>
      <c r="AG385" s="176"/>
      <c r="AH385" s="177"/>
      <c r="AI385" s="177"/>
      <c r="AJ385" s="177"/>
      <c r="AK385" s="177"/>
    </row>
    <row r="387" spans="3:37" ht="12.75" customHeight="1">
      <c r="C387" s="180"/>
      <c r="D387" s="181"/>
      <c r="E387" s="181"/>
      <c r="F387" s="181"/>
      <c r="G387" s="181"/>
      <c r="H387" s="180"/>
      <c r="I387" s="181"/>
      <c r="J387" s="181"/>
      <c r="K387" s="181"/>
      <c r="L387" s="181"/>
      <c r="M387" s="180"/>
      <c r="N387" s="181"/>
      <c r="O387" s="181"/>
      <c r="P387" s="181"/>
      <c r="Q387" s="181"/>
      <c r="R387" s="180"/>
      <c r="S387" s="181"/>
      <c r="T387" s="181"/>
      <c r="U387" s="181"/>
      <c r="V387" s="181"/>
      <c r="W387" s="180"/>
      <c r="X387" s="181"/>
      <c r="Y387" s="181"/>
      <c r="Z387" s="181"/>
      <c r="AA387" s="181"/>
      <c r="AB387" s="180"/>
      <c r="AC387" s="181"/>
      <c r="AD387" s="181"/>
      <c r="AE387" s="181"/>
      <c r="AF387" s="181"/>
      <c r="AG387" s="180"/>
      <c r="AH387" s="181"/>
      <c r="AI387" s="181"/>
      <c r="AJ387" s="181"/>
      <c r="AK387" s="181"/>
    </row>
    <row r="388" spans="3:37" ht="12.75" customHeight="1">
      <c r="C388" s="174"/>
      <c r="D388" s="175"/>
      <c r="E388" s="175"/>
      <c r="F388" s="175"/>
      <c r="G388" s="175"/>
      <c r="H388" s="174"/>
      <c r="I388" s="175"/>
      <c r="J388" s="175"/>
      <c r="K388" s="175"/>
      <c r="L388" s="175"/>
      <c r="M388" s="174"/>
      <c r="N388" s="175"/>
      <c r="O388" s="175"/>
      <c r="P388" s="175"/>
      <c r="Q388" s="175"/>
      <c r="R388" s="174"/>
      <c r="S388" s="175"/>
      <c r="T388" s="175"/>
      <c r="U388" s="175"/>
      <c r="V388" s="175"/>
      <c r="W388" s="174"/>
      <c r="X388" s="175"/>
      <c r="Y388" s="175"/>
      <c r="Z388" s="175"/>
      <c r="AA388" s="175"/>
      <c r="AB388" s="174"/>
      <c r="AC388" s="175"/>
      <c r="AD388" s="175"/>
      <c r="AE388" s="175"/>
      <c r="AF388" s="175"/>
      <c r="AG388" s="174"/>
      <c r="AH388" s="175"/>
      <c r="AI388" s="175"/>
      <c r="AJ388" s="175"/>
      <c r="AK388" s="175"/>
    </row>
    <row r="389" spans="3:37" ht="12.75" customHeight="1">
      <c r="C389" s="127"/>
      <c r="D389" s="100"/>
      <c r="E389" s="100"/>
      <c r="F389" s="100"/>
      <c r="G389" s="100"/>
      <c r="H389" s="127"/>
      <c r="I389" s="100"/>
      <c r="J389" s="100"/>
      <c r="K389" s="100"/>
      <c r="L389" s="100"/>
      <c r="M389" s="127"/>
      <c r="N389" s="100"/>
      <c r="O389" s="100"/>
      <c r="P389" s="100"/>
      <c r="Q389" s="100"/>
      <c r="R389" s="127"/>
      <c r="S389" s="100"/>
      <c r="T389" s="100"/>
      <c r="U389" s="100"/>
      <c r="V389" s="100"/>
      <c r="W389" s="127"/>
      <c r="X389" s="100"/>
      <c r="Y389" s="100"/>
      <c r="Z389" s="100"/>
      <c r="AA389" s="100"/>
      <c r="AB389" s="127"/>
      <c r="AC389" s="100"/>
      <c r="AD389" s="100"/>
      <c r="AE389" s="100"/>
      <c r="AF389" s="100"/>
      <c r="AG389" s="127"/>
      <c r="AH389" s="100"/>
      <c r="AI389" s="100"/>
      <c r="AJ389" s="100"/>
      <c r="AK389" s="100"/>
    </row>
    <row r="390" spans="3:37" ht="12.75" customHeight="1">
      <c r="C390" s="176"/>
      <c r="D390" s="177"/>
      <c r="E390" s="177"/>
      <c r="F390" s="177"/>
      <c r="G390" s="177"/>
      <c r="H390" s="176"/>
      <c r="I390" s="177"/>
      <c r="J390" s="177"/>
      <c r="K390" s="177"/>
      <c r="L390" s="177"/>
      <c r="M390" s="176"/>
      <c r="N390" s="177"/>
      <c r="O390" s="177"/>
      <c r="P390" s="177"/>
      <c r="Q390" s="177"/>
      <c r="R390" s="176"/>
      <c r="S390" s="177"/>
      <c r="T390" s="177"/>
      <c r="U390" s="177"/>
      <c r="V390" s="177"/>
      <c r="W390" s="176"/>
      <c r="X390" s="177"/>
      <c r="Y390" s="177"/>
      <c r="Z390" s="177"/>
      <c r="AA390" s="177"/>
      <c r="AB390" s="176"/>
      <c r="AC390" s="177"/>
      <c r="AD390" s="177"/>
      <c r="AE390" s="177"/>
      <c r="AF390" s="177"/>
      <c r="AG390" s="176"/>
      <c r="AH390" s="177"/>
      <c r="AI390" s="177"/>
      <c r="AJ390" s="177"/>
      <c r="AK390" s="177"/>
    </row>
    <row r="392" spans="3:37" ht="12.75" customHeight="1">
      <c r="C392" s="182"/>
      <c r="D392" s="183"/>
      <c r="E392" s="183"/>
      <c r="F392" s="183"/>
      <c r="G392" s="183"/>
      <c r="H392" s="182"/>
      <c r="I392" s="183"/>
      <c r="J392" s="183"/>
      <c r="K392" s="183"/>
      <c r="L392" s="183"/>
      <c r="M392" s="182"/>
      <c r="N392" s="183"/>
      <c r="O392" s="183"/>
      <c r="P392" s="183"/>
      <c r="Q392" s="183"/>
      <c r="R392" s="182"/>
      <c r="S392" s="183"/>
      <c r="T392" s="183"/>
      <c r="U392" s="183"/>
      <c r="V392" s="183"/>
      <c r="W392" s="182"/>
      <c r="X392" s="183"/>
      <c r="Y392" s="183"/>
      <c r="Z392" s="183"/>
      <c r="AA392" s="183"/>
      <c r="AB392" s="182"/>
      <c r="AC392" s="183"/>
      <c r="AD392" s="183"/>
      <c r="AE392" s="183"/>
      <c r="AF392" s="183"/>
      <c r="AG392" s="182"/>
      <c r="AH392" s="183"/>
      <c r="AI392" s="183"/>
      <c r="AJ392" s="183"/>
      <c r="AK392" s="183"/>
    </row>
    <row r="393" spans="3:37" ht="12.75" customHeight="1">
      <c r="C393" s="184"/>
      <c r="D393" s="185"/>
      <c r="E393" s="185"/>
      <c r="F393" s="185"/>
      <c r="G393" s="185"/>
      <c r="H393" s="184"/>
      <c r="I393" s="185"/>
      <c r="J393" s="185"/>
      <c r="K393" s="185"/>
      <c r="L393" s="185"/>
      <c r="M393" s="184"/>
      <c r="N393" s="185"/>
      <c r="O393" s="185"/>
      <c r="P393" s="185"/>
      <c r="Q393" s="185"/>
      <c r="R393" s="184"/>
      <c r="S393" s="185"/>
      <c r="T393" s="185"/>
      <c r="U393" s="185"/>
      <c r="V393" s="185"/>
      <c r="W393" s="184"/>
      <c r="X393" s="185"/>
      <c r="Y393" s="185"/>
      <c r="Z393" s="185"/>
      <c r="AA393" s="185"/>
      <c r="AB393" s="184"/>
      <c r="AC393" s="185"/>
      <c r="AD393" s="185"/>
      <c r="AE393" s="185"/>
      <c r="AF393" s="185"/>
      <c r="AG393" s="184"/>
      <c r="AH393" s="185"/>
      <c r="AI393" s="185"/>
      <c r="AJ393" s="185"/>
      <c r="AK393" s="185"/>
    </row>
    <row r="394" spans="3:37" ht="12.75" customHeight="1">
      <c r="C394" s="127"/>
      <c r="D394" s="100"/>
      <c r="E394" s="100"/>
      <c r="F394" s="100"/>
      <c r="G394" s="100"/>
      <c r="H394" s="127"/>
      <c r="I394" s="100"/>
      <c r="J394" s="100"/>
      <c r="K394" s="100"/>
      <c r="L394" s="100"/>
      <c r="M394" s="127"/>
      <c r="N394" s="100"/>
      <c r="O394" s="100"/>
      <c r="P394" s="100"/>
      <c r="Q394" s="100"/>
      <c r="R394" s="127"/>
      <c r="S394" s="100"/>
      <c r="T394" s="100"/>
      <c r="U394" s="100"/>
      <c r="V394" s="100"/>
      <c r="W394" s="127"/>
      <c r="X394" s="100"/>
      <c r="Y394" s="100"/>
      <c r="Z394" s="100"/>
      <c r="AA394" s="100"/>
      <c r="AB394" s="127"/>
      <c r="AC394" s="100"/>
      <c r="AD394" s="100"/>
      <c r="AE394" s="100"/>
      <c r="AF394" s="100"/>
      <c r="AG394" s="127"/>
      <c r="AH394" s="100"/>
      <c r="AI394" s="100"/>
      <c r="AJ394" s="100"/>
      <c r="AK394" s="100"/>
    </row>
    <row r="395" spans="3:37" ht="12.75" customHeight="1">
      <c r="C395" s="127"/>
      <c r="D395" s="100"/>
      <c r="E395" s="100"/>
      <c r="F395" s="100"/>
      <c r="G395" s="100"/>
      <c r="H395" s="127"/>
      <c r="I395" s="100"/>
      <c r="J395" s="100"/>
      <c r="K395" s="100"/>
      <c r="L395" s="100"/>
      <c r="M395" s="127"/>
      <c r="N395" s="100"/>
      <c r="O395" s="100"/>
      <c r="P395" s="100"/>
      <c r="Q395" s="100"/>
      <c r="R395" s="127"/>
      <c r="S395" s="100"/>
      <c r="T395" s="100"/>
      <c r="U395" s="100"/>
      <c r="V395" s="100"/>
      <c r="W395" s="127"/>
      <c r="X395" s="100"/>
      <c r="Y395" s="100"/>
      <c r="Z395" s="100"/>
      <c r="AA395" s="100"/>
      <c r="AB395" s="127"/>
      <c r="AC395" s="100"/>
      <c r="AD395" s="100"/>
      <c r="AE395" s="100"/>
      <c r="AF395" s="100"/>
      <c r="AG395" s="127"/>
      <c r="AH395" s="100"/>
      <c r="AI395" s="100"/>
      <c r="AJ395" s="100"/>
      <c r="AK395" s="100"/>
    </row>
    <row r="396" spans="3:37" ht="12.75" customHeight="1">
      <c r="C396" s="127"/>
      <c r="D396" s="100"/>
      <c r="E396" s="100"/>
      <c r="F396" s="100"/>
      <c r="G396" s="100"/>
      <c r="H396" s="127"/>
      <c r="I396" s="100"/>
      <c r="J396" s="100"/>
      <c r="K396" s="100"/>
      <c r="L396" s="100"/>
      <c r="M396" s="127"/>
      <c r="N396" s="100"/>
      <c r="O396" s="100"/>
      <c r="P396" s="100"/>
      <c r="Q396" s="100"/>
      <c r="R396" s="127"/>
      <c r="S396" s="100"/>
      <c r="T396" s="100"/>
      <c r="U396" s="100"/>
      <c r="V396" s="100"/>
      <c r="W396" s="127"/>
      <c r="X396" s="100"/>
      <c r="Y396" s="100"/>
      <c r="Z396" s="100"/>
      <c r="AA396" s="100"/>
      <c r="AB396" s="127"/>
      <c r="AC396" s="100"/>
      <c r="AD396" s="100"/>
      <c r="AE396" s="100"/>
      <c r="AF396" s="100"/>
      <c r="AG396" s="127"/>
      <c r="AH396" s="100"/>
      <c r="AI396" s="100"/>
      <c r="AJ396" s="100"/>
      <c r="AK396" s="100"/>
    </row>
    <row r="397" spans="3:37" ht="12.75" customHeight="1">
      <c r="C397" s="127"/>
      <c r="D397" s="100"/>
      <c r="E397" s="100"/>
      <c r="F397" s="100"/>
      <c r="G397" s="100"/>
      <c r="H397" s="127"/>
      <c r="I397" s="100"/>
      <c r="J397" s="100"/>
      <c r="K397" s="100"/>
      <c r="L397" s="100"/>
      <c r="M397" s="127"/>
      <c r="N397" s="100"/>
      <c r="O397" s="100"/>
      <c r="P397" s="100"/>
      <c r="Q397" s="100"/>
      <c r="R397" s="127"/>
      <c r="S397" s="100"/>
      <c r="T397" s="100"/>
      <c r="U397" s="100"/>
      <c r="V397" s="100"/>
      <c r="W397" s="127"/>
      <c r="X397" s="100"/>
      <c r="Y397" s="100"/>
      <c r="Z397" s="100"/>
      <c r="AA397" s="100"/>
      <c r="AB397" s="127"/>
      <c r="AC397" s="100"/>
      <c r="AD397" s="100"/>
      <c r="AE397" s="100"/>
      <c r="AF397" s="100"/>
      <c r="AG397" s="127"/>
      <c r="AH397" s="100"/>
      <c r="AI397" s="100"/>
      <c r="AJ397" s="100"/>
      <c r="AK397" s="100"/>
    </row>
    <row r="398" spans="3:37" ht="12.75" customHeight="1">
      <c r="C398" s="186"/>
      <c r="D398" s="187"/>
      <c r="E398" s="187"/>
      <c r="F398" s="187"/>
      <c r="G398" s="187"/>
      <c r="H398" s="186"/>
      <c r="I398" s="187"/>
      <c r="J398" s="187"/>
      <c r="K398" s="187"/>
      <c r="L398" s="187"/>
      <c r="M398" s="186"/>
      <c r="N398" s="187"/>
      <c r="O398" s="187"/>
      <c r="P398" s="187"/>
      <c r="Q398" s="187"/>
      <c r="R398" s="186"/>
      <c r="S398" s="187"/>
      <c r="T398" s="187"/>
      <c r="U398" s="187"/>
      <c r="V398" s="187"/>
      <c r="W398" s="186"/>
      <c r="X398" s="187"/>
      <c r="Y398" s="187"/>
      <c r="Z398" s="187"/>
      <c r="AA398" s="187"/>
      <c r="AB398" s="186"/>
      <c r="AC398" s="187"/>
      <c r="AD398" s="187"/>
      <c r="AE398" s="187"/>
      <c r="AF398" s="187"/>
      <c r="AG398" s="186"/>
      <c r="AH398" s="187"/>
      <c r="AI398" s="187"/>
      <c r="AJ398" s="187"/>
      <c r="AK398" s="187"/>
    </row>
    <row r="399" spans="3:37" ht="12.75" customHeight="1">
      <c r="C399" s="188"/>
      <c r="H399" s="188"/>
      <c r="M399" s="188"/>
      <c r="R399" s="188"/>
      <c r="W399" s="188"/>
      <c r="AB399" s="188"/>
      <c r="AG399" s="188"/>
    </row>
    <row r="400" spans="3:37" ht="12.75" customHeight="1">
      <c r="C400" s="188"/>
      <c r="H400" s="188"/>
      <c r="M400" s="188"/>
      <c r="R400" s="188"/>
      <c r="W400" s="188"/>
      <c r="AB400" s="188"/>
      <c r="AG400" s="188"/>
    </row>
    <row r="401" spans="3:37" ht="12.75" customHeight="1">
      <c r="C401" s="189"/>
      <c r="D401" s="100"/>
      <c r="E401" s="100"/>
      <c r="F401" s="100"/>
      <c r="G401" s="100"/>
      <c r="H401" s="189"/>
      <c r="I401" s="100"/>
      <c r="J401" s="100"/>
      <c r="K401" s="100"/>
      <c r="L401" s="100"/>
      <c r="M401" s="189"/>
      <c r="N401" s="100"/>
      <c r="O401" s="100"/>
      <c r="P401" s="100"/>
      <c r="Q401" s="100"/>
      <c r="R401" s="189"/>
      <c r="S401" s="100"/>
      <c r="T401" s="100"/>
      <c r="U401" s="100"/>
      <c r="V401" s="100"/>
      <c r="W401" s="189"/>
      <c r="X401" s="100"/>
      <c r="Y401" s="100"/>
      <c r="Z401" s="100"/>
      <c r="AA401" s="100"/>
      <c r="AB401" s="189"/>
      <c r="AC401" s="100"/>
      <c r="AD401" s="100"/>
      <c r="AE401" s="100"/>
      <c r="AF401" s="100"/>
      <c r="AG401" s="189"/>
      <c r="AH401" s="100"/>
      <c r="AI401" s="100"/>
      <c r="AJ401" s="100"/>
      <c r="AK401" s="100"/>
    </row>
    <row r="403" spans="3:37" ht="12.75" customHeight="1">
      <c r="C403" s="190"/>
      <c r="D403" s="187"/>
      <c r="E403" s="187"/>
      <c r="F403" s="187"/>
      <c r="G403" s="187"/>
      <c r="H403" s="190"/>
      <c r="I403" s="187"/>
      <c r="J403" s="187"/>
      <c r="K403" s="187"/>
      <c r="L403" s="187"/>
      <c r="M403" s="190"/>
      <c r="N403" s="187"/>
      <c r="O403" s="187"/>
      <c r="P403" s="187"/>
      <c r="Q403" s="187"/>
      <c r="R403" s="190"/>
      <c r="S403" s="187"/>
      <c r="T403" s="187"/>
      <c r="U403" s="187"/>
      <c r="V403" s="187"/>
      <c r="W403" s="190"/>
      <c r="X403" s="187"/>
      <c r="Y403" s="187"/>
      <c r="Z403" s="187"/>
      <c r="AA403" s="187"/>
      <c r="AB403" s="190"/>
      <c r="AC403" s="187"/>
      <c r="AD403" s="187"/>
      <c r="AE403" s="187"/>
      <c r="AF403" s="187"/>
      <c r="AG403" s="190"/>
      <c r="AH403" s="187"/>
      <c r="AI403" s="187"/>
      <c r="AJ403" s="187"/>
      <c r="AK403" s="187"/>
    </row>
    <row r="408" spans="3:37" ht="12.75" customHeight="1">
      <c r="C408" s="190"/>
      <c r="D408" s="187"/>
      <c r="E408" s="187"/>
      <c r="F408" s="187"/>
      <c r="G408" s="187"/>
      <c r="H408" s="190"/>
      <c r="I408" s="187"/>
      <c r="J408" s="187"/>
      <c r="K408" s="187"/>
      <c r="L408" s="187"/>
      <c r="M408" s="190"/>
      <c r="N408" s="187"/>
      <c r="O408" s="187"/>
      <c r="P408" s="187"/>
      <c r="Q408" s="187"/>
      <c r="R408" s="190"/>
      <c r="S408" s="187"/>
      <c r="T408" s="187"/>
      <c r="U408" s="187"/>
      <c r="V408" s="187"/>
      <c r="W408" s="190"/>
      <c r="X408" s="187"/>
      <c r="Y408" s="187"/>
      <c r="Z408" s="187"/>
      <c r="AA408" s="187"/>
      <c r="AB408" s="190"/>
      <c r="AC408" s="187"/>
      <c r="AD408" s="187"/>
      <c r="AE408" s="187"/>
      <c r="AF408" s="187"/>
      <c r="AG408" s="190"/>
      <c r="AH408" s="187"/>
      <c r="AI408" s="187"/>
      <c r="AJ408" s="187"/>
      <c r="AK408" s="187"/>
    </row>
    <row r="409" spans="3:37" ht="12.75" customHeight="1">
      <c r="C409" s="127"/>
      <c r="D409" s="100"/>
      <c r="E409" s="100"/>
      <c r="F409" s="100"/>
      <c r="G409" s="100"/>
      <c r="H409" s="127"/>
      <c r="I409" s="100"/>
      <c r="J409" s="100"/>
      <c r="K409" s="100"/>
      <c r="L409" s="100"/>
      <c r="M409" s="127"/>
      <c r="N409" s="100"/>
      <c r="O409" s="100"/>
      <c r="P409" s="100"/>
      <c r="Q409" s="100"/>
      <c r="R409" s="127"/>
      <c r="S409" s="100"/>
      <c r="T409" s="100"/>
      <c r="U409" s="100"/>
      <c r="V409" s="100"/>
      <c r="W409" s="127"/>
      <c r="X409" s="100"/>
      <c r="Y409" s="100"/>
      <c r="Z409" s="100"/>
      <c r="AA409" s="100"/>
      <c r="AB409" s="127"/>
      <c r="AC409" s="100"/>
      <c r="AD409" s="100"/>
      <c r="AE409" s="100"/>
      <c r="AF409" s="100"/>
      <c r="AG409" s="127"/>
      <c r="AH409" s="100"/>
      <c r="AI409" s="100"/>
      <c r="AJ409" s="100"/>
      <c r="AK409" s="100"/>
    </row>
    <row r="410" spans="3:37" ht="12.75" customHeight="1">
      <c r="C410" s="127"/>
      <c r="D410" s="100"/>
      <c r="E410" s="100"/>
      <c r="F410" s="100"/>
      <c r="G410" s="100"/>
      <c r="H410" s="127"/>
      <c r="I410" s="100"/>
      <c r="J410" s="100"/>
      <c r="K410" s="100"/>
      <c r="L410" s="100"/>
      <c r="M410" s="127"/>
      <c r="N410" s="100"/>
      <c r="O410" s="100"/>
      <c r="P410" s="100"/>
      <c r="Q410" s="100"/>
      <c r="R410" s="127"/>
      <c r="S410" s="100"/>
      <c r="T410" s="100"/>
      <c r="U410" s="100"/>
      <c r="V410" s="100"/>
      <c r="W410" s="127"/>
      <c r="X410" s="100"/>
      <c r="Y410" s="100"/>
      <c r="Z410" s="100"/>
      <c r="AA410" s="100"/>
      <c r="AB410" s="127"/>
      <c r="AC410" s="100"/>
      <c r="AD410" s="100"/>
      <c r="AE410" s="100"/>
      <c r="AF410" s="100"/>
      <c r="AG410" s="127"/>
      <c r="AH410" s="100"/>
      <c r="AI410" s="100"/>
      <c r="AJ410" s="100"/>
      <c r="AK410" s="100"/>
    </row>
    <row r="411" spans="3:37" ht="12.75" customHeight="1">
      <c r="C411" s="127"/>
      <c r="D411" s="100"/>
      <c r="E411" s="100"/>
      <c r="F411" s="100"/>
      <c r="G411" s="100"/>
      <c r="H411" s="127"/>
      <c r="I411" s="100"/>
      <c r="J411" s="100"/>
      <c r="K411" s="100"/>
      <c r="L411" s="100"/>
      <c r="M411" s="127"/>
      <c r="N411" s="100"/>
      <c r="O411" s="100"/>
      <c r="P411" s="100"/>
      <c r="Q411" s="100"/>
      <c r="R411" s="127"/>
      <c r="S411" s="100"/>
      <c r="T411" s="100"/>
      <c r="U411" s="100"/>
      <c r="V411" s="100"/>
      <c r="W411" s="127"/>
      <c r="X411" s="100"/>
      <c r="Y411" s="100"/>
      <c r="Z411" s="100"/>
      <c r="AA411" s="100"/>
      <c r="AB411" s="127"/>
      <c r="AC411" s="100"/>
      <c r="AD411" s="100"/>
      <c r="AE411" s="100"/>
      <c r="AF411" s="100"/>
      <c r="AG411" s="127"/>
      <c r="AH411" s="100"/>
      <c r="AI411" s="100"/>
      <c r="AJ411" s="100"/>
      <c r="AK411" s="100"/>
    </row>
    <row r="413" spans="3:37" ht="12.75" customHeight="1">
      <c r="C413" s="191"/>
      <c r="D413" s="192"/>
      <c r="E413" s="192"/>
      <c r="F413" s="192"/>
      <c r="G413" s="192"/>
      <c r="H413" s="191"/>
      <c r="I413" s="192"/>
      <c r="J413" s="192"/>
      <c r="K413" s="192"/>
      <c r="L413" s="192"/>
      <c r="M413" s="191"/>
      <c r="N413" s="192"/>
      <c r="O413" s="192"/>
      <c r="P413" s="192"/>
      <c r="Q413" s="192"/>
      <c r="R413" s="191"/>
      <c r="S413" s="192"/>
      <c r="T413" s="192"/>
      <c r="U413" s="192"/>
      <c r="V413" s="192"/>
      <c r="W413" s="191"/>
      <c r="X413" s="192"/>
      <c r="Y413" s="192"/>
      <c r="Z413" s="192"/>
      <c r="AA413" s="192"/>
      <c r="AB413" s="191"/>
      <c r="AC413" s="192"/>
      <c r="AD413" s="192"/>
      <c r="AE413" s="192"/>
      <c r="AF413" s="192"/>
      <c r="AG413" s="191"/>
      <c r="AH413" s="192"/>
      <c r="AI413" s="192"/>
      <c r="AJ413" s="192"/>
      <c r="AK413" s="192"/>
    </row>
    <row r="414" spans="3:37" ht="12.75" customHeight="1">
      <c r="C414" s="189"/>
      <c r="D414" s="100"/>
      <c r="E414" s="100"/>
      <c r="F414" s="100"/>
      <c r="G414" s="100"/>
      <c r="H414" s="189"/>
      <c r="I414" s="100"/>
      <c r="J414" s="100"/>
      <c r="K414" s="100"/>
      <c r="L414" s="100"/>
      <c r="M414" s="189"/>
      <c r="N414" s="100"/>
      <c r="O414" s="100"/>
      <c r="P414" s="100"/>
      <c r="Q414" s="100"/>
      <c r="R414" s="189"/>
      <c r="S414" s="100"/>
      <c r="T414" s="100"/>
      <c r="U414" s="100"/>
      <c r="V414" s="100"/>
      <c r="W414" s="189"/>
      <c r="X414" s="100"/>
      <c r="Y414" s="100"/>
      <c r="Z414" s="100"/>
      <c r="AA414" s="100"/>
      <c r="AB414" s="189"/>
      <c r="AC414" s="100"/>
      <c r="AD414" s="100"/>
      <c r="AE414" s="100"/>
      <c r="AF414" s="100"/>
      <c r="AG414" s="189"/>
      <c r="AH414" s="100"/>
      <c r="AI414" s="100"/>
      <c r="AJ414" s="100"/>
      <c r="AK414" s="100"/>
    </row>
    <row r="415" spans="3:37" ht="12.75" customHeight="1">
      <c r="C415" s="189"/>
      <c r="D415" s="100"/>
      <c r="E415" s="100"/>
      <c r="F415" s="100"/>
      <c r="G415" s="100"/>
      <c r="H415" s="189"/>
      <c r="I415" s="100"/>
      <c r="J415" s="100"/>
      <c r="K415" s="100"/>
      <c r="L415" s="100"/>
      <c r="M415" s="189"/>
      <c r="N415" s="100"/>
      <c r="O415" s="100"/>
      <c r="P415" s="100"/>
      <c r="Q415" s="100"/>
      <c r="R415" s="189"/>
      <c r="S415" s="100"/>
      <c r="T415" s="100"/>
      <c r="U415" s="100"/>
      <c r="V415" s="100"/>
      <c r="W415" s="189"/>
      <c r="X415" s="100"/>
      <c r="Y415" s="100"/>
      <c r="Z415" s="100"/>
      <c r="AA415" s="100"/>
      <c r="AB415" s="189"/>
      <c r="AC415" s="100"/>
      <c r="AD415" s="100"/>
      <c r="AE415" s="100"/>
      <c r="AF415" s="100"/>
      <c r="AG415" s="189"/>
      <c r="AH415" s="100"/>
      <c r="AI415" s="100"/>
      <c r="AJ415" s="100"/>
      <c r="AK415" s="100"/>
    </row>
    <row r="416" spans="3:37" ht="12.75" customHeight="1">
      <c r="C416" s="189"/>
      <c r="D416" s="100"/>
      <c r="E416" s="100"/>
      <c r="F416" s="100"/>
      <c r="G416" s="100"/>
      <c r="H416" s="189"/>
      <c r="I416" s="100"/>
      <c r="J416" s="100"/>
      <c r="K416" s="100"/>
      <c r="L416" s="100"/>
      <c r="M416" s="189"/>
      <c r="N416" s="100"/>
      <c r="O416" s="100"/>
      <c r="P416" s="100"/>
      <c r="Q416" s="100"/>
      <c r="R416" s="189"/>
      <c r="S416" s="100"/>
      <c r="T416" s="100"/>
      <c r="U416" s="100"/>
      <c r="V416" s="100"/>
      <c r="W416" s="189"/>
      <c r="X416" s="100"/>
      <c r="Y416" s="100"/>
      <c r="Z416" s="100"/>
      <c r="AA416" s="100"/>
      <c r="AB416" s="189"/>
      <c r="AC416" s="100"/>
      <c r="AD416" s="100"/>
      <c r="AE416" s="100"/>
      <c r="AF416" s="100"/>
      <c r="AG416" s="189"/>
      <c r="AH416" s="100"/>
      <c r="AI416" s="100"/>
      <c r="AJ416" s="100"/>
      <c r="AK416" s="100"/>
    </row>
    <row r="418" spans="3:37" ht="12.75" customHeight="1">
      <c r="C418" s="193"/>
      <c r="D418" s="163"/>
      <c r="E418" s="163"/>
      <c r="F418" s="163"/>
      <c r="G418" s="163"/>
      <c r="H418" s="193"/>
      <c r="I418" s="163"/>
      <c r="J418" s="163"/>
      <c r="K418" s="163"/>
      <c r="L418" s="163"/>
      <c r="M418" s="193"/>
      <c r="N418" s="163"/>
      <c r="O418" s="163"/>
      <c r="P418" s="163"/>
      <c r="Q418" s="163"/>
      <c r="R418" s="193"/>
      <c r="S418" s="163"/>
      <c r="T418" s="163"/>
      <c r="U418" s="163"/>
      <c r="V418" s="163"/>
      <c r="W418" s="193"/>
      <c r="X418" s="163"/>
      <c r="Y418" s="163"/>
      <c r="Z418" s="163"/>
      <c r="AA418" s="163"/>
      <c r="AB418" s="193"/>
      <c r="AC418" s="163"/>
      <c r="AD418" s="163"/>
      <c r="AE418" s="163"/>
      <c r="AF418" s="163"/>
      <c r="AG418" s="193"/>
      <c r="AH418" s="163"/>
      <c r="AI418" s="163"/>
      <c r="AJ418" s="163"/>
      <c r="AK418" s="163"/>
    </row>
    <row r="419" spans="3:37" ht="12.75" customHeight="1">
      <c r="C419" s="194"/>
      <c r="H419" s="194"/>
      <c r="M419" s="194"/>
      <c r="R419" s="194"/>
      <c r="W419" s="194"/>
      <c r="AB419" s="194"/>
      <c r="AG419" s="194"/>
    </row>
    <row r="420" spans="3:37" ht="12.75" customHeight="1">
      <c r="C420" s="194"/>
      <c r="H420" s="194"/>
      <c r="M420" s="194"/>
      <c r="R420" s="194"/>
      <c r="W420" s="194"/>
      <c r="AB420" s="194"/>
      <c r="AG420" s="194"/>
    </row>
    <row r="422" spans="3:37" ht="12.75" customHeight="1">
      <c r="C422" s="195"/>
      <c r="D422" s="196"/>
      <c r="E422" s="196"/>
      <c r="F422" s="196"/>
      <c r="G422" s="196"/>
      <c r="H422" s="195"/>
      <c r="I422" s="196"/>
      <c r="J422" s="196"/>
      <c r="K422" s="196"/>
      <c r="L422" s="196"/>
      <c r="M422" s="195"/>
      <c r="N422" s="196"/>
      <c r="O422" s="196"/>
      <c r="P422" s="196"/>
      <c r="Q422" s="196"/>
      <c r="R422" s="195"/>
      <c r="S422" s="196"/>
      <c r="T422" s="196"/>
      <c r="U422" s="196"/>
      <c r="V422" s="196"/>
      <c r="W422" s="195"/>
      <c r="X422" s="196"/>
      <c r="Y422" s="196"/>
      <c r="Z422" s="196"/>
      <c r="AA422" s="196"/>
      <c r="AB422" s="195"/>
      <c r="AC422" s="196"/>
      <c r="AD422" s="196"/>
      <c r="AE422" s="196"/>
      <c r="AF422" s="196"/>
      <c r="AG422" s="195"/>
      <c r="AH422" s="196"/>
      <c r="AI422" s="196"/>
      <c r="AJ422" s="196"/>
      <c r="AK422" s="196"/>
    </row>
    <row r="423" spans="3:37" ht="12.75" customHeight="1">
      <c r="C423" s="197"/>
      <c r="D423" s="198"/>
      <c r="E423" s="198"/>
      <c r="F423" s="198"/>
      <c r="G423" s="198"/>
      <c r="H423" s="197"/>
      <c r="I423" s="198"/>
      <c r="J423" s="198"/>
      <c r="K423" s="198"/>
      <c r="L423" s="198"/>
      <c r="M423" s="197"/>
      <c r="N423" s="198"/>
      <c r="O423" s="198"/>
      <c r="P423" s="198"/>
      <c r="Q423" s="198"/>
      <c r="R423" s="197"/>
      <c r="S423" s="198"/>
      <c r="T423" s="198"/>
      <c r="U423" s="198"/>
      <c r="V423" s="198"/>
      <c r="W423" s="197"/>
      <c r="X423" s="198"/>
      <c r="Y423" s="198"/>
      <c r="Z423" s="198"/>
      <c r="AA423" s="198"/>
      <c r="AB423" s="197"/>
      <c r="AC423" s="198"/>
      <c r="AD423" s="198"/>
      <c r="AE423" s="198"/>
      <c r="AF423" s="198"/>
      <c r="AG423" s="197"/>
      <c r="AH423" s="198"/>
      <c r="AI423" s="198"/>
      <c r="AJ423" s="198"/>
      <c r="AK423" s="198"/>
    </row>
    <row r="430" spans="3:37" ht="12.75" customHeight="1">
      <c r="C430" s="127"/>
      <c r="D430" s="100"/>
      <c r="E430" s="100"/>
      <c r="F430" s="100"/>
      <c r="G430" s="100"/>
      <c r="H430" s="127"/>
      <c r="I430" s="100"/>
      <c r="J430" s="100"/>
      <c r="K430" s="100"/>
      <c r="L430" s="100"/>
      <c r="M430" s="127"/>
      <c r="N430" s="100"/>
      <c r="O430" s="100"/>
      <c r="P430" s="100"/>
      <c r="Q430" s="100"/>
      <c r="R430" s="127"/>
      <c r="S430" s="100"/>
      <c r="T430" s="100"/>
      <c r="U430" s="100"/>
      <c r="V430" s="100"/>
      <c r="W430" s="127"/>
      <c r="X430" s="100"/>
      <c r="Y430" s="100"/>
      <c r="Z430" s="100"/>
      <c r="AA430" s="100"/>
      <c r="AB430" s="127"/>
      <c r="AC430" s="100"/>
      <c r="AD430" s="100"/>
      <c r="AE430" s="100"/>
      <c r="AF430" s="100"/>
      <c r="AG430" s="127"/>
      <c r="AH430" s="100"/>
      <c r="AI430" s="100"/>
      <c r="AJ430" s="100"/>
      <c r="AK430" s="100"/>
    </row>
    <row r="431" spans="3:37" ht="12.75" customHeight="1">
      <c r="C431" s="127"/>
      <c r="D431" s="100"/>
      <c r="E431" s="100"/>
      <c r="F431" s="100"/>
      <c r="G431" s="100"/>
      <c r="H431" s="127"/>
      <c r="I431" s="100"/>
      <c r="J431" s="100"/>
      <c r="K431" s="100"/>
      <c r="L431" s="100"/>
      <c r="M431" s="127"/>
      <c r="N431" s="100"/>
      <c r="O431" s="100"/>
      <c r="P431" s="100"/>
      <c r="Q431" s="100"/>
      <c r="R431" s="127"/>
      <c r="S431" s="100"/>
      <c r="T431" s="100"/>
      <c r="U431" s="100"/>
      <c r="V431" s="100"/>
      <c r="W431" s="127"/>
      <c r="X431" s="100"/>
      <c r="Y431" s="100"/>
      <c r="Z431" s="100"/>
      <c r="AA431" s="100"/>
      <c r="AB431" s="127"/>
      <c r="AC431" s="100"/>
      <c r="AD431" s="100"/>
      <c r="AE431" s="100"/>
      <c r="AF431" s="100"/>
      <c r="AG431" s="127"/>
      <c r="AH431" s="100"/>
      <c r="AI431" s="100"/>
      <c r="AJ431" s="100"/>
      <c r="AK431" s="100"/>
    </row>
    <row r="433" spans="3:37" ht="12.75" customHeight="1">
      <c r="C433" s="127"/>
      <c r="D433" s="100"/>
      <c r="E433" s="100"/>
      <c r="F433" s="100"/>
      <c r="G433" s="100"/>
      <c r="H433" s="127"/>
      <c r="I433" s="100"/>
      <c r="J433" s="100"/>
      <c r="K433" s="100"/>
      <c r="L433" s="100"/>
      <c r="M433" s="127"/>
      <c r="N433" s="100"/>
      <c r="O433" s="100"/>
      <c r="P433" s="100"/>
      <c r="Q433" s="100"/>
      <c r="R433" s="127"/>
      <c r="S433" s="100"/>
      <c r="T433" s="100"/>
      <c r="U433" s="100"/>
      <c r="V433" s="100"/>
      <c r="W433" s="127"/>
      <c r="X433" s="100"/>
      <c r="Y433" s="100"/>
      <c r="Z433" s="100"/>
      <c r="AA433" s="100"/>
      <c r="AB433" s="127"/>
      <c r="AC433" s="100"/>
      <c r="AD433" s="100"/>
      <c r="AE433" s="100"/>
      <c r="AF433" s="100"/>
      <c r="AG433" s="127"/>
      <c r="AH433" s="100"/>
      <c r="AI433" s="100"/>
      <c r="AJ433" s="100"/>
      <c r="AK433" s="100"/>
    </row>
    <row r="434" spans="3:37" ht="12.75" customHeight="1">
      <c r="C434" s="127"/>
      <c r="D434" s="100"/>
      <c r="E434" s="100"/>
      <c r="F434" s="100"/>
      <c r="G434" s="100"/>
      <c r="H434" s="127"/>
      <c r="I434" s="100"/>
      <c r="J434" s="100"/>
      <c r="K434" s="100"/>
      <c r="L434" s="100"/>
      <c r="M434" s="127"/>
      <c r="N434" s="100"/>
      <c r="O434" s="100"/>
      <c r="P434" s="100"/>
      <c r="Q434" s="100"/>
      <c r="R434" s="127"/>
      <c r="S434" s="100"/>
      <c r="T434" s="100"/>
      <c r="U434" s="100"/>
      <c r="V434" s="100"/>
      <c r="W434" s="127"/>
      <c r="X434" s="100"/>
      <c r="Y434" s="100"/>
      <c r="Z434" s="100"/>
      <c r="AA434" s="100"/>
      <c r="AB434" s="127"/>
      <c r="AC434" s="100"/>
      <c r="AD434" s="100"/>
      <c r="AE434" s="100"/>
      <c r="AF434" s="100"/>
      <c r="AG434" s="127"/>
      <c r="AH434" s="100"/>
      <c r="AI434" s="100"/>
      <c r="AJ434" s="100"/>
      <c r="AK434" s="100"/>
    </row>
    <row r="435" spans="3:37" ht="12.75" customHeight="1">
      <c r="C435" s="199"/>
      <c r="D435" s="200"/>
      <c r="E435" s="200"/>
      <c r="F435" s="200"/>
      <c r="G435" s="200"/>
      <c r="H435" s="199"/>
      <c r="I435" s="200"/>
      <c r="J435" s="200"/>
      <c r="K435" s="200"/>
      <c r="L435" s="200"/>
      <c r="M435" s="199"/>
      <c r="N435" s="200"/>
      <c r="O435" s="200"/>
      <c r="P435" s="200"/>
      <c r="Q435" s="200"/>
      <c r="R435" s="199"/>
      <c r="S435" s="200"/>
      <c r="T435" s="200"/>
      <c r="U435" s="200"/>
      <c r="V435" s="200"/>
      <c r="W435" s="199"/>
      <c r="X435" s="200"/>
      <c r="Y435" s="200"/>
      <c r="Z435" s="200"/>
      <c r="AA435" s="200"/>
      <c r="AB435" s="199"/>
      <c r="AC435" s="200"/>
      <c r="AD435" s="200"/>
      <c r="AE435" s="200"/>
      <c r="AF435" s="200"/>
      <c r="AG435" s="199"/>
      <c r="AH435" s="200"/>
      <c r="AI435" s="200"/>
      <c r="AJ435" s="200"/>
      <c r="AK435" s="200"/>
    </row>
    <row r="436" spans="3:37" ht="12.75" customHeight="1">
      <c r="C436" s="127"/>
      <c r="D436" s="100"/>
      <c r="E436" s="100"/>
      <c r="F436" s="100"/>
      <c r="G436" s="100"/>
      <c r="H436" s="127"/>
      <c r="I436" s="100"/>
      <c r="J436" s="100"/>
      <c r="K436" s="100"/>
      <c r="L436" s="100"/>
      <c r="M436" s="127"/>
      <c r="N436" s="100"/>
      <c r="O436" s="100"/>
      <c r="P436" s="100"/>
      <c r="Q436" s="100"/>
      <c r="R436" s="127"/>
      <c r="S436" s="100"/>
      <c r="T436" s="100"/>
      <c r="U436" s="100"/>
      <c r="V436" s="100"/>
      <c r="W436" s="127"/>
      <c r="X436" s="100"/>
      <c r="Y436" s="100"/>
      <c r="Z436" s="100"/>
      <c r="AA436" s="100"/>
      <c r="AB436" s="127"/>
      <c r="AC436" s="100"/>
      <c r="AD436" s="100"/>
      <c r="AE436" s="100"/>
      <c r="AF436" s="100"/>
      <c r="AG436" s="127"/>
      <c r="AH436" s="100"/>
      <c r="AI436" s="100"/>
      <c r="AJ436" s="100"/>
      <c r="AK436" s="100"/>
    </row>
    <row r="439" spans="3:37" ht="12.75" customHeight="1">
      <c r="C439" s="201"/>
      <c r="D439" s="202"/>
      <c r="E439" s="202"/>
      <c r="F439" s="202"/>
      <c r="G439" s="202"/>
      <c r="H439" s="201"/>
      <c r="I439" s="202"/>
      <c r="J439" s="202"/>
      <c r="K439" s="202"/>
      <c r="L439" s="202"/>
      <c r="M439" s="201"/>
      <c r="N439" s="202"/>
      <c r="O439" s="202"/>
      <c r="P439" s="202"/>
      <c r="Q439" s="202"/>
      <c r="R439" s="201"/>
      <c r="S439" s="202"/>
      <c r="T439" s="202"/>
      <c r="U439" s="202"/>
      <c r="V439" s="202"/>
      <c r="W439" s="201"/>
      <c r="X439" s="202"/>
      <c r="Y439" s="202"/>
      <c r="Z439" s="202"/>
      <c r="AA439" s="202"/>
      <c r="AB439" s="201"/>
      <c r="AC439" s="202"/>
      <c r="AD439" s="202"/>
      <c r="AE439" s="202"/>
      <c r="AF439" s="202"/>
      <c r="AG439" s="201"/>
      <c r="AH439" s="202"/>
      <c r="AI439" s="202"/>
      <c r="AJ439" s="202"/>
      <c r="AK439" s="202"/>
    </row>
    <row r="440" spans="3:37" ht="12.75" customHeight="1">
      <c r="C440" s="127"/>
      <c r="D440" s="100"/>
      <c r="E440" s="100"/>
      <c r="F440" s="100"/>
      <c r="G440" s="100"/>
      <c r="H440" s="127"/>
      <c r="I440" s="100"/>
      <c r="J440" s="100"/>
      <c r="K440" s="100"/>
      <c r="L440" s="100"/>
      <c r="M440" s="127"/>
      <c r="N440" s="100"/>
      <c r="O440" s="100"/>
      <c r="P440" s="100"/>
      <c r="Q440" s="100"/>
      <c r="R440" s="127"/>
      <c r="S440" s="100"/>
      <c r="T440" s="100"/>
      <c r="U440" s="100"/>
      <c r="V440" s="100"/>
      <c r="W440" s="127"/>
      <c r="X440" s="100"/>
      <c r="Y440" s="100"/>
      <c r="Z440" s="100"/>
      <c r="AA440" s="100"/>
      <c r="AB440" s="127"/>
      <c r="AC440" s="100"/>
      <c r="AD440" s="100"/>
      <c r="AE440" s="100"/>
      <c r="AF440" s="100"/>
      <c r="AG440" s="127"/>
      <c r="AH440" s="100"/>
      <c r="AI440" s="100"/>
      <c r="AJ440" s="100"/>
      <c r="AK440" s="100"/>
    </row>
    <row r="441" spans="3:37" ht="12.75" customHeight="1">
      <c r="C441" s="127"/>
      <c r="D441" s="100"/>
      <c r="E441" s="100"/>
      <c r="F441" s="100"/>
      <c r="G441" s="100"/>
      <c r="H441" s="127"/>
      <c r="I441" s="100"/>
      <c r="J441" s="100"/>
      <c r="K441" s="100"/>
      <c r="L441" s="100"/>
      <c r="M441" s="127"/>
      <c r="N441" s="100"/>
      <c r="O441" s="100"/>
      <c r="P441" s="100"/>
      <c r="Q441" s="100"/>
      <c r="R441" s="127"/>
      <c r="S441" s="100"/>
      <c r="T441" s="100"/>
      <c r="U441" s="100"/>
      <c r="V441" s="100"/>
      <c r="W441" s="127"/>
      <c r="X441" s="100"/>
      <c r="Y441" s="100"/>
      <c r="Z441" s="100"/>
      <c r="AA441" s="100"/>
      <c r="AB441" s="127"/>
      <c r="AC441" s="100"/>
      <c r="AD441" s="100"/>
      <c r="AE441" s="100"/>
      <c r="AF441" s="100"/>
      <c r="AG441" s="127"/>
      <c r="AH441" s="100"/>
      <c r="AI441" s="100"/>
      <c r="AJ441" s="100"/>
      <c r="AK441" s="100"/>
    </row>
    <row r="442" spans="3:37" ht="12.75" customHeight="1">
      <c r="C442" s="201"/>
      <c r="D442" s="202"/>
      <c r="E442" s="202"/>
      <c r="F442" s="202"/>
      <c r="G442" s="202"/>
      <c r="H442" s="201"/>
      <c r="I442" s="202"/>
      <c r="J442" s="202"/>
      <c r="K442" s="202"/>
      <c r="L442" s="202"/>
      <c r="M442" s="201"/>
      <c r="N442" s="202"/>
      <c r="O442" s="202"/>
      <c r="P442" s="202"/>
      <c r="Q442" s="202"/>
      <c r="R442" s="201"/>
      <c r="S442" s="202"/>
      <c r="T442" s="202"/>
      <c r="U442" s="202"/>
      <c r="V442" s="202"/>
      <c r="W442" s="201"/>
      <c r="X442" s="202"/>
      <c r="Y442" s="202"/>
      <c r="Z442" s="202"/>
      <c r="AA442" s="202"/>
      <c r="AB442" s="201"/>
      <c r="AC442" s="202"/>
      <c r="AD442" s="202"/>
      <c r="AE442" s="202"/>
      <c r="AF442" s="202"/>
      <c r="AG442" s="201"/>
      <c r="AH442" s="202"/>
      <c r="AI442" s="202"/>
      <c r="AJ442" s="202"/>
      <c r="AK442" s="202"/>
    </row>
    <row r="443" spans="3:37" ht="12.75" customHeight="1">
      <c r="C443" s="127"/>
      <c r="D443" s="100"/>
      <c r="E443" s="100"/>
      <c r="F443" s="100"/>
      <c r="G443" s="100"/>
      <c r="H443" s="127"/>
      <c r="I443" s="100"/>
      <c r="J443" s="100"/>
      <c r="K443" s="100"/>
      <c r="L443" s="100"/>
      <c r="M443" s="127"/>
      <c r="N443" s="100"/>
      <c r="O443" s="100"/>
      <c r="P443" s="100"/>
      <c r="Q443" s="100"/>
      <c r="R443" s="127"/>
      <c r="S443" s="100"/>
      <c r="T443" s="100"/>
      <c r="U443" s="100"/>
      <c r="V443" s="100"/>
      <c r="W443" s="127"/>
      <c r="X443" s="100"/>
      <c r="Y443" s="100"/>
      <c r="Z443" s="100"/>
      <c r="AA443" s="100"/>
      <c r="AB443" s="127"/>
      <c r="AC443" s="100"/>
      <c r="AD443" s="100"/>
      <c r="AE443" s="100"/>
      <c r="AF443" s="100"/>
      <c r="AG443" s="127"/>
      <c r="AH443" s="100"/>
      <c r="AI443" s="100"/>
      <c r="AJ443" s="100"/>
      <c r="AK443" s="100"/>
    </row>
    <row r="444" spans="3:37" ht="12.75" customHeight="1">
      <c r="C444" s="127"/>
      <c r="D444" s="100"/>
      <c r="E444" s="100"/>
      <c r="F444" s="100"/>
      <c r="G444" s="100"/>
      <c r="H444" s="127"/>
      <c r="I444" s="100"/>
      <c r="J444" s="100"/>
      <c r="K444" s="100"/>
      <c r="L444" s="100"/>
      <c r="M444" s="127"/>
      <c r="N444" s="100"/>
      <c r="O444" s="100"/>
      <c r="P444" s="100"/>
      <c r="Q444" s="100"/>
      <c r="R444" s="127"/>
      <c r="S444" s="100"/>
      <c r="T444" s="100"/>
      <c r="U444" s="100"/>
      <c r="V444" s="100"/>
      <c r="W444" s="127"/>
      <c r="X444" s="100"/>
      <c r="Y444" s="100"/>
      <c r="Z444" s="100"/>
      <c r="AA444" s="100"/>
      <c r="AB444" s="127"/>
      <c r="AC444" s="100"/>
      <c r="AD444" s="100"/>
      <c r="AE444" s="100"/>
      <c r="AF444" s="100"/>
      <c r="AG444" s="127"/>
      <c r="AH444" s="100"/>
      <c r="AI444" s="100"/>
      <c r="AJ444" s="100"/>
      <c r="AK444" s="100"/>
    </row>
    <row r="446" spans="3:37" ht="12.75" customHeight="1">
      <c r="C446" s="127"/>
      <c r="D446" s="100"/>
      <c r="E446" s="100"/>
      <c r="F446" s="100"/>
      <c r="G446" s="100"/>
      <c r="H446" s="127"/>
      <c r="I446" s="100"/>
      <c r="J446" s="100"/>
      <c r="K446" s="100"/>
      <c r="L446" s="100"/>
      <c r="M446" s="127"/>
      <c r="N446" s="100"/>
      <c r="O446" s="100"/>
      <c r="P446" s="100"/>
      <c r="Q446" s="100"/>
      <c r="R446" s="127"/>
      <c r="S446" s="100"/>
      <c r="T446" s="100"/>
      <c r="U446" s="100"/>
      <c r="V446" s="100"/>
      <c r="W446" s="127"/>
      <c r="X446" s="100"/>
      <c r="Y446" s="100"/>
      <c r="Z446" s="100"/>
      <c r="AA446" s="100"/>
      <c r="AB446" s="127"/>
      <c r="AC446" s="100"/>
      <c r="AD446" s="100"/>
      <c r="AE446" s="100"/>
      <c r="AF446" s="100"/>
      <c r="AG446" s="127"/>
      <c r="AH446" s="100"/>
      <c r="AI446" s="100"/>
      <c r="AJ446" s="100"/>
      <c r="AK446" s="100"/>
    </row>
    <row r="447" spans="3:37" ht="12.75" customHeight="1">
      <c r="C447" s="127"/>
      <c r="D447" s="100"/>
      <c r="E447" s="100"/>
      <c r="F447" s="100"/>
      <c r="G447" s="100"/>
      <c r="H447" s="127"/>
      <c r="I447" s="100"/>
      <c r="J447" s="100"/>
      <c r="K447" s="100"/>
      <c r="L447" s="100"/>
      <c r="M447" s="127"/>
      <c r="N447" s="100"/>
      <c r="O447" s="100"/>
      <c r="P447" s="100"/>
      <c r="Q447" s="100"/>
      <c r="R447" s="127"/>
      <c r="S447" s="100"/>
      <c r="T447" s="100"/>
      <c r="U447" s="100"/>
      <c r="V447" s="100"/>
      <c r="W447" s="127"/>
      <c r="X447" s="100"/>
      <c r="Y447" s="100"/>
      <c r="Z447" s="100"/>
      <c r="AA447" s="100"/>
      <c r="AB447" s="127"/>
      <c r="AC447" s="100"/>
      <c r="AD447" s="100"/>
      <c r="AE447" s="100"/>
      <c r="AF447" s="100"/>
      <c r="AG447" s="127"/>
      <c r="AH447" s="100"/>
      <c r="AI447" s="100"/>
      <c r="AJ447" s="100"/>
      <c r="AK447" s="100"/>
    </row>
    <row r="448" spans="3:37" ht="12.75" customHeight="1">
      <c r="C448" s="127"/>
      <c r="D448" s="100"/>
      <c r="E448" s="100"/>
      <c r="F448" s="100"/>
      <c r="G448" s="100"/>
      <c r="H448" s="127"/>
      <c r="I448" s="100"/>
      <c r="J448" s="100"/>
      <c r="K448" s="100"/>
      <c r="L448" s="100"/>
      <c r="M448" s="127"/>
      <c r="N448" s="100"/>
      <c r="O448" s="100"/>
      <c r="P448" s="100"/>
      <c r="Q448" s="100"/>
      <c r="R448" s="127"/>
      <c r="S448" s="100"/>
      <c r="T448" s="100"/>
      <c r="U448" s="100"/>
      <c r="V448" s="100"/>
      <c r="W448" s="127"/>
      <c r="X448" s="100"/>
      <c r="Y448" s="100"/>
      <c r="Z448" s="100"/>
      <c r="AA448" s="100"/>
      <c r="AB448" s="127"/>
      <c r="AC448" s="100"/>
      <c r="AD448" s="100"/>
      <c r="AE448" s="100"/>
      <c r="AF448" s="100"/>
      <c r="AG448" s="127"/>
      <c r="AH448" s="100"/>
      <c r="AI448" s="100"/>
      <c r="AJ448" s="100"/>
      <c r="AK448" s="100"/>
    </row>
    <row r="452" spans="3:37" ht="12.75" customHeight="1">
      <c r="C452" s="127"/>
      <c r="D452" s="100"/>
      <c r="E452" s="100"/>
      <c r="F452" s="100"/>
      <c r="G452" s="100"/>
      <c r="H452" s="127"/>
      <c r="I452" s="100"/>
      <c r="J452" s="100"/>
      <c r="K452" s="100"/>
      <c r="L452" s="100"/>
      <c r="M452" s="127"/>
      <c r="N452" s="100"/>
      <c r="O452" s="100"/>
      <c r="P452" s="100"/>
      <c r="Q452" s="100"/>
      <c r="R452" s="127"/>
      <c r="S452" s="100"/>
      <c r="T452" s="100"/>
      <c r="U452" s="100"/>
      <c r="V452" s="100"/>
      <c r="W452" s="127"/>
      <c r="X452" s="100"/>
      <c r="Y452" s="100"/>
      <c r="Z452" s="100"/>
      <c r="AA452" s="100"/>
      <c r="AB452" s="127"/>
      <c r="AC452" s="100"/>
      <c r="AD452" s="100"/>
      <c r="AE452" s="100"/>
      <c r="AF452" s="100"/>
      <c r="AG452" s="127"/>
      <c r="AH452" s="100"/>
      <c r="AI452" s="100"/>
      <c r="AJ452" s="100"/>
      <c r="AK452" s="100"/>
    </row>
    <row r="453" spans="3:37" ht="12.75" customHeight="1">
      <c r="C453" s="127"/>
      <c r="D453" s="100"/>
      <c r="E453" s="100"/>
      <c r="F453" s="100"/>
      <c r="G453" s="100"/>
      <c r="H453" s="127"/>
      <c r="I453" s="100"/>
      <c r="J453" s="100"/>
      <c r="K453" s="100"/>
      <c r="L453" s="100"/>
      <c r="M453" s="127"/>
      <c r="N453" s="100"/>
      <c r="O453" s="100"/>
      <c r="P453" s="100"/>
      <c r="Q453" s="100"/>
      <c r="R453" s="127"/>
      <c r="S453" s="100"/>
      <c r="T453" s="100"/>
      <c r="U453" s="100"/>
      <c r="V453" s="100"/>
      <c r="W453" s="127"/>
      <c r="X453" s="100"/>
      <c r="Y453" s="100"/>
      <c r="Z453" s="100"/>
      <c r="AA453" s="100"/>
      <c r="AB453" s="127"/>
      <c r="AC453" s="100"/>
      <c r="AD453" s="100"/>
      <c r="AE453" s="100"/>
      <c r="AF453" s="100"/>
      <c r="AG453" s="127"/>
      <c r="AH453" s="100"/>
      <c r="AI453" s="100"/>
      <c r="AJ453" s="100"/>
      <c r="AK453" s="100"/>
    </row>
    <row r="454" spans="3:37" ht="12.75" customHeight="1">
      <c r="C454" s="127"/>
      <c r="D454" s="100"/>
      <c r="E454" s="100"/>
      <c r="F454" s="100"/>
      <c r="G454" s="100"/>
      <c r="H454" s="127"/>
      <c r="I454" s="100"/>
      <c r="J454" s="100"/>
      <c r="K454" s="100"/>
      <c r="L454" s="100"/>
      <c r="M454" s="127"/>
      <c r="N454" s="100"/>
      <c r="O454" s="100"/>
      <c r="P454" s="100"/>
      <c r="Q454" s="100"/>
      <c r="R454" s="127"/>
      <c r="S454" s="100"/>
      <c r="T454" s="100"/>
      <c r="U454" s="100"/>
      <c r="V454" s="100"/>
      <c r="W454" s="127"/>
      <c r="X454" s="100"/>
      <c r="Y454" s="100"/>
      <c r="Z454" s="100"/>
      <c r="AA454" s="100"/>
      <c r="AB454" s="127"/>
      <c r="AC454" s="100"/>
      <c r="AD454" s="100"/>
      <c r="AE454" s="100"/>
      <c r="AF454" s="100"/>
      <c r="AG454" s="127"/>
      <c r="AH454" s="100"/>
      <c r="AI454" s="100"/>
      <c r="AJ454" s="100"/>
      <c r="AK454" s="100"/>
    </row>
    <row r="455" spans="3:37" ht="12.75" customHeight="1">
      <c r="C455" s="127"/>
      <c r="D455" s="100"/>
      <c r="E455" s="100"/>
      <c r="F455" s="100"/>
      <c r="G455" s="100"/>
      <c r="H455" s="127"/>
      <c r="I455" s="100"/>
      <c r="J455" s="100"/>
      <c r="K455" s="100"/>
      <c r="L455" s="100"/>
      <c r="M455" s="127"/>
      <c r="N455" s="100"/>
      <c r="O455" s="100"/>
      <c r="P455" s="100"/>
      <c r="Q455" s="100"/>
      <c r="R455" s="127"/>
      <c r="S455" s="100"/>
      <c r="T455" s="100"/>
      <c r="U455" s="100"/>
      <c r="V455" s="100"/>
      <c r="W455" s="127"/>
      <c r="X455" s="100"/>
      <c r="Y455" s="100"/>
      <c r="Z455" s="100"/>
      <c r="AA455" s="100"/>
      <c r="AB455" s="127"/>
      <c r="AC455" s="100"/>
      <c r="AD455" s="100"/>
      <c r="AE455" s="100"/>
      <c r="AF455" s="100"/>
      <c r="AG455" s="127"/>
      <c r="AH455" s="100"/>
      <c r="AI455" s="100"/>
      <c r="AJ455" s="100"/>
      <c r="AK455" s="100"/>
    </row>
    <row r="458" spans="3:37" ht="12.75" customHeight="1">
      <c r="C458" s="155"/>
      <c r="D458" s="155"/>
      <c r="E458" s="155"/>
      <c r="F458" s="155"/>
      <c r="G458" s="155"/>
      <c r="H458" s="155"/>
      <c r="I458" s="155"/>
      <c r="J458" s="155"/>
      <c r="K458" s="155"/>
      <c r="L458" s="155"/>
      <c r="M458" s="155"/>
      <c r="N458" s="155"/>
      <c r="O458" s="155"/>
      <c r="P458" s="155"/>
      <c r="Q458" s="155"/>
      <c r="R458" s="155"/>
      <c r="S458" s="155"/>
      <c r="T458" s="155"/>
      <c r="U458" s="155"/>
      <c r="V458" s="155"/>
      <c r="W458" s="155"/>
      <c r="X458" s="155"/>
      <c r="Y458" s="155"/>
      <c r="Z458" s="155"/>
      <c r="AA458" s="155"/>
      <c r="AB458" s="155"/>
      <c r="AC458" s="155"/>
      <c r="AD458" s="155"/>
      <c r="AE458" s="155"/>
      <c r="AF458" s="155"/>
      <c r="AG458" s="155"/>
      <c r="AH458" s="155"/>
      <c r="AI458" s="155"/>
      <c r="AJ458" s="155"/>
      <c r="AK458" s="155"/>
    </row>
    <row r="459" spans="3:37" ht="12.75" customHeight="1">
      <c r="C459" s="155"/>
      <c r="D459" s="155"/>
      <c r="E459" s="155"/>
      <c r="F459" s="155"/>
      <c r="G459" s="155"/>
      <c r="H459" s="155"/>
      <c r="I459" s="155"/>
      <c r="J459" s="155"/>
      <c r="K459" s="155"/>
      <c r="L459" s="155"/>
      <c r="M459" s="155"/>
      <c r="N459" s="155"/>
      <c r="O459" s="155"/>
      <c r="P459" s="155"/>
      <c r="Q459" s="155"/>
      <c r="R459" s="155"/>
      <c r="S459" s="155"/>
      <c r="T459" s="155"/>
      <c r="U459" s="155"/>
      <c r="V459" s="155"/>
      <c r="W459" s="155"/>
      <c r="X459" s="155"/>
      <c r="Y459" s="155"/>
      <c r="Z459" s="155"/>
      <c r="AA459" s="155"/>
      <c r="AB459" s="155"/>
      <c r="AC459" s="155"/>
      <c r="AD459" s="155"/>
      <c r="AE459" s="155"/>
      <c r="AF459" s="155"/>
      <c r="AG459" s="155"/>
      <c r="AH459" s="155"/>
      <c r="AI459" s="155"/>
      <c r="AJ459" s="155"/>
      <c r="AK459" s="155"/>
    </row>
    <row r="460" spans="3:37" ht="12.75" customHeight="1">
      <c r="C460" s="155"/>
      <c r="D460" s="155"/>
      <c r="E460" s="155"/>
      <c r="F460" s="155"/>
      <c r="G460" s="155"/>
      <c r="H460" s="155"/>
      <c r="I460" s="155"/>
      <c r="J460" s="155"/>
      <c r="K460" s="155"/>
      <c r="L460" s="155"/>
      <c r="M460" s="155"/>
      <c r="N460" s="155"/>
      <c r="O460" s="155"/>
      <c r="P460" s="155"/>
      <c r="Q460" s="155"/>
      <c r="R460" s="155"/>
      <c r="S460" s="155"/>
      <c r="T460" s="155"/>
      <c r="U460" s="155"/>
      <c r="V460" s="155"/>
      <c r="W460" s="155"/>
      <c r="X460" s="155"/>
      <c r="Y460" s="155"/>
      <c r="Z460" s="155"/>
      <c r="AA460" s="155"/>
      <c r="AB460" s="155"/>
      <c r="AC460" s="155"/>
      <c r="AD460" s="155"/>
      <c r="AE460" s="155"/>
      <c r="AF460" s="155"/>
      <c r="AG460" s="155"/>
      <c r="AH460" s="155"/>
      <c r="AI460" s="155"/>
      <c r="AJ460" s="155"/>
      <c r="AK460" s="155"/>
    </row>
    <row r="461" spans="3:37" ht="12.75" customHeight="1">
      <c r="C461" s="101"/>
      <c r="D461" s="101"/>
      <c r="E461" s="101"/>
      <c r="F461" s="101"/>
      <c r="G461" s="101"/>
      <c r="H461" s="101"/>
      <c r="I461" s="101"/>
      <c r="J461" s="101"/>
      <c r="K461" s="101"/>
      <c r="L461" s="101"/>
      <c r="M461" s="101"/>
      <c r="N461" s="101"/>
      <c r="O461" s="101"/>
      <c r="P461" s="101"/>
      <c r="Q461" s="101"/>
      <c r="R461" s="101"/>
      <c r="S461" s="101"/>
      <c r="T461" s="101"/>
      <c r="U461" s="101"/>
      <c r="V461" s="101"/>
      <c r="W461" s="101"/>
      <c r="X461" s="101"/>
      <c r="Y461" s="101"/>
      <c r="Z461" s="101"/>
      <c r="AA461" s="101"/>
      <c r="AB461" s="101"/>
      <c r="AC461" s="101"/>
      <c r="AD461" s="101"/>
      <c r="AE461" s="101"/>
      <c r="AF461" s="101"/>
      <c r="AG461" s="101"/>
      <c r="AH461" s="101"/>
      <c r="AI461" s="101"/>
      <c r="AJ461" s="101"/>
      <c r="AK461" s="101"/>
    </row>
    <row r="462" spans="3:37" ht="12.75" customHeight="1">
      <c r="C462" s="203"/>
      <c r="D462" s="203"/>
      <c r="E462" s="203"/>
      <c r="F462" s="203"/>
      <c r="G462" s="203"/>
      <c r="H462" s="203"/>
      <c r="I462" s="203"/>
      <c r="J462" s="203"/>
      <c r="K462" s="203"/>
      <c r="L462" s="203"/>
      <c r="M462" s="203"/>
      <c r="N462" s="203"/>
      <c r="O462" s="203"/>
      <c r="P462" s="203"/>
      <c r="Q462" s="203"/>
      <c r="R462" s="203"/>
      <c r="S462" s="203"/>
      <c r="T462" s="203"/>
      <c r="U462" s="203"/>
      <c r="V462" s="203"/>
      <c r="W462" s="203"/>
      <c r="X462" s="203"/>
      <c r="Y462" s="203"/>
      <c r="Z462" s="203"/>
      <c r="AA462" s="203"/>
      <c r="AB462" s="203"/>
      <c r="AC462" s="203"/>
      <c r="AD462" s="203"/>
      <c r="AE462" s="203"/>
      <c r="AF462" s="203"/>
      <c r="AG462" s="203"/>
      <c r="AH462" s="203"/>
      <c r="AI462" s="203"/>
      <c r="AJ462" s="203"/>
      <c r="AK462" s="203"/>
    </row>
    <row r="463" spans="3:37" ht="12.75" customHeight="1">
      <c r="C463" s="155"/>
      <c r="D463" s="155"/>
      <c r="E463" s="155"/>
      <c r="F463" s="155"/>
      <c r="G463" s="155"/>
      <c r="H463" s="155"/>
      <c r="I463" s="155"/>
      <c r="J463" s="155"/>
      <c r="K463" s="155"/>
      <c r="L463" s="155"/>
      <c r="M463" s="155"/>
      <c r="N463" s="155"/>
      <c r="O463" s="155"/>
      <c r="P463" s="155"/>
      <c r="Q463" s="155"/>
      <c r="R463" s="155"/>
      <c r="S463" s="155"/>
      <c r="T463" s="155"/>
      <c r="U463" s="155"/>
      <c r="V463" s="155"/>
      <c r="W463" s="155"/>
      <c r="X463" s="155"/>
      <c r="Y463" s="155"/>
      <c r="Z463" s="155"/>
      <c r="AA463" s="155"/>
      <c r="AB463" s="155"/>
      <c r="AC463" s="155"/>
      <c r="AD463" s="155"/>
      <c r="AE463" s="155"/>
      <c r="AF463" s="155"/>
      <c r="AG463" s="155"/>
      <c r="AH463" s="155"/>
      <c r="AI463" s="155"/>
      <c r="AJ463" s="155"/>
      <c r="AK463" s="155"/>
    </row>
    <row r="464" spans="3:37" ht="12.75" customHeight="1">
      <c r="C464" s="155"/>
      <c r="D464" s="155"/>
      <c r="E464" s="155"/>
      <c r="F464" s="155"/>
      <c r="G464" s="155"/>
      <c r="H464" s="155"/>
      <c r="I464" s="155"/>
      <c r="J464" s="155"/>
      <c r="K464" s="155"/>
      <c r="L464" s="155"/>
      <c r="M464" s="155"/>
      <c r="N464" s="155"/>
      <c r="O464" s="155"/>
      <c r="P464" s="155"/>
      <c r="Q464" s="155"/>
      <c r="R464" s="155"/>
      <c r="S464" s="155"/>
      <c r="T464" s="155"/>
      <c r="U464" s="155"/>
      <c r="V464" s="155"/>
      <c r="W464" s="155"/>
      <c r="X464" s="155"/>
      <c r="Y464" s="155"/>
      <c r="Z464" s="155"/>
      <c r="AA464" s="155"/>
      <c r="AB464" s="155"/>
      <c r="AC464" s="155"/>
      <c r="AD464" s="155"/>
      <c r="AE464" s="155"/>
      <c r="AF464" s="155"/>
      <c r="AG464" s="155"/>
      <c r="AH464" s="155"/>
      <c r="AI464" s="155"/>
      <c r="AJ464" s="155"/>
      <c r="AK464" s="155"/>
    </row>
    <row r="465" spans="3:37" ht="12.75" customHeight="1">
      <c r="C465" s="101"/>
      <c r="D465" s="101"/>
      <c r="E465" s="101"/>
      <c r="F465" s="101"/>
      <c r="G465" s="101"/>
      <c r="H465" s="101"/>
      <c r="I465" s="101"/>
      <c r="J465" s="101"/>
      <c r="K465" s="101"/>
      <c r="L465" s="101"/>
      <c r="M465" s="101"/>
      <c r="N465" s="101"/>
      <c r="O465" s="101"/>
      <c r="P465" s="101"/>
      <c r="Q465" s="101"/>
      <c r="R465" s="101"/>
      <c r="S465" s="101"/>
      <c r="T465" s="101"/>
      <c r="U465" s="101"/>
      <c r="V465" s="101"/>
      <c r="W465" s="101"/>
      <c r="X465" s="101"/>
      <c r="Y465" s="101"/>
      <c r="Z465" s="101"/>
      <c r="AA465" s="101"/>
      <c r="AB465" s="101"/>
      <c r="AC465" s="101"/>
      <c r="AD465" s="101"/>
      <c r="AE465" s="101"/>
      <c r="AF465" s="101"/>
      <c r="AG465" s="101"/>
      <c r="AH465" s="101"/>
      <c r="AI465" s="101"/>
      <c r="AJ465" s="101"/>
      <c r="AK465" s="101"/>
    </row>
    <row r="466" spans="3:37" ht="12.75" customHeight="1">
      <c r="C466" s="101"/>
      <c r="D466" s="101"/>
      <c r="E466" s="101"/>
      <c r="F466" s="101"/>
      <c r="G466" s="101"/>
      <c r="H466" s="101"/>
      <c r="I466" s="101"/>
      <c r="J466" s="101"/>
      <c r="K466" s="101"/>
      <c r="L466" s="101"/>
      <c r="M466" s="101"/>
      <c r="N466" s="101"/>
      <c r="O466" s="101"/>
      <c r="P466" s="101"/>
      <c r="Q466" s="101"/>
      <c r="R466" s="101"/>
      <c r="S466" s="101"/>
      <c r="T466" s="101"/>
      <c r="U466" s="101"/>
      <c r="V466" s="101"/>
      <c r="W466" s="101"/>
      <c r="X466" s="101"/>
      <c r="Y466" s="101"/>
      <c r="Z466" s="101"/>
      <c r="AA466" s="101"/>
      <c r="AB466" s="101"/>
      <c r="AC466" s="101"/>
      <c r="AD466" s="101"/>
      <c r="AE466" s="101"/>
      <c r="AF466" s="101"/>
      <c r="AG466" s="101"/>
      <c r="AH466" s="101"/>
      <c r="AI466" s="101"/>
      <c r="AJ466" s="101"/>
      <c r="AK466" s="101"/>
    </row>
    <row r="467" spans="3:37" ht="12.75" customHeight="1">
      <c r="C467" s="155"/>
      <c r="D467" s="155"/>
      <c r="E467" s="155"/>
      <c r="F467" s="155"/>
      <c r="G467" s="155"/>
      <c r="H467" s="155"/>
      <c r="I467" s="155"/>
      <c r="J467" s="155"/>
      <c r="K467" s="155"/>
      <c r="L467" s="155"/>
      <c r="M467" s="155"/>
      <c r="N467" s="155"/>
      <c r="O467" s="155"/>
      <c r="P467" s="155"/>
      <c r="Q467" s="155"/>
      <c r="R467" s="155"/>
      <c r="S467" s="155"/>
      <c r="T467" s="155"/>
      <c r="U467" s="155"/>
      <c r="V467" s="155"/>
      <c r="W467" s="155"/>
      <c r="X467" s="155"/>
      <c r="Y467" s="155"/>
      <c r="Z467" s="155"/>
      <c r="AA467" s="155"/>
      <c r="AB467" s="155"/>
      <c r="AC467" s="155"/>
      <c r="AD467" s="155"/>
      <c r="AE467" s="155"/>
      <c r="AF467" s="155"/>
      <c r="AG467" s="155"/>
      <c r="AH467" s="155"/>
      <c r="AI467" s="155"/>
      <c r="AJ467" s="155"/>
      <c r="AK467" s="155"/>
    </row>
    <row r="468" spans="3:37" ht="12.75" customHeight="1">
      <c r="C468" s="204"/>
      <c r="D468" s="204"/>
      <c r="E468" s="204"/>
      <c r="F468" s="204"/>
      <c r="G468" s="204"/>
      <c r="H468" s="204"/>
      <c r="I468" s="204"/>
      <c r="J468" s="204"/>
      <c r="K468" s="204"/>
      <c r="L468" s="204"/>
      <c r="M468" s="204"/>
      <c r="N468" s="204"/>
      <c r="O468" s="204"/>
      <c r="P468" s="204"/>
      <c r="Q468" s="204"/>
      <c r="R468" s="204"/>
      <c r="S468" s="204"/>
      <c r="T468" s="204"/>
      <c r="U468" s="204"/>
      <c r="V468" s="204"/>
      <c r="W468" s="204"/>
      <c r="X468" s="204"/>
      <c r="Y468" s="204"/>
      <c r="Z468" s="204"/>
      <c r="AA468" s="204"/>
      <c r="AB468" s="204"/>
      <c r="AC468" s="204"/>
      <c r="AD468" s="204"/>
      <c r="AE468" s="204"/>
      <c r="AF468" s="204"/>
      <c r="AG468" s="204"/>
      <c r="AH468" s="204"/>
      <c r="AI468" s="204"/>
      <c r="AJ468" s="204"/>
      <c r="AK468" s="204"/>
    </row>
    <row r="469" spans="3:37" ht="12.75" customHeight="1">
      <c r="C469" s="101"/>
      <c r="D469" s="101"/>
      <c r="E469" s="101"/>
      <c r="F469" s="101"/>
      <c r="G469" s="101"/>
      <c r="H469" s="101"/>
      <c r="I469" s="101"/>
      <c r="J469" s="101"/>
      <c r="K469" s="101"/>
      <c r="L469" s="101"/>
      <c r="M469" s="101"/>
      <c r="N469" s="101"/>
      <c r="O469" s="101"/>
      <c r="P469" s="101"/>
      <c r="Q469" s="101"/>
      <c r="R469" s="101"/>
      <c r="S469" s="101"/>
      <c r="T469" s="101"/>
      <c r="U469" s="101"/>
      <c r="V469" s="101"/>
      <c r="W469" s="101"/>
      <c r="X469" s="101"/>
      <c r="Y469" s="101"/>
      <c r="Z469" s="101"/>
      <c r="AA469" s="101"/>
      <c r="AB469" s="101"/>
      <c r="AC469" s="101"/>
      <c r="AD469" s="101"/>
      <c r="AE469" s="101"/>
      <c r="AF469" s="101"/>
      <c r="AG469" s="101"/>
      <c r="AH469" s="101"/>
      <c r="AI469" s="101"/>
      <c r="AJ469" s="101"/>
      <c r="AK469" s="101"/>
    </row>
    <row r="470" spans="3:37" ht="12.75" customHeight="1">
      <c r="C470" s="101"/>
      <c r="D470" s="101"/>
      <c r="E470" s="101"/>
      <c r="F470" s="101"/>
      <c r="G470" s="101"/>
      <c r="H470" s="101"/>
      <c r="I470" s="101"/>
      <c r="J470" s="101"/>
      <c r="K470" s="101"/>
      <c r="L470" s="101"/>
      <c r="M470" s="101"/>
      <c r="N470" s="101"/>
      <c r="O470" s="101"/>
      <c r="P470" s="101"/>
      <c r="Q470" s="101"/>
      <c r="R470" s="101"/>
      <c r="S470" s="101"/>
      <c r="T470" s="101"/>
      <c r="U470" s="101"/>
      <c r="V470" s="101"/>
      <c r="W470" s="101"/>
      <c r="X470" s="101"/>
      <c r="Y470" s="101"/>
      <c r="Z470" s="101"/>
      <c r="AA470" s="101"/>
      <c r="AB470" s="101"/>
      <c r="AC470" s="101"/>
      <c r="AD470" s="101"/>
      <c r="AE470" s="101"/>
      <c r="AF470" s="101"/>
      <c r="AG470" s="101"/>
      <c r="AH470" s="101"/>
      <c r="AI470" s="101"/>
      <c r="AJ470" s="101"/>
      <c r="AK470" s="101"/>
    </row>
    <row r="471" spans="3:37" ht="12.75" customHeight="1">
      <c r="C471" s="205"/>
      <c r="D471" s="205"/>
      <c r="E471" s="205"/>
      <c r="F471" s="205"/>
      <c r="G471" s="205"/>
      <c r="H471" s="205"/>
      <c r="I471" s="205"/>
      <c r="J471" s="205"/>
      <c r="K471" s="205"/>
      <c r="L471" s="205"/>
      <c r="M471" s="205"/>
      <c r="N471" s="205"/>
      <c r="O471" s="205"/>
      <c r="P471" s="205"/>
      <c r="Q471" s="205"/>
      <c r="R471" s="205"/>
      <c r="S471" s="205"/>
      <c r="T471" s="205"/>
      <c r="U471" s="205"/>
      <c r="V471" s="205"/>
      <c r="W471" s="205"/>
      <c r="X471" s="205"/>
      <c r="Y471" s="205"/>
      <c r="Z471" s="205"/>
      <c r="AA471" s="205"/>
      <c r="AB471" s="205"/>
      <c r="AC471" s="205"/>
      <c r="AD471" s="205"/>
      <c r="AE471" s="205"/>
      <c r="AF471" s="205"/>
      <c r="AG471" s="205"/>
      <c r="AH471" s="205"/>
      <c r="AI471" s="205"/>
      <c r="AJ471" s="205"/>
      <c r="AK471" s="205"/>
    </row>
    <row r="472" spans="3:37" ht="12.75" customHeight="1">
      <c r="C472" s="155"/>
      <c r="D472" s="155"/>
      <c r="E472" s="155"/>
      <c r="F472" s="155"/>
      <c r="G472" s="155"/>
      <c r="H472" s="155"/>
      <c r="I472" s="155"/>
      <c r="J472" s="155"/>
      <c r="K472" s="155"/>
      <c r="L472" s="155"/>
      <c r="M472" s="155"/>
      <c r="N472" s="155"/>
      <c r="O472" s="155"/>
      <c r="P472" s="155"/>
      <c r="Q472" s="155"/>
      <c r="R472" s="155"/>
      <c r="S472" s="155"/>
      <c r="T472" s="155"/>
      <c r="U472" s="155"/>
      <c r="V472" s="155"/>
      <c r="W472" s="155"/>
      <c r="X472" s="155"/>
      <c r="Y472" s="155"/>
      <c r="Z472" s="155"/>
      <c r="AA472" s="155"/>
      <c r="AB472" s="155"/>
      <c r="AC472" s="155"/>
      <c r="AD472" s="155"/>
      <c r="AE472" s="155"/>
      <c r="AF472" s="155"/>
      <c r="AG472" s="155"/>
      <c r="AH472" s="155"/>
      <c r="AI472" s="155"/>
      <c r="AJ472" s="155"/>
      <c r="AK472" s="155"/>
    </row>
    <row r="473" spans="3:37" ht="12.75" customHeight="1">
      <c r="C473" s="155"/>
      <c r="D473" s="155"/>
      <c r="E473" s="155"/>
      <c r="F473" s="155"/>
      <c r="G473" s="155"/>
      <c r="H473" s="155"/>
      <c r="I473" s="155"/>
      <c r="J473" s="155"/>
      <c r="K473" s="155"/>
      <c r="L473" s="155"/>
      <c r="M473" s="155"/>
      <c r="N473" s="155"/>
      <c r="O473" s="155"/>
      <c r="P473" s="155"/>
      <c r="Q473" s="155"/>
      <c r="R473" s="155"/>
      <c r="S473" s="155"/>
      <c r="T473" s="155"/>
      <c r="U473" s="155"/>
      <c r="V473" s="155"/>
      <c r="W473" s="155"/>
      <c r="X473" s="155"/>
      <c r="Y473" s="155"/>
      <c r="Z473" s="155"/>
      <c r="AA473" s="155"/>
      <c r="AB473" s="155"/>
      <c r="AC473" s="155"/>
      <c r="AD473" s="155"/>
      <c r="AE473" s="155"/>
      <c r="AF473" s="155"/>
      <c r="AG473" s="155"/>
      <c r="AH473" s="155"/>
      <c r="AI473" s="155"/>
      <c r="AJ473" s="155"/>
      <c r="AK473" s="155"/>
    </row>
    <row r="474" spans="3:37" ht="12.75" customHeight="1">
      <c r="C474" s="206"/>
      <c r="D474" s="206"/>
      <c r="E474" s="206"/>
      <c r="F474" s="206"/>
      <c r="G474" s="206"/>
      <c r="H474" s="206"/>
      <c r="I474" s="206"/>
      <c r="J474" s="206"/>
      <c r="K474" s="206"/>
      <c r="L474" s="206"/>
      <c r="M474" s="206"/>
      <c r="N474" s="206"/>
      <c r="O474" s="206"/>
      <c r="P474" s="206"/>
      <c r="Q474" s="206"/>
      <c r="R474" s="206"/>
      <c r="S474" s="206"/>
      <c r="T474" s="206"/>
      <c r="U474" s="206"/>
      <c r="V474" s="206"/>
      <c r="W474" s="206"/>
      <c r="X474" s="206"/>
      <c r="Y474" s="206"/>
      <c r="Z474" s="206"/>
      <c r="AA474" s="206"/>
      <c r="AB474" s="206"/>
      <c r="AC474" s="206"/>
      <c r="AD474" s="206"/>
      <c r="AE474" s="206"/>
      <c r="AF474" s="206"/>
      <c r="AG474" s="206"/>
      <c r="AH474" s="206"/>
      <c r="AI474" s="206"/>
      <c r="AJ474" s="206"/>
      <c r="AK474" s="206"/>
    </row>
    <row r="475" spans="3:37" ht="12.75" customHeight="1">
      <c r="C475" s="101"/>
      <c r="D475" s="101"/>
      <c r="E475" s="101"/>
      <c r="F475" s="101"/>
      <c r="G475" s="101"/>
      <c r="H475" s="101"/>
      <c r="I475" s="101"/>
      <c r="J475" s="101"/>
      <c r="K475" s="101"/>
      <c r="L475" s="101"/>
      <c r="M475" s="101"/>
      <c r="N475" s="101"/>
      <c r="O475" s="101"/>
      <c r="P475" s="101"/>
      <c r="Q475" s="101"/>
      <c r="R475" s="101"/>
      <c r="S475" s="101"/>
      <c r="T475" s="101"/>
      <c r="U475" s="101"/>
      <c r="V475" s="101"/>
      <c r="W475" s="101"/>
      <c r="X475" s="101"/>
      <c r="Y475" s="101"/>
      <c r="Z475" s="101"/>
      <c r="AA475" s="101"/>
      <c r="AB475" s="101"/>
      <c r="AC475" s="101"/>
      <c r="AD475" s="101"/>
      <c r="AE475" s="101"/>
      <c r="AF475" s="101"/>
      <c r="AG475" s="101"/>
      <c r="AH475" s="101"/>
      <c r="AI475" s="101"/>
      <c r="AJ475" s="101"/>
      <c r="AK475" s="101"/>
    </row>
    <row r="476" spans="3:37" ht="12.75" customHeight="1">
      <c r="C476" s="207"/>
      <c r="D476" s="207"/>
      <c r="E476" s="207"/>
      <c r="F476" s="207"/>
      <c r="G476" s="207"/>
      <c r="H476" s="207"/>
      <c r="I476" s="207"/>
      <c r="J476" s="207"/>
      <c r="K476" s="207"/>
      <c r="L476" s="207"/>
      <c r="M476" s="207"/>
      <c r="N476" s="207"/>
      <c r="O476" s="207"/>
      <c r="P476" s="207"/>
      <c r="Q476" s="207"/>
      <c r="R476" s="207"/>
      <c r="S476" s="207"/>
      <c r="T476" s="207"/>
      <c r="U476" s="207"/>
      <c r="V476" s="207"/>
      <c r="W476" s="207"/>
      <c r="X476" s="207"/>
      <c r="Y476" s="207"/>
      <c r="Z476" s="207"/>
      <c r="AA476" s="207"/>
      <c r="AB476" s="207"/>
      <c r="AC476" s="207"/>
      <c r="AD476" s="207"/>
      <c r="AE476" s="207"/>
      <c r="AF476" s="207"/>
      <c r="AG476" s="207"/>
      <c r="AH476" s="207"/>
      <c r="AI476" s="207"/>
      <c r="AJ476" s="207"/>
      <c r="AK476" s="207"/>
    </row>
    <row r="477" spans="3:37" ht="12.75" customHeight="1">
      <c r="C477" s="208"/>
      <c r="D477" s="208"/>
      <c r="E477" s="208"/>
      <c r="F477" s="208"/>
      <c r="G477" s="208"/>
      <c r="H477" s="208"/>
      <c r="I477" s="208"/>
      <c r="J477" s="208"/>
      <c r="K477" s="208"/>
      <c r="L477" s="208"/>
      <c r="M477" s="208"/>
      <c r="N477" s="208"/>
      <c r="O477" s="208"/>
      <c r="P477" s="208"/>
      <c r="Q477" s="208"/>
      <c r="R477" s="208"/>
      <c r="S477" s="208"/>
      <c r="T477" s="208"/>
      <c r="U477" s="208"/>
      <c r="V477" s="208"/>
      <c r="W477" s="208"/>
      <c r="X477" s="208"/>
      <c r="Y477" s="208"/>
      <c r="Z477" s="208"/>
      <c r="AA477" s="208"/>
      <c r="AB477" s="208"/>
      <c r="AC477" s="208"/>
      <c r="AD477" s="208"/>
      <c r="AE477" s="208"/>
      <c r="AF477" s="208"/>
      <c r="AG477" s="208"/>
      <c r="AH477" s="208"/>
      <c r="AI477" s="208"/>
      <c r="AJ477" s="208"/>
      <c r="AK477" s="208"/>
    </row>
    <row r="478" spans="3:37" ht="12.75" customHeight="1">
      <c r="C478" s="208"/>
      <c r="D478" s="208"/>
      <c r="E478" s="208"/>
      <c r="F478" s="208"/>
      <c r="G478" s="208"/>
      <c r="H478" s="208"/>
      <c r="I478" s="208"/>
      <c r="J478" s="208"/>
      <c r="K478" s="208"/>
      <c r="L478" s="208"/>
      <c r="M478" s="208"/>
      <c r="N478" s="208"/>
      <c r="O478" s="208"/>
      <c r="P478" s="208"/>
      <c r="Q478" s="208"/>
      <c r="R478" s="208"/>
      <c r="S478" s="208"/>
      <c r="T478" s="208"/>
      <c r="U478" s="208"/>
      <c r="V478" s="208"/>
      <c r="W478" s="208"/>
      <c r="X478" s="208"/>
      <c r="Y478" s="208"/>
      <c r="Z478" s="208"/>
      <c r="AA478" s="208"/>
      <c r="AB478" s="208"/>
      <c r="AC478" s="208"/>
      <c r="AD478" s="208"/>
      <c r="AE478" s="208"/>
      <c r="AF478" s="208"/>
      <c r="AG478" s="208"/>
      <c r="AH478" s="208"/>
      <c r="AI478" s="208"/>
      <c r="AJ478" s="208"/>
      <c r="AK478" s="208"/>
    </row>
    <row r="479" spans="3:37" ht="12.75" customHeight="1">
      <c r="C479" s="208"/>
      <c r="D479" s="208"/>
      <c r="E479" s="208"/>
      <c r="F479" s="208"/>
      <c r="G479" s="208"/>
      <c r="H479" s="208"/>
      <c r="I479" s="208"/>
      <c r="J479" s="208"/>
      <c r="K479" s="208"/>
      <c r="L479" s="208"/>
      <c r="M479" s="208"/>
      <c r="N479" s="208"/>
      <c r="O479" s="208"/>
      <c r="P479" s="208"/>
      <c r="Q479" s="208"/>
      <c r="R479" s="208"/>
      <c r="S479" s="208"/>
      <c r="T479" s="208"/>
      <c r="U479" s="208"/>
      <c r="V479" s="208"/>
      <c r="W479" s="208"/>
      <c r="X479" s="208"/>
      <c r="Y479" s="208"/>
      <c r="Z479" s="208"/>
      <c r="AA479" s="208"/>
      <c r="AB479" s="208"/>
      <c r="AC479" s="208"/>
      <c r="AD479" s="208"/>
      <c r="AE479" s="208"/>
      <c r="AF479" s="208"/>
      <c r="AG479" s="208"/>
      <c r="AH479" s="208"/>
      <c r="AI479" s="208"/>
      <c r="AJ479" s="208"/>
      <c r="AK479" s="208"/>
    </row>
    <row r="480" spans="3:37" ht="12.75" customHeight="1">
      <c r="C480" s="209"/>
      <c r="D480" s="210"/>
      <c r="E480" s="210"/>
      <c r="F480" s="210"/>
      <c r="G480" s="210"/>
      <c r="H480" s="209"/>
      <c r="I480" s="210"/>
      <c r="J480" s="210"/>
      <c r="K480" s="210"/>
      <c r="L480" s="210"/>
      <c r="M480" s="209"/>
      <c r="N480" s="210"/>
      <c r="O480" s="210"/>
      <c r="P480" s="210"/>
      <c r="Q480" s="210"/>
      <c r="R480" s="209"/>
      <c r="S480" s="210"/>
      <c r="T480" s="210"/>
      <c r="U480" s="210"/>
      <c r="V480" s="210"/>
      <c r="W480" s="209"/>
      <c r="X480" s="210"/>
      <c r="Y480" s="210"/>
      <c r="Z480" s="210"/>
      <c r="AA480" s="210"/>
      <c r="AB480" s="209"/>
      <c r="AC480" s="210"/>
      <c r="AD480" s="210"/>
      <c r="AE480" s="210"/>
      <c r="AF480" s="210"/>
      <c r="AG480" s="209"/>
      <c r="AH480" s="210"/>
      <c r="AI480" s="210"/>
      <c r="AJ480" s="210"/>
      <c r="AK480" s="210"/>
    </row>
    <row r="481" spans="3:37" ht="12.75" customHeight="1">
      <c r="C481" s="209"/>
      <c r="D481" s="210"/>
      <c r="E481" s="210"/>
      <c r="F481" s="210"/>
      <c r="G481" s="210"/>
      <c r="H481" s="209"/>
      <c r="I481" s="210"/>
      <c r="J481" s="210"/>
      <c r="K481" s="210"/>
      <c r="L481" s="210"/>
      <c r="M481" s="209"/>
      <c r="N481" s="210"/>
      <c r="O481" s="210"/>
      <c r="P481" s="210"/>
      <c r="Q481" s="210"/>
      <c r="R481" s="209"/>
      <c r="S481" s="210"/>
      <c r="T481" s="210"/>
      <c r="U481" s="210"/>
      <c r="V481" s="210"/>
      <c r="W481" s="209"/>
      <c r="X481" s="210"/>
      <c r="Y481" s="210"/>
      <c r="Z481" s="210"/>
      <c r="AA481" s="210"/>
      <c r="AB481" s="209"/>
      <c r="AC481" s="210"/>
      <c r="AD481" s="210"/>
      <c r="AE481" s="210"/>
      <c r="AF481" s="210"/>
      <c r="AG481" s="209"/>
      <c r="AH481" s="210"/>
      <c r="AI481" s="210"/>
      <c r="AJ481" s="210"/>
      <c r="AK481" s="210"/>
    </row>
    <row r="482" spans="3:37" ht="12.75" customHeight="1">
      <c r="C482" s="155"/>
      <c r="D482" s="155"/>
      <c r="E482" s="155"/>
      <c r="F482" s="155"/>
      <c r="G482" s="155"/>
      <c r="H482" s="155"/>
      <c r="I482" s="155"/>
      <c r="J482" s="155"/>
      <c r="K482" s="155"/>
      <c r="L482" s="155"/>
      <c r="M482" s="155"/>
      <c r="N482" s="155"/>
      <c r="O482" s="155"/>
      <c r="P482" s="155"/>
      <c r="Q482" s="155"/>
      <c r="R482" s="155"/>
      <c r="S482" s="155"/>
      <c r="T482" s="155"/>
      <c r="U482" s="155"/>
      <c r="V482" s="155"/>
      <c r="W482" s="155"/>
      <c r="X482" s="155"/>
      <c r="Y482" s="155"/>
      <c r="Z482" s="155"/>
      <c r="AA482" s="155"/>
      <c r="AB482" s="155"/>
      <c r="AC482" s="155"/>
      <c r="AD482" s="155"/>
      <c r="AE482" s="155"/>
      <c r="AF482" s="155"/>
      <c r="AG482" s="155"/>
      <c r="AH482" s="155"/>
      <c r="AI482" s="155"/>
      <c r="AJ482" s="155"/>
      <c r="AK482" s="155"/>
    </row>
    <row r="483" spans="3:37" ht="12.75" customHeight="1">
      <c r="C483" s="153"/>
      <c r="D483" s="153"/>
      <c r="E483" s="153"/>
      <c r="F483" s="153"/>
      <c r="G483" s="153"/>
      <c r="H483" s="153"/>
      <c r="I483" s="153"/>
      <c r="J483" s="153"/>
      <c r="K483" s="153"/>
      <c r="L483" s="153"/>
      <c r="M483" s="153"/>
      <c r="N483" s="153"/>
      <c r="O483" s="153"/>
      <c r="P483" s="153"/>
      <c r="Q483" s="153"/>
      <c r="R483" s="153"/>
      <c r="S483" s="153"/>
      <c r="T483" s="153"/>
      <c r="U483" s="153"/>
      <c r="V483" s="153"/>
      <c r="W483" s="153"/>
      <c r="X483" s="153"/>
      <c r="Y483" s="153"/>
      <c r="Z483" s="153"/>
      <c r="AA483" s="153"/>
      <c r="AB483" s="153"/>
      <c r="AC483" s="153"/>
      <c r="AD483" s="153"/>
      <c r="AE483" s="153"/>
      <c r="AF483" s="153"/>
      <c r="AG483" s="153"/>
      <c r="AH483" s="153"/>
      <c r="AI483" s="153"/>
      <c r="AJ483" s="153"/>
      <c r="AK483" s="153"/>
    </row>
    <row r="484" spans="3:37" ht="12.75" customHeight="1">
      <c r="C484" s="151"/>
      <c r="D484" s="151"/>
      <c r="E484" s="151"/>
      <c r="F484" s="151"/>
      <c r="G484" s="151"/>
      <c r="H484" s="151"/>
      <c r="I484" s="151"/>
      <c r="J484" s="151"/>
      <c r="K484" s="151"/>
      <c r="L484" s="151"/>
      <c r="M484" s="151"/>
      <c r="N484" s="151"/>
      <c r="O484" s="151"/>
      <c r="P484" s="151"/>
      <c r="Q484" s="151"/>
      <c r="R484" s="151"/>
      <c r="S484" s="151"/>
      <c r="T484" s="151"/>
      <c r="U484" s="151"/>
      <c r="V484" s="151"/>
      <c r="W484" s="151"/>
      <c r="X484" s="151"/>
      <c r="Y484" s="151"/>
      <c r="Z484" s="151"/>
      <c r="AA484" s="151"/>
      <c r="AB484" s="151"/>
      <c r="AC484" s="151"/>
      <c r="AD484" s="151"/>
      <c r="AE484" s="151"/>
      <c r="AF484" s="151"/>
      <c r="AG484" s="151"/>
      <c r="AH484" s="151"/>
      <c r="AI484" s="151"/>
      <c r="AJ484" s="151"/>
      <c r="AK484" s="151"/>
    </row>
    <row r="485" spans="3:37" ht="12.75" customHeight="1">
      <c r="C485" s="155"/>
      <c r="D485" s="155"/>
      <c r="E485" s="155"/>
      <c r="F485" s="155"/>
      <c r="G485" s="155"/>
      <c r="H485" s="155"/>
      <c r="I485" s="155"/>
      <c r="J485" s="155"/>
      <c r="K485" s="155"/>
      <c r="L485" s="155"/>
      <c r="M485" s="155"/>
      <c r="N485" s="155"/>
      <c r="O485" s="155"/>
      <c r="P485" s="155"/>
      <c r="Q485" s="155"/>
      <c r="R485" s="155"/>
      <c r="S485" s="155"/>
      <c r="T485" s="155"/>
      <c r="U485" s="155"/>
      <c r="V485" s="155"/>
      <c r="W485" s="155"/>
      <c r="X485" s="155"/>
      <c r="Y485" s="155"/>
      <c r="Z485" s="155"/>
      <c r="AA485" s="155"/>
      <c r="AB485" s="155"/>
      <c r="AC485" s="155"/>
      <c r="AD485" s="155"/>
      <c r="AE485" s="155"/>
      <c r="AF485" s="155"/>
      <c r="AG485" s="155"/>
      <c r="AH485" s="155"/>
      <c r="AI485" s="155"/>
      <c r="AJ485" s="155"/>
      <c r="AK485" s="155"/>
    </row>
    <row r="486" spans="3:37" ht="12.75" customHeight="1">
      <c r="C486" s="101"/>
      <c r="D486" s="101"/>
      <c r="E486" s="101"/>
      <c r="F486" s="101"/>
      <c r="G486" s="101"/>
      <c r="H486" s="101"/>
      <c r="I486" s="101"/>
      <c r="J486" s="101"/>
      <c r="K486" s="101"/>
      <c r="L486" s="101"/>
      <c r="M486" s="101"/>
      <c r="N486" s="101"/>
      <c r="O486" s="101"/>
      <c r="P486" s="101"/>
      <c r="Q486" s="101"/>
      <c r="R486" s="101"/>
      <c r="S486" s="101"/>
      <c r="T486" s="101"/>
      <c r="U486" s="101"/>
      <c r="V486" s="101"/>
      <c r="W486" s="101"/>
      <c r="X486" s="101"/>
      <c r="Y486" s="101"/>
      <c r="Z486" s="101"/>
      <c r="AA486" s="101"/>
      <c r="AB486" s="101"/>
      <c r="AC486" s="101"/>
      <c r="AD486" s="101"/>
      <c r="AE486" s="101"/>
      <c r="AF486" s="101"/>
      <c r="AG486" s="101"/>
      <c r="AH486" s="101"/>
      <c r="AI486" s="101"/>
      <c r="AJ486" s="101"/>
      <c r="AK486" s="101"/>
    </row>
    <row r="487" spans="3:37" ht="12.75" customHeight="1">
      <c r="C487" s="155"/>
      <c r="D487" s="155"/>
      <c r="E487" s="155"/>
      <c r="F487" s="155"/>
      <c r="G487" s="155"/>
      <c r="H487" s="155"/>
      <c r="I487" s="155"/>
      <c r="J487" s="155"/>
      <c r="K487" s="155"/>
      <c r="L487" s="155"/>
      <c r="M487" s="155"/>
      <c r="N487" s="155"/>
      <c r="O487" s="155"/>
      <c r="P487" s="155"/>
      <c r="Q487" s="155"/>
      <c r="R487" s="155"/>
      <c r="S487" s="155"/>
      <c r="T487" s="155"/>
      <c r="U487" s="155"/>
      <c r="V487" s="155"/>
      <c r="W487" s="155"/>
      <c r="X487" s="155"/>
      <c r="Y487" s="155"/>
      <c r="Z487" s="155"/>
      <c r="AA487" s="155"/>
      <c r="AB487" s="155"/>
      <c r="AC487" s="155"/>
      <c r="AD487" s="155"/>
      <c r="AE487" s="155"/>
      <c r="AF487" s="155"/>
      <c r="AG487" s="155"/>
      <c r="AH487" s="155"/>
      <c r="AI487" s="155"/>
      <c r="AJ487" s="155"/>
      <c r="AK487" s="155"/>
    </row>
    <row r="488" spans="3:37" ht="12.75" customHeight="1">
      <c r="C488" s="155"/>
      <c r="D488" s="155"/>
      <c r="E488" s="155"/>
      <c r="F488" s="155"/>
      <c r="G488" s="155"/>
      <c r="H488" s="155"/>
      <c r="I488" s="155"/>
      <c r="J488" s="155"/>
      <c r="K488" s="155"/>
      <c r="L488" s="155"/>
      <c r="M488" s="155"/>
      <c r="N488" s="155"/>
      <c r="O488" s="155"/>
      <c r="P488" s="155"/>
      <c r="Q488" s="155"/>
      <c r="R488" s="155"/>
      <c r="S488" s="155"/>
      <c r="T488" s="155"/>
      <c r="U488" s="155"/>
      <c r="V488" s="155"/>
      <c r="W488" s="155"/>
      <c r="X488" s="155"/>
      <c r="Y488" s="155"/>
      <c r="Z488" s="155"/>
      <c r="AA488" s="155"/>
      <c r="AB488" s="155"/>
      <c r="AC488" s="155"/>
      <c r="AD488" s="155"/>
      <c r="AE488" s="155"/>
      <c r="AF488" s="155"/>
      <c r="AG488" s="155"/>
      <c r="AH488" s="155"/>
      <c r="AI488" s="155"/>
      <c r="AJ488" s="155"/>
      <c r="AK488" s="155"/>
    </row>
    <row r="489" spans="3:37" ht="12.75" customHeight="1">
      <c r="C489" s="155"/>
      <c r="D489" s="155"/>
      <c r="E489" s="155"/>
      <c r="F489" s="155"/>
      <c r="G489" s="155"/>
      <c r="H489" s="155"/>
      <c r="I489" s="155"/>
      <c r="J489" s="155"/>
      <c r="K489" s="155"/>
      <c r="L489" s="155"/>
      <c r="M489" s="155"/>
      <c r="N489" s="155"/>
      <c r="O489" s="155"/>
      <c r="P489" s="155"/>
      <c r="Q489" s="155"/>
      <c r="R489" s="155"/>
      <c r="S489" s="155"/>
      <c r="T489" s="155"/>
      <c r="U489" s="155"/>
      <c r="V489" s="155"/>
      <c r="W489" s="155"/>
      <c r="X489" s="155"/>
      <c r="Y489" s="155"/>
      <c r="Z489" s="155"/>
      <c r="AA489" s="155"/>
      <c r="AB489" s="155"/>
      <c r="AC489" s="155"/>
      <c r="AD489" s="155"/>
      <c r="AE489" s="155"/>
      <c r="AF489" s="155"/>
      <c r="AG489" s="155"/>
      <c r="AH489" s="155"/>
      <c r="AI489" s="155"/>
      <c r="AJ489" s="155"/>
      <c r="AK489" s="155"/>
    </row>
    <row r="490" spans="3:37" ht="12.75" customHeight="1">
      <c r="C490" s="155"/>
      <c r="D490" s="155"/>
      <c r="E490" s="155"/>
      <c r="F490" s="155"/>
      <c r="G490" s="155"/>
      <c r="H490" s="155"/>
      <c r="I490" s="155"/>
      <c r="J490" s="155"/>
      <c r="K490" s="155"/>
      <c r="L490" s="155"/>
      <c r="M490" s="155"/>
      <c r="N490" s="155"/>
      <c r="O490" s="155"/>
      <c r="P490" s="155"/>
      <c r="Q490" s="155"/>
      <c r="R490" s="155"/>
      <c r="S490" s="155"/>
      <c r="T490" s="155"/>
      <c r="U490" s="155"/>
      <c r="V490" s="155"/>
      <c r="W490" s="155"/>
      <c r="X490" s="155"/>
      <c r="Y490" s="155"/>
      <c r="Z490" s="155"/>
      <c r="AA490" s="155"/>
      <c r="AB490" s="155"/>
      <c r="AC490" s="155"/>
      <c r="AD490" s="155"/>
      <c r="AE490" s="155"/>
      <c r="AF490" s="155"/>
      <c r="AG490" s="155"/>
      <c r="AH490" s="155"/>
      <c r="AI490" s="155"/>
      <c r="AJ490" s="155"/>
      <c r="AK490" s="155"/>
    </row>
    <row r="491" spans="3:37" ht="12.75" customHeight="1">
      <c r="C491" s="155"/>
      <c r="D491" s="155"/>
      <c r="E491" s="155"/>
      <c r="F491" s="155"/>
      <c r="G491" s="155"/>
      <c r="H491" s="155"/>
      <c r="I491" s="155"/>
      <c r="J491" s="155"/>
      <c r="K491" s="155"/>
      <c r="L491" s="155"/>
      <c r="M491" s="155"/>
      <c r="N491" s="155"/>
      <c r="O491" s="155"/>
      <c r="P491" s="155"/>
      <c r="Q491" s="155"/>
      <c r="R491" s="155"/>
      <c r="S491" s="155"/>
      <c r="T491" s="155"/>
      <c r="U491" s="155"/>
      <c r="V491" s="155"/>
      <c r="W491" s="155"/>
      <c r="X491" s="155"/>
      <c r="Y491" s="155"/>
      <c r="Z491" s="155"/>
      <c r="AA491" s="155"/>
      <c r="AB491" s="155"/>
      <c r="AC491" s="155"/>
      <c r="AD491" s="155"/>
      <c r="AE491" s="155"/>
      <c r="AF491" s="155"/>
      <c r="AG491" s="155"/>
      <c r="AH491" s="155"/>
      <c r="AI491" s="155"/>
      <c r="AJ491" s="155"/>
      <c r="AK491" s="155"/>
    </row>
    <row r="492" spans="3:37" ht="12.75" customHeight="1">
      <c r="C492" s="155"/>
      <c r="D492" s="155"/>
      <c r="E492" s="155"/>
      <c r="F492" s="155"/>
      <c r="G492" s="155"/>
      <c r="H492" s="155"/>
      <c r="I492" s="155"/>
      <c r="J492" s="155"/>
      <c r="K492" s="155"/>
      <c r="L492" s="155"/>
      <c r="M492" s="155"/>
      <c r="N492" s="155"/>
      <c r="O492" s="155"/>
      <c r="P492" s="155"/>
      <c r="Q492" s="155"/>
      <c r="R492" s="155"/>
      <c r="S492" s="155"/>
      <c r="T492" s="155"/>
      <c r="U492" s="155"/>
      <c r="V492" s="155"/>
      <c r="W492" s="155"/>
      <c r="X492" s="155"/>
      <c r="Y492" s="155"/>
      <c r="Z492" s="155"/>
      <c r="AA492" s="155"/>
      <c r="AB492" s="155"/>
      <c r="AC492" s="155"/>
      <c r="AD492" s="155"/>
      <c r="AE492" s="155"/>
      <c r="AF492" s="155"/>
      <c r="AG492" s="155"/>
      <c r="AH492" s="155"/>
      <c r="AI492" s="155"/>
      <c r="AJ492" s="155"/>
      <c r="AK492" s="155"/>
    </row>
    <row r="493" spans="3:37" ht="12.75" customHeight="1">
      <c r="C493" s="211"/>
      <c r="D493" s="211"/>
      <c r="E493" s="211"/>
      <c r="F493" s="211"/>
      <c r="G493" s="211"/>
      <c r="H493" s="211"/>
      <c r="I493" s="211"/>
      <c r="J493" s="211"/>
      <c r="K493" s="211"/>
      <c r="L493" s="211"/>
      <c r="M493" s="211"/>
      <c r="N493" s="211"/>
      <c r="O493" s="211"/>
      <c r="P493" s="211"/>
      <c r="Q493" s="211"/>
      <c r="R493" s="211"/>
      <c r="S493" s="211"/>
      <c r="T493" s="211"/>
      <c r="U493" s="211"/>
      <c r="V493" s="211"/>
      <c r="W493" s="211"/>
      <c r="X493" s="211"/>
      <c r="Y493" s="211"/>
      <c r="Z493" s="211"/>
      <c r="AA493" s="211"/>
      <c r="AB493" s="211"/>
      <c r="AC493" s="211"/>
      <c r="AD493" s="211"/>
      <c r="AE493" s="211"/>
      <c r="AF493" s="211"/>
      <c r="AG493" s="211"/>
      <c r="AH493" s="211"/>
      <c r="AI493" s="211"/>
      <c r="AJ493" s="211"/>
      <c r="AK493" s="211"/>
    </row>
    <row r="494" spans="3:37" ht="12.75" customHeight="1">
      <c r="C494" s="101"/>
      <c r="D494" s="101"/>
      <c r="E494" s="101"/>
      <c r="F494" s="101"/>
      <c r="G494" s="101"/>
      <c r="H494" s="101"/>
      <c r="I494" s="101"/>
      <c r="J494" s="101"/>
      <c r="K494" s="101"/>
      <c r="L494" s="101"/>
      <c r="M494" s="101"/>
      <c r="N494" s="101"/>
      <c r="O494" s="101"/>
      <c r="P494" s="101"/>
      <c r="Q494" s="101"/>
      <c r="R494" s="101"/>
      <c r="S494" s="101"/>
      <c r="T494" s="101"/>
      <c r="U494" s="101"/>
      <c r="V494" s="101"/>
      <c r="W494" s="101"/>
      <c r="X494" s="101"/>
      <c r="Y494" s="101"/>
      <c r="Z494" s="101"/>
      <c r="AA494" s="101"/>
      <c r="AB494" s="101"/>
      <c r="AC494" s="101"/>
      <c r="AD494" s="101"/>
      <c r="AE494" s="101"/>
      <c r="AF494" s="101"/>
      <c r="AG494" s="101"/>
      <c r="AH494" s="101"/>
      <c r="AI494" s="101"/>
      <c r="AJ494" s="101"/>
      <c r="AK494" s="101"/>
    </row>
    <row r="495" spans="3:37" ht="12.75" customHeight="1">
      <c r="C495" s="101"/>
      <c r="D495" s="101"/>
      <c r="E495" s="101"/>
      <c r="F495" s="101"/>
      <c r="G495" s="101"/>
      <c r="H495" s="101"/>
      <c r="I495" s="101"/>
      <c r="J495" s="101"/>
      <c r="K495" s="101"/>
      <c r="L495" s="101"/>
      <c r="M495" s="101"/>
      <c r="N495" s="101"/>
      <c r="O495" s="101"/>
      <c r="P495" s="101"/>
      <c r="Q495" s="101"/>
      <c r="R495" s="101"/>
      <c r="S495" s="101"/>
      <c r="T495" s="101"/>
      <c r="U495" s="101"/>
      <c r="V495" s="101"/>
      <c r="W495" s="101"/>
      <c r="X495" s="101"/>
      <c r="Y495" s="101"/>
      <c r="Z495" s="101"/>
      <c r="AA495" s="101"/>
      <c r="AB495" s="101"/>
      <c r="AC495" s="101"/>
      <c r="AD495" s="101"/>
      <c r="AE495" s="101"/>
      <c r="AF495" s="101"/>
      <c r="AG495" s="101"/>
      <c r="AH495" s="101"/>
      <c r="AI495" s="101"/>
      <c r="AJ495" s="101"/>
      <c r="AK495" s="101"/>
    </row>
    <row r="496" spans="3:37" ht="12.75" customHeight="1">
      <c r="C496" s="211"/>
      <c r="D496" s="211"/>
      <c r="E496" s="211"/>
      <c r="F496" s="211"/>
      <c r="G496" s="211"/>
      <c r="H496" s="211"/>
      <c r="I496" s="211"/>
      <c r="J496" s="211"/>
      <c r="K496" s="211"/>
      <c r="L496" s="211"/>
      <c r="M496" s="211"/>
      <c r="N496" s="211"/>
      <c r="O496" s="211"/>
      <c r="P496" s="211"/>
      <c r="Q496" s="211"/>
      <c r="R496" s="211"/>
      <c r="S496" s="211"/>
      <c r="T496" s="211"/>
      <c r="U496" s="211"/>
      <c r="V496" s="211"/>
      <c r="W496" s="211"/>
      <c r="X496" s="211"/>
      <c r="Y496" s="211"/>
      <c r="Z496" s="211"/>
      <c r="AA496" s="211"/>
      <c r="AB496" s="211"/>
      <c r="AC496" s="211"/>
      <c r="AD496" s="211"/>
      <c r="AE496" s="211"/>
      <c r="AF496" s="211"/>
      <c r="AG496" s="211"/>
      <c r="AH496" s="211"/>
      <c r="AI496" s="211"/>
      <c r="AJ496" s="211"/>
      <c r="AK496" s="211"/>
    </row>
    <row r="497" spans="3:37" ht="12.75" customHeight="1">
      <c r="C497" s="211"/>
      <c r="D497" s="211"/>
      <c r="E497" s="211"/>
      <c r="F497" s="211"/>
      <c r="G497" s="211"/>
      <c r="H497" s="211"/>
      <c r="I497" s="211"/>
      <c r="J497" s="211"/>
      <c r="K497" s="211"/>
      <c r="L497" s="211"/>
      <c r="M497" s="211"/>
      <c r="N497" s="211"/>
      <c r="O497" s="211"/>
      <c r="P497" s="211"/>
      <c r="Q497" s="211"/>
      <c r="R497" s="211"/>
      <c r="S497" s="211"/>
      <c r="T497" s="211"/>
      <c r="U497" s="211"/>
      <c r="V497" s="211"/>
      <c r="W497" s="211"/>
      <c r="X497" s="211"/>
      <c r="Y497" s="211"/>
      <c r="Z497" s="211"/>
      <c r="AA497" s="211"/>
      <c r="AB497" s="211"/>
      <c r="AC497" s="211"/>
      <c r="AD497" s="211"/>
      <c r="AE497" s="211"/>
      <c r="AF497" s="211"/>
      <c r="AG497" s="211"/>
      <c r="AH497" s="211"/>
      <c r="AI497" s="211"/>
      <c r="AJ497" s="211"/>
      <c r="AK497" s="211"/>
    </row>
    <row r="498" spans="3:37" ht="12.75" customHeight="1">
      <c r="C498" s="155"/>
      <c r="D498" s="155"/>
      <c r="E498" s="155"/>
      <c r="F498" s="155"/>
      <c r="G498" s="155"/>
      <c r="H498" s="155"/>
      <c r="I498" s="155"/>
      <c r="J498" s="155"/>
      <c r="K498" s="155"/>
      <c r="L498" s="155"/>
      <c r="M498" s="155"/>
      <c r="N498" s="155"/>
      <c r="O498" s="155"/>
      <c r="P498" s="155"/>
      <c r="Q498" s="155"/>
      <c r="R498" s="155"/>
      <c r="S498" s="155"/>
      <c r="T498" s="155"/>
      <c r="U498" s="155"/>
      <c r="V498" s="155"/>
      <c r="W498" s="155"/>
      <c r="X498" s="155"/>
      <c r="Y498" s="155"/>
      <c r="Z498" s="155"/>
      <c r="AA498" s="155"/>
      <c r="AB498" s="155"/>
      <c r="AC498" s="155"/>
      <c r="AD498" s="155"/>
      <c r="AE498" s="155"/>
      <c r="AF498" s="155"/>
      <c r="AG498" s="155"/>
      <c r="AH498" s="155"/>
      <c r="AI498" s="155"/>
      <c r="AJ498" s="155"/>
      <c r="AK498" s="155"/>
    </row>
    <row r="499" spans="3:37" ht="12.75" customHeight="1">
      <c r="C499" s="155"/>
      <c r="D499" s="155"/>
      <c r="E499" s="155"/>
      <c r="F499" s="155"/>
      <c r="G499" s="155"/>
      <c r="H499" s="155"/>
      <c r="I499" s="155"/>
      <c r="J499" s="155"/>
      <c r="K499" s="155"/>
      <c r="L499" s="155"/>
      <c r="M499" s="155"/>
      <c r="N499" s="155"/>
      <c r="O499" s="155"/>
      <c r="P499" s="155"/>
      <c r="Q499" s="155"/>
      <c r="R499" s="155"/>
      <c r="S499" s="155"/>
      <c r="T499" s="155"/>
      <c r="U499" s="155"/>
      <c r="V499" s="155"/>
      <c r="W499" s="155"/>
      <c r="X499" s="155"/>
      <c r="Y499" s="155"/>
      <c r="Z499" s="155"/>
      <c r="AA499" s="155"/>
      <c r="AB499" s="155"/>
      <c r="AC499" s="155"/>
      <c r="AD499" s="155"/>
      <c r="AE499" s="155"/>
      <c r="AF499" s="155"/>
      <c r="AG499" s="155"/>
      <c r="AH499" s="155"/>
      <c r="AI499" s="155"/>
      <c r="AJ499" s="155"/>
      <c r="AK499" s="155"/>
    </row>
    <row r="500" spans="3:37" ht="12.75" customHeight="1">
      <c r="C500" s="155"/>
      <c r="D500" s="155"/>
      <c r="E500" s="155"/>
      <c r="F500" s="155"/>
      <c r="G500" s="155"/>
      <c r="H500" s="155"/>
      <c r="I500" s="155"/>
      <c r="J500" s="155"/>
      <c r="K500" s="155"/>
      <c r="L500" s="155"/>
      <c r="M500" s="155"/>
      <c r="N500" s="155"/>
      <c r="O500" s="155"/>
      <c r="P500" s="155"/>
      <c r="Q500" s="155"/>
      <c r="R500" s="155"/>
      <c r="S500" s="155"/>
      <c r="T500" s="155"/>
      <c r="U500" s="155"/>
      <c r="V500" s="155"/>
      <c r="W500" s="155"/>
      <c r="X500" s="155"/>
      <c r="Y500" s="155"/>
      <c r="Z500" s="155"/>
      <c r="AA500" s="155"/>
      <c r="AB500" s="155"/>
      <c r="AC500" s="155"/>
      <c r="AD500" s="155"/>
      <c r="AE500" s="155"/>
      <c r="AF500" s="155"/>
      <c r="AG500" s="155"/>
      <c r="AH500" s="155"/>
      <c r="AI500" s="155"/>
      <c r="AJ500" s="155"/>
      <c r="AK500" s="155"/>
    </row>
    <row r="501" spans="3:37" ht="12.75" customHeight="1">
      <c r="C501" s="101"/>
      <c r="D501" s="101"/>
      <c r="E501" s="101"/>
      <c r="F501" s="101"/>
      <c r="G501" s="101"/>
      <c r="H501" s="101"/>
      <c r="I501" s="101"/>
      <c r="J501" s="101"/>
      <c r="K501" s="101"/>
      <c r="L501" s="101"/>
      <c r="M501" s="101"/>
      <c r="N501" s="101"/>
      <c r="O501" s="101"/>
      <c r="P501" s="101"/>
      <c r="Q501" s="101"/>
      <c r="R501" s="101"/>
      <c r="S501" s="101"/>
      <c r="T501" s="101"/>
      <c r="U501" s="101"/>
      <c r="V501" s="101"/>
      <c r="W501" s="101"/>
      <c r="X501" s="101"/>
      <c r="Y501" s="101"/>
      <c r="Z501" s="101"/>
      <c r="AA501" s="101"/>
      <c r="AB501" s="101"/>
      <c r="AC501" s="101"/>
      <c r="AD501" s="101"/>
      <c r="AE501" s="101"/>
      <c r="AF501" s="101"/>
      <c r="AG501" s="101"/>
      <c r="AH501" s="101"/>
      <c r="AI501" s="101"/>
      <c r="AJ501" s="101"/>
      <c r="AK501" s="101"/>
    </row>
    <row r="502" spans="3:37" ht="12.75" customHeight="1">
      <c r="C502" s="212"/>
      <c r="D502" s="101"/>
      <c r="E502" s="101"/>
      <c r="F502" s="101"/>
      <c r="G502" s="101"/>
      <c r="H502" s="212"/>
      <c r="I502" s="101"/>
      <c r="J502" s="101"/>
      <c r="K502" s="101"/>
      <c r="L502" s="101"/>
      <c r="M502" s="212"/>
      <c r="N502" s="101"/>
      <c r="O502" s="101"/>
      <c r="P502" s="101"/>
      <c r="Q502" s="101"/>
      <c r="R502" s="212"/>
      <c r="S502" s="101"/>
      <c r="T502" s="101"/>
      <c r="U502" s="101"/>
      <c r="V502" s="101"/>
      <c r="W502" s="212"/>
      <c r="X502" s="101"/>
      <c r="Y502" s="101"/>
      <c r="Z502" s="101"/>
      <c r="AA502" s="101"/>
      <c r="AB502" s="212"/>
      <c r="AC502" s="101"/>
      <c r="AD502" s="101"/>
      <c r="AE502" s="101"/>
      <c r="AF502" s="101"/>
      <c r="AG502" s="212"/>
      <c r="AH502" s="101"/>
      <c r="AI502" s="101"/>
      <c r="AJ502" s="101"/>
      <c r="AK502" s="101"/>
    </row>
    <row r="503" spans="3:37" ht="12.75" customHeight="1">
      <c r="C503" s="101"/>
      <c r="D503" s="101"/>
      <c r="E503" s="101"/>
      <c r="F503" s="101"/>
      <c r="G503" s="101"/>
      <c r="H503" s="101"/>
      <c r="I503" s="101"/>
      <c r="J503" s="101"/>
      <c r="K503" s="101"/>
      <c r="L503" s="101"/>
      <c r="M503" s="101"/>
      <c r="N503" s="101"/>
      <c r="O503" s="101"/>
      <c r="P503" s="101"/>
      <c r="Q503" s="101"/>
      <c r="R503" s="101"/>
      <c r="S503" s="101"/>
      <c r="T503" s="101"/>
      <c r="U503" s="101"/>
      <c r="V503" s="101"/>
      <c r="W503" s="101"/>
      <c r="X503" s="101"/>
      <c r="Y503" s="101"/>
      <c r="Z503" s="101"/>
      <c r="AA503" s="101"/>
      <c r="AB503" s="101"/>
      <c r="AC503" s="101"/>
      <c r="AD503" s="101"/>
      <c r="AE503" s="101"/>
      <c r="AF503" s="101"/>
      <c r="AG503" s="101"/>
      <c r="AH503" s="101"/>
      <c r="AI503" s="101"/>
      <c r="AJ503" s="101"/>
      <c r="AK503" s="101"/>
    </row>
    <row r="504" spans="3:37" ht="12.75" customHeight="1">
      <c r="C504" s="213"/>
      <c r="D504" s="208"/>
      <c r="E504" s="208"/>
      <c r="F504" s="208"/>
      <c r="G504" s="208"/>
      <c r="H504" s="213"/>
      <c r="I504" s="208"/>
      <c r="J504" s="208"/>
      <c r="K504" s="208"/>
      <c r="L504" s="208"/>
      <c r="M504" s="213"/>
      <c r="N504" s="208"/>
      <c r="O504" s="208"/>
      <c r="P504" s="208"/>
      <c r="Q504" s="208"/>
      <c r="R504" s="213"/>
      <c r="S504" s="208"/>
      <c r="T504" s="208"/>
      <c r="U504" s="208"/>
      <c r="V504" s="208"/>
      <c r="W504" s="213"/>
      <c r="X504" s="208"/>
      <c r="Y504" s="208"/>
      <c r="Z504" s="208"/>
      <c r="AA504" s="208"/>
      <c r="AB504" s="213"/>
      <c r="AC504" s="208"/>
      <c r="AD504" s="208"/>
      <c r="AE504" s="208"/>
      <c r="AF504" s="208"/>
      <c r="AG504" s="213"/>
      <c r="AH504" s="208"/>
      <c r="AI504" s="208"/>
      <c r="AJ504" s="208"/>
      <c r="AK504" s="208"/>
    </row>
    <row r="505" spans="3:37" ht="12.75" customHeight="1">
      <c r="C505" s="212"/>
      <c r="D505" s="101"/>
      <c r="E505" s="101"/>
      <c r="F505" s="101"/>
      <c r="G505" s="101"/>
      <c r="H505" s="212"/>
      <c r="I505" s="101"/>
      <c r="J505" s="101"/>
      <c r="K505" s="101"/>
      <c r="L505" s="101"/>
      <c r="M505" s="212"/>
      <c r="N505" s="101"/>
      <c r="O505" s="101"/>
      <c r="P505" s="101"/>
      <c r="Q505" s="101"/>
      <c r="R505" s="212"/>
      <c r="S505" s="101"/>
      <c r="T505" s="101"/>
      <c r="U505" s="101"/>
      <c r="V505" s="101"/>
      <c r="W505" s="212"/>
      <c r="X505" s="101"/>
      <c r="Y505" s="101"/>
      <c r="Z505" s="101"/>
      <c r="AA505" s="101"/>
      <c r="AB505" s="212"/>
      <c r="AC505" s="101"/>
      <c r="AD505" s="101"/>
      <c r="AE505" s="101"/>
      <c r="AF505" s="101"/>
      <c r="AG505" s="212"/>
      <c r="AH505" s="101"/>
      <c r="AI505" s="101"/>
      <c r="AJ505" s="101"/>
      <c r="AK505" s="101"/>
    </row>
    <row r="506" spans="3:37" ht="12.75" customHeight="1">
      <c r="C506" s="212"/>
      <c r="D506" s="101"/>
      <c r="E506" s="101"/>
      <c r="F506" s="101"/>
      <c r="G506" s="101"/>
      <c r="H506" s="212"/>
      <c r="I506" s="101"/>
      <c r="J506" s="101"/>
      <c r="K506" s="101"/>
      <c r="L506" s="101"/>
      <c r="M506" s="212"/>
      <c r="N506" s="101"/>
      <c r="O506" s="101"/>
      <c r="P506" s="101"/>
      <c r="Q506" s="101"/>
      <c r="R506" s="212"/>
      <c r="S506" s="101"/>
      <c r="T506" s="101"/>
      <c r="U506" s="101"/>
      <c r="V506" s="101"/>
      <c r="W506" s="212"/>
      <c r="X506" s="101"/>
      <c r="Y506" s="101"/>
      <c r="Z506" s="101"/>
      <c r="AA506" s="101"/>
      <c r="AB506" s="212"/>
      <c r="AC506" s="101"/>
      <c r="AD506" s="101"/>
      <c r="AE506" s="101"/>
      <c r="AF506" s="101"/>
      <c r="AG506" s="212"/>
      <c r="AH506" s="101"/>
      <c r="AI506" s="101"/>
      <c r="AJ506" s="101"/>
      <c r="AK506" s="101"/>
    </row>
    <row r="507" spans="3:37" ht="12.75" customHeight="1">
      <c r="C507" s="101"/>
      <c r="D507" s="101"/>
      <c r="E507" s="101"/>
      <c r="F507" s="101"/>
      <c r="G507" s="101"/>
      <c r="H507" s="101"/>
      <c r="I507" s="101"/>
      <c r="J507" s="101"/>
      <c r="K507" s="101"/>
      <c r="L507" s="101"/>
      <c r="M507" s="101"/>
      <c r="N507" s="101"/>
      <c r="O507" s="101"/>
      <c r="P507" s="101"/>
      <c r="Q507" s="101"/>
      <c r="R507" s="101"/>
      <c r="S507" s="101"/>
      <c r="T507" s="101"/>
      <c r="U507" s="101"/>
      <c r="V507" s="101"/>
      <c r="W507" s="101"/>
      <c r="X507" s="101"/>
      <c r="Y507" s="101"/>
      <c r="Z507" s="101"/>
      <c r="AA507" s="101"/>
      <c r="AB507" s="101"/>
      <c r="AC507" s="101"/>
      <c r="AD507" s="101"/>
      <c r="AE507" s="101"/>
      <c r="AF507" s="101"/>
      <c r="AG507" s="101"/>
      <c r="AH507" s="101"/>
      <c r="AI507" s="101"/>
      <c r="AJ507" s="101"/>
      <c r="AK507" s="101"/>
    </row>
    <row r="508" spans="3:37" ht="12.75" customHeight="1">
      <c r="C508" s="101"/>
      <c r="D508" s="101"/>
      <c r="E508" s="101"/>
      <c r="F508" s="101"/>
      <c r="G508" s="101"/>
      <c r="H508" s="101"/>
      <c r="I508" s="101"/>
      <c r="J508" s="101"/>
      <c r="K508" s="101"/>
      <c r="L508" s="101"/>
      <c r="M508" s="101"/>
      <c r="N508" s="101"/>
      <c r="O508" s="101"/>
      <c r="P508" s="101"/>
      <c r="Q508" s="101"/>
      <c r="R508" s="101"/>
      <c r="S508" s="101"/>
      <c r="T508" s="101"/>
      <c r="U508" s="101"/>
      <c r="V508" s="101"/>
      <c r="W508" s="101"/>
      <c r="X508" s="101"/>
      <c r="Y508" s="101"/>
      <c r="Z508" s="101"/>
      <c r="AA508" s="101"/>
      <c r="AB508" s="101"/>
      <c r="AC508" s="101"/>
      <c r="AD508" s="101"/>
      <c r="AE508" s="101"/>
      <c r="AF508" s="101"/>
      <c r="AG508" s="101"/>
      <c r="AH508" s="101"/>
      <c r="AI508" s="101"/>
      <c r="AJ508" s="101"/>
      <c r="AK508" s="101"/>
    </row>
    <row r="509" spans="3:37" ht="12.75" customHeight="1">
      <c r="C509" s="101"/>
      <c r="D509" s="101"/>
      <c r="E509" s="101"/>
      <c r="F509" s="101"/>
      <c r="G509" s="101"/>
      <c r="H509" s="101"/>
      <c r="I509" s="101"/>
      <c r="J509" s="101"/>
      <c r="K509" s="101"/>
      <c r="L509" s="101"/>
      <c r="M509" s="101"/>
      <c r="N509" s="101"/>
      <c r="O509" s="101"/>
      <c r="P509" s="101"/>
      <c r="Q509" s="101"/>
      <c r="R509" s="101"/>
      <c r="S509" s="101"/>
      <c r="T509" s="101"/>
      <c r="U509" s="101"/>
      <c r="V509" s="101"/>
      <c r="W509" s="101"/>
      <c r="X509" s="101"/>
      <c r="Y509" s="101"/>
      <c r="Z509" s="101"/>
      <c r="AA509" s="101"/>
      <c r="AB509" s="101"/>
      <c r="AC509" s="101"/>
      <c r="AD509" s="101"/>
      <c r="AE509" s="101"/>
      <c r="AF509" s="101"/>
      <c r="AG509" s="101"/>
      <c r="AH509" s="101"/>
      <c r="AI509" s="101"/>
      <c r="AJ509" s="101"/>
      <c r="AK509" s="101"/>
    </row>
    <row r="510" spans="3:37" ht="12.75" customHeight="1">
      <c r="C510" s="155"/>
      <c r="D510" s="101"/>
      <c r="E510" s="101"/>
      <c r="F510" s="101"/>
      <c r="G510" s="101"/>
      <c r="H510" s="155"/>
      <c r="I510" s="101"/>
      <c r="J510" s="101"/>
      <c r="K510" s="101"/>
      <c r="L510" s="101"/>
      <c r="M510" s="155"/>
      <c r="N510" s="101"/>
      <c r="O510" s="101"/>
      <c r="P510" s="101"/>
      <c r="Q510" s="101"/>
      <c r="R510" s="155"/>
      <c r="S510" s="101"/>
      <c r="T510" s="101"/>
      <c r="U510" s="101"/>
      <c r="V510" s="101"/>
      <c r="W510" s="155"/>
      <c r="X510" s="101"/>
      <c r="Y510" s="101"/>
      <c r="Z510" s="101"/>
      <c r="AA510" s="101"/>
      <c r="AB510" s="155"/>
      <c r="AC510" s="101"/>
      <c r="AD510" s="101"/>
      <c r="AE510" s="101"/>
      <c r="AF510" s="101"/>
      <c r="AG510" s="155"/>
      <c r="AH510" s="101"/>
      <c r="AI510" s="101"/>
      <c r="AJ510" s="101"/>
      <c r="AK510" s="101"/>
    </row>
    <row r="511" spans="3:37" ht="12.75" customHeight="1">
      <c r="C511" s="212"/>
      <c r="D511" s="101"/>
      <c r="E511" s="101"/>
      <c r="F511" s="101"/>
      <c r="G511" s="101"/>
      <c r="H511" s="212"/>
      <c r="I511" s="101"/>
      <c r="J511" s="101"/>
      <c r="K511" s="101"/>
      <c r="L511" s="101"/>
      <c r="M511" s="212"/>
      <c r="N511" s="101"/>
      <c r="O511" s="101"/>
      <c r="P511" s="101"/>
      <c r="Q511" s="101"/>
      <c r="R511" s="212"/>
      <c r="S511" s="101"/>
      <c r="T511" s="101"/>
      <c r="U511" s="101"/>
      <c r="V511" s="101"/>
      <c r="W511" s="212"/>
      <c r="X511" s="101"/>
      <c r="Y511" s="101"/>
      <c r="Z511" s="101"/>
      <c r="AA511" s="101"/>
      <c r="AB511" s="212"/>
      <c r="AC511" s="101"/>
      <c r="AD511" s="101"/>
      <c r="AE511" s="101"/>
      <c r="AF511" s="101"/>
      <c r="AG511" s="212"/>
      <c r="AH511" s="101"/>
      <c r="AI511" s="101"/>
      <c r="AJ511" s="101"/>
      <c r="AK511" s="101"/>
    </row>
    <row r="512" spans="3:37" ht="12.75" customHeight="1">
      <c r="C512" s="212"/>
      <c r="D512" s="101"/>
      <c r="E512" s="101"/>
      <c r="F512" s="101"/>
      <c r="G512" s="101"/>
      <c r="H512" s="212"/>
      <c r="I512" s="101"/>
      <c r="J512" s="101"/>
      <c r="K512" s="101"/>
      <c r="L512" s="101"/>
      <c r="M512" s="212"/>
      <c r="N512" s="101"/>
      <c r="O512" s="101"/>
      <c r="P512" s="101"/>
      <c r="Q512" s="101"/>
      <c r="R512" s="212"/>
      <c r="S512" s="101"/>
      <c r="T512" s="101"/>
      <c r="U512" s="101"/>
      <c r="V512" s="101"/>
      <c r="W512" s="212"/>
      <c r="X512" s="101"/>
      <c r="Y512" s="101"/>
      <c r="Z512" s="101"/>
      <c r="AA512" s="101"/>
      <c r="AB512" s="212"/>
      <c r="AC512" s="101"/>
      <c r="AD512" s="101"/>
      <c r="AE512" s="101"/>
      <c r="AF512" s="101"/>
      <c r="AG512" s="212"/>
      <c r="AH512" s="101"/>
      <c r="AI512" s="101"/>
      <c r="AJ512" s="101"/>
      <c r="AK512" s="101"/>
    </row>
    <row r="513" spans="3:37" ht="12.75" customHeight="1">
      <c r="C513" s="101"/>
      <c r="D513" s="101"/>
      <c r="E513" s="101"/>
      <c r="F513" s="101"/>
      <c r="G513" s="101"/>
      <c r="H513" s="101"/>
      <c r="I513" s="101"/>
      <c r="J513" s="101"/>
      <c r="K513" s="101"/>
      <c r="L513" s="101"/>
      <c r="M513" s="101"/>
      <c r="N513" s="101"/>
      <c r="O513" s="101"/>
      <c r="P513" s="101"/>
      <c r="Q513" s="101"/>
      <c r="R513" s="101"/>
      <c r="S513" s="101"/>
      <c r="T513" s="101"/>
      <c r="U513" s="101"/>
      <c r="V513" s="101"/>
      <c r="W513" s="101"/>
      <c r="X513" s="101"/>
      <c r="Y513" s="101"/>
      <c r="Z513" s="101"/>
      <c r="AA513" s="101"/>
      <c r="AB513" s="101"/>
      <c r="AC513" s="101"/>
      <c r="AD513" s="101"/>
      <c r="AE513" s="101"/>
      <c r="AF513" s="101"/>
      <c r="AG513" s="101"/>
      <c r="AH513" s="101"/>
      <c r="AI513" s="101"/>
      <c r="AJ513" s="101"/>
      <c r="AK513" s="101"/>
    </row>
    <row r="514" spans="3:37" ht="12.75" customHeight="1">
      <c r="C514" s="208"/>
      <c r="D514" s="208"/>
      <c r="E514" s="208"/>
      <c r="F514" s="208"/>
      <c r="G514" s="208"/>
      <c r="H514" s="208"/>
      <c r="I514" s="208"/>
      <c r="J514" s="208"/>
      <c r="K514" s="208"/>
      <c r="L514" s="208"/>
      <c r="M514" s="208"/>
      <c r="N514" s="208"/>
      <c r="O514" s="208"/>
      <c r="P514" s="208"/>
      <c r="Q514" s="208"/>
      <c r="R514" s="208"/>
      <c r="S514" s="208"/>
      <c r="T514" s="208"/>
      <c r="U514" s="208"/>
      <c r="V514" s="208"/>
      <c r="W514" s="208"/>
      <c r="X514" s="208"/>
      <c r="Y514" s="208"/>
      <c r="Z514" s="208"/>
      <c r="AA514" s="208"/>
      <c r="AB514" s="208"/>
      <c r="AC514" s="208"/>
      <c r="AD514" s="208"/>
      <c r="AE514" s="208"/>
      <c r="AF514" s="208"/>
      <c r="AG514" s="208"/>
      <c r="AH514" s="208"/>
      <c r="AI514" s="208"/>
      <c r="AJ514" s="208"/>
      <c r="AK514" s="208"/>
    </row>
    <row r="515" spans="3:37" ht="12.75" customHeight="1">
      <c r="C515" s="212"/>
      <c r="D515" s="101"/>
      <c r="E515" s="101"/>
      <c r="F515" s="101"/>
      <c r="G515" s="101"/>
      <c r="H515" s="212"/>
      <c r="I515" s="101"/>
      <c r="J515" s="101"/>
      <c r="K515" s="101"/>
      <c r="L515" s="101"/>
      <c r="M515" s="212"/>
      <c r="N515" s="101"/>
      <c r="O515" s="101"/>
      <c r="P515" s="101"/>
      <c r="Q515" s="101"/>
      <c r="R515" s="212"/>
      <c r="S515" s="101"/>
      <c r="T515" s="101"/>
      <c r="U515" s="101"/>
      <c r="V515" s="101"/>
      <c r="W515" s="212"/>
      <c r="X515" s="101"/>
      <c r="Y515" s="101"/>
      <c r="Z515" s="101"/>
      <c r="AA515" s="101"/>
      <c r="AB515" s="212"/>
      <c r="AC515" s="101"/>
      <c r="AD515" s="101"/>
      <c r="AE515" s="101"/>
      <c r="AF515" s="101"/>
      <c r="AG515" s="212"/>
      <c r="AH515" s="101"/>
      <c r="AI515" s="101"/>
      <c r="AJ515" s="101"/>
      <c r="AK515" s="101"/>
    </row>
    <row r="516" spans="3:37" ht="12.75" customHeight="1">
      <c r="C516" s="212"/>
      <c r="D516" s="101"/>
      <c r="E516" s="101"/>
      <c r="F516" s="101"/>
      <c r="G516" s="101"/>
      <c r="H516" s="212"/>
      <c r="I516" s="101"/>
      <c r="J516" s="101"/>
      <c r="K516" s="101"/>
      <c r="L516" s="101"/>
      <c r="M516" s="212"/>
      <c r="N516" s="101"/>
      <c r="O516" s="101"/>
      <c r="P516" s="101"/>
      <c r="Q516" s="101"/>
      <c r="R516" s="212"/>
      <c r="S516" s="101"/>
      <c r="T516" s="101"/>
      <c r="U516" s="101"/>
      <c r="V516" s="101"/>
      <c r="W516" s="212"/>
      <c r="X516" s="101"/>
      <c r="Y516" s="101"/>
      <c r="Z516" s="101"/>
      <c r="AA516" s="101"/>
      <c r="AB516" s="212"/>
      <c r="AC516" s="101"/>
      <c r="AD516" s="101"/>
      <c r="AE516" s="101"/>
      <c r="AF516" s="101"/>
      <c r="AG516" s="212"/>
      <c r="AH516" s="101"/>
      <c r="AI516" s="101"/>
      <c r="AJ516" s="101"/>
      <c r="AK516" s="101"/>
    </row>
    <row r="517" spans="3:37" ht="12.75" customHeight="1">
      <c r="C517" s="211"/>
      <c r="D517" s="211"/>
      <c r="E517" s="211"/>
      <c r="F517" s="211"/>
      <c r="G517" s="211"/>
      <c r="H517" s="211"/>
      <c r="I517" s="211"/>
      <c r="J517" s="211"/>
      <c r="K517" s="211"/>
      <c r="L517" s="211"/>
      <c r="M517" s="211"/>
      <c r="N517" s="211"/>
      <c r="O517" s="211"/>
      <c r="P517" s="211"/>
      <c r="Q517" s="211"/>
      <c r="R517" s="211"/>
      <c r="S517" s="211"/>
      <c r="T517" s="211"/>
      <c r="U517" s="211"/>
      <c r="V517" s="211"/>
      <c r="W517" s="211"/>
      <c r="X517" s="211"/>
      <c r="Y517" s="211"/>
      <c r="Z517" s="211"/>
      <c r="AA517" s="211"/>
      <c r="AB517" s="211"/>
      <c r="AC517" s="211"/>
      <c r="AD517" s="211"/>
      <c r="AE517" s="211"/>
      <c r="AF517" s="211"/>
      <c r="AG517" s="211"/>
      <c r="AH517" s="211"/>
      <c r="AI517" s="211"/>
      <c r="AJ517" s="211"/>
      <c r="AK517" s="211"/>
    </row>
    <row r="518" spans="3:37" ht="12.75" customHeight="1">
      <c r="C518" s="206"/>
      <c r="D518" s="206"/>
      <c r="E518" s="206"/>
      <c r="F518" s="206"/>
      <c r="G518" s="206"/>
      <c r="H518" s="206"/>
      <c r="I518" s="206"/>
      <c r="J518" s="206"/>
      <c r="K518" s="206"/>
      <c r="L518" s="206"/>
      <c r="M518" s="206"/>
      <c r="N518" s="206"/>
      <c r="O518" s="206"/>
      <c r="P518" s="206"/>
      <c r="Q518" s="206"/>
      <c r="R518" s="206"/>
      <c r="S518" s="206"/>
      <c r="T518" s="206"/>
      <c r="U518" s="206"/>
      <c r="V518" s="206"/>
      <c r="W518" s="206"/>
      <c r="X518" s="206"/>
      <c r="Y518" s="206"/>
      <c r="Z518" s="206"/>
      <c r="AA518" s="206"/>
      <c r="AB518" s="206"/>
      <c r="AC518" s="206"/>
      <c r="AD518" s="206"/>
      <c r="AE518" s="206"/>
      <c r="AF518" s="206"/>
      <c r="AG518" s="206"/>
      <c r="AH518" s="206"/>
      <c r="AI518" s="206"/>
      <c r="AJ518" s="206"/>
      <c r="AK518" s="206"/>
    </row>
    <row r="519" spans="3:37" ht="12.75" customHeight="1">
      <c r="C519" s="101"/>
      <c r="D519" s="101"/>
      <c r="E519" s="101"/>
      <c r="F519" s="101"/>
      <c r="G519" s="101"/>
      <c r="H519" s="101"/>
      <c r="I519" s="101"/>
      <c r="J519" s="101"/>
      <c r="K519" s="101"/>
      <c r="L519" s="101"/>
      <c r="M519" s="101"/>
      <c r="N519" s="101"/>
      <c r="O519" s="101"/>
      <c r="P519" s="101"/>
      <c r="Q519" s="101"/>
      <c r="R519" s="101"/>
      <c r="S519" s="101"/>
      <c r="T519" s="101"/>
      <c r="U519" s="101"/>
      <c r="V519" s="101"/>
      <c r="W519" s="101"/>
      <c r="X519" s="101"/>
      <c r="Y519" s="101"/>
      <c r="Z519" s="101"/>
      <c r="AA519" s="101"/>
      <c r="AB519" s="101"/>
      <c r="AC519" s="101"/>
      <c r="AD519" s="101"/>
      <c r="AE519" s="101"/>
      <c r="AF519" s="101"/>
      <c r="AG519" s="101"/>
      <c r="AH519" s="101"/>
      <c r="AI519" s="101"/>
      <c r="AJ519" s="101"/>
      <c r="AK519" s="101"/>
    </row>
    <row r="520" spans="3:37" ht="12.75" customHeight="1">
      <c r="C520" s="155"/>
      <c r="D520" s="155"/>
      <c r="E520" s="155"/>
      <c r="F520" s="155"/>
      <c r="G520" s="155"/>
      <c r="H520" s="155"/>
      <c r="I520" s="155"/>
      <c r="J520" s="155"/>
      <c r="K520" s="155"/>
      <c r="L520" s="155"/>
      <c r="M520" s="155"/>
      <c r="N520" s="155"/>
      <c r="O520" s="155"/>
      <c r="P520" s="155"/>
      <c r="Q520" s="155"/>
      <c r="R520" s="155"/>
      <c r="S520" s="155"/>
      <c r="T520" s="155"/>
      <c r="U520" s="155"/>
      <c r="V520" s="155"/>
      <c r="W520" s="155"/>
      <c r="X520" s="155"/>
      <c r="Y520" s="155"/>
      <c r="Z520" s="155"/>
      <c r="AA520" s="155"/>
      <c r="AB520" s="155"/>
      <c r="AC520" s="155"/>
      <c r="AD520" s="155"/>
      <c r="AE520" s="155"/>
      <c r="AF520" s="155"/>
      <c r="AG520" s="155"/>
      <c r="AH520" s="155"/>
      <c r="AI520" s="155"/>
      <c r="AJ520" s="155"/>
      <c r="AK520" s="155"/>
    </row>
    <row r="521" spans="3:37" ht="12.75" customHeight="1">
      <c r="C521" s="208"/>
      <c r="D521" s="208"/>
      <c r="E521" s="208"/>
      <c r="F521" s="208"/>
      <c r="G521" s="208"/>
      <c r="H521" s="208"/>
      <c r="I521" s="208"/>
      <c r="J521" s="208"/>
      <c r="K521" s="208"/>
      <c r="L521" s="208"/>
      <c r="M521" s="208"/>
      <c r="N521" s="208"/>
      <c r="O521" s="208"/>
      <c r="P521" s="208"/>
      <c r="Q521" s="208"/>
      <c r="R521" s="208"/>
      <c r="S521" s="208"/>
      <c r="T521" s="208"/>
      <c r="U521" s="208"/>
      <c r="V521" s="208"/>
      <c r="W521" s="208"/>
      <c r="X521" s="208"/>
      <c r="Y521" s="208"/>
      <c r="Z521" s="208"/>
      <c r="AA521" s="208"/>
      <c r="AB521" s="208"/>
      <c r="AC521" s="208"/>
      <c r="AD521" s="208"/>
      <c r="AE521" s="208"/>
      <c r="AF521" s="208"/>
      <c r="AG521" s="208"/>
      <c r="AH521" s="208"/>
      <c r="AI521" s="208"/>
      <c r="AJ521" s="208"/>
      <c r="AK521" s="208"/>
    </row>
    <row r="522" spans="3:37" ht="12.75" customHeight="1">
      <c r="C522" s="208"/>
      <c r="D522" s="208"/>
      <c r="E522" s="208"/>
      <c r="F522" s="208"/>
      <c r="G522" s="208"/>
      <c r="H522" s="208"/>
      <c r="I522" s="208"/>
      <c r="J522" s="208"/>
      <c r="K522" s="208"/>
      <c r="L522" s="208"/>
      <c r="M522" s="208"/>
      <c r="N522" s="208"/>
      <c r="O522" s="208"/>
      <c r="P522" s="208"/>
      <c r="Q522" s="208"/>
      <c r="R522" s="208"/>
      <c r="S522" s="208"/>
      <c r="T522" s="208"/>
      <c r="U522" s="208"/>
      <c r="V522" s="208"/>
      <c r="W522" s="208"/>
      <c r="X522" s="208"/>
      <c r="Y522" s="208"/>
      <c r="Z522" s="208"/>
      <c r="AA522" s="208"/>
      <c r="AB522" s="208"/>
      <c r="AC522" s="208"/>
      <c r="AD522" s="208"/>
      <c r="AE522" s="208"/>
      <c r="AF522" s="208"/>
      <c r="AG522" s="208"/>
      <c r="AH522" s="208"/>
      <c r="AI522" s="208"/>
      <c r="AJ522" s="208"/>
      <c r="AK522" s="208"/>
    </row>
    <row r="523" spans="3:37" ht="12.75" customHeight="1">
      <c r="C523" s="211"/>
      <c r="D523" s="211"/>
      <c r="E523" s="211"/>
      <c r="F523" s="211"/>
      <c r="G523" s="211"/>
      <c r="H523" s="211"/>
      <c r="I523" s="211"/>
      <c r="J523" s="211"/>
      <c r="K523" s="211"/>
      <c r="L523" s="211"/>
      <c r="M523" s="211"/>
      <c r="N523" s="211"/>
      <c r="O523" s="211"/>
      <c r="P523" s="211"/>
      <c r="Q523" s="211"/>
      <c r="R523" s="211"/>
      <c r="S523" s="211"/>
      <c r="T523" s="211"/>
      <c r="U523" s="211"/>
      <c r="V523" s="211"/>
      <c r="W523" s="211"/>
      <c r="X523" s="211"/>
      <c r="Y523" s="211"/>
      <c r="Z523" s="211"/>
      <c r="AA523" s="211"/>
      <c r="AB523" s="211"/>
      <c r="AC523" s="211"/>
      <c r="AD523" s="211"/>
      <c r="AE523" s="211"/>
      <c r="AF523" s="211"/>
      <c r="AG523" s="211"/>
      <c r="AH523" s="211"/>
      <c r="AI523" s="211"/>
      <c r="AJ523" s="211"/>
      <c r="AK523" s="211"/>
    </row>
    <row r="524" spans="3:37" ht="12.75" customHeight="1">
      <c r="C524" s="209"/>
      <c r="D524" s="210"/>
      <c r="E524" s="210"/>
      <c r="F524" s="210"/>
      <c r="G524" s="210"/>
      <c r="H524" s="209"/>
      <c r="I524" s="210"/>
      <c r="J524" s="210"/>
      <c r="K524" s="210"/>
      <c r="L524" s="210"/>
      <c r="M524" s="209"/>
      <c r="N524" s="210"/>
      <c r="O524" s="210"/>
      <c r="P524" s="210"/>
      <c r="Q524" s="210"/>
      <c r="R524" s="209"/>
      <c r="S524" s="210"/>
      <c r="T524" s="210"/>
      <c r="U524" s="210"/>
      <c r="V524" s="210"/>
      <c r="W524" s="209"/>
      <c r="X524" s="210"/>
      <c r="Y524" s="210"/>
      <c r="Z524" s="210"/>
      <c r="AA524" s="210"/>
      <c r="AB524" s="209"/>
      <c r="AC524" s="210"/>
      <c r="AD524" s="210"/>
      <c r="AE524" s="210"/>
      <c r="AF524" s="210"/>
      <c r="AG524" s="209"/>
      <c r="AH524" s="210"/>
      <c r="AI524" s="210"/>
      <c r="AJ524" s="210"/>
      <c r="AK524" s="210"/>
    </row>
    <row r="525" spans="3:37" ht="12.75" customHeight="1">
      <c r="C525" s="209"/>
      <c r="D525" s="210"/>
      <c r="E525" s="210"/>
      <c r="F525" s="210"/>
      <c r="G525" s="210"/>
      <c r="H525" s="209"/>
      <c r="I525" s="210"/>
      <c r="J525" s="210"/>
      <c r="K525" s="210"/>
      <c r="L525" s="210"/>
      <c r="M525" s="209"/>
      <c r="N525" s="210"/>
      <c r="O525" s="210"/>
      <c r="P525" s="210"/>
      <c r="Q525" s="210"/>
      <c r="R525" s="209"/>
      <c r="S525" s="210"/>
      <c r="T525" s="210"/>
      <c r="U525" s="210"/>
      <c r="V525" s="210"/>
      <c r="W525" s="209"/>
      <c r="X525" s="210"/>
      <c r="Y525" s="210"/>
      <c r="Z525" s="210"/>
      <c r="AA525" s="210"/>
      <c r="AB525" s="209"/>
      <c r="AC525" s="210"/>
      <c r="AD525" s="210"/>
      <c r="AE525" s="210"/>
      <c r="AF525" s="210"/>
      <c r="AG525" s="209"/>
      <c r="AH525" s="210"/>
      <c r="AI525" s="210"/>
      <c r="AJ525" s="210"/>
      <c r="AK525" s="210"/>
    </row>
    <row r="526" spans="3:37" ht="12.75" customHeight="1">
      <c r="C526" s="209"/>
      <c r="D526" s="210"/>
      <c r="E526" s="210"/>
      <c r="F526" s="210"/>
      <c r="G526" s="210"/>
      <c r="H526" s="209"/>
      <c r="I526" s="210"/>
      <c r="J526" s="210"/>
      <c r="K526" s="210"/>
      <c r="L526" s="210"/>
      <c r="M526" s="209"/>
      <c r="N526" s="210"/>
      <c r="O526" s="210"/>
      <c r="P526" s="210"/>
      <c r="Q526" s="210"/>
      <c r="R526" s="209"/>
      <c r="S526" s="210"/>
      <c r="T526" s="210"/>
      <c r="U526" s="210"/>
      <c r="V526" s="210"/>
      <c r="W526" s="209"/>
      <c r="X526" s="210"/>
      <c r="Y526" s="210"/>
      <c r="Z526" s="210"/>
      <c r="AA526" s="210"/>
      <c r="AB526" s="209"/>
      <c r="AC526" s="210"/>
      <c r="AD526" s="210"/>
      <c r="AE526" s="210"/>
      <c r="AF526" s="210"/>
      <c r="AG526" s="209"/>
      <c r="AH526" s="210"/>
      <c r="AI526" s="210"/>
      <c r="AJ526" s="210"/>
      <c r="AK526" s="210"/>
    </row>
    <row r="527" spans="3:37" ht="12.75" customHeight="1">
      <c r="C527" s="155"/>
      <c r="D527" s="155"/>
      <c r="E527" s="155"/>
      <c r="F527" s="155"/>
      <c r="G527" s="155"/>
      <c r="H527" s="155"/>
      <c r="I527" s="155"/>
      <c r="J527" s="155"/>
      <c r="K527" s="155"/>
      <c r="L527" s="155"/>
      <c r="M527" s="155"/>
      <c r="N527" s="155"/>
      <c r="O527" s="155"/>
      <c r="P527" s="155"/>
      <c r="Q527" s="155"/>
      <c r="R527" s="155"/>
      <c r="S527" s="155"/>
      <c r="T527" s="155"/>
      <c r="U527" s="155"/>
      <c r="V527" s="155"/>
      <c r="W527" s="155"/>
      <c r="X527" s="155"/>
      <c r="Y527" s="155"/>
      <c r="Z527" s="155"/>
      <c r="AA527" s="155"/>
      <c r="AB527" s="155"/>
      <c r="AC527" s="155"/>
      <c r="AD527" s="155"/>
      <c r="AE527" s="155"/>
      <c r="AF527" s="155"/>
      <c r="AG527" s="155"/>
      <c r="AH527" s="155"/>
      <c r="AI527" s="155"/>
      <c r="AJ527" s="155"/>
      <c r="AK527" s="155"/>
    </row>
    <row r="528" spans="3:37" ht="12.75" customHeight="1">
      <c r="C528" s="214"/>
      <c r="D528" s="214"/>
      <c r="E528" s="214"/>
      <c r="F528" s="214"/>
      <c r="G528" s="214"/>
      <c r="H528" s="214"/>
      <c r="I528" s="214"/>
      <c r="J528" s="214"/>
      <c r="K528" s="214"/>
      <c r="L528" s="214"/>
      <c r="M528" s="214"/>
      <c r="N528" s="214"/>
      <c r="O528" s="214"/>
      <c r="P528" s="214"/>
      <c r="Q528" s="214"/>
      <c r="R528" s="214"/>
      <c r="S528" s="214"/>
      <c r="T528" s="214"/>
      <c r="U528" s="214"/>
      <c r="V528" s="214"/>
      <c r="W528" s="214"/>
      <c r="X528" s="214"/>
      <c r="Y528" s="214"/>
      <c r="Z528" s="214"/>
      <c r="AA528" s="214"/>
      <c r="AB528" s="214"/>
      <c r="AC528" s="214"/>
      <c r="AD528" s="214"/>
      <c r="AE528" s="214"/>
      <c r="AF528" s="214"/>
      <c r="AG528" s="214"/>
      <c r="AH528" s="214"/>
      <c r="AI528" s="214"/>
      <c r="AJ528" s="214"/>
      <c r="AK528" s="214"/>
    </row>
    <row r="529" spans="3:37" ht="12.75" customHeight="1">
      <c r="C529" s="155"/>
      <c r="D529" s="155"/>
      <c r="E529" s="155"/>
      <c r="F529" s="155"/>
      <c r="G529" s="155"/>
      <c r="H529" s="155"/>
      <c r="I529" s="155"/>
      <c r="J529" s="155"/>
      <c r="K529" s="155"/>
      <c r="L529" s="155"/>
      <c r="M529" s="155"/>
      <c r="N529" s="155"/>
      <c r="O529" s="155"/>
      <c r="P529" s="155"/>
      <c r="Q529" s="155"/>
      <c r="R529" s="155"/>
      <c r="S529" s="155"/>
      <c r="T529" s="155"/>
      <c r="U529" s="155"/>
      <c r="V529" s="155"/>
      <c r="W529" s="155"/>
      <c r="X529" s="155"/>
      <c r="Y529" s="155"/>
      <c r="Z529" s="155"/>
      <c r="AA529" s="155"/>
      <c r="AB529" s="155"/>
      <c r="AC529" s="155"/>
      <c r="AD529" s="155"/>
      <c r="AE529" s="155"/>
      <c r="AF529" s="155"/>
      <c r="AG529" s="155"/>
      <c r="AH529" s="155"/>
      <c r="AI529" s="155"/>
      <c r="AJ529" s="155"/>
      <c r="AK529" s="155"/>
    </row>
    <row r="530" spans="3:37" ht="12.75" customHeight="1">
      <c r="C530" s="101"/>
      <c r="D530" s="101"/>
      <c r="E530" s="101"/>
      <c r="F530" s="101"/>
      <c r="G530" s="101"/>
      <c r="H530" s="101"/>
      <c r="I530" s="101"/>
      <c r="J530" s="101"/>
      <c r="K530" s="101"/>
      <c r="L530" s="101"/>
      <c r="M530" s="101"/>
      <c r="N530" s="101"/>
      <c r="O530" s="101"/>
      <c r="P530" s="101"/>
      <c r="Q530" s="101"/>
      <c r="R530" s="101"/>
      <c r="S530" s="101"/>
      <c r="T530" s="101"/>
      <c r="U530" s="101"/>
      <c r="V530" s="101"/>
      <c r="W530" s="101"/>
      <c r="X530" s="101"/>
      <c r="Y530" s="101"/>
      <c r="Z530" s="101"/>
      <c r="AA530" s="101"/>
      <c r="AB530" s="101"/>
      <c r="AC530" s="101"/>
      <c r="AD530" s="101"/>
      <c r="AE530" s="101"/>
      <c r="AF530" s="101"/>
      <c r="AG530" s="101"/>
      <c r="AH530" s="101"/>
      <c r="AI530" s="101"/>
      <c r="AJ530" s="101"/>
      <c r="AK530" s="101"/>
    </row>
    <row r="531" spans="3:37" ht="12.75" customHeight="1">
      <c r="C531" s="155"/>
      <c r="D531" s="155"/>
      <c r="E531" s="155"/>
      <c r="F531" s="155"/>
      <c r="G531" s="155"/>
      <c r="H531" s="155"/>
      <c r="I531" s="155"/>
      <c r="J531" s="155"/>
      <c r="K531" s="155"/>
      <c r="L531" s="155"/>
      <c r="M531" s="155"/>
      <c r="N531" s="155"/>
      <c r="O531" s="155"/>
      <c r="P531" s="155"/>
      <c r="Q531" s="155"/>
      <c r="R531" s="155"/>
      <c r="S531" s="155"/>
      <c r="T531" s="155"/>
      <c r="U531" s="155"/>
      <c r="V531" s="155"/>
      <c r="W531" s="155"/>
      <c r="X531" s="155"/>
      <c r="Y531" s="155"/>
      <c r="Z531" s="155"/>
      <c r="AA531" s="155"/>
      <c r="AB531" s="155"/>
      <c r="AC531" s="155"/>
      <c r="AD531" s="155"/>
      <c r="AE531" s="155"/>
      <c r="AF531" s="155"/>
      <c r="AG531" s="155"/>
      <c r="AH531" s="155"/>
      <c r="AI531" s="155"/>
      <c r="AJ531" s="155"/>
      <c r="AK531" s="155"/>
    </row>
    <row r="532" spans="3:37" ht="12.75" customHeight="1">
      <c r="C532" s="155"/>
      <c r="D532" s="155"/>
      <c r="E532" s="155"/>
      <c r="F532" s="155"/>
      <c r="G532" s="155"/>
      <c r="H532" s="155"/>
      <c r="I532" s="155"/>
      <c r="J532" s="155"/>
      <c r="K532" s="155"/>
      <c r="L532" s="155"/>
      <c r="M532" s="155"/>
      <c r="N532" s="155"/>
      <c r="O532" s="155"/>
      <c r="P532" s="155"/>
      <c r="Q532" s="155"/>
      <c r="R532" s="155"/>
      <c r="S532" s="155"/>
      <c r="T532" s="155"/>
      <c r="U532" s="155"/>
      <c r="V532" s="155"/>
      <c r="W532" s="155"/>
      <c r="X532" s="155"/>
      <c r="Y532" s="155"/>
      <c r="Z532" s="155"/>
      <c r="AA532" s="155"/>
      <c r="AB532" s="155"/>
      <c r="AC532" s="155"/>
      <c r="AD532" s="155"/>
      <c r="AE532" s="155"/>
      <c r="AF532" s="155"/>
      <c r="AG532" s="155"/>
      <c r="AH532" s="155"/>
      <c r="AI532" s="155"/>
      <c r="AJ532" s="155"/>
      <c r="AK532" s="155"/>
    </row>
    <row r="533" spans="3:37" ht="12.75" customHeight="1">
      <c r="C533" s="184"/>
      <c r="D533" s="184"/>
      <c r="E533" s="184"/>
      <c r="F533" s="184"/>
      <c r="G533" s="184"/>
      <c r="H533" s="184"/>
      <c r="I533" s="184"/>
      <c r="J533" s="184"/>
      <c r="K533" s="184"/>
      <c r="L533" s="184"/>
      <c r="M533" s="184"/>
      <c r="N533" s="184"/>
      <c r="O533" s="184"/>
      <c r="P533" s="184"/>
      <c r="Q533" s="184"/>
      <c r="R533" s="184"/>
      <c r="S533" s="184"/>
      <c r="T533" s="184"/>
      <c r="U533" s="184"/>
      <c r="V533" s="184"/>
      <c r="W533" s="184"/>
      <c r="X533" s="184"/>
      <c r="Y533" s="184"/>
      <c r="Z533" s="184"/>
      <c r="AA533" s="184"/>
      <c r="AB533" s="184"/>
      <c r="AC533" s="184"/>
      <c r="AD533" s="184"/>
      <c r="AE533" s="184"/>
      <c r="AF533" s="184"/>
      <c r="AG533" s="184"/>
      <c r="AH533" s="184"/>
      <c r="AI533" s="184"/>
      <c r="AJ533" s="184"/>
      <c r="AK533" s="184"/>
    </row>
    <row r="534" spans="3:37" ht="12.75" customHeight="1">
      <c r="C534" s="206"/>
      <c r="D534" s="155"/>
      <c r="E534" s="155"/>
      <c r="F534" s="155"/>
      <c r="G534" s="155"/>
      <c r="H534" s="206"/>
      <c r="I534" s="155"/>
      <c r="J534" s="155"/>
      <c r="K534" s="155"/>
      <c r="L534" s="155"/>
      <c r="M534" s="206"/>
      <c r="N534" s="155"/>
      <c r="O534" s="155"/>
      <c r="P534" s="155"/>
      <c r="Q534" s="155"/>
      <c r="R534" s="206"/>
      <c r="S534" s="155"/>
      <c r="T534" s="155"/>
      <c r="U534" s="155"/>
      <c r="V534" s="155"/>
      <c r="W534" s="206"/>
      <c r="X534" s="155"/>
      <c r="Y534" s="155"/>
      <c r="Z534" s="155"/>
      <c r="AA534" s="155"/>
      <c r="AB534" s="206"/>
      <c r="AC534" s="155"/>
      <c r="AD534" s="155"/>
      <c r="AE534" s="155"/>
      <c r="AF534" s="155"/>
      <c r="AG534" s="206"/>
      <c r="AH534" s="155"/>
      <c r="AI534" s="155"/>
      <c r="AJ534" s="155"/>
      <c r="AK534" s="155"/>
    </row>
    <row r="535" spans="3:37" ht="12.75" customHeight="1">
      <c r="C535" s="206"/>
      <c r="D535" s="155"/>
      <c r="E535" s="155"/>
      <c r="F535" s="155"/>
      <c r="G535" s="155"/>
      <c r="H535" s="206"/>
      <c r="I535" s="155"/>
      <c r="J535" s="155"/>
      <c r="K535" s="155"/>
      <c r="L535" s="155"/>
      <c r="M535" s="206"/>
      <c r="N535" s="155"/>
      <c r="O535" s="155"/>
      <c r="P535" s="155"/>
      <c r="Q535" s="155"/>
      <c r="R535" s="206"/>
      <c r="S535" s="155"/>
      <c r="T535" s="155"/>
      <c r="U535" s="155"/>
      <c r="V535" s="155"/>
      <c r="W535" s="206"/>
      <c r="X535" s="155"/>
      <c r="Y535" s="155"/>
      <c r="Z535" s="155"/>
      <c r="AA535" s="155"/>
      <c r="AB535" s="206"/>
      <c r="AC535" s="155"/>
      <c r="AD535" s="155"/>
      <c r="AE535" s="155"/>
      <c r="AF535" s="155"/>
      <c r="AG535" s="206"/>
      <c r="AH535" s="155"/>
      <c r="AI535" s="155"/>
      <c r="AJ535" s="155"/>
      <c r="AK535" s="155"/>
    </row>
    <row r="536" spans="3:37" ht="12.75" customHeight="1">
      <c r="C536" s="207"/>
      <c r="D536" s="207"/>
      <c r="E536" s="207"/>
      <c r="F536" s="207"/>
      <c r="G536" s="207"/>
      <c r="H536" s="207"/>
      <c r="I536" s="207"/>
      <c r="J536" s="207"/>
      <c r="K536" s="207"/>
      <c r="L536" s="207"/>
      <c r="M536" s="207"/>
      <c r="N536" s="207"/>
      <c r="O536" s="207"/>
      <c r="P536" s="207"/>
      <c r="Q536" s="207"/>
      <c r="R536" s="207"/>
      <c r="S536" s="207"/>
      <c r="T536" s="207"/>
      <c r="U536" s="207"/>
      <c r="V536" s="207"/>
      <c r="W536" s="207"/>
      <c r="X536" s="207"/>
      <c r="Y536" s="207"/>
      <c r="Z536" s="207"/>
      <c r="AA536" s="207"/>
      <c r="AB536" s="207"/>
      <c r="AC536" s="207"/>
      <c r="AD536" s="207"/>
      <c r="AE536" s="207"/>
      <c r="AF536" s="207"/>
      <c r="AG536" s="207"/>
      <c r="AH536" s="207"/>
      <c r="AI536" s="207"/>
      <c r="AJ536" s="207"/>
      <c r="AK536" s="207"/>
    </row>
    <row r="537" spans="3:37" ht="12.75" customHeight="1">
      <c r="C537" s="155"/>
      <c r="D537" s="155"/>
      <c r="E537" s="155"/>
      <c r="F537" s="155"/>
      <c r="G537" s="155"/>
      <c r="H537" s="155"/>
      <c r="I537" s="155"/>
      <c r="J537" s="155"/>
      <c r="K537" s="155"/>
      <c r="L537" s="155"/>
      <c r="M537" s="155"/>
      <c r="N537" s="155"/>
      <c r="O537" s="155"/>
      <c r="P537" s="155"/>
      <c r="Q537" s="155"/>
      <c r="R537" s="155"/>
      <c r="S537" s="155"/>
      <c r="T537" s="155"/>
      <c r="U537" s="155"/>
      <c r="V537" s="155"/>
      <c r="W537" s="155"/>
      <c r="X537" s="155"/>
      <c r="Y537" s="155"/>
      <c r="Z537" s="155"/>
      <c r="AA537" s="155"/>
      <c r="AB537" s="155"/>
      <c r="AC537" s="155"/>
      <c r="AD537" s="155"/>
      <c r="AE537" s="155"/>
      <c r="AF537" s="155"/>
      <c r="AG537" s="155"/>
      <c r="AH537" s="155"/>
      <c r="AI537" s="155"/>
      <c r="AJ537" s="155"/>
      <c r="AK537" s="155"/>
    </row>
    <row r="538" spans="3:37" ht="12.75" customHeight="1">
      <c r="C538" s="206"/>
      <c r="D538" s="155"/>
      <c r="E538" s="155"/>
      <c r="F538" s="155"/>
      <c r="G538" s="155"/>
      <c r="H538" s="206"/>
      <c r="I538" s="155"/>
      <c r="J538" s="155"/>
      <c r="K538" s="155"/>
      <c r="L538" s="155"/>
      <c r="M538" s="206"/>
      <c r="N538" s="155"/>
      <c r="O538" s="155"/>
      <c r="P538" s="155"/>
      <c r="Q538" s="155"/>
      <c r="R538" s="206"/>
      <c r="S538" s="155"/>
      <c r="T538" s="155"/>
      <c r="U538" s="155"/>
      <c r="V538" s="155"/>
      <c r="W538" s="206"/>
      <c r="X538" s="155"/>
      <c r="Y538" s="155"/>
      <c r="Z538" s="155"/>
      <c r="AA538" s="155"/>
      <c r="AB538" s="206"/>
      <c r="AC538" s="155"/>
      <c r="AD538" s="155"/>
      <c r="AE538" s="155"/>
      <c r="AF538" s="155"/>
      <c r="AG538" s="206"/>
      <c r="AH538" s="155"/>
      <c r="AI538" s="155"/>
      <c r="AJ538" s="155"/>
      <c r="AK538" s="155"/>
    </row>
    <row r="539" spans="3:37" ht="12.75" customHeight="1">
      <c r="C539" s="206"/>
      <c r="D539" s="155"/>
      <c r="E539" s="155"/>
      <c r="F539" s="155"/>
      <c r="G539" s="155"/>
      <c r="H539" s="206"/>
      <c r="I539" s="155"/>
      <c r="J539" s="155"/>
      <c r="K539" s="155"/>
      <c r="L539" s="155"/>
      <c r="M539" s="206"/>
      <c r="N539" s="155"/>
      <c r="O539" s="155"/>
      <c r="P539" s="155"/>
      <c r="Q539" s="155"/>
      <c r="R539" s="206"/>
      <c r="S539" s="155"/>
      <c r="T539" s="155"/>
      <c r="U539" s="155"/>
      <c r="V539" s="155"/>
      <c r="W539" s="206"/>
      <c r="X539" s="155"/>
      <c r="Y539" s="155"/>
      <c r="Z539" s="155"/>
      <c r="AA539" s="155"/>
      <c r="AB539" s="206"/>
      <c r="AC539" s="155"/>
      <c r="AD539" s="155"/>
      <c r="AE539" s="155"/>
      <c r="AF539" s="155"/>
      <c r="AG539" s="206"/>
      <c r="AH539" s="155"/>
      <c r="AI539" s="155"/>
      <c r="AJ539" s="155"/>
      <c r="AK539" s="155"/>
    </row>
    <row r="540" spans="3:37" ht="12.75" customHeight="1">
      <c r="C540" s="206"/>
      <c r="D540" s="155"/>
      <c r="E540" s="155"/>
      <c r="F540" s="155"/>
      <c r="G540" s="155"/>
      <c r="H540" s="206"/>
      <c r="I540" s="155"/>
      <c r="J540" s="155"/>
      <c r="K540" s="155"/>
      <c r="L540" s="155"/>
      <c r="M540" s="206"/>
      <c r="N540" s="155"/>
      <c r="O540" s="155"/>
      <c r="P540" s="155"/>
      <c r="Q540" s="155"/>
      <c r="R540" s="206"/>
      <c r="S540" s="155"/>
      <c r="T540" s="155"/>
      <c r="U540" s="155"/>
      <c r="V540" s="155"/>
      <c r="W540" s="206"/>
      <c r="X540" s="155"/>
      <c r="Y540" s="155"/>
      <c r="Z540" s="155"/>
      <c r="AA540" s="155"/>
      <c r="AB540" s="206"/>
      <c r="AC540" s="155"/>
      <c r="AD540" s="155"/>
      <c r="AE540" s="155"/>
      <c r="AF540" s="155"/>
      <c r="AG540" s="206"/>
      <c r="AH540" s="155"/>
      <c r="AI540" s="155"/>
      <c r="AJ540" s="155"/>
      <c r="AK540" s="155"/>
    </row>
    <row r="541" spans="3:37" ht="12.75" customHeight="1">
      <c r="C541" s="206"/>
      <c r="D541" s="155"/>
      <c r="E541" s="155"/>
      <c r="F541" s="155"/>
      <c r="G541" s="155"/>
      <c r="H541" s="206"/>
      <c r="I541" s="155"/>
      <c r="J541" s="155"/>
      <c r="K541" s="155"/>
      <c r="L541" s="155"/>
      <c r="M541" s="206"/>
      <c r="N541" s="155"/>
      <c r="O541" s="155"/>
      <c r="P541" s="155"/>
      <c r="Q541" s="155"/>
      <c r="R541" s="206"/>
      <c r="S541" s="155"/>
      <c r="T541" s="155"/>
      <c r="U541" s="155"/>
      <c r="V541" s="155"/>
      <c r="W541" s="206"/>
      <c r="X541" s="155"/>
      <c r="Y541" s="155"/>
      <c r="Z541" s="155"/>
      <c r="AA541" s="155"/>
      <c r="AB541" s="206"/>
      <c r="AC541" s="155"/>
      <c r="AD541" s="155"/>
      <c r="AE541" s="155"/>
      <c r="AF541" s="155"/>
      <c r="AG541" s="206"/>
      <c r="AH541" s="155"/>
      <c r="AI541" s="155"/>
      <c r="AJ541" s="155"/>
      <c r="AK541" s="155"/>
    </row>
    <row r="542" spans="3:37" ht="12.75" customHeight="1">
      <c r="C542" s="206"/>
      <c r="D542" s="155"/>
      <c r="E542" s="155"/>
      <c r="F542" s="155"/>
      <c r="G542" s="155"/>
      <c r="H542" s="206"/>
      <c r="I542" s="155"/>
      <c r="J542" s="155"/>
      <c r="K542" s="155"/>
      <c r="L542" s="155"/>
      <c r="M542" s="206"/>
      <c r="N542" s="155"/>
      <c r="O542" s="155"/>
      <c r="P542" s="155"/>
      <c r="Q542" s="155"/>
      <c r="R542" s="206"/>
      <c r="S542" s="155"/>
      <c r="T542" s="155"/>
      <c r="U542" s="155"/>
      <c r="V542" s="155"/>
      <c r="W542" s="206"/>
      <c r="X542" s="155"/>
      <c r="Y542" s="155"/>
      <c r="Z542" s="155"/>
      <c r="AA542" s="155"/>
      <c r="AB542" s="206"/>
      <c r="AC542" s="155"/>
      <c r="AD542" s="155"/>
      <c r="AE542" s="155"/>
      <c r="AF542" s="155"/>
      <c r="AG542" s="206"/>
      <c r="AH542" s="155"/>
      <c r="AI542" s="155"/>
      <c r="AJ542" s="155"/>
      <c r="AK542" s="155"/>
    </row>
    <row r="543" spans="3:37" ht="12.75" customHeight="1">
      <c r="C543" s="206"/>
      <c r="D543" s="155"/>
      <c r="E543" s="155"/>
      <c r="F543" s="155"/>
      <c r="G543" s="155"/>
      <c r="H543" s="206"/>
      <c r="I543" s="155"/>
      <c r="J543" s="155"/>
      <c r="K543" s="155"/>
      <c r="L543" s="155"/>
      <c r="M543" s="206"/>
      <c r="N543" s="155"/>
      <c r="O543" s="155"/>
      <c r="P543" s="155"/>
      <c r="Q543" s="155"/>
      <c r="R543" s="206"/>
      <c r="S543" s="155"/>
      <c r="T543" s="155"/>
      <c r="U543" s="155"/>
      <c r="V543" s="155"/>
      <c r="W543" s="206"/>
      <c r="X543" s="155"/>
      <c r="Y543" s="155"/>
      <c r="Z543" s="155"/>
      <c r="AA543" s="155"/>
      <c r="AB543" s="206"/>
      <c r="AC543" s="155"/>
      <c r="AD543" s="155"/>
      <c r="AE543" s="155"/>
      <c r="AF543" s="155"/>
      <c r="AG543" s="206"/>
      <c r="AH543" s="155"/>
      <c r="AI543" s="155"/>
      <c r="AJ543" s="155"/>
      <c r="AK543" s="155"/>
    </row>
    <row r="544" spans="3:37" ht="12.75" customHeight="1">
      <c r="C544" s="155"/>
      <c r="D544" s="155"/>
      <c r="E544" s="155"/>
      <c r="F544" s="155"/>
      <c r="G544" s="155"/>
      <c r="H544" s="155"/>
      <c r="I544" s="155"/>
      <c r="J544" s="155"/>
      <c r="K544" s="155"/>
      <c r="L544" s="155"/>
      <c r="M544" s="155"/>
      <c r="N544" s="155"/>
      <c r="O544" s="155"/>
      <c r="P544" s="155"/>
      <c r="Q544" s="155"/>
      <c r="R544" s="155"/>
      <c r="S544" s="155"/>
      <c r="T544" s="155"/>
      <c r="U544" s="155"/>
      <c r="V544" s="155"/>
      <c r="W544" s="155"/>
      <c r="X544" s="155"/>
      <c r="Y544" s="155"/>
      <c r="Z544" s="155"/>
      <c r="AA544" s="155"/>
      <c r="AB544" s="155"/>
      <c r="AC544" s="155"/>
      <c r="AD544" s="155"/>
      <c r="AE544" s="155"/>
      <c r="AF544" s="155"/>
      <c r="AG544" s="155"/>
      <c r="AH544" s="155"/>
      <c r="AI544" s="155"/>
      <c r="AJ544" s="155"/>
      <c r="AK544" s="155"/>
    </row>
    <row r="545" spans="3:37" ht="12.75" customHeight="1">
      <c r="C545" s="155"/>
      <c r="D545" s="155"/>
      <c r="E545" s="155"/>
      <c r="F545" s="155"/>
      <c r="G545" s="155"/>
      <c r="H545" s="155"/>
      <c r="I545" s="155"/>
      <c r="J545" s="155"/>
      <c r="K545" s="155"/>
      <c r="L545" s="155"/>
      <c r="M545" s="155"/>
      <c r="N545" s="155"/>
      <c r="O545" s="155"/>
      <c r="P545" s="155"/>
      <c r="Q545" s="155"/>
      <c r="R545" s="155"/>
      <c r="S545" s="155"/>
      <c r="T545" s="155"/>
      <c r="U545" s="155"/>
      <c r="V545" s="155"/>
      <c r="W545" s="155"/>
      <c r="X545" s="155"/>
      <c r="Y545" s="155"/>
      <c r="Z545" s="155"/>
      <c r="AA545" s="155"/>
      <c r="AB545" s="155"/>
      <c r="AC545" s="155"/>
      <c r="AD545" s="155"/>
      <c r="AE545" s="155"/>
      <c r="AF545" s="155"/>
      <c r="AG545" s="155"/>
      <c r="AH545" s="155"/>
      <c r="AI545" s="155"/>
      <c r="AJ545" s="155"/>
      <c r="AK545" s="155"/>
    </row>
    <row r="546" spans="3:37" ht="12.75" customHeight="1">
      <c r="C546" s="101"/>
      <c r="D546" s="101"/>
      <c r="E546" s="101"/>
      <c r="F546" s="101"/>
      <c r="G546" s="101"/>
      <c r="H546" s="101"/>
      <c r="I546" s="101"/>
      <c r="J546" s="101"/>
      <c r="K546" s="101"/>
      <c r="L546" s="101"/>
      <c r="M546" s="101"/>
      <c r="N546" s="101"/>
      <c r="O546" s="101"/>
      <c r="P546" s="101"/>
      <c r="Q546" s="101"/>
      <c r="R546" s="101"/>
      <c r="S546" s="101"/>
      <c r="T546" s="101"/>
      <c r="U546" s="101"/>
      <c r="V546" s="101"/>
      <c r="W546" s="101"/>
      <c r="X546" s="101"/>
      <c r="Y546" s="101"/>
      <c r="Z546" s="101"/>
      <c r="AA546" s="101"/>
      <c r="AB546" s="101"/>
      <c r="AC546" s="101"/>
      <c r="AD546" s="101"/>
      <c r="AE546" s="101"/>
      <c r="AF546" s="101"/>
      <c r="AG546" s="101"/>
      <c r="AH546" s="101"/>
      <c r="AI546" s="101"/>
      <c r="AJ546" s="101"/>
      <c r="AK546" s="101"/>
    </row>
    <row r="547" spans="3:37" ht="12.75" customHeight="1">
      <c r="C547" s="133"/>
      <c r="D547" s="133"/>
      <c r="E547" s="133"/>
      <c r="F547" s="133"/>
      <c r="G547" s="133"/>
      <c r="H547" s="133"/>
      <c r="I547" s="133"/>
      <c r="J547" s="133"/>
      <c r="K547" s="133"/>
      <c r="L547" s="133"/>
      <c r="M547" s="133"/>
      <c r="N547" s="133"/>
      <c r="O547" s="133"/>
      <c r="P547" s="133"/>
      <c r="Q547" s="133"/>
      <c r="R547" s="133"/>
      <c r="S547" s="133"/>
      <c r="T547" s="133"/>
      <c r="U547" s="133"/>
      <c r="V547" s="133"/>
      <c r="W547" s="133"/>
      <c r="X547" s="133"/>
      <c r="Y547" s="133"/>
      <c r="Z547" s="133"/>
      <c r="AA547" s="133"/>
      <c r="AB547" s="133"/>
      <c r="AC547" s="133"/>
      <c r="AD547" s="133"/>
      <c r="AE547" s="133"/>
      <c r="AF547" s="133"/>
      <c r="AG547" s="133"/>
      <c r="AH547" s="133"/>
      <c r="AI547" s="133"/>
      <c r="AJ547" s="133"/>
      <c r="AK547" s="133"/>
    </row>
    <row r="548" spans="3:37" ht="12.75" customHeight="1">
      <c r="C548" s="215"/>
      <c r="D548" s="215"/>
      <c r="E548" s="215"/>
      <c r="F548" s="215"/>
      <c r="G548" s="215"/>
      <c r="H548" s="215"/>
      <c r="I548" s="215"/>
      <c r="J548" s="215"/>
      <c r="K548" s="215"/>
      <c r="L548" s="215"/>
      <c r="M548" s="215"/>
      <c r="N548" s="215"/>
      <c r="O548" s="215"/>
      <c r="P548" s="215"/>
      <c r="Q548" s="215"/>
      <c r="R548" s="215"/>
      <c r="S548" s="215"/>
      <c r="T548" s="215"/>
      <c r="U548" s="215"/>
      <c r="V548" s="215"/>
      <c r="W548" s="215"/>
      <c r="X548" s="215"/>
      <c r="Y548" s="215"/>
      <c r="Z548" s="215"/>
      <c r="AA548" s="215"/>
      <c r="AB548" s="215"/>
      <c r="AC548" s="215"/>
      <c r="AD548" s="215"/>
      <c r="AE548" s="215"/>
      <c r="AF548" s="215"/>
      <c r="AG548" s="215"/>
      <c r="AH548" s="215"/>
      <c r="AI548" s="215"/>
      <c r="AJ548" s="215"/>
      <c r="AK548" s="215"/>
    </row>
    <row r="549" spans="3:37" ht="12.75" customHeight="1">
      <c r="C549" s="215"/>
      <c r="D549" s="215"/>
      <c r="E549" s="215"/>
      <c r="F549" s="215"/>
      <c r="G549" s="215"/>
      <c r="H549" s="215"/>
      <c r="I549" s="215"/>
      <c r="J549" s="215"/>
      <c r="K549" s="215"/>
      <c r="L549" s="215"/>
      <c r="M549" s="215"/>
      <c r="N549" s="215"/>
      <c r="O549" s="215"/>
      <c r="P549" s="215"/>
      <c r="Q549" s="215"/>
      <c r="R549" s="215"/>
      <c r="S549" s="215"/>
      <c r="T549" s="215"/>
      <c r="U549" s="215"/>
      <c r="V549" s="215"/>
      <c r="W549" s="215"/>
      <c r="X549" s="215"/>
      <c r="Y549" s="215"/>
      <c r="Z549" s="215"/>
      <c r="AA549" s="215"/>
      <c r="AB549" s="215"/>
      <c r="AC549" s="215"/>
      <c r="AD549" s="215"/>
      <c r="AE549" s="215"/>
      <c r="AF549" s="215"/>
      <c r="AG549" s="215"/>
      <c r="AH549" s="215"/>
      <c r="AI549" s="215"/>
      <c r="AJ549" s="215"/>
      <c r="AK549" s="215"/>
    </row>
    <row r="550" spans="3:37" ht="12.75" customHeight="1">
      <c r="C550" s="216"/>
      <c r="D550" s="210"/>
      <c r="E550" s="210"/>
      <c r="F550" s="210"/>
      <c r="G550" s="210"/>
      <c r="H550" s="216"/>
      <c r="I550" s="210"/>
      <c r="J550" s="210"/>
      <c r="K550" s="210"/>
      <c r="L550" s="210"/>
      <c r="M550" s="216"/>
      <c r="N550" s="210"/>
      <c r="O550" s="210"/>
      <c r="P550" s="210"/>
      <c r="Q550" s="210"/>
      <c r="R550" s="216"/>
      <c r="S550" s="210"/>
      <c r="T550" s="210"/>
      <c r="U550" s="210"/>
      <c r="V550" s="210"/>
      <c r="W550" s="216"/>
      <c r="X550" s="210"/>
      <c r="Y550" s="210"/>
      <c r="Z550" s="210"/>
      <c r="AA550" s="210"/>
      <c r="AB550" s="216"/>
      <c r="AC550" s="210"/>
      <c r="AD550" s="210"/>
      <c r="AE550" s="210"/>
      <c r="AF550" s="210"/>
      <c r="AG550" s="216"/>
      <c r="AH550" s="210"/>
      <c r="AI550" s="210"/>
      <c r="AJ550" s="210"/>
      <c r="AK550" s="210"/>
    </row>
    <row r="551" spans="3:37" ht="12.75" customHeight="1">
      <c r="C551" s="217"/>
      <c r="D551" s="217"/>
      <c r="E551" s="217"/>
      <c r="F551" s="217"/>
      <c r="G551" s="217"/>
      <c r="H551" s="217"/>
      <c r="I551" s="217"/>
      <c r="J551" s="217"/>
      <c r="K551" s="217"/>
      <c r="L551" s="217"/>
      <c r="M551" s="217"/>
      <c r="N551" s="217"/>
      <c r="O551" s="217"/>
      <c r="P551" s="217"/>
      <c r="Q551" s="217"/>
      <c r="R551" s="217"/>
      <c r="S551" s="217"/>
      <c r="T551" s="217"/>
      <c r="U551" s="217"/>
      <c r="V551" s="217"/>
      <c r="W551" s="217"/>
      <c r="X551" s="217"/>
      <c r="Y551" s="217"/>
      <c r="Z551" s="217"/>
      <c r="AA551" s="217"/>
      <c r="AB551" s="217"/>
      <c r="AC551" s="217"/>
      <c r="AD551" s="217"/>
      <c r="AE551" s="217"/>
      <c r="AF551" s="217"/>
      <c r="AG551" s="217"/>
      <c r="AH551" s="217"/>
      <c r="AI551" s="217"/>
      <c r="AJ551" s="217"/>
      <c r="AK551" s="217"/>
    </row>
    <row r="552" spans="3:37" ht="12.75" customHeight="1">
      <c r="C552" s="206"/>
      <c r="D552" s="155"/>
      <c r="E552" s="155"/>
      <c r="F552" s="155"/>
      <c r="G552" s="155"/>
      <c r="H552" s="206"/>
      <c r="I552" s="155"/>
      <c r="J552" s="155"/>
      <c r="K552" s="155"/>
      <c r="L552" s="155"/>
      <c r="M552" s="206"/>
      <c r="N552" s="155"/>
      <c r="O552" s="155"/>
      <c r="P552" s="155"/>
      <c r="Q552" s="155"/>
      <c r="R552" s="206"/>
      <c r="S552" s="155"/>
      <c r="T552" s="155"/>
      <c r="U552" s="155"/>
      <c r="V552" s="155"/>
      <c r="W552" s="206"/>
      <c r="X552" s="155"/>
      <c r="Y552" s="155"/>
      <c r="Z552" s="155"/>
      <c r="AA552" s="155"/>
      <c r="AB552" s="206"/>
      <c r="AC552" s="155"/>
      <c r="AD552" s="155"/>
      <c r="AE552" s="155"/>
      <c r="AF552" s="155"/>
      <c r="AG552" s="206"/>
      <c r="AH552" s="155"/>
      <c r="AI552" s="155"/>
      <c r="AJ552" s="155"/>
      <c r="AK552" s="155"/>
    </row>
    <row r="553" spans="3:37" ht="12.75" customHeight="1">
      <c r="C553" s="155"/>
      <c r="D553" s="155"/>
      <c r="E553" s="155"/>
      <c r="F553" s="155"/>
      <c r="G553" s="155"/>
      <c r="H553" s="155"/>
      <c r="I553" s="155"/>
      <c r="J553" s="155"/>
      <c r="K553" s="155"/>
      <c r="L553" s="155"/>
      <c r="M553" s="155"/>
      <c r="N553" s="155"/>
      <c r="O553" s="155"/>
      <c r="P553" s="155"/>
      <c r="Q553" s="155"/>
      <c r="R553" s="155"/>
      <c r="S553" s="155"/>
      <c r="T553" s="155"/>
      <c r="U553" s="155"/>
      <c r="V553" s="155"/>
      <c r="W553" s="155"/>
      <c r="X553" s="155"/>
      <c r="Y553" s="155"/>
      <c r="Z553" s="155"/>
      <c r="AA553" s="155"/>
      <c r="AB553" s="155"/>
      <c r="AC553" s="155"/>
      <c r="AD553" s="155"/>
      <c r="AE553" s="155"/>
      <c r="AF553" s="155"/>
      <c r="AG553" s="155"/>
      <c r="AH553" s="155"/>
      <c r="AI553" s="155"/>
      <c r="AJ553" s="155"/>
      <c r="AK553" s="155"/>
    </row>
    <row r="554" spans="3:37" ht="12.75" customHeight="1">
      <c r="C554" s="155"/>
      <c r="D554" s="155"/>
      <c r="E554" s="155"/>
      <c r="F554" s="155"/>
      <c r="G554" s="155"/>
      <c r="H554" s="155"/>
      <c r="I554" s="155"/>
      <c r="J554" s="155"/>
      <c r="K554" s="155"/>
      <c r="L554" s="155"/>
      <c r="M554" s="155"/>
      <c r="N554" s="155"/>
      <c r="O554" s="155"/>
      <c r="P554" s="155"/>
      <c r="Q554" s="155"/>
      <c r="R554" s="155"/>
      <c r="S554" s="155"/>
      <c r="T554" s="155"/>
      <c r="U554" s="155"/>
      <c r="V554" s="155"/>
      <c r="W554" s="155"/>
      <c r="X554" s="155"/>
      <c r="Y554" s="155"/>
      <c r="Z554" s="155"/>
      <c r="AA554" s="155"/>
      <c r="AB554" s="155"/>
      <c r="AC554" s="155"/>
      <c r="AD554" s="155"/>
      <c r="AE554" s="155"/>
      <c r="AF554" s="155"/>
      <c r="AG554" s="155"/>
      <c r="AH554" s="155"/>
      <c r="AI554" s="155"/>
      <c r="AJ554" s="155"/>
      <c r="AK554" s="155"/>
    </row>
    <row r="555" spans="3:37" ht="12.75" customHeight="1">
      <c r="C555" s="155"/>
      <c r="D555" s="155"/>
      <c r="E555" s="155"/>
      <c r="F555" s="155"/>
      <c r="G555" s="155"/>
      <c r="H555" s="155"/>
      <c r="I555" s="155"/>
      <c r="J555" s="155"/>
      <c r="K555" s="155"/>
      <c r="L555" s="155"/>
      <c r="M555" s="155"/>
      <c r="N555" s="155"/>
      <c r="O555" s="155"/>
      <c r="P555" s="155"/>
      <c r="Q555" s="155"/>
      <c r="R555" s="155"/>
      <c r="S555" s="155"/>
      <c r="T555" s="155"/>
      <c r="U555" s="155"/>
      <c r="V555" s="155"/>
      <c r="W555" s="155"/>
      <c r="X555" s="155"/>
      <c r="Y555" s="155"/>
      <c r="Z555" s="155"/>
      <c r="AA555" s="155"/>
      <c r="AB555" s="155"/>
      <c r="AC555" s="155"/>
      <c r="AD555" s="155"/>
      <c r="AE555" s="155"/>
      <c r="AF555" s="155"/>
      <c r="AG555" s="155"/>
      <c r="AH555" s="155"/>
      <c r="AI555" s="155"/>
      <c r="AJ555" s="155"/>
      <c r="AK555" s="155"/>
    </row>
    <row r="556" spans="3:37" ht="12.75" customHeight="1">
      <c r="C556" s="155"/>
      <c r="D556" s="155"/>
      <c r="E556" s="155"/>
      <c r="F556" s="155"/>
      <c r="G556" s="155"/>
      <c r="H556" s="155"/>
      <c r="I556" s="155"/>
      <c r="J556" s="155"/>
      <c r="K556" s="155"/>
      <c r="L556" s="155"/>
      <c r="M556" s="155"/>
      <c r="N556" s="155"/>
      <c r="O556" s="155"/>
      <c r="P556" s="155"/>
      <c r="Q556" s="155"/>
      <c r="R556" s="155"/>
      <c r="S556" s="155"/>
      <c r="T556" s="155"/>
      <c r="U556" s="155"/>
      <c r="V556" s="155"/>
      <c r="W556" s="155"/>
      <c r="X556" s="155"/>
      <c r="Y556" s="155"/>
      <c r="Z556" s="155"/>
      <c r="AA556" s="155"/>
      <c r="AB556" s="155"/>
      <c r="AC556" s="155"/>
      <c r="AD556" s="155"/>
      <c r="AE556" s="155"/>
      <c r="AF556" s="155"/>
      <c r="AG556" s="155"/>
      <c r="AH556" s="155"/>
      <c r="AI556" s="155"/>
      <c r="AJ556" s="155"/>
      <c r="AK556" s="155"/>
    </row>
    <row r="557" spans="3:37" ht="12.75" customHeight="1">
      <c r="C557" s="155"/>
      <c r="D557" s="155"/>
      <c r="E557" s="155"/>
      <c r="F557" s="155"/>
      <c r="G557" s="155"/>
      <c r="H557" s="155"/>
      <c r="I557" s="155"/>
      <c r="J557" s="155"/>
      <c r="K557" s="155"/>
      <c r="L557" s="155"/>
      <c r="M557" s="155"/>
      <c r="N557" s="155"/>
      <c r="O557" s="155"/>
      <c r="P557" s="155"/>
      <c r="Q557" s="155"/>
      <c r="R557" s="155"/>
      <c r="S557" s="155"/>
      <c r="T557" s="155"/>
      <c r="U557" s="155"/>
      <c r="V557" s="155"/>
      <c r="W557" s="155"/>
      <c r="X557" s="155"/>
      <c r="Y557" s="155"/>
      <c r="Z557" s="155"/>
      <c r="AA557" s="155"/>
      <c r="AB557" s="155"/>
      <c r="AC557" s="155"/>
      <c r="AD557" s="155"/>
      <c r="AE557" s="155"/>
      <c r="AF557" s="155"/>
      <c r="AG557" s="155"/>
      <c r="AH557" s="155"/>
      <c r="AI557" s="155"/>
      <c r="AJ557" s="155"/>
      <c r="AK557" s="155"/>
    </row>
    <row r="558" spans="3:37" ht="12.75" customHeight="1">
      <c r="C558" s="206"/>
      <c r="D558" s="155"/>
      <c r="E558" s="155"/>
      <c r="F558" s="155"/>
      <c r="G558" s="155"/>
      <c r="H558" s="206"/>
      <c r="I558" s="155"/>
      <c r="J558" s="155"/>
      <c r="K558" s="155"/>
      <c r="L558" s="155"/>
      <c r="M558" s="206"/>
      <c r="N558" s="155"/>
      <c r="O558" s="155"/>
      <c r="P558" s="155"/>
      <c r="Q558" s="155"/>
      <c r="R558" s="206"/>
      <c r="S558" s="155"/>
      <c r="T558" s="155"/>
      <c r="U558" s="155"/>
      <c r="V558" s="155"/>
      <c r="W558" s="206"/>
      <c r="X558" s="155"/>
      <c r="Y558" s="155"/>
      <c r="Z558" s="155"/>
      <c r="AA558" s="155"/>
      <c r="AB558" s="206"/>
      <c r="AC558" s="155"/>
      <c r="AD558" s="155"/>
      <c r="AE558" s="155"/>
      <c r="AF558" s="155"/>
      <c r="AG558" s="206"/>
      <c r="AH558" s="155"/>
      <c r="AI558" s="155"/>
      <c r="AJ558" s="155"/>
      <c r="AK558" s="155"/>
    </row>
    <row r="559" spans="3:37" ht="12.75" customHeight="1">
      <c r="C559" s="216"/>
      <c r="D559" s="210"/>
      <c r="E559" s="210"/>
      <c r="F559" s="210"/>
      <c r="G559" s="210"/>
      <c r="H559" s="216"/>
      <c r="I559" s="210"/>
      <c r="J559" s="210"/>
      <c r="K559" s="210"/>
      <c r="L559" s="210"/>
      <c r="M559" s="216"/>
      <c r="N559" s="210"/>
      <c r="O559" s="210"/>
      <c r="P559" s="210"/>
      <c r="Q559" s="210"/>
      <c r="R559" s="216"/>
      <c r="S559" s="210"/>
      <c r="T559" s="210"/>
      <c r="U559" s="210"/>
      <c r="V559" s="210"/>
      <c r="W559" s="216"/>
      <c r="X559" s="210"/>
      <c r="Y559" s="210"/>
      <c r="Z559" s="210"/>
      <c r="AA559" s="210"/>
      <c r="AB559" s="216"/>
      <c r="AC559" s="210"/>
      <c r="AD559" s="210"/>
      <c r="AE559" s="210"/>
      <c r="AF559" s="210"/>
      <c r="AG559" s="216"/>
      <c r="AH559" s="210"/>
      <c r="AI559" s="210"/>
      <c r="AJ559" s="210"/>
      <c r="AK559" s="210"/>
    </row>
    <row r="560" spans="3:37" ht="12.75" customHeight="1">
      <c r="C560" s="217"/>
      <c r="D560" s="217"/>
      <c r="E560" s="217"/>
      <c r="F560" s="217"/>
      <c r="G560" s="217"/>
      <c r="H560" s="217"/>
      <c r="I560" s="217"/>
      <c r="J560" s="217"/>
      <c r="K560" s="217"/>
      <c r="L560" s="217"/>
      <c r="M560" s="217"/>
      <c r="N560" s="217"/>
      <c r="O560" s="217"/>
      <c r="P560" s="217"/>
      <c r="Q560" s="217"/>
      <c r="R560" s="217"/>
      <c r="S560" s="217"/>
      <c r="T560" s="217"/>
      <c r="U560" s="217"/>
      <c r="V560" s="217"/>
      <c r="W560" s="217"/>
      <c r="X560" s="217"/>
      <c r="Y560" s="217"/>
      <c r="Z560" s="217"/>
      <c r="AA560" s="217"/>
      <c r="AB560" s="217"/>
      <c r="AC560" s="217"/>
      <c r="AD560" s="217"/>
      <c r="AE560" s="217"/>
      <c r="AF560" s="217"/>
      <c r="AG560" s="217"/>
      <c r="AH560" s="217"/>
      <c r="AI560" s="217"/>
      <c r="AJ560" s="217"/>
      <c r="AK560" s="217"/>
    </row>
    <row r="561" spans="3:37" ht="12.75" customHeight="1">
      <c r="C561" s="217"/>
      <c r="D561" s="217"/>
      <c r="E561" s="217"/>
      <c r="F561" s="217"/>
      <c r="G561" s="217"/>
      <c r="H561" s="217"/>
      <c r="I561" s="217"/>
      <c r="J561" s="217"/>
      <c r="K561" s="217"/>
      <c r="L561" s="217"/>
      <c r="M561" s="217"/>
      <c r="N561" s="217"/>
      <c r="O561" s="217"/>
      <c r="P561" s="217"/>
      <c r="Q561" s="217"/>
      <c r="R561" s="217"/>
      <c r="S561" s="217"/>
      <c r="T561" s="217"/>
      <c r="U561" s="217"/>
      <c r="V561" s="217"/>
      <c r="W561" s="217"/>
      <c r="X561" s="217"/>
      <c r="Y561" s="217"/>
      <c r="Z561" s="217"/>
      <c r="AA561" s="217"/>
      <c r="AB561" s="217"/>
      <c r="AC561" s="217"/>
      <c r="AD561" s="217"/>
      <c r="AE561" s="217"/>
      <c r="AF561" s="217"/>
      <c r="AG561" s="217"/>
      <c r="AH561" s="217"/>
      <c r="AI561" s="217"/>
      <c r="AJ561" s="217"/>
      <c r="AK561" s="217"/>
    </row>
    <row r="562" spans="3:37" ht="12.75" customHeight="1">
      <c r="C562" s="218"/>
      <c r="D562" s="218"/>
      <c r="E562" s="218"/>
      <c r="F562" s="218"/>
      <c r="G562" s="218"/>
      <c r="H562" s="218"/>
      <c r="I562" s="218"/>
      <c r="J562" s="218"/>
      <c r="K562" s="218"/>
      <c r="L562" s="218"/>
      <c r="M562" s="218"/>
      <c r="N562" s="218"/>
      <c r="O562" s="218"/>
      <c r="P562" s="218"/>
      <c r="Q562" s="218"/>
      <c r="R562" s="218"/>
      <c r="S562" s="218"/>
      <c r="T562" s="218"/>
      <c r="U562" s="218"/>
      <c r="V562" s="218"/>
      <c r="W562" s="218"/>
      <c r="X562" s="218"/>
      <c r="Y562" s="218"/>
      <c r="Z562" s="218"/>
      <c r="AA562" s="218"/>
      <c r="AB562" s="218"/>
      <c r="AC562" s="218"/>
      <c r="AD562" s="218"/>
      <c r="AE562" s="218"/>
      <c r="AF562" s="218"/>
      <c r="AG562" s="218"/>
      <c r="AH562" s="218"/>
      <c r="AI562" s="218"/>
      <c r="AJ562" s="218"/>
      <c r="AK562" s="218"/>
    </row>
    <row r="563" spans="3:37" ht="12.75" customHeight="1">
      <c r="C563" s="218"/>
      <c r="D563" s="218"/>
      <c r="E563" s="218"/>
      <c r="F563" s="218"/>
      <c r="G563" s="218"/>
      <c r="H563" s="218"/>
      <c r="I563" s="218"/>
      <c r="J563" s="218"/>
      <c r="K563" s="218"/>
      <c r="L563" s="218"/>
      <c r="M563" s="218"/>
      <c r="N563" s="218"/>
      <c r="O563" s="218"/>
      <c r="P563" s="218"/>
      <c r="Q563" s="218"/>
      <c r="R563" s="218"/>
      <c r="S563" s="218"/>
      <c r="T563" s="218"/>
      <c r="U563" s="218"/>
      <c r="V563" s="218"/>
      <c r="W563" s="218"/>
      <c r="X563" s="218"/>
      <c r="Y563" s="218"/>
      <c r="Z563" s="218"/>
      <c r="AA563" s="218"/>
      <c r="AB563" s="218"/>
      <c r="AC563" s="218"/>
      <c r="AD563" s="218"/>
      <c r="AE563" s="218"/>
      <c r="AF563" s="218"/>
      <c r="AG563" s="218"/>
      <c r="AH563" s="218"/>
      <c r="AI563" s="218"/>
      <c r="AJ563" s="218"/>
      <c r="AK563" s="218"/>
    </row>
    <row r="564" spans="3:37" ht="12.75" customHeight="1">
      <c r="C564" s="217"/>
      <c r="D564" s="217"/>
      <c r="E564" s="217"/>
      <c r="F564" s="217"/>
      <c r="G564" s="217"/>
      <c r="H564" s="217"/>
      <c r="I564" s="217"/>
      <c r="J564" s="217"/>
      <c r="K564" s="217"/>
      <c r="L564" s="217"/>
      <c r="M564" s="217"/>
      <c r="N564" s="217"/>
      <c r="O564" s="217"/>
      <c r="P564" s="217"/>
      <c r="Q564" s="217"/>
      <c r="R564" s="217"/>
      <c r="S564" s="217"/>
      <c r="T564" s="217"/>
      <c r="U564" s="217"/>
      <c r="V564" s="217"/>
      <c r="W564" s="217"/>
      <c r="X564" s="217"/>
      <c r="Y564" s="217"/>
      <c r="Z564" s="217"/>
      <c r="AA564" s="217"/>
      <c r="AB564" s="217"/>
      <c r="AC564" s="217"/>
      <c r="AD564" s="217"/>
      <c r="AE564" s="217"/>
      <c r="AF564" s="217"/>
      <c r="AG564" s="217"/>
      <c r="AH564" s="217"/>
      <c r="AI564" s="217"/>
      <c r="AJ564" s="217"/>
      <c r="AK564" s="217"/>
    </row>
    <row r="565" spans="3:37" ht="12.75" customHeight="1">
      <c r="C565" s="218"/>
      <c r="D565" s="218"/>
      <c r="E565" s="218"/>
      <c r="F565" s="218"/>
      <c r="G565" s="218"/>
      <c r="H565" s="218"/>
      <c r="I565" s="218"/>
      <c r="J565" s="218"/>
      <c r="K565" s="218"/>
      <c r="L565" s="218"/>
      <c r="M565" s="218"/>
      <c r="N565" s="218"/>
      <c r="O565" s="218"/>
      <c r="P565" s="218"/>
      <c r="Q565" s="218"/>
      <c r="R565" s="218"/>
      <c r="S565" s="218"/>
      <c r="T565" s="218"/>
      <c r="U565" s="218"/>
      <c r="V565" s="218"/>
      <c r="W565" s="218"/>
      <c r="X565" s="218"/>
      <c r="Y565" s="218"/>
      <c r="Z565" s="218"/>
      <c r="AA565" s="218"/>
      <c r="AB565" s="218"/>
      <c r="AC565" s="218"/>
      <c r="AD565" s="218"/>
      <c r="AE565" s="218"/>
      <c r="AF565" s="218"/>
      <c r="AG565" s="218"/>
      <c r="AH565" s="218"/>
      <c r="AI565" s="218"/>
      <c r="AJ565" s="218"/>
      <c r="AK565" s="218"/>
    </row>
    <row r="566" spans="3:37" ht="12.75" customHeight="1">
      <c r="C566" s="218"/>
      <c r="D566" s="218"/>
      <c r="E566" s="218"/>
      <c r="F566" s="218"/>
      <c r="G566" s="218"/>
      <c r="H566" s="218"/>
      <c r="I566" s="218"/>
      <c r="J566" s="218"/>
      <c r="K566" s="218"/>
      <c r="L566" s="218"/>
      <c r="M566" s="218"/>
      <c r="N566" s="218"/>
      <c r="O566" s="218"/>
      <c r="P566" s="218"/>
      <c r="Q566" s="218"/>
      <c r="R566" s="218"/>
      <c r="S566" s="218"/>
      <c r="T566" s="218"/>
      <c r="U566" s="218"/>
      <c r="V566" s="218"/>
      <c r="W566" s="218"/>
      <c r="X566" s="218"/>
      <c r="Y566" s="218"/>
      <c r="Z566" s="218"/>
      <c r="AA566" s="218"/>
      <c r="AB566" s="218"/>
      <c r="AC566" s="218"/>
      <c r="AD566" s="218"/>
      <c r="AE566" s="218"/>
      <c r="AF566" s="218"/>
      <c r="AG566" s="218"/>
      <c r="AH566" s="218"/>
      <c r="AI566" s="218"/>
      <c r="AJ566" s="218"/>
      <c r="AK566" s="218"/>
    </row>
    <row r="567" spans="3:37" ht="12.75" customHeight="1">
      <c r="C567" s="217"/>
      <c r="D567" s="217"/>
      <c r="E567" s="217"/>
      <c r="F567" s="217"/>
      <c r="G567" s="217"/>
      <c r="H567" s="217"/>
      <c r="I567" s="217"/>
      <c r="J567" s="217"/>
      <c r="K567" s="217"/>
      <c r="L567" s="217"/>
      <c r="M567" s="217"/>
      <c r="N567" s="217"/>
      <c r="O567" s="217"/>
      <c r="P567" s="217"/>
      <c r="Q567" s="217"/>
      <c r="R567" s="217"/>
      <c r="S567" s="217"/>
      <c r="T567" s="217"/>
      <c r="U567" s="217"/>
      <c r="V567" s="217"/>
      <c r="W567" s="217"/>
      <c r="X567" s="217"/>
      <c r="Y567" s="217"/>
      <c r="Z567" s="217"/>
      <c r="AA567" s="217"/>
      <c r="AB567" s="217"/>
      <c r="AC567" s="217"/>
      <c r="AD567" s="217"/>
      <c r="AE567" s="217"/>
      <c r="AF567" s="217"/>
      <c r="AG567" s="217"/>
      <c r="AH567" s="217"/>
      <c r="AI567" s="217"/>
      <c r="AJ567" s="217"/>
      <c r="AK567" s="217"/>
    </row>
    <row r="568" spans="3:37" ht="12.75" customHeight="1">
      <c r="C568" s="206"/>
      <c r="D568" s="155"/>
      <c r="E568" s="155"/>
      <c r="F568" s="155"/>
      <c r="G568" s="155"/>
      <c r="H568" s="206"/>
      <c r="I568" s="155"/>
      <c r="J568" s="155"/>
      <c r="K568" s="155"/>
      <c r="L568" s="155"/>
      <c r="M568" s="206"/>
      <c r="N568" s="155"/>
      <c r="O568" s="155"/>
      <c r="P568" s="155"/>
      <c r="Q568" s="155"/>
      <c r="R568" s="206"/>
      <c r="S568" s="155"/>
      <c r="T568" s="155"/>
      <c r="U568" s="155"/>
      <c r="V568" s="155"/>
      <c r="W568" s="206"/>
      <c r="X568" s="155"/>
      <c r="Y568" s="155"/>
      <c r="Z568" s="155"/>
      <c r="AA568" s="155"/>
      <c r="AB568" s="206"/>
      <c r="AC568" s="155"/>
      <c r="AD568" s="155"/>
      <c r="AE568" s="155"/>
      <c r="AF568" s="155"/>
      <c r="AG568" s="206"/>
      <c r="AH568" s="155"/>
      <c r="AI568" s="155"/>
      <c r="AJ568" s="155"/>
      <c r="AK568" s="155"/>
    </row>
    <row r="569" spans="3:37" ht="12.75" customHeight="1">
      <c r="C569" s="184"/>
      <c r="D569" s="184"/>
      <c r="E569" s="184"/>
      <c r="F569" s="184"/>
      <c r="G569" s="184"/>
      <c r="H569" s="184"/>
      <c r="I569" s="184"/>
      <c r="J569" s="184"/>
      <c r="K569" s="184"/>
      <c r="L569" s="184"/>
      <c r="M569" s="184"/>
      <c r="N569" s="184"/>
      <c r="O569" s="184"/>
      <c r="P569" s="184"/>
      <c r="Q569" s="184"/>
      <c r="R569" s="184"/>
      <c r="S569" s="184"/>
      <c r="T569" s="184"/>
      <c r="U569" s="184"/>
      <c r="V569" s="184"/>
      <c r="W569" s="184"/>
      <c r="X569" s="184"/>
      <c r="Y569" s="184"/>
      <c r="Z569" s="184"/>
      <c r="AA569" s="184"/>
      <c r="AB569" s="184"/>
      <c r="AC569" s="184"/>
      <c r="AD569" s="184"/>
      <c r="AE569" s="184"/>
      <c r="AF569" s="184"/>
      <c r="AG569" s="184"/>
      <c r="AH569" s="184"/>
      <c r="AI569" s="184"/>
      <c r="AJ569" s="184"/>
      <c r="AK569" s="184"/>
    </row>
    <row r="570" spans="3:37" ht="12.75" customHeight="1">
      <c r="C570" s="155"/>
      <c r="D570" s="155"/>
      <c r="E570" s="155"/>
      <c r="F570" s="155"/>
      <c r="G570" s="155"/>
      <c r="H570" s="155"/>
      <c r="I570" s="155"/>
      <c r="J570" s="155"/>
      <c r="K570" s="155"/>
      <c r="L570" s="155"/>
      <c r="M570" s="155"/>
      <c r="N570" s="155"/>
      <c r="O570" s="155"/>
      <c r="P570" s="155"/>
      <c r="Q570" s="155"/>
      <c r="R570" s="155"/>
      <c r="S570" s="155"/>
      <c r="T570" s="155"/>
      <c r="U570" s="155"/>
      <c r="V570" s="155"/>
      <c r="W570" s="155"/>
      <c r="X570" s="155"/>
      <c r="Y570" s="155"/>
      <c r="Z570" s="155"/>
      <c r="AA570" s="155"/>
      <c r="AB570" s="155"/>
      <c r="AC570" s="155"/>
      <c r="AD570" s="155"/>
      <c r="AE570" s="155"/>
      <c r="AF570" s="155"/>
      <c r="AG570" s="155"/>
      <c r="AH570" s="155"/>
      <c r="AI570" s="155"/>
      <c r="AJ570" s="155"/>
      <c r="AK570" s="155"/>
    </row>
    <row r="571" spans="3:37" ht="12.75" customHeight="1">
      <c r="C571" s="155"/>
      <c r="D571" s="155"/>
      <c r="E571" s="155"/>
      <c r="F571" s="155"/>
      <c r="G571" s="155"/>
      <c r="H571" s="155"/>
      <c r="I571" s="155"/>
      <c r="J571" s="155"/>
      <c r="K571" s="155"/>
      <c r="L571" s="155"/>
      <c r="M571" s="155"/>
      <c r="N571" s="155"/>
      <c r="O571" s="155"/>
      <c r="P571" s="155"/>
      <c r="Q571" s="155"/>
      <c r="R571" s="155"/>
      <c r="S571" s="155"/>
      <c r="T571" s="155"/>
      <c r="U571" s="155"/>
      <c r="V571" s="155"/>
      <c r="W571" s="155"/>
      <c r="X571" s="155"/>
      <c r="Y571" s="155"/>
      <c r="Z571" s="155"/>
      <c r="AA571" s="155"/>
      <c r="AB571" s="155"/>
      <c r="AC571" s="155"/>
      <c r="AD571" s="155"/>
      <c r="AE571" s="155"/>
      <c r="AF571" s="155"/>
      <c r="AG571" s="155"/>
      <c r="AH571" s="155"/>
      <c r="AI571" s="155"/>
      <c r="AJ571" s="155"/>
      <c r="AK571" s="155"/>
    </row>
    <row r="572" spans="3:37" ht="12.75" customHeight="1">
      <c r="C572" s="155"/>
      <c r="D572" s="155"/>
      <c r="E572" s="155"/>
      <c r="F572" s="155"/>
      <c r="G572" s="155"/>
      <c r="H572" s="155"/>
      <c r="I572" s="155"/>
      <c r="J572" s="155"/>
      <c r="K572" s="155"/>
      <c r="L572" s="155"/>
      <c r="M572" s="155"/>
      <c r="N572" s="155"/>
      <c r="O572" s="155"/>
      <c r="P572" s="155"/>
      <c r="Q572" s="155"/>
      <c r="R572" s="155"/>
      <c r="S572" s="155"/>
      <c r="T572" s="155"/>
      <c r="U572" s="155"/>
      <c r="V572" s="155"/>
      <c r="W572" s="155"/>
      <c r="X572" s="155"/>
      <c r="Y572" s="155"/>
      <c r="Z572" s="155"/>
      <c r="AA572" s="155"/>
      <c r="AB572" s="155"/>
      <c r="AC572" s="155"/>
      <c r="AD572" s="155"/>
      <c r="AE572" s="155"/>
      <c r="AF572" s="155"/>
      <c r="AG572" s="155"/>
      <c r="AH572" s="155"/>
      <c r="AI572" s="155"/>
      <c r="AJ572" s="155"/>
      <c r="AK572" s="155"/>
    </row>
    <row r="573" spans="3:37" ht="12.75" customHeight="1">
      <c r="C573" s="155"/>
      <c r="D573" s="155"/>
      <c r="E573" s="155"/>
      <c r="F573" s="155"/>
      <c r="G573" s="155"/>
      <c r="H573" s="155"/>
      <c r="I573" s="155"/>
      <c r="J573" s="155"/>
      <c r="K573" s="155"/>
      <c r="L573" s="155"/>
      <c r="M573" s="155"/>
      <c r="N573" s="155"/>
      <c r="O573" s="155"/>
      <c r="P573" s="155"/>
      <c r="Q573" s="155"/>
      <c r="R573" s="155"/>
      <c r="S573" s="155"/>
      <c r="T573" s="155"/>
      <c r="U573" s="155"/>
      <c r="V573" s="155"/>
      <c r="W573" s="155"/>
      <c r="X573" s="155"/>
      <c r="Y573" s="155"/>
      <c r="Z573" s="155"/>
      <c r="AA573" s="155"/>
      <c r="AB573" s="155"/>
      <c r="AC573" s="155"/>
      <c r="AD573" s="155"/>
      <c r="AE573" s="155"/>
      <c r="AF573" s="155"/>
      <c r="AG573" s="155"/>
      <c r="AH573" s="155"/>
      <c r="AI573" s="155"/>
      <c r="AJ573" s="155"/>
      <c r="AK573" s="155"/>
    </row>
    <row r="574" spans="3:37" ht="12.75" customHeight="1">
      <c r="C574" s="206"/>
      <c r="D574" s="155"/>
      <c r="E574" s="155"/>
      <c r="F574" s="155"/>
      <c r="G574" s="155"/>
      <c r="H574" s="206"/>
      <c r="I574" s="155"/>
      <c r="J574" s="155"/>
      <c r="K574" s="155"/>
      <c r="L574" s="155"/>
      <c r="M574" s="206"/>
      <c r="N574" s="155"/>
      <c r="O574" s="155"/>
      <c r="P574" s="155"/>
      <c r="Q574" s="155"/>
      <c r="R574" s="206"/>
      <c r="S574" s="155"/>
      <c r="T574" s="155"/>
      <c r="U574" s="155"/>
      <c r="V574" s="155"/>
      <c r="W574" s="206"/>
      <c r="X574" s="155"/>
      <c r="Y574" s="155"/>
      <c r="Z574" s="155"/>
      <c r="AA574" s="155"/>
      <c r="AB574" s="206"/>
      <c r="AC574" s="155"/>
      <c r="AD574" s="155"/>
      <c r="AE574" s="155"/>
      <c r="AF574" s="155"/>
      <c r="AG574" s="206"/>
      <c r="AH574" s="155"/>
      <c r="AI574" s="155"/>
      <c r="AJ574" s="155"/>
      <c r="AK574" s="155"/>
    </row>
    <row r="575" spans="3:37" ht="12.75" customHeight="1">
      <c r="C575" s="206"/>
      <c r="D575" s="155"/>
      <c r="E575" s="155"/>
      <c r="F575" s="155"/>
      <c r="G575" s="155"/>
      <c r="H575" s="206"/>
      <c r="I575" s="155"/>
      <c r="J575" s="155"/>
      <c r="K575" s="155"/>
      <c r="L575" s="155"/>
      <c r="M575" s="206"/>
      <c r="N575" s="155"/>
      <c r="O575" s="155"/>
      <c r="P575" s="155"/>
      <c r="Q575" s="155"/>
      <c r="R575" s="206"/>
      <c r="S575" s="155"/>
      <c r="T575" s="155"/>
      <c r="U575" s="155"/>
      <c r="V575" s="155"/>
      <c r="W575" s="206"/>
      <c r="X575" s="155"/>
      <c r="Y575" s="155"/>
      <c r="Z575" s="155"/>
      <c r="AA575" s="155"/>
      <c r="AB575" s="206"/>
      <c r="AC575" s="155"/>
      <c r="AD575" s="155"/>
      <c r="AE575" s="155"/>
      <c r="AF575" s="155"/>
      <c r="AG575" s="206"/>
      <c r="AH575" s="155"/>
      <c r="AI575" s="155"/>
      <c r="AJ575" s="155"/>
      <c r="AK575" s="155"/>
    </row>
    <row r="576" spans="3:37" ht="12.75" customHeight="1">
      <c r="C576" s="206"/>
      <c r="D576" s="155"/>
      <c r="E576" s="155"/>
      <c r="F576" s="155"/>
      <c r="G576" s="155"/>
      <c r="H576" s="206"/>
      <c r="I576" s="155"/>
      <c r="J576" s="155"/>
      <c r="K576" s="155"/>
      <c r="L576" s="155"/>
      <c r="M576" s="206"/>
      <c r="N576" s="155"/>
      <c r="O576" s="155"/>
      <c r="P576" s="155"/>
      <c r="Q576" s="155"/>
      <c r="R576" s="206"/>
      <c r="S576" s="155"/>
      <c r="T576" s="155"/>
      <c r="U576" s="155"/>
      <c r="V576" s="155"/>
      <c r="W576" s="206"/>
      <c r="X576" s="155"/>
      <c r="Y576" s="155"/>
      <c r="Z576" s="155"/>
      <c r="AA576" s="155"/>
      <c r="AB576" s="206"/>
      <c r="AC576" s="155"/>
      <c r="AD576" s="155"/>
      <c r="AE576" s="155"/>
      <c r="AF576" s="155"/>
      <c r="AG576" s="206"/>
      <c r="AH576" s="155"/>
      <c r="AI576" s="155"/>
      <c r="AJ576" s="155"/>
      <c r="AK576" s="155"/>
    </row>
    <row r="577" spans="3:37" ht="12.75" customHeight="1">
      <c r="C577" s="206"/>
      <c r="D577" s="155"/>
      <c r="E577" s="155"/>
      <c r="F577" s="155"/>
      <c r="G577" s="155"/>
      <c r="H577" s="206"/>
      <c r="I577" s="155"/>
      <c r="J577" s="155"/>
      <c r="K577" s="155"/>
      <c r="L577" s="155"/>
      <c r="M577" s="206"/>
      <c r="N577" s="155"/>
      <c r="O577" s="155"/>
      <c r="P577" s="155"/>
      <c r="Q577" s="155"/>
      <c r="R577" s="206"/>
      <c r="S577" s="155"/>
      <c r="T577" s="155"/>
      <c r="U577" s="155"/>
      <c r="V577" s="155"/>
      <c r="W577" s="206"/>
      <c r="X577" s="155"/>
      <c r="Y577" s="155"/>
      <c r="Z577" s="155"/>
      <c r="AA577" s="155"/>
      <c r="AB577" s="206"/>
      <c r="AC577" s="155"/>
      <c r="AD577" s="155"/>
      <c r="AE577" s="155"/>
      <c r="AF577" s="155"/>
      <c r="AG577" s="206"/>
      <c r="AH577" s="155"/>
      <c r="AI577" s="155"/>
      <c r="AJ577" s="155"/>
      <c r="AK577" s="155"/>
    </row>
    <row r="578" spans="3:37" ht="12.75" customHeight="1">
      <c r="C578" s="206"/>
      <c r="D578" s="155"/>
      <c r="E578" s="155"/>
      <c r="F578" s="155"/>
      <c r="G578" s="155"/>
      <c r="H578" s="206"/>
      <c r="I578" s="155"/>
      <c r="J578" s="155"/>
      <c r="K578" s="155"/>
      <c r="L578" s="155"/>
      <c r="M578" s="206"/>
      <c r="N578" s="155"/>
      <c r="O578" s="155"/>
      <c r="P578" s="155"/>
      <c r="Q578" s="155"/>
      <c r="R578" s="206"/>
      <c r="S578" s="155"/>
      <c r="T578" s="155"/>
      <c r="U578" s="155"/>
      <c r="V578" s="155"/>
      <c r="W578" s="206"/>
      <c r="X578" s="155"/>
      <c r="Y578" s="155"/>
      <c r="Z578" s="155"/>
      <c r="AA578" s="155"/>
      <c r="AB578" s="206"/>
      <c r="AC578" s="155"/>
      <c r="AD578" s="155"/>
      <c r="AE578" s="155"/>
      <c r="AF578" s="155"/>
      <c r="AG578" s="206"/>
      <c r="AH578" s="155"/>
      <c r="AI578" s="155"/>
      <c r="AJ578" s="155"/>
      <c r="AK578" s="155"/>
    </row>
    <row r="579" spans="3:37" ht="12.75" customHeight="1">
      <c r="C579" s="206"/>
      <c r="D579" s="155"/>
      <c r="E579" s="155"/>
      <c r="F579" s="155"/>
      <c r="G579" s="155"/>
      <c r="H579" s="206"/>
      <c r="I579" s="155"/>
      <c r="J579" s="155"/>
      <c r="K579" s="155"/>
      <c r="L579" s="155"/>
      <c r="M579" s="206"/>
      <c r="N579" s="155"/>
      <c r="O579" s="155"/>
      <c r="P579" s="155"/>
      <c r="Q579" s="155"/>
      <c r="R579" s="206"/>
      <c r="S579" s="155"/>
      <c r="T579" s="155"/>
      <c r="U579" s="155"/>
      <c r="V579" s="155"/>
      <c r="W579" s="206"/>
      <c r="X579" s="155"/>
      <c r="Y579" s="155"/>
      <c r="Z579" s="155"/>
      <c r="AA579" s="155"/>
      <c r="AB579" s="206"/>
      <c r="AC579" s="155"/>
      <c r="AD579" s="155"/>
      <c r="AE579" s="155"/>
      <c r="AF579" s="155"/>
      <c r="AG579" s="206"/>
      <c r="AH579" s="155"/>
      <c r="AI579" s="155"/>
      <c r="AJ579" s="155"/>
      <c r="AK579" s="155"/>
    </row>
    <row r="580" spans="3:37" ht="12.75" customHeight="1">
      <c r="C580" s="219"/>
      <c r="D580" s="219"/>
      <c r="E580" s="219"/>
      <c r="F580" s="219"/>
      <c r="G580" s="219"/>
      <c r="H580" s="219"/>
      <c r="I580" s="219"/>
      <c r="J580" s="219"/>
      <c r="K580" s="219"/>
      <c r="L580" s="219"/>
      <c r="M580" s="219"/>
      <c r="N580" s="219"/>
      <c r="O580" s="219"/>
      <c r="P580" s="219"/>
      <c r="Q580" s="219"/>
      <c r="R580" s="219"/>
      <c r="S580" s="219"/>
      <c r="T580" s="219"/>
      <c r="U580" s="219"/>
      <c r="V580" s="219"/>
      <c r="W580" s="219"/>
      <c r="X580" s="219"/>
      <c r="Y580" s="219"/>
      <c r="Z580" s="219"/>
      <c r="AA580" s="219"/>
      <c r="AB580" s="219"/>
      <c r="AC580" s="219"/>
      <c r="AD580" s="219"/>
      <c r="AE580" s="219"/>
      <c r="AF580" s="219"/>
      <c r="AG580" s="219"/>
      <c r="AH580" s="219"/>
      <c r="AI580" s="219"/>
      <c r="AJ580" s="219"/>
      <c r="AK580" s="219"/>
    </row>
    <row r="581" spans="3:37" ht="12.75" customHeight="1">
      <c r="C581" s="206"/>
      <c r="D581" s="155"/>
      <c r="E581" s="155"/>
      <c r="F581" s="155"/>
      <c r="G581" s="155"/>
      <c r="H581" s="206"/>
      <c r="I581" s="155"/>
      <c r="J581" s="155"/>
      <c r="K581" s="155"/>
      <c r="L581" s="155"/>
      <c r="M581" s="206"/>
      <c r="N581" s="155"/>
      <c r="O581" s="155"/>
      <c r="P581" s="155"/>
      <c r="Q581" s="155"/>
      <c r="R581" s="206"/>
      <c r="S581" s="155"/>
      <c r="T581" s="155"/>
      <c r="U581" s="155"/>
      <c r="V581" s="155"/>
      <c r="W581" s="206"/>
      <c r="X581" s="155"/>
      <c r="Y581" s="155"/>
      <c r="Z581" s="155"/>
      <c r="AA581" s="155"/>
      <c r="AB581" s="206"/>
      <c r="AC581" s="155"/>
      <c r="AD581" s="155"/>
      <c r="AE581" s="155"/>
      <c r="AF581" s="155"/>
      <c r="AG581" s="206"/>
      <c r="AH581" s="155"/>
      <c r="AI581" s="155"/>
      <c r="AJ581" s="155"/>
      <c r="AK581" s="155"/>
    </row>
    <row r="582" spans="3:37" ht="12.75" customHeight="1">
      <c r="C582" s="206"/>
      <c r="D582" s="155"/>
      <c r="E582" s="155"/>
      <c r="F582" s="155"/>
      <c r="G582" s="155"/>
      <c r="H582" s="206"/>
      <c r="I582" s="155"/>
      <c r="J582" s="155"/>
      <c r="K582" s="155"/>
      <c r="L582" s="155"/>
      <c r="M582" s="206"/>
      <c r="N582" s="155"/>
      <c r="O582" s="155"/>
      <c r="P582" s="155"/>
      <c r="Q582" s="155"/>
      <c r="R582" s="206"/>
      <c r="S582" s="155"/>
      <c r="T582" s="155"/>
      <c r="U582" s="155"/>
      <c r="V582" s="155"/>
      <c r="W582" s="206"/>
      <c r="X582" s="155"/>
      <c r="Y582" s="155"/>
      <c r="Z582" s="155"/>
      <c r="AA582" s="155"/>
      <c r="AB582" s="206"/>
      <c r="AC582" s="155"/>
      <c r="AD582" s="155"/>
      <c r="AE582" s="155"/>
      <c r="AF582" s="155"/>
      <c r="AG582" s="206"/>
      <c r="AH582" s="155"/>
      <c r="AI582" s="155"/>
      <c r="AJ582" s="155"/>
      <c r="AK582" s="155"/>
    </row>
    <row r="584" spans="3:37" ht="12.75" customHeight="1">
      <c r="C584" s="206"/>
      <c r="D584" s="155"/>
      <c r="E584" s="155"/>
      <c r="F584" s="155"/>
      <c r="G584" s="155"/>
      <c r="H584" s="206"/>
      <c r="I584" s="155"/>
      <c r="J584" s="155"/>
      <c r="K584" s="155"/>
      <c r="L584" s="155"/>
      <c r="M584" s="206"/>
      <c r="N584" s="155"/>
      <c r="O584" s="155"/>
      <c r="P584" s="155"/>
      <c r="Q584" s="155"/>
      <c r="R584" s="206"/>
      <c r="S584" s="155"/>
      <c r="T584" s="155"/>
      <c r="U584" s="155"/>
      <c r="V584" s="155"/>
      <c r="W584" s="206"/>
      <c r="X584" s="155"/>
      <c r="Y584" s="155"/>
      <c r="Z584" s="155"/>
      <c r="AA584" s="155"/>
      <c r="AB584" s="206"/>
      <c r="AC584" s="155"/>
      <c r="AD584" s="155"/>
      <c r="AE584" s="155"/>
      <c r="AF584" s="155"/>
      <c r="AG584" s="206"/>
      <c r="AH584" s="155"/>
      <c r="AI584" s="155"/>
      <c r="AJ584" s="155"/>
      <c r="AK584" s="155"/>
    </row>
    <row r="585" spans="3:37" ht="12.75" customHeight="1">
      <c r="C585" s="206"/>
      <c r="D585" s="155"/>
      <c r="E585" s="155"/>
      <c r="F585" s="155"/>
      <c r="G585" s="155"/>
      <c r="H585" s="206"/>
      <c r="I585" s="155"/>
      <c r="J585" s="155"/>
      <c r="K585" s="155"/>
      <c r="L585" s="155"/>
      <c r="M585" s="206"/>
      <c r="N585" s="155"/>
      <c r="O585" s="155"/>
      <c r="P585" s="155"/>
      <c r="Q585" s="155"/>
      <c r="R585" s="206"/>
      <c r="S585" s="155"/>
      <c r="T585" s="155"/>
      <c r="U585" s="155"/>
      <c r="V585" s="155"/>
      <c r="W585" s="206"/>
      <c r="X585" s="155"/>
      <c r="Y585" s="155"/>
      <c r="Z585" s="155"/>
      <c r="AA585" s="155"/>
      <c r="AB585" s="206"/>
      <c r="AC585" s="155"/>
      <c r="AD585" s="155"/>
      <c r="AE585" s="155"/>
      <c r="AF585" s="155"/>
      <c r="AG585" s="206"/>
      <c r="AH585" s="155"/>
      <c r="AI585" s="155"/>
      <c r="AJ585" s="155"/>
      <c r="AK585" s="155"/>
    </row>
    <row r="586" spans="3:37" ht="12.75" customHeight="1">
      <c r="C586" s="206"/>
      <c r="D586" s="155"/>
      <c r="E586" s="155"/>
      <c r="F586" s="155"/>
      <c r="G586" s="155"/>
      <c r="H586" s="206"/>
      <c r="I586" s="155"/>
      <c r="J586" s="155"/>
      <c r="K586" s="155"/>
      <c r="L586" s="155"/>
      <c r="M586" s="206"/>
      <c r="N586" s="155"/>
      <c r="O586" s="155"/>
      <c r="P586" s="155"/>
      <c r="Q586" s="155"/>
      <c r="R586" s="206"/>
      <c r="S586" s="155"/>
      <c r="T586" s="155"/>
      <c r="U586" s="155"/>
      <c r="V586" s="155"/>
      <c r="W586" s="206"/>
      <c r="X586" s="155"/>
      <c r="Y586" s="155"/>
      <c r="Z586" s="155"/>
      <c r="AA586" s="155"/>
      <c r="AB586" s="206"/>
      <c r="AC586" s="155"/>
      <c r="AD586" s="155"/>
      <c r="AE586" s="155"/>
      <c r="AF586" s="155"/>
      <c r="AG586" s="206"/>
      <c r="AH586" s="155"/>
      <c r="AI586" s="155"/>
      <c r="AJ586" s="155"/>
      <c r="AK586" s="155"/>
    </row>
    <row r="587" spans="3:37" ht="12.75" customHeight="1">
      <c r="C587" s="206"/>
      <c r="D587" s="155"/>
      <c r="E587" s="155"/>
      <c r="F587" s="155"/>
      <c r="G587" s="155"/>
      <c r="H587" s="206"/>
      <c r="I587" s="155"/>
      <c r="J587" s="155"/>
      <c r="K587" s="155"/>
      <c r="L587" s="155"/>
      <c r="M587" s="206"/>
      <c r="N587" s="155"/>
      <c r="O587" s="155"/>
      <c r="P587" s="155"/>
      <c r="Q587" s="155"/>
      <c r="R587" s="206"/>
      <c r="S587" s="155"/>
      <c r="T587" s="155"/>
      <c r="U587" s="155"/>
      <c r="V587" s="155"/>
      <c r="W587" s="206"/>
      <c r="X587" s="155"/>
      <c r="Y587" s="155"/>
      <c r="Z587" s="155"/>
      <c r="AA587" s="155"/>
      <c r="AB587" s="206"/>
      <c r="AC587" s="155"/>
      <c r="AD587" s="155"/>
      <c r="AE587" s="155"/>
      <c r="AF587" s="155"/>
      <c r="AG587" s="206"/>
      <c r="AH587" s="155"/>
      <c r="AI587" s="155"/>
      <c r="AJ587" s="155"/>
      <c r="AK587" s="155"/>
    </row>
    <row r="588" spans="3:37" ht="12.75" customHeight="1">
      <c r="C588" s="206"/>
      <c r="D588" s="155"/>
      <c r="E588" s="155"/>
      <c r="F588" s="155"/>
      <c r="G588" s="155"/>
      <c r="H588" s="206"/>
      <c r="I588" s="155"/>
      <c r="J588" s="155"/>
      <c r="K588" s="155"/>
      <c r="L588" s="155"/>
      <c r="M588" s="206"/>
      <c r="N588" s="155"/>
      <c r="O588" s="155"/>
      <c r="P588" s="155"/>
      <c r="Q588" s="155"/>
      <c r="R588" s="206"/>
      <c r="S588" s="155"/>
      <c r="T588" s="155"/>
      <c r="U588" s="155"/>
      <c r="V588" s="155"/>
      <c r="W588" s="206"/>
      <c r="X588" s="155"/>
      <c r="Y588" s="155"/>
      <c r="Z588" s="155"/>
      <c r="AA588" s="155"/>
      <c r="AB588" s="206"/>
      <c r="AC588" s="155"/>
      <c r="AD588" s="155"/>
      <c r="AE588" s="155"/>
      <c r="AF588" s="155"/>
      <c r="AG588" s="206"/>
      <c r="AH588" s="155"/>
      <c r="AI588" s="155"/>
      <c r="AJ588" s="155"/>
      <c r="AK588" s="155"/>
    </row>
    <row r="589" spans="3:37" ht="12.75" customHeight="1">
      <c r="C589" s="206"/>
      <c r="D589" s="155"/>
      <c r="E589" s="155"/>
      <c r="F589" s="155"/>
      <c r="G589" s="155"/>
      <c r="H589" s="206"/>
      <c r="I589" s="155"/>
      <c r="J589" s="155"/>
      <c r="K589" s="155"/>
      <c r="L589" s="155"/>
      <c r="M589" s="206"/>
      <c r="N589" s="155"/>
      <c r="O589" s="155"/>
      <c r="P589" s="155"/>
      <c r="Q589" s="155"/>
      <c r="R589" s="206"/>
      <c r="S589" s="155"/>
      <c r="T589" s="155"/>
      <c r="U589" s="155"/>
      <c r="V589" s="155"/>
      <c r="W589" s="206"/>
      <c r="X589" s="155"/>
      <c r="Y589" s="155"/>
      <c r="Z589" s="155"/>
      <c r="AA589" s="155"/>
      <c r="AB589" s="206"/>
      <c r="AC589" s="155"/>
      <c r="AD589" s="155"/>
      <c r="AE589" s="155"/>
      <c r="AF589" s="155"/>
      <c r="AG589" s="206"/>
      <c r="AH589" s="155"/>
      <c r="AI589" s="155"/>
      <c r="AJ589" s="155"/>
      <c r="AK589" s="155"/>
    </row>
    <row r="590" spans="3:37" ht="12.75" customHeight="1">
      <c r="C590" s="206"/>
      <c r="D590" s="155"/>
      <c r="E590" s="155"/>
      <c r="F590" s="155"/>
      <c r="G590" s="155"/>
      <c r="H590" s="206"/>
      <c r="I590" s="155"/>
      <c r="J590" s="155"/>
      <c r="K590" s="155"/>
      <c r="L590" s="155"/>
      <c r="M590" s="206"/>
      <c r="N590" s="155"/>
      <c r="O590" s="155"/>
      <c r="P590" s="155"/>
      <c r="Q590" s="155"/>
      <c r="R590" s="206"/>
      <c r="S590" s="155"/>
      <c r="T590" s="155"/>
      <c r="U590" s="155"/>
      <c r="V590" s="155"/>
      <c r="W590" s="206"/>
      <c r="X590" s="155"/>
      <c r="Y590" s="155"/>
      <c r="Z590" s="155"/>
      <c r="AA590" s="155"/>
      <c r="AB590" s="206"/>
      <c r="AC590" s="155"/>
      <c r="AD590" s="155"/>
      <c r="AE590" s="155"/>
      <c r="AF590" s="155"/>
      <c r="AG590" s="206"/>
      <c r="AH590" s="155"/>
      <c r="AI590" s="155"/>
      <c r="AJ590" s="155"/>
      <c r="AK590" s="155"/>
    </row>
    <row r="591" spans="3:37" ht="12.75" customHeight="1">
      <c r="C591" s="206"/>
      <c r="D591" s="155"/>
      <c r="E591" s="155"/>
      <c r="F591" s="155"/>
      <c r="G591" s="155"/>
      <c r="H591" s="206"/>
      <c r="I591" s="155"/>
      <c r="J591" s="155"/>
      <c r="K591" s="155"/>
      <c r="L591" s="155"/>
      <c r="M591" s="206"/>
      <c r="N591" s="155"/>
      <c r="O591" s="155"/>
      <c r="P591" s="155"/>
      <c r="Q591" s="155"/>
      <c r="R591" s="206"/>
      <c r="S591" s="155"/>
      <c r="T591" s="155"/>
      <c r="U591" s="155"/>
      <c r="V591" s="155"/>
      <c r="W591" s="206"/>
      <c r="X591" s="155"/>
      <c r="Y591" s="155"/>
      <c r="Z591" s="155"/>
      <c r="AA591" s="155"/>
      <c r="AB591" s="206"/>
      <c r="AC591" s="155"/>
      <c r="AD591" s="155"/>
      <c r="AE591" s="155"/>
      <c r="AF591" s="155"/>
      <c r="AG591" s="206"/>
      <c r="AH591" s="155"/>
      <c r="AI591" s="155"/>
      <c r="AJ591" s="155"/>
      <c r="AK591" s="155"/>
    </row>
    <row r="592" spans="3:37" ht="12.75" customHeight="1">
      <c r="C592" s="206"/>
      <c r="D592" s="155"/>
      <c r="E592" s="155"/>
      <c r="F592" s="155"/>
      <c r="G592" s="155"/>
      <c r="H592" s="206"/>
      <c r="I592" s="155"/>
      <c r="J592" s="155"/>
      <c r="K592" s="155"/>
      <c r="L592" s="155"/>
      <c r="M592" s="206"/>
      <c r="N592" s="155"/>
      <c r="O592" s="155"/>
      <c r="P592" s="155"/>
      <c r="Q592" s="155"/>
      <c r="R592" s="206"/>
      <c r="S592" s="155"/>
      <c r="T592" s="155"/>
      <c r="U592" s="155"/>
      <c r="V592" s="155"/>
      <c r="W592" s="206"/>
      <c r="X592" s="155"/>
      <c r="Y592" s="155"/>
      <c r="Z592" s="155"/>
      <c r="AA592" s="155"/>
      <c r="AB592" s="206"/>
      <c r="AC592" s="155"/>
      <c r="AD592" s="155"/>
      <c r="AE592" s="155"/>
      <c r="AF592" s="155"/>
      <c r="AG592" s="206"/>
      <c r="AH592" s="155"/>
      <c r="AI592" s="155"/>
      <c r="AJ592" s="155"/>
      <c r="AK592" s="155"/>
    </row>
    <row r="593" spans="3:37" ht="12.75" customHeight="1">
      <c r="C593" s="206"/>
      <c r="D593" s="155"/>
      <c r="E593" s="155"/>
      <c r="F593" s="155"/>
      <c r="G593" s="155"/>
      <c r="H593" s="206"/>
      <c r="I593" s="155"/>
      <c r="J593" s="155"/>
      <c r="K593" s="155"/>
      <c r="L593" s="155"/>
      <c r="M593" s="206"/>
      <c r="N593" s="155"/>
      <c r="O593" s="155"/>
      <c r="P593" s="155"/>
      <c r="Q593" s="155"/>
      <c r="R593" s="206"/>
      <c r="S593" s="155"/>
      <c r="T593" s="155"/>
      <c r="U593" s="155"/>
      <c r="V593" s="155"/>
      <c r="W593" s="206"/>
      <c r="X593" s="155"/>
      <c r="Y593" s="155"/>
      <c r="Z593" s="155"/>
      <c r="AA593" s="155"/>
      <c r="AB593" s="206"/>
      <c r="AC593" s="155"/>
      <c r="AD593" s="155"/>
      <c r="AE593" s="155"/>
      <c r="AF593" s="155"/>
      <c r="AG593" s="206"/>
      <c r="AH593" s="155"/>
      <c r="AI593" s="155"/>
      <c r="AJ593" s="155"/>
      <c r="AK593" s="155"/>
    </row>
    <row r="594" spans="3:37" ht="12.75" customHeight="1">
      <c r="C594" s="206"/>
      <c r="D594" s="155"/>
      <c r="E594" s="155"/>
      <c r="F594" s="155"/>
      <c r="G594" s="155"/>
      <c r="H594" s="206"/>
      <c r="I594" s="155"/>
      <c r="J594" s="155"/>
      <c r="K594" s="155"/>
      <c r="L594" s="155"/>
      <c r="M594" s="206"/>
      <c r="N594" s="155"/>
      <c r="O594" s="155"/>
      <c r="P594" s="155"/>
      <c r="Q594" s="155"/>
      <c r="R594" s="206"/>
      <c r="S594" s="155"/>
      <c r="T594" s="155"/>
      <c r="U594" s="155"/>
      <c r="V594" s="155"/>
      <c r="W594" s="206"/>
      <c r="X594" s="155"/>
      <c r="Y594" s="155"/>
      <c r="Z594" s="155"/>
      <c r="AA594" s="155"/>
      <c r="AB594" s="206"/>
      <c r="AC594" s="155"/>
      <c r="AD594" s="155"/>
      <c r="AE594" s="155"/>
      <c r="AF594" s="155"/>
      <c r="AG594" s="206"/>
      <c r="AH594" s="155"/>
      <c r="AI594" s="155"/>
      <c r="AJ594" s="155"/>
      <c r="AK594" s="155"/>
    </row>
    <row r="595" spans="3:37" ht="12.75" customHeight="1">
      <c r="C595" s="206"/>
      <c r="D595" s="155"/>
      <c r="E595" s="155"/>
      <c r="F595" s="155"/>
      <c r="G595" s="155"/>
      <c r="H595" s="206"/>
      <c r="I595" s="155"/>
      <c r="J595" s="155"/>
      <c r="K595" s="155"/>
      <c r="L595" s="155"/>
      <c r="M595" s="206"/>
      <c r="N595" s="155"/>
      <c r="O595" s="155"/>
      <c r="P595" s="155"/>
      <c r="Q595" s="155"/>
      <c r="R595" s="206"/>
      <c r="S595" s="155"/>
      <c r="T595" s="155"/>
      <c r="U595" s="155"/>
      <c r="V595" s="155"/>
      <c r="W595" s="206"/>
      <c r="X595" s="155"/>
      <c r="Y595" s="155"/>
      <c r="Z595" s="155"/>
      <c r="AA595" s="155"/>
      <c r="AB595" s="206"/>
      <c r="AC595" s="155"/>
      <c r="AD595" s="155"/>
      <c r="AE595" s="155"/>
      <c r="AF595" s="155"/>
      <c r="AG595" s="206"/>
      <c r="AH595" s="155"/>
      <c r="AI595" s="155"/>
      <c r="AJ595" s="155"/>
      <c r="AK595" s="155"/>
    </row>
    <row r="596" spans="3:37" ht="12.75" customHeight="1">
      <c r="C596" s="206"/>
      <c r="D596" s="155"/>
      <c r="E596" s="155"/>
      <c r="F596" s="155"/>
      <c r="G596" s="155"/>
      <c r="H596" s="206"/>
      <c r="I596" s="155"/>
      <c r="J596" s="155"/>
      <c r="K596" s="155"/>
      <c r="L596" s="155"/>
      <c r="M596" s="206"/>
      <c r="N596" s="155"/>
      <c r="O596" s="155"/>
      <c r="P596" s="155"/>
      <c r="Q596" s="155"/>
      <c r="R596" s="206"/>
      <c r="S596" s="155"/>
      <c r="T596" s="155"/>
      <c r="U596" s="155"/>
      <c r="V596" s="155"/>
      <c r="W596" s="206"/>
      <c r="X596" s="155"/>
      <c r="Y596" s="155"/>
      <c r="Z596" s="155"/>
      <c r="AA596" s="155"/>
      <c r="AB596" s="206"/>
      <c r="AC596" s="155"/>
      <c r="AD596" s="155"/>
      <c r="AE596" s="155"/>
      <c r="AF596" s="155"/>
      <c r="AG596" s="206"/>
      <c r="AH596" s="155"/>
      <c r="AI596" s="155"/>
      <c r="AJ596" s="155"/>
      <c r="AK596" s="155"/>
    </row>
    <row r="597" spans="3:37" ht="12.75" customHeight="1">
      <c r="C597" s="206"/>
      <c r="D597" s="155"/>
      <c r="E597" s="155"/>
      <c r="F597" s="155"/>
      <c r="G597" s="155"/>
      <c r="H597" s="206"/>
      <c r="I597" s="155"/>
      <c r="J597" s="155"/>
      <c r="K597" s="155"/>
      <c r="L597" s="155"/>
      <c r="M597" s="206"/>
      <c r="N597" s="155"/>
      <c r="O597" s="155"/>
      <c r="P597" s="155"/>
      <c r="Q597" s="155"/>
      <c r="R597" s="206"/>
      <c r="S597" s="155"/>
      <c r="T597" s="155"/>
      <c r="U597" s="155"/>
      <c r="V597" s="155"/>
      <c r="W597" s="206"/>
      <c r="X597" s="155"/>
      <c r="Y597" s="155"/>
      <c r="Z597" s="155"/>
      <c r="AA597" s="155"/>
      <c r="AB597" s="206"/>
      <c r="AC597" s="155"/>
      <c r="AD597" s="155"/>
      <c r="AE597" s="155"/>
      <c r="AF597" s="155"/>
      <c r="AG597" s="206"/>
      <c r="AH597" s="155"/>
      <c r="AI597" s="155"/>
      <c r="AJ597" s="155"/>
      <c r="AK597" s="155"/>
    </row>
    <row r="598" spans="3:37" ht="12.75" customHeight="1">
      <c r="C598" s="220"/>
      <c r="D598" s="220"/>
      <c r="E598" s="220"/>
      <c r="F598" s="220"/>
      <c r="G598" s="220"/>
      <c r="H598" s="220"/>
      <c r="I598" s="220"/>
      <c r="J598" s="220"/>
      <c r="K598" s="220"/>
      <c r="L598" s="220"/>
      <c r="M598" s="220"/>
      <c r="N598" s="220"/>
      <c r="O598" s="220"/>
      <c r="P598" s="220"/>
      <c r="Q598" s="220"/>
      <c r="R598" s="220"/>
      <c r="S598" s="220"/>
      <c r="T598" s="220"/>
      <c r="U598" s="220"/>
      <c r="V598" s="220"/>
      <c r="W598" s="220"/>
      <c r="X598" s="220"/>
      <c r="Y598" s="220"/>
      <c r="Z598" s="220"/>
      <c r="AA598" s="220"/>
      <c r="AB598" s="220"/>
      <c r="AC598" s="220"/>
      <c r="AD598" s="220"/>
      <c r="AE598" s="220"/>
      <c r="AF598" s="220"/>
      <c r="AG598" s="220"/>
      <c r="AH598" s="220"/>
      <c r="AI598" s="220"/>
      <c r="AJ598" s="220"/>
      <c r="AK598" s="220"/>
    </row>
    <row r="599" spans="3:37" ht="12.75" customHeight="1">
      <c r="C599" s="101"/>
      <c r="D599" s="101"/>
      <c r="E599" s="101"/>
      <c r="F599" s="101"/>
      <c r="G599" s="101"/>
      <c r="H599" s="101"/>
      <c r="I599" s="101"/>
      <c r="J599" s="101"/>
      <c r="K599" s="101"/>
      <c r="L599" s="101"/>
      <c r="M599" s="101"/>
      <c r="N599" s="101"/>
      <c r="O599" s="101"/>
      <c r="P599" s="101"/>
      <c r="Q599" s="101"/>
      <c r="R599" s="101"/>
      <c r="S599" s="101"/>
      <c r="T599" s="101"/>
      <c r="U599" s="101"/>
      <c r="V599" s="101"/>
      <c r="W599" s="101"/>
      <c r="X599" s="101"/>
      <c r="Y599" s="101"/>
      <c r="Z599" s="101"/>
      <c r="AA599" s="101"/>
      <c r="AB599" s="101"/>
      <c r="AC599" s="101"/>
      <c r="AD599" s="101"/>
      <c r="AE599" s="101"/>
      <c r="AF599" s="101"/>
      <c r="AG599" s="101"/>
      <c r="AH599" s="101"/>
      <c r="AI599" s="101"/>
      <c r="AJ599" s="101"/>
      <c r="AK599" s="101"/>
    </row>
    <row r="600" spans="3:37" ht="12.75" customHeight="1">
      <c r="C600" s="206"/>
      <c r="D600" s="155"/>
      <c r="E600" s="155"/>
      <c r="F600" s="155"/>
      <c r="G600" s="155"/>
      <c r="H600" s="206"/>
      <c r="I600" s="155"/>
      <c r="J600" s="155"/>
      <c r="K600" s="155"/>
      <c r="L600" s="155"/>
      <c r="M600" s="206"/>
      <c r="N600" s="155"/>
      <c r="O600" s="155"/>
      <c r="P600" s="155"/>
      <c r="Q600" s="155"/>
      <c r="R600" s="206"/>
      <c r="S600" s="155"/>
      <c r="T600" s="155"/>
      <c r="U600" s="155"/>
      <c r="V600" s="155"/>
      <c r="W600" s="206"/>
      <c r="X600" s="155"/>
      <c r="Y600" s="155"/>
      <c r="Z600" s="155"/>
      <c r="AA600" s="155"/>
      <c r="AB600" s="206"/>
      <c r="AC600" s="155"/>
      <c r="AD600" s="155"/>
      <c r="AE600" s="155"/>
      <c r="AF600" s="155"/>
      <c r="AG600" s="206"/>
      <c r="AH600" s="155"/>
      <c r="AI600" s="155"/>
      <c r="AJ600" s="155"/>
      <c r="AK600" s="155"/>
    </row>
    <row r="601" spans="3:37" ht="12.75" customHeight="1">
      <c r="C601" s="220"/>
      <c r="D601" s="220"/>
      <c r="E601" s="220"/>
      <c r="F601" s="220"/>
      <c r="G601" s="220"/>
      <c r="H601" s="220"/>
      <c r="I601" s="220"/>
      <c r="J601" s="220"/>
      <c r="K601" s="220"/>
      <c r="L601" s="220"/>
      <c r="M601" s="220"/>
      <c r="N601" s="220"/>
      <c r="O601" s="220"/>
      <c r="P601" s="220"/>
      <c r="Q601" s="220"/>
      <c r="R601" s="220"/>
      <c r="S601" s="220"/>
      <c r="T601" s="220"/>
      <c r="U601" s="220"/>
      <c r="V601" s="220"/>
      <c r="W601" s="220"/>
      <c r="X601" s="220"/>
      <c r="Y601" s="220"/>
      <c r="Z601" s="220"/>
      <c r="AA601" s="220"/>
      <c r="AB601" s="220"/>
      <c r="AC601" s="220"/>
      <c r="AD601" s="220"/>
      <c r="AE601" s="220"/>
      <c r="AF601" s="220"/>
      <c r="AG601" s="220"/>
      <c r="AH601" s="220"/>
      <c r="AI601" s="220"/>
      <c r="AJ601" s="220"/>
      <c r="AK601" s="220"/>
    </row>
    <row r="602" spans="3:37" ht="12.75" customHeight="1">
      <c r="C602" s="101"/>
      <c r="D602" s="101"/>
      <c r="E602" s="101"/>
      <c r="F602" s="101"/>
      <c r="G602" s="101"/>
      <c r="H602" s="101"/>
      <c r="I602" s="101"/>
      <c r="J602" s="101"/>
      <c r="K602" s="101"/>
      <c r="L602" s="101"/>
      <c r="M602" s="101"/>
      <c r="N602" s="101"/>
      <c r="O602" s="101"/>
      <c r="P602" s="101"/>
      <c r="Q602" s="101"/>
      <c r="R602" s="101"/>
      <c r="S602" s="101"/>
      <c r="T602" s="101"/>
      <c r="U602" s="101"/>
      <c r="V602" s="101"/>
      <c r="W602" s="101"/>
      <c r="X602" s="101"/>
      <c r="Y602" s="101"/>
      <c r="Z602" s="101"/>
      <c r="AA602" s="101"/>
      <c r="AB602" s="101"/>
      <c r="AC602" s="101"/>
      <c r="AD602" s="101"/>
      <c r="AE602" s="101"/>
      <c r="AF602" s="101"/>
      <c r="AG602" s="101"/>
      <c r="AH602" s="101"/>
      <c r="AI602" s="101"/>
      <c r="AJ602" s="101"/>
      <c r="AK602" s="101"/>
    </row>
    <row r="603" spans="3:37" ht="12.75" customHeight="1">
      <c r="C603" s="101"/>
      <c r="D603" s="101"/>
      <c r="E603" s="101"/>
      <c r="F603" s="101"/>
      <c r="G603" s="101"/>
      <c r="H603" s="101"/>
      <c r="I603" s="101"/>
      <c r="J603" s="101"/>
      <c r="K603" s="101"/>
      <c r="L603" s="101"/>
      <c r="M603" s="101"/>
      <c r="N603" s="101"/>
      <c r="O603" s="101"/>
      <c r="P603" s="101"/>
      <c r="Q603" s="101"/>
      <c r="R603" s="101"/>
      <c r="S603" s="101"/>
      <c r="T603" s="101"/>
      <c r="U603" s="101"/>
      <c r="V603" s="101"/>
      <c r="W603" s="101"/>
      <c r="X603" s="101"/>
      <c r="Y603" s="101"/>
      <c r="Z603" s="101"/>
      <c r="AA603" s="101"/>
      <c r="AB603" s="101"/>
      <c r="AC603" s="101"/>
      <c r="AD603" s="101"/>
      <c r="AE603" s="101"/>
      <c r="AF603" s="101"/>
      <c r="AG603" s="101"/>
      <c r="AH603" s="101"/>
      <c r="AI603" s="101"/>
      <c r="AJ603" s="101"/>
      <c r="AK603" s="101"/>
    </row>
    <row r="604" spans="3:37" ht="12.75" customHeight="1">
      <c r="C604" s="164"/>
      <c r="D604" s="164"/>
      <c r="E604" s="164"/>
      <c r="F604" s="164"/>
      <c r="G604" s="164"/>
      <c r="H604" s="164"/>
      <c r="I604" s="164"/>
      <c r="J604" s="164"/>
      <c r="K604" s="164"/>
      <c r="L604" s="164"/>
      <c r="M604" s="164"/>
      <c r="N604" s="164"/>
      <c r="O604" s="164"/>
      <c r="P604" s="164"/>
      <c r="Q604" s="164"/>
      <c r="R604" s="164"/>
      <c r="S604" s="164"/>
      <c r="T604" s="164"/>
      <c r="U604" s="164"/>
      <c r="V604" s="164"/>
      <c r="W604" s="164"/>
      <c r="X604" s="164"/>
      <c r="Y604" s="164"/>
      <c r="Z604" s="164"/>
      <c r="AA604" s="164"/>
      <c r="AB604" s="164"/>
      <c r="AC604" s="164"/>
      <c r="AD604" s="164"/>
      <c r="AE604" s="164"/>
      <c r="AF604" s="164"/>
      <c r="AG604" s="164"/>
      <c r="AH604" s="164"/>
      <c r="AI604" s="164"/>
      <c r="AJ604" s="164"/>
      <c r="AK604" s="164"/>
    </row>
    <row r="605" spans="3:37" ht="12.75" customHeight="1">
      <c r="C605" s="101"/>
      <c r="D605" s="101"/>
      <c r="E605" s="101"/>
      <c r="F605" s="101"/>
      <c r="G605" s="101"/>
      <c r="H605" s="101"/>
      <c r="I605" s="101"/>
      <c r="J605" s="101"/>
      <c r="K605" s="101"/>
      <c r="L605" s="101"/>
      <c r="M605" s="101"/>
      <c r="N605" s="101"/>
      <c r="O605" s="101"/>
      <c r="P605" s="101"/>
      <c r="Q605" s="101"/>
      <c r="R605" s="101"/>
      <c r="S605" s="101"/>
      <c r="T605" s="101"/>
      <c r="U605" s="101"/>
      <c r="V605" s="101"/>
      <c r="W605" s="101"/>
      <c r="X605" s="101"/>
      <c r="Y605" s="101"/>
      <c r="Z605" s="101"/>
      <c r="AA605" s="101"/>
      <c r="AB605" s="101"/>
      <c r="AC605" s="101"/>
      <c r="AD605" s="101"/>
      <c r="AE605" s="101"/>
      <c r="AF605" s="101"/>
      <c r="AG605" s="101"/>
      <c r="AH605" s="101"/>
      <c r="AI605" s="101"/>
      <c r="AJ605" s="101"/>
      <c r="AK605" s="101"/>
    </row>
    <row r="606" spans="3:37" ht="12.75" customHeight="1">
      <c r="C606" s="101"/>
      <c r="D606" s="101"/>
      <c r="E606" s="101"/>
      <c r="F606" s="101"/>
      <c r="G606" s="101"/>
      <c r="H606" s="101"/>
      <c r="I606" s="101"/>
      <c r="J606" s="101"/>
      <c r="K606" s="101"/>
      <c r="L606" s="101"/>
      <c r="M606" s="101"/>
      <c r="N606" s="101"/>
      <c r="O606" s="101"/>
      <c r="P606" s="101"/>
      <c r="Q606" s="101"/>
      <c r="R606" s="101"/>
      <c r="S606" s="101"/>
      <c r="T606" s="101"/>
      <c r="U606" s="101"/>
      <c r="V606" s="101"/>
      <c r="W606" s="101"/>
      <c r="X606" s="101"/>
      <c r="Y606" s="101"/>
      <c r="Z606" s="101"/>
      <c r="AA606" s="101"/>
      <c r="AB606" s="101"/>
      <c r="AC606" s="101"/>
      <c r="AD606" s="101"/>
      <c r="AE606" s="101"/>
      <c r="AF606" s="101"/>
      <c r="AG606" s="101"/>
      <c r="AH606" s="101"/>
      <c r="AI606" s="101"/>
      <c r="AJ606" s="101"/>
      <c r="AK606" s="101"/>
    </row>
    <row r="607" spans="3:37" ht="12.75" customHeight="1">
      <c r="C607" s="206"/>
      <c r="D607" s="155"/>
      <c r="E607" s="155"/>
      <c r="F607" s="155"/>
      <c r="G607" s="155"/>
      <c r="H607" s="206"/>
      <c r="I607" s="155"/>
      <c r="J607" s="155"/>
      <c r="K607" s="155"/>
      <c r="L607" s="155"/>
      <c r="M607" s="206"/>
      <c r="N607" s="155"/>
      <c r="O607" s="155"/>
      <c r="P607" s="155"/>
      <c r="Q607" s="155"/>
      <c r="R607" s="206"/>
      <c r="S607" s="155"/>
      <c r="T607" s="155"/>
      <c r="U607" s="155"/>
      <c r="V607" s="155"/>
      <c r="W607" s="206"/>
      <c r="X607" s="155"/>
      <c r="Y607" s="155"/>
      <c r="Z607" s="155"/>
      <c r="AA607" s="155"/>
      <c r="AB607" s="206"/>
      <c r="AC607" s="155"/>
      <c r="AD607" s="155"/>
      <c r="AE607" s="155"/>
      <c r="AF607" s="155"/>
      <c r="AG607" s="206"/>
      <c r="AH607" s="155"/>
      <c r="AI607" s="155"/>
      <c r="AJ607" s="155"/>
      <c r="AK607" s="155"/>
    </row>
  </sheetData>
  <pageMargins left="0.7" right="0.7" top="0.75" bottom="0.75" header="0.3" footer="0.3"/>
  <customProperties>
    <customPr name="Qube.Worksheet.Visibility" r:id="rId1"/>
  </customPropertie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9A333-97C1-4F78-9394-90BC2FCB7836}">
  <sheetPr codeName="Sheet25">
    <tabColor rgb="FF00B050"/>
  </sheetPr>
  <dimension ref="A1:FK19"/>
  <sheetViews>
    <sheetView showGridLines="0" workbookViewId="0">
      <pane xSplit="2" ySplit="5" topLeftCell="C6" activePane="bottomRight" state="frozen"/>
      <selection activeCell="Q11" sqref="Q11"/>
      <selection pane="topRight" activeCell="Q11" sqref="Q11"/>
      <selection pane="bottomLeft" activeCell="Q11" sqref="Q11"/>
      <selection pane="bottomRight" activeCell="Q11" sqref="Q11"/>
    </sheetView>
  </sheetViews>
  <sheetFormatPr defaultColWidth="9.140625" defaultRowHeight="12.75" customHeight="1" outlineLevelCol="1"/>
  <cols>
    <col min="1" max="1" width="2.7109375" style="7" customWidth="1"/>
    <col min="2" max="2" width="39.140625" style="7" customWidth="1"/>
    <col min="3" max="6" width="9.140625" style="7" customWidth="1" outlineLevel="1"/>
    <col min="7" max="7" width="9.140625" style="7"/>
    <col min="8" max="11" width="9.140625" style="7" customWidth="1" outlineLevel="1"/>
    <col min="12" max="12" width="9.140625" style="7"/>
    <col min="13" max="16" width="9.140625" style="7" customWidth="1" outlineLevel="1"/>
    <col min="17" max="17" width="9.140625" style="7"/>
    <col min="18" max="21" width="9.140625" style="7" customWidth="1" outlineLevel="1"/>
    <col min="22" max="22" width="9.140625" style="7"/>
    <col min="23" max="26" width="9.140625" style="7" customWidth="1" outlineLevel="1"/>
    <col min="27" max="27" width="9.140625" style="7"/>
    <col min="28" max="31" width="9.140625" style="7" customWidth="1" outlineLevel="1"/>
    <col min="32" max="32" width="9.140625" style="7"/>
    <col min="33" max="36" width="9.140625" style="7" customWidth="1" outlineLevel="1"/>
    <col min="37" max="37" width="9.140625" style="7"/>
    <col min="38" max="41" width="9.140625" style="7" customWidth="1" outlineLevel="1"/>
    <col min="42" max="42" width="9.140625" style="7"/>
    <col min="43" max="46" width="9.140625" style="7" customWidth="1" outlineLevel="1"/>
    <col min="47" max="47" width="9.140625" style="7"/>
    <col min="48" max="51" width="9.140625" style="7" customWidth="1" outlineLevel="1"/>
    <col min="52" max="52" width="9.140625" style="7"/>
    <col min="53" max="56" width="9.140625" style="7" customWidth="1" outlineLevel="1"/>
    <col min="57" max="57" width="9.140625" style="7"/>
    <col min="58" max="61" width="9.140625" style="7" customWidth="1" outlineLevel="1"/>
    <col min="62" max="62" width="9.140625" style="7"/>
    <col min="63" max="66" width="9.140625" style="7" customWidth="1" outlineLevel="1"/>
    <col min="67" max="67" width="9.140625" style="7"/>
    <col min="68" max="71" width="9.140625" style="7" customWidth="1" outlineLevel="1"/>
    <col min="72" max="72" width="9.140625" style="7"/>
    <col min="73" max="76" width="9.140625" style="7" customWidth="1" outlineLevel="1"/>
    <col min="77" max="77" width="9.140625" style="7"/>
    <col min="78" max="81" width="9.140625" style="7" customWidth="1" outlineLevel="1"/>
    <col min="82" max="82" width="9.140625" style="7"/>
    <col min="83" max="86" width="9.140625" style="7" customWidth="1" outlineLevel="1"/>
    <col min="87" max="87" width="9.140625" style="7"/>
    <col min="88" max="91" width="9.140625" style="7" customWidth="1" outlineLevel="1"/>
    <col min="92" max="92" width="9.140625" style="7"/>
    <col min="93" max="96" width="9.140625" style="7" customWidth="1" outlineLevel="1"/>
    <col min="97" max="97" width="9.140625" style="7"/>
    <col min="98" max="101" width="9.140625" style="7" customWidth="1" outlineLevel="1"/>
    <col min="102" max="102" width="9.140625" style="7"/>
    <col min="103" max="106" width="9.140625" style="7" customWidth="1" outlineLevel="1"/>
    <col min="107" max="107" width="9.140625" style="7"/>
    <col min="108" max="111" width="9.140625" style="7" customWidth="1" outlineLevel="1"/>
    <col min="112" max="112" width="9.140625" style="7"/>
    <col min="113" max="116" width="9.140625" style="7" customWidth="1" outlineLevel="1"/>
    <col min="117" max="117" width="9.140625" style="7"/>
    <col min="118" max="121" width="9.140625" style="7" customWidth="1" outlineLevel="1"/>
    <col min="122" max="122" width="9.140625" style="7"/>
    <col min="123" max="126" width="9.140625" style="7" customWidth="1" outlineLevel="1"/>
    <col min="127" max="127" width="9.140625" style="7"/>
    <col min="128" max="131" width="9.140625" style="7" customWidth="1" outlineLevel="1"/>
    <col min="132" max="132" width="9.140625" style="7"/>
    <col min="133" max="136" width="9.140625" style="7" customWidth="1" outlineLevel="1"/>
    <col min="137" max="137" width="9.140625" style="7"/>
    <col min="138" max="141" width="9.140625" style="7" customWidth="1" outlineLevel="1"/>
    <col min="142" max="142" width="9.140625" style="7"/>
    <col min="143" max="146" width="9.140625" style="7" customWidth="1" outlineLevel="1"/>
    <col min="147" max="147" width="9.140625" style="7"/>
    <col min="148" max="151" width="9.140625" style="7" customWidth="1" outlineLevel="1"/>
    <col min="152" max="152" width="9.140625" style="7"/>
    <col min="153" max="156" width="9.140625" style="7" customWidth="1" outlineLevel="1"/>
    <col min="157" max="157" width="9.140625" style="7"/>
    <col min="158" max="161" width="9.140625" style="7" customWidth="1" outlineLevel="1"/>
    <col min="162" max="162" width="9.140625" style="7"/>
    <col min="163" max="166" width="9.140625" style="7" customWidth="1" outlineLevel="1"/>
    <col min="167" max="16384" width="9.140625" style="7"/>
  </cols>
  <sheetData>
    <row r="1" spans="1:167" ht="12.75" customHeight="1">
      <c r="A1" s="2"/>
      <c r="B1" s="3"/>
      <c r="C1" s="4"/>
      <c r="D1" s="4"/>
      <c r="E1" s="4"/>
      <c r="F1" s="4"/>
      <c r="G1" s="5"/>
      <c r="H1" s="4"/>
      <c r="I1" s="4"/>
      <c r="J1" s="4"/>
      <c r="K1" s="4"/>
      <c r="L1" s="5"/>
      <c r="M1" s="4"/>
      <c r="N1" s="4"/>
      <c r="O1" s="4"/>
      <c r="P1" s="4"/>
      <c r="Q1" s="5"/>
      <c r="R1" s="4"/>
      <c r="S1" s="4"/>
      <c r="T1" s="4"/>
      <c r="U1" s="4"/>
      <c r="V1" s="5"/>
      <c r="W1" s="4"/>
      <c r="X1" s="4"/>
      <c r="Y1" s="4"/>
      <c r="Z1" s="4"/>
      <c r="AA1" s="5"/>
      <c r="AB1" s="4"/>
      <c r="AC1" s="4"/>
      <c r="AD1" s="4"/>
      <c r="AE1" s="4"/>
      <c r="AF1" s="5"/>
      <c r="AG1" s="4"/>
      <c r="AH1" s="4"/>
      <c r="AI1" s="4"/>
      <c r="AJ1" s="4"/>
      <c r="AK1" s="5"/>
      <c r="AL1" s="4"/>
      <c r="AM1" s="4"/>
      <c r="AN1" s="4"/>
      <c r="AO1" s="4"/>
      <c r="AP1" s="5"/>
      <c r="AQ1" s="4"/>
      <c r="AR1" s="4"/>
      <c r="AS1" s="4"/>
      <c r="AT1" s="4"/>
      <c r="AU1" s="5"/>
      <c r="AV1" s="4"/>
      <c r="AW1" s="4"/>
      <c r="AX1" s="4"/>
      <c r="AY1" s="4"/>
      <c r="AZ1" s="5"/>
      <c r="BA1" s="4"/>
      <c r="BB1" s="4"/>
      <c r="BC1" s="4"/>
      <c r="BD1" s="4"/>
      <c r="BE1" s="5"/>
      <c r="BF1" s="4"/>
      <c r="BG1" s="4"/>
      <c r="BH1" s="4"/>
      <c r="BI1" s="4"/>
      <c r="BJ1" s="5"/>
      <c r="BK1" s="4"/>
      <c r="BL1" s="4"/>
      <c r="BM1" s="4"/>
      <c r="BN1" s="4"/>
      <c r="BO1" s="5"/>
      <c r="BP1" s="4"/>
      <c r="BQ1" s="4"/>
      <c r="BR1" s="4"/>
      <c r="BS1" s="4"/>
      <c r="BT1" s="5"/>
      <c r="BU1" s="4"/>
      <c r="BV1" s="4"/>
      <c r="BW1" s="4"/>
      <c r="BX1" s="4"/>
      <c r="BY1" s="5"/>
      <c r="BZ1" s="4"/>
      <c r="CA1" s="4"/>
      <c r="CB1" s="4"/>
      <c r="CC1" s="4"/>
      <c r="CD1" s="5"/>
      <c r="CE1" s="4"/>
      <c r="CF1" s="4"/>
      <c r="CG1" s="4"/>
      <c r="CH1" s="4"/>
      <c r="CI1" s="5"/>
      <c r="CJ1" s="4"/>
      <c r="CK1" s="4"/>
      <c r="CL1" s="4"/>
      <c r="CM1" s="4"/>
      <c r="CN1" s="5"/>
      <c r="CO1" s="4"/>
      <c r="CP1" s="4"/>
      <c r="CQ1" s="4"/>
      <c r="CR1" s="4"/>
      <c r="CS1" s="5"/>
      <c r="CT1" s="4"/>
      <c r="CU1" s="4"/>
      <c r="CV1" s="4"/>
      <c r="CW1" s="4"/>
      <c r="CX1" s="5"/>
      <c r="CY1" s="4"/>
      <c r="CZ1" s="4"/>
      <c r="DA1" s="4"/>
      <c r="DB1" s="4"/>
      <c r="DC1" s="5"/>
      <c r="DD1" s="4"/>
      <c r="DE1" s="4"/>
      <c r="DF1" s="4"/>
      <c r="DG1" s="4"/>
      <c r="DH1" s="5"/>
      <c r="DI1" s="4"/>
      <c r="DJ1" s="4"/>
      <c r="DK1" s="4"/>
      <c r="DL1" s="4"/>
      <c r="DM1" s="5"/>
      <c r="DN1" s="4"/>
      <c r="DO1" s="4"/>
      <c r="DP1" s="4"/>
      <c r="DQ1" s="4"/>
      <c r="DR1" s="5"/>
      <c r="DS1" s="4"/>
      <c r="DT1" s="4"/>
      <c r="DU1" s="4"/>
      <c r="DV1" s="4"/>
      <c r="DW1" s="5"/>
      <c r="DX1" s="4"/>
      <c r="DY1" s="4"/>
      <c r="DZ1" s="4"/>
      <c r="EA1" s="4"/>
      <c r="EB1" s="5"/>
      <c r="EC1" s="4"/>
      <c r="ED1" s="4"/>
      <c r="EE1" s="4"/>
      <c r="EF1" s="4"/>
      <c r="EG1" s="5"/>
      <c r="EH1" s="4"/>
      <c r="EI1" s="4"/>
      <c r="EJ1" s="4"/>
      <c r="EK1" s="4"/>
      <c r="EL1" s="5"/>
      <c r="EM1" s="4"/>
      <c r="EN1" s="4"/>
      <c r="EO1" s="4"/>
      <c r="EP1" s="4"/>
      <c r="EQ1" s="5"/>
      <c r="ER1" s="4"/>
      <c r="ES1" s="4"/>
      <c r="ET1" s="4"/>
      <c r="EU1" s="4"/>
      <c r="EV1" s="5"/>
      <c r="EW1" s="4"/>
      <c r="EX1" s="4"/>
      <c r="EY1" s="4"/>
      <c r="EZ1" s="4"/>
      <c r="FA1" s="5"/>
      <c r="FB1" s="4"/>
      <c r="FC1" s="4"/>
      <c r="FD1" s="4"/>
      <c r="FE1" s="4"/>
      <c r="FF1" s="5"/>
      <c r="FG1" s="4"/>
      <c r="FH1" s="4"/>
      <c r="FI1" s="4"/>
      <c r="FJ1" s="4"/>
      <c r="FK1" s="5"/>
    </row>
    <row r="2" spans="1:167" ht="12.75" customHeight="1">
      <c r="A2" s="2"/>
      <c r="B2" s="8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</row>
    <row r="3" spans="1:167" ht="12.75" customHeight="1">
      <c r="A3" s="2"/>
      <c r="B3" s="2"/>
      <c r="C3" s="10" t="str">
        <f>IF(G13="Estimate", TEXT(G11, "yyyy") &amp; " (E)", TEXT(G11, "yyyy") &amp; " (A)")</f>
        <v>2022 (A)</v>
      </c>
      <c r="D3" s="9"/>
      <c r="E3" s="9"/>
      <c r="F3" s="9"/>
      <c r="G3" s="37"/>
      <c r="H3" s="10" t="str">
        <f>IF(L13="Estimate", TEXT(L11, "yyyy") &amp; " (E)", TEXT(L11, "yyyy") &amp; " (A)")</f>
        <v>2023 (A)</v>
      </c>
      <c r="I3" s="9"/>
      <c r="J3" s="9"/>
      <c r="K3" s="9"/>
      <c r="L3" s="37"/>
      <c r="M3" s="10" t="str">
        <f>IF(Q13="Estimate", TEXT(Q11, "yyyy") &amp; " (E)", TEXT(Q11, "yyyy") &amp; " (A)")</f>
        <v>2024 (A)</v>
      </c>
      <c r="N3" s="9"/>
      <c r="O3" s="9"/>
      <c r="P3" s="9"/>
      <c r="Q3" s="37"/>
      <c r="R3" s="10" t="str">
        <f>IF(V13="Estimate", TEXT(V11, "yyyy") &amp; " (E)", TEXT(V11, "yyyy") &amp; " (A)")</f>
        <v>2025 (E)</v>
      </c>
      <c r="S3" s="9"/>
      <c r="T3" s="9"/>
      <c r="U3" s="9"/>
      <c r="V3" s="37"/>
      <c r="W3" s="10" t="str">
        <f>IF(AA13="Estimate", TEXT(AA11, "yyyy") &amp; " (E)", TEXT(AA11, "yyyy") &amp; " (A)")</f>
        <v>2026 (E)</v>
      </c>
      <c r="X3" s="9"/>
      <c r="Y3" s="9"/>
      <c r="Z3" s="9"/>
      <c r="AA3" s="37"/>
      <c r="AB3" s="10" t="str">
        <f>IF(AF13="Estimate", TEXT(AF11, "yyyy") &amp; " (E)", TEXT(AF11, "yyyy") &amp; " (A)")</f>
        <v>2027 (E)</v>
      </c>
      <c r="AC3" s="9"/>
      <c r="AD3" s="9"/>
      <c r="AE3" s="9"/>
      <c r="AF3" s="37"/>
      <c r="AG3" s="10" t="str">
        <f>IF(AK13="Estimate", TEXT(AK11, "yyyy") &amp; " (E)", TEXT(AK11, "yyyy") &amp; " (A)")</f>
        <v>2028 (E)</v>
      </c>
      <c r="AH3" s="9"/>
      <c r="AI3" s="9"/>
      <c r="AJ3" s="9"/>
      <c r="AK3" s="37"/>
      <c r="AL3" s="10" t="str">
        <f>IF(AP13="Estimate", TEXT(AP11, "yyyy") &amp; " (E)", TEXT(AP11, "yyyy") &amp; " (A)")</f>
        <v>2029 (E)</v>
      </c>
      <c r="AM3" s="9"/>
      <c r="AN3" s="9"/>
      <c r="AO3" s="9"/>
      <c r="AP3" s="37"/>
      <c r="AQ3" s="10" t="str">
        <f>IF(AU13="Estimate", TEXT(AU11, "yyyy") &amp; " (E)", TEXT(AU11, "yyyy") &amp; " (A)")</f>
        <v>2030 (E)</v>
      </c>
      <c r="AR3" s="9"/>
      <c r="AS3" s="9"/>
      <c r="AT3" s="9"/>
      <c r="AU3" s="37"/>
      <c r="AV3" s="10" t="str">
        <f>IF(AZ13="Estimate", TEXT(AZ11, "yyyy") &amp; " (E)", TEXT(AZ11, "yyyy") &amp; " (A)")</f>
        <v>2031 (E)</v>
      </c>
      <c r="AW3" s="9"/>
      <c r="AX3" s="9"/>
      <c r="AY3" s="9"/>
      <c r="AZ3" s="37"/>
      <c r="BA3" s="10" t="str">
        <f>IF(BE13="Estimate", TEXT(BE11, "yyyy") &amp; " (E)", TEXT(BE11, "yyyy") &amp; " (A)")</f>
        <v>2032 (E)</v>
      </c>
      <c r="BB3" s="9"/>
      <c r="BC3" s="9"/>
      <c r="BD3" s="9"/>
      <c r="BE3" s="37"/>
      <c r="BF3" s="10" t="str">
        <f>IF(BJ13="Estimate", TEXT(BJ11, "yyyy") &amp; " (E)", TEXT(BJ11, "yyyy") &amp; " (A)")</f>
        <v>2033 (E)</v>
      </c>
      <c r="BG3" s="9"/>
      <c r="BH3" s="9"/>
      <c r="BI3" s="9"/>
      <c r="BJ3" s="37"/>
      <c r="BK3" s="10" t="str">
        <f>IF(BO13="Estimate", TEXT(BO11, "yyyy") &amp; " (E)", TEXT(BO11, "yyyy") &amp; " (A)")</f>
        <v>2034 (E)</v>
      </c>
      <c r="BL3" s="9"/>
      <c r="BM3" s="9"/>
      <c r="BN3" s="9"/>
      <c r="BO3" s="37"/>
      <c r="BP3" s="10" t="str">
        <f>IF(BT13="Estimate", TEXT(BT11, "yyyy") &amp; " (E)", TEXT(BT11, "yyyy") &amp; " (A)")</f>
        <v>2035 (E)</v>
      </c>
      <c r="BQ3" s="9"/>
      <c r="BR3" s="9"/>
      <c r="BS3" s="9"/>
      <c r="BT3" s="37"/>
      <c r="BU3" s="10" t="str">
        <f>IF(BY13="Estimate", TEXT(BY11, "yyyy") &amp; " (E)", TEXT(BY11, "yyyy") &amp; " (A)")</f>
        <v>2036 (E)</v>
      </c>
      <c r="BV3" s="9"/>
      <c r="BW3" s="9"/>
      <c r="BX3" s="9"/>
      <c r="BY3" s="37"/>
      <c r="BZ3" s="10" t="str">
        <f>IF(CD13="Estimate", TEXT(CD11, "yyyy") &amp; " (E)", TEXT(CD11, "yyyy") &amp; " (A)")</f>
        <v>2037 (E)</v>
      </c>
      <c r="CA3" s="9"/>
      <c r="CB3" s="9"/>
      <c r="CC3" s="9"/>
      <c r="CD3" s="37"/>
      <c r="CE3" s="10" t="str">
        <f>IF(CI13="Estimate", TEXT(CI11, "yyyy") &amp; " (E)", TEXT(CI11, "yyyy") &amp; " (A)")</f>
        <v>2038 (E)</v>
      </c>
      <c r="CF3" s="9"/>
      <c r="CG3" s="9"/>
      <c r="CH3" s="9"/>
      <c r="CI3" s="37"/>
      <c r="CJ3" s="10" t="str">
        <f>IF(CN13="Estimate", TEXT(CN11, "yyyy") &amp; " (E)", TEXT(CN11, "yyyy") &amp; " (A)")</f>
        <v>2039 (E)</v>
      </c>
      <c r="CK3" s="9"/>
      <c r="CL3" s="9"/>
      <c r="CM3" s="9"/>
      <c r="CN3" s="37"/>
      <c r="CO3" s="10" t="str">
        <f>IF(CS13="Estimate", TEXT(CS11, "yyyy") &amp; " (E)", TEXT(CS11, "yyyy") &amp; " (A)")</f>
        <v>2040 (E)</v>
      </c>
      <c r="CP3" s="9"/>
      <c r="CQ3" s="9"/>
      <c r="CR3" s="9"/>
      <c r="CS3" s="37"/>
      <c r="CT3" s="10" t="str">
        <f>IF(CX13="Estimate", TEXT(CX11, "yyyy") &amp; " (E)", TEXT(CX11, "yyyy") &amp; " (A)")</f>
        <v>2041 (E)</v>
      </c>
      <c r="CU3" s="9"/>
      <c r="CV3" s="9"/>
      <c r="CW3" s="9"/>
      <c r="CX3" s="37"/>
      <c r="CY3" s="10" t="str">
        <f>IF(DC13="Estimate", TEXT(DC11, "yyyy") &amp; " (E)", TEXT(DC11, "yyyy") &amp; " (A)")</f>
        <v>2042 (E)</v>
      </c>
      <c r="CZ3" s="9"/>
      <c r="DA3" s="9"/>
      <c r="DB3" s="9"/>
      <c r="DC3" s="37"/>
      <c r="DD3" s="10" t="str">
        <f>IF(DH13="Estimate", TEXT(DH11, "yyyy") &amp; " (E)", TEXT(DH11, "yyyy") &amp; " (A)")</f>
        <v>2043 (E)</v>
      </c>
      <c r="DE3" s="9"/>
      <c r="DF3" s="9"/>
      <c r="DG3" s="9"/>
      <c r="DH3" s="37"/>
      <c r="DI3" s="10" t="str">
        <f>IF(DM13="Estimate", TEXT(DM11, "yyyy") &amp; " (E)", TEXT(DM11, "yyyy") &amp; " (A)")</f>
        <v>2044 (E)</v>
      </c>
      <c r="DJ3" s="9"/>
      <c r="DK3" s="9"/>
      <c r="DL3" s="9"/>
      <c r="DM3" s="37"/>
      <c r="DN3" s="10" t="str">
        <f>IF(DR13="Estimate", TEXT(DR11, "yyyy") &amp; " (E)", TEXT(DR11, "yyyy") &amp; " (A)")</f>
        <v>2045 (E)</v>
      </c>
      <c r="DO3" s="9"/>
      <c r="DP3" s="9"/>
      <c r="DQ3" s="9"/>
      <c r="DR3" s="37"/>
      <c r="DS3" s="10" t="str">
        <f>IF(DW13="Estimate", TEXT(DW11, "yyyy") &amp; " (E)", TEXT(DW11, "yyyy") &amp; " (A)")</f>
        <v>2046 (E)</v>
      </c>
      <c r="DT3" s="9"/>
      <c r="DU3" s="9"/>
      <c r="DV3" s="9"/>
      <c r="DW3" s="37"/>
      <c r="DX3" s="10" t="str">
        <f>IF(EB13="Estimate", TEXT(EB11, "yyyy") &amp; " (E)", TEXT(EB11, "yyyy") &amp; " (A)")</f>
        <v>2047 (E)</v>
      </c>
      <c r="DY3" s="9"/>
      <c r="DZ3" s="9"/>
      <c r="EA3" s="9"/>
      <c r="EB3" s="37"/>
      <c r="EC3" s="10" t="str">
        <f>IF(EG13="Estimate", TEXT(EG11, "yyyy") &amp; " (E)", TEXT(EG11, "yyyy") &amp; " (A)")</f>
        <v>2048 (E)</v>
      </c>
      <c r="ED3" s="9"/>
      <c r="EE3" s="9"/>
      <c r="EF3" s="9"/>
      <c r="EG3" s="37"/>
      <c r="EH3" s="10" t="str">
        <f>IF(EL13="Estimate", TEXT(EL11, "yyyy") &amp; " (E)", TEXT(EL11, "yyyy") &amp; " (A)")</f>
        <v>2049 (E)</v>
      </c>
      <c r="EI3" s="9"/>
      <c r="EJ3" s="9"/>
      <c r="EK3" s="9"/>
      <c r="EL3" s="37"/>
      <c r="EM3" s="10" t="str">
        <f>IF(EQ13="Estimate", TEXT(EQ11, "yyyy") &amp; " (E)", TEXT(EQ11, "yyyy") &amp; " (A)")</f>
        <v>2050 (E)</v>
      </c>
      <c r="EN3" s="9"/>
      <c r="EO3" s="9"/>
      <c r="EP3" s="9"/>
      <c r="EQ3" s="37"/>
      <c r="ER3" s="10" t="str">
        <f>IF(EV13="Estimate", TEXT(EV11, "yyyy") &amp; " (E)", TEXT(EV11, "yyyy") &amp; " (A)")</f>
        <v>2051 (E)</v>
      </c>
      <c r="ES3" s="9"/>
      <c r="ET3" s="9"/>
      <c r="EU3" s="9"/>
      <c r="EV3" s="37"/>
      <c r="EW3" s="10" t="str">
        <f>IF(FA13="Estimate", TEXT(FA11, "yyyy") &amp; " (E)", TEXT(FA11, "yyyy") &amp; " (A)")</f>
        <v>2052 (E)</v>
      </c>
      <c r="EX3" s="9"/>
      <c r="EY3" s="9"/>
      <c r="EZ3" s="9"/>
      <c r="FA3" s="37"/>
      <c r="FB3" s="10" t="str">
        <f>IF(FF13="Estimate", TEXT(FF11, "yyyy") &amp; " (E)", TEXT(FF11, "yyyy") &amp; " (A)")</f>
        <v>2053 (E)</v>
      </c>
      <c r="FC3" s="9"/>
      <c r="FD3" s="9"/>
      <c r="FE3" s="9"/>
      <c r="FF3" s="37"/>
      <c r="FG3" s="10" t="str">
        <f>IF(FK13="Estimate", TEXT(FK11, "yyyy") &amp; " (E)", TEXT(FK11, "yyyy") &amp; " (A)")</f>
        <v>2054 (E)</v>
      </c>
      <c r="FH3" s="9"/>
      <c r="FI3" s="9"/>
      <c r="FJ3" s="9"/>
      <c r="FK3" s="37"/>
    </row>
    <row r="4" spans="1:167" ht="12.75" customHeight="1">
      <c r="A4" s="2"/>
      <c r="B4" s="2"/>
      <c r="C4" s="11" t="str">
        <f>IF(C13="Estimate", C12 &amp; TEXT(G11, "yy") &amp; " (E)", C12 &amp; TEXT(G11, "yy") &amp; " (A)")</f>
        <v>1Q22 (A)</v>
      </c>
      <c r="D4" s="11" t="str">
        <f>IF(D13="Estimate", D12 &amp; TEXT(G11, "yy") &amp; " (E)", D12 &amp; TEXT(G11, "yy") &amp; " (A)")</f>
        <v>2Q22 (A)</v>
      </c>
      <c r="E4" s="11" t="str">
        <f>IF(E13="Estimate", E12 &amp; TEXT(G11, "yy") &amp; " (E)", E12 &amp; TEXT(G11, "yy") &amp; " (A)")</f>
        <v>3Q22 (A)</v>
      </c>
      <c r="F4" s="11" t="str">
        <f>IF(F13="Estimate", F12 &amp; TEXT(G11, "yy") &amp; " (E)", F12 &amp; TEXT(G11, "yy") &amp; " (A)")</f>
        <v>4Q22 (A)</v>
      </c>
      <c r="G4" s="12" t="str">
        <f>IF(G13="Estimate", G12 &amp; TEXT(G11, "yy") &amp; " (E)", G12 &amp; TEXT(G11, "yy") &amp; " (A)")</f>
        <v>FY22 (A)</v>
      </c>
      <c r="H4" s="11" t="str">
        <f>IF(H13="Estimate", H12 &amp; TEXT(L11, "yy") &amp; " (E)", H12 &amp; TEXT(L11, "yy") &amp; " (A)")</f>
        <v>1Q23 (A)</v>
      </c>
      <c r="I4" s="11" t="str">
        <f>IF(I13="Estimate", I12 &amp; TEXT(L11, "yy") &amp; " (E)", I12 &amp; TEXT(L11, "yy") &amp; " (A)")</f>
        <v>2Q23 (A)</v>
      </c>
      <c r="J4" s="11" t="str">
        <f>IF(J13="Estimate", J12 &amp; TEXT(L11, "yy") &amp; " (E)", J12 &amp; TEXT(L11, "yy") &amp; " (A)")</f>
        <v>3Q23 (A)</v>
      </c>
      <c r="K4" s="11" t="str">
        <f>IF(K13="Estimate", K12 &amp; TEXT(L11, "yy") &amp; " (E)", K12 &amp; TEXT(L11, "yy") &amp; " (A)")</f>
        <v>4Q23 (A)</v>
      </c>
      <c r="L4" s="12" t="str">
        <f>IF(L13="Estimate", L12 &amp; TEXT(L11, "yy") &amp; " (E)", L12 &amp; TEXT(L11, "yy") &amp; " (A)")</f>
        <v>FY23 (A)</v>
      </c>
      <c r="M4" s="11" t="str">
        <f>IF(M13="Estimate", M12 &amp; TEXT(Q11, "yy") &amp; " (E)", M12 &amp; TEXT(Q11, "yy") &amp; " (A)")</f>
        <v>1Q24 (A)</v>
      </c>
      <c r="N4" s="11" t="str">
        <f>IF(N13="Estimate", N12 &amp; TEXT(Q11, "yy") &amp; " (E)", N12 &amp; TEXT(Q11, "yy") &amp; " (A)")</f>
        <v>2Q24 (A)</v>
      </c>
      <c r="O4" s="11" t="str">
        <f>IF(O13="Estimate", O12 &amp; TEXT(Q11, "yy") &amp; " (E)", O12 &amp; TEXT(Q11, "yy") &amp; " (A)")</f>
        <v>3Q24 (A)</v>
      </c>
      <c r="P4" s="11" t="str">
        <f>IF(P13="Estimate", P12 &amp; TEXT(Q11, "yy") &amp; " (E)", P12 &amp; TEXT(Q11, "yy") &amp; " (A)")</f>
        <v>4Q24 (A)</v>
      </c>
      <c r="Q4" s="12" t="str">
        <f>IF(Q13="Estimate", Q12 &amp; TEXT(Q11, "yy") &amp; " (E)", Q12 &amp; TEXT(Q11, "yy") &amp; " (A)")</f>
        <v>FY24 (A)</v>
      </c>
      <c r="R4" s="11" t="str">
        <f>IF(R13="Estimate", R12 &amp; TEXT(V11, "yy") &amp; " (E)", R12 &amp; TEXT(V11, "yy") &amp; " (A)")</f>
        <v>1Q25 (A)</v>
      </c>
      <c r="S4" s="11" t="str">
        <f>IF(S13="Estimate", S12 &amp; TEXT(V11, "yy") &amp; " (E)", S12 &amp; TEXT(V11, "yy") &amp; " (A)")</f>
        <v>2Q25 (A)</v>
      </c>
      <c r="T4" s="11" t="str">
        <f>IF(T13="Estimate", T12 &amp; TEXT(V11, "yy") &amp; " (E)", T12 &amp; TEXT(V11, "yy") &amp; " (A)")</f>
        <v>3Q25 (A)</v>
      </c>
      <c r="U4" s="11" t="str">
        <f>IF(U13="Estimate", U12 &amp; TEXT(V11, "yy") &amp; " (E)", U12 &amp; TEXT(V11, "yy") &amp; " (A)")</f>
        <v>4Q25 (E)</v>
      </c>
      <c r="V4" s="12" t="str">
        <f>IF(V13="Estimate", V12 &amp; TEXT(V11, "yy") &amp; " (E)", V12 &amp; TEXT(V11, "yy") &amp; " (A)")</f>
        <v>FY25 (E)</v>
      </c>
      <c r="W4" s="11" t="str">
        <f>IF(W13="Estimate", W12 &amp; TEXT(AA11, "yy") &amp; " (E)", W12 &amp; TEXT(AA11, "yy") &amp; " (A)")</f>
        <v>1Q26 (E)</v>
      </c>
      <c r="X4" s="11" t="str">
        <f>IF(X13="Estimate", X12 &amp; TEXT(AA11, "yy") &amp; " (E)", X12 &amp; TEXT(AA11, "yy") &amp; " (A)")</f>
        <v>2Q26 (E)</v>
      </c>
      <c r="Y4" s="11" t="str">
        <f>IF(Y13="Estimate", Y12 &amp; TEXT(AA11, "yy") &amp; " (E)", Y12 &amp; TEXT(AA11, "yy") &amp; " (A)")</f>
        <v>3Q26 (E)</v>
      </c>
      <c r="Z4" s="11" t="str">
        <f>IF(Z13="Estimate", Z12 &amp; TEXT(AA11, "yy") &amp; " (E)", Z12 &amp; TEXT(AA11, "yy") &amp; " (A)")</f>
        <v>4Q26 (E)</v>
      </c>
      <c r="AA4" s="12" t="str">
        <f>IF(AA13="Estimate", AA12 &amp; TEXT(AA11, "yy") &amp; " (E)", AA12 &amp; TEXT(AA11, "yy") &amp; " (A)")</f>
        <v>FY26 (E)</v>
      </c>
      <c r="AB4" s="11" t="str">
        <f>IF(AB13="Estimate", AB12 &amp; TEXT(AF11, "yy") &amp; " (E)", AB12 &amp; TEXT(AF11, "yy") &amp; " (A)")</f>
        <v>1Q27 (E)</v>
      </c>
      <c r="AC4" s="11" t="str">
        <f>IF(AC13="Estimate", AC12 &amp; TEXT(AF11, "yy") &amp; " (E)", AC12 &amp; TEXT(AF11, "yy") &amp; " (A)")</f>
        <v>2Q27 (E)</v>
      </c>
      <c r="AD4" s="11" t="str">
        <f>IF(AD13="Estimate", AD12 &amp; TEXT(AF11, "yy") &amp; " (E)", AD12 &amp; TEXT(AF11, "yy") &amp; " (A)")</f>
        <v>3Q27 (E)</v>
      </c>
      <c r="AE4" s="11" t="str">
        <f>IF(AE13="Estimate", AE12 &amp; TEXT(AF11, "yy") &amp; " (E)", AE12 &amp; TEXT(AF11, "yy") &amp; " (A)")</f>
        <v>4Q27 (E)</v>
      </c>
      <c r="AF4" s="12" t="str">
        <f>IF(AF13="Estimate", AF12 &amp; TEXT(AF11, "yy") &amp; " (E)", AF12 &amp; TEXT(AF11, "yy") &amp; " (A)")</f>
        <v>FY27 (E)</v>
      </c>
      <c r="AG4" s="11" t="str">
        <f>IF(AG13="Estimate", AG12 &amp; TEXT(AK11, "yy") &amp; " (E)", AG12 &amp; TEXT(AK11, "yy") &amp; " (A)")</f>
        <v>1Q28 (E)</v>
      </c>
      <c r="AH4" s="11" t="str">
        <f>IF(AH13="Estimate", AH12 &amp; TEXT(AK11, "yy") &amp; " (E)", AH12 &amp; TEXT(AK11, "yy") &amp; " (A)")</f>
        <v>2Q28 (E)</v>
      </c>
      <c r="AI4" s="11" t="str">
        <f>IF(AI13="Estimate", AI12 &amp; TEXT(AK11, "yy") &amp; " (E)", AI12 &amp; TEXT(AK11, "yy") &amp; " (A)")</f>
        <v>3Q28 (E)</v>
      </c>
      <c r="AJ4" s="11" t="str">
        <f>IF(AJ13="Estimate", AJ12 &amp; TEXT(AK11, "yy") &amp; " (E)", AJ12 &amp; TEXT(AK11, "yy") &amp; " (A)")</f>
        <v>4Q28 (E)</v>
      </c>
      <c r="AK4" s="12" t="str">
        <f>IF(AK13="Estimate", AK12 &amp; TEXT(AK11, "yy") &amp; " (E)", AK12 &amp; TEXT(AK11, "yy") &amp; " (A)")</f>
        <v>FY28 (E)</v>
      </c>
      <c r="AL4" s="11" t="str">
        <f>IF(AL13="Estimate", AL12 &amp; TEXT(AP11, "yy") &amp; " (E)", AL12 &amp; TEXT(AP11, "yy") &amp; " (A)")</f>
        <v>1Q29 (E)</v>
      </c>
      <c r="AM4" s="11" t="str">
        <f>IF(AM13="Estimate", AM12 &amp; TEXT(AP11, "yy") &amp; " (E)", AM12 &amp; TEXT(AP11, "yy") &amp; " (A)")</f>
        <v>2Q29 (E)</v>
      </c>
      <c r="AN4" s="11" t="str">
        <f>IF(AN13="Estimate", AN12 &amp; TEXT(AP11, "yy") &amp; " (E)", AN12 &amp; TEXT(AP11, "yy") &amp; " (A)")</f>
        <v>3Q29 (E)</v>
      </c>
      <c r="AO4" s="11" t="str">
        <f>IF(AO13="Estimate", AO12 &amp; TEXT(AP11, "yy") &amp; " (E)", AO12 &amp; TEXT(AP11, "yy") &amp; " (A)")</f>
        <v>4Q29 (E)</v>
      </c>
      <c r="AP4" s="12" t="str">
        <f>IF(AP13="Estimate", AP12 &amp; TEXT(AP11, "yy") &amp; " (E)", AP12 &amp; TEXT(AP11, "yy") &amp; " (A)")</f>
        <v>FY29 (E)</v>
      </c>
      <c r="AQ4" s="11" t="str">
        <f>IF(AQ13="Estimate", AQ12 &amp; TEXT(AU11, "yy") &amp; " (E)", AQ12 &amp; TEXT(AU11, "yy") &amp; " (A)")</f>
        <v>1Q30 (E)</v>
      </c>
      <c r="AR4" s="11" t="str">
        <f>IF(AR13="Estimate", AR12 &amp; TEXT(AU11, "yy") &amp; " (E)", AR12 &amp; TEXT(AU11, "yy") &amp; " (A)")</f>
        <v>2Q30 (E)</v>
      </c>
      <c r="AS4" s="11" t="str">
        <f>IF(AS13="Estimate", AS12 &amp; TEXT(AU11, "yy") &amp; " (E)", AS12 &amp; TEXT(AU11, "yy") &amp; " (A)")</f>
        <v>3Q30 (E)</v>
      </c>
      <c r="AT4" s="11" t="str">
        <f>IF(AT13="Estimate", AT12 &amp; TEXT(AU11, "yy") &amp; " (E)", AT12 &amp; TEXT(AU11, "yy") &amp; " (A)")</f>
        <v>4Q30 (E)</v>
      </c>
      <c r="AU4" s="12" t="str">
        <f>IF(AU13="Estimate", AU12 &amp; TEXT(AU11, "yy") &amp; " (E)", AU12 &amp; TEXT(AU11, "yy") &amp; " (A)")</f>
        <v>FY30 (E)</v>
      </c>
      <c r="AV4" s="11" t="str">
        <f>IF(AV13="Estimate", AV12 &amp; TEXT(AZ11, "yy") &amp; " (E)", AV12 &amp; TEXT(AZ11, "yy") &amp; " (A)")</f>
        <v>1Q31 (E)</v>
      </c>
      <c r="AW4" s="11" t="str">
        <f>IF(AW13="Estimate", AW12 &amp; TEXT(AZ11, "yy") &amp; " (E)", AW12 &amp; TEXT(AZ11, "yy") &amp; " (A)")</f>
        <v>2Q31 (E)</v>
      </c>
      <c r="AX4" s="11" t="str">
        <f>IF(AX13="Estimate", AX12 &amp; TEXT(AZ11, "yy") &amp; " (E)", AX12 &amp; TEXT(AZ11, "yy") &amp; " (A)")</f>
        <v>3Q31 (E)</v>
      </c>
      <c r="AY4" s="11" t="str">
        <f>IF(AY13="Estimate", AY12 &amp; TEXT(AZ11, "yy") &amp; " (E)", AY12 &amp; TEXT(AZ11, "yy") &amp; " (A)")</f>
        <v>4Q31 (E)</v>
      </c>
      <c r="AZ4" s="12" t="str">
        <f>IF(AZ13="Estimate", AZ12 &amp; TEXT(AZ11, "yy") &amp; " (E)", AZ12 &amp; TEXT(AZ11, "yy") &amp; " (A)")</f>
        <v>FY31 (E)</v>
      </c>
      <c r="BA4" s="11" t="str">
        <f>IF(BA13="Estimate", BA12 &amp; TEXT(BE11, "yy") &amp; " (E)", BA12 &amp; TEXT(BE11, "yy") &amp; " (A)")</f>
        <v>1Q32 (E)</v>
      </c>
      <c r="BB4" s="11" t="str">
        <f>IF(BB13="Estimate", BB12 &amp; TEXT(BE11, "yy") &amp; " (E)", BB12 &amp; TEXT(BE11, "yy") &amp; " (A)")</f>
        <v>2Q32 (E)</v>
      </c>
      <c r="BC4" s="11" t="str">
        <f>IF(BC13="Estimate", BC12 &amp; TEXT(BE11, "yy") &amp; " (E)", BC12 &amp; TEXT(BE11, "yy") &amp; " (A)")</f>
        <v>3Q32 (E)</v>
      </c>
      <c r="BD4" s="11" t="str">
        <f>IF(BD13="Estimate", BD12 &amp; TEXT(BE11, "yy") &amp; " (E)", BD12 &amp; TEXT(BE11, "yy") &amp; " (A)")</f>
        <v>4Q32 (E)</v>
      </c>
      <c r="BE4" s="12" t="str">
        <f>IF(BE13="Estimate", BE12 &amp; TEXT(BE11, "yy") &amp; " (E)", BE12 &amp; TEXT(BE11, "yy") &amp; " (A)")</f>
        <v>FY32 (E)</v>
      </c>
      <c r="BF4" s="11" t="str">
        <f>IF(BF13="Estimate", BF12 &amp; TEXT(BJ11, "yy") &amp; " (E)", BF12 &amp; TEXT(BJ11, "yy") &amp; " (A)")</f>
        <v>1Q33 (E)</v>
      </c>
      <c r="BG4" s="11" t="str">
        <f>IF(BG13="Estimate", BG12 &amp; TEXT(BJ11, "yy") &amp; " (E)", BG12 &amp; TEXT(BJ11, "yy") &amp; " (A)")</f>
        <v>2Q33 (E)</v>
      </c>
      <c r="BH4" s="11" t="str">
        <f>IF(BH13="Estimate", BH12 &amp; TEXT(BJ11, "yy") &amp; " (E)", BH12 &amp; TEXT(BJ11, "yy") &amp; " (A)")</f>
        <v>3Q33 (E)</v>
      </c>
      <c r="BI4" s="11" t="str">
        <f>IF(BI13="Estimate", BI12 &amp; TEXT(BJ11, "yy") &amp; " (E)", BI12 &amp; TEXT(BJ11, "yy") &amp; " (A)")</f>
        <v>4Q33 (E)</v>
      </c>
      <c r="BJ4" s="12" t="str">
        <f>IF(BJ13="Estimate", BJ12 &amp; TEXT(BJ11, "yy") &amp; " (E)", BJ12 &amp; TEXT(BJ11, "yy") &amp; " (A)")</f>
        <v>FY33 (E)</v>
      </c>
      <c r="BK4" s="11" t="str">
        <f>IF(BK13="Estimate", BK12 &amp; TEXT(BO11, "yy") &amp; " (E)", BK12 &amp; TEXT(BO11, "yy") &amp; " (A)")</f>
        <v>1Q34 (E)</v>
      </c>
      <c r="BL4" s="11" t="str">
        <f>IF(BL13="Estimate", BL12 &amp; TEXT(BO11, "yy") &amp; " (E)", BL12 &amp; TEXT(BO11, "yy") &amp; " (A)")</f>
        <v>2Q34 (E)</v>
      </c>
      <c r="BM4" s="11" t="str">
        <f>IF(BM13="Estimate", BM12 &amp; TEXT(BO11, "yy") &amp; " (E)", BM12 &amp; TEXT(BO11, "yy") &amp; " (A)")</f>
        <v>3Q34 (E)</v>
      </c>
      <c r="BN4" s="11" t="str">
        <f>IF(BN13="Estimate", BN12 &amp; TEXT(BO11, "yy") &amp; " (E)", BN12 &amp; TEXT(BO11, "yy") &amp; " (A)")</f>
        <v>4Q34 (E)</v>
      </c>
      <c r="BO4" s="12" t="str">
        <f>IF(BO13="Estimate", BO12 &amp; TEXT(BO11, "yy") &amp; " (E)", BO12 &amp; TEXT(BO11, "yy") &amp; " (A)")</f>
        <v>FY34 (E)</v>
      </c>
      <c r="BP4" s="11" t="str">
        <f>IF(BP13="Estimate", BP12 &amp; TEXT(BT11, "yy") &amp; " (E)", BP12 &amp; TEXT(BT11, "yy") &amp; " (A)")</f>
        <v>1Q35 (E)</v>
      </c>
      <c r="BQ4" s="11" t="str">
        <f>IF(BQ13="Estimate", BQ12 &amp; TEXT(BT11, "yy") &amp; " (E)", BQ12 &amp; TEXT(BT11, "yy") &amp; " (A)")</f>
        <v>2Q35 (E)</v>
      </c>
      <c r="BR4" s="11" t="str">
        <f>IF(BR13="Estimate", BR12 &amp; TEXT(BT11, "yy") &amp; " (E)", BR12 &amp; TEXT(BT11, "yy") &amp; " (A)")</f>
        <v>3Q35 (E)</v>
      </c>
      <c r="BS4" s="11" t="str">
        <f>IF(BS13="Estimate", BS12 &amp; TEXT(BT11, "yy") &amp; " (E)", BS12 &amp; TEXT(BT11, "yy") &amp; " (A)")</f>
        <v>4Q35 (E)</v>
      </c>
      <c r="BT4" s="12" t="str">
        <f>IF(BT13="Estimate", BT12 &amp; TEXT(BT11, "yy") &amp; " (E)", BT12 &amp; TEXT(BT11, "yy") &amp; " (A)")</f>
        <v>FY35 (E)</v>
      </c>
      <c r="BU4" s="11" t="str">
        <f>IF(BU13="Estimate", BU12 &amp; TEXT(BY11, "yy") &amp; " (E)", BU12 &amp; TEXT(BY11, "yy") &amp; " (A)")</f>
        <v>1Q36 (E)</v>
      </c>
      <c r="BV4" s="11" t="str">
        <f>IF(BV13="Estimate", BV12 &amp; TEXT(BY11, "yy") &amp; " (E)", BV12 &amp; TEXT(BY11, "yy") &amp; " (A)")</f>
        <v>2Q36 (E)</v>
      </c>
      <c r="BW4" s="11" t="str">
        <f>IF(BW13="Estimate", BW12 &amp; TEXT(BY11, "yy") &amp; " (E)", BW12 &amp; TEXT(BY11, "yy") &amp; " (A)")</f>
        <v>3Q36 (E)</v>
      </c>
      <c r="BX4" s="11" t="str">
        <f>IF(BX13="Estimate", BX12 &amp; TEXT(BY11, "yy") &amp; " (E)", BX12 &amp; TEXT(BY11, "yy") &amp; " (A)")</f>
        <v>4Q36 (E)</v>
      </c>
      <c r="BY4" s="12" t="str">
        <f>IF(BY13="Estimate", BY12 &amp; TEXT(BY11, "yy") &amp; " (E)", BY12 &amp; TEXT(BY11, "yy") &amp; " (A)")</f>
        <v>FY36 (E)</v>
      </c>
      <c r="BZ4" s="11" t="str">
        <f>IF(BZ13="Estimate", BZ12 &amp; TEXT(CD11, "yy") &amp; " (E)", BZ12 &amp; TEXT(CD11, "yy") &amp; " (A)")</f>
        <v>1Q37 (E)</v>
      </c>
      <c r="CA4" s="11" t="str">
        <f>IF(CA13="Estimate", CA12 &amp; TEXT(CD11, "yy") &amp; " (E)", CA12 &amp; TEXT(CD11, "yy") &amp; " (A)")</f>
        <v>2Q37 (E)</v>
      </c>
      <c r="CB4" s="11" t="str">
        <f>IF(CB13="Estimate", CB12 &amp; TEXT(CD11, "yy") &amp; " (E)", CB12 &amp; TEXT(CD11, "yy") &amp; " (A)")</f>
        <v>3Q37 (E)</v>
      </c>
      <c r="CC4" s="11" t="str">
        <f>IF(CC13="Estimate", CC12 &amp; TEXT(CD11, "yy") &amp; " (E)", CC12 &amp; TEXT(CD11, "yy") &amp; " (A)")</f>
        <v>4Q37 (E)</v>
      </c>
      <c r="CD4" s="12" t="str">
        <f>IF(CD13="Estimate", CD12 &amp; TEXT(CD11, "yy") &amp; " (E)", CD12 &amp; TEXT(CD11, "yy") &amp; " (A)")</f>
        <v>FY37 (E)</v>
      </c>
      <c r="CE4" s="11" t="str">
        <f>IF(CE13="Estimate", CE12 &amp; TEXT(CI11, "yy") &amp; " (E)", CE12 &amp; TEXT(CI11, "yy") &amp; " (A)")</f>
        <v>1Q38 (E)</v>
      </c>
      <c r="CF4" s="11" t="str">
        <f>IF(CF13="Estimate", CF12 &amp; TEXT(CI11, "yy") &amp; " (E)", CF12 &amp; TEXT(CI11, "yy") &amp; " (A)")</f>
        <v>2Q38 (E)</v>
      </c>
      <c r="CG4" s="11" t="str">
        <f>IF(CG13="Estimate", CG12 &amp; TEXT(CI11, "yy") &amp; " (E)", CG12 &amp; TEXT(CI11, "yy") &amp; " (A)")</f>
        <v>3Q38 (E)</v>
      </c>
      <c r="CH4" s="11" t="str">
        <f>IF(CH13="Estimate", CH12 &amp; TEXT(CI11, "yy") &amp; " (E)", CH12 &amp; TEXT(CI11, "yy") &amp; " (A)")</f>
        <v>4Q38 (E)</v>
      </c>
      <c r="CI4" s="12" t="str">
        <f>IF(CI13="Estimate", CI12 &amp; TEXT(CI11, "yy") &amp; " (E)", CI12 &amp; TEXT(CI11, "yy") &amp; " (A)")</f>
        <v>FY38 (E)</v>
      </c>
      <c r="CJ4" s="11" t="str">
        <f>IF(CJ13="Estimate", CJ12 &amp; TEXT(CN11, "yy") &amp; " (E)", CJ12 &amp; TEXT(CN11, "yy") &amp; " (A)")</f>
        <v>1Q39 (E)</v>
      </c>
      <c r="CK4" s="11" t="str">
        <f>IF(CK13="Estimate", CK12 &amp; TEXT(CN11, "yy") &amp; " (E)", CK12 &amp; TEXT(CN11, "yy") &amp; " (A)")</f>
        <v>2Q39 (E)</v>
      </c>
      <c r="CL4" s="11" t="str">
        <f>IF(CL13="Estimate", CL12 &amp; TEXT(CN11, "yy") &amp; " (E)", CL12 &amp; TEXT(CN11, "yy") &amp; " (A)")</f>
        <v>3Q39 (E)</v>
      </c>
      <c r="CM4" s="11" t="str">
        <f>IF(CM13="Estimate", CM12 &amp; TEXT(CN11, "yy") &amp; " (E)", CM12 &amp; TEXT(CN11, "yy") &amp; " (A)")</f>
        <v>4Q39 (E)</v>
      </c>
      <c r="CN4" s="12" t="str">
        <f>IF(CN13="Estimate", CN12 &amp; TEXT(CN11, "yy") &amp; " (E)", CN12 &amp; TEXT(CN11, "yy") &amp; " (A)")</f>
        <v>FY39 (E)</v>
      </c>
      <c r="CO4" s="11" t="str">
        <f>IF(CO13="Estimate", CO12 &amp; TEXT(CS11, "yy") &amp; " (E)", CO12 &amp; TEXT(CS11, "yy") &amp; " (A)")</f>
        <v>1Q40 (E)</v>
      </c>
      <c r="CP4" s="11" t="str">
        <f>IF(CP13="Estimate", CP12 &amp; TEXT(CS11, "yy") &amp; " (E)", CP12 &amp; TEXT(CS11, "yy") &amp; " (A)")</f>
        <v>2Q40 (E)</v>
      </c>
      <c r="CQ4" s="11" t="str">
        <f>IF(CQ13="Estimate", CQ12 &amp; TEXT(CS11, "yy") &amp; " (E)", CQ12 &amp; TEXT(CS11, "yy") &amp; " (A)")</f>
        <v>3Q40 (E)</v>
      </c>
      <c r="CR4" s="11" t="str">
        <f>IF(CR13="Estimate", CR12 &amp; TEXT(CS11, "yy") &amp; " (E)", CR12 &amp; TEXT(CS11, "yy") &amp; " (A)")</f>
        <v>4Q40 (E)</v>
      </c>
      <c r="CS4" s="12" t="str">
        <f>IF(CS13="Estimate", CS12 &amp; TEXT(CS11, "yy") &amp; " (E)", CS12 &amp; TEXT(CS11, "yy") &amp; " (A)")</f>
        <v>FY40 (E)</v>
      </c>
      <c r="CT4" s="11" t="str">
        <f>IF(CT13="Estimate", CT12 &amp; TEXT(CX11, "yy") &amp; " (E)", CT12 &amp; TEXT(CX11, "yy") &amp; " (A)")</f>
        <v>1Q41 (E)</v>
      </c>
      <c r="CU4" s="11" t="str">
        <f>IF(CU13="Estimate", CU12 &amp; TEXT(CX11, "yy") &amp; " (E)", CU12 &amp; TEXT(CX11, "yy") &amp; " (A)")</f>
        <v>2Q41 (E)</v>
      </c>
      <c r="CV4" s="11" t="str">
        <f>IF(CV13="Estimate", CV12 &amp; TEXT(CX11, "yy") &amp; " (E)", CV12 &amp; TEXT(CX11, "yy") &amp; " (A)")</f>
        <v>3Q41 (E)</v>
      </c>
      <c r="CW4" s="11" t="str">
        <f>IF(CW13="Estimate", CW12 &amp; TEXT(CX11, "yy") &amp; " (E)", CW12 &amp; TEXT(CX11, "yy") &amp; " (A)")</f>
        <v>4Q41 (E)</v>
      </c>
      <c r="CX4" s="12" t="str">
        <f>IF(CX13="Estimate", CX12 &amp; TEXT(CX11, "yy") &amp; " (E)", CX12 &amp; TEXT(CX11, "yy") &amp; " (A)")</f>
        <v>FY41 (E)</v>
      </c>
      <c r="CY4" s="11" t="str">
        <f>IF(CY13="Estimate", CY12 &amp; TEXT(DC11, "yy") &amp; " (E)", CY12 &amp; TEXT(DC11, "yy") &amp; " (A)")</f>
        <v>1Q42 (E)</v>
      </c>
      <c r="CZ4" s="11" t="str">
        <f>IF(CZ13="Estimate", CZ12 &amp; TEXT(DC11, "yy") &amp; " (E)", CZ12 &amp; TEXT(DC11, "yy") &amp; " (A)")</f>
        <v>2Q42 (E)</v>
      </c>
      <c r="DA4" s="11" t="str">
        <f>IF(DA13="Estimate", DA12 &amp; TEXT(DC11, "yy") &amp; " (E)", DA12 &amp; TEXT(DC11, "yy") &amp; " (A)")</f>
        <v>3Q42 (E)</v>
      </c>
      <c r="DB4" s="11" t="str">
        <f>IF(DB13="Estimate", DB12 &amp; TEXT(DC11, "yy") &amp; " (E)", DB12 &amp; TEXT(DC11, "yy") &amp; " (A)")</f>
        <v>4Q42 (E)</v>
      </c>
      <c r="DC4" s="12" t="str">
        <f>IF(DC13="Estimate", DC12 &amp; TEXT(DC11, "yy") &amp; " (E)", DC12 &amp; TEXT(DC11, "yy") &amp; " (A)")</f>
        <v>FY42 (E)</v>
      </c>
      <c r="DD4" s="11" t="str">
        <f>IF(DD13="Estimate", DD12 &amp; TEXT(DH11, "yy") &amp; " (E)", DD12 &amp; TEXT(DH11, "yy") &amp; " (A)")</f>
        <v>1Q43 (E)</v>
      </c>
      <c r="DE4" s="11" t="str">
        <f>IF(DE13="Estimate", DE12 &amp; TEXT(DH11, "yy") &amp; " (E)", DE12 &amp; TEXT(DH11, "yy") &amp; " (A)")</f>
        <v>2Q43 (E)</v>
      </c>
      <c r="DF4" s="11" t="str">
        <f>IF(DF13="Estimate", DF12 &amp; TEXT(DH11, "yy") &amp; " (E)", DF12 &amp; TEXT(DH11, "yy") &amp; " (A)")</f>
        <v>3Q43 (E)</v>
      </c>
      <c r="DG4" s="11" t="str">
        <f>IF(DG13="Estimate", DG12 &amp; TEXT(DH11, "yy") &amp; " (E)", DG12 &amp; TEXT(DH11, "yy") &amp; " (A)")</f>
        <v>4Q43 (E)</v>
      </c>
      <c r="DH4" s="12" t="str">
        <f>IF(DH13="Estimate", DH12 &amp; TEXT(DH11, "yy") &amp; " (E)", DH12 &amp; TEXT(DH11, "yy") &amp; " (A)")</f>
        <v>FY43 (E)</v>
      </c>
      <c r="DI4" s="11" t="str">
        <f>IF(DI13="Estimate", DI12 &amp; TEXT(DM11, "yy") &amp; " (E)", DI12 &amp; TEXT(DM11, "yy") &amp; " (A)")</f>
        <v>1Q44 (E)</v>
      </c>
      <c r="DJ4" s="11" t="str">
        <f>IF(DJ13="Estimate", DJ12 &amp; TEXT(DM11, "yy") &amp; " (E)", DJ12 &amp; TEXT(DM11, "yy") &amp; " (A)")</f>
        <v>2Q44 (E)</v>
      </c>
      <c r="DK4" s="11" t="str">
        <f>IF(DK13="Estimate", DK12 &amp; TEXT(DM11, "yy") &amp; " (E)", DK12 &amp; TEXT(DM11, "yy") &amp; " (A)")</f>
        <v>3Q44 (E)</v>
      </c>
      <c r="DL4" s="11" t="str">
        <f>IF(DL13="Estimate", DL12 &amp; TEXT(DM11, "yy") &amp; " (E)", DL12 &amp; TEXT(DM11, "yy") &amp; " (A)")</f>
        <v>4Q44 (E)</v>
      </c>
      <c r="DM4" s="12" t="str">
        <f>IF(DM13="Estimate", DM12 &amp; TEXT(DM11, "yy") &amp; " (E)", DM12 &amp; TEXT(DM11, "yy") &amp; " (A)")</f>
        <v>FY44 (E)</v>
      </c>
      <c r="DN4" s="11" t="str">
        <f>IF(DN13="Estimate", DN12 &amp; TEXT(DR11, "yy") &amp; " (E)", DN12 &amp; TEXT(DR11, "yy") &amp; " (A)")</f>
        <v>1Q45 (E)</v>
      </c>
      <c r="DO4" s="11" t="str">
        <f>IF(DO13="Estimate", DO12 &amp; TEXT(DR11, "yy") &amp; " (E)", DO12 &amp; TEXT(DR11, "yy") &amp; " (A)")</f>
        <v>2Q45 (E)</v>
      </c>
      <c r="DP4" s="11" t="str">
        <f>IF(DP13="Estimate", DP12 &amp; TEXT(DR11, "yy") &amp; " (E)", DP12 &amp; TEXT(DR11, "yy") &amp; " (A)")</f>
        <v>3Q45 (E)</v>
      </c>
      <c r="DQ4" s="11" t="str">
        <f>IF(DQ13="Estimate", DQ12 &amp; TEXT(DR11, "yy") &amp; " (E)", DQ12 &amp; TEXT(DR11, "yy") &amp; " (A)")</f>
        <v>4Q45 (E)</v>
      </c>
      <c r="DR4" s="12" t="str">
        <f>IF(DR13="Estimate", DR12 &amp; TEXT(DR11, "yy") &amp; " (E)", DR12 &amp; TEXT(DR11, "yy") &amp; " (A)")</f>
        <v>FY45 (E)</v>
      </c>
      <c r="DS4" s="11" t="str">
        <f>IF(DS13="Estimate", DS12 &amp; TEXT(DW11, "yy") &amp; " (E)", DS12 &amp; TEXT(DW11, "yy") &amp; " (A)")</f>
        <v>1Q46 (E)</v>
      </c>
      <c r="DT4" s="11" t="str">
        <f>IF(DT13="Estimate", DT12 &amp; TEXT(DW11, "yy") &amp; " (E)", DT12 &amp; TEXT(DW11, "yy") &amp; " (A)")</f>
        <v>2Q46 (E)</v>
      </c>
      <c r="DU4" s="11" t="str">
        <f>IF(DU13="Estimate", DU12 &amp; TEXT(DW11, "yy") &amp; " (E)", DU12 &amp; TEXT(DW11, "yy") &amp; " (A)")</f>
        <v>3Q46 (E)</v>
      </c>
      <c r="DV4" s="11" t="str">
        <f>IF(DV13="Estimate", DV12 &amp; TEXT(DW11, "yy") &amp; " (E)", DV12 &amp; TEXT(DW11, "yy") &amp; " (A)")</f>
        <v>4Q46 (E)</v>
      </c>
      <c r="DW4" s="12" t="str">
        <f>IF(DW13="Estimate", DW12 &amp; TEXT(DW11, "yy") &amp; " (E)", DW12 &amp; TEXT(DW11, "yy") &amp; " (A)")</f>
        <v>FY46 (E)</v>
      </c>
      <c r="DX4" s="11" t="str">
        <f>IF(DX13="Estimate", DX12 &amp; TEXT(EB11, "yy") &amp; " (E)", DX12 &amp; TEXT(EB11, "yy") &amp; " (A)")</f>
        <v>1Q47 (E)</v>
      </c>
      <c r="DY4" s="11" t="str">
        <f>IF(DY13="Estimate", DY12 &amp; TEXT(EB11, "yy") &amp; " (E)", DY12 &amp; TEXT(EB11, "yy") &amp; " (A)")</f>
        <v>2Q47 (E)</v>
      </c>
      <c r="DZ4" s="11" t="str">
        <f>IF(DZ13="Estimate", DZ12 &amp; TEXT(EB11, "yy") &amp; " (E)", DZ12 &amp; TEXT(EB11, "yy") &amp; " (A)")</f>
        <v>3Q47 (E)</v>
      </c>
      <c r="EA4" s="11" t="str">
        <f>IF(EA13="Estimate", EA12 &amp; TEXT(EB11, "yy") &amp; " (E)", EA12 &amp; TEXT(EB11, "yy") &amp; " (A)")</f>
        <v>4Q47 (E)</v>
      </c>
      <c r="EB4" s="12" t="str">
        <f>IF(EB13="Estimate", EB12 &amp; TEXT(EB11, "yy") &amp; " (E)", EB12 &amp; TEXT(EB11, "yy") &amp; " (A)")</f>
        <v>FY47 (E)</v>
      </c>
      <c r="EC4" s="11" t="str">
        <f>IF(EC13="Estimate", EC12 &amp; TEXT(EG11, "yy") &amp; " (E)", EC12 &amp; TEXT(EG11, "yy") &amp; " (A)")</f>
        <v>1Q48 (E)</v>
      </c>
      <c r="ED4" s="11" t="str">
        <f>IF(ED13="Estimate", ED12 &amp; TEXT(EG11, "yy") &amp; " (E)", ED12 &amp; TEXT(EG11, "yy") &amp; " (A)")</f>
        <v>2Q48 (E)</v>
      </c>
      <c r="EE4" s="11" t="str">
        <f>IF(EE13="Estimate", EE12 &amp; TEXT(EG11, "yy") &amp; " (E)", EE12 &amp; TEXT(EG11, "yy") &amp; " (A)")</f>
        <v>3Q48 (E)</v>
      </c>
      <c r="EF4" s="11" t="str">
        <f>IF(EF13="Estimate", EF12 &amp; TEXT(EG11, "yy") &amp; " (E)", EF12 &amp; TEXT(EG11, "yy") &amp; " (A)")</f>
        <v>4Q48 (E)</v>
      </c>
      <c r="EG4" s="12" t="str">
        <f>IF(EG13="Estimate", EG12 &amp; TEXT(EG11, "yy") &amp; " (E)", EG12 &amp; TEXT(EG11, "yy") &amp; " (A)")</f>
        <v>FY48 (E)</v>
      </c>
      <c r="EH4" s="11" t="str">
        <f>IF(EH13="Estimate", EH12 &amp; TEXT(EL11, "yy") &amp; " (E)", EH12 &amp; TEXT(EL11, "yy") &amp; " (A)")</f>
        <v>1Q49 (E)</v>
      </c>
      <c r="EI4" s="11" t="str">
        <f>IF(EI13="Estimate", EI12 &amp; TEXT(EL11, "yy") &amp; " (E)", EI12 &amp; TEXT(EL11, "yy") &amp; " (A)")</f>
        <v>2Q49 (E)</v>
      </c>
      <c r="EJ4" s="11" t="str">
        <f>IF(EJ13="Estimate", EJ12 &amp; TEXT(EL11, "yy") &amp; " (E)", EJ12 &amp; TEXT(EL11, "yy") &amp; " (A)")</f>
        <v>3Q49 (E)</v>
      </c>
      <c r="EK4" s="11" t="str">
        <f>IF(EK13="Estimate", EK12 &amp; TEXT(EL11, "yy") &amp; " (E)", EK12 &amp; TEXT(EL11, "yy") &amp; " (A)")</f>
        <v>4Q49 (E)</v>
      </c>
      <c r="EL4" s="12" t="str">
        <f>IF(EL13="Estimate", EL12 &amp; TEXT(EL11, "yy") &amp; " (E)", EL12 &amp; TEXT(EL11, "yy") &amp; " (A)")</f>
        <v>FY49 (E)</v>
      </c>
      <c r="EM4" s="11" t="str">
        <f>IF(EM13="Estimate", EM12 &amp; TEXT(EQ11, "yy") &amp; " (E)", EM12 &amp; TEXT(EQ11, "yy") &amp; " (A)")</f>
        <v>1Q50 (E)</v>
      </c>
      <c r="EN4" s="11" t="str">
        <f>IF(EN13="Estimate", EN12 &amp; TEXT(EQ11, "yy") &amp; " (E)", EN12 &amp; TEXT(EQ11, "yy") &amp; " (A)")</f>
        <v>2Q50 (E)</v>
      </c>
      <c r="EO4" s="11" t="str">
        <f>IF(EO13="Estimate", EO12 &amp; TEXT(EQ11, "yy") &amp; " (E)", EO12 &amp; TEXT(EQ11, "yy") &amp; " (A)")</f>
        <v>3Q50 (E)</v>
      </c>
      <c r="EP4" s="11" t="str">
        <f>IF(EP13="Estimate", EP12 &amp; TEXT(EQ11, "yy") &amp; " (E)", EP12 &amp; TEXT(EQ11, "yy") &amp; " (A)")</f>
        <v>4Q50 (E)</v>
      </c>
      <c r="EQ4" s="12" t="str">
        <f>IF(EQ13="Estimate", EQ12 &amp; TEXT(EQ11, "yy") &amp; " (E)", EQ12 &amp; TEXT(EQ11, "yy") &amp; " (A)")</f>
        <v>FY50 (E)</v>
      </c>
      <c r="ER4" s="11" t="str">
        <f>IF(ER13="Estimate", ER12 &amp; TEXT(EV11, "yy") &amp; " (E)", ER12 &amp; TEXT(EV11, "yy") &amp; " (A)")</f>
        <v>1Q51 (E)</v>
      </c>
      <c r="ES4" s="11" t="str">
        <f>IF(ES13="Estimate", ES12 &amp; TEXT(EV11, "yy") &amp; " (E)", ES12 &amp; TEXT(EV11, "yy") &amp; " (A)")</f>
        <v>2Q51 (E)</v>
      </c>
      <c r="ET4" s="11" t="str">
        <f>IF(ET13="Estimate", ET12 &amp; TEXT(EV11, "yy") &amp; " (E)", ET12 &amp; TEXT(EV11, "yy") &amp; " (A)")</f>
        <v>3Q51 (E)</v>
      </c>
      <c r="EU4" s="11" t="str">
        <f>IF(EU13="Estimate", EU12 &amp; TEXT(EV11, "yy") &amp; " (E)", EU12 &amp; TEXT(EV11, "yy") &amp; " (A)")</f>
        <v>4Q51 (E)</v>
      </c>
      <c r="EV4" s="12" t="str">
        <f>IF(EV13="Estimate", EV12 &amp; TEXT(EV11, "yy") &amp; " (E)", EV12 &amp; TEXT(EV11, "yy") &amp; " (A)")</f>
        <v>FY51 (E)</v>
      </c>
      <c r="EW4" s="11" t="str">
        <f>IF(EW13="Estimate", EW12 &amp; TEXT(FA11, "yy") &amp; " (E)", EW12 &amp; TEXT(FA11, "yy") &amp; " (A)")</f>
        <v>1Q52 (E)</v>
      </c>
      <c r="EX4" s="11" t="str">
        <f>IF(EX13="Estimate", EX12 &amp; TEXT(FA11, "yy") &amp; " (E)", EX12 &amp; TEXT(FA11, "yy") &amp; " (A)")</f>
        <v>2Q52 (E)</v>
      </c>
      <c r="EY4" s="11" t="str">
        <f>IF(EY13="Estimate", EY12 &amp; TEXT(FA11, "yy") &amp; " (E)", EY12 &amp; TEXT(FA11, "yy") &amp; " (A)")</f>
        <v>3Q52 (E)</v>
      </c>
      <c r="EZ4" s="11" t="str">
        <f>IF(EZ13="Estimate", EZ12 &amp; TEXT(FA11, "yy") &amp; " (E)", EZ12 &amp; TEXT(FA11, "yy") &amp; " (A)")</f>
        <v>4Q52 (E)</v>
      </c>
      <c r="FA4" s="12" t="str">
        <f>IF(FA13="Estimate", FA12 &amp; TEXT(FA11, "yy") &amp; " (E)", FA12 &amp; TEXT(FA11, "yy") &amp; " (A)")</f>
        <v>FY52 (E)</v>
      </c>
      <c r="FB4" s="11" t="str">
        <f>IF(FB13="Estimate", FB12 &amp; TEXT(FF11, "yy") &amp; " (E)", FB12 &amp; TEXT(FF11, "yy") &amp; " (A)")</f>
        <v>1Q53 (E)</v>
      </c>
      <c r="FC4" s="11" t="str">
        <f>IF(FC13="Estimate", FC12 &amp; TEXT(FF11, "yy") &amp; " (E)", FC12 &amp; TEXT(FF11, "yy") &amp; " (A)")</f>
        <v>2Q53 (E)</v>
      </c>
      <c r="FD4" s="11" t="str">
        <f>IF(FD13="Estimate", FD12 &amp; TEXT(FF11, "yy") &amp; " (E)", FD12 &amp; TEXT(FF11, "yy") &amp; " (A)")</f>
        <v>3Q53 (E)</v>
      </c>
      <c r="FE4" s="11" t="str">
        <f>IF(FE13="Estimate", FE12 &amp; TEXT(FF11, "yy") &amp; " (E)", FE12 &amp; TEXT(FF11, "yy") &amp; " (A)")</f>
        <v>4Q53 (E)</v>
      </c>
      <c r="FF4" s="12" t="str">
        <f>IF(FF13="Estimate", FF12 &amp; TEXT(FF11, "yy") &amp; " (E)", FF12 &amp; TEXT(FF11, "yy") &amp; " (A)")</f>
        <v>FY53 (E)</v>
      </c>
      <c r="FG4" s="11" t="str">
        <f>IF(FG13="Estimate", FG12 &amp; TEXT(FK11, "yy") &amp; " (E)", FG12 &amp; TEXT(FK11, "yy") &amp; " (A)")</f>
        <v>1Q54 (E)</v>
      </c>
      <c r="FH4" s="11" t="str">
        <f>IF(FH13="Estimate", FH12 &amp; TEXT(FK11, "yy") &amp; " (E)", FH12 &amp; TEXT(FK11, "yy") &amp; " (A)")</f>
        <v>2Q54 (E)</v>
      </c>
      <c r="FI4" s="11" t="str">
        <f>IF(FI13="Estimate", FI12 &amp; TEXT(FK11, "yy") &amp; " (E)", FI12 &amp; TEXT(FK11, "yy") &amp; " (A)")</f>
        <v>3Q54 (E)</v>
      </c>
      <c r="FJ4" s="11" t="str">
        <f>IF(FJ13="Estimate", FJ12 &amp; TEXT(FK11, "yy") &amp; " (E)", FJ12 &amp; TEXT(FK11, "yy") &amp; " (A)")</f>
        <v>4Q54 (E)</v>
      </c>
      <c r="FK4" s="12" t="str">
        <f>IF(FK13="Estimate", FK12 &amp; TEXT(FK11, "yy") &amp; " (E)", FK12 &amp; TEXT(FK11, "yy") &amp; " (A)")</f>
        <v>FY54 (E)</v>
      </c>
    </row>
    <row r="5" spans="1:167" s="17" customFormat="1" ht="12.75" customHeight="1">
      <c r="A5" s="13"/>
      <c r="B5" s="13"/>
      <c r="C5" s="15">
        <f t="shared" ref="C5:AA5" si="0">C11</f>
        <v>44651</v>
      </c>
      <c r="D5" s="15">
        <f t="shared" si="0"/>
        <v>44742</v>
      </c>
      <c r="E5" s="15">
        <f t="shared" si="0"/>
        <v>44834</v>
      </c>
      <c r="F5" s="15">
        <f t="shared" si="0"/>
        <v>44926</v>
      </c>
      <c r="G5" s="16">
        <f t="shared" si="0"/>
        <v>44926</v>
      </c>
      <c r="H5" s="15">
        <f t="shared" si="0"/>
        <v>45016</v>
      </c>
      <c r="I5" s="15">
        <f t="shared" si="0"/>
        <v>45107</v>
      </c>
      <c r="J5" s="15">
        <f t="shared" si="0"/>
        <v>45199</v>
      </c>
      <c r="K5" s="15">
        <f t="shared" si="0"/>
        <v>45291</v>
      </c>
      <c r="L5" s="16">
        <f t="shared" si="0"/>
        <v>45291</v>
      </c>
      <c r="M5" s="15">
        <f t="shared" si="0"/>
        <v>45382</v>
      </c>
      <c r="N5" s="15">
        <f t="shared" si="0"/>
        <v>45473</v>
      </c>
      <c r="O5" s="15">
        <f t="shared" si="0"/>
        <v>45565</v>
      </c>
      <c r="P5" s="15">
        <f t="shared" si="0"/>
        <v>45657</v>
      </c>
      <c r="Q5" s="16">
        <f t="shared" si="0"/>
        <v>45657</v>
      </c>
      <c r="R5" s="15">
        <f t="shared" si="0"/>
        <v>45747</v>
      </c>
      <c r="S5" s="15">
        <f t="shared" si="0"/>
        <v>45838</v>
      </c>
      <c r="T5" s="15">
        <f t="shared" si="0"/>
        <v>45930</v>
      </c>
      <c r="U5" s="15">
        <f t="shared" si="0"/>
        <v>46022</v>
      </c>
      <c r="V5" s="16">
        <f t="shared" si="0"/>
        <v>46022</v>
      </c>
      <c r="W5" s="15">
        <f t="shared" si="0"/>
        <v>46112</v>
      </c>
      <c r="X5" s="15">
        <f t="shared" si="0"/>
        <v>46203</v>
      </c>
      <c r="Y5" s="15">
        <f t="shared" si="0"/>
        <v>46295</v>
      </c>
      <c r="Z5" s="15">
        <f t="shared" si="0"/>
        <v>46387</v>
      </c>
      <c r="AA5" s="16">
        <f t="shared" si="0"/>
        <v>46387</v>
      </c>
      <c r="AB5" s="15">
        <f t="shared" ref="AB5:CN5" si="1">AB11</f>
        <v>46477</v>
      </c>
      <c r="AC5" s="15">
        <f t="shared" si="1"/>
        <v>46568</v>
      </c>
      <c r="AD5" s="15">
        <f t="shared" si="1"/>
        <v>46660</v>
      </c>
      <c r="AE5" s="15">
        <f t="shared" si="1"/>
        <v>46752</v>
      </c>
      <c r="AF5" s="16">
        <f t="shared" si="1"/>
        <v>46752</v>
      </c>
      <c r="AG5" s="15">
        <f t="shared" si="1"/>
        <v>46843</v>
      </c>
      <c r="AH5" s="15">
        <f t="shared" si="1"/>
        <v>46934</v>
      </c>
      <c r="AI5" s="15">
        <f t="shared" si="1"/>
        <v>47026</v>
      </c>
      <c r="AJ5" s="15">
        <f t="shared" si="1"/>
        <v>47118</v>
      </c>
      <c r="AK5" s="16">
        <f t="shared" si="1"/>
        <v>47118</v>
      </c>
      <c r="AL5" s="15">
        <f t="shared" si="1"/>
        <v>47208</v>
      </c>
      <c r="AM5" s="15">
        <f t="shared" si="1"/>
        <v>47299</v>
      </c>
      <c r="AN5" s="15">
        <f t="shared" si="1"/>
        <v>47391</v>
      </c>
      <c r="AO5" s="15">
        <f t="shared" si="1"/>
        <v>47483</v>
      </c>
      <c r="AP5" s="16">
        <f t="shared" si="1"/>
        <v>47483</v>
      </c>
      <c r="AQ5" s="15">
        <f t="shared" si="1"/>
        <v>47573</v>
      </c>
      <c r="AR5" s="15">
        <f t="shared" si="1"/>
        <v>47664</v>
      </c>
      <c r="AS5" s="15">
        <f t="shared" si="1"/>
        <v>47756</v>
      </c>
      <c r="AT5" s="15">
        <f t="shared" si="1"/>
        <v>47848</v>
      </c>
      <c r="AU5" s="16">
        <f t="shared" si="1"/>
        <v>47848</v>
      </c>
      <c r="AV5" s="15">
        <f t="shared" si="1"/>
        <v>47938</v>
      </c>
      <c r="AW5" s="15">
        <f t="shared" si="1"/>
        <v>48029</v>
      </c>
      <c r="AX5" s="15">
        <f t="shared" si="1"/>
        <v>48121</v>
      </c>
      <c r="AY5" s="15">
        <f t="shared" si="1"/>
        <v>48213</v>
      </c>
      <c r="AZ5" s="16">
        <f t="shared" si="1"/>
        <v>48213</v>
      </c>
      <c r="BA5" s="15">
        <f t="shared" si="1"/>
        <v>48304</v>
      </c>
      <c r="BB5" s="15">
        <f t="shared" si="1"/>
        <v>48395</v>
      </c>
      <c r="BC5" s="15">
        <f t="shared" si="1"/>
        <v>48487</v>
      </c>
      <c r="BD5" s="15">
        <f t="shared" si="1"/>
        <v>48579</v>
      </c>
      <c r="BE5" s="16">
        <f t="shared" si="1"/>
        <v>48579</v>
      </c>
      <c r="BF5" s="15">
        <f t="shared" si="1"/>
        <v>48669</v>
      </c>
      <c r="BG5" s="15">
        <f t="shared" si="1"/>
        <v>48760</v>
      </c>
      <c r="BH5" s="15">
        <f t="shared" si="1"/>
        <v>48852</v>
      </c>
      <c r="BI5" s="15">
        <f t="shared" si="1"/>
        <v>48944</v>
      </c>
      <c r="BJ5" s="16">
        <f t="shared" si="1"/>
        <v>48944</v>
      </c>
      <c r="BK5" s="15">
        <f t="shared" si="1"/>
        <v>49034</v>
      </c>
      <c r="BL5" s="15">
        <f t="shared" si="1"/>
        <v>49125</v>
      </c>
      <c r="BM5" s="15">
        <f t="shared" si="1"/>
        <v>49217</v>
      </c>
      <c r="BN5" s="15">
        <f t="shared" si="1"/>
        <v>49309</v>
      </c>
      <c r="BO5" s="16">
        <f t="shared" si="1"/>
        <v>49309</v>
      </c>
      <c r="BP5" s="15">
        <f t="shared" si="1"/>
        <v>49399</v>
      </c>
      <c r="BQ5" s="15">
        <f t="shared" si="1"/>
        <v>49490</v>
      </c>
      <c r="BR5" s="15">
        <f t="shared" si="1"/>
        <v>49582</v>
      </c>
      <c r="BS5" s="15">
        <f t="shared" si="1"/>
        <v>49674</v>
      </c>
      <c r="BT5" s="16">
        <f t="shared" si="1"/>
        <v>49674</v>
      </c>
      <c r="BU5" s="15">
        <f t="shared" si="1"/>
        <v>49765</v>
      </c>
      <c r="BV5" s="15">
        <f t="shared" si="1"/>
        <v>49856</v>
      </c>
      <c r="BW5" s="15">
        <f t="shared" si="1"/>
        <v>49948</v>
      </c>
      <c r="BX5" s="15">
        <f t="shared" si="1"/>
        <v>50040</v>
      </c>
      <c r="BY5" s="16">
        <f t="shared" si="1"/>
        <v>50040</v>
      </c>
      <c r="BZ5" s="15">
        <f t="shared" si="1"/>
        <v>50130</v>
      </c>
      <c r="CA5" s="15">
        <f t="shared" si="1"/>
        <v>50221</v>
      </c>
      <c r="CB5" s="15">
        <f t="shared" si="1"/>
        <v>50313</v>
      </c>
      <c r="CC5" s="15">
        <f t="shared" si="1"/>
        <v>50405</v>
      </c>
      <c r="CD5" s="16">
        <f t="shared" si="1"/>
        <v>50405</v>
      </c>
      <c r="CE5" s="15">
        <f t="shared" si="1"/>
        <v>50495</v>
      </c>
      <c r="CF5" s="15">
        <f t="shared" si="1"/>
        <v>50586</v>
      </c>
      <c r="CG5" s="15">
        <f t="shared" si="1"/>
        <v>50678</v>
      </c>
      <c r="CH5" s="15">
        <f t="shared" si="1"/>
        <v>50770</v>
      </c>
      <c r="CI5" s="16">
        <f t="shared" si="1"/>
        <v>50770</v>
      </c>
      <c r="CJ5" s="15">
        <f t="shared" si="1"/>
        <v>50860</v>
      </c>
      <c r="CK5" s="15">
        <f t="shared" si="1"/>
        <v>50951</v>
      </c>
      <c r="CL5" s="15">
        <f t="shared" si="1"/>
        <v>51043</v>
      </c>
      <c r="CM5" s="15">
        <f t="shared" si="1"/>
        <v>51135</v>
      </c>
      <c r="CN5" s="16">
        <f t="shared" si="1"/>
        <v>51135</v>
      </c>
      <c r="CO5" s="15">
        <f t="shared" ref="CO5:DW5" si="2">CO11</f>
        <v>51226</v>
      </c>
      <c r="CP5" s="15">
        <f t="shared" si="2"/>
        <v>51317</v>
      </c>
      <c r="CQ5" s="15">
        <f t="shared" si="2"/>
        <v>51409</v>
      </c>
      <c r="CR5" s="15">
        <f t="shared" si="2"/>
        <v>51501</v>
      </c>
      <c r="CS5" s="16">
        <f t="shared" si="2"/>
        <v>51501</v>
      </c>
      <c r="CT5" s="15">
        <f t="shared" si="2"/>
        <v>51591</v>
      </c>
      <c r="CU5" s="15">
        <f t="shared" si="2"/>
        <v>51682</v>
      </c>
      <c r="CV5" s="15">
        <f t="shared" si="2"/>
        <v>51774</v>
      </c>
      <c r="CW5" s="15">
        <f t="shared" si="2"/>
        <v>51866</v>
      </c>
      <c r="CX5" s="16">
        <f t="shared" si="2"/>
        <v>51866</v>
      </c>
      <c r="CY5" s="15">
        <f t="shared" si="2"/>
        <v>51956</v>
      </c>
      <c r="CZ5" s="15">
        <f t="shared" si="2"/>
        <v>52047</v>
      </c>
      <c r="DA5" s="15">
        <f t="shared" si="2"/>
        <v>52139</v>
      </c>
      <c r="DB5" s="15">
        <f t="shared" si="2"/>
        <v>52231</v>
      </c>
      <c r="DC5" s="16">
        <f t="shared" si="2"/>
        <v>52231</v>
      </c>
      <c r="DD5" s="15">
        <f t="shared" si="2"/>
        <v>52321</v>
      </c>
      <c r="DE5" s="15">
        <f t="shared" si="2"/>
        <v>52412</v>
      </c>
      <c r="DF5" s="15">
        <f t="shared" si="2"/>
        <v>52504</v>
      </c>
      <c r="DG5" s="15">
        <f t="shared" si="2"/>
        <v>52596</v>
      </c>
      <c r="DH5" s="16">
        <f t="shared" si="2"/>
        <v>52596</v>
      </c>
      <c r="DI5" s="15">
        <f t="shared" si="2"/>
        <v>52687</v>
      </c>
      <c r="DJ5" s="15">
        <f t="shared" si="2"/>
        <v>52778</v>
      </c>
      <c r="DK5" s="15">
        <f t="shared" si="2"/>
        <v>52870</v>
      </c>
      <c r="DL5" s="15">
        <f t="shared" si="2"/>
        <v>52962</v>
      </c>
      <c r="DM5" s="16">
        <f t="shared" si="2"/>
        <v>52962</v>
      </c>
      <c r="DN5" s="15">
        <f t="shared" si="2"/>
        <v>53052</v>
      </c>
      <c r="DO5" s="15">
        <f t="shared" si="2"/>
        <v>53143</v>
      </c>
      <c r="DP5" s="15">
        <f t="shared" si="2"/>
        <v>53235</v>
      </c>
      <c r="DQ5" s="15">
        <f t="shared" si="2"/>
        <v>53327</v>
      </c>
      <c r="DR5" s="16">
        <f t="shared" si="2"/>
        <v>53327</v>
      </c>
      <c r="DS5" s="15">
        <f t="shared" si="2"/>
        <v>53417</v>
      </c>
      <c r="DT5" s="15">
        <f t="shared" si="2"/>
        <v>53508</v>
      </c>
      <c r="DU5" s="15">
        <f t="shared" si="2"/>
        <v>53600</v>
      </c>
      <c r="DV5" s="15">
        <f t="shared" si="2"/>
        <v>53692</v>
      </c>
      <c r="DW5" s="16">
        <f t="shared" si="2"/>
        <v>53692</v>
      </c>
      <c r="DX5" s="15">
        <f t="shared" ref="DX5:FK5" si="3">DX11</f>
        <v>53782</v>
      </c>
      <c r="DY5" s="15">
        <f t="shared" si="3"/>
        <v>53873</v>
      </c>
      <c r="DZ5" s="15">
        <f t="shared" si="3"/>
        <v>53965</v>
      </c>
      <c r="EA5" s="15">
        <f t="shared" si="3"/>
        <v>54057</v>
      </c>
      <c r="EB5" s="16">
        <f t="shared" si="3"/>
        <v>54057</v>
      </c>
      <c r="EC5" s="15">
        <f t="shared" si="3"/>
        <v>54148</v>
      </c>
      <c r="ED5" s="15">
        <f t="shared" si="3"/>
        <v>54239</v>
      </c>
      <c r="EE5" s="15">
        <f t="shared" si="3"/>
        <v>54331</v>
      </c>
      <c r="EF5" s="15">
        <f t="shared" si="3"/>
        <v>54423</v>
      </c>
      <c r="EG5" s="16">
        <f t="shared" si="3"/>
        <v>54423</v>
      </c>
      <c r="EH5" s="15">
        <f t="shared" si="3"/>
        <v>54513</v>
      </c>
      <c r="EI5" s="15">
        <f t="shared" si="3"/>
        <v>54604</v>
      </c>
      <c r="EJ5" s="15">
        <f t="shared" si="3"/>
        <v>54696</v>
      </c>
      <c r="EK5" s="15">
        <f t="shared" si="3"/>
        <v>54788</v>
      </c>
      <c r="EL5" s="16">
        <f t="shared" si="3"/>
        <v>54788</v>
      </c>
      <c r="EM5" s="15">
        <f t="shared" si="3"/>
        <v>54878</v>
      </c>
      <c r="EN5" s="15">
        <f t="shared" si="3"/>
        <v>54969</v>
      </c>
      <c r="EO5" s="15">
        <f t="shared" si="3"/>
        <v>55061</v>
      </c>
      <c r="EP5" s="15">
        <f t="shared" si="3"/>
        <v>55153</v>
      </c>
      <c r="EQ5" s="16">
        <f t="shared" si="3"/>
        <v>55153</v>
      </c>
      <c r="ER5" s="15">
        <f t="shared" si="3"/>
        <v>55243</v>
      </c>
      <c r="ES5" s="15">
        <f t="shared" si="3"/>
        <v>55334</v>
      </c>
      <c r="ET5" s="15">
        <f t="shared" si="3"/>
        <v>55426</v>
      </c>
      <c r="EU5" s="15">
        <f t="shared" si="3"/>
        <v>55518</v>
      </c>
      <c r="EV5" s="16">
        <f t="shared" si="3"/>
        <v>55518</v>
      </c>
      <c r="EW5" s="15">
        <f t="shared" si="3"/>
        <v>55609</v>
      </c>
      <c r="EX5" s="15">
        <f t="shared" si="3"/>
        <v>55700</v>
      </c>
      <c r="EY5" s="15">
        <f t="shared" si="3"/>
        <v>55792</v>
      </c>
      <c r="EZ5" s="15">
        <f t="shared" si="3"/>
        <v>55884</v>
      </c>
      <c r="FA5" s="16">
        <f t="shared" si="3"/>
        <v>55884</v>
      </c>
      <c r="FB5" s="15">
        <f t="shared" si="3"/>
        <v>55974</v>
      </c>
      <c r="FC5" s="15">
        <f t="shared" si="3"/>
        <v>56065</v>
      </c>
      <c r="FD5" s="15">
        <f t="shared" si="3"/>
        <v>56157</v>
      </c>
      <c r="FE5" s="15">
        <f t="shared" si="3"/>
        <v>56249</v>
      </c>
      <c r="FF5" s="16">
        <f t="shared" si="3"/>
        <v>56249</v>
      </c>
      <c r="FG5" s="15">
        <f t="shared" si="3"/>
        <v>56339</v>
      </c>
      <c r="FH5" s="15">
        <f t="shared" si="3"/>
        <v>56430</v>
      </c>
      <c r="FI5" s="15">
        <f t="shared" si="3"/>
        <v>56522</v>
      </c>
      <c r="FJ5" s="15">
        <f t="shared" si="3"/>
        <v>56614</v>
      </c>
      <c r="FK5" s="16">
        <f t="shared" si="3"/>
        <v>56614</v>
      </c>
    </row>
    <row r="6" spans="1:167" ht="12.75" customHeight="1">
      <c r="A6" s="2"/>
      <c r="B6" s="2"/>
      <c r="C6" s="14"/>
      <c r="D6" s="14"/>
      <c r="E6" s="14"/>
      <c r="F6" s="14"/>
      <c r="G6" s="11"/>
      <c r="H6" s="14"/>
      <c r="I6" s="14"/>
      <c r="J6" s="14"/>
      <c r="K6" s="14"/>
      <c r="L6" s="11"/>
      <c r="M6" s="14"/>
      <c r="N6" s="14"/>
      <c r="O6" s="14"/>
      <c r="P6" s="14"/>
      <c r="Q6" s="11"/>
      <c r="R6" s="14"/>
      <c r="S6" s="14"/>
      <c r="T6" s="14"/>
      <c r="U6" s="14"/>
      <c r="V6" s="11"/>
      <c r="W6" s="14"/>
      <c r="X6" s="14"/>
      <c r="Y6" s="14"/>
      <c r="Z6" s="14"/>
      <c r="AA6" s="11"/>
      <c r="AB6" s="14"/>
      <c r="AC6" s="14"/>
      <c r="AD6" s="14"/>
      <c r="AE6" s="14"/>
      <c r="AF6" s="11"/>
      <c r="AG6" s="14"/>
      <c r="AH6" s="14"/>
      <c r="AI6" s="14"/>
      <c r="AJ6" s="14"/>
      <c r="AK6" s="11"/>
      <c r="AL6" s="14"/>
      <c r="AM6" s="14"/>
      <c r="AN6" s="14"/>
      <c r="AO6" s="14"/>
      <c r="AP6" s="11"/>
      <c r="AQ6" s="14"/>
      <c r="AR6" s="14"/>
      <c r="AS6" s="14"/>
      <c r="AT6" s="14"/>
      <c r="AU6" s="11"/>
      <c r="AV6" s="14"/>
      <c r="AW6" s="14"/>
      <c r="AX6" s="14"/>
      <c r="AY6" s="14"/>
      <c r="AZ6" s="11"/>
      <c r="BA6" s="14"/>
      <c r="BB6" s="14"/>
      <c r="BC6" s="14"/>
      <c r="BD6" s="14"/>
      <c r="BE6" s="11"/>
      <c r="BF6" s="14"/>
      <c r="BG6" s="14"/>
      <c r="BH6" s="14"/>
      <c r="BI6" s="14"/>
      <c r="BJ6" s="11"/>
      <c r="BK6" s="14"/>
      <c r="BL6" s="14"/>
      <c r="BM6" s="14"/>
      <c r="BN6" s="14"/>
      <c r="BO6" s="11"/>
      <c r="BP6" s="14"/>
      <c r="BQ6" s="14"/>
      <c r="BR6" s="14"/>
      <c r="BS6" s="14"/>
      <c r="BT6" s="11"/>
      <c r="BU6" s="14"/>
      <c r="BV6" s="14"/>
      <c r="BW6" s="14"/>
      <c r="BX6" s="14"/>
      <c r="BY6" s="11"/>
      <c r="BZ6" s="14"/>
      <c r="CA6" s="14"/>
      <c r="CB6" s="14"/>
      <c r="CC6" s="14"/>
      <c r="CD6" s="11"/>
      <c r="CE6" s="14"/>
      <c r="CF6" s="14"/>
      <c r="CG6" s="14"/>
      <c r="CH6" s="14"/>
      <c r="CI6" s="11"/>
      <c r="CJ6" s="14"/>
      <c r="CK6" s="14"/>
      <c r="CL6" s="14"/>
      <c r="CM6" s="14"/>
      <c r="CN6" s="11"/>
      <c r="CO6" s="14"/>
      <c r="CP6" s="14"/>
      <c r="CQ6" s="14"/>
      <c r="CR6" s="14"/>
      <c r="CS6" s="11"/>
      <c r="CT6" s="14"/>
      <c r="CU6" s="14"/>
      <c r="CV6" s="14"/>
      <c r="CW6" s="14"/>
      <c r="CX6" s="11"/>
      <c r="CY6" s="14"/>
      <c r="CZ6" s="14"/>
      <c r="DA6" s="14"/>
      <c r="DB6" s="14"/>
      <c r="DC6" s="11"/>
      <c r="DD6" s="14"/>
      <c r="DE6" s="14"/>
      <c r="DF6" s="14"/>
      <c r="DG6" s="14"/>
      <c r="DH6" s="11"/>
      <c r="DI6" s="14"/>
      <c r="DJ6" s="14"/>
      <c r="DK6" s="14"/>
      <c r="DL6" s="14"/>
      <c r="DM6" s="11"/>
      <c r="DN6" s="14"/>
      <c r="DO6" s="14"/>
      <c r="DP6" s="14"/>
      <c r="DQ6" s="14"/>
      <c r="DR6" s="11"/>
      <c r="DS6" s="14"/>
      <c r="DT6" s="14"/>
      <c r="DU6" s="14"/>
      <c r="DV6" s="14"/>
      <c r="DW6" s="11"/>
      <c r="DX6" s="14"/>
      <c r="DY6" s="14"/>
      <c r="DZ6" s="14"/>
      <c r="EA6" s="14"/>
      <c r="EB6" s="11"/>
      <c r="EC6" s="14"/>
      <c r="ED6" s="14"/>
      <c r="EE6" s="14"/>
      <c r="EF6" s="14"/>
      <c r="EG6" s="11"/>
      <c r="EH6" s="14"/>
      <c r="EI6" s="14"/>
      <c r="EJ6" s="14"/>
      <c r="EK6" s="14"/>
      <c r="EL6" s="11"/>
      <c r="EM6" s="14"/>
      <c r="EN6" s="14"/>
      <c r="EO6" s="14"/>
      <c r="EP6" s="14"/>
      <c r="EQ6" s="11"/>
      <c r="ER6" s="14"/>
      <c r="ES6" s="14"/>
      <c r="ET6" s="14"/>
      <c r="EU6" s="14"/>
      <c r="EV6" s="11"/>
      <c r="EW6" s="14"/>
      <c r="EX6" s="14"/>
      <c r="EY6" s="14"/>
      <c r="EZ6" s="14"/>
      <c r="FA6" s="11"/>
      <c r="FB6" s="14"/>
      <c r="FC6" s="14"/>
      <c r="FD6" s="14"/>
      <c r="FE6" s="14"/>
      <c r="FF6" s="11"/>
      <c r="FG6" s="14"/>
      <c r="FH6" s="14"/>
      <c r="FI6" s="14"/>
      <c r="FJ6" s="14"/>
      <c r="FK6" s="11"/>
    </row>
    <row r="7" spans="1:167" ht="12.75" customHeight="1">
      <c r="A7" s="2"/>
      <c r="B7" s="18" t="s">
        <v>9</v>
      </c>
      <c r="C7" s="20"/>
      <c r="D7" s="20"/>
      <c r="E7" s="20"/>
      <c r="F7" s="20"/>
      <c r="G7" s="21"/>
      <c r="H7" s="20"/>
      <c r="I7" s="20"/>
      <c r="J7" s="20"/>
      <c r="K7" s="20"/>
      <c r="L7" s="21"/>
      <c r="M7" s="20"/>
      <c r="N7" s="20"/>
      <c r="O7" s="20"/>
      <c r="P7" s="20"/>
      <c r="Q7" s="21"/>
      <c r="R7" s="20"/>
      <c r="S7" s="20"/>
      <c r="T7" s="20" t="s">
        <v>10</v>
      </c>
      <c r="U7" s="20"/>
      <c r="V7" s="21"/>
      <c r="W7" s="20"/>
      <c r="X7" s="20"/>
      <c r="Y7" s="20"/>
      <c r="Z7" s="20"/>
      <c r="AA7" s="21"/>
      <c r="AB7" s="20"/>
      <c r="AC7" s="20"/>
      <c r="AD7" s="20"/>
      <c r="AE7" s="20"/>
      <c r="AF7" s="21"/>
      <c r="AG7" s="20"/>
      <c r="AH7" s="20"/>
      <c r="AI7" s="20"/>
      <c r="AJ7" s="20"/>
      <c r="AK7" s="21"/>
      <c r="AL7" s="20"/>
      <c r="AM7" s="20"/>
      <c r="AN7" s="20"/>
      <c r="AO7" s="20"/>
      <c r="AP7" s="21"/>
      <c r="AQ7" s="20"/>
      <c r="AR7" s="20"/>
      <c r="AS7" s="20"/>
      <c r="AT7" s="20"/>
      <c r="AU7" s="21"/>
      <c r="AV7" s="20"/>
      <c r="AW7" s="20"/>
      <c r="AX7" s="20"/>
      <c r="AY7" s="20"/>
      <c r="AZ7" s="21"/>
      <c r="BA7" s="20"/>
      <c r="BB7" s="20"/>
      <c r="BC7" s="20"/>
      <c r="BD7" s="20"/>
      <c r="BE7" s="21"/>
      <c r="BF7" s="20"/>
      <c r="BG7" s="20"/>
      <c r="BH7" s="20"/>
      <c r="BI7" s="20"/>
      <c r="BJ7" s="21"/>
      <c r="BK7" s="20"/>
      <c r="BL7" s="20"/>
      <c r="BM7" s="20"/>
      <c r="BN7" s="20"/>
      <c r="BO7" s="21"/>
      <c r="BP7" s="20"/>
      <c r="BQ7" s="20"/>
      <c r="BR7" s="20"/>
      <c r="BS7" s="20"/>
      <c r="BT7" s="21"/>
      <c r="BU7" s="20"/>
      <c r="BV7" s="20"/>
      <c r="BW7" s="20"/>
      <c r="BX7" s="20"/>
      <c r="BY7" s="21"/>
      <c r="BZ7" s="20"/>
      <c r="CA7" s="20"/>
      <c r="CB7" s="20"/>
      <c r="CC7" s="20"/>
      <c r="CD7" s="21"/>
      <c r="CE7" s="20"/>
      <c r="CF7" s="20"/>
      <c r="CG7" s="20"/>
      <c r="CH7" s="20"/>
      <c r="CI7" s="21"/>
      <c r="CJ7" s="20"/>
      <c r="CK7" s="20"/>
      <c r="CL7" s="20"/>
      <c r="CM7" s="20"/>
      <c r="CN7" s="21"/>
      <c r="CO7" s="20"/>
      <c r="CP7" s="20"/>
      <c r="CQ7" s="20"/>
      <c r="CR7" s="20"/>
      <c r="CS7" s="21"/>
      <c r="CT7" s="20"/>
      <c r="CU7" s="20"/>
      <c r="CV7" s="20"/>
      <c r="CW7" s="20"/>
      <c r="CX7" s="21"/>
      <c r="CY7" s="20"/>
      <c r="CZ7" s="20"/>
      <c r="DA7" s="20"/>
      <c r="DB7" s="20"/>
      <c r="DC7" s="21"/>
      <c r="DD7" s="20"/>
      <c r="DE7" s="20"/>
      <c r="DF7" s="20"/>
      <c r="DG7" s="20"/>
      <c r="DH7" s="21"/>
      <c r="DI7" s="20"/>
      <c r="DJ7" s="20"/>
      <c r="DK7" s="20"/>
      <c r="DL7" s="20"/>
      <c r="DM7" s="21"/>
      <c r="DN7" s="20"/>
      <c r="DO7" s="20"/>
      <c r="DP7" s="20"/>
      <c r="DQ7" s="20"/>
      <c r="DR7" s="21"/>
      <c r="DS7" s="20"/>
      <c r="DT7" s="20"/>
      <c r="DU7" s="20"/>
      <c r="DV7" s="20"/>
      <c r="DW7" s="21"/>
      <c r="DX7" s="20"/>
      <c r="DY7" s="20"/>
      <c r="DZ7" s="20"/>
      <c r="EA7" s="20"/>
      <c r="EB7" s="21"/>
      <c r="EC7" s="20"/>
      <c r="ED7" s="20"/>
      <c r="EE7" s="20"/>
      <c r="EF7" s="20"/>
      <c r="EG7" s="21"/>
      <c r="EH7" s="20"/>
      <c r="EI7" s="20"/>
      <c r="EJ7" s="20"/>
      <c r="EK7" s="20"/>
      <c r="EL7" s="21"/>
      <c r="EM7" s="20"/>
      <c r="EN7" s="20"/>
      <c r="EO7" s="20"/>
      <c r="EP7" s="20"/>
      <c r="EQ7" s="21"/>
      <c r="ER7" s="20"/>
      <c r="ES7" s="20"/>
      <c r="ET7" s="20"/>
      <c r="EU7" s="20"/>
      <c r="EV7" s="21"/>
      <c r="EW7" s="20"/>
      <c r="EX7" s="20"/>
      <c r="EY7" s="20"/>
      <c r="EZ7" s="20"/>
      <c r="FA7" s="21"/>
      <c r="FB7" s="20"/>
      <c r="FC7" s="20"/>
      <c r="FD7" s="20"/>
      <c r="FE7" s="20"/>
      <c r="FF7" s="21"/>
      <c r="FG7" s="20"/>
      <c r="FH7" s="20"/>
      <c r="FI7" s="20"/>
      <c r="FJ7" s="20"/>
      <c r="FK7" s="21"/>
    </row>
    <row r="8" spans="1:167" ht="12.75" customHeight="1">
      <c r="A8" s="2"/>
      <c r="B8" s="22" t="s">
        <v>11</v>
      </c>
      <c r="C8" s="23"/>
      <c r="D8" s="23"/>
      <c r="E8" s="23"/>
      <c r="F8" s="23"/>
      <c r="G8" s="24"/>
      <c r="H8" s="23"/>
      <c r="I8" s="23"/>
      <c r="J8" s="23"/>
      <c r="K8" s="23"/>
      <c r="L8" s="24"/>
      <c r="M8" s="23"/>
      <c r="N8" s="23"/>
      <c r="O8" s="23"/>
      <c r="P8" s="23"/>
      <c r="Q8" s="24" t="s">
        <v>10</v>
      </c>
      <c r="R8" s="23"/>
      <c r="S8" s="23"/>
      <c r="T8" s="23"/>
      <c r="U8" s="23"/>
      <c r="V8" s="24"/>
      <c r="W8" s="23"/>
      <c r="X8" s="23"/>
      <c r="Y8" s="23"/>
      <c r="Z8" s="23"/>
      <c r="AA8" s="24"/>
      <c r="AB8" s="23"/>
      <c r="AC8" s="23"/>
      <c r="AD8" s="23"/>
      <c r="AE8" s="23"/>
      <c r="AF8" s="24"/>
      <c r="AG8" s="23"/>
      <c r="AH8" s="23"/>
      <c r="AI8" s="23"/>
      <c r="AJ8" s="23"/>
      <c r="AK8" s="24"/>
      <c r="AL8" s="23"/>
      <c r="AM8" s="23"/>
      <c r="AN8" s="23"/>
      <c r="AO8" s="23"/>
      <c r="AP8" s="24"/>
      <c r="AQ8" s="23"/>
      <c r="AR8" s="23"/>
      <c r="AS8" s="23"/>
      <c r="AT8" s="23"/>
      <c r="AU8" s="24"/>
      <c r="AV8" s="23"/>
      <c r="AW8" s="23"/>
      <c r="AX8" s="23"/>
      <c r="AY8" s="23"/>
      <c r="AZ8" s="24"/>
      <c r="BA8" s="23"/>
      <c r="BB8" s="23"/>
      <c r="BC8" s="23"/>
      <c r="BD8" s="23"/>
      <c r="BE8" s="24"/>
      <c r="BF8" s="23"/>
      <c r="BG8" s="23"/>
      <c r="BH8" s="23"/>
      <c r="BI8" s="23"/>
      <c r="BJ8" s="24"/>
      <c r="BK8" s="23"/>
      <c r="BL8" s="23"/>
      <c r="BM8" s="23"/>
      <c r="BN8" s="23"/>
      <c r="BO8" s="24"/>
      <c r="BP8" s="23"/>
      <c r="BQ8" s="23"/>
      <c r="BR8" s="23"/>
      <c r="BS8" s="23"/>
      <c r="BT8" s="24"/>
      <c r="BU8" s="23"/>
      <c r="BV8" s="23"/>
      <c r="BW8" s="23"/>
      <c r="BX8" s="23"/>
      <c r="BY8" s="24"/>
      <c r="BZ8" s="23"/>
      <c r="CA8" s="23"/>
      <c r="CB8" s="23"/>
      <c r="CC8" s="23"/>
      <c r="CD8" s="24"/>
      <c r="CE8" s="23"/>
      <c r="CF8" s="23"/>
      <c r="CG8" s="23"/>
      <c r="CH8" s="23"/>
      <c r="CI8" s="24"/>
      <c r="CJ8" s="23"/>
      <c r="CK8" s="23"/>
      <c r="CL8" s="23"/>
      <c r="CM8" s="23"/>
      <c r="CN8" s="24"/>
      <c r="CO8" s="23"/>
      <c r="CP8" s="23"/>
      <c r="CQ8" s="23"/>
      <c r="CR8" s="23"/>
      <c r="CS8" s="24"/>
      <c r="CT8" s="23"/>
      <c r="CU8" s="23"/>
      <c r="CV8" s="23"/>
      <c r="CW8" s="23"/>
      <c r="CX8" s="24"/>
      <c r="CY8" s="23"/>
      <c r="CZ8" s="23"/>
      <c r="DA8" s="23"/>
      <c r="DB8" s="23"/>
      <c r="DC8" s="24"/>
      <c r="DD8" s="23"/>
      <c r="DE8" s="23"/>
      <c r="DF8" s="23"/>
      <c r="DG8" s="23"/>
      <c r="DH8" s="24"/>
      <c r="DI8" s="23"/>
      <c r="DJ8" s="23"/>
      <c r="DK8" s="23"/>
      <c r="DL8" s="23"/>
      <c r="DM8" s="24"/>
      <c r="DN8" s="23"/>
      <c r="DO8" s="23"/>
      <c r="DP8" s="23"/>
      <c r="DQ8" s="23"/>
      <c r="DR8" s="24"/>
      <c r="DS8" s="23"/>
      <c r="DT8" s="23"/>
      <c r="DU8" s="23"/>
      <c r="DV8" s="23"/>
      <c r="DW8" s="24"/>
      <c r="DX8" s="23"/>
      <c r="DY8" s="23"/>
      <c r="DZ8" s="23"/>
      <c r="EA8" s="23"/>
      <c r="EB8" s="24"/>
      <c r="EC8" s="23"/>
      <c r="ED8" s="23"/>
      <c r="EE8" s="23"/>
      <c r="EF8" s="23"/>
      <c r="EG8" s="24"/>
      <c r="EH8" s="23"/>
      <c r="EI8" s="23"/>
      <c r="EJ8" s="23"/>
      <c r="EK8" s="23"/>
      <c r="EL8" s="24"/>
      <c r="EM8" s="23"/>
      <c r="EN8" s="23"/>
      <c r="EO8" s="23"/>
      <c r="EP8" s="23"/>
      <c r="EQ8" s="24"/>
      <c r="ER8" s="23"/>
      <c r="ES8" s="23"/>
      <c r="ET8" s="23"/>
      <c r="EU8" s="23"/>
      <c r="EV8" s="24"/>
      <c r="EW8" s="23"/>
      <c r="EX8" s="23"/>
      <c r="EY8" s="23"/>
      <c r="EZ8" s="23"/>
      <c r="FA8" s="24"/>
      <c r="FB8" s="23"/>
      <c r="FC8" s="23"/>
      <c r="FD8" s="23"/>
      <c r="FE8" s="23"/>
      <c r="FF8" s="24"/>
      <c r="FG8" s="23"/>
      <c r="FH8" s="23"/>
      <c r="FI8" s="23"/>
      <c r="FJ8" s="23"/>
      <c r="FK8" s="24"/>
    </row>
    <row r="9" spans="1:167" ht="12.75" customHeight="1">
      <c r="A9" s="2"/>
      <c r="B9" s="25" t="s">
        <v>12</v>
      </c>
      <c r="C9" s="26"/>
      <c r="D9" s="26"/>
      <c r="E9" s="26"/>
      <c r="F9" s="26"/>
      <c r="G9" s="27"/>
      <c r="H9" s="26"/>
      <c r="I9" s="26"/>
      <c r="J9" s="26"/>
      <c r="K9" s="26"/>
      <c r="L9" s="27"/>
      <c r="M9" s="26"/>
      <c r="N9" s="26"/>
      <c r="O9" s="26"/>
      <c r="P9" s="26"/>
      <c r="Q9" s="27"/>
      <c r="R9" s="26"/>
      <c r="S9" s="26"/>
      <c r="T9" s="26"/>
      <c r="U9" s="26"/>
      <c r="V9" s="27"/>
      <c r="W9" s="26"/>
      <c r="X9" s="26"/>
      <c r="Y9" s="26"/>
      <c r="Z9" s="26"/>
      <c r="AA9" s="27"/>
      <c r="AB9" s="26"/>
      <c r="AC9" s="26"/>
      <c r="AD9" s="26"/>
      <c r="AE9" s="26"/>
      <c r="AF9" s="27"/>
      <c r="AG9" s="26"/>
      <c r="AH9" s="26"/>
      <c r="AI9" s="26"/>
      <c r="AJ9" s="26"/>
      <c r="AK9" s="27"/>
      <c r="AL9" s="26"/>
      <c r="AM9" s="26"/>
      <c r="AN9" s="26"/>
      <c r="AO9" s="26"/>
      <c r="AP9" s="27"/>
      <c r="AQ9" s="26"/>
      <c r="AR9" s="26"/>
      <c r="AS9" s="26"/>
      <c r="AT9" s="26"/>
      <c r="AU9" s="27"/>
      <c r="AV9" s="26"/>
      <c r="AW9" s="26"/>
      <c r="AX9" s="26"/>
      <c r="AY9" s="26"/>
      <c r="AZ9" s="27"/>
      <c r="BA9" s="26"/>
      <c r="BB9" s="26"/>
      <c r="BC9" s="26"/>
      <c r="BD9" s="26"/>
      <c r="BE9" s="27"/>
      <c r="BF9" s="26"/>
      <c r="BG9" s="26"/>
      <c r="BH9" s="26"/>
      <c r="BI9" s="26"/>
      <c r="BJ9" s="27"/>
      <c r="BK9" s="26"/>
      <c r="BL9" s="26"/>
      <c r="BM9" s="26"/>
      <c r="BN9" s="26"/>
      <c r="BO9" s="27"/>
      <c r="BP9" s="26"/>
      <c r="BQ9" s="26"/>
      <c r="BR9" s="26"/>
      <c r="BS9" s="26"/>
      <c r="BT9" s="27"/>
      <c r="BU9" s="26"/>
      <c r="BV9" s="26"/>
      <c r="BW9" s="26"/>
      <c r="BX9" s="26"/>
      <c r="BY9" s="27"/>
      <c r="BZ9" s="26"/>
      <c r="CA9" s="26"/>
      <c r="CB9" s="26"/>
      <c r="CC9" s="26"/>
      <c r="CD9" s="27"/>
      <c r="CE9" s="26"/>
      <c r="CF9" s="26"/>
      <c r="CG9" s="26"/>
      <c r="CH9" s="26"/>
      <c r="CI9" s="27"/>
      <c r="CJ9" s="26"/>
      <c r="CK9" s="26"/>
      <c r="CL9" s="26"/>
      <c r="CM9" s="26"/>
      <c r="CN9" s="27"/>
      <c r="CO9" s="26"/>
      <c r="CP9" s="26"/>
      <c r="CQ9" s="26"/>
      <c r="CR9" s="26"/>
      <c r="CS9" s="27"/>
      <c r="CT9" s="26"/>
      <c r="CU9" s="26"/>
      <c r="CV9" s="26"/>
      <c r="CW9" s="26"/>
      <c r="CX9" s="27"/>
      <c r="CY9" s="26"/>
      <c r="CZ9" s="26"/>
      <c r="DA9" s="26"/>
      <c r="DB9" s="26"/>
      <c r="DC9" s="27"/>
      <c r="DD9" s="26"/>
      <c r="DE9" s="26"/>
      <c r="DF9" s="26"/>
      <c r="DG9" s="26"/>
      <c r="DH9" s="27"/>
      <c r="DI9" s="26"/>
      <c r="DJ9" s="26"/>
      <c r="DK9" s="26"/>
      <c r="DL9" s="26"/>
      <c r="DM9" s="27"/>
      <c r="DN9" s="26"/>
      <c r="DO9" s="26"/>
      <c r="DP9" s="26"/>
      <c r="DQ9" s="26"/>
      <c r="DR9" s="27"/>
      <c r="DS9" s="26"/>
      <c r="DT9" s="26"/>
      <c r="DU9" s="26"/>
      <c r="DV9" s="26"/>
      <c r="DW9" s="27"/>
      <c r="DX9" s="26"/>
      <c r="DY9" s="26"/>
      <c r="DZ9" s="26"/>
      <c r="EA9" s="26"/>
      <c r="EB9" s="27"/>
      <c r="EC9" s="26"/>
      <c r="ED9" s="26"/>
      <c r="EE9" s="26"/>
      <c r="EF9" s="26"/>
      <c r="EG9" s="27"/>
      <c r="EH9" s="26"/>
      <c r="EI9" s="26"/>
      <c r="EJ9" s="26"/>
      <c r="EK9" s="26"/>
      <c r="EL9" s="27"/>
      <c r="EM9" s="26"/>
      <c r="EN9" s="26"/>
      <c r="EO9" s="26"/>
      <c r="EP9" s="26"/>
      <c r="EQ9" s="27"/>
      <c r="ER9" s="26"/>
      <c r="ES9" s="26"/>
      <c r="ET9" s="26"/>
      <c r="EU9" s="26"/>
      <c r="EV9" s="27"/>
      <c r="EW9" s="26"/>
      <c r="EX9" s="26"/>
      <c r="EY9" s="26"/>
      <c r="EZ9" s="26"/>
      <c r="FA9" s="27"/>
      <c r="FB9" s="26"/>
      <c r="FC9" s="26"/>
      <c r="FD9" s="26"/>
      <c r="FE9" s="26"/>
      <c r="FF9" s="27"/>
      <c r="FG9" s="26"/>
      <c r="FH9" s="26"/>
      <c r="FI9" s="26"/>
      <c r="FJ9" s="26"/>
      <c r="FK9" s="27"/>
    </row>
    <row r="10" spans="1:167" ht="12.75" customHeight="1">
      <c r="A10" s="2"/>
      <c r="B10" s="28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19"/>
      <c r="EX10" s="19"/>
      <c r="EY10" s="1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</row>
    <row r="11" spans="1:167" s="17" customFormat="1" ht="12.75" customHeight="1">
      <c r="A11" s="13"/>
      <c r="B11" s="29"/>
      <c r="C11" s="31">
        <v>44651</v>
      </c>
      <c r="D11" s="30">
        <f>EOMONTH(C11, 3)</f>
        <v>44742</v>
      </c>
      <c r="E11" s="30">
        <f>EOMONTH(D11, 3)</f>
        <v>44834</v>
      </c>
      <c r="F11" s="30">
        <f>EOMONTH(E11, 3)</f>
        <v>44926</v>
      </c>
      <c r="G11" s="30">
        <f>F11</f>
        <v>44926</v>
      </c>
      <c r="H11" s="30">
        <f>EOMONTH(F11, 3)</f>
        <v>45016</v>
      </c>
      <c r="I11" s="30">
        <f>EOMONTH(H11, 3)</f>
        <v>45107</v>
      </c>
      <c r="J11" s="30">
        <f>EOMONTH(I11, 3)</f>
        <v>45199</v>
      </c>
      <c r="K11" s="30">
        <f>EOMONTH(J11, 3)</f>
        <v>45291</v>
      </c>
      <c r="L11" s="30">
        <f>K11</f>
        <v>45291</v>
      </c>
      <c r="M11" s="30">
        <f>EOMONTH(K11, 3)</f>
        <v>45382</v>
      </c>
      <c r="N11" s="30">
        <f>EOMONTH(M11, 3)</f>
        <v>45473</v>
      </c>
      <c r="O11" s="30">
        <f>EOMONTH(N11, 3)</f>
        <v>45565</v>
      </c>
      <c r="P11" s="30">
        <f>EOMONTH(O11, 3)</f>
        <v>45657</v>
      </c>
      <c r="Q11" s="30">
        <f>P11</f>
        <v>45657</v>
      </c>
      <c r="R11" s="30">
        <f>EOMONTH(P11, 3)</f>
        <v>45747</v>
      </c>
      <c r="S11" s="30">
        <f>EOMONTH(R11, 3)</f>
        <v>45838</v>
      </c>
      <c r="T11" s="30">
        <f>EOMONTH(S11, 3)</f>
        <v>45930</v>
      </c>
      <c r="U11" s="30">
        <f>EOMONTH(T11, 3)</f>
        <v>46022</v>
      </c>
      <c r="V11" s="30">
        <f>U11</f>
        <v>46022</v>
      </c>
      <c r="W11" s="30">
        <f>EOMONTH(U11, 3)</f>
        <v>46112</v>
      </c>
      <c r="X11" s="30">
        <f>EOMONTH(W11, 3)</f>
        <v>46203</v>
      </c>
      <c r="Y11" s="30">
        <f>EOMONTH(X11, 3)</f>
        <v>46295</v>
      </c>
      <c r="Z11" s="30">
        <f>EOMONTH(Y11, 3)</f>
        <v>46387</v>
      </c>
      <c r="AA11" s="30">
        <f>Z11</f>
        <v>46387</v>
      </c>
      <c r="AB11" s="30">
        <f>EOMONTH(Z11, 3)</f>
        <v>46477</v>
      </c>
      <c r="AC11" s="30">
        <f>EOMONTH(AB11, 3)</f>
        <v>46568</v>
      </c>
      <c r="AD11" s="30">
        <f>EOMONTH(AC11, 3)</f>
        <v>46660</v>
      </c>
      <c r="AE11" s="30">
        <f>EOMONTH(AD11, 3)</f>
        <v>46752</v>
      </c>
      <c r="AF11" s="30">
        <f>AE11</f>
        <v>46752</v>
      </c>
      <c r="AG11" s="30">
        <f>EOMONTH(AE11, 3)</f>
        <v>46843</v>
      </c>
      <c r="AH11" s="30">
        <f>EOMONTH(AG11, 3)</f>
        <v>46934</v>
      </c>
      <c r="AI11" s="30">
        <f>EOMONTH(AH11, 3)</f>
        <v>47026</v>
      </c>
      <c r="AJ11" s="30">
        <f>EOMONTH(AI11, 3)</f>
        <v>47118</v>
      </c>
      <c r="AK11" s="30">
        <f>AJ11</f>
        <v>47118</v>
      </c>
      <c r="AL11" s="30">
        <f>EOMONTH(AJ11, 3)</f>
        <v>47208</v>
      </c>
      <c r="AM11" s="30">
        <f>EOMONTH(AL11, 3)</f>
        <v>47299</v>
      </c>
      <c r="AN11" s="30">
        <f>EOMONTH(AM11, 3)</f>
        <v>47391</v>
      </c>
      <c r="AO11" s="30">
        <f>EOMONTH(AN11, 3)</f>
        <v>47483</v>
      </c>
      <c r="AP11" s="30">
        <f>AO11</f>
        <v>47483</v>
      </c>
      <c r="AQ11" s="30">
        <f>EOMONTH(AO11, 3)</f>
        <v>47573</v>
      </c>
      <c r="AR11" s="30">
        <f>EOMONTH(AQ11, 3)</f>
        <v>47664</v>
      </c>
      <c r="AS11" s="30">
        <f>EOMONTH(AR11, 3)</f>
        <v>47756</v>
      </c>
      <c r="AT11" s="30">
        <f>EOMONTH(AS11, 3)</f>
        <v>47848</v>
      </c>
      <c r="AU11" s="30">
        <f>AT11</f>
        <v>47848</v>
      </c>
      <c r="AV11" s="30">
        <f>EOMONTH(AT11, 3)</f>
        <v>47938</v>
      </c>
      <c r="AW11" s="30">
        <f>EOMONTH(AV11, 3)</f>
        <v>48029</v>
      </c>
      <c r="AX11" s="30">
        <f>EOMONTH(AW11, 3)</f>
        <v>48121</v>
      </c>
      <c r="AY11" s="30">
        <f>EOMONTH(AX11, 3)</f>
        <v>48213</v>
      </c>
      <c r="AZ11" s="30">
        <f>AY11</f>
        <v>48213</v>
      </c>
      <c r="BA11" s="30">
        <f>EOMONTH(AY11, 3)</f>
        <v>48304</v>
      </c>
      <c r="BB11" s="30">
        <f>EOMONTH(BA11, 3)</f>
        <v>48395</v>
      </c>
      <c r="BC11" s="30">
        <f>EOMONTH(BB11, 3)</f>
        <v>48487</v>
      </c>
      <c r="BD11" s="30">
        <f>EOMONTH(BC11, 3)</f>
        <v>48579</v>
      </c>
      <c r="BE11" s="30">
        <f>BD11</f>
        <v>48579</v>
      </c>
      <c r="BF11" s="30">
        <f>EOMONTH(BD11, 3)</f>
        <v>48669</v>
      </c>
      <c r="BG11" s="30">
        <f>EOMONTH(BF11, 3)</f>
        <v>48760</v>
      </c>
      <c r="BH11" s="30">
        <f>EOMONTH(BG11, 3)</f>
        <v>48852</v>
      </c>
      <c r="BI11" s="30">
        <f>EOMONTH(BH11, 3)</f>
        <v>48944</v>
      </c>
      <c r="BJ11" s="30">
        <f>BI11</f>
        <v>48944</v>
      </c>
      <c r="BK11" s="30">
        <f>EOMONTH(BI11, 3)</f>
        <v>49034</v>
      </c>
      <c r="BL11" s="30">
        <f>EOMONTH(BK11, 3)</f>
        <v>49125</v>
      </c>
      <c r="BM11" s="30">
        <f>EOMONTH(BL11, 3)</f>
        <v>49217</v>
      </c>
      <c r="BN11" s="30">
        <f>EOMONTH(BM11, 3)</f>
        <v>49309</v>
      </c>
      <c r="BO11" s="30">
        <f>BN11</f>
        <v>49309</v>
      </c>
      <c r="BP11" s="30">
        <f>EOMONTH(BN11, 3)</f>
        <v>49399</v>
      </c>
      <c r="BQ11" s="30">
        <f>EOMONTH(BP11, 3)</f>
        <v>49490</v>
      </c>
      <c r="BR11" s="30">
        <f>EOMONTH(BQ11, 3)</f>
        <v>49582</v>
      </c>
      <c r="BS11" s="30">
        <f>EOMONTH(BR11, 3)</f>
        <v>49674</v>
      </c>
      <c r="BT11" s="30">
        <f>BS11</f>
        <v>49674</v>
      </c>
      <c r="BU11" s="30">
        <f>EOMONTH(BS11, 3)</f>
        <v>49765</v>
      </c>
      <c r="BV11" s="30">
        <f>EOMONTH(BU11, 3)</f>
        <v>49856</v>
      </c>
      <c r="BW11" s="30">
        <f>EOMONTH(BV11, 3)</f>
        <v>49948</v>
      </c>
      <c r="BX11" s="30">
        <f>EOMONTH(BW11, 3)</f>
        <v>50040</v>
      </c>
      <c r="BY11" s="30">
        <f>BX11</f>
        <v>50040</v>
      </c>
      <c r="BZ11" s="30">
        <f>EOMONTH(BX11, 3)</f>
        <v>50130</v>
      </c>
      <c r="CA11" s="30">
        <f>EOMONTH(BZ11, 3)</f>
        <v>50221</v>
      </c>
      <c r="CB11" s="30">
        <f>EOMONTH(CA11, 3)</f>
        <v>50313</v>
      </c>
      <c r="CC11" s="30">
        <f>EOMONTH(CB11, 3)</f>
        <v>50405</v>
      </c>
      <c r="CD11" s="30">
        <f>CC11</f>
        <v>50405</v>
      </c>
      <c r="CE11" s="30">
        <f>EOMONTH(CC11, 3)</f>
        <v>50495</v>
      </c>
      <c r="CF11" s="30">
        <f>EOMONTH(CE11, 3)</f>
        <v>50586</v>
      </c>
      <c r="CG11" s="30">
        <f>EOMONTH(CF11, 3)</f>
        <v>50678</v>
      </c>
      <c r="CH11" s="30">
        <f>EOMONTH(CG11, 3)</f>
        <v>50770</v>
      </c>
      <c r="CI11" s="30">
        <f>CH11</f>
        <v>50770</v>
      </c>
      <c r="CJ11" s="30">
        <f>EOMONTH(CH11, 3)</f>
        <v>50860</v>
      </c>
      <c r="CK11" s="30">
        <f>EOMONTH(CJ11, 3)</f>
        <v>50951</v>
      </c>
      <c r="CL11" s="30">
        <f>EOMONTH(CK11, 3)</f>
        <v>51043</v>
      </c>
      <c r="CM11" s="30">
        <f>EOMONTH(CL11, 3)</f>
        <v>51135</v>
      </c>
      <c r="CN11" s="30">
        <f>CM11</f>
        <v>51135</v>
      </c>
      <c r="CO11" s="30">
        <f>EOMONTH(CM11, 3)</f>
        <v>51226</v>
      </c>
      <c r="CP11" s="30">
        <f>EOMONTH(CO11, 3)</f>
        <v>51317</v>
      </c>
      <c r="CQ11" s="30">
        <f>EOMONTH(CP11, 3)</f>
        <v>51409</v>
      </c>
      <c r="CR11" s="30">
        <f>EOMONTH(CQ11, 3)</f>
        <v>51501</v>
      </c>
      <c r="CS11" s="30">
        <f>CR11</f>
        <v>51501</v>
      </c>
      <c r="CT11" s="30">
        <f>EOMONTH(CR11, 3)</f>
        <v>51591</v>
      </c>
      <c r="CU11" s="30">
        <f>EOMONTH(CT11, 3)</f>
        <v>51682</v>
      </c>
      <c r="CV11" s="30">
        <f>EOMONTH(CU11, 3)</f>
        <v>51774</v>
      </c>
      <c r="CW11" s="30">
        <f>EOMONTH(CV11, 3)</f>
        <v>51866</v>
      </c>
      <c r="CX11" s="30">
        <f>CW11</f>
        <v>51866</v>
      </c>
      <c r="CY11" s="30">
        <f>EOMONTH(CW11, 3)</f>
        <v>51956</v>
      </c>
      <c r="CZ11" s="30">
        <f>EOMONTH(CY11, 3)</f>
        <v>52047</v>
      </c>
      <c r="DA11" s="30">
        <f>EOMONTH(CZ11, 3)</f>
        <v>52139</v>
      </c>
      <c r="DB11" s="30">
        <f>EOMONTH(DA11, 3)</f>
        <v>52231</v>
      </c>
      <c r="DC11" s="30">
        <f>DB11</f>
        <v>52231</v>
      </c>
      <c r="DD11" s="30">
        <f>EOMONTH(DB11, 3)</f>
        <v>52321</v>
      </c>
      <c r="DE11" s="30">
        <f>EOMONTH(DD11, 3)</f>
        <v>52412</v>
      </c>
      <c r="DF11" s="30">
        <f>EOMONTH(DE11, 3)</f>
        <v>52504</v>
      </c>
      <c r="DG11" s="30">
        <f>EOMONTH(DF11, 3)</f>
        <v>52596</v>
      </c>
      <c r="DH11" s="30">
        <f>DG11</f>
        <v>52596</v>
      </c>
      <c r="DI11" s="30">
        <f>EOMONTH(DG11, 3)</f>
        <v>52687</v>
      </c>
      <c r="DJ11" s="30">
        <f>EOMONTH(DI11, 3)</f>
        <v>52778</v>
      </c>
      <c r="DK11" s="30">
        <f>EOMONTH(DJ11, 3)</f>
        <v>52870</v>
      </c>
      <c r="DL11" s="30">
        <f>EOMONTH(DK11, 3)</f>
        <v>52962</v>
      </c>
      <c r="DM11" s="30">
        <f>DL11</f>
        <v>52962</v>
      </c>
      <c r="DN11" s="30">
        <f>EOMONTH(DL11, 3)</f>
        <v>53052</v>
      </c>
      <c r="DO11" s="30">
        <f>EOMONTH(DN11, 3)</f>
        <v>53143</v>
      </c>
      <c r="DP11" s="30">
        <f>EOMONTH(DO11, 3)</f>
        <v>53235</v>
      </c>
      <c r="DQ11" s="30">
        <f>EOMONTH(DP11, 3)</f>
        <v>53327</v>
      </c>
      <c r="DR11" s="30">
        <f>DQ11</f>
        <v>53327</v>
      </c>
      <c r="DS11" s="30">
        <f>EOMONTH(DQ11, 3)</f>
        <v>53417</v>
      </c>
      <c r="DT11" s="30">
        <f>EOMONTH(DS11, 3)</f>
        <v>53508</v>
      </c>
      <c r="DU11" s="30">
        <f>EOMONTH(DT11, 3)</f>
        <v>53600</v>
      </c>
      <c r="DV11" s="30">
        <f>EOMONTH(DU11, 3)</f>
        <v>53692</v>
      </c>
      <c r="DW11" s="30">
        <f>DV11</f>
        <v>53692</v>
      </c>
      <c r="DX11" s="30">
        <f>EOMONTH(DV11, 3)</f>
        <v>53782</v>
      </c>
      <c r="DY11" s="30">
        <f>EOMONTH(DX11, 3)</f>
        <v>53873</v>
      </c>
      <c r="DZ11" s="30">
        <f>EOMONTH(DY11, 3)</f>
        <v>53965</v>
      </c>
      <c r="EA11" s="30">
        <f>EOMONTH(DZ11, 3)</f>
        <v>54057</v>
      </c>
      <c r="EB11" s="30">
        <f>EA11</f>
        <v>54057</v>
      </c>
      <c r="EC11" s="30">
        <f>EOMONTH(EA11, 3)</f>
        <v>54148</v>
      </c>
      <c r="ED11" s="30">
        <f>EOMONTH(EC11, 3)</f>
        <v>54239</v>
      </c>
      <c r="EE11" s="30">
        <f>EOMONTH(ED11, 3)</f>
        <v>54331</v>
      </c>
      <c r="EF11" s="30">
        <f>EOMONTH(EE11, 3)</f>
        <v>54423</v>
      </c>
      <c r="EG11" s="30">
        <f>EF11</f>
        <v>54423</v>
      </c>
      <c r="EH11" s="30">
        <f>EOMONTH(EF11, 3)</f>
        <v>54513</v>
      </c>
      <c r="EI11" s="30">
        <f>EOMONTH(EH11, 3)</f>
        <v>54604</v>
      </c>
      <c r="EJ11" s="30">
        <f>EOMONTH(EI11, 3)</f>
        <v>54696</v>
      </c>
      <c r="EK11" s="30">
        <f>EOMONTH(EJ11, 3)</f>
        <v>54788</v>
      </c>
      <c r="EL11" s="30">
        <f>EK11</f>
        <v>54788</v>
      </c>
      <c r="EM11" s="30">
        <f>EOMONTH(EK11, 3)</f>
        <v>54878</v>
      </c>
      <c r="EN11" s="30">
        <f>EOMONTH(EM11, 3)</f>
        <v>54969</v>
      </c>
      <c r="EO11" s="30">
        <f>EOMONTH(EN11, 3)</f>
        <v>55061</v>
      </c>
      <c r="EP11" s="30">
        <f>EOMONTH(EO11, 3)</f>
        <v>55153</v>
      </c>
      <c r="EQ11" s="30">
        <f>EP11</f>
        <v>55153</v>
      </c>
      <c r="ER11" s="30">
        <f>EOMONTH(EP11, 3)</f>
        <v>55243</v>
      </c>
      <c r="ES11" s="30">
        <f>EOMONTH(ER11, 3)</f>
        <v>55334</v>
      </c>
      <c r="ET11" s="30">
        <f>EOMONTH(ES11, 3)</f>
        <v>55426</v>
      </c>
      <c r="EU11" s="30">
        <f>EOMONTH(ET11, 3)</f>
        <v>55518</v>
      </c>
      <c r="EV11" s="30">
        <f>EU11</f>
        <v>55518</v>
      </c>
      <c r="EW11" s="30">
        <f>EOMONTH(EU11, 3)</f>
        <v>55609</v>
      </c>
      <c r="EX11" s="30">
        <f>EOMONTH(EW11, 3)</f>
        <v>55700</v>
      </c>
      <c r="EY11" s="30">
        <f>EOMONTH(EX11, 3)</f>
        <v>55792</v>
      </c>
      <c r="EZ11" s="30">
        <f>EOMONTH(EY11, 3)</f>
        <v>55884</v>
      </c>
      <c r="FA11" s="30">
        <f>EZ11</f>
        <v>55884</v>
      </c>
      <c r="FB11" s="30">
        <f>EOMONTH(EZ11, 3)</f>
        <v>55974</v>
      </c>
      <c r="FC11" s="30">
        <f>EOMONTH(FB11, 3)</f>
        <v>56065</v>
      </c>
      <c r="FD11" s="30">
        <f>EOMONTH(FC11, 3)</f>
        <v>56157</v>
      </c>
      <c r="FE11" s="30">
        <f>EOMONTH(FD11, 3)</f>
        <v>56249</v>
      </c>
      <c r="FF11" s="30">
        <f>FE11</f>
        <v>56249</v>
      </c>
      <c r="FG11" s="30">
        <f>EOMONTH(FE11, 3)</f>
        <v>56339</v>
      </c>
      <c r="FH11" s="30">
        <f>EOMONTH(FG11, 3)</f>
        <v>56430</v>
      </c>
      <c r="FI11" s="30">
        <f>EOMONTH(FH11, 3)</f>
        <v>56522</v>
      </c>
      <c r="FJ11" s="30">
        <f>EOMONTH(FI11, 3)</f>
        <v>56614</v>
      </c>
      <c r="FK11" s="30">
        <f>FJ11</f>
        <v>56614</v>
      </c>
    </row>
    <row r="12" spans="1:167" ht="12.75" customHeight="1">
      <c r="A12" s="2"/>
      <c r="B12" s="2" t="s">
        <v>13</v>
      </c>
      <c r="C12" s="15" t="s">
        <v>14</v>
      </c>
      <c r="D12" s="14" t="s">
        <v>15</v>
      </c>
      <c r="E12" s="14" t="s">
        <v>16</v>
      </c>
      <c r="F12" s="14" t="s">
        <v>17</v>
      </c>
      <c r="G12" s="11" t="s">
        <v>18</v>
      </c>
      <c r="H12" s="15" t="s">
        <v>14</v>
      </c>
      <c r="I12" s="14" t="s">
        <v>15</v>
      </c>
      <c r="J12" s="14" t="s">
        <v>16</v>
      </c>
      <c r="K12" s="14" t="s">
        <v>17</v>
      </c>
      <c r="L12" s="11" t="s">
        <v>18</v>
      </c>
      <c r="M12" s="15" t="s">
        <v>14</v>
      </c>
      <c r="N12" s="14" t="s">
        <v>15</v>
      </c>
      <c r="O12" s="14" t="s">
        <v>16</v>
      </c>
      <c r="P12" s="14" t="s">
        <v>17</v>
      </c>
      <c r="Q12" s="11" t="s">
        <v>18</v>
      </c>
      <c r="R12" s="15" t="s">
        <v>14</v>
      </c>
      <c r="S12" s="14" t="s">
        <v>15</v>
      </c>
      <c r="T12" s="14" t="s">
        <v>16</v>
      </c>
      <c r="U12" s="14" t="s">
        <v>17</v>
      </c>
      <c r="V12" s="11" t="s">
        <v>18</v>
      </c>
      <c r="W12" s="15" t="s">
        <v>14</v>
      </c>
      <c r="X12" s="14" t="s">
        <v>15</v>
      </c>
      <c r="Y12" s="14" t="s">
        <v>16</v>
      </c>
      <c r="Z12" s="14" t="s">
        <v>17</v>
      </c>
      <c r="AA12" s="11" t="s">
        <v>18</v>
      </c>
      <c r="AB12" s="15" t="s">
        <v>14</v>
      </c>
      <c r="AC12" s="14" t="s">
        <v>15</v>
      </c>
      <c r="AD12" s="14" t="s">
        <v>16</v>
      </c>
      <c r="AE12" s="14" t="s">
        <v>17</v>
      </c>
      <c r="AF12" s="11" t="s">
        <v>18</v>
      </c>
      <c r="AG12" s="15" t="s">
        <v>14</v>
      </c>
      <c r="AH12" s="14" t="s">
        <v>15</v>
      </c>
      <c r="AI12" s="14" t="s">
        <v>16</v>
      </c>
      <c r="AJ12" s="14" t="s">
        <v>17</v>
      </c>
      <c r="AK12" s="11" t="s">
        <v>18</v>
      </c>
      <c r="AL12" s="15" t="s">
        <v>14</v>
      </c>
      <c r="AM12" s="14" t="s">
        <v>15</v>
      </c>
      <c r="AN12" s="14" t="s">
        <v>16</v>
      </c>
      <c r="AO12" s="14" t="s">
        <v>17</v>
      </c>
      <c r="AP12" s="11" t="s">
        <v>18</v>
      </c>
      <c r="AQ12" s="15" t="s">
        <v>14</v>
      </c>
      <c r="AR12" s="14" t="s">
        <v>15</v>
      </c>
      <c r="AS12" s="14" t="s">
        <v>16</v>
      </c>
      <c r="AT12" s="14" t="s">
        <v>17</v>
      </c>
      <c r="AU12" s="11" t="s">
        <v>18</v>
      </c>
      <c r="AV12" s="15" t="s">
        <v>14</v>
      </c>
      <c r="AW12" s="14" t="s">
        <v>15</v>
      </c>
      <c r="AX12" s="14" t="s">
        <v>16</v>
      </c>
      <c r="AY12" s="14" t="s">
        <v>17</v>
      </c>
      <c r="AZ12" s="11" t="s">
        <v>18</v>
      </c>
      <c r="BA12" s="15" t="s">
        <v>14</v>
      </c>
      <c r="BB12" s="14" t="s">
        <v>15</v>
      </c>
      <c r="BC12" s="14" t="s">
        <v>16</v>
      </c>
      <c r="BD12" s="14" t="s">
        <v>17</v>
      </c>
      <c r="BE12" s="11" t="s">
        <v>18</v>
      </c>
      <c r="BF12" s="15" t="s">
        <v>14</v>
      </c>
      <c r="BG12" s="14" t="s">
        <v>15</v>
      </c>
      <c r="BH12" s="14" t="s">
        <v>16</v>
      </c>
      <c r="BI12" s="14" t="s">
        <v>17</v>
      </c>
      <c r="BJ12" s="11" t="s">
        <v>18</v>
      </c>
      <c r="BK12" s="15" t="s">
        <v>14</v>
      </c>
      <c r="BL12" s="14" t="s">
        <v>15</v>
      </c>
      <c r="BM12" s="14" t="s">
        <v>16</v>
      </c>
      <c r="BN12" s="14" t="s">
        <v>17</v>
      </c>
      <c r="BO12" s="11" t="s">
        <v>18</v>
      </c>
      <c r="BP12" s="15" t="s">
        <v>14</v>
      </c>
      <c r="BQ12" s="14" t="s">
        <v>15</v>
      </c>
      <c r="BR12" s="14" t="s">
        <v>16</v>
      </c>
      <c r="BS12" s="14" t="s">
        <v>17</v>
      </c>
      <c r="BT12" s="11" t="s">
        <v>18</v>
      </c>
      <c r="BU12" s="15" t="s">
        <v>14</v>
      </c>
      <c r="BV12" s="14" t="s">
        <v>15</v>
      </c>
      <c r="BW12" s="14" t="s">
        <v>16</v>
      </c>
      <c r="BX12" s="14" t="s">
        <v>17</v>
      </c>
      <c r="BY12" s="11" t="s">
        <v>18</v>
      </c>
      <c r="BZ12" s="15" t="s">
        <v>14</v>
      </c>
      <c r="CA12" s="14" t="s">
        <v>15</v>
      </c>
      <c r="CB12" s="14" t="s">
        <v>16</v>
      </c>
      <c r="CC12" s="14" t="s">
        <v>17</v>
      </c>
      <c r="CD12" s="11" t="s">
        <v>18</v>
      </c>
      <c r="CE12" s="15" t="s">
        <v>14</v>
      </c>
      <c r="CF12" s="14" t="s">
        <v>15</v>
      </c>
      <c r="CG12" s="14" t="s">
        <v>16</v>
      </c>
      <c r="CH12" s="14" t="s">
        <v>17</v>
      </c>
      <c r="CI12" s="11" t="s">
        <v>18</v>
      </c>
      <c r="CJ12" s="15" t="s">
        <v>14</v>
      </c>
      <c r="CK12" s="14" t="s">
        <v>15</v>
      </c>
      <c r="CL12" s="14" t="s">
        <v>16</v>
      </c>
      <c r="CM12" s="14" t="s">
        <v>17</v>
      </c>
      <c r="CN12" s="11" t="s">
        <v>18</v>
      </c>
      <c r="CO12" s="15" t="s">
        <v>14</v>
      </c>
      <c r="CP12" s="14" t="s">
        <v>15</v>
      </c>
      <c r="CQ12" s="14" t="s">
        <v>16</v>
      </c>
      <c r="CR12" s="14" t="s">
        <v>17</v>
      </c>
      <c r="CS12" s="11" t="s">
        <v>18</v>
      </c>
      <c r="CT12" s="15" t="s">
        <v>14</v>
      </c>
      <c r="CU12" s="14" t="s">
        <v>15</v>
      </c>
      <c r="CV12" s="14" t="s">
        <v>16</v>
      </c>
      <c r="CW12" s="14" t="s">
        <v>17</v>
      </c>
      <c r="CX12" s="11" t="s">
        <v>18</v>
      </c>
      <c r="CY12" s="15" t="s">
        <v>14</v>
      </c>
      <c r="CZ12" s="14" t="s">
        <v>15</v>
      </c>
      <c r="DA12" s="14" t="s">
        <v>16</v>
      </c>
      <c r="DB12" s="14" t="s">
        <v>17</v>
      </c>
      <c r="DC12" s="11" t="s">
        <v>18</v>
      </c>
      <c r="DD12" s="15" t="s">
        <v>14</v>
      </c>
      <c r="DE12" s="14" t="s">
        <v>15</v>
      </c>
      <c r="DF12" s="14" t="s">
        <v>16</v>
      </c>
      <c r="DG12" s="14" t="s">
        <v>17</v>
      </c>
      <c r="DH12" s="11" t="s">
        <v>18</v>
      </c>
      <c r="DI12" s="15" t="s">
        <v>14</v>
      </c>
      <c r="DJ12" s="14" t="s">
        <v>15</v>
      </c>
      <c r="DK12" s="14" t="s">
        <v>16</v>
      </c>
      <c r="DL12" s="14" t="s">
        <v>17</v>
      </c>
      <c r="DM12" s="11" t="s">
        <v>18</v>
      </c>
      <c r="DN12" s="15" t="s">
        <v>14</v>
      </c>
      <c r="DO12" s="14" t="s">
        <v>15</v>
      </c>
      <c r="DP12" s="14" t="s">
        <v>16</v>
      </c>
      <c r="DQ12" s="14" t="s">
        <v>17</v>
      </c>
      <c r="DR12" s="11" t="s">
        <v>18</v>
      </c>
      <c r="DS12" s="15" t="s">
        <v>14</v>
      </c>
      <c r="DT12" s="14" t="s">
        <v>15</v>
      </c>
      <c r="DU12" s="14" t="s">
        <v>16</v>
      </c>
      <c r="DV12" s="14" t="s">
        <v>17</v>
      </c>
      <c r="DW12" s="11" t="s">
        <v>18</v>
      </c>
      <c r="DX12" s="15" t="s">
        <v>14</v>
      </c>
      <c r="DY12" s="14" t="s">
        <v>15</v>
      </c>
      <c r="DZ12" s="14" t="s">
        <v>16</v>
      </c>
      <c r="EA12" s="14" t="s">
        <v>17</v>
      </c>
      <c r="EB12" s="11" t="s">
        <v>18</v>
      </c>
      <c r="EC12" s="15" t="s">
        <v>14</v>
      </c>
      <c r="ED12" s="14" t="s">
        <v>15</v>
      </c>
      <c r="EE12" s="14" t="s">
        <v>16</v>
      </c>
      <c r="EF12" s="14" t="s">
        <v>17</v>
      </c>
      <c r="EG12" s="11" t="s">
        <v>18</v>
      </c>
      <c r="EH12" s="15" t="s">
        <v>14</v>
      </c>
      <c r="EI12" s="14" t="s">
        <v>15</v>
      </c>
      <c r="EJ12" s="14" t="s">
        <v>16</v>
      </c>
      <c r="EK12" s="14" t="s">
        <v>17</v>
      </c>
      <c r="EL12" s="11" t="s">
        <v>18</v>
      </c>
      <c r="EM12" s="15" t="s">
        <v>14</v>
      </c>
      <c r="EN12" s="14" t="s">
        <v>15</v>
      </c>
      <c r="EO12" s="14" t="s">
        <v>16</v>
      </c>
      <c r="EP12" s="14" t="s">
        <v>17</v>
      </c>
      <c r="EQ12" s="11" t="s">
        <v>18</v>
      </c>
      <c r="ER12" s="15" t="s">
        <v>14</v>
      </c>
      <c r="ES12" s="14" t="s">
        <v>15</v>
      </c>
      <c r="ET12" s="14" t="s">
        <v>16</v>
      </c>
      <c r="EU12" s="14" t="s">
        <v>17</v>
      </c>
      <c r="EV12" s="11" t="s">
        <v>18</v>
      </c>
      <c r="EW12" s="15" t="s">
        <v>14</v>
      </c>
      <c r="EX12" s="14" t="s">
        <v>15</v>
      </c>
      <c r="EY12" s="14" t="s">
        <v>16</v>
      </c>
      <c r="EZ12" s="14" t="s">
        <v>17</v>
      </c>
      <c r="FA12" s="11" t="s">
        <v>18</v>
      </c>
      <c r="FB12" s="15" t="s">
        <v>14</v>
      </c>
      <c r="FC12" s="14" t="s">
        <v>15</v>
      </c>
      <c r="FD12" s="14" t="s">
        <v>16</v>
      </c>
      <c r="FE12" s="14" t="s">
        <v>17</v>
      </c>
      <c r="FF12" s="11" t="s">
        <v>18</v>
      </c>
      <c r="FG12" s="15" t="s">
        <v>14</v>
      </c>
      <c r="FH12" s="14" t="s">
        <v>15</v>
      </c>
      <c r="FI12" s="14" t="s">
        <v>16</v>
      </c>
      <c r="FJ12" s="14" t="s">
        <v>17</v>
      </c>
      <c r="FK12" s="11" t="s">
        <v>18</v>
      </c>
    </row>
    <row r="13" spans="1:167" ht="12.75" customHeight="1">
      <c r="A13" s="32"/>
      <c r="B13" s="32"/>
      <c r="C13" s="33" t="str">
        <f t="shared" ref="C13:AH13" si="4">IF(OR(COLUMN(C$12)&lt;=MATCH("X", $A$7:$FK$7, 0),COLUMN(C$12)&lt;=MATCH("X", $A$8:$FK$8, 0)), "Actual","Estimate")</f>
        <v>Actual</v>
      </c>
      <c r="D13" s="33" t="str">
        <f t="shared" si="4"/>
        <v>Actual</v>
      </c>
      <c r="E13" s="33" t="str">
        <f t="shared" si="4"/>
        <v>Actual</v>
      </c>
      <c r="F13" s="33" t="str">
        <f t="shared" si="4"/>
        <v>Actual</v>
      </c>
      <c r="G13" s="33" t="str">
        <f t="shared" si="4"/>
        <v>Actual</v>
      </c>
      <c r="H13" s="33" t="str">
        <f t="shared" si="4"/>
        <v>Actual</v>
      </c>
      <c r="I13" s="33" t="str">
        <f t="shared" si="4"/>
        <v>Actual</v>
      </c>
      <c r="J13" s="33" t="str">
        <f t="shared" si="4"/>
        <v>Actual</v>
      </c>
      <c r="K13" s="33" t="str">
        <f t="shared" si="4"/>
        <v>Actual</v>
      </c>
      <c r="L13" s="33" t="str">
        <f t="shared" si="4"/>
        <v>Actual</v>
      </c>
      <c r="M13" s="33" t="str">
        <f t="shared" si="4"/>
        <v>Actual</v>
      </c>
      <c r="N13" s="33" t="str">
        <f t="shared" si="4"/>
        <v>Actual</v>
      </c>
      <c r="O13" s="33" t="str">
        <f t="shared" si="4"/>
        <v>Actual</v>
      </c>
      <c r="P13" s="33" t="str">
        <f t="shared" si="4"/>
        <v>Actual</v>
      </c>
      <c r="Q13" s="33" t="str">
        <f t="shared" si="4"/>
        <v>Actual</v>
      </c>
      <c r="R13" s="33" t="str">
        <f t="shared" si="4"/>
        <v>Actual</v>
      </c>
      <c r="S13" s="33" t="str">
        <f t="shared" si="4"/>
        <v>Actual</v>
      </c>
      <c r="T13" s="33" t="str">
        <f t="shared" si="4"/>
        <v>Actual</v>
      </c>
      <c r="U13" s="33" t="str">
        <f t="shared" si="4"/>
        <v>Estimate</v>
      </c>
      <c r="V13" s="33" t="str">
        <f t="shared" si="4"/>
        <v>Estimate</v>
      </c>
      <c r="W13" s="33" t="str">
        <f t="shared" si="4"/>
        <v>Estimate</v>
      </c>
      <c r="X13" s="33" t="str">
        <f t="shared" si="4"/>
        <v>Estimate</v>
      </c>
      <c r="Y13" s="33" t="str">
        <f t="shared" si="4"/>
        <v>Estimate</v>
      </c>
      <c r="Z13" s="33" t="str">
        <f t="shared" si="4"/>
        <v>Estimate</v>
      </c>
      <c r="AA13" s="33" t="str">
        <f t="shared" si="4"/>
        <v>Estimate</v>
      </c>
      <c r="AB13" s="33" t="str">
        <f t="shared" si="4"/>
        <v>Estimate</v>
      </c>
      <c r="AC13" s="33" t="str">
        <f t="shared" si="4"/>
        <v>Estimate</v>
      </c>
      <c r="AD13" s="33" t="str">
        <f t="shared" si="4"/>
        <v>Estimate</v>
      </c>
      <c r="AE13" s="33" t="str">
        <f t="shared" si="4"/>
        <v>Estimate</v>
      </c>
      <c r="AF13" s="33" t="str">
        <f t="shared" si="4"/>
        <v>Estimate</v>
      </c>
      <c r="AG13" s="33" t="str">
        <f t="shared" si="4"/>
        <v>Estimate</v>
      </c>
      <c r="AH13" s="33" t="str">
        <f t="shared" si="4"/>
        <v>Estimate</v>
      </c>
      <c r="AI13" s="33" t="str">
        <f t="shared" ref="AI13:BN13" si="5">IF(OR(COLUMN(AI$12)&lt;=MATCH("X", $A$7:$FK$7, 0),COLUMN(AI$12)&lt;=MATCH("X", $A$8:$FK$8, 0)), "Actual","Estimate")</f>
        <v>Estimate</v>
      </c>
      <c r="AJ13" s="33" t="str">
        <f t="shared" si="5"/>
        <v>Estimate</v>
      </c>
      <c r="AK13" s="33" t="str">
        <f t="shared" si="5"/>
        <v>Estimate</v>
      </c>
      <c r="AL13" s="33" t="str">
        <f t="shared" si="5"/>
        <v>Estimate</v>
      </c>
      <c r="AM13" s="33" t="str">
        <f t="shared" si="5"/>
        <v>Estimate</v>
      </c>
      <c r="AN13" s="33" t="str">
        <f t="shared" si="5"/>
        <v>Estimate</v>
      </c>
      <c r="AO13" s="33" t="str">
        <f t="shared" si="5"/>
        <v>Estimate</v>
      </c>
      <c r="AP13" s="33" t="str">
        <f t="shared" si="5"/>
        <v>Estimate</v>
      </c>
      <c r="AQ13" s="33" t="str">
        <f t="shared" si="5"/>
        <v>Estimate</v>
      </c>
      <c r="AR13" s="33" t="str">
        <f t="shared" si="5"/>
        <v>Estimate</v>
      </c>
      <c r="AS13" s="33" t="str">
        <f t="shared" si="5"/>
        <v>Estimate</v>
      </c>
      <c r="AT13" s="33" t="str">
        <f t="shared" si="5"/>
        <v>Estimate</v>
      </c>
      <c r="AU13" s="33" t="str">
        <f t="shared" si="5"/>
        <v>Estimate</v>
      </c>
      <c r="AV13" s="33" t="str">
        <f t="shared" si="5"/>
        <v>Estimate</v>
      </c>
      <c r="AW13" s="33" t="str">
        <f t="shared" si="5"/>
        <v>Estimate</v>
      </c>
      <c r="AX13" s="33" t="str">
        <f t="shared" si="5"/>
        <v>Estimate</v>
      </c>
      <c r="AY13" s="33" t="str">
        <f t="shared" si="5"/>
        <v>Estimate</v>
      </c>
      <c r="AZ13" s="33" t="str">
        <f t="shared" si="5"/>
        <v>Estimate</v>
      </c>
      <c r="BA13" s="33" t="str">
        <f t="shared" si="5"/>
        <v>Estimate</v>
      </c>
      <c r="BB13" s="33" t="str">
        <f t="shared" si="5"/>
        <v>Estimate</v>
      </c>
      <c r="BC13" s="33" t="str">
        <f t="shared" si="5"/>
        <v>Estimate</v>
      </c>
      <c r="BD13" s="33" t="str">
        <f t="shared" si="5"/>
        <v>Estimate</v>
      </c>
      <c r="BE13" s="33" t="str">
        <f t="shared" si="5"/>
        <v>Estimate</v>
      </c>
      <c r="BF13" s="33" t="str">
        <f t="shared" si="5"/>
        <v>Estimate</v>
      </c>
      <c r="BG13" s="33" t="str">
        <f t="shared" si="5"/>
        <v>Estimate</v>
      </c>
      <c r="BH13" s="33" t="str">
        <f t="shared" si="5"/>
        <v>Estimate</v>
      </c>
      <c r="BI13" s="33" t="str">
        <f t="shared" si="5"/>
        <v>Estimate</v>
      </c>
      <c r="BJ13" s="33" t="str">
        <f t="shared" si="5"/>
        <v>Estimate</v>
      </c>
      <c r="BK13" s="33" t="str">
        <f t="shared" si="5"/>
        <v>Estimate</v>
      </c>
      <c r="BL13" s="33" t="str">
        <f t="shared" si="5"/>
        <v>Estimate</v>
      </c>
      <c r="BM13" s="33" t="str">
        <f t="shared" si="5"/>
        <v>Estimate</v>
      </c>
      <c r="BN13" s="33" t="str">
        <f t="shared" si="5"/>
        <v>Estimate</v>
      </c>
      <c r="BO13" s="33" t="str">
        <f t="shared" ref="BO13:CT13" si="6">IF(OR(COLUMN(BO$12)&lt;=MATCH("X", $A$7:$FK$7, 0),COLUMN(BO$12)&lt;=MATCH("X", $A$8:$FK$8, 0)), "Actual","Estimate")</f>
        <v>Estimate</v>
      </c>
      <c r="BP13" s="33" t="str">
        <f t="shared" si="6"/>
        <v>Estimate</v>
      </c>
      <c r="BQ13" s="33" t="str">
        <f t="shared" si="6"/>
        <v>Estimate</v>
      </c>
      <c r="BR13" s="33" t="str">
        <f t="shared" si="6"/>
        <v>Estimate</v>
      </c>
      <c r="BS13" s="33" t="str">
        <f t="shared" si="6"/>
        <v>Estimate</v>
      </c>
      <c r="BT13" s="33" t="str">
        <f t="shared" si="6"/>
        <v>Estimate</v>
      </c>
      <c r="BU13" s="33" t="str">
        <f t="shared" si="6"/>
        <v>Estimate</v>
      </c>
      <c r="BV13" s="33" t="str">
        <f t="shared" si="6"/>
        <v>Estimate</v>
      </c>
      <c r="BW13" s="33" t="str">
        <f t="shared" si="6"/>
        <v>Estimate</v>
      </c>
      <c r="BX13" s="33" t="str">
        <f t="shared" si="6"/>
        <v>Estimate</v>
      </c>
      <c r="BY13" s="33" t="str">
        <f t="shared" si="6"/>
        <v>Estimate</v>
      </c>
      <c r="BZ13" s="33" t="str">
        <f t="shared" si="6"/>
        <v>Estimate</v>
      </c>
      <c r="CA13" s="33" t="str">
        <f t="shared" si="6"/>
        <v>Estimate</v>
      </c>
      <c r="CB13" s="33" t="str">
        <f t="shared" si="6"/>
        <v>Estimate</v>
      </c>
      <c r="CC13" s="33" t="str">
        <f t="shared" si="6"/>
        <v>Estimate</v>
      </c>
      <c r="CD13" s="33" t="str">
        <f t="shared" si="6"/>
        <v>Estimate</v>
      </c>
      <c r="CE13" s="33" t="str">
        <f t="shared" si="6"/>
        <v>Estimate</v>
      </c>
      <c r="CF13" s="33" t="str">
        <f t="shared" si="6"/>
        <v>Estimate</v>
      </c>
      <c r="CG13" s="33" t="str">
        <f t="shared" si="6"/>
        <v>Estimate</v>
      </c>
      <c r="CH13" s="33" t="str">
        <f t="shared" si="6"/>
        <v>Estimate</v>
      </c>
      <c r="CI13" s="33" t="str">
        <f t="shared" si="6"/>
        <v>Estimate</v>
      </c>
      <c r="CJ13" s="33" t="str">
        <f t="shared" si="6"/>
        <v>Estimate</v>
      </c>
      <c r="CK13" s="33" t="str">
        <f t="shared" si="6"/>
        <v>Estimate</v>
      </c>
      <c r="CL13" s="33" t="str">
        <f t="shared" si="6"/>
        <v>Estimate</v>
      </c>
      <c r="CM13" s="33" t="str">
        <f t="shared" si="6"/>
        <v>Estimate</v>
      </c>
      <c r="CN13" s="33" t="str">
        <f t="shared" si="6"/>
        <v>Estimate</v>
      </c>
      <c r="CO13" s="33" t="str">
        <f t="shared" si="6"/>
        <v>Estimate</v>
      </c>
      <c r="CP13" s="33" t="str">
        <f t="shared" si="6"/>
        <v>Estimate</v>
      </c>
      <c r="CQ13" s="33" t="str">
        <f t="shared" si="6"/>
        <v>Estimate</v>
      </c>
      <c r="CR13" s="33" t="str">
        <f t="shared" si="6"/>
        <v>Estimate</v>
      </c>
      <c r="CS13" s="33" t="str">
        <f t="shared" si="6"/>
        <v>Estimate</v>
      </c>
      <c r="CT13" s="33" t="str">
        <f t="shared" si="6"/>
        <v>Estimate</v>
      </c>
      <c r="CU13" s="33" t="str">
        <f t="shared" ref="CU13:DZ13" si="7">IF(OR(COLUMN(CU$12)&lt;=MATCH("X", $A$7:$FK$7, 0),COLUMN(CU$12)&lt;=MATCH("X", $A$8:$FK$8, 0)), "Actual","Estimate")</f>
        <v>Estimate</v>
      </c>
      <c r="CV13" s="33" t="str">
        <f t="shared" si="7"/>
        <v>Estimate</v>
      </c>
      <c r="CW13" s="33" t="str">
        <f t="shared" si="7"/>
        <v>Estimate</v>
      </c>
      <c r="CX13" s="33" t="str">
        <f t="shared" si="7"/>
        <v>Estimate</v>
      </c>
      <c r="CY13" s="33" t="str">
        <f t="shared" si="7"/>
        <v>Estimate</v>
      </c>
      <c r="CZ13" s="33" t="str">
        <f t="shared" si="7"/>
        <v>Estimate</v>
      </c>
      <c r="DA13" s="33" t="str">
        <f t="shared" si="7"/>
        <v>Estimate</v>
      </c>
      <c r="DB13" s="33" t="str">
        <f t="shared" si="7"/>
        <v>Estimate</v>
      </c>
      <c r="DC13" s="33" t="str">
        <f t="shared" si="7"/>
        <v>Estimate</v>
      </c>
      <c r="DD13" s="33" t="str">
        <f t="shared" si="7"/>
        <v>Estimate</v>
      </c>
      <c r="DE13" s="33" t="str">
        <f t="shared" si="7"/>
        <v>Estimate</v>
      </c>
      <c r="DF13" s="33" t="str">
        <f t="shared" si="7"/>
        <v>Estimate</v>
      </c>
      <c r="DG13" s="33" t="str">
        <f t="shared" si="7"/>
        <v>Estimate</v>
      </c>
      <c r="DH13" s="33" t="str">
        <f t="shared" si="7"/>
        <v>Estimate</v>
      </c>
      <c r="DI13" s="33" t="str">
        <f t="shared" si="7"/>
        <v>Estimate</v>
      </c>
      <c r="DJ13" s="33" t="str">
        <f t="shared" si="7"/>
        <v>Estimate</v>
      </c>
      <c r="DK13" s="33" t="str">
        <f t="shared" si="7"/>
        <v>Estimate</v>
      </c>
      <c r="DL13" s="33" t="str">
        <f t="shared" si="7"/>
        <v>Estimate</v>
      </c>
      <c r="DM13" s="33" t="str">
        <f t="shared" si="7"/>
        <v>Estimate</v>
      </c>
      <c r="DN13" s="33" t="str">
        <f t="shared" si="7"/>
        <v>Estimate</v>
      </c>
      <c r="DO13" s="33" t="str">
        <f t="shared" si="7"/>
        <v>Estimate</v>
      </c>
      <c r="DP13" s="33" t="str">
        <f t="shared" si="7"/>
        <v>Estimate</v>
      </c>
      <c r="DQ13" s="33" t="str">
        <f t="shared" si="7"/>
        <v>Estimate</v>
      </c>
      <c r="DR13" s="33" t="str">
        <f t="shared" si="7"/>
        <v>Estimate</v>
      </c>
      <c r="DS13" s="33" t="str">
        <f t="shared" si="7"/>
        <v>Estimate</v>
      </c>
      <c r="DT13" s="33" t="str">
        <f t="shared" si="7"/>
        <v>Estimate</v>
      </c>
      <c r="DU13" s="33" t="str">
        <f t="shared" si="7"/>
        <v>Estimate</v>
      </c>
      <c r="DV13" s="33" t="str">
        <f t="shared" si="7"/>
        <v>Estimate</v>
      </c>
      <c r="DW13" s="33" t="str">
        <f t="shared" si="7"/>
        <v>Estimate</v>
      </c>
      <c r="DX13" s="33" t="str">
        <f t="shared" si="7"/>
        <v>Estimate</v>
      </c>
      <c r="DY13" s="33" t="str">
        <f t="shared" si="7"/>
        <v>Estimate</v>
      </c>
      <c r="DZ13" s="33" t="str">
        <f t="shared" si="7"/>
        <v>Estimate</v>
      </c>
      <c r="EA13" s="33" t="str">
        <f t="shared" ref="EA13:FK13" si="8">IF(OR(COLUMN(EA$12)&lt;=MATCH("X", $A$7:$FK$7, 0),COLUMN(EA$12)&lt;=MATCH("X", $A$8:$FK$8, 0)), "Actual","Estimate")</f>
        <v>Estimate</v>
      </c>
      <c r="EB13" s="33" t="str">
        <f t="shared" si="8"/>
        <v>Estimate</v>
      </c>
      <c r="EC13" s="33" t="str">
        <f t="shared" si="8"/>
        <v>Estimate</v>
      </c>
      <c r="ED13" s="33" t="str">
        <f t="shared" si="8"/>
        <v>Estimate</v>
      </c>
      <c r="EE13" s="33" t="str">
        <f t="shared" si="8"/>
        <v>Estimate</v>
      </c>
      <c r="EF13" s="33" t="str">
        <f t="shared" si="8"/>
        <v>Estimate</v>
      </c>
      <c r="EG13" s="33" t="str">
        <f t="shared" si="8"/>
        <v>Estimate</v>
      </c>
      <c r="EH13" s="33" t="str">
        <f t="shared" si="8"/>
        <v>Estimate</v>
      </c>
      <c r="EI13" s="33" t="str">
        <f t="shared" si="8"/>
        <v>Estimate</v>
      </c>
      <c r="EJ13" s="33" t="str">
        <f t="shared" si="8"/>
        <v>Estimate</v>
      </c>
      <c r="EK13" s="33" t="str">
        <f t="shared" si="8"/>
        <v>Estimate</v>
      </c>
      <c r="EL13" s="33" t="str">
        <f t="shared" si="8"/>
        <v>Estimate</v>
      </c>
      <c r="EM13" s="33" t="str">
        <f t="shared" si="8"/>
        <v>Estimate</v>
      </c>
      <c r="EN13" s="33" t="str">
        <f t="shared" si="8"/>
        <v>Estimate</v>
      </c>
      <c r="EO13" s="33" t="str">
        <f t="shared" si="8"/>
        <v>Estimate</v>
      </c>
      <c r="EP13" s="33" t="str">
        <f t="shared" si="8"/>
        <v>Estimate</v>
      </c>
      <c r="EQ13" s="33" t="str">
        <f t="shared" si="8"/>
        <v>Estimate</v>
      </c>
      <c r="ER13" s="33" t="str">
        <f t="shared" si="8"/>
        <v>Estimate</v>
      </c>
      <c r="ES13" s="33" t="str">
        <f t="shared" si="8"/>
        <v>Estimate</v>
      </c>
      <c r="ET13" s="33" t="str">
        <f t="shared" si="8"/>
        <v>Estimate</v>
      </c>
      <c r="EU13" s="33" t="str">
        <f t="shared" si="8"/>
        <v>Estimate</v>
      </c>
      <c r="EV13" s="33" t="str">
        <f t="shared" si="8"/>
        <v>Estimate</v>
      </c>
      <c r="EW13" s="33" t="str">
        <f t="shared" si="8"/>
        <v>Estimate</v>
      </c>
      <c r="EX13" s="33" t="str">
        <f t="shared" si="8"/>
        <v>Estimate</v>
      </c>
      <c r="EY13" s="33" t="str">
        <f t="shared" si="8"/>
        <v>Estimate</v>
      </c>
      <c r="EZ13" s="33" t="str">
        <f t="shared" si="8"/>
        <v>Estimate</v>
      </c>
      <c r="FA13" s="33" t="str">
        <f t="shared" si="8"/>
        <v>Estimate</v>
      </c>
      <c r="FB13" s="33" t="str">
        <f t="shared" si="8"/>
        <v>Estimate</v>
      </c>
      <c r="FC13" s="33" t="str">
        <f t="shared" si="8"/>
        <v>Estimate</v>
      </c>
      <c r="FD13" s="33" t="str">
        <f t="shared" si="8"/>
        <v>Estimate</v>
      </c>
      <c r="FE13" s="33" t="str">
        <f t="shared" si="8"/>
        <v>Estimate</v>
      </c>
      <c r="FF13" s="33" t="str">
        <f t="shared" si="8"/>
        <v>Estimate</v>
      </c>
      <c r="FG13" s="33" t="str">
        <f t="shared" si="8"/>
        <v>Estimate</v>
      </c>
      <c r="FH13" s="33" t="str">
        <f t="shared" si="8"/>
        <v>Estimate</v>
      </c>
      <c r="FI13" s="33" t="str">
        <f t="shared" si="8"/>
        <v>Estimate</v>
      </c>
      <c r="FJ13" s="33" t="str">
        <f t="shared" si="8"/>
        <v>Estimate</v>
      </c>
      <c r="FK13" s="33" t="str">
        <f t="shared" si="8"/>
        <v>Estimate</v>
      </c>
    </row>
    <row r="14" spans="1:167" ht="12.75" customHeight="1">
      <c r="A14" s="2"/>
      <c r="B14" s="2" t="s">
        <v>19</v>
      </c>
      <c r="C14" s="34">
        <v>90</v>
      </c>
      <c r="D14" s="32">
        <f>D11-C11</f>
        <v>91</v>
      </c>
      <c r="E14" s="32">
        <f>E11-D11</f>
        <v>92</v>
      </c>
      <c r="F14" s="32">
        <f>F11-E11</f>
        <v>92</v>
      </c>
      <c r="G14" s="34">
        <v>365</v>
      </c>
      <c r="H14" s="32">
        <f>H11-F11</f>
        <v>90</v>
      </c>
      <c r="I14" s="32">
        <f>I11-H11</f>
        <v>91</v>
      </c>
      <c r="J14" s="32">
        <f>J11-I11</f>
        <v>92</v>
      </c>
      <c r="K14" s="32">
        <f>K11-J11</f>
        <v>92</v>
      </c>
      <c r="L14" s="32">
        <f>L11-G11</f>
        <v>365</v>
      </c>
      <c r="M14" s="32">
        <f>M11-K11</f>
        <v>91</v>
      </c>
      <c r="N14" s="32">
        <f>N11-M11</f>
        <v>91</v>
      </c>
      <c r="O14" s="32">
        <f>O11-N11</f>
        <v>92</v>
      </c>
      <c r="P14" s="32">
        <f>P11-O11</f>
        <v>92</v>
      </c>
      <c r="Q14" s="32">
        <f>Q11-L11</f>
        <v>366</v>
      </c>
      <c r="R14" s="32">
        <f>R11-P11</f>
        <v>90</v>
      </c>
      <c r="S14" s="32">
        <f>S11-R11</f>
        <v>91</v>
      </c>
      <c r="T14" s="32">
        <f>T11-S11</f>
        <v>92</v>
      </c>
      <c r="U14" s="32">
        <f>U11-T11</f>
        <v>92</v>
      </c>
      <c r="V14" s="32">
        <f>V11-Q11</f>
        <v>365</v>
      </c>
      <c r="W14" s="32">
        <f>W11-U11</f>
        <v>90</v>
      </c>
      <c r="X14" s="32">
        <f>X11-W11</f>
        <v>91</v>
      </c>
      <c r="Y14" s="32">
        <f>Y11-X11</f>
        <v>92</v>
      </c>
      <c r="Z14" s="32">
        <f>Z11-Y11</f>
        <v>92</v>
      </c>
      <c r="AA14" s="32">
        <f>AA11-V11</f>
        <v>365</v>
      </c>
      <c r="AB14" s="32">
        <f>AB11-Z11</f>
        <v>90</v>
      </c>
      <c r="AC14" s="32">
        <f>AC11-AB11</f>
        <v>91</v>
      </c>
      <c r="AD14" s="32">
        <f>AD11-AC11</f>
        <v>92</v>
      </c>
      <c r="AE14" s="32">
        <f>AE11-AD11</f>
        <v>92</v>
      </c>
      <c r="AF14" s="32">
        <f>AF11-AA11</f>
        <v>365</v>
      </c>
      <c r="AG14" s="32">
        <f>AG11-AE11</f>
        <v>91</v>
      </c>
      <c r="AH14" s="32">
        <f>AH11-AG11</f>
        <v>91</v>
      </c>
      <c r="AI14" s="32">
        <f>AI11-AH11</f>
        <v>92</v>
      </c>
      <c r="AJ14" s="32">
        <f>AJ11-AI11</f>
        <v>92</v>
      </c>
      <c r="AK14" s="32">
        <f>AK11-AF11</f>
        <v>366</v>
      </c>
      <c r="AL14" s="32">
        <f>AL11-AJ11</f>
        <v>90</v>
      </c>
      <c r="AM14" s="32">
        <f>AM11-AL11</f>
        <v>91</v>
      </c>
      <c r="AN14" s="32">
        <f>AN11-AM11</f>
        <v>92</v>
      </c>
      <c r="AO14" s="32">
        <f>AO11-AN11</f>
        <v>92</v>
      </c>
      <c r="AP14" s="32">
        <f>AP11-AK11</f>
        <v>365</v>
      </c>
      <c r="AQ14" s="32">
        <f>AQ11-AO11</f>
        <v>90</v>
      </c>
      <c r="AR14" s="32">
        <f>AR11-AQ11</f>
        <v>91</v>
      </c>
      <c r="AS14" s="32">
        <f>AS11-AR11</f>
        <v>92</v>
      </c>
      <c r="AT14" s="32">
        <f>AT11-AS11</f>
        <v>92</v>
      </c>
      <c r="AU14" s="32">
        <f>AU11-AP11</f>
        <v>365</v>
      </c>
      <c r="AV14" s="32">
        <f>AV11-AT11</f>
        <v>90</v>
      </c>
      <c r="AW14" s="32">
        <f>AW11-AV11</f>
        <v>91</v>
      </c>
      <c r="AX14" s="32">
        <f>AX11-AW11</f>
        <v>92</v>
      </c>
      <c r="AY14" s="32">
        <f>AY11-AX11</f>
        <v>92</v>
      </c>
      <c r="AZ14" s="32">
        <f>AZ11-AU11</f>
        <v>365</v>
      </c>
      <c r="BA14" s="32">
        <f>BA11-AY11</f>
        <v>91</v>
      </c>
      <c r="BB14" s="32">
        <f>BB11-BA11</f>
        <v>91</v>
      </c>
      <c r="BC14" s="32">
        <f>BC11-BB11</f>
        <v>92</v>
      </c>
      <c r="BD14" s="32">
        <f>BD11-BC11</f>
        <v>92</v>
      </c>
      <c r="BE14" s="32">
        <f>BE11-AZ11</f>
        <v>366</v>
      </c>
      <c r="BF14" s="32">
        <f>BF11-BD11</f>
        <v>90</v>
      </c>
      <c r="BG14" s="32">
        <f>BG11-BF11</f>
        <v>91</v>
      </c>
      <c r="BH14" s="32">
        <f>BH11-BG11</f>
        <v>92</v>
      </c>
      <c r="BI14" s="32">
        <f>BI11-BH11</f>
        <v>92</v>
      </c>
      <c r="BJ14" s="32">
        <f>BJ11-BE11</f>
        <v>365</v>
      </c>
      <c r="BK14" s="32">
        <f>BK11-BI11</f>
        <v>90</v>
      </c>
      <c r="BL14" s="32">
        <f>BL11-BK11</f>
        <v>91</v>
      </c>
      <c r="BM14" s="32">
        <f>BM11-BL11</f>
        <v>92</v>
      </c>
      <c r="BN14" s="32">
        <f>BN11-BM11</f>
        <v>92</v>
      </c>
      <c r="BO14" s="32">
        <f>BO11-BJ11</f>
        <v>365</v>
      </c>
      <c r="BP14" s="32">
        <f>BP11-BN11</f>
        <v>90</v>
      </c>
      <c r="BQ14" s="32">
        <f>BQ11-BP11</f>
        <v>91</v>
      </c>
      <c r="BR14" s="32">
        <f>BR11-BQ11</f>
        <v>92</v>
      </c>
      <c r="BS14" s="32">
        <f>BS11-BR11</f>
        <v>92</v>
      </c>
      <c r="BT14" s="32">
        <f>BT11-BO11</f>
        <v>365</v>
      </c>
      <c r="BU14" s="32">
        <f>BU11-BS11</f>
        <v>91</v>
      </c>
      <c r="BV14" s="32">
        <f>BV11-BU11</f>
        <v>91</v>
      </c>
      <c r="BW14" s="32">
        <f>BW11-BV11</f>
        <v>92</v>
      </c>
      <c r="BX14" s="32">
        <f>BX11-BW11</f>
        <v>92</v>
      </c>
      <c r="BY14" s="32">
        <f>BY11-BT11</f>
        <v>366</v>
      </c>
      <c r="BZ14" s="32">
        <f>BZ11-BX11</f>
        <v>90</v>
      </c>
      <c r="CA14" s="32">
        <f>CA11-BZ11</f>
        <v>91</v>
      </c>
      <c r="CB14" s="32">
        <f>CB11-CA11</f>
        <v>92</v>
      </c>
      <c r="CC14" s="32">
        <f>CC11-CB11</f>
        <v>92</v>
      </c>
      <c r="CD14" s="32">
        <f>CD11-BY11</f>
        <v>365</v>
      </c>
      <c r="CE14" s="32">
        <f>CE11-CC11</f>
        <v>90</v>
      </c>
      <c r="CF14" s="32">
        <f>CF11-CE11</f>
        <v>91</v>
      </c>
      <c r="CG14" s="32">
        <f>CG11-CF11</f>
        <v>92</v>
      </c>
      <c r="CH14" s="32">
        <f>CH11-CG11</f>
        <v>92</v>
      </c>
      <c r="CI14" s="32">
        <f>CI11-CD11</f>
        <v>365</v>
      </c>
      <c r="CJ14" s="32">
        <f>CJ11-CH11</f>
        <v>90</v>
      </c>
      <c r="CK14" s="32">
        <f>CK11-CJ11</f>
        <v>91</v>
      </c>
      <c r="CL14" s="32">
        <f>CL11-CK11</f>
        <v>92</v>
      </c>
      <c r="CM14" s="32">
        <f>CM11-CL11</f>
        <v>92</v>
      </c>
      <c r="CN14" s="32">
        <f>CN11-CI11</f>
        <v>365</v>
      </c>
      <c r="CO14" s="32">
        <f>CO11-CM11</f>
        <v>91</v>
      </c>
      <c r="CP14" s="32">
        <f>CP11-CO11</f>
        <v>91</v>
      </c>
      <c r="CQ14" s="32">
        <f>CQ11-CP11</f>
        <v>92</v>
      </c>
      <c r="CR14" s="32">
        <f>CR11-CQ11</f>
        <v>92</v>
      </c>
      <c r="CS14" s="32">
        <f>CS11-CN11</f>
        <v>366</v>
      </c>
      <c r="CT14" s="32">
        <f>CT11-CR11</f>
        <v>90</v>
      </c>
      <c r="CU14" s="32">
        <f>CU11-CT11</f>
        <v>91</v>
      </c>
      <c r="CV14" s="32">
        <f>CV11-CU11</f>
        <v>92</v>
      </c>
      <c r="CW14" s="32">
        <f>CW11-CV11</f>
        <v>92</v>
      </c>
      <c r="CX14" s="32">
        <f>CX11-CS11</f>
        <v>365</v>
      </c>
      <c r="CY14" s="32">
        <f>CY11-CW11</f>
        <v>90</v>
      </c>
      <c r="CZ14" s="32">
        <f>CZ11-CY11</f>
        <v>91</v>
      </c>
      <c r="DA14" s="32">
        <f>DA11-CZ11</f>
        <v>92</v>
      </c>
      <c r="DB14" s="32">
        <f>DB11-DA11</f>
        <v>92</v>
      </c>
      <c r="DC14" s="32">
        <f>DC11-CX11</f>
        <v>365</v>
      </c>
      <c r="DD14" s="32">
        <f>DD11-DB11</f>
        <v>90</v>
      </c>
      <c r="DE14" s="32">
        <f>DE11-DD11</f>
        <v>91</v>
      </c>
      <c r="DF14" s="32">
        <f>DF11-DE11</f>
        <v>92</v>
      </c>
      <c r="DG14" s="32">
        <f>DG11-DF11</f>
        <v>92</v>
      </c>
      <c r="DH14" s="32">
        <f>DH11-DC11</f>
        <v>365</v>
      </c>
      <c r="DI14" s="32">
        <f>DI11-DG11</f>
        <v>91</v>
      </c>
      <c r="DJ14" s="32">
        <f>DJ11-DI11</f>
        <v>91</v>
      </c>
      <c r="DK14" s="32">
        <f>DK11-DJ11</f>
        <v>92</v>
      </c>
      <c r="DL14" s="32">
        <f>DL11-DK11</f>
        <v>92</v>
      </c>
      <c r="DM14" s="32">
        <f>DM11-DH11</f>
        <v>366</v>
      </c>
      <c r="DN14" s="32">
        <f>DN11-DL11</f>
        <v>90</v>
      </c>
      <c r="DO14" s="32">
        <f>DO11-DN11</f>
        <v>91</v>
      </c>
      <c r="DP14" s="32">
        <f>DP11-DO11</f>
        <v>92</v>
      </c>
      <c r="DQ14" s="32">
        <f>DQ11-DP11</f>
        <v>92</v>
      </c>
      <c r="DR14" s="32">
        <f>DR11-DM11</f>
        <v>365</v>
      </c>
      <c r="DS14" s="32">
        <f>DS11-DQ11</f>
        <v>90</v>
      </c>
      <c r="DT14" s="32">
        <f>DT11-DS11</f>
        <v>91</v>
      </c>
      <c r="DU14" s="32">
        <f>DU11-DT11</f>
        <v>92</v>
      </c>
      <c r="DV14" s="32">
        <f>DV11-DU11</f>
        <v>92</v>
      </c>
      <c r="DW14" s="32">
        <f>DW11-DR11</f>
        <v>365</v>
      </c>
      <c r="DX14" s="32">
        <f>DX11-DV11</f>
        <v>90</v>
      </c>
      <c r="DY14" s="32">
        <f>DY11-DX11</f>
        <v>91</v>
      </c>
      <c r="DZ14" s="32">
        <f>DZ11-DY11</f>
        <v>92</v>
      </c>
      <c r="EA14" s="32">
        <f>EA11-DZ11</f>
        <v>92</v>
      </c>
      <c r="EB14" s="32">
        <f>EB11-DW11</f>
        <v>365</v>
      </c>
      <c r="EC14" s="32">
        <f>EC11-EA11</f>
        <v>91</v>
      </c>
      <c r="ED14" s="32">
        <f>ED11-EC11</f>
        <v>91</v>
      </c>
      <c r="EE14" s="32">
        <f>EE11-ED11</f>
        <v>92</v>
      </c>
      <c r="EF14" s="32">
        <f>EF11-EE11</f>
        <v>92</v>
      </c>
      <c r="EG14" s="32">
        <f>EG11-EB11</f>
        <v>366</v>
      </c>
      <c r="EH14" s="32">
        <f>EH11-EF11</f>
        <v>90</v>
      </c>
      <c r="EI14" s="32">
        <f>EI11-EH11</f>
        <v>91</v>
      </c>
      <c r="EJ14" s="32">
        <f>EJ11-EI11</f>
        <v>92</v>
      </c>
      <c r="EK14" s="32">
        <f>EK11-EJ11</f>
        <v>92</v>
      </c>
      <c r="EL14" s="32">
        <f>EL11-EG11</f>
        <v>365</v>
      </c>
      <c r="EM14" s="32">
        <f>EM11-EK11</f>
        <v>90</v>
      </c>
      <c r="EN14" s="32">
        <f>EN11-EM11</f>
        <v>91</v>
      </c>
      <c r="EO14" s="32">
        <f>EO11-EN11</f>
        <v>92</v>
      </c>
      <c r="EP14" s="32">
        <f>EP11-EO11</f>
        <v>92</v>
      </c>
      <c r="EQ14" s="32">
        <f>EQ11-EL11</f>
        <v>365</v>
      </c>
      <c r="ER14" s="32">
        <f>ER11-EP11</f>
        <v>90</v>
      </c>
      <c r="ES14" s="32">
        <f>ES11-ER11</f>
        <v>91</v>
      </c>
      <c r="ET14" s="32">
        <f>ET11-ES11</f>
        <v>92</v>
      </c>
      <c r="EU14" s="32">
        <f>EU11-ET11</f>
        <v>92</v>
      </c>
      <c r="EV14" s="32">
        <f>EV11-EQ11</f>
        <v>365</v>
      </c>
      <c r="EW14" s="32">
        <f>EW11-EU11</f>
        <v>91</v>
      </c>
      <c r="EX14" s="32">
        <f>EX11-EW11</f>
        <v>91</v>
      </c>
      <c r="EY14" s="32">
        <f>EY11-EX11</f>
        <v>92</v>
      </c>
      <c r="EZ14" s="32">
        <f>EZ11-EY11</f>
        <v>92</v>
      </c>
      <c r="FA14" s="32">
        <f>FA11-EV11</f>
        <v>366</v>
      </c>
      <c r="FB14" s="32">
        <f>FB11-EZ11</f>
        <v>90</v>
      </c>
      <c r="FC14" s="32">
        <f>FC11-FB11</f>
        <v>91</v>
      </c>
      <c r="FD14" s="32">
        <f>FD11-FC11</f>
        <v>92</v>
      </c>
      <c r="FE14" s="32">
        <f>FE11-FD11</f>
        <v>92</v>
      </c>
      <c r="FF14" s="32">
        <f>FF11-FA11</f>
        <v>365</v>
      </c>
      <c r="FG14" s="32">
        <f>FG11-FE11</f>
        <v>90</v>
      </c>
      <c r="FH14" s="32">
        <f>FH11-FG11</f>
        <v>91</v>
      </c>
      <c r="FI14" s="32">
        <f>FI11-FH11</f>
        <v>92</v>
      </c>
      <c r="FJ14" s="32">
        <f>FJ11-FI11</f>
        <v>92</v>
      </c>
      <c r="FK14" s="32">
        <f>FK11-FF11</f>
        <v>365</v>
      </c>
    </row>
    <row r="15" spans="1:167" ht="12.75" customHeight="1">
      <c r="A15" s="2"/>
      <c r="B15" s="2" t="s">
        <v>20</v>
      </c>
      <c r="C15" s="32">
        <f>G14</f>
        <v>365</v>
      </c>
      <c r="D15" s="32">
        <f>G14</f>
        <v>365</v>
      </c>
      <c r="E15" s="32">
        <f>G14</f>
        <v>365</v>
      </c>
      <c r="F15" s="32">
        <f>G14</f>
        <v>365</v>
      </c>
      <c r="G15" s="32">
        <f>G14</f>
        <v>365</v>
      </c>
      <c r="H15" s="32">
        <f>L14</f>
        <v>365</v>
      </c>
      <c r="I15" s="32">
        <f>L14</f>
        <v>365</v>
      </c>
      <c r="J15" s="32">
        <f>L14</f>
        <v>365</v>
      </c>
      <c r="K15" s="32">
        <f>L14</f>
        <v>365</v>
      </c>
      <c r="L15" s="32">
        <f>L14</f>
        <v>365</v>
      </c>
      <c r="M15" s="32">
        <f>Q14</f>
        <v>366</v>
      </c>
      <c r="N15" s="32">
        <f>Q14</f>
        <v>366</v>
      </c>
      <c r="O15" s="32">
        <f>Q14</f>
        <v>366</v>
      </c>
      <c r="P15" s="32">
        <f>Q14</f>
        <v>366</v>
      </c>
      <c r="Q15" s="32">
        <f>Q14</f>
        <v>366</v>
      </c>
      <c r="R15" s="32">
        <f>V14</f>
        <v>365</v>
      </c>
      <c r="S15" s="32">
        <f>V14</f>
        <v>365</v>
      </c>
      <c r="T15" s="32">
        <f>V14</f>
        <v>365</v>
      </c>
      <c r="U15" s="32">
        <f>V14</f>
        <v>365</v>
      </c>
      <c r="V15" s="32">
        <f>V14</f>
        <v>365</v>
      </c>
      <c r="W15" s="32">
        <f>AA14</f>
        <v>365</v>
      </c>
      <c r="X15" s="32">
        <f>AA14</f>
        <v>365</v>
      </c>
      <c r="Y15" s="32">
        <f>AA14</f>
        <v>365</v>
      </c>
      <c r="Z15" s="32">
        <f>AA14</f>
        <v>365</v>
      </c>
      <c r="AA15" s="32">
        <f>AA14</f>
        <v>365</v>
      </c>
      <c r="AB15" s="32">
        <f>AF14</f>
        <v>365</v>
      </c>
      <c r="AC15" s="32">
        <f>AF14</f>
        <v>365</v>
      </c>
      <c r="AD15" s="32">
        <f>AF14</f>
        <v>365</v>
      </c>
      <c r="AE15" s="32">
        <f>AF14</f>
        <v>365</v>
      </c>
      <c r="AF15" s="32">
        <f>AF14</f>
        <v>365</v>
      </c>
      <c r="AG15" s="32">
        <f>AK14</f>
        <v>366</v>
      </c>
      <c r="AH15" s="32">
        <f>AK14</f>
        <v>366</v>
      </c>
      <c r="AI15" s="32">
        <f>AK14</f>
        <v>366</v>
      </c>
      <c r="AJ15" s="32">
        <f>AK14</f>
        <v>366</v>
      </c>
      <c r="AK15" s="32">
        <f>AK14</f>
        <v>366</v>
      </c>
      <c r="AL15" s="32">
        <f>AP14</f>
        <v>365</v>
      </c>
      <c r="AM15" s="32">
        <f>AP14</f>
        <v>365</v>
      </c>
      <c r="AN15" s="32">
        <f>AP14</f>
        <v>365</v>
      </c>
      <c r="AO15" s="32">
        <f>AP14</f>
        <v>365</v>
      </c>
      <c r="AP15" s="32">
        <f>AP14</f>
        <v>365</v>
      </c>
      <c r="AQ15" s="32">
        <f>AU14</f>
        <v>365</v>
      </c>
      <c r="AR15" s="32">
        <f>AU14</f>
        <v>365</v>
      </c>
      <c r="AS15" s="32">
        <f>AU14</f>
        <v>365</v>
      </c>
      <c r="AT15" s="32">
        <f>AU14</f>
        <v>365</v>
      </c>
      <c r="AU15" s="32">
        <f>AU14</f>
        <v>365</v>
      </c>
      <c r="AV15" s="32">
        <f>AZ14</f>
        <v>365</v>
      </c>
      <c r="AW15" s="32">
        <f>AZ14</f>
        <v>365</v>
      </c>
      <c r="AX15" s="32">
        <f>AZ14</f>
        <v>365</v>
      </c>
      <c r="AY15" s="32">
        <f>AZ14</f>
        <v>365</v>
      </c>
      <c r="AZ15" s="32">
        <f>AZ14</f>
        <v>365</v>
      </c>
      <c r="BA15" s="32">
        <f>BE14</f>
        <v>366</v>
      </c>
      <c r="BB15" s="32">
        <f>BE14</f>
        <v>366</v>
      </c>
      <c r="BC15" s="32">
        <f>BE14</f>
        <v>366</v>
      </c>
      <c r="BD15" s="32">
        <f>BE14</f>
        <v>366</v>
      </c>
      <c r="BE15" s="32">
        <f>BE14</f>
        <v>366</v>
      </c>
      <c r="BF15" s="32">
        <f>BJ14</f>
        <v>365</v>
      </c>
      <c r="BG15" s="32">
        <f>BJ14</f>
        <v>365</v>
      </c>
      <c r="BH15" s="32">
        <f>BJ14</f>
        <v>365</v>
      </c>
      <c r="BI15" s="32">
        <f>BJ14</f>
        <v>365</v>
      </c>
      <c r="BJ15" s="32">
        <f>BJ14</f>
        <v>365</v>
      </c>
      <c r="BK15" s="32">
        <f>BO14</f>
        <v>365</v>
      </c>
      <c r="BL15" s="32">
        <f>BO14</f>
        <v>365</v>
      </c>
      <c r="BM15" s="32">
        <f>BO14</f>
        <v>365</v>
      </c>
      <c r="BN15" s="32">
        <f>BO14</f>
        <v>365</v>
      </c>
      <c r="BO15" s="32">
        <f>BO14</f>
        <v>365</v>
      </c>
      <c r="BP15" s="32">
        <f>BT14</f>
        <v>365</v>
      </c>
      <c r="BQ15" s="32">
        <f>BT14</f>
        <v>365</v>
      </c>
      <c r="BR15" s="32">
        <f>BT14</f>
        <v>365</v>
      </c>
      <c r="BS15" s="32">
        <f>BT14</f>
        <v>365</v>
      </c>
      <c r="BT15" s="32">
        <f>BT14</f>
        <v>365</v>
      </c>
      <c r="BU15" s="32">
        <f>BY14</f>
        <v>366</v>
      </c>
      <c r="BV15" s="32">
        <f>BY14</f>
        <v>366</v>
      </c>
      <c r="BW15" s="32">
        <f>BY14</f>
        <v>366</v>
      </c>
      <c r="BX15" s="32">
        <f>BY14</f>
        <v>366</v>
      </c>
      <c r="BY15" s="32">
        <f>BY14</f>
        <v>366</v>
      </c>
      <c r="BZ15" s="32">
        <f>CD14</f>
        <v>365</v>
      </c>
      <c r="CA15" s="32">
        <f>CD14</f>
        <v>365</v>
      </c>
      <c r="CB15" s="32">
        <f>CD14</f>
        <v>365</v>
      </c>
      <c r="CC15" s="32">
        <f>CD14</f>
        <v>365</v>
      </c>
      <c r="CD15" s="32">
        <f>CD14</f>
        <v>365</v>
      </c>
      <c r="CE15" s="32">
        <f>CI14</f>
        <v>365</v>
      </c>
      <c r="CF15" s="32">
        <f>CI14</f>
        <v>365</v>
      </c>
      <c r="CG15" s="32">
        <f>CI14</f>
        <v>365</v>
      </c>
      <c r="CH15" s="32">
        <f>CI14</f>
        <v>365</v>
      </c>
      <c r="CI15" s="32">
        <f>CI14</f>
        <v>365</v>
      </c>
      <c r="CJ15" s="32">
        <f>CN14</f>
        <v>365</v>
      </c>
      <c r="CK15" s="32">
        <f>CN14</f>
        <v>365</v>
      </c>
      <c r="CL15" s="32">
        <f>CN14</f>
        <v>365</v>
      </c>
      <c r="CM15" s="32">
        <f>CN14</f>
        <v>365</v>
      </c>
      <c r="CN15" s="32">
        <f>CN14</f>
        <v>365</v>
      </c>
      <c r="CO15" s="32">
        <f>CS14</f>
        <v>366</v>
      </c>
      <c r="CP15" s="32">
        <f>CS14</f>
        <v>366</v>
      </c>
      <c r="CQ15" s="32">
        <f>CS14</f>
        <v>366</v>
      </c>
      <c r="CR15" s="32">
        <f>CS14</f>
        <v>366</v>
      </c>
      <c r="CS15" s="32">
        <f>CS14</f>
        <v>366</v>
      </c>
      <c r="CT15" s="32">
        <f>CX14</f>
        <v>365</v>
      </c>
      <c r="CU15" s="32">
        <f>CX14</f>
        <v>365</v>
      </c>
      <c r="CV15" s="32">
        <f>CX14</f>
        <v>365</v>
      </c>
      <c r="CW15" s="32">
        <f>CX14</f>
        <v>365</v>
      </c>
      <c r="CX15" s="32">
        <f>CX14</f>
        <v>365</v>
      </c>
      <c r="CY15" s="32">
        <f>DC14</f>
        <v>365</v>
      </c>
      <c r="CZ15" s="32">
        <f>DC14</f>
        <v>365</v>
      </c>
      <c r="DA15" s="32">
        <f>DC14</f>
        <v>365</v>
      </c>
      <c r="DB15" s="32">
        <f>DC14</f>
        <v>365</v>
      </c>
      <c r="DC15" s="32">
        <f>DC14</f>
        <v>365</v>
      </c>
      <c r="DD15" s="32">
        <f>DH14</f>
        <v>365</v>
      </c>
      <c r="DE15" s="32">
        <f>DH14</f>
        <v>365</v>
      </c>
      <c r="DF15" s="32">
        <f>DH14</f>
        <v>365</v>
      </c>
      <c r="DG15" s="32">
        <f>DH14</f>
        <v>365</v>
      </c>
      <c r="DH15" s="32">
        <f>DH14</f>
        <v>365</v>
      </c>
      <c r="DI15" s="32">
        <f>DM14</f>
        <v>366</v>
      </c>
      <c r="DJ15" s="32">
        <f>DM14</f>
        <v>366</v>
      </c>
      <c r="DK15" s="32">
        <f>DM14</f>
        <v>366</v>
      </c>
      <c r="DL15" s="32">
        <f>DM14</f>
        <v>366</v>
      </c>
      <c r="DM15" s="32">
        <f>DM14</f>
        <v>366</v>
      </c>
      <c r="DN15" s="32">
        <f>DR14</f>
        <v>365</v>
      </c>
      <c r="DO15" s="32">
        <f>DR14</f>
        <v>365</v>
      </c>
      <c r="DP15" s="32">
        <f>DR14</f>
        <v>365</v>
      </c>
      <c r="DQ15" s="32">
        <f>DR14</f>
        <v>365</v>
      </c>
      <c r="DR15" s="32">
        <f>DR14</f>
        <v>365</v>
      </c>
      <c r="DS15" s="32">
        <f>DW14</f>
        <v>365</v>
      </c>
      <c r="DT15" s="32">
        <f>DW14</f>
        <v>365</v>
      </c>
      <c r="DU15" s="32">
        <f>DW14</f>
        <v>365</v>
      </c>
      <c r="DV15" s="32">
        <f>DW14</f>
        <v>365</v>
      </c>
      <c r="DW15" s="32">
        <f>DW14</f>
        <v>365</v>
      </c>
      <c r="DX15" s="32">
        <f>EB14</f>
        <v>365</v>
      </c>
      <c r="DY15" s="32">
        <f>EB14</f>
        <v>365</v>
      </c>
      <c r="DZ15" s="32">
        <f>EB14</f>
        <v>365</v>
      </c>
      <c r="EA15" s="32">
        <f>EB14</f>
        <v>365</v>
      </c>
      <c r="EB15" s="32">
        <f>EB14</f>
        <v>365</v>
      </c>
      <c r="EC15" s="32">
        <f>EG14</f>
        <v>366</v>
      </c>
      <c r="ED15" s="32">
        <f>EG14</f>
        <v>366</v>
      </c>
      <c r="EE15" s="32">
        <f>EG14</f>
        <v>366</v>
      </c>
      <c r="EF15" s="32">
        <f>EG14</f>
        <v>366</v>
      </c>
      <c r="EG15" s="32">
        <f>EG14</f>
        <v>366</v>
      </c>
      <c r="EH15" s="32">
        <f>EL14</f>
        <v>365</v>
      </c>
      <c r="EI15" s="32">
        <f>EL14</f>
        <v>365</v>
      </c>
      <c r="EJ15" s="32">
        <f>EL14</f>
        <v>365</v>
      </c>
      <c r="EK15" s="32">
        <f>EL14</f>
        <v>365</v>
      </c>
      <c r="EL15" s="32">
        <f>EL14</f>
        <v>365</v>
      </c>
      <c r="EM15" s="32">
        <f>EQ14</f>
        <v>365</v>
      </c>
      <c r="EN15" s="32">
        <f>EQ14</f>
        <v>365</v>
      </c>
      <c r="EO15" s="32">
        <f>EQ14</f>
        <v>365</v>
      </c>
      <c r="EP15" s="32">
        <f>EQ14</f>
        <v>365</v>
      </c>
      <c r="EQ15" s="32">
        <f>EQ14</f>
        <v>365</v>
      </c>
      <c r="ER15" s="32">
        <f>EV14</f>
        <v>365</v>
      </c>
      <c r="ES15" s="32">
        <f>EV14</f>
        <v>365</v>
      </c>
      <c r="ET15" s="32">
        <f>EV14</f>
        <v>365</v>
      </c>
      <c r="EU15" s="32">
        <f>EV14</f>
        <v>365</v>
      </c>
      <c r="EV15" s="32">
        <f>EV14</f>
        <v>365</v>
      </c>
      <c r="EW15" s="32">
        <f>FA14</f>
        <v>366</v>
      </c>
      <c r="EX15" s="32">
        <f>FA14</f>
        <v>366</v>
      </c>
      <c r="EY15" s="32">
        <f>FA14</f>
        <v>366</v>
      </c>
      <c r="EZ15" s="32">
        <f>FA14</f>
        <v>366</v>
      </c>
      <c r="FA15" s="32">
        <f>FA14</f>
        <v>366</v>
      </c>
      <c r="FB15" s="32">
        <f>FF14</f>
        <v>365</v>
      </c>
      <c r="FC15" s="32">
        <f>FF14</f>
        <v>365</v>
      </c>
      <c r="FD15" s="32">
        <f>FF14</f>
        <v>365</v>
      </c>
      <c r="FE15" s="32">
        <f>FF14</f>
        <v>365</v>
      </c>
      <c r="FF15" s="32">
        <f>FF14</f>
        <v>365</v>
      </c>
      <c r="FG15" s="32">
        <f>FK14</f>
        <v>365</v>
      </c>
      <c r="FH15" s="32">
        <f>FK14</f>
        <v>365</v>
      </c>
      <c r="FI15" s="32">
        <f>FK14</f>
        <v>365</v>
      </c>
      <c r="FJ15" s="32">
        <f>FK14</f>
        <v>365</v>
      </c>
      <c r="FK15" s="32">
        <f>FK14</f>
        <v>365</v>
      </c>
    </row>
    <row r="16" spans="1:167" ht="12.75" customHeight="1">
      <c r="A16" s="2"/>
      <c r="B16" s="2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</row>
    <row r="17" spans="1:167" ht="12.75" customHeight="1">
      <c r="A17" s="2"/>
      <c r="B17" s="2" t="s">
        <v>21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>
        <v>41200</v>
      </c>
      <c r="BV17" s="6">
        <v>41298</v>
      </c>
      <c r="BW17" s="6">
        <v>41382</v>
      </c>
      <c r="BX17" s="6">
        <v>41473</v>
      </c>
      <c r="BY17" s="6"/>
      <c r="BZ17" s="6">
        <v>41571</v>
      </c>
      <c r="CA17" s="6">
        <v>41662</v>
      </c>
      <c r="CB17" s="6">
        <v>41743</v>
      </c>
      <c r="CC17" s="6">
        <v>41842</v>
      </c>
      <c r="CD17" s="6"/>
      <c r="CE17" s="6">
        <v>41935</v>
      </c>
      <c r="CF17" s="6">
        <v>42030</v>
      </c>
      <c r="CG17" s="6">
        <v>42117</v>
      </c>
      <c r="CH17" s="6">
        <v>42206</v>
      </c>
      <c r="CI17" s="6"/>
      <c r="CJ17" s="6">
        <v>42299</v>
      </c>
      <c r="CK17" s="6">
        <v>42397</v>
      </c>
      <c r="CL17" s="6">
        <v>42481</v>
      </c>
      <c r="CM17" s="6">
        <v>42570</v>
      </c>
      <c r="CN17" s="6"/>
      <c r="CO17" s="6">
        <v>42663</v>
      </c>
      <c r="CP17" s="6">
        <v>42761</v>
      </c>
      <c r="CQ17" s="6">
        <v>42821</v>
      </c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</row>
    <row r="18" spans="1:167" ht="12.75" customHeight="1">
      <c r="A18" s="2"/>
      <c r="B18" s="2" t="s">
        <v>22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>
        <f>BU17-1</f>
        <v>41199</v>
      </c>
      <c r="BV18" s="6">
        <f>BV17-1</f>
        <v>41297</v>
      </c>
      <c r="BW18" s="6">
        <f>BW17-1</f>
        <v>41381</v>
      </c>
      <c r="BX18" s="6">
        <f>BX17-1</f>
        <v>41472</v>
      </c>
      <c r="BY18" s="6"/>
      <c r="BZ18" s="6">
        <f>BZ17-1</f>
        <v>41570</v>
      </c>
      <c r="CA18" s="6">
        <f>CA17-1</f>
        <v>41661</v>
      </c>
      <c r="CB18" s="6">
        <f>CB17-1</f>
        <v>41742</v>
      </c>
      <c r="CC18" s="6">
        <f>CC17-1</f>
        <v>41841</v>
      </c>
      <c r="CD18" s="6"/>
      <c r="CE18" s="6">
        <f>CE17-1</f>
        <v>41934</v>
      </c>
      <c r="CF18" s="6">
        <f>CF17-1</f>
        <v>42029</v>
      </c>
      <c r="CG18" s="6">
        <f>CG17-1</f>
        <v>42116</v>
      </c>
      <c r="CH18" s="6">
        <f>CH17-1</f>
        <v>42205</v>
      </c>
      <c r="CI18" s="6"/>
      <c r="CJ18" s="6">
        <f>CJ17-1</f>
        <v>42298</v>
      </c>
      <c r="CK18" s="6">
        <f>CK17-1</f>
        <v>42396</v>
      </c>
      <c r="CL18" s="6">
        <f>CL17-1</f>
        <v>42480</v>
      </c>
      <c r="CM18" s="6">
        <f>CM17-1</f>
        <v>42569</v>
      </c>
      <c r="CN18" s="6"/>
      <c r="CO18" s="6">
        <f>CO17-1</f>
        <v>42662</v>
      </c>
      <c r="CP18" s="6">
        <f>CP17-1</f>
        <v>42760</v>
      </c>
      <c r="CQ18" s="6">
        <f>CQ17-1</f>
        <v>42820</v>
      </c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</row>
    <row r="19" spans="1:167" s="35" customFormat="1" ht="12.75" customHeight="1">
      <c r="B19" s="36" t="s">
        <v>23</v>
      </c>
      <c r="G19" s="35">
        <v>2022</v>
      </c>
      <c r="L19" s="35">
        <f>G19+1</f>
        <v>2023</v>
      </c>
      <c r="Q19" s="35">
        <f>L19+1</f>
        <v>2024</v>
      </c>
      <c r="V19" s="35">
        <f>Q19+1</f>
        <v>2025</v>
      </c>
      <c r="AA19" s="35">
        <f>V19+1</f>
        <v>2026</v>
      </c>
      <c r="AF19" s="35">
        <f>AA19+1</f>
        <v>2027</v>
      </c>
      <c r="AK19" s="35">
        <f>AF19+1</f>
        <v>2028</v>
      </c>
      <c r="AP19" s="35">
        <f>AK19+1</f>
        <v>2029</v>
      </c>
      <c r="AU19" s="35">
        <f>AP19+1</f>
        <v>2030</v>
      </c>
      <c r="AZ19" s="35">
        <f>AU19+1</f>
        <v>2031</v>
      </c>
      <c r="BE19" s="35">
        <f>AZ19+1</f>
        <v>2032</v>
      </c>
      <c r="BJ19" s="35">
        <f>BE19+1</f>
        <v>2033</v>
      </c>
      <c r="BO19" s="35">
        <f>BJ19+1</f>
        <v>2034</v>
      </c>
      <c r="BT19" s="35">
        <f>BO19+1</f>
        <v>2035</v>
      </c>
      <c r="BY19" s="35">
        <f>BT19+1</f>
        <v>2036</v>
      </c>
      <c r="CD19" s="35">
        <f>BY19+1</f>
        <v>2037</v>
      </c>
      <c r="CI19" s="35">
        <f>CD19+1</f>
        <v>2038</v>
      </c>
      <c r="CN19" s="35">
        <f>CI19+1</f>
        <v>2039</v>
      </c>
      <c r="CS19" s="35">
        <f>CN19+1</f>
        <v>2040</v>
      </c>
      <c r="CX19" s="35">
        <f>CS19+1</f>
        <v>2041</v>
      </c>
      <c r="DC19" s="35">
        <f>CX19+1</f>
        <v>2042</v>
      </c>
      <c r="DH19" s="35">
        <f>DC19+1</f>
        <v>2043</v>
      </c>
      <c r="DM19" s="35">
        <f>DH19+1</f>
        <v>2044</v>
      </c>
      <c r="DR19" s="35">
        <f>DM19+1</f>
        <v>2045</v>
      </c>
      <c r="DW19" s="35">
        <f>DR19+1</f>
        <v>2046</v>
      </c>
      <c r="EB19" s="35">
        <f>DW19+1</f>
        <v>2047</v>
      </c>
      <c r="EG19" s="35">
        <f>EB19+1</f>
        <v>2048</v>
      </c>
      <c r="EL19" s="35">
        <f>EG19+1</f>
        <v>2049</v>
      </c>
      <c r="EQ19" s="35">
        <f>EL19+1</f>
        <v>2050</v>
      </c>
      <c r="EV19" s="35">
        <f>EQ19+1</f>
        <v>2051</v>
      </c>
      <c r="FA19" s="35">
        <f>EV19+1</f>
        <v>2052</v>
      </c>
      <c r="FF19" s="35">
        <f>FA19+1</f>
        <v>2053</v>
      </c>
      <c r="FK19" s="35">
        <f>FF19+1</f>
        <v>2054</v>
      </c>
    </row>
  </sheetData>
  <pageMargins left="0.7" right="0.7" top="0.75" bottom="0.75" header="0.3" footer="0.3"/>
  <pageSetup orientation="portrait" r:id="rId1"/>
  <customProperties>
    <customPr name="Qube.Worksheet.Visibility" r:id="rId2"/>
  </customPropertie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AE053-9938-49EF-A609-B77513A18C82}">
  <sheetPr codeName="Sheet26">
    <tabColor rgb="FF00B050"/>
  </sheetPr>
  <dimension ref="A2:BK108"/>
  <sheetViews>
    <sheetView showGridLines="0" workbookViewId="0">
      <pane xSplit="3" ySplit="9" topLeftCell="AK10" activePane="bottomRight" state="frozen"/>
      <selection activeCell="Q11" sqref="Q11"/>
      <selection pane="topRight" activeCell="Q11" sqref="Q11"/>
      <selection pane="bottomLeft" activeCell="Q11" sqref="Q11"/>
      <selection pane="bottomRight" activeCell="Q11" sqref="Q11"/>
    </sheetView>
  </sheetViews>
  <sheetFormatPr defaultColWidth="9.140625" defaultRowHeight="12.75" customHeight="1" outlineLevelRow="1" outlineLevelCol="1"/>
  <cols>
    <col min="1" max="1" width="3.7109375" style="38" customWidth="1"/>
    <col min="2" max="2" width="36.42578125" style="41" bestFit="1" customWidth="1"/>
    <col min="3" max="3" width="9.85546875" style="41" bestFit="1" customWidth="1"/>
    <col min="4" max="7" width="10.28515625" style="41" customWidth="1" outlineLevel="1"/>
    <col min="8" max="8" width="10.140625" style="41" customWidth="1"/>
    <col min="9" max="12" width="10.28515625" style="41" customWidth="1" outlineLevel="1"/>
    <col min="13" max="13" width="9.42578125" style="41" bestFit="1" customWidth="1"/>
    <col min="14" max="17" width="10.28515625" style="41" customWidth="1" outlineLevel="1"/>
    <col min="18" max="18" width="9.42578125" style="41" bestFit="1" customWidth="1"/>
    <col min="19" max="22" width="10.28515625" style="41" customWidth="1" outlineLevel="1"/>
    <col min="23" max="23" width="9.42578125" style="41" bestFit="1" customWidth="1"/>
    <col min="24" max="27" width="10.28515625" style="41" customWidth="1" outlineLevel="1"/>
    <col min="28" max="28" width="9.42578125" style="41" bestFit="1" customWidth="1"/>
    <col min="29" max="32" width="10.28515625" style="41" customWidth="1" outlineLevel="1"/>
    <col min="33" max="33" width="9.42578125" style="41" bestFit="1" customWidth="1"/>
    <col min="34" max="37" width="10.28515625" style="41" customWidth="1" outlineLevel="1"/>
    <col min="38" max="38" width="9.42578125" style="41" bestFit="1" customWidth="1"/>
    <col min="39" max="42" width="10.28515625" style="41" customWidth="1" outlineLevel="1"/>
    <col min="43" max="43" width="9.42578125" style="41" bestFit="1" customWidth="1"/>
    <col min="44" max="47" width="10.28515625" style="41" customWidth="1" outlineLevel="1"/>
    <col min="48" max="48" width="9.42578125" style="41" bestFit="1" customWidth="1"/>
    <col min="49" max="52" width="10.28515625" style="41" customWidth="1" outlineLevel="1"/>
    <col min="53" max="53" width="9.42578125" style="41" bestFit="1" customWidth="1"/>
    <col min="54" max="57" width="10.28515625" style="41" customWidth="1" outlineLevel="1"/>
    <col min="58" max="58" width="9.42578125" style="41" bestFit="1" customWidth="1"/>
    <col min="59" max="62" width="10.28515625" style="41" customWidth="1" outlineLevel="1"/>
    <col min="63" max="63" width="9.42578125" style="41" bestFit="1" customWidth="1"/>
    <col min="64" max="16384" width="9.140625" style="41"/>
  </cols>
  <sheetData>
    <row r="2" spans="1:63" ht="12.75" customHeight="1">
      <c r="B2" s="475" t="s">
        <v>231</v>
      </c>
      <c r="C2" s="40" t="s">
        <v>343</v>
      </c>
    </row>
    <row r="3" spans="1:63" ht="12.75" customHeight="1">
      <c r="B3" s="475" t="s">
        <v>169</v>
      </c>
      <c r="C3" s="39"/>
    </row>
    <row r="4" spans="1:63" ht="12.75" customHeight="1">
      <c r="B4" s="475" t="s">
        <v>24</v>
      </c>
      <c r="C4" s="39"/>
    </row>
    <row r="5" spans="1:63" ht="12.75" customHeight="1">
      <c r="B5" s="42" t="s">
        <v>25</v>
      </c>
      <c r="C5" s="43">
        <v>45970</v>
      </c>
      <c r="G5" s="44"/>
    </row>
    <row r="6" spans="1:63" ht="12.75" customHeight="1">
      <c r="B6" s="45"/>
      <c r="C6" s="45"/>
      <c r="D6" s="46" t="e">
        <f>Dates!#REF!</f>
        <v>#REF!</v>
      </c>
      <c r="E6" s="46"/>
      <c r="F6" s="46"/>
      <c r="G6" s="46"/>
      <c r="I6" s="46" t="e">
        <f>Dates!#REF!</f>
        <v>#REF!</v>
      </c>
      <c r="J6" s="46"/>
      <c r="K6" s="46"/>
      <c r="L6" s="46"/>
      <c r="N6" s="46" t="e">
        <f>Dates!#REF!</f>
        <v>#REF!</v>
      </c>
      <c r="O6" s="46"/>
      <c r="P6" s="46"/>
      <c r="Q6" s="46"/>
      <c r="S6" s="46" t="e">
        <f>Dates!#REF!</f>
        <v>#REF!</v>
      </c>
      <c r="T6" s="46"/>
      <c r="U6" s="46"/>
      <c r="V6" s="46"/>
      <c r="X6" s="46" t="str">
        <f>Dates!C3</f>
        <v>2022 (A)</v>
      </c>
      <c r="Y6" s="46"/>
      <c r="Z6" s="46"/>
      <c r="AA6" s="46"/>
      <c r="AC6" s="46" t="str">
        <f>Dates!H3</f>
        <v>2023 (A)</v>
      </c>
      <c r="AD6" s="46"/>
      <c r="AE6" s="46"/>
      <c r="AF6" s="46"/>
      <c r="AH6" s="46" t="str">
        <f>Dates!M3</f>
        <v>2024 (A)</v>
      </c>
      <c r="AI6" s="46"/>
      <c r="AJ6" s="46"/>
      <c r="AK6" s="46"/>
      <c r="AM6" s="46" t="str">
        <f>Dates!R3</f>
        <v>2025 (E)</v>
      </c>
      <c r="AN6" s="46"/>
      <c r="AO6" s="46"/>
      <c r="AP6" s="46"/>
      <c r="AR6" s="46" t="str">
        <f>Dates!W3</f>
        <v>2026 (E)</v>
      </c>
      <c r="AS6" s="46"/>
      <c r="AT6" s="46"/>
      <c r="AU6" s="46"/>
      <c r="AW6" s="46" t="str">
        <f>Dates!AB3</f>
        <v>2027 (E)</v>
      </c>
      <c r="AX6" s="46"/>
      <c r="AY6" s="46"/>
      <c r="AZ6" s="46"/>
      <c r="BB6" s="46" t="str">
        <f>Dates!AG3</f>
        <v>2028 (E)</v>
      </c>
      <c r="BC6" s="46"/>
      <c r="BD6" s="46"/>
      <c r="BE6" s="46"/>
      <c r="BG6" s="46" t="str">
        <f>Dates!AL3</f>
        <v>2029 (E)</v>
      </c>
      <c r="BH6" s="46"/>
      <c r="BI6" s="46"/>
      <c r="BJ6" s="46"/>
    </row>
    <row r="7" spans="1:63" ht="12.75" customHeight="1">
      <c r="B7" s="47"/>
      <c r="C7" s="47"/>
      <c r="D7" s="48" t="e">
        <f>Dates!#REF!</f>
        <v>#REF!</v>
      </c>
      <c r="E7" s="48" t="e">
        <f>Dates!#REF!</f>
        <v>#REF!</v>
      </c>
      <c r="F7" s="48" t="e">
        <f>Dates!#REF!</f>
        <v>#REF!</v>
      </c>
      <c r="G7" s="48" t="e">
        <f>Dates!#REF!</f>
        <v>#REF!</v>
      </c>
      <c r="H7" s="49" t="e">
        <f>Dates!#REF!</f>
        <v>#REF!</v>
      </c>
      <c r="I7" s="48" t="e">
        <f>Dates!#REF!</f>
        <v>#REF!</v>
      </c>
      <c r="J7" s="48" t="e">
        <f>Dates!#REF!</f>
        <v>#REF!</v>
      </c>
      <c r="K7" s="48" t="e">
        <f>Dates!#REF!</f>
        <v>#REF!</v>
      </c>
      <c r="L7" s="48" t="e">
        <f>Dates!#REF!</f>
        <v>#REF!</v>
      </c>
      <c r="M7" s="49" t="e">
        <f>Dates!#REF!</f>
        <v>#REF!</v>
      </c>
      <c r="N7" s="48" t="e">
        <f>Dates!#REF!</f>
        <v>#REF!</v>
      </c>
      <c r="O7" s="48" t="e">
        <f>Dates!#REF!</f>
        <v>#REF!</v>
      </c>
      <c r="P7" s="48" t="e">
        <f>Dates!#REF!</f>
        <v>#REF!</v>
      </c>
      <c r="Q7" s="48" t="e">
        <f>Dates!#REF!</f>
        <v>#REF!</v>
      </c>
      <c r="R7" s="49" t="e">
        <f>Dates!#REF!</f>
        <v>#REF!</v>
      </c>
      <c r="S7" s="48" t="e">
        <f>Dates!#REF!</f>
        <v>#REF!</v>
      </c>
      <c r="T7" s="48" t="e">
        <f>Dates!#REF!</f>
        <v>#REF!</v>
      </c>
      <c r="U7" s="48" t="e">
        <f>Dates!#REF!</f>
        <v>#REF!</v>
      </c>
      <c r="V7" s="48" t="e">
        <f>Dates!#REF!</f>
        <v>#REF!</v>
      </c>
      <c r="W7" s="49" t="e">
        <f>Dates!#REF!</f>
        <v>#REF!</v>
      </c>
      <c r="X7" s="48" t="str">
        <f>Dates!C4</f>
        <v>1Q22 (A)</v>
      </c>
      <c r="Y7" s="48" t="str">
        <f>Dates!D4</f>
        <v>2Q22 (A)</v>
      </c>
      <c r="Z7" s="48" t="str">
        <f>Dates!E4</f>
        <v>3Q22 (A)</v>
      </c>
      <c r="AA7" s="48" t="str">
        <f>Dates!F4</f>
        <v>4Q22 (A)</v>
      </c>
      <c r="AB7" s="49" t="str">
        <f>Dates!G4</f>
        <v>FY22 (A)</v>
      </c>
      <c r="AC7" s="48" t="str">
        <f>Dates!H4</f>
        <v>1Q23 (A)</v>
      </c>
      <c r="AD7" s="48" t="str">
        <f>Dates!I4</f>
        <v>2Q23 (A)</v>
      </c>
      <c r="AE7" s="48" t="str">
        <f>Dates!J4</f>
        <v>3Q23 (A)</v>
      </c>
      <c r="AF7" s="48" t="str">
        <f>Dates!K4</f>
        <v>4Q23 (A)</v>
      </c>
      <c r="AG7" s="49" t="str">
        <f>Dates!L4</f>
        <v>FY23 (A)</v>
      </c>
      <c r="AH7" s="48" t="str">
        <f>Dates!M4</f>
        <v>1Q24 (A)</v>
      </c>
      <c r="AI7" s="48" t="str">
        <f>Dates!N4</f>
        <v>2Q24 (A)</v>
      </c>
      <c r="AJ7" s="48" t="str">
        <f>Dates!O4</f>
        <v>3Q24 (A)</v>
      </c>
      <c r="AK7" s="48" t="str">
        <f>Dates!P4</f>
        <v>4Q24 (A)</v>
      </c>
      <c r="AL7" s="49" t="str">
        <f>Dates!Q4</f>
        <v>FY24 (A)</v>
      </c>
      <c r="AM7" s="48" t="str">
        <f>Dates!R4</f>
        <v>1Q25 (A)</v>
      </c>
      <c r="AN7" s="48" t="str">
        <f>Dates!S4</f>
        <v>2Q25 (A)</v>
      </c>
      <c r="AO7" s="48" t="str">
        <f>Dates!T4</f>
        <v>3Q25 (A)</v>
      </c>
      <c r="AP7" s="48" t="str">
        <f>Dates!U4</f>
        <v>4Q25 (E)</v>
      </c>
      <c r="AQ7" s="49" t="str">
        <f>Dates!V4</f>
        <v>FY25 (E)</v>
      </c>
      <c r="AR7" s="48" t="str">
        <f>Dates!W4</f>
        <v>1Q26 (E)</v>
      </c>
      <c r="AS7" s="48" t="str">
        <f>Dates!X4</f>
        <v>2Q26 (E)</v>
      </c>
      <c r="AT7" s="48" t="str">
        <f>Dates!Y4</f>
        <v>3Q26 (E)</v>
      </c>
      <c r="AU7" s="48" t="str">
        <f>Dates!Z4</f>
        <v>4Q26 (E)</v>
      </c>
      <c r="AV7" s="49" t="str">
        <f>Dates!AA4</f>
        <v>FY26 (E)</v>
      </c>
      <c r="AW7" s="48" t="str">
        <f>Dates!AB4</f>
        <v>1Q27 (E)</v>
      </c>
      <c r="AX7" s="48" t="str">
        <f>Dates!AC4</f>
        <v>2Q27 (E)</v>
      </c>
      <c r="AY7" s="48" t="str">
        <f>Dates!AD4</f>
        <v>3Q27 (E)</v>
      </c>
      <c r="AZ7" s="48" t="str">
        <f>Dates!AE4</f>
        <v>4Q27 (E)</v>
      </c>
      <c r="BA7" s="49" t="str">
        <f>Dates!AF4</f>
        <v>FY27 (E)</v>
      </c>
      <c r="BB7" s="48" t="str">
        <f>Dates!AG4</f>
        <v>1Q28 (E)</v>
      </c>
      <c r="BC7" s="48" t="str">
        <f>Dates!AH4</f>
        <v>2Q28 (E)</v>
      </c>
      <c r="BD7" s="48" t="str">
        <f>Dates!AI4</f>
        <v>3Q28 (E)</v>
      </c>
      <c r="BE7" s="48" t="str">
        <f>Dates!AJ4</f>
        <v>4Q28 (E)</v>
      </c>
      <c r="BF7" s="49" t="str">
        <f>Dates!AK4</f>
        <v>FY28 (E)</v>
      </c>
      <c r="BG7" s="48" t="str">
        <f>Dates!AL4</f>
        <v>1Q29 (E)</v>
      </c>
      <c r="BH7" s="48" t="str">
        <f>Dates!AM4</f>
        <v>2Q29 (E)</v>
      </c>
      <c r="BI7" s="48" t="str">
        <f>Dates!AN4</f>
        <v>3Q29 (E)</v>
      </c>
      <c r="BJ7" s="48" t="str">
        <f>Dates!AO4</f>
        <v>4Q29 (E)</v>
      </c>
      <c r="BK7" s="49" t="str">
        <f>Dates!AP4</f>
        <v>FY29 (E)</v>
      </c>
    </row>
    <row r="8" spans="1:63" ht="12.75" customHeight="1">
      <c r="B8" s="50"/>
      <c r="C8" s="50"/>
      <c r="D8" s="51" t="e">
        <f>Dates!#REF!</f>
        <v>#REF!</v>
      </c>
      <c r="E8" s="51" t="e">
        <f>Dates!#REF!</f>
        <v>#REF!</v>
      </c>
      <c r="F8" s="51" t="e">
        <f>Dates!#REF!</f>
        <v>#REF!</v>
      </c>
      <c r="G8" s="51" t="e">
        <f>Dates!#REF!</f>
        <v>#REF!</v>
      </c>
      <c r="H8" s="52" t="e">
        <f>Dates!#REF!</f>
        <v>#REF!</v>
      </c>
      <c r="I8" s="51" t="e">
        <f>Dates!#REF!</f>
        <v>#REF!</v>
      </c>
      <c r="J8" s="51" t="e">
        <f>Dates!#REF!</f>
        <v>#REF!</v>
      </c>
      <c r="K8" s="51" t="e">
        <f>Dates!#REF!</f>
        <v>#REF!</v>
      </c>
      <c r="L8" s="51" t="e">
        <f>Dates!#REF!</f>
        <v>#REF!</v>
      </c>
      <c r="M8" s="52" t="e">
        <f>Dates!#REF!</f>
        <v>#REF!</v>
      </c>
      <c r="N8" s="51" t="e">
        <f>Dates!#REF!</f>
        <v>#REF!</v>
      </c>
      <c r="O8" s="51" t="e">
        <f>Dates!#REF!</f>
        <v>#REF!</v>
      </c>
      <c r="P8" s="51" t="e">
        <f>Dates!#REF!</f>
        <v>#REF!</v>
      </c>
      <c r="Q8" s="51" t="e">
        <f>Dates!#REF!</f>
        <v>#REF!</v>
      </c>
      <c r="R8" s="52" t="e">
        <f>Dates!#REF!</f>
        <v>#REF!</v>
      </c>
      <c r="S8" s="51" t="e">
        <f>Dates!#REF!</f>
        <v>#REF!</v>
      </c>
      <c r="T8" s="51" t="e">
        <f>Dates!#REF!</f>
        <v>#REF!</v>
      </c>
      <c r="U8" s="51" t="e">
        <f>Dates!#REF!</f>
        <v>#REF!</v>
      </c>
      <c r="V8" s="51" t="e">
        <f>Dates!#REF!</f>
        <v>#REF!</v>
      </c>
      <c r="W8" s="52" t="e">
        <f>Dates!#REF!</f>
        <v>#REF!</v>
      </c>
      <c r="X8" s="51">
        <f>Dates!C5</f>
        <v>44651</v>
      </c>
      <c r="Y8" s="51">
        <f>Dates!D5</f>
        <v>44742</v>
      </c>
      <c r="Z8" s="51">
        <f>Dates!E5</f>
        <v>44834</v>
      </c>
      <c r="AA8" s="51">
        <f>Dates!F5</f>
        <v>44926</v>
      </c>
      <c r="AB8" s="52">
        <f>Dates!G5</f>
        <v>44926</v>
      </c>
      <c r="AC8" s="51">
        <f>Dates!H5</f>
        <v>45016</v>
      </c>
      <c r="AD8" s="51">
        <f>Dates!I5</f>
        <v>45107</v>
      </c>
      <c r="AE8" s="51">
        <f>Dates!J5</f>
        <v>45199</v>
      </c>
      <c r="AF8" s="51">
        <f>Dates!K5</f>
        <v>45291</v>
      </c>
      <c r="AG8" s="52">
        <f>Dates!L5</f>
        <v>45291</v>
      </c>
      <c r="AH8" s="51">
        <f>Dates!M5</f>
        <v>45382</v>
      </c>
      <c r="AI8" s="51">
        <f>Dates!N5</f>
        <v>45473</v>
      </c>
      <c r="AJ8" s="51">
        <f>Dates!O5</f>
        <v>45565</v>
      </c>
      <c r="AK8" s="51">
        <f>Dates!P5</f>
        <v>45657</v>
      </c>
      <c r="AL8" s="52">
        <f>Dates!Q5</f>
        <v>45657</v>
      </c>
      <c r="AM8" s="51">
        <f>Dates!R5</f>
        <v>45747</v>
      </c>
      <c r="AN8" s="51">
        <f>Dates!S5</f>
        <v>45838</v>
      </c>
      <c r="AO8" s="51">
        <f>Dates!T5</f>
        <v>45930</v>
      </c>
      <c r="AP8" s="51">
        <f>Dates!U5</f>
        <v>46022</v>
      </c>
      <c r="AQ8" s="52">
        <f>Dates!V5</f>
        <v>46022</v>
      </c>
      <c r="AR8" s="51">
        <f>Dates!W5</f>
        <v>46112</v>
      </c>
      <c r="AS8" s="51">
        <f>Dates!X5</f>
        <v>46203</v>
      </c>
      <c r="AT8" s="51">
        <f>Dates!Y5</f>
        <v>46295</v>
      </c>
      <c r="AU8" s="51">
        <f>Dates!Z5</f>
        <v>46387</v>
      </c>
      <c r="AV8" s="52">
        <f>Dates!AA5</f>
        <v>46387</v>
      </c>
      <c r="AW8" s="51">
        <f>Dates!AB5</f>
        <v>46477</v>
      </c>
      <c r="AX8" s="51">
        <f>Dates!AC5</f>
        <v>46568</v>
      </c>
      <c r="AY8" s="51">
        <f>Dates!AD5</f>
        <v>46660</v>
      </c>
      <c r="AZ8" s="51">
        <f>Dates!AE5</f>
        <v>46752</v>
      </c>
      <c r="BA8" s="52">
        <f>Dates!AF5</f>
        <v>46752</v>
      </c>
      <c r="BB8" s="51">
        <f>Dates!AG5</f>
        <v>46843</v>
      </c>
      <c r="BC8" s="51">
        <f>Dates!AH5</f>
        <v>46934</v>
      </c>
      <c r="BD8" s="51">
        <f>Dates!AI5</f>
        <v>47026</v>
      </c>
      <c r="BE8" s="51">
        <f>Dates!AJ5</f>
        <v>47118</v>
      </c>
      <c r="BF8" s="52">
        <f>Dates!AK5</f>
        <v>47118</v>
      </c>
      <c r="BG8" s="51">
        <f>Dates!AL5</f>
        <v>47208</v>
      </c>
      <c r="BH8" s="51">
        <f>Dates!AM5</f>
        <v>47299</v>
      </c>
      <c r="BI8" s="51">
        <f>Dates!AN5</f>
        <v>47391</v>
      </c>
      <c r="BJ8" s="51">
        <f>Dates!AO5</f>
        <v>47483</v>
      </c>
      <c r="BK8" s="52">
        <f>Dates!AP5</f>
        <v>47483</v>
      </c>
    </row>
    <row r="9" spans="1:63" s="54" customFormat="1" ht="12.75" customHeight="1" outlineLevel="1">
      <c r="A9" s="53"/>
      <c r="B9" s="54" t="s">
        <v>26</v>
      </c>
      <c r="D9" s="55" t="e">
        <f>YEAR(H8) &amp; "/" &amp; LEFT(D7,1) &amp; "F"</f>
        <v>#REF!</v>
      </c>
      <c r="E9" s="55" t="e">
        <f>YEAR(H8) &amp; "/" &amp; LEFT(E7,1) &amp; "F"</f>
        <v>#REF!</v>
      </c>
      <c r="F9" s="55" t="e">
        <f>YEAR(H8) &amp; "/" &amp; LEFT(F7,1) &amp; "F"</f>
        <v>#REF!</v>
      </c>
      <c r="G9" s="55" t="e">
        <f>YEAR(H8) &amp; "/" &amp; LEFT(G7,1) &amp; "F"</f>
        <v>#REF!</v>
      </c>
      <c r="H9" s="56" t="e">
        <f>YEAR(H8)</f>
        <v>#REF!</v>
      </c>
      <c r="I9" s="55" t="e">
        <f>YEAR(M8) &amp; "/" &amp; LEFT(I7,1) &amp; "F"</f>
        <v>#REF!</v>
      </c>
      <c r="J9" s="55" t="e">
        <f>YEAR(M8) &amp; "/" &amp; LEFT(J7,1) &amp; "F"</f>
        <v>#REF!</v>
      </c>
      <c r="K9" s="55" t="e">
        <f>YEAR(M8) &amp; "/" &amp; LEFT(K7,1) &amp; "F"</f>
        <v>#REF!</v>
      </c>
      <c r="L9" s="55" t="e">
        <f>YEAR(M8) &amp; "/" &amp; LEFT(L7,1) &amp; "F"</f>
        <v>#REF!</v>
      </c>
      <c r="M9" s="56" t="e">
        <f>YEAR(M8)</f>
        <v>#REF!</v>
      </c>
      <c r="N9" s="55" t="e">
        <f>YEAR(R8) &amp; "/" &amp; LEFT(N7,1) &amp; "F"</f>
        <v>#REF!</v>
      </c>
      <c r="O9" s="55" t="e">
        <f>YEAR(R8) &amp; "/" &amp; LEFT(O7,1) &amp; "F"</f>
        <v>#REF!</v>
      </c>
      <c r="P9" s="55" t="e">
        <f>YEAR(R8) &amp; "/" &amp; LEFT(P7,1) &amp; "F"</f>
        <v>#REF!</v>
      </c>
      <c r="Q9" s="55" t="e">
        <f>YEAR(R8) &amp; "/" &amp; LEFT(Q7,1) &amp; "F"</f>
        <v>#REF!</v>
      </c>
      <c r="R9" s="56" t="e">
        <f>YEAR(R8)</f>
        <v>#REF!</v>
      </c>
      <c r="S9" s="55" t="e">
        <f>YEAR(W8) &amp; "/" &amp; LEFT(S7,1) &amp; "F"</f>
        <v>#REF!</v>
      </c>
      <c r="T9" s="55" t="e">
        <f>YEAR(W8) &amp; "/" &amp; LEFT(T7,1) &amp; "F"</f>
        <v>#REF!</v>
      </c>
      <c r="U9" s="55" t="e">
        <f>YEAR(W8) &amp; "/" &amp; LEFT(U7,1) &amp; "F"</f>
        <v>#REF!</v>
      </c>
      <c r="V9" s="55" t="e">
        <f>YEAR(W8) &amp; "/" &amp; LEFT(V7,1) &amp; "F"</f>
        <v>#REF!</v>
      </c>
      <c r="W9" s="56" t="e">
        <f>YEAR(W8)</f>
        <v>#REF!</v>
      </c>
      <c r="X9" s="55" t="str">
        <f>YEAR(AB8) &amp; "/" &amp; LEFT(X7,1) &amp; "F"</f>
        <v>2022/1F</v>
      </c>
      <c r="Y9" s="55" t="str">
        <f>YEAR(AB8) &amp; "/" &amp; LEFT(Y7,1) &amp; "F"</f>
        <v>2022/2F</v>
      </c>
      <c r="Z9" s="55" t="str">
        <f>YEAR(AB8) &amp; "/" &amp; LEFT(Z7,1) &amp; "F"</f>
        <v>2022/3F</v>
      </c>
      <c r="AA9" s="55" t="str">
        <f>YEAR(AB8) &amp; "/" &amp; LEFT(AA7,1) &amp; "F"</f>
        <v>2022/4F</v>
      </c>
      <c r="AB9" s="56">
        <f>YEAR(AB8)</f>
        <v>2022</v>
      </c>
      <c r="AC9" s="55" t="str">
        <f>YEAR(AG8) &amp; "/" &amp; LEFT(AC7,1) &amp; "F"</f>
        <v>2023/1F</v>
      </c>
      <c r="AD9" s="55" t="str">
        <f>YEAR(AG8) &amp; "/" &amp; LEFT(AD7,1) &amp; "F"</f>
        <v>2023/2F</v>
      </c>
      <c r="AE9" s="55" t="str">
        <f>YEAR(AG8) &amp; "/" &amp; LEFT(AE7,1) &amp; "F"</f>
        <v>2023/3F</v>
      </c>
      <c r="AF9" s="55" t="str">
        <f>YEAR(AG8) &amp; "/" &amp; LEFT(AF7,1) &amp; "F"</f>
        <v>2023/4F</v>
      </c>
      <c r="AG9" s="56">
        <f>YEAR(AG8)</f>
        <v>2023</v>
      </c>
      <c r="AH9" s="55" t="str">
        <f>YEAR(AL8) &amp; "/" &amp; LEFT(AH7,1) &amp; "F"</f>
        <v>2024/1F</v>
      </c>
      <c r="AI9" s="55" t="str">
        <f>YEAR(AL8) &amp; "/" &amp; LEFT(AI7,1) &amp; "F"</f>
        <v>2024/2F</v>
      </c>
      <c r="AJ9" s="55" t="str">
        <f>YEAR(AL8) &amp; "/" &amp; LEFT(AJ7,1) &amp; "F"</f>
        <v>2024/3F</v>
      </c>
      <c r="AK9" s="55" t="str">
        <f>YEAR(AL8) &amp; "/" &amp; LEFT(AK7,1) &amp; "F"</f>
        <v>2024/4F</v>
      </c>
      <c r="AL9" s="56">
        <f>YEAR(AL8)</f>
        <v>2024</v>
      </c>
      <c r="AM9" s="55" t="str">
        <f>YEAR(AQ8) &amp; "/" &amp; LEFT(AM7,1) &amp; "F"</f>
        <v>2025/1F</v>
      </c>
      <c r="AN9" s="55" t="str">
        <f>YEAR(AQ8) &amp; "/" &amp; LEFT(AN7,1) &amp; "F"</f>
        <v>2025/2F</v>
      </c>
      <c r="AO9" s="55" t="str">
        <f>YEAR(AQ8) &amp; "/" &amp; LEFT(AO7,1) &amp; "F"</f>
        <v>2025/3F</v>
      </c>
      <c r="AP9" s="55" t="str">
        <f>YEAR(AQ8) &amp; "/" &amp; LEFT(AP7,1) &amp; "F"</f>
        <v>2025/4F</v>
      </c>
      <c r="AQ9" s="56">
        <f>YEAR(AQ8)</f>
        <v>2025</v>
      </c>
      <c r="AR9" s="55" t="str">
        <f>YEAR(AV8) &amp; "/" &amp; LEFT(AR7,1) &amp; "F"</f>
        <v>2026/1F</v>
      </c>
      <c r="AS9" s="55" t="str">
        <f>YEAR(AV8) &amp; "/" &amp; LEFT(AS7,1) &amp; "F"</f>
        <v>2026/2F</v>
      </c>
      <c r="AT9" s="55" t="str">
        <f>YEAR(AV8) &amp; "/" &amp; LEFT(AT7,1) &amp; "F"</f>
        <v>2026/3F</v>
      </c>
      <c r="AU9" s="55" t="str">
        <f>YEAR(AV8) &amp; "/" &amp; LEFT(AU7,1) &amp; "F"</f>
        <v>2026/4F</v>
      </c>
      <c r="AV9" s="56">
        <f>YEAR(AV8)</f>
        <v>2026</v>
      </c>
      <c r="AW9" s="55" t="str">
        <f>YEAR(BA8) &amp; "/" &amp; LEFT(AW7,1) &amp; "F"</f>
        <v>2027/1F</v>
      </c>
      <c r="AX9" s="55" t="str">
        <f>YEAR(BA8) &amp; "/" &amp; LEFT(AX7,1) &amp; "F"</f>
        <v>2027/2F</v>
      </c>
      <c r="AY9" s="55" t="str">
        <f>YEAR(BA8) &amp; "/" &amp; LEFT(AY7,1) &amp; "F"</f>
        <v>2027/3F</v>
      </c>
      <c r="AZ9" s="55" t="str">
        <f>YEAR(BA8) &amp; "/" &amp; LEFT(AZ7,1) &amp; "F"</f>
        <v>2027/4F</v>
      </c>
      <c r="BA9" s="56">
        <f>YEAR(BA8)</f>
        <v>2027</v>
      </c>
      <c r="BB9" s="55" t="str">
        <f>YEAR(BF8) &amp; "/" &amp; LEFT(BB7,1) &amp; "F"</f>
        <v>2028/1F</v>
      </c>
      <c r="BC9" s="55" t="str">
        <f>YEAR(BF8) &amp; "/" &amp; LEFT(BC7,1) &amp; "F"</f>
        <v>2028/2F</v>
      </c>
      <c r="BD9" s="55" t="str">
        <f>YEAR(BF8) &amp; "/" &amp; LEFT(BD7,1) &amp; "F"</f>
        <v>2028/3F</v>
      </c>
      <c r="BE9" s="55" t="str">
        <f>YEAR(BF8) &amp; "/" &amp; LEFT(BE7,1) &amp; "F"</f>
        <v>2028/4F</v>
      </c>
      <c r="BF9" s="56">
        <f>YEAR(BF8)</f>
        <v>2028</v>
      </c>
      <c r="BG9" s="55" t="str">
        <f>YEAR(BK8) &amp; "/" &amp; LEFT(BG7,1) &amp; "F"</f>
        <v>2029/1F</v>
      </c>
      <c r="BH9" s="55" t="str">
        <f>YEAR(BK8) &amp; "/" &amp; LEFT(BH7,1) &amp; "F"</f>
        <v>2029/2F</v>
      </c>
      <c r="BI9" s="55" t="str">
        <f>YEAR(BK8) &amp; "/" &amp; LEFT(BI7,1) &amp; "F"</f>
        <v>2029/3F</v>
      </c>
      <c r="BJ9" s="55" t="str">
        <f>YEAR(BK8) &amp; "/" &amp; LEFT(BJ7,1) &amp; "F"</f>
        <v>2029/4F</v>
      </c>
      <c r="BK9" s="56">
        <f>YEAR(BK8)</f>
        <v>2029</v>
      </c>
    </row>
    <row r="10" spans="1:63" ht="12.75" customHeight="1">
      <c r="B10" s="57"/>
      <c r="C10" s="57"/>
      <c r="D10" s="58"/>
      <c r="E10" s="58"/>
      <c r="F10" s="58"/>
      <c r="G10" s="58"/>
      <c r="H10" s="59"/>
      <c r="I10" s="60"/>
      <c r="J10" s="60"/>
      <c r="K10" s="60"/>
      <c r="L10" s="60"/>
      <c r="M10" s="61"/>
      <c r="N10" s="60"/>
      <c r="O10" s="60"/>
      <c r="P10" s="60"/>
      <c r="Q10" s="60"/>
      <c r="R10" s="61"/>
      <c r="S10" s="60"/>
      <c r="T10" s="60"/>
      <c r="U10" s="60"/>
      <c r="V10" s="60"/>
      <c r="W10" s="61"/>
      <c r="X10" s="60"/>
      <c r="Y10" s="60"/>
      <c r="Z10" s="60"/>
      <c r="AA10" s="60"/>
      <c r="AB10" s="61"/>
      <c r="AC10" s="60"/>
      <c r="AD10" s="60"/>
      <c r="AE10" s="60"/>
      <c r="AF10" s="60"/>
      <c r="AG10" s="61"/>
      <c r="AH10" s="60"/>
      <c r="AI10" s="60"/>
      <c r="AJ10" s="60"/>
      <c r="AK10" s="60"/>
      <c r="AL10" s="61"/>
      <c r="AM10" s="60"/>
      <c r="AN10" s="60"/>
      <c r="AO10" s="60"/>
      <c r="AP10" s="60"/>
      <c r="AQ10" s="61"/>
      <c r="AR10" s="60"/>
      <c r="AS10" s="60"/>
      <c r="AT10" s="60"/>
      <c r="AU10" s="60"/>
      <c r="AV10" s="61"/>
      <c r="AW10" s="60"/>
      <c r="AX10" s="60"/>
      <c r="AY10" s="60"/>
      <c r="AZ10" s="60"/>
      <c r="BA10" s="61"/>
      <c r="BB10" s="60"/>
      <c r="BC10" s="60"/>
      <c r="BD10" s="60"/>
      <c r="BE10" s="60"/>
      <c r="BF10" s="61"/>
      <c r="BG10" s="60"/>
      <c r="BH10" s="60"/>
      <c r="BI10" s="60"/>
      <c r="BJ10" s="60"/>
      <c r="BK10" s="61"/>
    </row>
    <row r="11" spans="1:63" ht="12.75" customHeight="1">
      <c r="B11" s="42" t="s">
        <v>27</v>
      </c>
      <c r="C11" s="42"/>
      <c r="D11" s="58"/>
      <c r="E11" s="58"/>
      <c r="F11" s="58"/>
      <c r="G11" s="58"/>
      <c r="H11" s="59"/>
      <c r="I11" s="60"/>
      <c r="J11" s="60"/>
      <c r="K11" s="60"/>
      <c r="L11" s="60"/>
      <c r="M11" s="61"/>
      <c r="N11" s="60"/>
      <c r="O11" s="60"/>
      <c r="P11" s="60"/>
      <c r="Q11" s="60"/>
      <c r="R11" s="61"/>
      <c r="S11" s="60"/>
      <c r="T11" s="60"/>
      <c r="U11" s="60"/>
      <c r="V11" s="60"/>
      <c r="W11" s="61"/>
      <c r="X11" s="60"/>
      <c r="Y11" s="60"/>
      <c r="Z11" s="60"/>
      <c r="AA11" s="60"/>
      <c r="AB11" s="61"/>
      <c r="AC11" s="60"/>
      <c r="AD11" s="60"/>
      <c r="AE11" s="60"/>
      <c r="AF11" s="60"/>
      <c r="AG11" s="61"/>
      <c r="AH11" s="60"/>
      <c r="AI11" s="60"/>
      <c r="AJ11" s="60"/>
      <c r="AK11" s="60"/>
      <c r="AL11" s="61"/>
      <c r="AM11" s="60"/>
      <c r="AN11" s="60"/>
      <c r="AO11" s="60"/>
      <c r="AP11" s="60"/>
      <c r="AQ11" s="61"/>
      <c r="AR11" s="60"/>
      <c r="AS11" s="60"/>
      <c r="AT11" s="60"/>
      <c r="AU11" s="60"/>
      <c r="AV11" s="61"/>
      <c r="AW11" s="60"/>
      <c r="AX11" s="60"/>
      <c r="AY11" s="60"/>
      <c r="AZ11" s="60"/>
      <c r="BA11" s="61"/>
      <c r="BB11" s="60"/>
      <c r="BC11" s="60"/>
      <c r="BD11" s="60"/>
      <c r="BE11" s="60"/>
      <c r="BF11" s="61"/>
      <c r="BG11" s="60"/>
      <c r="BH11" s="60"/>
      <c r="BI11" s="60"/>
      <c r="BJ11" s="60"/>
      <c r="BK11" s="61"/>
    </row>
    <row r="12" spans="1:63" s="635" customFormat="1" ht="12.75" customHeight="1" outlineLevel="1">
      <c r="A12" s="283" t="s">
        <v>28</v>
      </c>
      <c r="B12" s="631" t="s">
        <v>29</v>
      </c>
      <c r="C12" s="632"/>
      <c r="D12" s="633"/>
      <c r="E12" s="633"/>
      <c r="F12" s="633"/>
      <c r="G12" s="633"/>
      <c r="H12" s="634"/>
      <c r="I12" s="633" t="str" cm="1">
        <f t="array" ref="I12">_xlfn.SINGLE(IF(ISERROR(_xll.FDSB($C$2,"FE_ESTIMATE(SALES,MEAN,QUARTERLY_ROLL,"&amp;I$9&amp;","&amp;$C$5&amp;",,,'')")), "--", _xll.FDSB($C$2,"FE_ESTIMATE(SALES,MEAN,QUARTERLY_ROLL,"&amp;I$9&amp;","&amp;$C$5&amp;",,,'')")))</f>
        <v>--</v>
      </c>
      <c r="J12" s="633" t="str" cm="1">
        <f t="array" ref="J12">_xlfn.SINGLE(IF(ISERROR(_xll.FDSB($C$2,"FE_ESTIMATE(SALES,MEAN,QUARTERLY_ROLL,"&amp;J$9&amp;","&amp;$C$5&amp;",,,'')")), "--", _xll.FDSB($C$2,"FE_ESTIMATE(SALES,MEAN,QUARTERLY_ROLL,"&amp;J$9&amp;","&amp;$C$5&amp;",,,'')")))</f>
        <v>--</v>
      </c>
      <c r="K12" s="633" t="str" cm="1">
        <f t="array" ref="K12">_xlfn.SINGLE(IF(ISERROR(_xll.FDSB($C$2,"FE_ESTIMATE(SALES,MEAN,QUARTERLY_ROLL,"&amp;K$9&amp;","&amp;$C$5&amp;",,,'')")), "--", _xll.FDSB($C$2,"FE_ESTIMATE(SALES,MEAN,QUARTERLY_ROLL,"&amp;K$9&amp;","&amp;$C$5&amp;",,,'')")))</f>
        <v>--</v>
      </c>
      <c r="L12" s="633" t="str" cm="1">
        <f t="array" ref="L12">_xlfn.SINGLE(IF(ISERROR(_xll.FDSB($C$2,"FE_ESTIMATE(SALES,MEAN,QUARTERLY_ROLL,"&amp;L$9&amp;","&amp;$C$5&amp;",,,'')")), "--", _xll.FDSB($C$2,"FE_ESTIMATE(SALES,MEAN,QUARTERLY_ROLL,"&amp;L$9&amp;","&amp;$C$5&amp;",,,'')")))</f>
        <v>--</v>
      </c>
      <c r="M12" s="634" t="str" cm="1">
        <f t="array" ref="M12">_xlfn.SINGLE(IF(ISERROR(_xll.FDSB($C$2,"FE_ESTIMATE(SALES,MEAN,ANNUAL_ROLL,"&amp;M$9&amp;","&amp;$C$5&amp;",,,'')")), "--", _xll.FDSB($C$2,"FE_ESTIMATE(SALES,MEAN,ANNUAL_ROLL,"&amp;M$9&amp;","&amp;$C$5&amp;",,,'')")))</f>
        <v>--</v>
      </c>
      <c r="N12" s="633" t="str" cm="1">
        <f t="array" ref="N12">_xlfn.SINGLE(IF(ISERROR(_xll.FDSB($C$2,"FE_ESTIMATE(SALES,MEAN,QUARTERLY_ROLL,"&amp;N$9&amp;","&amp;$C$5&amp;",,,'')")), "--", _xll.FDSB($C$2,"FE_ESTIMATE(SALES,MEAN,QUARTERLY_ROLL,"&amp;N$9&amp;","&amp;$C$5&amp;",,,'')")))</f>
        <v>--</v>
      </c>
      <c r="O12" s="633" t="str" cm="1">
        <f t="array" ref="O12">_xlfn.SINGLE(IF(ISERROR(_xll.FDSB($C$2,"FE_ESTIMATE(SALES,MEAN,QUARTERLY_ROLL,"&amp;O$9&amp;","&amp;$C$5&amp;",,,'')")), "--", _xll.FDSB($C$2,"FE_ESTIMATE(SALES,MEAN,QUARTERLY_ROLL,"&amp;O$9&amp;","&amp;$C$5&amp;",,,'')")))</f>
        <v>--</v>
      </c>
      <c r="P12" s="633" t="str" cm="1">
        <f t="array" ref="P12">_xlfn.SINGLE(IF(ISERROR(_xll.FDSB($C$2,"FE_ESTIMATE(SALES,MEAN,QUARTERLY_ROLL,"&amp;P$9&amp;","&amp;$C$5&amp;",,,'')")), "--", _xll.FDSB($C$2,"FE_ESTIMATE(SALES,MEAN,QUARTERLY_ROLL,"&amp;P$9&amp;","&amp;$C$5&amp;",,,'')")))</f>
        <v>--</v>
      </c>
      <c r="Q12" s="633" t="str" cm="1">
        <f t="array" ref="Q12">_xlfn.SINGLE(IF(ISERROR(_xll.FDSB($C$2,"FE_ESTIMATE(SALES,MEAN,QUARTERLY_ROLL,"&amp;Q$9&amp;","&amp;$C$5&amp;",,,'')")), "--", _xll.FDSB($C$2,"FE_ESTIMATE(SALES,MEAN,QUARTERLY_ROLL,"&amp;Q$9&amp;","&amp;$C$5&amp;",,,'')")))</f>
        <v>--</v>
      </c>
      <c r="R12" s="634" t="str" cm="1">
        <f t="array" ref="R12">_xlfn.SINGLE(IF(ISERROR(_xll.FDSB($C$2,"FE_ESTIMATE(SALES,MEAN,ANNUAL_ROLL,"&amp;R$9&amp;","&amp;$C$5&amp;",,,'')")), "--", _xll.FDSB($C$2,"FE_ESTIMATE(SALES,MEAN,ANNUAL_ROLL,"&amp;R$9&amp;","&amp;$C$5&amp;",,,'')")))</f>
        <v>--</v>
      </c>
      <c r="S12" s="633" t="str" cm="1">
        <f t="array" ref="S12">_xlfn.SINGLE(IF(ISERROR(_xll.FDSB($C$2,"FE_ESTIMATE(SALES,MEAN,QUARTERLY_ROLL,"&amp;S$9&amp;","&amp;$C$5&amp;",,,'')")), "--", _xll.FDSB($C$2,"FE_ESTIMATE(SALES,MEAN,QUARTERLY_ROLL,"&amp;S$9&amp;","&amp;$C$5&amp;",,,'')")))</f>
        <v>--</v>
      </c>
      <c r="T12" s="633" t="str" cm="1">
        <f t="array" ref="T12">_xlfn.SINGLE(IF(ISERROR(_xll.FDSB($C$2,"FE_ESTIMATE(SALES,MEAN,QUARTERLY_ROLL,"&amp;T$9&amp;","&amp;$C$5&amp;",,,'')")), "--", _xll.FDSB($C$2,"FE_ESTIMATE(SALES,MEAN,QUARTERLY_ROLL,"&amp;T$9&amp;","&amp;$C$5&amp;",,,'')")))</f>
        <v>--</v>
      </c>
      <c r="U12" s="633" t="str" cm="1">
        <f t="array" ref="U12">_xlfn.SINGLE(IF(ISERROR(_xll.FDSB($C$2,"FE_ESTIMATE(SALES,MEAN,QUARTERLY_ROLL,"&amp;U$9&amp;","&amp;$C$5&amp;",,,'')")), "--", _xll.FDSB($C$2,"FE_ESTIMATE(SALES,MEAN,QUARTERLY_ROLL,"&amp;U$9&amp;","&amp;$C$5&amp;",,,'')")))</f>
        <v>--</v>
      </c>
      <c r="V12" s="633" t="str" cm="1">
        <f t="array" ref="V12">_xlfn.SINGLE(IF(ISERROR(_xll.FDSB($C$2,"FE_ESTIMATE(SALES,MEAN,QUARTERLY_ROLL,"&amp;V$9&amp;","&amp;$C$5&amp;",,,'')")), "--", _xll.FDSB($C$2,"FE_ESTIMATE(SALES,MEAN,QUARTERLY_ROLL,"&amp;V$9&amp;","&amp;$C$5&amp;",,,'')")))</f>
        <v>--</v>
      </c>
      <c r="W12" s="634" t="str" cm="1">
        <f t="array" ref="W12">_xlfn.SINGLE(IF(ISERROR(_xll.FDSB($C$2,"FE_ESTIMATE(SALES,MEAN,ANNUAL_ROLL,"&amp;W$9&amp;","&amp;$C$5&amp;",,,'')")), "--", _xll.FDSB($C$2,"FE_ESTIMATE(SALES,MEAN,ANNUAL_ROLL,"&amp;W$9&amp;","&amp;$C$5&amp;",,,'')")))</f>
        <v>--</v>
      </c>
      <c r="X12" s="633" t="str" cm="1">
        <f t="array" ref="X12">_xlfn.SINGLE(IF(ISERROR(_xll.FDSB($C$2,"FE_ESTIMATE(SALES,MEAN,QUARTERLY_ROLL,"&amp;X$9&amp;","&amp;$C$5&amp;",,,'')")), "--", _xll.FDSB($C$2,"FE_ESTIMATE(SALES,MEAN,QUARTERLY_ROLL,"&amp;X$9&amp;","&amp;$C$5&amp;",,,'')")))</f>
        <v/>
      </c>
      <c r="Y12" s="633" t="str" cm="1">
        <f t="array" ref="Y12">_xlfn.SINGLE(IF(ISERROR(_xll.FDSB($C$2,"FE_ESTIMATE(SALES,MEAN,QUARTERLY_ROLL,"&amp;Y$9&amp;","&amp;$C$5&amp;",,,'')")), "--", _xll.FDSB($C$2,"FE_ESTIMATE(SALES,MEAN,QUARTERLY_ROLL,"&amp;Y$9&amp;","&amp;$C$5&amp;",,,'')")))</f>
        <v/>
      </c>
      <c r="Z12" s="633" t="str" cm="1">
        <f t="array" ref="Z12">_xlfn.SINGLE(IF(ISERROR(_xll.FDSB($C$2,"FE_ESTIMATE(SALES,MEAN,QUARTERLY_ROLL,"&amp;Z$9&amp;","&amp;$C$5&amp;",,,'')")), "--", _xll.FDSB($C$2,"FE_ESTIMATE(SALES,MEAN,QUARTERLY_ROLL,"&amp;Z$9&amp;","&amp;$C$5&amp;",,,'')")))</f>
        <v/>
      </c>
      <c r="AA12" s="633" t="str" cm="1">
        <f t="array" ref="AA12">_xlfn.SINGLE(IF(ISERROR(_xll.FDSB($C$2,"FE_ESTIMATE(SALES,MEAN,QUARTERLY_ROLL,"&amp;AA$9&amp;","&amp;$C$5&amp;",,,'')")), "--", _xll.FDSB($C$2,"FE_ESTIMATE(SALES,MEAN,QUARTERLY_ROLL,"&amp;AA$9&amp;","&amp;$C$5&amp;",,,'')")))</f>
        <v/>
      </c>
      <c r="AB12" s="634" t="str" cm="1">
        <f t="array" ref="AB12">_xlfn.SINGLE(IF(ISERROR(_xll.FDSB($C$2,"FE_ESTIMATE(SALES,MEAN,ANNUAL_ROLL,"&amp;AB$9&amp;","&amp;$C$5&amp;",,,'')")), "--", _xll.FDSB($C$2,"FE_ESTIMATE(SALES,MEAN,ANNUAL_ROLL,"&amp;AB$9&amp;","&amp;$C$5&amp;",,,'')")))</f>
        <v/>
      </c>
      <c r="AC12" s="633" t="str" cm="1">
        <f t="array" ref="AC12">_xlfn.SINGLE(IF(ISERROR(_xll.FDSB($C$2,"FE_ESTIMATE(SALES,MEAN,QUARTERLY_ROLL,"&amp;AC$9&amp;","&amp;$C$5&amp;",,,'')")), "--", _xll.FDSB($C$2,"FE_ESTIMATE(SALES,MEAN,QUARTERLY_ROLL,"&amp;AC$9&amp;","&amp;$C$5&amp;",,,'')")))</f>
        <v/>
      </c>
      <c r="AD12" s="633" t="str" cm="1">
        <f t="array" ref="AD12">_xlfn.SINGLE(IF(ISERROR(_xll.FDSB($C$2,"FE_ESTIMATE(SALES,MEAN,QUARTERLY_ROLL,"&amp;AD$9&amp;","&amp;$C$5&amp;",,,'')")), "--", _xll.FDSB($C$2,"FE_ESTIMATE(SALES,MEAN,QUARTERLY_ROLL,"&amp;AD$9&amp;","&amp;$C$5&amp;",,,'')")))</f>
        <v/>
      </c>
      <c r="AE12" s="633" t="str" cm="1">
        <f t="array" ref="AE12">_xlfn.SINGLE(IF(ISERROR(_xll.FDSB($C$2,"FE_ESTIMATE(SALES,MEAN,QUARTERLY_ROLL,"&amp;AE$9&amp;","&amp;$C$5&amp;",,,'')")), "--", _xll.FDSB($C$2,"FE_ESTIMATE(SALES,MEAN,QUARTERLY_ROLL,"&amp;AE$9&amp;","&amp;$C$5&amp;",,,'')")))</f>
        <v/>
      </c>
      <c r="AF12" s="633" t="str" cm="1">
        <f t="array" ref="AF12">_xlfn.SINGLE(IF(ISERROR(_xll.FDSB($C$2,"FE_ESTIMATE(SALES,MEAN,QUARTERLY_ROLL,"&amp;AF$9&amp;","&amp;$C$5&amp;",,,'')")), "--", _xll.FDSB($C$2,"FE_ESTIMATE(SALES,MEAN,QUARTERLY_ROLL,"&amp;AF$9&amp;","&amp;$C$5&amp;",,,'')")))</f>
        <v/>
      </c>
      <c r="AG12" s="634" t="str" cm="1">
        <f t="array" ref="AG12">_xlfn.SINGLE(IF(ISERROR(_xll.FDSB($C$2,"FE_ESTIMATE(SALES,MEAN,ANNUAL_ROLL,"&amp;AG$9&amp;","&amp;$C$5&amp;",,,'')")), "--", _xll.FDSB($C$2,"FE_ESTIMATE(SALES,MEAN,ANNUAL_ROLL,"&amp;AG$9&amp;","&amp;$C$5&amp;",,,'')")))</f>
        <v/>
      </c>
      <c r="AH12" s="633" t="str" cm="1">
        <f t="array" ref="AH12">_xlfn.SINGLE(IF(ISERROR(_xll.FDSB($C$2,"FE_ESTIMATE(SALES,MEAN,QUARTERLY_ROLL,"&amp;AH$9&amp;","&amp;$C$5&amp;",,,'')")), "--", _xll.FDSB($C$2,"FE_ESTIMATE(SALES,MEAN,QUARTERLY_ROLL,"&amp;AH$9&amp;","&amp;$C$5&amp;",,,'')")))</f>
        <v/>
      </c>
      <c r="AI12" s="633" t="str" cm="1">
        <f t="array" ref="AI12">_xlfn.SINGLE(IF(ISERROR(_xll.FDSB($C$2,"FE_ESTIMATE(SALES,MEAN,QUARTERLY_ROLL,"&amp;AI$9&amp;","&amp;$C$5&amp;",,,'')")), "--", _xll.FDSB($C$2,"FE_ESTIMATE(SALES,MEAN,QUARTERLY_ROLL,"&amp;AI$9&amp;","&amp;$C$5&amp;",,,'')")))</f>
        <v/>
      </c>
      <c r="AJ12" s="633" t="str" cm="1">
        <f t="array" ref="AJ12">_xlfn.SINGLE(IF(ISERROR(_xll.FDSB($C$2,"FE_ESTIMATE(SALES,MEAN,QUARTERLY_ROLL,"&amp;AJ$9&amp;","&amp;$C$5&amp;",,,'')")), "--", _xll.FDSB($C$2,"FE_ESTIMATE(SALES,MEAN,QUARTERLY_ROLL,"&amp;AJ$9&amp;","&amp;$C$5&amp;",,,'')")))</f>
        <v/>
      </c>
      <c r="AK12" s="633" cm="1">
        <f t="array" ref="AK12">_xlfn.SINGLE(IF(ISERROR(_xll.FDSB($C$2,"FE_ESTIMATE(SALES,MEAN,QUARTERLY_ROLL,"&amp;AK$9&amp;","&amp;$C$5&amp;",,,'')")), "--", _xll.FDSB($C$2,"FE_ESTIMATE(SALES,MEAN,QUARTERLY_ROLL,"&amp;AK$9&amp;","&amp;$C$5&amp;",,,'')")))</f>
        <v>747.27919999999995</v>
      </c>
      <c r="AL12" s="634" cm="1">
        <f t="array" ref="AL12">_xlfn.SINGLE(IF(ISERROR(_xll.FDSB($C$2,"FE_ESTIMATE(SALES,MEAN,ANNUAL_ROLL,"&amp;AL$9&amp;","&amp;$C$5&amp;",,,'')")), "--", _xll.FDSB($C$2,"FE_ESTIMATE(SALES,MEAN,ANNUAL_ROLL,"&amp;AL$9&amp;","&amp;$C$5&amp;",,,'')")))</f>
        <v>1915.2697000000001</v>
      </c>
      <c r="AM12" s="633" cm="1">
        <f t="array" ref="AM12">_xlfn.SINGLE(IF(ISERROR(_xll.FDSB($C$2,"FE_ESTIMATE(SALES,MEAN,QUARTERLY_ROLL,"&amp;AM$9&amp;","&amp;$C$5&amp;",,,'')")), "--", _xll.FDSB($C$2,"FE_ESTIMATE(SALES,MEAN,QUARTERLY_ROLL,"&amp;AM$9&amp;","&amp;$C$5&amp;",,,'')")))</f>
        <v>981.63199999999995</v>
      </c>
      <c r="AN12" s="633" cm="1">
        <f t="array" ref="AN12">_xlfn.SINGLE(IF(ISERROR(_xll.FDSB($C$2,"FE_ESTIMATE(SALES,MEAN,QUARTERLY_ROLL,"&amp;AN$9&amp;","&amp;$C$5&amp;",,,'')")), "--", _xll.FDSB($C$2,"FE_ESTIMATE(SALES,MEAN,QUARTERLY_ROLL,"&amp;AN$9&amp;","&amp;$C$5&amp;",,,'')")))</f>
        <v>1212.788</v>
      </c>
      <c r="AO12" s="633" cm="1">
        <f t="array" ref="AO12">_xlfn.SINGLE(IF(ISERROR(_xll.FDSB($C$2,"FE_ESTIMATE(SALES,MEAN,QUARTERLY_ROLL,"&amp;AO$9&amp;","&amp;$C$5&amp;",,,'')")), "--", _xll.FDSB($C$2,"FE_ESTIMATE(SALES,MEAN,QUARTERLY_ROLL,"&amp;AO$9&amp;","&amp;$C$5&amp;",,,'')")))</f>
        <v>1286.7863</v>
      </c>
      <c r="AP12" s="633" cm="1">
        <f t="array" ref="AP12">_xlfn.SINGLE(IF(ISERROR(_xll.FDSB($C$2,"FE_ESTIMATE(SALES,MEAN,QUARTERLY_ROLL,"&amp;AP$9&amp;","&amp;$C$5&amp;",,,'')")), "--", _xll.FDSB($C$2,"FE_ESTIMATE(SALES,MEAN,QUARTERLY_ROLL,"&amp;AP$9&amp;","&amp;$C$5&amp;",,,'')")))</f>
        <v>1795.1318000000001</v>
      </c>
      <c r="AQ12" s="634" cm="1">
        <f t="array" ref="AQ12">_xlfn.SINGLE(IF(ISERROR(_xll.FDSB($C$2,"FE_ESTIMATE(SALES,MEAN,ANNUAL_ROLL,"&amp;AQ$9&amp;","&amp;$C$5&amp;",,,'')")), "--", _xll.FDSB($C$2,"FE_ESTIMATE(SALES,MEAN,ANNUAL_ROLL,"&amp;AQ$9&amp;","&amp;$C$5&amp;",,,'')")))</f>
        <v>5287.2075000000004</v>
      </c>
      <c r="AR12" s="633" cm="1">
        <f t="array" ref="AR12">_xlfn.SINGLE(IF(ISERROR(_xll.FDSB($C$2,"FE_ESTIMATE(SALES,MEAN,QUARTERLY_ROLL,"&amp;AR$9&amp;","&amp;$C$5&amp;",,,'')")), "--", _xll.FDSB($C$2,"FE_ESTIMATE(SALES,MEAN,QUARTERLY_ROLL,"&amp;AR$9&amp;","&amp;$C$5&amp;",,,'')")))</f>
        <v>2504.8894</v>
      </c>
      <c r="AS12" s="633" cm="1">
        <f t="array" ref="AS12">_xlfn.SINGLE(IF(ISERROR(_xll.FDSB($C$2,"FE_ESTIMATE(SALES,MEAN,QUARTERLY_ROLL,"&amp;AS$9&amp;","&amp;$C$5&amp;",,,'')")), "--", _xll.FDSB($C$2,"FE_ESTIMATE(SALES,MEAN,QUARTERLY_ROLL,"&amp;AS$9&amp;","&amp;$C$5&amp;",,,'')")))</f>
        <v>2904.5068000000001</v>
      </c>
      <c r="AT12" s="633" cm="1">
        <f t="array" ref="AT12">_xlfn.SINGLE(IF(ISERROR(_xll.FDSB($C$2,"FE_ESTIMATE(SALES,MEAN,QUARTERLY_ROLL,"&amp;AT$9&amp;","&amp;$C$5&amp;",,,'')")), "--", _xll.FDSB($C$2,"FE_ESTIMATE(SALES,MEAN,QUARTERLY_ROLL,"&amp;AT$9&amp;","&amp;$C$5&amp;",,,'')")))</f>
        <v>3130.2395000000001</v>
      </c>
      <c r="AU12" s="633" cm="1">
        <f t="array" ref="AU12">_xlfn.SINGLE(IF(ISERROR(_xll.FDSB($C$2,"FE_ESTIMATE(SALES,MEAN,QUARTERLY_ROLL,"&amp;AU$9&amp;","&amp;$C$5&amp;",,,'')")), "--", _xll.FDSB($C$2,"FE_ESTIMATE(SALES,MEAN,QUARTERLY_ROLL,"&amp;AU$9&amp;","&amp;$C$5&amp;",,,'')")))</f>
        <v>3514.7069999999999</v>
      </c>
      <c r="AV12" s="634" cm="1">
        <f t="array" ref="AV12">_xlfn.SINGLE(IF(ISERROR(_xll.FDSB($C$2,"FE_ESTIMATE(SALES,MEAN,ANNUAL_ROLL,"&amp;AV$9&amp;","&amp;$C$5&amp;",,,'')")), "--", _xll.FDSB($C$2,"FE_ESTIMATE(SALES,MEAN,ANNUAL_ROLL,"&amp;AV$9&amp;","&amp;$C$5&amp;",,,'')")))</f>
        <v>12290.918</v>
      </c>
      <c r="AW12" s="633" cm="1">
        <f t="array" ref="AW12">_xlfn.SINGLE(IF(ISERROR(_xll.FDSB($C$2,"FE_ESTIMATE(SALES,MEAN,QUARTERLY_ROLL,"&amp;AW$9&amp;","&amp;$C$5&amp;",,,'')")), "--", _xll.FDSB($C$2,"FE_ESTIMATE(SALES,MEAN,QUARTERLY_ROLL,"&amp;AW$9&amp;","&amp;$C$5&amp;",,,'')")))</f>
        <v>3812.0592999999999</v>
      </c>
      <c r="AX12" s="633" cm="1">
        <f t="array" ref="AX12">_xlfn.SINGLE(IF(ISERROR(_xll.FDSB($C$2,"FE_ESTIMATE(SALES,MEAN,QUARTERLY_ROLL,"&amp;AX$9&amp;","&amp;$C$5&amp;",,,'')")), "--", _xll.FDSB($C$2,"FE_ESTIMATE(SALES,MEAN,QUARTERLY_ROLL,"&amp;AX$9&amp;","&amp;$C$5&amp;",,,'')")))</f>
        <v>4107.5326999999997</v>
      </c>
      <c r="AY12" s="633" cm="1">
        <f t="array" ref="AY12">_xlfn.SINGLE(IF(ISERROR(_xll.FDSB($C$2,"FE_ESTIMATE(SALES,MEAN,QUARTERLY_ROLL,"&amp;AY$9&amp;","&amp;$C$5&amp;",,,'')")), "--", _xll.FDSB($C$2,"FE_ESTIMATE(SALES,MEAN,QUARTERLY_ROLL,"&amp;AY$9&amp;","&amp;$C$5&amp;",,,'')")))</f>
        <v>4427.1054999999997</v>
      </c>
      <c r="AZ12" s="633" cm="1">
        <f t="array" ref="AZ12">_xlfn.SINGLE(IF(ISERROR(_xll.FDSB($C$2,"FE_ESTIMATE(SALES,MEAN,QUARTERLY_ROLL,"&amp;AZ$9&amp;","&amp;$C$5&amp;",,,'')")), "--", _xll.FDSB($C$2,"FE_ESTIMATE(SALES,MEAN,QUARTERLY_ROLL,"&amp;AZ$9&amp;","&amp;$C$5&amp;",,,'')")))</f>
        <v>4723.3212999999996</v>
      </c>
      <c r="BA12" s="634" cm="1">
        <f t="array" ref="BA12">_xlfn.SINGLE(IF(ISERROR(_xll.FDSB($C$2,"FE_ESTIMATE(SALES,MEAN,ANNUAL_ROLL,"&amp;BA$9&amp;","&amp;$C$5&amp;",,,'')")), "--", _xll.FDSB($C$2,"FE_ESTIMATE(SALES,MEAN,ANNUAL_ROLL,"&amp;BA$9&amp;","&amp;$C$5&amp;",,,'')")))</f>
        <v>18531.458999999999</v>
      </c>
      <c r="BB12" s="633" t="str" cm="1">
        <f t="array" ref="BB12">_xlfn.SINGLE(IF(ISERROR(_xll.FDSB($C$2,"FE_ESTIMATE(SALES,MEAN,QUARTERLY_ROLL,"&amp;BB$9&amp;","&amp;$C$5&amp;",,,'')")), "--", _xll.FDSB($C$2,"FE_ESTIMATE(SALES,MEAN,QUARTERLY_ROLL,"&amp;BB$9&amp;","&amp;$C$5&amp;",,,'')")))</f>
        <v/>
      </c>
      <c r="BC12" s="633" t="str" cm="1">
        <f t="array" ref="BC12">_xlfn.SINGLE(IF(ISERROR(_xll.FDSB($C$2,"FE_ESTIMATE(SALES,MEAN,QUARTERLY_ROLL,"&amp;BC$9&amp;","&amp;$C$5&amp;",,,'')")), "--", _xll.FDSB($C$2,"FE_ESTIMATE(SALES,MEAN,QUARTERLY_ROLL,"&amp;BC$9&amp;","&amp;$C$5&amp;",,,'')")))</f>
        <v/>
      </c>
      <c r="BD12" s="633" t="str" cm="1">
        <f t="array" ref="BD12">_xlfn.SINGLE(IF(ISERROR(_xll.FDSB($C$2,"FE_ESTIMATE(SALES,MEAN,QUARTERLY_ROLL,"&amp;BD$9&amp;","&amp;$C$5&amp;",,,'')")), "--", _xll.FDSB($C$2,"FE_ESTIMATE(SALES,MEAN,QUARTERLY_ROLL,"&amp;BD$9&amp;","&amp;$C$5&amp;",,,'')")))</f>
        <v/>
      </c>
      <c r="BE12" s="633" t="str" cm="1">
        <f t="array" ref="BE12">_xlfn.SINGLE(IF(ISERROR(_xll.FDSB($C$2,"FE_ESTIMATE(SALES,MEAN,QUARTERLY_ROLL,"&amp;BE$9&amp;","&amp;$C$5&amp;",,,'')")), "--", _xll.FDSB($C$2,"FE_ESTIMATE(SALES,MEAN,QUARTERLY_ROLL,"&amp;BE$9&amp;","&amp;$C$5&amp;",,,'')")))</f>
        <v/>
      </c>
      <c r="BF12" s="634" cm="1">
        <f t="array" ref="BF12">_xlfn.SINGLE(IF(ISERROR(_xll.FDSB($C$2,"FE_ESTIMATE(SALES,MEAN,ANNUAL_ROLL,"&amp;BF$9&amp;","&amp;$C$5&amp;",,,'')")), "--", _xll.FDSB($C$2,"FE_ESTIMATE(SALES,MEAN,ANNUAL_ROLL,"&amp;BF$9&amp;","&amp;$C$5&amp;",,,'')")))</f>
        <v>25835.004000000001</v>
      </c>
      <c r="BG12" s="633" t="str" cm="1">
        <f t="array" ref="BG12">_xlfn.SINGLE(IF(ISERROR(_xll.FDSB($C$2,"FE_ESTIMATE(SALES,MEAN,QUARTERLY_ROLL,"&amp;BG$9&amp;","&amp;$C$5&amp;",,,'')")), "--", _xll.FDSB($C$2,"FE_ESTIMATE(SALES,MEAN,QUARTERLY_ROLL,"&amp;BG$9&amp;","&amp;$C$5&amp;",,,'')")))</f>
        <v/>
      </c>
      <c r="BH12" s="633" t="str" cm="1">
        <f t="array" ref="BH12">_xlfn.SINGLE(IF(ISERROR(_xll.FDSB($C$2,"FE_ESTIMATE(SALES,MEAN,QUARTERLY_ROLL,"&amp;BH$9&amp;","&amp;$C$5&amp;",,,'')")), "--", _xll.FDSB($C$2,"FE_ESTIMATE(SALES,MEAN,QUARTERLY_ROLL,"&amp;BH$9&amp;","&amp;$C$5&amp;",,,'')")))</f>
        <v/>
      </c>
      <c r="BI12" s="633" t="str" cm="1">
        <f t="array" ref="BI12">_xlfn.SINGLE(IF(ISERROR(_xll.FDSB($C$2,"FE_ESTIMATE(SALES,MEAN,QUARTERLY_ROLL,"&amp;BI$9&amp;","&amp;$C$5&amp;",,,'')")), "--", _xll.FDSB($C$2,"FE_ESTIMATE(SALES,MEAN,QUARTERLY_ROLL,"&amp;BI$9&amp;","&amp;$C$5&amp;",,,'')")))</f>
        <v/>
      </c>
      <c r="BJ12" s="633" t="str" cm="1">
        <f t="array" ref="BJ12">_xlfn.SINGLE(IF(ISERROR(_xll.FDSB($C$2,"FE_ESTIMATE(SALES,MEAN,QUARTERLY_ROLL,"&amp;BJ$9&amp;","&amp;$C$5&amp;",,,'')")), "--", _xll.FDSB($C$2,"FE_ESTIMATE(SALES,MEAN,QUARTERLY_ROLL,"&amp;BJ$9&amp;","&amp;$C$5&amp;",,,'')")))</f>
        <v/>
      </c>
      <c r="BK12" s="634" cm="1">
        <f t="array" ref="BK12">_xlfn.SINGLE(IF(ISERROR(_xll.FDSB($C$2,"FE_ESTIMATE(SALES,MEAN,ANNUAL_ROLL,"&amp;BK$9&amp;","&amp;$C$5&amp;",,,'')")), "--", _xll.FDSB($C$2,"FE_ESTIMATE(SALES,MEAN,ANNUAL_ROLL,"&amp;BK$9&amp;","&amp;$C$5&amp;",,,'')")))</f>
        <v>31999.65</v>
      </c>
    </row>
    <row r="13" spans="1:63" s="71" customFormat="1" ht="12.75" customHeight="1" outlineLevel="1">
      <c r="A13" s="67" t="s">
        <v>30</v>
      </c>
      <c r="B13" s="68" t="s">
        <v>31</v>
      </c>
      <c r="C13" s="68"/>
      <c r="D13" s="69"/>
      <c r="E13" s="69"/>
      <c r="F13" s="69"/>
      <c r="G13" s="69"/>
      <c r="H13" s="70"/>
      <c r="I13" s="69" t="str">
        <f t="shared" ref="I13:AN13" si="0">IFERROR(I12/D12-1,"")</f>
        <v/>
      </c>
      <c r="J13" s="69" t="str">
        <f t="shared" si="0"/>
        <v/>
      </c>
      <c r="K13" s="69" t="str">
        <f t="shared" si="0"/>
        <v/>
      </c>
      <c r="L13" s="69" t="str">
        <f t="shared" si="0"/>
        <v/>
      </c>
      <c r="M13" s="70" t="str">
        <f t="shared" si="0"/>
        <v/>
      </c>
      <c r="N13" s="69" t="str">
        <f t="shared" si="0"/>
        <v/>
      </c>
      <c r="O13" s="69" t="str">
        <f t="shared" si="0"/>
        <v/>
      </c>
      <c r="P13" s="69" t="str">
        <f t="shared" si="0"/>
        <v/>
      </c>
      <c r="Q13" s="69" t="str">
        <f t="shared" si="0"/>
        <v/>
      </c>
      <c r="R13" s="70" t="str">
        <f t="shared" si="0"/>
        <v/>
      </c>
      <c r="S13" s="69" t="str">
        <f t="shared" si="0"/>
        <v/>
      </c>
      <c r="T13" s="69" t="str">
        <f t="shared" si="0"/>
        <v/>
      </c>
      <c r="U13" s="69" t="str">
        <f t="shared" si="0"/>
        <v/>
      </c>
      <c r="V13" s="69" t="str">
        <f t="shared" si="0"/>
        <v/>
      </c>
      <c r="W13" s="70" t="str">
        <f t="shared" si="0"/>
        <v/>
      </c>
      <c r="X13" s="69" t="str">
        <f t="shared" si="0"/>
        <v/>
      </c>
      <c r="Y13" s="69" t="str">
        <f t="shared" si="0"/>
        <v/>
      </c>
      <c r="Z13" s="69" t="str">
        <f t="shared" si="0"/>
        <v/>
      </c>
      <c r="AA13" s="69" t="str">
        <f t="shared" si="0"/>
        <v/>
      </c>
      <c r="AB13" s="70" t="str">
        <f t="shared" si="0"/>
        <v/>
      </c>
      <c r="AC13" s="69" t="str">
        <f t="shared" si="0"/>
        <v/>
      </c>
      <c r="AD13" s="69" t="str">
        <f t="shared" si="0"/>
        <v/>
      </c>
      <c r="AE13" s="69" t="str">
        <f t="shared" si="0"/>
        <v/>
      </c>
      <c r="AF13" s="69" t="str">
        <f t="shared" si="0"/>
        <v/>
      </c>
      <c r="AG13" s="70" t="str">
        <f t="shared" si="0"/>
        <v/>
      </c>
      <c r="AH13" s="69" t="str">
        <f t="shared" si="0"/>
        <v/>
      </c>
      <c r="AI13" s="69" t="str">
        <f t="shared" si="0"/>
        <v/>
      </c>
      <c r="AJ13" s="69" t="str">
        <f t="shared" si="0"/>
        <v/>
      </c>
      <c r="AK13" s="69" t="str">
        <f t="shared" si="0"/>
        <v/>
      </c>
      <c r="AL13" s="70" t="str">
        <f t="shared" si="0"/>
        <v/>
      </c>
      <c r="AM13" s="69" t="str">
        <f t="shared" si="0"/>
        <v/>
      </c>
      <c r="AN13" s="69" t="str">
        <f t="shared" si="0"/>
        <v/>
      </c>
      <c r="AO13" s="69" t="str">
        <f t="shared" ref="AO13:BK13" si="1">IFERROR(AO12/AJ12-1,"")</f>
        <v/>
      </c>
      <c r="AP13" s="69">
        <f t="shared" si="1"/>
        <v>1.4022236936341868</v>
      </c>
      <c r="AQ13" s="70">
        <f t="shared" si="1"/>
        <v>1.7605550800495617</v>
      </c>
      <c r="AR13" s="69">
        <f t="shared" si="1"/>
        <v>1.5517601300691095</v>
      </c>
      <c r="AS13" s="69">
        <f t="shared" si="1"/>
        <v>1.3949006751386062</v>
      </c>
      <c r="AT13" s="69">
        <f t="shared" si="1"/>
        <v>1.4326024453322206</v>
      </c>
      <c r="AU13" s="69">
        <f t="shared" si="1"/>
        <v>0.95791027711725651</v>
      </c>
      <c r="AV13" s="70">
        <f t="shared" si="1"/>
        <v>1.3246520965935229</v>
      </c>
      <c r="AW13" s="69">
        <f t="shared" si="1"/>
        <v>0.5218473518231983</v>
      </c>
      <c r="AX13" s="69">
        <f t="shared" si="1"/>
        <v>0.41419283301385268</v>
      </c>
      <c r="AY13" s="69">
        <f t="shared" si="1"/>
        <v>0.4143024838834215</v>
      </c>
      <c r="AZ13" s="69">
        <f t="shared" si="1"/>
        <v>0.34387341533732396</v>
      </c>
      <c r="BA13" s="70">
        <f t="shared" si="1"/>
        <v>0.50773595593103771</v>
      </c>
      <c r="BB13" s="69" t="str">
        <f t="shared" si="1"/>
        <v/>
      </c>
      <c r="BC13" s="69" t="str">
        <f t="shared" si="1"/>
        <v/>
      </c>
      <c r="BD13" s="69" t="str">
        <f t="shared" si="1"/>
        <v/>
      </c>
      <c r="BE13" s="69" t="str">
        <f t="shared" si="1"/>
        <v/>
      </c>
      <c r="BF13" s="70">
        <f t="shared" si="1"/>
        <v>0.39411602723779082</v>
      </c>
      <c r="BG13" s="69" t="str">
        <f t="shared" si="1"/>
        <v/>
      </c>
      <c r="BH13" s="69" t="str">
        <f t="shared" si="1"/>
        <v/>
      </c>
      <c r="BI13" s="69" t="str">
        <f t="shared" si="1"/>
        <v/>
      </c>
      <c r="BJ13" s="69" t="str">
        <f t="shared" si="1"/>
        <v/>
      </c>
      <c r="BK13" s="70">
        <f t="shared" si="1"/>
        <v>0.23861602653516134</v>
      </c>
    </row>
    <row r="14" spans="1:63" s="71" customFormat="1" ht="12.75" customHeight="1" outlineLevel="1">
      <c r="A14" s="67" t="s">
        <v>32</v>
      </c>
      <c r="B14" s="68" t="s">
        <v>33</v>
      </c>
      <c r="C14" s="68"/>
      <c r="D14" s="69"/>
      <c r="E14" s="69"/>
      <c r="F14" s="69"/>
      <c r="G14" s="69"/>
      <c r="H14" s="72"/>
      <c r="I14" s="69" t="str">
        <f>IFERROR(I12/G12-1,"")</f>
        <v/>
      </c>
      <c r="J14" s="69" t="str">
        <f>IFERROR(J12/I12-1,"")</f>
        <v/>
      </c>
      <c r="K14" s="69" t="str">
        <f>IFERROR(K12/J12-1,"")</f>
        <v/>
      </c>
      <c r="L14" s="69" t="str">
        <f>IFERROR(L12/K12-1,"")</f>
        <v/>
      </c>
      <c r="M14" s="72"/>
      <c r="N14" s="69" t="str">
        <f>IFERROR(N12/L12-1,"")</f>
        <v/>
      </c>
      <c r="O14" s="69" t="str">
        <f>IFERROR(O12/N12-1,"")</f>
        <v/>
      </c>
      <c r="P14" s="69" t="str">
        <f>IFERROR(P12/O12-1,"")</f>
        <v/>
      </c>
      <c r="Q14" s="69" t="str">
        <f>IFERROR(Q12/P12-1,"")</f>
        <v/>
      </c>
      <c r="R14" s="72"/>
      <c r="S14" s="69" t="str">
        <f>IFERROR(S12/Q12-1,"")</f>
        <v/>
      </c>
      <c r="T14" s="69" t="str">
        <f>IFERROR(T12/S12-1,"")</f>
        <v/>
      </c>
      <c r="U14" s="69" t="str">
        <f>IFERROR(U12/T12-1,"")</f>
        <v/>
      </c>
      <c r="V14" s="69" t="str">
        <f>IFERROR(V12/U12-1,"")</f>
        <v/>
      </c>
      <c r="W14" s="72"/>
      <c r="X14" s="69" t="str">
        <f>IFERROR(X12/V12-1,"")</f>
        <v/>
      </c>
      <c r="Y14" s="69" t="str">
        <f>IFERROR(Y12/X12-1,"")</f>
        <v/>
      </c>
      <c r="Z14" s="69" t="str">
        <f>IFERROR(Z12/Y12-1,"")</f>
        <v/>
      </c>
      <c r="AA14" s="69" t="str">
        <f>IFERROR(AA12/Z12-1,"")</f>
        <v/>
      </c>
      <c r="AB14" s="72"/>
      <c r="AC14" s="69" t="str">
        <f>IFERROR(AC12/AA12-1,"")</f>
        <v/>
      </c>
      <c r="AD14" s="69" t="str">
        <f>IFERROR(AD12/AC12-1,"")</f>
        <v/>
      </c>
      <c r="AE14" s="69" t="str">
        <f>IFERROR(AE12/AD12-1,"")</f>
        <v/>
      </c>
      <c r="AF14" s="69" t="str">
        <f>IFERROR(AF12/AE12-1,"")</f>
        <v/>
      </c>
      <c r="AG14" s="72"/>
      <c r="AH14" s="69" t="str">
        <f>IFERROR(AH12/AF12-1,"")</f>
        <v/>
      </c>
      <c r="AI14" s="69" t="str">
        <f>IFERROR(AI12/AH12-1,"")</f>
        <v/>
      </c>
      <c r="AJ14" s="69" t="str">
        <f>IFERROR(AJ12/AI12-1,"")</f>
        <v/>
      </c>
      <c r="AK14" s="69" t="str">
        <f>IFERROR(AK12/AJ12-1,"")</f>
        <v/>
      </c>
      <c r="AL14" s="72"/>
      <c r="AM14" s="69">
        <f>IFERROR(AM12/AK12-1,"")</f>
        <v>0.31360808650903182</v>
      </c>
      <c r="AN14" s="69">
        <f>IFERROR(AN12/AM12-1,"")</f>
        <v>0.23548132090233409</v>
      </c>
      <c r="AO14" s="69">
        <f>IFERROR(AO12/AN12-1,"")</f>
        <v>6.1015033130275009E-2</v>
      </c>
      <c r="AP14" s="69">
        <f>IFERROR(AP12/AO12-1,"")</f>
        <v>0.39505044466202355</v>
      </c>
      <c r="AQ14" s="72"/>
      <c r="AR14" s="69">
        <f>IFERROR(AR12/AP12-1,"")</f>
        <v>0.39537910252606512</v>
      </c>
      <c r="AS14" s="69">
        <f>IFERROR(AS12/AR12-1,"")</f>
        <v>0.15953494793023593</v>
      </c>
      <c r="AT14" s="69">
        <f>IFERROR(AT12/AS12-1,"")</f>
        <v>7.7718082808413413E-2</v>
      </c>
      <c r="AU14" s="69">
        <f>IFERROR(AU12/AT12-1,"")</f>
        <v>0.12282366892373564</v>
      </c>
      <c r="AV14" s="72"/>
      <c r="AW14" s="69">
        <f>IFERROR(AW12/AU12-1,"")</f>
        <v>8.4602301130648927E-2</v>
      </c>
      <c r="AX14" s="69">
        <f>IFERROR(AX12/AW12-1,"")</f>
        <v>7.751017934059945E-2</v>
      </c>
      <c r="AY14" s="69">
        <f>IFERROR(AY12/AX12-1,"")</f>
        <v>7.7801644768403122E-2</v>
      </c>
      <c r="AZ14" s="69">
        <f>IFERROR(AZ12/AY12-1,"")</f>
        <v>6.6909586862115678E-2</v>
      </c>
      <c r="BA14" s="72"/>
      <c r="BB14" s="69" t="str">
        <f>IFERROR(BB12/AZ12-1,"")</f>
        <v/>
      </c>
      <c r="BC14" s="69" t="str">
        <f>IFERROR(BC12/BB12-1,"")</f>
        <v/>
      </c>
      <c r="BD14" s="69" t="str">
        <f>IFERROR(BD12/BC12-1,"")</f>
        <v/>
      </c>
      <c r="BE14" s="69" t="str">
        <f>IFERROR(BE12/BD12-1,"")</f>
        <v/>
      </c>
      <c r="BF14" s="72"/>
      <c r="BG14" s="69" t="str">
        <f>IFERROR(BG12/BE12-1,"")</f>
        <v/>
      </c>
      <c r="BH14" s="69" t="str">
        <f>IFERROR(BH12/BG12-1,"")</f>
        <v/>
      </c>
      <c r="BI14" s="69" t="str">
        <f>IFERROR(BI12/BH12-1,"")</f>
        <v/>
      </c>
      <c r="BJ14" s="69" t="str">
        <f>IFERROR(BJ12/BI12-1,"")</f>
        <v/>
      </c>
      <c r="BK14" s="72"/>
    </row>
    <row r="15" spans="1:63" s="71" customFormat="1" ht="12.75" customHeight="1" outlineLevel="1">
      <c r="A15" s="53"/>
      <c r="B15" s="68"/>
      <c r="C15" s="68"/>
      <c r="D15" s="69"/>
      <c r="E15" s="69"/>
      <c r="F15" s="69"/>
      <c r="G15" s="69"/>
      <c r="H15" s="72"/>
      <c r="I15" s="69"/>
      <c r="J15" s="69"/>
      <c r="K15" s="69"/>
      <c r="L15" s="69"/>
      <c r="M15" s="72"/>
      <c r="N15" s="69"/>
      <c r="O15" s="69"/>
      <c r="P15" s="69"/>
      <c r="Q15" s="69"/>
      <c r="R15" s="72"/>
      <c r="S15" s="69"/>
      <c r="T15" s="69"/>
      <c r="U15" s="69"/>
      <c r="V15" s="69"/>
      <c r="W15" s="72"/>
      <c r="X15" s="69"/>
      <c r="Y15" s="69"/>
      <c r="Z15" s="69"/>
      <c r="AA15" s="69"/>
      <c r="AB15" s="72"/>
      <c r="AC15" s="69"/>
      <c r="AD15" s="69"/>
      <c r="AE15" s="69"/>
      <c r="AF15" s="69"/>
      <c r="AG15" s="72"/>
      <c r="AH15" s="69"/>
      <c r="AI15" s="69"/>
      <c r="AJ15" s="69"/>
      <c r="AK15" s="69"/>
      <c r="AL15" s="72"/>
      <c r="AM15" s="69"/>
      <c r="AN15" s="69"/>
      <c r="AO15" s="69"/>
      <c r="AP15" s="69"/>
      <c r="AQ15" s="72"/>
      <c r="AR15" s="69"/>
      <c r="AS15" s="69"/>
      <c r="AT15" s="69"/>
      <c r="AU15" s="69"/>
      <c r="AV15" s="72"/>
      <c r="AW15" s="69"/>
      <c r="AX15" s="69"/>
      <c r="AY15" s="69"/>
      <c r="AZ15" s="69"/>
      <c r="BA15" s="72"/>
      <c r="BB15" s="69"/>
      <c r="BC15" s="69"/>
      <c r="BD15" s="69"/>
      <c r="BE15" s="69"/>
      <c r="BF15" s="72"/>
      <c r="BG15" s="69"/>
      <c r="BH15" s="69"/>
      <c r="BI15" s="69"/>
      <c r="BJ15" s="69"/>
      <c r="BK15" s="72"/>
    </row>
    <row r="16" spans="1:63" s="641" customFormat="1" ht="12.75" customHeight="1" outlineLevel="1">
      <c r="A16" s="636" t="s">
        <v>153</v>
      </c>
      <c r="B16" s="637" t="s">
        <v>34</v>
      </c>
      <c r="C16" s="638"/>
      <c r="D16" s="639"/>
      <c r="E16" s="639"/>
      <c r="F16" s="639"/>
      <c r="G16" s="639"/>
      <c r="H16" s="640"/>
      <c r="I16" s="639" t="str">
        <f t="shared" ref="I16:BK16" si="2">IFERROR(I12-I20,"--")</f>
        <v>--</v>
      </c>
      <c r="J16" s="639" t="str">
        <f t="shared" si="2"/>
        <v>--</v>
      </c>
      <c r="K16" s="639" t="str">
        <f t="shared" si="2"/>
        <v>--</v>
      </c>
      <c r="L16" s="639" t="str">
        <f t="shared" si="2"/>
        <v>--</v>
      </c>
      <c r="M16" s="640" t="str">
        <f t="shared" si="2"/>
        <v>--</v>
      </c>
      <c r="N16" s="639" t="str">
        <f t="shared" si="2"/>
        <v>--</v>
      </c>
      <c r="O16" s="639" t="str">
        <f t="shared" si="2"/>
        <v>--</v>
      </c>
      <c r="P16" s="639" t="str">
        <f t="shared" si="2"/>
        <v>--</v>
      </c>
      <c r="Q16" s="639" t="str">
        <f t="shared" si="2"/>
        <v>--</v>
      </c>
      <c r="R16" s="640" t="str">
        <f t="shared" si="2"/>
        <v>--</v>
      </c>
      <c r="S16" s="639" t="str">
        <f t="shared" si="2"/>
        <v>--</v>
      </c>
      <c r="T16" s="639" t="str">
        <f t="shared" si="2"/>
        <v>--</v>
      </c>
      <c r="U16" s="639" t="str">
        <f t="shared" si="2"/>
        <v>--</v>
      </c>
      <c r="V16" s="639" t="str">
        <f t="shared" si="2"/>
        <v>--</v>
      </c>
      <c r="W16" s="640" t="str">
        <f t="shared" si="2"/>
        <v>--</v>
      </c>
      <c r="X16" s="639" t="str">
        <f t="shared" si="2"/>
        <v>--</v>
      </c>
      <c r="Y16" s="639" t="str">
        <f t="shared" si="2"/>
        <v>--</v>
      </c>
      <c r="Z16" s="639" t="str">
        <f t="shared" si="2"/>
        <v>--</v>
      </c>
      <c r="AA16" s="639" t="str">
        <f t="shared" si="2"/>
        <v>--</v>
      </c>
      <c r="AB16" s="640" t="str">
        <f t="shared" si="2"/>
        <v>--</v>
      </c>
      <c r="AC16" s="639" t="str">
        <f t="shared" si="2"/>
        <v>--</v>
      </c>
      <c r="AD16" s="639" t="str">
        <f t="shared" si="2"/>
        <v>--</v>
      </c>
      <c r="AE16" s="639" t="str">
        <f t="shared" si="2"/>
        <v>--</v>
      </c>
      <c r="AF16" s="639" t="str">
        <f t="shared" si="2"/>
        <v>--</v>
      </c>
      <c r="AG16" s="640" t="str">
        <f t="shared" si="2"/>
        <v>--</v>
      </c>
      <c r="AH16" s="639" t="str">
        <f t="shared" si="2"/>
        <v>--</v>
      </c>
      <c r="AI16" s="639" t="str">
        <f t="shared" si="2"/>
        <v>--</v>
      </c>
      <c r="AJ16" s="639" t="str">
        <f t="shared" si="2"/>
        <v>--</v>
      </c>
      <c r="AK16" s="639">
        <f t="shared" si="2"/>
        <v>181.6588999999999</v>
      </c>
      <c r="AL16" s="640">
        <f t="shared" si="2"/>
        <v>492.41039999999998</v>
      </c>
      <c r="AM16" s="639">
        <f t="shared" si="2"/>
        <v>254.92509999999993</v>
      </c>
      <c r="AN16" s="639">
        <f t="shared" si="2"/>
        <v>309.1309</v>
      </c>
      <c r="AO16" s="639">
        <f t="shared" si="2"/>
        <v>337.69949999999994</v>
      </c>
      <c r="AP16" s="639">
        <f t="shared" si="2"/>
        <v>472.72920000000022</v>
      </c>
      <c r="AQ16" s="640">
        <f t="shared" si="2"/>
        <v>1395.1018000000004</v>
      </c>
      <c r="AR16" s="639">
        <f t="shared" si="2"/>
        <v>705.75880000000006</v>
      </c>
      <c r="AS16" s="639">
        <f t="shared" si="2"/>
        <v>773.61500000000024</v>
      </c>
      <c r="AT16" s="639">
        <f t="shared" si="2"/>
        <v>772.54300000000012</v>
      </c>
      <c r="AU16" s="639">
        <f t="shared" si="2"/>
        <v>862.89499999999998</v>
      </c>
      <c r="AV16" s="640">
        <f t="shared" si="2"/>
        <v>3307.0460000000003</v>
      </c>
      <c r="AW16" s="639">
        <f t="shared" si="2"/>
        <v>900.10570000000007</v>
      </c>
      <c r="AX16" s="639">
        <f t="shared" si="2"/>
        <v>1000.9446999999996</v>
      </c>
      <c r="AY16" s="639">
        <f t="shared" si="2"/>
        <v>1077.8974999999996</v>
      </c>
      <c r="AZ16" s="639">
        <f t="shared" si="2"/>
        <v>1173.2912999999994</v>
      </c>
      <c r="BA16" s="640">
        <f t="shared" si="2"/>
        <v>4140.0189999999984</v>
      </c>
      <c r="BB16" s="639" t="str">
        <f t="shared" si="2"/>
        <v>--</v>
      </c>
      <c r="BC16" s="639" t="str">
        <f t="shared" si="2"/>
        <v>--</v>
      </c>
      <c r="BD16" s="639" t="str">
        <f t="shared" si="2"/>
        <v>--</v>
      </c>
      <c r="BE16" s="639" t="str">
        <f t="shared" si="2"/>
        <v>--</v>
      </c>
      <c r="BF16" s="640">
        <f t="shared" si="2"/>
        <v>6864.0040000000008</v>
      </c>
      <c r="BG16" s="639" t="str">
        <f t="shared" si="2"/>
        <v>--</v>
      </c>
      <c r="BH16" s="639" t="str">
        <f t="shared" si="2"/>
        <v>--</v>
      </c>
      <c r="BI16" s="639" t="str">
        <f t="shared" si="2"/>
        <v>--</v>
      </c>
      <c r="BJ16" s="639" t="str">
        <f t="shared" si="2"/>
        <v>--</v>
      </c>
      <c r="BK16" s="640" t="str">
        <f t="shared" si="2"/>
        <v>--</v>
      </c>
    </row>
    <row r="17" spans="1:63" s="54" customFormat="1" ht="12.75" customHeight="1" outlineLevel="1">
      <c r="A17" s="53" t="s">
        <v>154</v>
      </c>
      <c r="B17" s="68" t="s">
        <v>31</v>
      </c>
      <c r="C17" s="68"/>
      <c r="D17" s="69"/>
      <c r="E17" s="69"/>
      <c r="F17" s="69"/>
      <c r="G17" s="69"/>
      <c r="H17" s="70"/>
      <c r="I17" s="69" t="str">
        <f t="shared" ref="I17:AN17" si="3">IFERROR(I16/D16-1,"")</f>
        <v/>
      </c>
      <c r="J17" s="69" t="str">
        <f t="shared" si="3"/>
        <v/>
      </c>
      <c r="K17" s="69" t="str">
        <f t="shared" si="3"/>
        <v/>
      </c>
      <c r="L17" s="69" t="str">
        <f t="shared" si="3"/>
        <v/>
      </c>
      <c r="M17" s="70" t="str">
        <f t="shared" si="3"/>
        <v/>
      </c>
      <c r="N17" s="69" t="str">
        <f t="shared" si="3"/>
        <v/>
      </c>
      <c r="O17" s="69" t="str">
        <f t="shared" si="3"/>
        <v/>
      </c>
      <c r="P17" s="69" t="str">
        <f t="shared" si="3"/>
        <v/>
      </c>
      <c r="Q17" s="69" t="str">
        <f t="shared" si="3"/>
        <v/>
      </c>
      <c r="R17" s="70" t="str">
        <f t="shared" si="3"/>
        <v/>
      </c>
      <c r="S17" s="69" t="str">
        <f t="shared" si="3"/>
        <v/>
      </c>
      <c r="T17" s="69" t="str">
        <f t="shared" si="3"/>
        <v/>
      </c>
      <c r="U17" s="69" t="str">
        <f t="shared" si="3"/>
        <v/>
      </c>
      <c r="V17" s="69" t="str">
        <f t="shared" si="3"/>
        <v/>
      </c>
      <c r="W17" s="70" t="str">
        <f t="shared" si="3"/>
        <v/>
      </c>
      <c r="X17" s="69" t="str">
        <f t="shared" si="3"/>
        <v/>
      </c>
      <c r="Y17" s="69" t="str">
        <f t="shared" si="3"/>
        <v/>
      </c>
      <c r="Z17" s="69" t="str">
        <f t="shared" si="3"/>
        <v/>
      </c>
      <c r="AA17" s="69" t="str">
        <f t="shared" si="3"/>
        <v/>
      </c>
      <c r="AB17" s="70" t="str">
        <f t="shared" si="3"/>
        <v/>
      </c>
      <c r="AC17" s="69" t="str">
        <f t="shared" si="3"/>
        <v/>
      </c>
      <c r="AD17" s="69" t="str">
        <f t="shared" si="3"/>
        <v/>
      </c>
      <c r="AE17" s="69" t="str">
        <f t="shared" si="3"/>
        <v/>
      </c>
      <c r="AF17" s="69" t="str">
        <f t="shared" si="3"/>
        <v/>
      </c>
      <c r="AG17" s="70" t="str">
        <f t="shared" si="3"/>
        <v/>
      </c>
      <c r="AH17" s="69" t="str">
        <f t="shared" si="3"/>
        <v/>
      </c>
      <c r="AI17" s="69" t="str">
        <f t="shared" si="3"/>
        <v/>
      </c>
      <c r="AJ17" s="69" t="str">
        <f t="shared" si="3"/>
        <v/>
      </c>
      <c r="AK17" s="69" t="str">
        <f t="shared" si="3"/>
        <v/>
      </c>
      <c r="AL17" s="70" t="str">
        <f t="shared" si="3"/>
        <v/>
      </c>
      <c r="AM17" s="69" t="str">
        <f t="shared" si="3"/>
        <v/>
      </c>
      <c r="AN17" s="69" t="str">
        <f t="shared" si="3"/>
        <v/>
      </c>
      <c r="AO17" s="69" t="str">
        <f t="shared" ref="AO17:BK17" si="4">IFERROR(AO16/AJ16-1,"")</f>
        <v/>
      </c>
      <c r="AP17" s="69">
        <f t="shared" si="4"/>
        <v>1.6022903364492489</v>
      </c>
      <c r="AQ17" s="70">
        <f t="shared" si="4"/>
        <v>1.8332094529278837</v>
      </c>
      <c r="AR17" s="69">
        <f t="shared" si="4"/>
        <v>1.7684947461038565</v>
      </c>
      <c r="AS17" s="69">
        <f t="shared" si="4"/>
        <v>1.5025482732395896</v>
      </c>
      <c r="AT17" s="69">
        <f t="shared" si="4"/>
        <v>1.2876640326680975</v>
      </c>
      <c r="AU17" s="69">
        <f t="shared" si="4"/>
        <v>0.82534736589150737</v>
      </c>
      <c r="AV17" s="70">
        <f t="shared" si="4"/>
        <v>1.370469309121384</v>
      </c>
      <c r="AW17" s="69">
        <f t="shared" si="4"/>
        <v>0.27537297444962783</v>
      </c>
      <c r="AX17" s="69">
        <f t="shared" si="4"/>
        <v>0.29385379032205838</v>
      </c>
      <c r="AY17" s="69">
        <f t="shared" si="4"/>
        <v>0.39525890468232761</v>
      </c>
      <c r="AZ17" s="69">
        <f t="shared" si="4"/>
        <v>0.35971502905915487</v>
      </c>
      <c r="BA17" s="70">
        <f t="shared" si="4"/>
        <v>0.25187826235256416</v>
      </c>
      <c r="BB17" s="69" t="str">
        <f t="shared" si="4"/>
        <v/>
      </c>
      <c r="BC17" s="69" t="str">
        <f t="shared" si="4"/>
        <v/>
      </c>
      <c r="BD17" s="69" t="str">
        <f t="shared" si="4"/>
        <v/>
      </c>
      <c r="BE17" s="69" t="str">
        <f t="shared" si="4"/>
        <v/>
      </c>
      <c r="BF17" s="70">
        <f t="shared" si="4"/>
        <v>0.657964371661097</v>
      </c>
      <c r="BG17" s="69" t="str">
        <f t="shared" si="4"/>
        <v/>
      </c>
      <c r="BH17" s="69" t="str">
        <f t="shared" si="4"/>
        <v/>
      </c>
      <c r="BI17" s="69" t="str">
        <f t="shared" si="4"/>
        <v/>
      </c>
      <c r="BJ17" s="69" t="str">
        <f t="shared" si="4"/>
        <v/>
      </c>
      <c r="BK17" s="70" t="str">
        <f t="shared" si="4"/>
        <v/>
      </c>
    </row>
    <row r="18" spans="1:63" s="54" customFormat="1" ht="12.75" customHeight="1" outlineLevel="1">
      <c r="A18" s="53" t="s">
        <v>155</v>
      </c>
      <c r="B18" s="68" t="s">
        <v>33</v>
      </c>
      <c r="C18" s="68"/>
      <c r="D18" s="69"/>
      <c r="E18" s="69"/>
      <c r="F18" s="69"/>
      <c r="G18" s="69"/>
      <c r="H18" s="72"/>
      <c r="I18" s="69" t="str">
        <f>IFERROR(I16/G16-1,"")</f>
        <v/>
      </c>
      <c r="J18" s="69" t="str">
        <f>IFERROR(J16/I16-1,"")</f>
        <v/>
      </c>
      <c r="K18" s="69" t="str">
        <f>IFERROR(K16/J16-1,"")</f>
        <v/>
      </c>
      <c r="L18" s="69" t="str">
        <f>IFERROR(L16/K16-1,"")</f>
        <v/>
      </c>
      <c r="M18" s="72"/>
      <c r="N18" s="69" t="str">
        <f>IFERROR(N16/L16-1,"")</f>
        <v/>
      </c>
      <c r="O18" s="69" t="str">
        <f>IFERROR(O16/N16-1,"")</f>
        <v/>
      </c>
      <c r="P18" s="69" t="str">
        <f>IFERROR(P16/O16-1,"")</f>
        <v/>
      </c>
      <c r="Q18" s="69" t="str">
        <f>IFERROR(Q16/P16-1,"")</f>
        <v/>
      </c>
      <c r="R18" s="72"/>
      <c r="S18" s="69" t="str">
        <f>IFERROR(S16/Q16-1,"")</f>
        <v/>
      </c>
      <c r="T18" s="69" t="str">
        <f>IFERROR(T16/S16-1,"")</f>
        <v/>
      </c>
      <c r="U18" s="69" t="str">
        <f>IFERROR(U16/T16-1,"")</f>
        <v/>
      </c>
      <c r="V18" s="69" t="str">
        <f>IFERROR(V16/U16-1,"")</f>
        <v/>
      </c>
      <c r="W18" s="72"/>
      <c r="X18" s="69" t="str">
        <f>IFERROR(X16/V16-1,"")</f>
        <v/>
      </c>
      <c r="Y18" s="69" t="str">
        <f>IFERROR(Y16/X16-1,"")</f>
        <v/>
      </c>
      <c r="Z18" s="69" t="str">
        <f>IFERROR(Z16/Y16-1,"")</f>
        <v/>
      </c>
      <c r="AA18" s="69" t="str">
        <f>IFERROR(AA16/Z16-1,"")</f>
        <v/>
      </c>
      <c r="AB18" s="72"/>
      <c r="AC18" s="69" t="str">
        <f>IFERROR(AC16/AA16-1,"")</f>
        <v/>
      </c>
      <c r="AD18" s="69" t="str">
        <f>IFERROR(AD16/AC16-1,"")</f>
        <v/>
      </c>
      <c r="AE18" s="69" t="str">
        <f>IFERROR(AE16/AD16-1,"")</f>
        <v/>
      </c>
      <c r="AF18" s="69" t="str">
        <f>IFERROR(AF16/AE16-1,"")</f>
        <v/>
      </c>
      <c r="AG18" s="72"/>
      <c r="AH18" s="69" t="str">
        <f>IFERROR(AH16/AF16-1,"")</f>
        <v/>
      </c>
      <c r="AI18" s="69" t="str">
        <f>IFERROR(AI16/AH16-1,"")</f>
        <v/>
      </c>
      <c r="AJ18" s="69" t="str">
        <f>IFERROR(AJ16/AI16-1,"")</f>
        <v/>
      </c>
      <c r="AK18" s="69" t="str">
        <f>IFERROR(AK16/AJ16-1,"")</f>
        <v/>
      </c>
      <c r="AL18" s="72"/>
      <c r="AM18" s="69">
        <f>IFERROR(AM16/AK16-1,"")</f>
        <v>0.40331742623125022</v>
      </c>
      <c r="AN18" s="69">
        <f>IFERROR(AN16/AM16-1,"")</f>
        <v>0.21263422079661853</v>
      </c>
      <c r="AO18" s="69">
        <f>IFERROR(AO16/AN16-1,"")</f>
        <v>9.2415866547148617E-2</v>
      </c>
      <c r="AP18" s="69">
        <f>IFERROR(AP16/AO16-1,"")</f>
        <v>0.39985164325087919</v>
      </c>
      <c r="AQ18" s="72"/>
      <c r="AR18" s="69">
        <f>IFERROR(AR16/AP16-1,"")</f>
        <v>0.49294522106948269</v>
      </c>
      <c r="AS18" s="69">
        <f>IFERROR(AS16/AR16-1,"")</f>
        <v>9.6146445499510902E-2</v>
      </c>
      <c r="AT18" s="69">
        <f>IFERROR(AT16/AS16-1,"")</f>
        <v>-1.3857021903661559E-3</v>
      </c>
      <c r="AU18" s="69">
        <f>IFERROR(AU16/AT16-1,"")</f>
        <v>0.1169540077380804</v>
      </c>
      <c r="AV18" s="72"/>
      <c r="AW18" s="69">
        <f>IFERROR(AW16/AU16-1,"")</f>
        <v>4.3123091453769025E-2</v>
      </c>
      <c r="AX18" s="69">
        <f>IFERROR(AX16/AW16-1,"")</f>
        <v>0.11203017601155008</v>
      </c>
      <c r="AY18" s="69">
        <f>IFERROR(AY16/AX16-1,"")</f>
        <v>7.6880171302170952E-2</v>
      </c>
      <c r="AZ18" s="69">
        <f>IFERROR(AZ16/AY16-1,"")</f>
        <v>8.8499880554505195E-2</v>
      </c>
      <c r="BA18" s="72"/>
      <c r="BB18" s="69" t="str">
        <f>IFERROR(BB16/AZ16-1,"")</f>
        <v/>
      </c>
      <c r="BC18" s="69" t="str">
        <f>IFERROR(BC16/BB16-1,"")</f>
        <v/>
      </c>
      <c r="BD18" s="69" t="str">
        <f>IFERROR(BD16/BC16-1,"")</f>
        <v/>
      </c>
      <c r="BE18" s="69" t="str">
        <f>IFERROR(BE16/BD16-1,"")</f>
        <v/>
      </c>
      <c r="BF18" s="72"/>
      <c r="BG18" s="69" t="str">
        <f>IFERROR(BG16/BE16-1,"")</f>
        <v/>
      </c>
      <c r="BH18" s="69" t="str">
        <f>IFERROR(BH16/BG16-1,"")</f>
        <v/>
      </c>
      <c r="BI18" s="69" t="str">
        <f>IFERROR(BI16/BH16-1,"")</f>
        <v/>
      </c>
      <c r="BJ18" s="69" t="str">
        <f>IFERROR(BJ16/BI16-1,"")</f>
        <v/>
      </c>
      <c r="BK18" s="72"/>
    </row>
    <row r="19" spans="1:63" s="54" customFormat="1" ht="12.75" customHeight="1" outlineLevel="1">
      <c r="A19" s="53"/>
      <c r="B19" s="73"/>
      <c r="C19" s="73"/>
      <c r="D19" s="69"/>
      <c r="E19" s="69"/>
      <c r="F19" s="69"/>
      <c r="G19" s="69"/>
      <c r="H19" s="74"/>
      <c r="I19" s="69"/>
      <c r="J19" s="69"/>
      <c r="K19" s="69"/>
      <c r="L19" s="69"/>
      <c r="M19" s="74"/>
      <c r="N19" s="69"/>
      <c r="O19" s="69"/>
      <c r="P19" s="69"/>
      <c r="Q19" s="69"/>
      <c r="R19" s="74"/>
      <c r="S19" s="69"/>
      <c r="T19" s="69"/>
      <c r="U19" s="69"/>
      <c r="V19" s="69"/>
      <c r="W19" s="74"/>
      <c r="X19" s="69"/>
      <c r="Y19" s="69"/>
      <c r="Z19" s="69"/>
      <c r="AA19" s="69"/>
      <c r="AB19" s="74"/>
      <c r="AC19" s="69"/>
      <c r="AD19" s="69"/>
      <c r="AE19" s="69"/>
      <c r="AF19" s="69"/>
      <c r="AG19" s="74"/>
      <c r="AH19" s="69"/>
      <c r="AI19" s="69"/>
      <c r="AJ19" s="69"/>
      <c r="AK19" s="69"/>
      <c r="AL19" s="74"/>
      <c r="AM19" s="69"/>
      <c r="AN19" s="69"/>
      <c r="AO19" s="69"/>
      <c r="AP19" s="69"/>
      <c r="AQ19" s="74"/>
      <c r="AR19" s="69"/>
      <c r="AS19" s="69"/>
      <c r="AT19" s="69"/>
      <c r="AU19" s="69"/>
      <c r="AV19" s="74"/>
      <c r="AW19" s="69"/>
      <c r="AX19" s="69"/>
      <c r="AY19" s="69"/>
      <c r="AZ19" s="69"/>
      <c r="BA19" s="74"/>
      <c r="BB19" s="69"/>
      <c r="BC19" s="69"/>
      <c r="BD19" s="69"/>
      <c r="BE19" s="69"/>
      <c r="BF19" s="74"/>
      <c r="BG19" s="69"/>
      <c r="BH19" s="69"/>
      <c r="BI19" s="69"/>
      <c r="BJ19" s="69"/>
      <c r="BK19" s="74"/>
    </row>
    <row r="20" spans="1:63" s="641" customFormat="1" ht="12.75" customHeight="1" outlineLevel="1">
      <c r="A20" s="642" t="s">
        <v>127</v>
      </c>
      <c r="B20" s="637" t="s">
        <v>35</v>
      </c>
      <c r="C20" s="638"/>
      <c r="D20" s="639"/>
      <c r="E20" s="639"/>
      <c r="F20" s="639"/>
      <c r="G20" s="639"/>
      <c r="H20" s="640"/>
      <c r="I20" s="639" t="str" cm="1">
        <f t="array" ref="I20">_xlfn.SINGLE(IF(ISERROR(_xll.FDSB($C$2,"FE_ESTIMATE(GROSSINCOME,MEAN,QUARTERLY_ROLL,"&amp;I$9&amp;","&amp;$C$5&amp;",,,'')")), "--", _xll.FDSB($C$2,"FE_ESTIMATE(GROSSINCOME,MEAN,QUARTERLY_ROLL,"&amp;I$9&amp;","&amp;$C$5&amp;",,,'')")))</f>
        <v>--</v>
      </c>
      <c r="J20" s="639" t="str" cm="1">
        <f t="array" ref="J20">_xlfn.SINGLE(IF(ISERROR(_xll.FDSB($C$2,"FE_ESTIMATE(GROSSINCOME,MEAN,QUARTERLY_ROLL,"&amp;J$9&amp;","&amp;$C$5&amp;",,,'')")), "--", _xll.FDSB($C$2,"FE_ESTIMATE(GROSSINCOME,MEAN,QUARTERLY_ROLL,"&amp;J$9&amp;","&amp;$C$5&amp;",,,'')")))</f>
        <v>--</v>
      </c>
      <c r="K20" s="639" t="str" cm="1">
        <f t="array" ref="K20">_xlfn.SINGLE(IF(ISERROR(_xll.FDSB($C$2,"FE_ESTIMATE(GROSSINCOME,MEAN,QUARTERLY_ROLL,"&amp;K$9&amp;","&amp;$C$5&amp;",,,'')")), "--", _xll.FDSB($C$2,"FE_ESTIMATE(GROSSINCOME,MEAN,QUARTERLY_ROLL,"&amp;K$9&amp;","&amp;$C$5&amp;",,,'')")))</f>
        <v>--</v>
      </c>
      <c r="L20" s="639" t="str" cm="1">
        <f t="array" ref="L20">_xlfn.SINGLE(IF(ISERROR(_xll.FDSB($C$2,"FE_ESTIMATE(GROSSINCOME,MEAN,QUARTERLY_ROLL,"&amp;L$9&amp;","&amp;$C$5&amp;",,,'')")), "--", _xll.FDSB($C$2,"FE_ESTIMATE(GROSSINCOME,MEAN,QUARTERLY_ROLL,"&amp;L$9&amp;","&amp;$C$5&amp;",,,'')")))</f>
        <v>--</v>
      </c>
      <c r="M20" s="640" t="str" cm="1">
        <f t="array" ref="M20">_xlfn.SINGLE(IF(ISERROR(_xll.FDSB($C$2,"FE_ESTIMATE(GROSSINCOME,MEAN,ANNUAL_ROLL,"&amp;M$9&amp;","&amp;$C$5&amp;",,,'')")), "--", _xll.FDSB($C$2,"FE_ESTIMATE(GROSSINCOME,MEAN,ANNUAL_ROLL,"&amp;M$9&amp;","&amp;$C$5&amp;",,,'')")))</f>
        <v>--</v>
      </c>
      <c r="N20" s="639" t="str" cm="1">
        <f t="array" ref="N20">_xlfn.SINGLE(IF(ISERROR(_xll.FDSB($C$2,"FE_ESTIMATE(GROSSINCOME,MEAN,QUARTERLY_ROLL,"&amp;N$9&amp;","&amp;$C$5&amp;",,,'')")), "--", _xll.FDSB($C$2,"FE_ESTIMATE(GROSSINCOME,MEAN,QUARTERLY_ROLL,"&amp;N$9&amp;","&amp;$C$5&amp;",,,'')")))</f>
        <v>--</v>
      </c>
      <c r="O20" s="639" t="str" cm="1">
        <f t="array" ref="O20">_xlfn.SINGLE(IF(ISERROR(_xll.FDSB($C$2,"FE_ESTIMATE(GROSSINCOME,MEAN,QUARTERLY_ROLL,"&amp;O$9&amp;","&amp;$C$5&amp;",,,'')")), "--", _xll.FDSB($C$2,"FE_ESTIMATE(GROSSINCOME,MEAN,QUARTERLY_ROLL,"&amp;O$9&amp;","&amp;$C$5&amp;",,,'')")))</f>
        <v>--</v>
      </c>
      <c r="P20" s="639" t="str" cm="1">
        <f t="array" ref="P20">_xlfn.SINGLE(IF(ISERROR(_xll.FDSB($C$2,"FE_ESTIMATE(GROSSINCOME,MEAN,QUARTERLY_ROLL,"&amp;P$9&amp;","&amp;$C$5&amp;",,,'')")), "--", _xll.FDSB($C$2,"FE_ESTIMATE(GROSSINCOME,MEAN,QUARTERLY_ROLL,"&amp;P$9&amp;","&amp;$C$5&amp;",,,'')")))</f>
        <v>--</v>
      </c>
      <c r="Q20" s="639" t="str" cm="1">
        <f t="array" ref="Q20">_xlfn.SINGLE(IF(ISERROR(_xll.FDSB($C$2,"FE_ESTIMATE(GROSSINCOME,MEAN,QUARTERLY_ROLL,"&amp;Q$9&amp;","&amp;$C$5&amp;",,,'')")), "--", _xll.FDSB($C$2,"FE_ESTIMATE(GROSSINCOME,MEAN,QUARTERLY_ROLL,"&amp;Q$9&amp;","&amp;$C$5&amp;",,,'')")))</f>
        <v>--</v>
      </c>
      <c r="R20" s="640" t="str" cm="1">
        <f t="array" ref="R20">_xlfn.SINGLE(IF(ISERROR(_xll.FDSB($C$2,"FE_ESTIMATE(GROSSINCOME,MEAN,ANNUAL_ROLL,"&amp;R$9&amp;","&amp;$C$5&amp;",,,'')")), "--", _xll.FDSB($C$2,"FE_ESTIMATE(GROSSINCOME,MEAN,ANNUAL_ROLL,"&amp;R$9&amp;","&amp;$C$5&amp;",,,'')")))</f>
        <v>--</v>
      </c>
      <c r="S20" s="639" t="str" cm="1">
        <f t="array" ref="S20">_xlfn.SINGLE(IF(ISERROR(_xll.FDSB($C$2,"FE_ESTIMATE(GROSSINCOME,MEAN,QUARTERLY_ROLL,"&amp;S$9&amp;","&amp;$C$5&amp;",,,'')")), "--", _xll.FDSB($C$2,"FE_ESTIMATE(GROSSINCOME,MEAN,QUARTERLY_ROLL,"&amp;S$9&amp;","&amp;$C$5&amp;",,,'')")))</f>
        <v>--</v>
      </c>
      <c r="T20" s="639" t="str" cm="1">
        <f t="array" ref="T20">_xlfn.SINGLE(IF(ISERROR(_xll.FDSB($C$2,"FE_ESTIMATE(GROSSINCOME,MEAN,QUARTERLY_ROLL,"&amp;T$9&amp;","&amp;$C$5&amp;",,,'')")), "--", _xll.FDSB($C$2,"FE_ESTIMATE(GROSSINCOME,MEAN,QUARTERLY_ROLL,"&amp;T$9&amp;","&amp;$C$5&amp;",,,'')")))</f>
        <v>--</v>
      </c>
      <c r="U20" s="639" t="str" cm="1">
        <f t="array" ref="U20">_xlfn.SINGLE(IF(ISERROR(_xll.FDSB($C$2,"FE_ESTIMATE(GROSSINCOME,MEAN,QUARTERLY_ROLL,"&amp;U$9&amp;","&amp;$C$5&amp;",,,'')")), "--", _xll.FDSB($C$2,"FE_ESTIMATE(GROSSINCOME,MEAN,QUARTERLY_ROLL,"&amp;U$9&amp;","&amp;$C$5&amp;",,,'')")))</f>
        <v>--</v>
      </c>
      <c r="V20" s="639" t="str" cm="1">
        <f t="array" ref="V20">_xlfn.SINGLE(IF(ISERROR(_xll.FDSB($C$2,"FE_ESTIMATE(GROSSINCOME,MEAN,QUARTERLY_ROLL,"&amp;V$9&amp;","&amp;$C$5&amp;",,,'')")), "--", _xll.FDSB($C$2,"FE_ESTIMATE(GROSSINCOME,MEAN,QUARTERLY_ROLL,"&amp;V$9&amp;","&amp;$C$5&amp;",,,'')")))</f>
        <v>--</v>
      </c>
      <c r="W20" s="640" t="str" cm="1">
        <f t="array" ref="W20">_xlfn.SINGLE(IF(ISERROR(_xll.FDSB($C$2,"FE_ESTIMATE(GROSSINCOME,MEAN,ANNUAL_ROLL,"&amp;W$9&amp;","&amp;$C$5&amp;",,,'')")), "--", _xll.FDSB($C$2,"FE_ESTIMATE(GROSSINCOME,MEAN,ANNUAL_ROLL,"&amp;W$9&amp;","&amp;$C$5&amp;",,,'')")))</f>
        <v>--</v>
      </c>
      <c r="X20" s="639" t="str" cm="1">
        <f t="array" ref="X20">_xlfn.SINGLE(IF(ISERROR(_xll.FDSB($C$2,"FE_ESTIMATE(GROSSINCOME,MEAN,QUARTERLY_ROLL,"&amp;X$9&amp;","&amp;$C$5&amp;",,,'')")), "--", _xll.FDSB($C$2,"FE_ESTIMATE(GROSSINCOME,MEAN,QUARTERLY_ROLL,"&amp;X$9&amp;","&amp;$C$5&amp;",,,'')")))</f>
        <v/>
      </c>
      <c r="Y20" s="639" t="str" cm="1">
        <f t="array" ref="Y20">_xlfn.SINGLE(IF(ISERROR(_xll.FDSB($C$2,"FE_ESTIMATE(GROSSINCOME,MEAN,QUARTERLY_ROLL,"&amp;Y$9&amp;","&amp;$C$5&amp;",,,'')")), "--", _xll.FDSB($C$2,"FE_ESTIMATE(GROSSINCOME,MEAN,QUARTERLY_ROLL,"&amp;Y$9&amp;","&amp;$C$5&amp;",,,'')")))</f>
        <v/>
      </c>
      <c r="Z20" s="639" t="str" cm="1">
        <f t="array" ref="Z20">_xlfn.SINGLE(IF(ISERROR(_xll.FDSB($C$2,"FE_ESTIMATE(GROSSINCOME,MEAN,QUARTERLY_ROLL,"&amp;Z$9&amp;","&amp;$C$5&amp;",,,'')")), "--", _xll.FDSB($C$2,"FE_ESTIMATE(GROSSINCOME,MEAN,QUARTERLY_ROLL,"&amp;Z$9&amp;","&amp;$C$5&amp;",,,'')")))</f>
        <v/>
      </c>
      <c r="AA20" s="639" t="str" cm="1">
        <f t="array" ref="AA20">_xlfn.SINGLE(IF(ISERROR(_xll.FDSB($C$2,"FE_ESTIMATE(GROSSINCOME,MEAN,QUARTERLY_ROLL,"&amp;AA$9&amp;","&amp;$C$5&amp;",,,'')")), "--", _xll.FDSB($C$2,"FE_ESTIMATE(GROSSINCOME,MEAN,QUARTERLY_ROLL,"&amp;AA$9&amp;","&amp;$C$5&amp;",,,'')")))</f>
        <v/>
      </c>
      <c r="AB20" s="640" t="str" cm="1">
        <f t="array" ref="AB20">_xlfn.SINGLE(IF(ISERROR(_xll.FDSB($C$2,"FE_ESTIMATE(GROSSINCOME,MEAN,ANNUAL_ROLL,"&amp;AB$9&amp;","&amp;$C$5&amp;",,,'')")), "--", _xll.FDSB($C$2,"FE_ESTIMATE(GROSSINCOME,MEAN,ANNUAL_ROLL,"&amp;AB$9&amp;","&amp;$C$5&amp;",,,'')")))</f>
        <v/>
      </c>
      <c r="AC20" s="639" t="str" cm="1">
        <f t="array" ref="AC20">_xlfn.SINGLE(IF(ISERROR(_xll.FDSB($C$2,"FE_ESTIMATE(GROSSINCOME,MEAN,QUARTERLY_ROLL,"&amp;AC$9&amp;","&amp;$C$5&amp;",,,'')")), "--", _xll.FDSB($C$2,"FE_ESTIMATE(GROSSINCOME,MEAN,QUARTERLY_ROLL,"&amp;AC$9&amp;","&amp;$C$5&amp;",,,'')")))</f>
        <v/>
      </c>
      <c r="AD20" s="639" t="str" cm="1">
        <f t="array" ref="AD20">_xlfn.SINGLE(IF(ISERROR(_xll.FDSB($C$2,"FE_ESTIMATE(GROSSINCOME,MEAN,QUARTERLY_ROLL,"&amp;AD$9&amp;","&amp;$C$5&amp;",,,'')")), "--", _xll.FDSB($C$2,"FE_ESTIMATE(GROSSINCOME,MEAN,QUARTERLY_ROLL,"&amp;AD$9&amp;","&amp;$C$5&amp;",,,'')")))</f>
        <v/>
      </c>
      <c r="AE20" s="639" t="str" cm="1">
        <f t="array" ref="AE20">_xlfn.SINGLE(IF(ISERROR(_xll.FDSB($C$2,"FE_ESTIMATE(GROSSINCOME,MEAN,QUARTERLY_ROLL,"&amp;AE$9&amp;","&amp;$C$5&amp;",,,'')")), "--", _xll.FDSB($C$2,"FE_ESTIMATE(GROSSINCOME,MEAN,QUARTERLY_ROLL,"&amp;AE$9&amp;","&amp;$C$5&amp;",,,'')")))</f>
        <v/>
      </c>
      <c r="AF20" s="639" t="str" cm="1">
        <f t="array" ref="AF20">_xlfn.SINGLE(IF(ISERROR(_xll.FDSB($C$2,"FE_ESTIMATE(GROSSINCOME,MEAN,QUARTERLY_ROLL,"&amp;AF$9&amp;","&amp;$C$5&amp;",,,'')")), "--", _xll.FDSB($C$2,"FE_ESTIMATE(GROSSINCOME,MEAN,QUARTERLY_ROLL,"&amp;AF$9&amp;","&amp;$C$5&amp;",,,'')")))</f>
        <v/>
      </c>
      <c r="AG20" s="640" t="str" cm="1">
        <f t="array" ref="AG20">_xlfn.SINGLE(IF(ISERROR(_xll.FDSB($C$2,"FE_ESTIMATE(GROSSINCOME,MEAN,ANNUAL_ROLL,"&amp;AG$9&amp;","&amp;$C$5&amp;",,,'')")), "--", _xll.FDSB($C$2,"FE_ESTIMATE(GROSSINCOME,MEAN,ANNUAL_ROLL,"&amp;AG$9&amp;","&amp;$C$5&amp;",,,'')")))</f>
        <v/>
      </c>
      <c r="AH20" s="639" t="str" cm="1">
        <f t="array" ref="AH20">_xlfn.SINGLE(IF(ISERROR(_xll.FDSB($C$2,"FE_ESTIMATE(GROSSINCOME,MEAN,QUARTERLY_ROLL,"&amp;AH$9&amp;","&amp;$C$5&amp;",,,'')")), "--", _xll.FDSB($C$2,"FE_ESTIMATE(GROSSINCOME,MEAN,QUARTERLY_ROLL,"&amp;AH$9&amp;","&amp;$C$5&amp;",,,'')")))</f>
        <v/>
      </c>
      <c r="AI20" s="639" t="str" cm="1">
        <f t="array" ref="AI20">_xlfn.SINGLE(IF(ISERROR(_xll.FDSB($C$2,"FE_ESTIMATE(GROSSINCOME,MEAN,QUARTERLY_ROLL,"&amp;AI$9&amp;","&amp;$C$5&amp;",,,'')")), "--", _xll.FDSB($C$2,"FE_ESTIMATE(GROSSINCOME,MEAN,QUARTERLY_ROLL,"&amp;AI$9&amp;","&amp;$C$5&amp;",,,'')")))</f>
        <v/>
      </c>
      <c r="AJ20" s="639" t="str" cm="1">
        <f t="array" ref="AJ20">_xlfn.SINGLE(IF(ISERROR(_xll.FDSB($C$2,"FE_ESTIMATE(GROSSINCOME,MEAN,QUARTERLY_ROLL,"&amp;AJ$9&amp;","&amp;$C$5&amp;",,,'')")), "--", _xll.FDSB($C$2,"FE_ESTIMATE(GROSSINCOME,MEAN,QUARTERLY_ROLL,"&amp;AJ$9&amp;","&amp;$C$5&amp;",,,'')")))</f>
        <v/>
      </c>
      <c r="AK20" s="639" cm="1">
        <f t="array" ref="AK20">_xlfn.SINGLE(IF(ISERROR(_xll.FDSB($C$2,"FE_ESTIMATE(GROSSINCOME,MEAN,QUARTERLY_ROLL,"&amp;AK$9&amp;","&amp;$C$5&amp;",,,'')")), "--", _xll.FDSB($C$2,"FE_ESTIMATE(GROSSINCOME,MEAN,QUARTERLY_ROLL,"&amp;AK$9&amp;","&amp;$C$5&amp;",,,'')")))</f>
        <v>565.62030000000004</v>
      </c>
      <c r="AL20" s="640" cm="1">
        <f t="array" ref="AL20">_xlfn.SINGLE(IF(ISERROR(_xll.FDSB($C$2,"FE_ESTIMATE(GROSSINCOME,MEAN,ANNUAL_ROLL,"&amp;AL$9&amp;","&amp;$C$5&amp;",,,'')")), "--", _xll.FDSB($C$2,"FE_ESTIMATE(GROSSINCOME,MEAN,ANNUAL_ROLL,"&amp;AL$9&amp;","&amp;$C$5&amp;",,,'')")))</f>
        <v>1422.8593000000001</v>
      </c>
      <c r="AM20" s="639" cm="1">
        <f t="array" ref="AM20">_xlfn.SINGLE(IF(ISERROR(_xll.FDSB($C$2,"FE_ESTIMATE(GROSSINCOME,MEAN,QUARTERLY_ROLL,"&amp;AM$9&amp;","&amp;$C$5&amp;",,,'')")), "--", _xll.FDSB($C$2,"FE_ESTIMATE(GROSSINCOME,MEAN,QUARTERLY_ROLL,"&amp;AM$9&amp;","&amp;$C$5&amp;",,,'')")))</f>
        <v>726.70690000000002</v>
      </c>
      <c r="AN20" s="639" cm="1">
        <f t="array" ref="AN20">_xlfn.SINGLE(IF(ISERROR(_xll.FDSB($C$2,"FE_ESTIMATE(GROSSINCOME,MEAN,QUARTERLY_ROLL,"&amp;AN$9&amp;","&amp;$C$5&amp;",,,'')")), "--", _xll.FDSB($C$2,"FE_ESTIMATE(GROSSINCOME,MEAN,QUARTERLY_ROLL,"&amp;AN$9&amp;","&amp;$C$5&amp;",,,'')")))</f>
        <v>903.65710000000001</v>
      </c>
      <c r="AO20" s="639" cm="1">
        <f t="array" ref="AO20">_xlfn.SINGLE(IF(ISERROR(_xll.FDSB($C$2,"FE_ESTIMATE(GROSSINCOME,MEAN,QUARTERLY_ROLL,"&amp;AO$9&amp;","&amp;$C$5&amp;",,,'')")), "--", _xll.FDSB($C$2,"FE_ESTIMATE(GROSSINCOME,MEAN,QUARTERLY_ROLL,"&amp;AO$9&amp;","&amp;$C$5&amp;",,,'')")))</f>
        <v>949.08680000000004</v>
      </c>
      <c r="AP20" s="639" cm="1">
        <f t="array" ref="AP20">_xlfn.SINGLE(IF(ISERROR(_xll.FDSB($C$2,"FE_ESTIMATE(GROSSINCOME,MEAN,QUARTERLY_ROLL,"&amp;AP$9&amp;","&amp;$C$5&amp;",,,'')")), "--", _xll.FDSB($C$2,"FE_ESTIMATE(GROSSINCOME,MEAN,QUARTERLY_ROLL,"&amp;AP$9&amp;","&amp;$C$5&amp;",,,'')")))</f>
        <v>1322.4025999999999</v>
      </c>
      <c r="AQ20" s="640" cm="1">
        <f t="array" ref="AQ20">_xlfn.SINGLE(IF(ISERROR(_xll.FDSB($C$2,"FE_ESTIMATE(GROSSINCOME,MEAN,ANNUAL_ROLL,"&amp;AQ$9&amp;","&amp;$C$5&amp;",,,'')")), "--", _xll.FDSB($C$2,"FE_ESTIMATE(GROSSINCOME,MEAN,ANNUAL_ROLL,"&amp;AQ$9&amp;","&amp;$C$5&amp;",,,'')")))</f>
        <v>3892.1057000000001</v>
      </c>
      <c r="AR20" s="639" cm="1">
        <f t="array" ref="AR20">_xlfn.SINGLE(IF(ISERROR(_xll.FDSB($C$2,"FE_ESTIMATE(GROSSINCOME,MEAN,QUARTERLY_ROLL,"&amp;AR$9&amp;","&amp;$C$5&amp;",,,'')")), "--", _xll.FDSB($C$2,"FE_ESTIMATE(GROSSINCOME,MEAN,QUARTERLY_ROLL,"&amp;AR$9&amp;","&amp;$C$5&amp;",,,'')")))</f>
        <v>1799.1306</v>
      </c>
      <c r="AS20" s="639" cm="1">
        <f t="array" ref="AS20">_xlfn.SINGLE(IF(ISERROR(_xll.FDSB($C$2,"FE_ESTIMATE(GROSSINCOME,MEAN,QUARTERLY_ROLL,"&amp;AS$9&amp;","&amp;$C$5&amp;",,,'')")), "--", _xll.FDSB($C$2,"FE_ESTIMATE(GROSSINCOME,MEAN,QUARTERLY_ROLL,"&amp;AS$9&amp;","&amp;$C$5&amp;",,,'')")))</f>
        <v>2130.8917999999999</v>
      </c>
      <c r="AT20" s="639" cm="1">
        <f t="array" ref="AT20">_xlfn.SINGLE(IF(ISERROR(_xll.FDSB($C$2,"FE_ESTIMATE(GROSSINCOME,MEAN,QUARTERLY_ROLL,"&amp;AT$9&amp;","&amp;$C$5&amp;",,,'')")), "--", _xll.FDSB($C$2,"FE_ESTIMATE(GROSSINCOME,MEAN,QUARTERLY_ROLL,"&amp;AT$9&amp;","&amp;$C$5&amp;",,,'')")))</f>
        <v>2357.6965</v>
      </c>
      <c r="AU20" s="639" cm="1">
        <f t="array" ref="AU20">_xlfn.SINGLE(IF(ISERROR(_xll.FDSB($C$2,"FE_ESTIMATE(GROSSINCOME,MEAN,QUARTERLY_ROLL,"&amp;AU$9&amp;","&amp;$C$5&amp;",,,'')")), "--", _xll.FDSB($C$2,"FE_ESTIMATE(GROSSINCOME,MEAN,QUARTERLY_ROLL,"&amp;AU$9&amp;","&amp;$C$5&amp;",,,'')")))</f>
        <v>2651.8119999999999</v>
      </c>
      <c r="AV20" s="640" cm="1">
        <f t="array" ref="AV20">_xlfn.SINGLE(IF(ISERROR(_xll.FDSB($C$2,"FE_ESTIMATE(GROSSINCOME,MEAN,ANNUAL_ROLL,"&amp;AV$9&amp;","&amp;$C$5&amp;",,,'')")), "--", _xll.FDSB($C$2,"FE_ESTIMATE(GROSSINCOME,MEAN,ANNUAL_ROLL,"&amp;AV$9&amp;","&amp;$C$5&amp;",,,'')")))</f>
        <v>8983.8719999999994</v>
      </c>
      <c r="AW20" s="639" cm="1">
        <f t="array" ref="AW20">_xlfn.SINGLE(IF(ISERROR(_xll.FDSB($C$2,"FE_ESTIMATE(GROSSINCOME,MEAN,QUARTERLY_ROLL,"&amp;AW$9&amp;","&amp;$C$5&amp;",,,'')")), "--", _xll.FDSB($C$2,"FE_ESTIMATE(GROSSINCOME,MEAN,QUARTERLY_ROLL,"&amp;AW$9&amp;","&amp;$C$5&amp;",,,'')")))</f>
        <v>2911.9535999999998</v>
      </c>
      <c r="AX20" s="639" cm="1">
        <f t="array" ref="AX20">_xlfn.SINGLE(IF(ISERROR(_xll.FDSB($C$2,"FE_ESTIMATE(GROSSINCOME,MEAN,QUARTERLY_ROLL,"&amp;AX$9&amp;","&amp;$C$5&amp;",,,'')")), "--", _xll.FDSB($C$2,"FE_ESTIMATE(GROSSINCOME,MEAN,QUARTERLY_ROLL,"&amp;AX$9&amp;","&amp;$C$5&amp;",,,'')")))</f>
        <v>3106.5880000000002</v>
      </c>
      <c r="AY20" s="639" cm="1">
        <f t="array" ref="AY20">_xlfn.SINGLE(IF(ISERROR(_xll.FDSB($C$2,"FE_ESTIMATE(GROSSINCOME,MEAN,QUARTERLY_ROLL,"&amp;AY$9&amp;","&amp;$C$5&amp;",,,'')")), "--", _xll.FDSB($C$2,"FE_ESTIMATE(GROSSINCOME,MEAN,QUARTERLY_ROLL,"&amp;AY$9&amp;","&amp;$C$5&amp;",,,'')")))</f>
        <v>3349.2080000000001</v>
      </c>
      <c r="AZ20" s="639" cm="1">
        <f t="array" ref="AZ20">_xlfn.SINGLE(IF(ISERROR(_xll.FDSB($C$2,"FE_ESTIMATE(GROSSINCOME,MEAN,QUARTERLY_ROLL,"&amp;AZ$9&amp;","&amp;$C$5&amp;",,,'')")), "--", _xll.FDSB($C$2,"FE_ESTIMATE(GROSSINCOME,MEAN,QUARTERLY_ROLL,"&amp;AZ$9&amp;","&amp;$C$5&amp;",,,'')")))</f>
        <v>3550.03</v>
      </c>
      <c r="BA20" s="640" cm="1">
        <f t="array" ref="BA20">_xlfn.SINGLE(IF(ISERROR(_xll.FDSB($C$2,"FE_ESTIMATE(GROSSINCOME,MEAN,ANNUAL_ROLL,"&amp;BA$9&amp;","&amp;$C$5&amp;",,,'')")), "--", _xll.FDSB($C$2,"FE_ESTIMATE(GROSSINCOME,MEAN,ANNUAL_ROLL,"&amp;BA$9&amp;","&amp;$C$5&amp;",,,'')")))</f>
        <v>14391.44</v>
      </c>
      <c r="BB20" s="639" t="str" cm="1">
        <f t="array" ref="BB20">_xlfn.SINGLE(IF(ISERROR(_xll.FDSB($C$2,"FE_ESTIMATE(GROSSINCOME,MEAN,QUARTERLY_ROLL,"&amp;BB$9&amp;","&amp;$C$5&amp;",,,'')")), "--", _xll.FDSB($C$2,"FE_ESTIMATE(GROSSINCOME,MEAN,QUARTERLY_ROLL,"&amp;BB$9&amp;","&amp;$C$5&amp;",,,'')")))</f>
        <v/>
      </c>
      <c r="BC20" s="639" t="str" cm="1">
        <f t="array" ref="BC20">_xlfn.SINGLE(IF(ISERROR(_xll.FDSB($C$2,"FE_ESTIMATE(GROSSINCOME,MEAN,QUARTERLY_ROLL,"&amp;BC$9&amp;","&amp;$C$5&amp;",,,'')")), "--", _xll.FDSB($C$2,"FE_ESTIMATE(GROSSINCOME,MEAN,QUARTERLY_ROLL,"&amp;BC$9&amp;","&amp;$C$5&amp;",,,'')")))</f>
        <v/>
      </c>
      <c r="BD20" s="639" t="str" cm="1">
        <f t="array" ref="BD20">_xlfn.SINGLE(IF(ISERROR(_xll.FDSB($C$2,"FE_ESTIMATE(GROSSINCOME,MEAN,QUARTERLY_ROLL,"&amp;BD$9&amp;","&amp;$C$5&amp;",,,'')")), "--", _xll.FDSB($C$2,"FE_ESTIMATE(GROSSINCOME,MEAN,QUARTERLY_ROLL,"&amp;BD$9&amp;","&amp;$C$5&amp;",,,'')")))</f>
        <v/>
      </c>
      <c r="BE20" s="639" t="str" cm="1">
        <f t="array" ref="BE20">_xlfn.SINGLE(IF(ISERROR(_xll.FDSB($C$2,"FE_ESTIMATE(GROSSINCOME,MEAN,QUARTERLY_ROLL,"&amp;BE$9&amp;","&amp;$C$5&amp;",,,'')")), "--", _xll.FDSB($C$2,"FE_ESTIMATE(GROSSINCOME,MEAN,QUARTERLY_ROLL,"&amp;BE$9&amp;","&amp;$C$5&amp;",,,'')")))</f>
        <v/>
      </c>
      <c r="BF20" s="640" cm="1">
        <f t="array" ref="BF20">_xlfn.SINGLE(IF(ISERROR(_xll.FDSB($C$2,"FE_ESTIMATE(GROSSINCOME,MEAN,ANNUAL_ROLL,"&amp;BF$9&amp;","&amp;$C$5&amp;",,,'')")), "--", _xll.FDSB($C$2,"FE_ESTIMATE(GROSSINCOME,MEAN,ANNUAL_ROLL,"&amp;BF$9&amp;","&amp;$C$5&amp;",,,'')")))</f>
        <v>18971</v>
      </c>
      <c r="BG20" s="639" t="str" cm="1">
        <f t="array" ref="BG20">_xlfn.SINGLE(IF(ISERROR(_xll.FDSB($C$2,"FE_ESTIMATE(GROSSINCOME,MEAN,QUARTERLY_ROLL,"&amp;BG$9&amp;","&amp;$C$5&amp;",,,'')")), "--", _xll.FDSB($C$2,"FE_ESTIMATE(GROSSINCOME,MEAN,QUARTERLY_ROLL,"&amp;BG$9&amp;","&amp;$C$5&amp;",,,'')")))</f>
        <v/>
      </c>
      <c r="BH20" s="639" t="str" cm="1">
        <f t="array" ref="BH20">_xlfn.SINGLE(IF(ISERROR(_xll.FDSB($C$2,"FE_ESTIMATE(GROSSINCOME,MEAN,QUARTERLY_ROLL,"&amp;BH$9&amp;","&amp;$C$5&amp;",,,'')")), "--", _xll.FDSB($C$2,"FE_ESTIMATE(GROSSINCOME,MEAN,QUARTERLY_ROLL,"&amp;BH$9&amp;","&amp;$C$5&amp;",,,'')")))</f>
        <v/>
      </c>
      <c r="BI20" s="639" t="str" cm="1">
        <f t="array" ref="BI20">_xlfn.SINGLE(IF(ISERROR(_xll.FDSB($C$2,"FE_ESTIMATE(GROSSINCOME,MEAN,QUARTERLY_ROLL,"&amp;BI$9&amp;","&amp;$C$5&amp;",,,'')")), "--", _xll.FDSB($C$2,"FE_ESTIMATE(GROSSINCOME,MEAN,QUARTERLY_ROLL,"&amp;BI$9&amp;","&amp;$C$5&amp;",,,'')")))</f>
        <v/>
      </c>
      <c r="BJ20" s="639" t="str" cm="1">
        <f t="array" ref="BJ20">_xlfn.SINGLE(IF(ISERROR(_xll.FDSB($C$2,"FE_ESTIMATE(GROSSINCOME,MEAN,QUARTERLY_ROLL,"&amp;BJ$9&amp;","&amp;$C$5&amp;",,,'')")), "--", _xll.FDSB($C$2,"FE_ESTIMATE(GROSSINCOME,MEAN,QUARTERLY_ROLL,"&amp;BJ$9&amp;","&amp;$C$5&amp;",,,'')")))</f>
        <v/>
      </c>
      <c r="BK20" s="640" t="str" cm="1">
        <f t="array" ref="BK20">_xlfn.SINGLE(IF(ISERROR(_xll.FDSB($C$2,"FE_ESTIMATE(GROSSINCOME,MEAN,ANNUAL_ROLL,"&amp;BK$9&amp;","&amp;$C$5&amp;",,,'')")), "--", _xll.FDSB($C$2,"FE_ESTIMATE(GROSSINCOME,MEAN,ANNUAL_ROLL,"&amp;BK$9&amp;","&amp;$C$5&amp;",,,'')")))</f>
        <v/>
      </c>
    </row>
    <row r="21" spans="1:63" s="71" customFormat="1" ht="12.75" customHeight="1" outlineLevel="1">
      <c r="A21" s="67" t="s">
        <v>128</v>
      </c>
      <c r="B21" s="68" t="s">
        <v>31</v>
      </c>
      <c r="C21" s="68"/>
      <c r="D21" s="69"/>
      <c r="E21" s="69"/>
      <c r="F21" s="69"/>
      <c r="G21" s="69"/>
      <c r="H21" s="70"/>
      <c r="I21" s="69" t="str">
        <f t="shared" ref="I21:AN21" si="5">IFERROR(I20/D20-1,"")</f>
        <v/>
      </c>
      <c r="J21" s="69" t="str">
        <f t="shared" si="5"/>
        <v/>
      </c>
      <c r="K21" s="69" t="str">
        <f t="shared" si="5"/>
        <v/>
      </c>
      <c r="L21" s="69" t="str">
        <f t="shared" si="5"/>
        <v/>
      </c>
      <c r="M21" s="70" t="str">
        <f t="shared" si="5"/>
        <v/>
      </c>
      <c r="N21" s="69" t="str">
        <f t="shared" si="5"/>
        <v/>
      </c>
      <c r="O21" s="69" t="str">
        <f t="shared" si="5"/>
        <v/>
      </c>
      <c r="P21" s="69" t="str">
        <f t="shared" si="5"/>
        <v/>
      </c>
      <c r="Q21" s="69" t="str">
        <f t="shared" si="5"/>
        <v/>
      </c>
      <c r="R21" s="70" t="str">
        <f t="shared" si="5"/>
        <v/>
      </c>
      <c r="S21" s="69" t="str">
        <f t="shared" si="5"/>
        <v/>
      </c>
      <c r="T21" s="69" t="str">
        <f t="shared" si="5"/>
        <v/>
      </c>
      <c r="U21" s="69" t="str">
        <f t="shared" si="5"/>
        <v/>
      </c>
      <c r="V21" s="69" t="str">
        <f t="shared" si="5"/>
        <v/>
      </c>
      <c r="W21" s="70" t="str">
        <f t="shared" si="5"/>
        <v/>
      </c>
      <c r="X21" s="69" t="str">
        <f t="shared" si="5"/>
        <v/>
      </c>
      <c r="Y21" s="69" t="str">
        <f t="shared" si="5"/>
        <v/>
      </c>
      <c r="Z21" s="69" t="str">
        <f t="shared" si="5"/>
        <v/>
      </c>
      <c r="AA21" s="69" t="str">
        <f t="shared" si="5"/>
        <v/>
      </c>
      <c r="AB21" s="70" t="str">
        <f t="shared" si="5"/>
        <v/>
      </c>
      <c r="AC21" s="69" t="str">
        <f t="shared" si="5"/>
        <v/>
      </c>
      <c r="AD21" s="69" t="str">
        <f t="shared" si="5"/>
        <v/>
      </c>
      <c r="AE21" s="69" t="str">
        <f t="shared" si="5"/>
        <v/>
      </c>
      <c r="AF21" s="69" t="str">
        <f t="shared" si="5"/>
        <v/>
      </c>
      <c r="AG21" s="70" t="str">
        <f t="shared" si="5"/>
        <v/>
      </c>
      <c r="AH21" s="69" t="str">
        <f t="shared" si="5"/>
        <v/>
      </c>
      <c r="AI21" s="69" t="str">
        <f t="shared" si="5"/>
        <v/>
      </c>
      <c r="AJ21" s="69" t="str">
        <f t="shared" si="5"/>
        <v/>
      </c>
      <c r="AK21" s="69" t="str">
        <f t="shared" si="5"/>
        <v/>
      </c>
      <c r="AL21" s="70" t="str">
        <f t="shared" si="5"/>
        <v/>
      </c>
      <c r="AM21" s="69" t="str">
        <f t="shared" si="5"/>
        <v/>
      </c>
      <c r="AN21" s="69" t="str">
        <f t="shared" si="5"/>
        <v/>
      </c>
      <c r="AO21" s="69" t="str">
        <f t="shared" ref="AO21:BK21" si="6">IFERROR(AO20/AJ20-1,"")</f>
        <v/>
      </c>
      <c r="AP21" s="69">
        <f t="shared" si="6"/>
        <v>1.3379687751659546</v>
      </c>
      <c r="AQ21" s="70">
        <f t="shared" si="6"/>
        <v>1.7354115055508297</v>
      </c>
      <c r="AR21" s="69">
        <f t="shared" si="6"/>
        <v>1.4757307244502562</v>
      </c>
      <c r="AS21" s="69">
        <f t="shared" si="6"/>
        <v>1.3580756461715398</v>
      </c>
      <c r="AT21" s="69">
        <f t="shared" si="6"/>
        <v>1.4841737341621442</v>
      </c>
      <c r="AU21" s="69">
        <f t="shared" si="6"/>
        <v>1.0052985376768016</v>
      </c>
      <c r="AV21" s="70">
        <f t="shared" si="6"/>
        <v>1.3082291932616319</v>
      </c>
      <c r="AW21" s="69">
        <f t="shared" si="6"/>
        <v>0.61853375180212034</v>
      </c>
      <c r="AX21" s="69">
        <f t="shared" si="6"/>
        <v>0.45788162496096718</v>
      </c>
      <c r="AY21" s="69">
        <f t="shared" si="6"/>
        <v>0.42054246591959576</v>
      </c>
      <c r="AZ21" s="69">
        <f t="shared" si="6"/>
        <v>0.33871858186025272</v>
      </c>
      <c r="BA21" s="70">
        <f t="shared" si="6"/>
        <v>0.60191952868429133</v>
      </c>
      <c r="BB21" s="69" t="str">
        <f t="shared" si="6"/>
        <v/>
      </c>
      <c r="BC21" s="69" t="str">
        <f t="shared" si="6"/>
        <v/>
      </c>
      <c r="BD21" s="69" t="str">
        <f t="shared" si="6"/>
        <v/>
      </c>
      <c r="BE21" s="69" t="str">
        <f t="shared" si="6"/>
        <v/>
      </c>
      <c r="BF21" s="70">
        <f t="shared" si="6"/>
        <v>0.31821416063993602</v>
      </c>
      <c r="BG21" s="69" t="str">
        <f t="shared" si="6"/>
        <v/>
      </c>
      <c r="BH21" s="69" t="str">
        <f t="shared" si="6"/>
        <v/>
      </c>
      <c r="BI21" s="69" t="str">
        <f t="shared" si="6"/>
        <v/>
      </c>
      <c r="BJ21" s="69" t="str">
        <f t="shared" si="6"/>
        <v/>
      </c>
      <c r="BK21" s="70" t="str">
        <f t="shared" si="6"/>
        <v/>
      </c>
    </row>
    <row r="22" spans="1:63" s="71" customFormat="1" ht="12.75" customHeight="1" outlineLevel="1">
      <c r="A22" s="67" t="s">
        <v>129</v>
      </c>
      <c r="B22" s="68" t="s">
        <v>33</v>
      </c>
      <c r="C22" s="68"/>
      <c r="D22" s="69"/>
      <c r="E22" s="69"/>
      <c r="F22" s="69"/>
      <c r="G22" s="69"/>
      <c r="H22" s="72"/>
      <c r="I22" s="69" t="str">
        <f>IFERROR(I20/G20-1,"")</f>
        <v/>
      </c>
      <c r="J22" s="69" t="str">
        <f>IFERROR(J20/I20-1,"")</f>
        <v/>
      </c>
      <c r="K22" s="69" t="str">
        <f>IFERROR(K20/J20-1,"")</f>
        <v/>
      </c>
      <c r="L22" s="69" t="str">
        <f>IFERROR(L20/K20-1,"")</f>
        <v/>
      </c>
      <c r="M22" s="72"/>
      <c r="N22" s="69" t="str">
        <f>IFERROR(N20/L20-1,"")</f>
        <v/>
      </c>
      <c r="O22" s="69" t="str">
        <f>IFERROR(O20/N20-1,"")</f>
        <v/>
      </c>
      <c r="P22" s="69" t="str">
        <f>IFERROR(P20/O20-1,"")</f>
        <v/>
      </c>
      <c r="Q22" s="69" t="str">
        <f>IFERROR(Q20/P20-1,"")</f>
        <v/>
      </c>
      <c r="R22" s="72"/>
      <c r="S22" s="69" t="str">
        <f>IFERROR(S20/Q20-1,"")</f>
        <v/>
      </c>
      <c r="T22" s="69" t="str">
        <f>IFERROR(T20/S20-1,"")</f>
        <v/>
      </c>
      <c r="U22" s="69" t="str">
        <f>IFERROR(U20/T20-1,"")</f>
        <v/>
      </c>
      <c r="V22" s="69" t="str">
        <f>IFERROR(V20/U20-1,"")</f>
        <v/>
      </c>
      <c r="W22" s="72"/>
      <c r="X22" s="69" t="str">
        <f>IFERROR(X20/V20-1,"")</f>
        <v/>
      </c>
      <c r="Y22" s="69" t="str">
        <f>IFERROR(Y20/X20-1,"")</f>
        <v/>
      </c>
      <c r="Z22" s="69" t="str">
        <f>IFERROR(Z20/Y20-1,"")</f>
        <v/>
      </c>
      <c r="AA22" s="69" t="str">
        <f>IFERROR(AA20/Z20-1,"")</f>
        <v/>
      </c>
      <c r="AB22" s="72"/>
      <c r="AC22" s="69" t="str">
        <f>IFERROR(AC20/AA20-1,"")</f>
        <v/>
      </c>
      <c r="AD22" s="69" t="str">
        <f>IFERROR(AD20/AC20-1,"")</f>
        <v/>
      </c>
      <c r="AE22" s="69" t="str">
        <f>IFERROR(AE20/AD20-1,"")</f>
        <v/>
      </c>
      <c r="AF22" s="69" t="str">
        <f>IFERROR(AF20/AE20-1,"")</f>
        <v/>
      </c>
      <c r="AG22" s="72"/>
      <c r="AH22" s="69" t="str">
        <f>IFERROR(AH20/AF20-1,"")</f>
        <v/>
      </c>
      <c r="AI22" s="69" t="str">
        <f>IFERROR(AI20/AH20-1,"")</f>
        <v/>
      </c>
      <c r="AJ22" s="69" t="str">
        <f>IFERROR(AJ20/AI20-1,"")</f>
        <v/>
      </c>
      <c r="AK22" s="69" t="str">
        <f>IFERROR(AK20/AJ20-1,"")</f>
        <v/>
      </c>
      <c r="AL22" s="72"/>
      <c r="AM22" s="69">
        <f>IFERROR(AM20/AK20-1,"")</f>
        <v>0.28479635543490911</v>
      </c>
      <c r="AN22" s="69">
        <f>IFERROR(AN20/AM20-1,"")</f>
        <v>0.243495967906731</v>
      </c>
      <c r="AO22" s="69">
        <f>IFERROR(AO20/AN20-1,"")</f>
        <v>5.0273162242625125E-2</v>
      </c>
      <c r="AP22" s="69">
        <f>IFERROR(AP20/AO20-1,"")</f>
        <v>0.39334210527424873</v>
      </c>
      <c r="AQ22" s="72"/>
      <c r="AR22" s="69">
        <f>IFERROR(AR20/AP20-1,"")</f>
        <v>0.3605014085725482</v>
      </c>
      <c r="AS22" s="69">
        <f>IFERROR(AS20/AR20-1,"")</f>
        <v>0.18440084338513274</v>
      </c>
      <c r="AT22" s="69">
        <f>IFERROR(AT20/AS20-1,"")</f>
        <v>0.10643651639186946</v>
      </c>
      <c r="AU22" s="69">
        <f>IFERROR(AU20/AT20-1,"")</f>
        <v>0.12474697230962506</v>
      </c>
      <c r="AV22" s="72"/>
      <c r="AW22" s="69">
        <f>IFERROR(AW20/AU20-1,"")</f>
        <v>9.8099563619140406E-2</v>
      </c>
      <c r="AX22" s="69">
        <f>IFERROR(AX20/AW20-1,"")</f>
        <v>6.6839801293537171E-2</v>
      </c>
      <c r="AY22" s="69">
        <f>IFERROR(AY20/AX20-1,"")</f>
        <v>7.8098544126224523E-2</v>
      </c>
      <c r="AZ22" s="69">
        <f>IFERROR(AZ20/AY20-1,"")</f>
        <v>5.9961041535790072E-2</v>
      </c>
      <c r="BA22" s="72"/>
      <c r="BB22" s="69" t="str">
        <f>IFERROR(BB20/AZ20-1,"")</f>
        <v/>
      </c>
      <c r="BC22" s="69" t="str">
        <f>IFERROR(BC20/BB20-1,"")</f>
        <v/>
      </c>
      <c r="BD22" s="69" t="str">
        <f>IFERROR(BD20/BC20-1,"")</f>
        <v/>
      </c>
      <c r="BE22" s="69" t="str">
        <f>IFERROR(BE20/BD20-1,"")</f>
        <v/>
      </c>
      <c r="BF22" s="72"/>
      <c r="BG22" s="69" t="str">
        <f>IFERROR(BG20/BE20-1,"")</f>
        <v/>
      </c>
      <c r="BH22" s="69" t="str">
        <f>IFERROR(BH20/BG20-1,"")</f>
        <v/>
      </c>
      <c r="BI22" s="69" t="str">
        <f>IFERROR(BI20/BH20-1,"")</f>
        <v/>
      </c>
      <c r="BJ22" s="69" t="str">
        <f>IFERROR(BJ20/BI20-1,"")</f>
        <v/>
      </c>
      <c r="BK22" s="72"/>
    </row>
    <row r="23" spans="1:63" s="455" customFormat="1" ht="12.75" customHeight="1" outlineLevel="1">
      <c r="A23" s="448" t="s">
        <v>133</v>
      </c>
      <c r="B23" s="451" t="s">
        <v>36</v>
      </c>
      <c r="C23" s="451"/>
      <c r="D23" s="452"/>
      <c r="E23" s="452"/>
      <c r="F23" s="452"/>
      <c r="G23" s="452"/>
      <c r="H23" s="453"/>
      <c r="I23" s="452" t="str">
        <f t="shared" ref="I23:BK23" si="7">IFERROR((I20/I12),"--")</f>
        <v>--</v>
      </c>
      <c r="J23" s="452" t="str">
        <f t="shared" si="7"/>
        <v>--</v>
      </c>
      <c r="K23" s="452" t="str">
        <f t="shared" si="7"/>
        <v>--</v>
      </c>
      <c r="L23" s="452" t="str">
        <f t="shared" si="7"/>
        <v>--</v>
      </c>
      <c r="M23" s="454" t="str">
        <f t="shared" si="7"/>
        <v>--</v>
      </c>
      <c r="N23" s="452" t="str">
        <f t="shared" si="7"/>
        <v>--</v>
      </c>
      <c r="O23" s="452" t="str">
        <f t="shared" si="7"/>
        <v>--</v>
      </c>
      <c r="P23" s="452" t="str">
        <f t="shared" si="7"/>
        <v>--</v>
      </c>
      <c r="Q23" s="452" t="str">
        <f t="shared" si="7"/>
        <v>--</v>
      </c>
      <c r="R23" s="454" t="str">
        <f t="shared" si="7"/>
        <v>--</v>
      </c>
      <c r="S23" s="452" t="str">
        <f t="shared" si="7"/>
        <v>--</v>
      </c>
      <c r="T23" s="452" t="str">
        <f t="shared" si="7"/>
        <v>--</v>
      </c>
      <c r="U23" s="452" t="str">
        <f t="shared" si="7"/>
        <v>--</v>
      </c>
      <c r="V23" s="452" t="str">
        <f t="shared" si="7"/>
        <v>--</v>
      </c>
      <c r="W23" s="454" t="str">
        <f t="shared" si="7"/>
        <v>--</v>
      </c>
      <c r="X23" s="452" t="str">
        <f t="shared" si="7"/>
        <v>--</v>
      </c>
      <c r="Y23" s="452" t="str">
        <f t="shared" si="7"/>
        <v>--</v>
      </c>
      <c r="Z23" s="452" t="str">
        <f t="shared" si="7"/>
        <v>--</v>
      </c>
      <c r="AA23" s="452" t="str">
        <f t="shared" si="7"/>
        <v>--</v>
      </c>
      <c r="AB23" s="454" t="str">
        <f t="shared" si="7"/>
        <v>--</v>
      </c>
      <c r="AC23" s="452" t="str">
        <f t="shared" si="7"/>
        <v>--</v>
      </c>
      <c r="AD23" s="452" t="str">
        <f t="shared" si="7"/>
        <v>--</v>
      </c>
      <c r="AE23" s="452" t="str">
        <f t="shared" si="7"/>
        <v>--</v>
      </c>
      <c r="AF23" s="452" t="str">
        <f t="shared" si="7"/>
        <v>--</v>
      </c>
      <c r="AG23" s="454" t="str">
        <f t="shared" si="7"/>
        <v>--</v>
      </c>
      <c r="AH23" s="452" t="str">
        <f t="shared" si="7"/>
        <v>--</v>
      </c>
      <c r="AI23" s="452" t="str">
        <f t="shared" si="7"/>
        <v>--</v>
      </c>
      <c r="AJ23" s="452" t="str">
        <f t="shared" si="7"/>
        <v>--</v>
      </c>
      <c r="AK23" s="452">
        <f t="shared" si="7"/>
        <v>0.75690625404801859</v>
      </c>
      <c r="AL23" s="454">
        <f t="shared" si="7"/>
        <v>0.74290284026317543</v>
      </c>
      <c r="AM23" s="452">
        <f t="shared" si="7"/>
        <v>0.74030481891380895</v>
      </c>
      <c r="AN23" s="452">
        <f t="shared" si="7"/>
        <v>0.74510722401606877</v>
      </c>
      <c r="AO23" s="452">
        <f t="shared" si="7"/>
        <v>0.73756364984613221</v>
      </c>
      <c r="AP23" s="452">
        <f t="shared" si="7"/>
        <v>0.73666045022432325</v>
      </c>
      <c r="AQ23" s="454">
        <f t="shared" si="7"/>
        <v>0.73613636309904606</v>
      </c>
      <c r="AR23" s="452">
        <f t="shared" si="7"/>
        <v>0.71824752022983529</v>
      </c>
      <c r="AS23" s="452">
        <f t="shared" si="7"/>
        <v>0.73365013295888992</v>
      </c>
      <c r="AT23" s="452">
        <f t="shared" si="7"/>
        <v>0.7532000346938309</v>
      </c>
      <c r="AU23" s="452">
        <f t="shared" si="7"/>
        <v>0.75449020359307328</v>
      </c>
      <c r="AV23" s="454">
        <f t="shared" si="7"/>
        <v>0.73093580154061721</v>
      </c>
      <c r="AW23" s="452">
        <f t="shared" si="7"/>
        <v>0.76387940764719997</v>
      </c>
      <c r="AX23" s="452">
        <f t="shared" si="7"/>
        <v>0.75631485538751775</v>
      </c>
      <c r="AY23" s="452">
        <f t="shared" si="7"/>
        <v>0.75652319557327019</v>
      </c>
      <c r="AZ23" s="452">
        <f t="shared" si="7"/>
        <v>0.75159612791956387</v>
      </c>
      <c r="BA23" s="454">
        <f t="shared" si="7"/>
        <v>0.77659508622607654</v>
      </c>
      <c r="BB23" s="452" t="str">
        <f t="shared" si="7"/>
        <v>--</v>
      </c>
      <c r="BC23" s="452" t="str">
        <f t="shared" si="7"/>
        <v>--</v>
      </c>
      <c r="BD23" s="452" t="str">
        <f t="shared" si="7"/>
        <v>--</v>
      </c>
      <c r="BE23" s="452" t="str">
        <f t="shared" si="7"/>
        <v>--</v>
      </c>
      <c r="BF23" s="454">
        <f t="shared" si="7"/>
        <v>0.73431380153840886</v>
      </c>
      <c r="BG23" s="452" t="str">
        <f t="shared" si="7"/>
        <v>--</v>
      </c>
      <c r="BH23" s="452" t="str">
        <f t="shared" si="7"/>
        <v>--</v>
      </c>
      <c r="BI23" s="452" t="str">
        <f t="shared" si="7"/>
        <v>--</v>
      </c>
      <c r="BJ23" s="452" t="str">
        <f t="shared" si="7"/>
        <v>--</v>
      </c>
      <c r="BK23" s="454" t="str">
        <f t="shared" si="7"/>
        <v>--</v>
      </c>
    </row>
    <row r="24" spans="1:63" s="71" customFormat="1" ht="12.75" customHeight="1" outlineLevel="1">
      <c r="A24" s="53"/>
      <c r="B24" s="68"/>
      <c r="C24" s="68"/>
      <c r="D24" s="69"/>
      <c r="E24" s="69"/>
      <c r="F24" s="69"/>
      <c r="G24" s="69"/>
      <c r="H24" s="75"/>
      <c r="I24" s="69"/>
      <c r="J24" s="69"/>
      <c r="K24" s="69"/>
      <c r="L24" s="69"/>
      <c r="M24" s="75"/>
      <c r="N24" s="69"/>
      <c r="O24" s="69"/>
      <c r="P24" s="69"/>
      <c r="Q24" s="69"/>
      <c r="R24" s="75"/>
      <c r="S24" s="69"/>
      <c r="T24" s="69"/>
      <c r="U24" s="69"/>
      <c r="V24" s="69"/>
      <c r="W24" s="75"/>
      <c r="X24" s="69"/>
      <c r="Y24" s="69"/>
      <c r="Z24" s="69"/>
      <c r="AA24" s="69"/>
      <c r="AB24" s="75"/>
      <c r="AC24" s="69"/>
      <c r="AD24" s="69"/>
      <c r="AE24" s="69"/>
      <c r="AF24" s="69"/>
      <c r="AG24" s="75"/>
      <c r="AH24" s="69"/>
      <c r="AI24" s="69"/>
      <c r="AJ24" s="69"/>
      <c r="AK24" s="69"/>
      <c r="AL24" s="75"/>
      <c r="AM24" s="69"/>
      <c r="AN24" s="69"/>
      <c r="AO24" s="69"/>
      <c r="AP24" s="69"/>
      <c r="AQ24" s="75"/>
      <c r="AR24" s="69"/>
      <c r="AS24" s="69"/>
      <c r="AT24" s="69"/>
      <c r="AU24" s="69"/>
      <c r="AV24" s="75"/>
      <c r="AW24" s="69"/>
      <c r="AX24" s="69"/>
      <c r="AY24" s="69"/>
      <c r="AZ24" s="69"/>
      <c r="BA24" s="75"/>
      <c r="BB24" s="69"/>
      <c r="BC24" s="69"/>
      <c r="BD24" s="69"/>
      <c r="BE24" s="69"/>
      <c r="BF24" s="75"/>
      <c r="BG24" s="69"/>
      <c r="BH24" s="69"/>
      <c r="BI24" s="69"/>
      <c r="BJ24" s="69"/>
      <c r="BK24" s="75"/>
    </row>
    <row r="25" spans="1:63" s="641" customFormat="1" ht="12.75" customHeight="1" outlineLevel="1">
      <c r="A25" s="642" t="s">
        <v>145</v>
      </c>
      <c r="B25" s="637" t="s">
        <v>37</v>
      </c>
      <c r="C25" s="638"/>
      <c r="D25" s="639"/>
      <c r="E25" s="639"/>
      <c r="F25" s="639"/>
      <c r="G25" s="639"/>
      <c r="H25" s="640"/>
      <c r="I25" s="639" t="str">
        <f t="shared" ref="I25:AN25" si="8">IFERROR(I20-I29,"--")</f>
        <v>--</v>
      </c>
      <c r="J25" s="639" t="str">
        <f t="shared" si="8"/>
        <v>--</v>
      </c>
      <c r="K25" s="639" t="str">
        <f t="shared" si="8"/>
        <v>--</v>
      </c>
      <c r="L25" s="639" t="str">
        <f t="shared" si="8"/>
        <v>--</v>
      </c>
      <c r="M25" s="640" t="str">
        <f t="shared" si="8"/>
        <v>--</v>
      </c>
      <c r="N25" s="639" t="str">
        <f t="shared" si="8"/>
        <v>--</v>
      </c>
      <c r="O25" s="639" t="str">
        <f t="shared" si="8"/>
        <v>--</v>
      </c>
      <c r="P25" s="639" t="str">
        <f t="shared" si="8"/>
        <v>--</v>
      </c>
      <c r="Q25" s="639" t="str">
        <f t="shared" si="8"/>
        <v>--</v>
      </c>
      <c r="R25" s="640" t="str">
        <f t="shared" si="8"/>
        <v>--</v>
      </c>
      <c r="S25" s="639" t="str">
        <f t="shared" si="8"/>
        <v>--</v>
      </c>
      <c r="T25" s="639" t="str">
        <f t="shared" si="8"/>
        <v>--</v>
      </c>
      <c r="U25" s="639" t="str">
        <f t="shared" si="8"/>
        <v>--</v>
      </c>
      <c r="V25" s="639" t="str">
        <f t="shared" si="8"/>
        <v>--</v>
      </c>
      <c r="W25" s="640" t="str">
        <f t="shared" si="8"/>
        <v>--</v>
      </c>
      <c r="X25" s="639" t="str">
        <f t="shared" si="8"/>
        <v>--</v>
      </c>
      <c r="Y25" s="639" t="str">
        <f t="shared" si="8"/>
        <v>--</v>
      </c>
      <c r="Z25" s="639" t="str">
        <f t="shared" si="8"/>
        <v>--</v>
      </c>
      <c r="AA25" s="639" t="str">
        <f t="shared" si="8"/>
        <v>--</v>
      </c>
      <c r="AB25" s="640" t="str">
        <f t="shared" si="8"/>
        <v>--</v>
      </c>
      <c r="AC25" s="639" t="str">
        <f t="shared" si="8"/>
        <v>--</v>
      </c>
      <c r="AD25" s="639" t="str">
        <f t="shared" si="8"/>
        <v>--</v>
      </c>
      <c r="AE25" s="639" t="str">
        <f t="shared" si="8"/>
        <v>--</v>
      </c>
      <c r="AF25" s="639" t="str">
        <f t="shared" si="8"/>
        <v>--</v>
      </c>
      <c r="AG25" s="640" t="str">
        <f t="shared" si="8"/>
        <v>--</v>
      </c>
      <c r="AH25" s="639" t="str">
        <f t="shared" si="8"/>
        <v>--</v>
      </c>
      <c r="AI25" s="639" t="str">
        <f t="shared" si="8"/>
        <v>--</v>
      </c>
      <c r="AJ25" s="639" t="str">
        <f t="shared" si="8"/>
        <v>--</v>
      </c>
      <c r="AK25" s="639">
        <f t="shared" si="8"/>
        <v>445.74408000000005</v>
      </c>
      <c r="AL25" s="640">
        <f t="shared" si="8"/>
        <v>1066.9538700000001</v>
      </c>
      <c r="AM25" s="639">
        <f t="shared" si="8"/>
        <v>563.70690000000002</v>
      </c>
      <c r="AN25" s="639">
        <f t="shared" si="8"/>
        <v>703.8691</v>
      </c>
      <c r="AO25" s="639">
        <f t="shared" ref="AO25:BK25" si="9">IFERROR(AO20-AO29,"--")</f>
        <v>768.07051999999999</v>
      </c>
      <c r="AP25" s="639">
        <f t="shared" si="9"/>
        <v>1044.4826199999998</v>
      </c>
      <c r="AQ25" s="640">
        <f t="shared" si="9"/>
        <v>3089.3393000000001</v>
      </c>
      <c r="AR25" s="639">
        <f t="shared" si="9"/>
        <v>1323.2555399999999</v>
      </c>
      <c r="AS25" s="639">
        <f t="shared" si="9"/>
        <v>1497.3610999999999</v>
      </c>
      <c r="AT25" s="639">
        <f t="shared" si="9"/>
        <v>1656.1311000000001</v>
      </c>
      <c r="AU25" s="639">
        <f t="shared" si="9"/>
        <v>1815.2673</v>
      </c>
      <c r="AV25" s="640">
        <f t="shared" si="9"/>
        <v>6314.8119999999999</v>
      </c>
      <c r="AW25" s="639">
        <f t="shared" si="9"/>
        <v>1941.5324999999998</v>
      </c>
      <c r="AX25" s="639">
        <f t="shared" si="9"/>
        <v>2038.4164000000003</v>
      </c>
      <c r="AY25" s="639">
        <f t="shared" si="9"/>
        <v>2201.9529000000002</v>
      </c>
      <c r="AZ25" s="639">
        <f t="shared" si="9"/>
        <v>2295.5821000000005</v>
      </c>
      <c r="BA25" s="640">
        <f t="shared" si="9"/>
        <v>9756.5590000000011</v>
      </c>
      <c r="BB25" s="639" t="str">
        <f t="shared" si="9"/>
        <v>--</v>
      </c>
      <c r="BC25" s="639" t="str">
        <f t="shared" si="9"/>
        <v>--</v>
      </c>
      <c r="BD25" s="639" t="str">
        <f t="shared" si="9"/>
        <v>--</v>
      </c>
      <c r="BE25" s="639" t="str">
        <f t="shared" si="9"/>
        <v>--</v>
      </c>
      <c r="BF25" s="640">
        <f t="shared" si="9"/>
        <v>12158.813</v>
      </c>
      <c r="BG25" s="639" t="str">
        <f t="shared" si="9"/>
        <v>--</v>
      </c>
      <c r="BH25" s="639" t="str">
        <f t="shared" si="9"/>
        <v>--</v>
      </c>
      <c r="BI25" s="639" t="str">
        <f t="shared" si="9"/>
        <v>--</v>
      </c>
      <c r="BJ25" s="639" t="str">
        <f t="shared" si="9"/>
        <v>--</v>
      </c>
      <c r="BK25" s="640" t="str">
        <f t="shared" si="9"/>
        <v>--</v>
      </c>
    </row>
    <row r="26" spans="1:63" s="71" customFormat="1" ht="12.75" customHeight="1" outlineLevel="1">
      <c r="A26" s="67" t="s">
        <v>147</v>
      </c>
      <c r="B26" s="68" t="s">
        <v>31</v>
      </c>
      <c r="C26" s="68"/>
      <c r="D26" s="69"/>
      <c r="E26" s="69"/>
      <c r="F26" s="69"/>
      <c r="G26" s="69"/>
      <c r="H26" s="70"/>
      <c r="I26" s="69" t="str">
        <f t="shared" ref="I26:AN26" si="10">IFERROR(I25/D25-1,"")</f>
        <v/>
      </c>
      <c r="J26" s="69" t="str">
        <f t="shared" si="10"/>
        <v/>
      </c>
      <c r="K26" s="69" t="str">
        <f t="shared" si="10"/>
        <v/>
      </c>
      <c r="L26" s="69" t="str">
        <f t="shared" si="10"/>
        <v/>
      </c>
      <c r="M26" s="70" t="str">
        <f t="shared" si="10"/>
        <v/>
      </c>
      <c r="N26" s="69" t="str">
        <f t="shared" si="10"/>
        <v/>
      </c>
      <c r="O26" s="69" t="str">
        <f t="shared" si="10"/>
        <v/>
      </c>
      <c r="P26" s="69" t="str">
        <f t="shared" si="10"/>
        <v/>
      </c>
      <c r="Q26" s="69" t="str">
        <f t="shared" si="10"/>
        <v/>
      </c>
      <c r="R26" s="70" t="str">
        <f t="shared" si="10"/>
        <v/>
      </c>
      <c r="S26" s="69" t="str">
        <f t="shared" si="10"/>
        <v/>
      </c>
      <c r="T26" s="69" t="str">
        <f t="shared" si="10"/>
        <v/>
      </c>
      <c r="U26" s="69" t="str">
        <f t="shared" si="10"/>
        <v/>
      </c>
      <c r="V26" s="69" t="str">
        <f t="shared" si="10"/>
        <v/>
      </c>
      <c r="W26" s="70" t="str">
        <f t="shared" si="10"/>
        <v/>
      </c>
      <c r="X26" s="69" t="str">
        <f t="shared" si="10"/>
        <v/>
      </c>
      <c r="Y26" s="69" t="str">
        <f t="shared" si="10"/>
        <v/>
      </c>
      <c r="Z26" s="69" t="str">
        <f t="shared" si="10"/>
        <v/>
      </c>
      <c r="AA26" s="69" t="str">
        <f t="shared" si="10"/>
        <v/>
      </c>
      <c r="AB26" s="70" t="str">
        <f t="shared" si="10"/>
        <v/>
      </c>
      <c r="AC26" s="69" t="str">
        <f t="shared" si="10"/>
        <v/>
      </c>
      <c r="AD26" s="69" t="str">
        <f t="shared" si="10"/>
        <v/>
      </c>
      <c r="AE26" s="69" t="str">
        <f t="shared" si="10"/>
        <v/>
      </c>
      <c r="AF26" s="69" t="str">
        <f t="shared" si="10"/>
        <v/>
      </c>
      <c r="AG26" s="70" t="str">
        <f t="shared" si="10"/>
        <v/>
      </c>
      <c r="AH26" s="69" t="str">
        <f t="shared" si="10"/>
        <v/>
      </c>
      <c r="AI26" s="69" t="str">
        <f t="shared" si="10"/>
        <v/>
      </c>
      <c r="AJ26" s="69" t="str">
        <f t="shared" si="10"/>
        <v/>
      </c>
      <c r="AK26" s="69" t="str">
        <f t="shared" si="10"/>
        <v/>
      </c>
      <c r="AL26" s="70" t="str">
        <f t="shared" si="10"/>
        <v/>
      </c>
      <c r="AM26" s="69" t="str">
        <f t="shared" si="10"/>
        <v/>
      </c>
      <c r="AN26" s="69" t="str">
        <f t="shared" si="10"/>
        <v/>
      </c>
      <c r="AO26" s="69" t="str">
        <f t="shared" ref="AO26:BK26" si="11">IFERROR(AO25/AJ25-1,"")</f>
        <v/>
      </c>
      <c r="AP26" s="69">
        <f t="shared" si="11"/>
        <v>1.3432338574188121</v>
      </c>
      <c r="AQ26" s="70">
        <f t="shared" si="11"/>
        <v>1.8954759777946162</v>
      </c>
      <c r="AR26" s="69">
        <f t="shared" si="11"/>
        <v>1.3474176739720587</v>
      </c>
      <c r="AS26" s="69">
        <f t="shared" si="11"/>
        <v>1.1273289309049082</v>
      </c>
      <c r="AT26" s="69">
        <f t="shared" si="11"/>
        <v>1.1562227124665587</v>
      </c>
      <c r="AU26" s="69">
        <f t="shared" si="11"/>
        <v>0.73795835875181948</v>
      </c>
      <c r="AV26" s="70">
        <f t="shared" si="11"/>
        <v>1.0440655385441153</v>
      </c>
      <c r="AW26" s="69">
        <f t="shared" si="11"/>
        <v>0.46723927564285872</v>
      </c>
      <c r="AX26" s="69">
        <f t="shared" si="11"/>
        <v>0.36133922538791774</v>
      </c>
      <c r="AY26" s="69">
        <f t="shared" si="11"/>
        <v>0.32957644476334047</v>
      </c>
      <c r="AZ26" s="69">
        <f t="shared" si="11"/>
        <v>0.26459728547966499</v>
      </c>
      <c r="BA26" s="70">
        <f t="shared" si="11"/>
        <v>0.54502762710908903</v>
      </c>
      <c r="BB26" s="69" t="str">
        <f t="shared" si="11"/>
        <v/>
      </c>
      <c r="BC26" s="69" t="str">
        <f t="shared" si="11"/>
        <v/>
      </c>
      <c r="BD26" s="69" t="str">
        <f t="shared" si="11"/>
        <v/>
      </c>
      <c r="BE26" s="69" t="str">
        <f t="shared" si="11"/>
        <v/>
      </c>
      <c r="BF26" s="70">
        <f t="shared" si="11"/>
        <v>0.24621938943842792</v>
      </c>
      <c r="BG26" s="69" t="str">
        <f t="shared" si="11"/>
        <v/>
      </c>
      <c r="BH26" s="69" t="str">
        <f t="shared" si="11"/>
        <v/>
      </c>
      <c r="BI26" s="69" t="str">
        <f t="shared" si="11"/>
        <v/>
      </c>
      <c r="BJ26" s="69" t="str">
        <f t="shared" si="11"/>
        <v/>
      </c>
      <c r="BK26" s="70" t="str">
        <f t="shared" si="11"/>
        <v/>
      </c>
    </row>
    <row r="27" spans="1:63" s="71" customFormat="1" ht="12.75" customHeight="1" outlineLevel="1">
      <c r="A27" s="67" t="s">
        <v>146</v>
      </c>
      <c r="B27" s="68" t="s">
        <v>33</v>
      </c>
      <c r="C27" s="68"/>
      <c r="D27" s="69"/>
      <c r="E27" s="69"/>
      <c r="F27" s="69"/>
      <c r="G27" s="69"/>
      <c r="H27" s="72"/>
      <c r="I27" s="69" t="str">
        <f>IFERROR(I25/G25-1,"")</f>
        <v/>
      </c>
      <c r="J27" s="69" t="str">
        <f>IFERROR(J25/I25-1,"")</f>
        <v/>
      </c>
      <c r="K27" s="69" t="str">
        <f>IFERROR(K25/J25-1,"")</f>
        <v/>
      </c>
      <c r="L27" s="69" t="str">
        <f>IFERROR(L25/K25-1,"")</f>
        <v/>
      </c>
      <c r="M27" s="72"/>
      <c r="N27" s="69" t="str">
        <f>IFERROR(N25/L25-1,"")</f>
        <v/>
      </c>
      <c r="O27" s="69" t="str">
        <f>IFERROR(O25/N25-1,"")</f>
        <v/>
      </c>
      <c r="P27" s="69" t="str">
        <f>IFERROR(P25/O25-1,"")</f>
        <v/>
      </c>
      <c r="Q27" s="69" t="str">
        <f>IFERROR(Q25/P25-1,"")</f>
        <v/>
      </c>
      <c r="R27" s="72"/>
      <c r="S27" s="69" t="str">
        <f>IFERROR(S25/Q25-1,"")</f>
        <v/>
      </c>
      <c r="T27" s="69" t="str">
        <f>IFERROR(T25/S25-1,"")</f>
        <v/>
      </c>
      <c r="U27" s="69" t="str">
        <f>IFERROR(U25/T25-1,"")</f>
        <v/>
      </c>
      <c r="V27" s="69" t="str">
        <f>IFERROR(V25/U25-1,"")</f>
        <v/>
      </c>
      <c r="W27" s="72"/>
      <c r="X27" s="69" t="str">
        <f>IFERROR(X25/V25-1,"")</f>
        <v/>
      </c>
      <c r="Y27" s="69" t="str">
        <f>IFERROR(Y25/X25-1,"")</f>
        <v/>
      </c>
      <c r="Z27" s="69" t="str">
        <f>IFERROR(Z25/Y25-1,"")</f>
        <v/>
      </c>
      <c r="AA27" s="69" t="str">
        <f>IFERROR(AA25/Z25-1,"")</f>
        <v/>
      </c>
      <c r="AB27" s="72"/>
      <c r="AC27" s="69" t="str">
        <f>IFERROR(AC25/AA25-1,"")</f>
        <v/>
      </c>
      <c r="AD27" s="69" t="str">
        <f>IFERROR(AD25/AC25-1,"")</f>
        <v/>
      </c>
      <c r="AE27" s="69" t="str">
        <f>IFERROR(AE25/AD25-1,"")</f>
        <v/>
      </c>
      <c r="AF27" s="69" t="str">
        <f>IFERROR(AF25/AE25-1,"")</f>
        <v/>
      </c>
      <c r="AG27" s="72"/>
      <c r="AH27" s="69" t="str">
        <f>IFERROR(AH25/AF25-1,"")</f>
        <v/>
      </c>
      <c r="AI27" s="69" t="str">
        <f>IFERROR(AI25/AH25-1,"")</f>
        <v/>
      </c>
      <c r="AJ27" s="69" t="str">
        <f>IFERROR(AJ25/AI25-1,"")</f>
        <v/>
      </c>
      <c r="AK27" s="69" t="str">
        <f>IFERROR(AK25/AJ25-1,"")</f>
        <v/>
      </c>
      <c r="AL27" s="72"/>
      <c r="AM27" s="69">
        <f>IFERROR(AM25/AK25-1,"")</f>
        <v>0.26464248274480728</v>
      </c>
      <c r="AN27" s="69">
        <f>IFERROR(AN25/AM25-1,"")</f>
        <v>0.24864375440499309</v>
      </c>
      <c r="AO27" s="69">
        <f>IFERROR(AO25/AN25-1,"")</f>
        <v>9.121215862438059E-2</v>
      </c>
      <c r="AP27" s="69">
        <f>IFERROR(AP25/AO25-1,"")</f>
        <v>0.35987854344416159</v>
      </c>
      <c r="AQ27" s="72"/>
      <c r="AR27" s="69">
        <f>IFERROR(AR25/AP25-1,"")</f>
        <v>0.26690048705645308</v>
      </c>
      <c r="AS27" s="69">
        <f>IFERROR(AS25/AR25-1,"")</f>
        <v>0.13157364903229496</v>
      </c>
      <c r="AT27" s="69">
        <f>IFERROR(AT25/AS25-1,"")</f>
        <v>0.1060332073539243</v>
      </c>
      <c r="AU27" s="69">
        <f>IFERROR(AU25/AT25-1,"")</f>
        <v>9.6089132074145489E-2</v>
      </c>
      <c r="AV27" s="72"/>
      <c r="AW27" s="69">
        <f>IFERROR(AW25/AU25-1,"")</f>
        <v>6.955735940376373E-2</v>
      </c>
      <c r="AX27" s="69">
        <f>IFERROR(AX25/AW25-1,"")</f>
        <v>4.9900735630230564E-2</v>
      </c>
      <c r="AY27" s="69">
        <f>IFERROR(AY25/AX25-1,"")</f>
        <v>8.0227229333516004E-2</v>
      </c>
      <c r="AZ27" s="69">
        <f>IFERROR(AZ25/AY25-1,"")</f>
        <v>4.2520982169963917E-2</v>
      </c>
      <c r="BA27" s="72"/>
      <c r="BB27" s="69" t="str">
        <f>IFERROR(BB25/AZ25-1,"")</f>
        <v/>
      </c>
      <c r="BC27" s="69" t="str">
        <f>IFERROR(BC25/BB25-1,"")</f>
        <v/>
      </c>
      <c r="BD27" s="69" t="str">
        <f>IFERROR(BD25/BC25-1,"")</f>
        <v/>
      </c>
      <c r="BE27" s="69" t="str">
        <f>IFERROR(BE25/BD25-1,"")</f>
        <v/>
      </c>
      <c r="BF27" s="72"/>
      <c r="BG27" s="69" t="str">
        <f>IFERROR(BG25/BE25-1,"")</f>
        <v/>
      </c>
      <c r="BH27" s="69" t="str">
        <f>IFERROR(BH25/BG25-1,"")</f>
        <v/>
      </c>
      <c r="BI27" s="69" t="str">
        <f>IFERROR(BI25/BH25-1,"")</f>
        <v/>
      </c>
      <c r="BJ27" s="69" t="str">
        <f>IFERROR(BJ25/BI25-1,"")</f>
        <v/>
      </c>
      <c r="BK27" s="72"/>
    </row>
    <row r="28" spans="1:63" s="71" customFormat="1" ht="12.75" customHeight="1" outlineLevel="1">
      <c r="A28" s="53"/>
      <c r="B28" s="68"/>
      <c r="C28" s="68"/>
      <c r="D28" s="69"/>
      <c r="E28" s="69"/>
      <c r="F28" s="69"/>
      <c r="G28" s="69"/>
      <c r="H28" s="75"/>
      <c r="I28" s="69"/>
      <c r="J28" s="69"/>
      <c r="K28" s="69"/>
      <c r="L28" s="69"/>
      <c r="M28" s="75"/>
      <c r="N28" s="69"/>
      <c r="O28" s="69"/>
      <c r="P28" s="69"/>
      <c r="Q28" s="69"/>
      <c r="R28" s="75"/>
      <c r="S28" s="69"/>
      <c r="T28" s="69"/>
      <c r="U28" s="69"/>
      <c r="V28" s="69"/>
      <c r="W28" s="75"/>
      <c r="X28" s="69"/>
      <c r="Y28" s="69"/>
      <c r="Z28" s="69"/>
      <c r="AA28" s="69"/>
      <c r="AB28" s="75"/>
      <c r="AC28" s="69"/>
      <c r="AD28" s="69"/>
      <c r="AE28" s="69"/>
      <c r="AF28" s="69"/>
      <c r="AG28" s="75"/>
      <c r="AH28" s="69"/>
      <c r="AI28" s="69"/>
      <c r="AJ28" s="69"/>
      <c r="AK28" s="69"/>
      <c r="AL28" s="75"/>
      <c r="AM28" s="69"/>
      <c r="AN28" s="69"/>
      <c r="AO28" s="69"/>
      <c r="AP28" s="69"/>
      <c r="AQ28" s="75"/>
      <c r="AR28" s="69"/>
      <c r="AS28" s="69"/>
      <c r="AT28" s="69"/>
      <c r="AU28" s="69"/>
      <c r="AV28" s="75"/>
      <c r="AW28" s="69"/>
      <c r="AX28" s="69"/>
      <c r="AY28" s="69"/>
      <c r="AZ28" s="69"/>
      <c r="BA28" s="75"/>
      <c r="BB28" s="69"/>
      <c r="BC28" s="69"/>
      <c r="BD28" s="69"/>
      <c r="BE28" s="69"/>
      <c r="BF28" s="75"/>
      <c r="BG28" s="69"/>
      <c r="BH28" s="69"/>
      <c r="BI28" s="69"/>
      <c r="BJ28" s="69"/>
      <c r="BK28" s="75"/>
    </row>
    <row r="29" spans="1:63" s="641" customFormat="1" ht="12.75" customHeight="1" outlineLevel="1">
      <c r="A29" s="642" t="s">
        <v>130</v>
      </c>
      <c r="B29" s="637" t="s">
        <v>38</v>
      </c>
      <c r="C29" s="638"/>
      <c r="D29" s="639"/>
      <c r="E29" s="639"/>
      <c r="F29" s="639"/>
      <c r="G29" s="639"/>
      <c r="H29" s="640"/>
      <c r="I29" s="639" t="str" cm="1">
        <f t="array" ref="I29">_xlfn.SINGLE(IF(ISERROR(_xll.FDSB($C$2,"FE_ESTIMATE(EBIT,MEAN,QUARTERLY_ROLL,"&amp;I$9&amp;","&amp;$C$5&amp;",,,'')")), "--", _xll.FDSB($C$2,"FE_ESTIMATE(EBIT,MEAN,QUARTERLY_ROLL,"&amp;I$9&amp;","&amp;$C$5&amp;",,,'')")))</f>
        <v>--</v>
      </c>
      <c r="J29" s="639" t="str" cm="1">
        <f t="array" ref="J29">_xlfn.SINGLE(IF(ISERROR(_xll.FDSB($C$2,"FE_ESTIMATE(EBIT,MEAN,QUARTERLY_ROLL,"&amp;J$9&amp;","&amp;$C$5&amp;",,,'')")), "--", _xll.FDSB($C$2,"FE_ESTIMATE(EBIT,MEAN,QUARTERLY_ROLL,"&amp;J$9&amp;","&amp;$C$5&amp;",,,'')")))</f>
        <v>--</v>
      </c>
      <c r="K29" s="639" t="str" cm="1">
        <f t="array" ref="K29">_xlfn.SINGLE(IF(ISERROR(_xll.FDSB($C$2,"FE_ESTIMATE(EBIT,MEAN,QUARTERLY_ROLL,"&amp;K$9&amp;","&amp;$C$5&amp;",,,'')")), "--", _xll.FDSB($C$2,"FE_ESTIMATE(EBIT,MEAN,QUARTERLY_ROLL,"&amp;K$9&amp;","&amp;$C$5&amp;",,,'')")))</f>
        <v>--</v>
      </c>
      <c r="L29" s="639" t="str" cm="1">
        <f t="array" ref="L29">_xlfn.SINGLE(IF(ISERROR(_xll.FDSB($C$2,"FE_ESTIMATE(EBIT,MEAN,QUARTERLY_ROLL,"&amp;L$9&amp;","&amp;$C$5&amp;",,,'')")), "--", _xll.FDSB($C$2,"FE_ESTIMATE(EBIT,MEAN,QUARTERLY_ROLL,"&amp;L$9&amp;","&amp;$C$5&amp;",,,'')")))</f>
        <v>--</v>
      </c>
      <c r="M29" s="640" t="str" cm="1">
        <f t="array" ref="M29">_xlfn.SINGLE(IF(ISERROR(_xll.FDSB($C$2,"FE_ESTIMATE(EBIT,MEAN,ANNUAL_ROLL,"&amp;M$9&amp;","&amp;$C$5&amp;",,,'')")), "--", _xll.FDSB($C$2,"FE_ESTIMATE(EBIT,MEAN,ANNUAL_ROLL,"&amp;M$9&amp;","&amp;$C$5&amp;",,,'')")))</f>
        <v>--</v>
      </c>
      <c r="N29" s="639" t="str" cm="1">
        <f t="array" ref="N29">_xlfn.SINGLE(IF(ISERROR(_xll.FDSB($C$2,"FE_ESTIMATE(EBIT,MEAN,QUARTERLY_ROLL,"&amp;N$9&amp;","&amp;$C$5&amp;",,,'')")), "--", _xll.FDSB($C$2,"FE_ESTIMATE(EBIT,MEAN,QUARTERLY_ROLL,"&amp;N$9&amp;","&amp;$C$5&amp;",,,'')")))</f>
        <v>--</v>
      </c>
      <c r="O29" s="639" t="str" cm="1">
        <f t="array" ref="O29">_xlfn.SINGLE(IF(ISERROR(_xll.FDSB($C$2,"FE_ESTIMATE(EBIT,MEAN,QUARTERLY_ROLL,"&amp;O$9&amp;","&amp;$C$5&amp;",,,'')")), "--", _xll.FDSB($C$2,"FE_ESTIMATE(EBIT,MEAN,QUARTERLY_ROLL,"&amp;O$9&amp;","&amp;$C$5&amp;",,,'')")))</f>
        <v>--</v>
      </c>
      <c r="P29" s="639" t="str" cm="1">
        <f t="array" ref="P29">_xlfn.SINGLE(IF(ISERROR(_xll.FDSB($C$2,"FE_ESTIMATE(EBIT,MEAN,QUARTERLY_ROLL,"&amp;P$9&amp;","&amp;$C$5&amp;",,,'')")), "--", _xll.FDSB($C$2,"FE_ESTIMATE(EBIT,MEAN,QUARTERLY_ROLL,"&amp;P$9&amp;","&amp;$C$5&amp;",,,'')")))</f>
        <v>--</v>
      </c>
      <c r="Q29" s="639" t="str" cm="1">
        <f t="array" ref="Q29">_xlfn.SINGLE(IF(ISERROR(_xll.FDSB($C$2,"FE_ESTIMATE(EBIT,MEAN,QUARTERLY_ROLL,"&amp;Q$9&amp;","&amp;$C$5&amp;",,,'')")), "--", _xll.FDSB($C$2,"FE_ESTIMATE(EBIT,MEAN,QUARTERLY_ROLL,"&amp;Q$9&amp;","&amp;$C$5&amp;",,,'')")))</f>
        <v>--</v>
      </c>
      <c r="R29" s="640" t="str" cm="1">
        <f t="array" ref="R29">_xlfn.SINGLE(IF(ISERROR(_xll.FDSB($C$2,"FE_ESTIMATE(EBIT,MEAN,ANNUAL_ROLL,"&amp;R$9&amp;","&amp;$C$5&amp;",,,'')")), "--", _xll.FDSB($C$2,"FE_ESTIMATE(EBIT,MEAN,ANNUAL_ROLL,"&amp;R$9&amp;","&amp;$C$5&amp;",,,'')")))</f>
        <v>--</v>
      </c>
      <c r="S29" s="639" t="str" cm="1">
        <f t="array" ref="S29">_xlfn.SINGLE(IF(ISERROR(_xll.FDSB($C$2,"FE_ESTIMATE(EBIT,MEAN,QUARTERLY_ROLL,"&amp;S$9&amp;","&amp;$C$5&amp;",,,'')")), "--", _xll.FDSB($C$2,"FE_ESTIMATE(EBIT,MEAN,QUARTERLY_ROLL,"&amp;S$9&amp;","&amp;$C$5&amp;",,,'')")))</f>
        <v>--</v>
      </c>
      <c r="T29" s="639" t="str" cm="1">
        <f t="array" ref="T29">_xlfn.SINGLE(IF(ISERROR(_xll.FDSB($C$2,"FE_ESTIMATE(EBIT,MEAN,QUARTERLY_ROLL,"&amp;T$9&amp;","&amp;$C$5&amp;",,,'')")), "--", _xll.FDSB($C$2,"FE_ESTIMATE(EBIT,MEAN,QUARTERLY_ROLL,"&amp;T$9&amp;","&amp;$C$5&amp;",,,'')")))</f>
        <v>--</v>
      </c>
      <c r="U29" s="639" t="str" cm="1">
        <f t="array" ref="U29">_xlfn.SINGLE(IF(ISERROR(_xll.FDSB($C$2,"FE_ESTIMATE(EBIT,MEAN,QUARTERLY_ROLL,"&amp;U$9&amp;","&amp;$C$5&amp;",,,'')")), "--", _xll.FDSB($C$2,"FE_ESTIMATE(EBIT,MEAN,QUARTERLY_ROLL,"&amp;U$9&amp;","&amp;$C$5&amp;",,,'')")))</f>
        <v>--</v>
      </c>
      <c r="V29" s="639" t="str" cm="1">
        <f t="array" ref="V29">_xlfn.SINGLE(IF(ISERROR(_xll.FDSB($C$2,"FE_ESTIMATE(EBIT,MEAN,QUARTERLY_ROLL,"&amp;V$9&amp;","&amp;$C$5&amp;",,,'')")), "--", _xll.FDSB($C$2,"FE_ESTIMATE(EBIT,MEAN,QUARTERLY_ROLL,"&amp;V$9&amp;","&amp;$C$5&amp;",,,'')")))</f>
        <v>--</v>
      </c>
      <c r="W29" s="640" t="str" cm="1">
        <f t="array" ref="W29">_xlfn.SINGLE(IF(ISERROR(_xll.FDSB($C$2,"FE_ESTIMATE(EBIT,MEAN,ANNUAL_ROLL,"&amp;W$9&amp;","&amp;$C$5&amp;",,,'')")), "--", _xll.FDSB($C$2,"FE_ESTIMATE(EBIT,MEAN,ANNUAL_ROLL,"&amp;W$9&amp;","&amp;$C$5&amp;",,,'')")))</f>
        <v>--</v>
      </c>
      <c r="X29" s="639" t="str" cm="1">
        <f t="array" ref="X29">_xlfn.SINGLE(IF(ISERROR(_xll.FDSB($C$2,"FE_ESTIMATE(EBIT,MEAN,QUARTERLY_ROLL,"&amp;X$9&amp;","&amp;$C$5&amp;",,,'')")), "--", _xll.FDSB($C$2,"FE_ESTIMATE(EBIT,MEAN,QUARTERLY_ROLL,"&amp;X$9&amp;","&amp;$C$5&amp;",,,'')")))</f>
        <v/>
      </c>
      <c r="Y29" s="639" t="str" cm="1">
        <f t="array" ref="Y29">_xlfn.SINGLE(IF(ISERROR(_xll.FDSB($C$2,"FE_ESTIMATE(EBIT,MEAN,QUARTERLY_ROLL,"&amp;Y$9&amp;","&amp;$C$5&amp;",,,'')")), "--", _xll.FDSB($C$2,"FE_ESTIMATE(EBIT,MEAN,QUARTERLY_ROLL,"&amp;Y$9&amp;","&amp;$C$5&amp;",,,'')")))</f>
        <v/>
      </c>
      <c r="Z29" s="639" t="str" cm="1">
        <f t="array" ref="Z29">_xlfn.SINGLE(IF(ISERROR(_xll.FDSB($C$2,"FE_ESTIMATE(EBIT,MEAN,QUARTERLY_ROLL,"&amp;Z$9&amp;","&amp;$C$5&amp;",,,'')")), "--", _xll.FDSB($C$2,"FE_ESTIMATE(EBIT,MEAN,QUARTERLY_ROLL,"&amp;Z$9&amp;","&amp;$C$5&amp;",,,'')")))</f>
        <v/>
      </c>
      <c r="AA29" s="639" t="str" cm="1">
        <f t="array" ref="AA29">_xlfn.SINGLE(IF(ISERROR(_xll.FDSB($C$2,"FE_ESTIMATE(EBIT,MEAN,QUARTERLY_ROLL,"&amp;AA$9&amp;","&amp;$C$5&amp;",,,'')")), "--", _xll.FDSB($C$2,"FE_ESTIMATE(EBIT,MEAN,QUARTERLY_ROLL,"&amp;AA$9&amp;","&amp;$C$5&amp;",,,'')")))</f>
        <v/>
      </c>
      <c r="AB29" s="640" t="str" cm="1">
        <f t="array" ref="AB29">_xlfn.SINGLE(IF(ISERROR(_xll.FDSB($C$2,"FE_ESTIMATE(EBIT,MEAN,ANNUAL_ROLL,"&amp;AB$9&amp;","&amp;$C$5&amp;",,,'')")), "--", _xll.FDSB($C$2,"FE_ESTIMATE(EBIT,MEAN,ANNUAL_ROLL,"&amp;AB$9&amp;","&amp;$C$5&amp;",,,'')")))</f>
        <v/>
      </c>
      <c r="AC29" s="639" t="str" cm="1">
        <f t="array" ref="AC29">_xlfn.SINGLE(IF(ISERROR(_xll.FDSB($C$2,"FE_ESTIMATE(EBIT,MEAN,QUARTERLY_ROLL,"&amp;AC$9&amp;","&amp;$C$5&amp;",,,'')")), "--", _xll.FDSB($C$2,"FE_ESTIMATE(EBIT,MEAN,QUARTERLY_ROLL,"&amp;AC$9&amp;","&amp;$C$5&amp;",,,'')")))</f>
        <v/>
      </c>
      <c r="AD29" s="639" t="str" cm="1">
        <f t="array" ref="AD29">_xlfn.SINGLE(IF(ISERROR(_xll.FDSB($C$2,"FE_ESTIMATE(EBIT,MEAN,QUARTERLY_ROLL,"&amp;AD$9&amp;","&amp;$C$5&amp;",,,'')")), "--", _xll.FDSB($C$2,"FE_ESTIMATE(EBIT,MEAN,QUARTERLY_ROLL,"&amp;AD$9&amp;","&amp;$C$5&amp;",,,'')")))</f>
        <v/>
      </c>
      <c r="AE29" s="639" t="str" cm="1">
        <f t="array" ref="AE29">_xlfn.SINGLE(IF(ISERROR(_xll.FDSB($C$2,"FE_ESTIMATE(EBIT,MEAN,QUARTERLY_ROLL,"&amp;AE$9&amp;","&amp;$C$5&amp;",,,'')")), "--", _xll.FDSB($C$2,"FE_ESTIMATE(EBIT,MEAN,QUARTERLY_ROLL,"&amp;AE$9&amp;","&amp;$C$5&amp;",,,'')")))</f>
        <v/>
      </c>
      <c r="AF29" s="639" t="str" cm="1">
        <f t="array" ref="AF29">_xlfn.SINGLE(IF(ISERROR(_xll.FDSB($C$2,"FE_ESTIMATE(EBIT,MEAN,QUARTERLY_ROLL,"&amp;AF$9&amp;","&amp;$C$5&amp;",,,'')")), "--", _xll.FDSB($C$2,"FE_ESTIMATE(EBIT,MEAN,QUARTERLY_ROLL,"&amp;AF$9&amp;","&amp;$C$5&amp;",,,'')")))</f>
        <v/>
      </c>
      <c r="AG29" s="640" t="str" cm="1">
        <f t="array" ref="AG29">_xlfn.SINGLE(IF(ISERROR(_xll.FDSB($C$2,"FE_ESTIMATE(EBIT,MEAN,ANNUAL_ROLL,"&amp;AG$9&amp;","&amp;$C$5&amp;",,,'')")), "--", _xll.FDSB($C$2,"FE_ESTIMATE(EBIT,MEAN,ANNUAL_ROLL,"&amp;AG$9&amp;","&amp;$C$5&amp;",,,'')")))</f>
        <v/>
      </c>
      <c r="AH29" s="639" t="str" cm="1">
        <f t="array" ref="AH29">_xlfn.SINGLE(IF(ISERROR(_xll.FDSB($C$2,"FE_ESTIMATE(EBIT,MEAN,QUARTERLY_ROLL,"&amp;AH$9&amp;","&amp;$C$5&amp;",,,'')")), "--", _xll.FDSB($C$2,"FE_ESTIMATE(EBIT,MEAN,QUARTERLY_ROLL,"&amp;AH$9&amp;","&amp;$C$5&amp;",,,'')")))</f>
        <v/>
      </c>
      <c r="AI29" s="639" t="str" cm="1">
        <f t="array" ref="AI29">_xlfn.SINGLE(IF(ISERROR(_xll.FDSB($C$2,"FE_ESTIMATE(EBIT,MEAN,QUARTERLY_ROLL,"&amp;AI$9&amp;","&amp;$C$5&amp;",,,'')")), "--", _xll.FDSB($C$2,"FE_ESTIMATE(EBIT,MEAN,QUARTERLY_ROLL,"&amp;AI$9&amp;","&amp;$C$5&amp;",,,'')")))</f>
        <v/>
      </c>
      <c r="AJ29" s="639" t="str" cm="1">
        <f t="array" ref="AJ29">_xlfn.SINGLE(IF(ISERROR(_xll.FDSB($C$2,"FE_ESTIMATE(EBIT,MEAN,QUARTERLY_ROLL,"&amp;AJ$9&amp;","&amp;$C$5&amp;",,,'')")), "--", _xll.FDSB($C$2,"FE_ESTIMATE(EBIT,MEAN,QUARTERLY_ROLL,"&amp;AJ$9&amp;","&amp;$C$5&amp;",,,'')")))</f>
        <v/>
      </c>
      <c r="AK29" s="639" cm="1">
        <f t="array" ref="AK29">_xlfn.SINGLE(IF(ISERROR(_xll.FDSB($C$2,"FE_ESTIMATE(EBIT,MEAN,QUARTERLY_ROLL,"&amp;AK$9&amp;","&amp;$C$5&amp;",,,'')")), "--", _xll.FDSB($C$2,"FE_ESTIMATE(EBIT,MEAN,QUARTERLY_ROLL,"&amp;AK$9&amp;","&amp;$C$5&amp;",,,'')")))</f>
        <v>119.87622</v>
      </c>
      <c r="AL29" s="640" cm="1">
        <f t="array" ref="AL29">_xlfn.SINGLE(IF(ISERROR(_xll.FDSB($C$2,"FE_ESTIMATE(EBIT,MEAN,ANNUAL_ROLL,"&amp;AL$9&amp;","&amp;$C$5&amp;",,,'')")), "--", _xll.FDSB($C$2,"FE_ESTIMATE(EBIT,MEAN,ANNUAL_ROLL,"&amp;AL$9&amp;","&amp;$C$5&amp;",,,'')")))</f>
        <v>355.90543000000002</v>
      </c>
      <c r="AM29" s="639" cm="1">
        <f t="array" ref="AM29">_xlfn.SINGLE(IF(ISERROR(_xll.FDSB($C$2,"FE_ESTIMATE(EBIT,MEAN,QUARTERLY_ROLL,"&amp;AM$9&amp;","&amp;$C$5&amp;",,,'')")), "--", _xll.FDSB($C$2,"FE_ESTIMATE(EBIT,MEAN,QUARTERLY_ROLL,"&amp;AM$9&amp;","&amp;$C$5&amp;",,,'')")))</f>
        <v>163</v>
      </c>
      <c r="AN29" s="639" cm="1">
        <f t="array" ref="AN29">_xlfn.SINGLE(IF(ISERROR(_xll.FDSB($C$2,"FE_ESTIMATE(EBIT,MEAN,QUARTERLY_ROLL,"&amp;AN$9&amp;","&amp;$C$5&amp;",,,'')")), "--", _xll.FDSB($C$2,"FE_ESTIMATE(EBIT,MEAN,QUARTERLY_ROLL,"&amp;AN$9&amp;","&amp;$C$5&amp;",,,'')")))</f>
        <v>199.78800000000001</v>
      </c>
      <c r="AO29" s="639" cm="1">
        <f t="array" ref="AO29">_xlfn.SINGLE(IF(ISERROR(_xll.FDSB($C$2,"FE_ESTIMATE(EBIT,MEAN,QUARTERLY_ROLL,"&amp;AO$9&amp;","&amp;$C$5&amp;",,,'')")), "--", _xll.FDSB($C$2,"FE_ESTIMATE(EBIT,MEAN,QUARTERLY_ROLL,"&amp;AO$9&amp;","&amp;$C$5&amp;",,,'')")))</f>
        <v>181.01627999999999</v>
      </c>
      <c r="AP29" s="639" cm="1">
        <f t="array" ref="AP29">_xlfn.SINGLE(IF(ISERROR(_xll.FDSB($C$2,"FE_ESTIMATE(EBIT,MEAN,QUARTERLY_ROLL,"&amp;AP$9&amp;","&amp;$C$5&amp;",,,'')")), "--", _xll.FDSB($C$2,"FE_ESTIMATE(EBIT,MEAN,QUARTERLY_ROLL,"&amp;AP$9&amp;","&amp;$C$5&amp;",,,'')")))</f>
        <v>277.91998000000001</v>
      </c>
      <c r="AQ29" s="640" cm="1">
        <f t="array" ref="AQ29">_xlfn.SINGLE(IF(ISERROR(_xll.FDSB($C$2,"FE_ESTIMATE(EBIT,MEAN,ANNUAL_ROLL,"&amp;AQ$9&amp;","&amp;$C$5&amp;",,,'')")), "--", _xll.FDSB($C$2,"FE_ESTIMATE(EBIT,MEAN,ANNUAL_ROLL,"&amp;AQ$9&amp;","&amp;$C$5&amp;",,,'')")))</f>
        <v>802.76639999999998</v>
      </c>
      <c r="AR29" s="639" cm="1">
        <f t="array" ref="AR29">_xlfn.SINGLE(IF(ISERROR(_xll.FDSB($C$2,"FE_ESTIMATE(EBIT,MEAN,QUARTERLY_ROLL,"&amp;AR$9&amp;","&amp;$C$5&amp;",,,'')")), "--", _xll.FDSB($C$2,"FE_ESTIMATE(EBIT,MEAN,QUARTERLY_ROLL,"&amp;AR$9&amp;","&amp;$C$5&amp;",,,'')")))</f>
        <v>475.87506000000002</v>
      </c>
      <c r="AS29" s="639" cm="1">
        <f t="array" ref="AS29">_xlfn.SINGLE(IF(ISERROR(_xll.FDSB($C$2,"FE_ESTIMATE(EBIT,MEAN,QUARTERLY_ROLL,"&amp;AS$9&amp;","&amp;$C$5&amp;",,,'')")), "--", _xll.FDSB($C$2,"FE_ESTIMATE(EBIT,MEAN,QUARTERLY_ROLL,"&amp;AS$9&amp;","&amp;$C$5&amp;",,,'')")))</f>
        <v>633.53070000000002</v>
      </c>
      <c r="AT29" s="639" cm="1">
        <f t="array" ref="AT29">_xlfn.SINGLE(IF(ISERROR(_xll.FDSB($C$2,"FE_ESTIMATE(EBIT,MEAN,QUARTERLY_ROLL,"&amp;AT$9&amp;","&amp;$C$5&amp;",,,'')")), "--", _xll.FDSB($C$2,"FE_ESTIMATE(EBIT,MEAN,QUARTERLY_ROLL,"&amp;AT$9&amp;","&amp;$C$5&amp;",,,'')")))</f>
        <v>701.56539999999995</v>
      </c>
      <c r="AU29" s="639" cm="1">
        <f t="array" ref="AU29">_xlfn.SINGLE(IF(ISERROR(_xll.FDSB($C$2,"FE_ESTIMATE(EBIT,MEAN,QUARTERLY_ROLL,"&amp;AU$9&amp;","&amp;$C$5&amp;",,,'')")), "--", _xll.FDSB($C$2,"FE_ESTIMATE(EBIT,MEAN,QUARTERLY_ROLL,"&amp;AU$9&amp;","&amp;$C$5&amp;",,,'')")))</f>
        <v>836.54470000000003</v>
      </c>
      <c r="AV29" s="640" cm="1">
        <f t="array" ref="AV29">_xlfn.SINGLE(IF(ISERROR(_xll.FDSB($C$2,"FE_ESTIMATE(EBIT,MEAN,ANNUAL_ROLL,"&amp;AV$9&amp;","&amp;$C$5&amp;",,,'')")), "--", _xll.FDSB($C$2,"FE_ESTIMATE(EBIT,MEAN,ANNUAL_ROLL,"&amp;AV$9&amp;","&amp;$C$5&amp;",,,'')")))</f>
        <v>2669.06</v>
      </c>
      <c r="AW29" s="639" cm="1">
        <f t="array" ref="AW29">_xlfn.SINGLE(IF(ISERROR(_xll.FDSB($C$2,"FE_ESTIMATE(EBIT,MEAN,QUARTERLY_ROLL,"&amp;AW$9&amp;","&amp;$C$5&amp;",,,'')")), "--", _xll.FDSB($C$2,"FE_ESTIMATE(EBIT,MEAN,QUARTERLY_ROLL,"&amp;AW$9&amp;","&amp;$C$5&amp;",,,'')")))</f>
        <v>970.42110000000002</v>
      </c>
      <c r="AX29" s="639" cm="1">
        <f t="array" ref="AX29">_xlfn.SINGLE(IF(ISERROR(_xll.FDSB($C$2,"FE_ESTIMATE(EBIT,MEAN,QUARTERLY_ROLL,"&amp;AX$9&amp;","&amp;$C$5&amp;",,,'')")), "--", _xll.FDSB($C$2,"FE_ESTIMATE(EBIT,MEAN,QUARTERLY_ROLL,"&amp;AX$9&amp;","&amp;$C$5&amp;",,,'')")))</f>
        <v>1068.1715999999999</v>
      </c>
      <c r="AY29" s="639" cm="1">
        <f t="array" ref="AY29">_xlfn.SINGLE(IF(ISERROR(_xll.FDSB($C$2,"FE_ESTIMATE(EBIT,MEAN,QUARTERLY_ROLL,"&amp;AY$9&amp;","&amp;$C$5&amp;",,,'')")), "--", _xll.FDSB($C$2,"FE_ESTIMATE(EBIT,MEAN,QUARTERLY_ROLL,"&amp;AY$9&amp;","&amp;$C$5&amp;",,,'')")))</f>
        <v>1147.2551000000001</v>
      </c>
      <c r="AZ29" s="639" cm="1">
        <f t="array" ref="AZ29">_xlfn.SINGLE(IF(ISERROR(_xll.FDSB($C$2,"FE_ESTIMATE(EBIT,MEAN,QUARTERLY_ROLL,"&amp;AZ$9&amp;","&amp;$C$5&amp;",,,'')")), "--", _xll.FDSB($C$2,"FE_ESTIMATE(EBIT,MEAN,QUARTERLY_ROLL,"&amp;AZ$9&amp;","&amp;$C$5&amp;",,,'')")))</f>
        <v>1254.4478999999999</v>
      </c>
      <c r="BA29" s="640" cm="1">
        <f t="array" ref="BA29">_xlfn.SINGLE(IF(ISERROR(_xll.FDSB($C$2,"FE_ESTIMATE(EBIT,MEAN,ANNUAL_ROLL,"&amp;BA$9&amp;","&amp;$C$5&amp;",,,'')")), "--", _xll.FDSB($C$2,"FE_ESTIMATE(EBIT,MEAN,ANNUAL_ROLL,"&amp;BA$9&amp;","&amp;$C$5&amp;",,,'')")))</f>
        <v>4634.8810000000003</v>
      </c>
      <c r="BB29" s="639" t="str" cm="1">
        <f t="array" ref="BB29">_xlfn.SINGLE(IF(ISERROR(_xll.FDSB($C$2,"FE_ESTIMATE(EBIT,MEAN,QUARTERLY_ROLL,"&amp;BB$9&amp;","&amp;$C$5&amp;",,,'')")), "--", _xll.FDSB($C$2,"FE_ESTIMATE(EBIT,MEAN,QUARTERLY_ROLL,"&amp;BB$9&amp;","&amp;$C$5&amp;",,,'')")))</f>
        <v/>
      </c>
      <c r="BC29" s="639" t="str" cm="1">
        <f t="array" ref="BC29">_xlfn.SINGLE(IF(ISERROR(_xll.FDSB($C$2,"FE_ESTIMATE(EBIT,MEAN,QUARTERLY_ROLL,"&amp;BC$9&amp;","&amp;$C$5&amp;",,,'')")), "--", _xll.FDSB($C$2,"FE_ESTIMATE(EBIT,MEAN,QUARTERLY_ROLL,"&amp;BC$9&amp;","&amp;$C$5&amp;",,,'')")))</f>
        <v/>
      </c>
      <c r="BD29" s="639" t="str" cm="1">
        <f t="array" ref="BD29">_xlfn.SINGLE(IF(ISERROR(_xll.FDSB($C$2,"FE_ESTIMATE(EBIT,MEAN,QUARTERLY_ROLL,"&amp;BD$9&amp;","&amp;$C$5&amp;",,,'')")), "--", _xll.FDSB($C$2,"FE_ESTIMATE(EBIT,MEAN,QUARTERLY_ROLL,"&amp;BD$9&amp;","&amp;$C$5&amp;",,,'')")))</f>
        <v/>
      </c>
      <c r="BE29" s="639" t="str" cm="1">
        <f t="array" ref="BE29">_xlfn.SINGLE(IF(ISERROR(_xll.FDSB($C$2,"FE_ESTIMATE(EBIT,MEAN,QUARTERLY_ROLL,"&amp;BE$9&amp;","&amp;$C$5&amp;",,,'')")), "--", _xll.FDSB($C$2,"FE_ESTIMATE(EBIT,MEAN,QUARTERLY_ROLL,"&amp;BE$9&amp;","&amp;$C$5&amp;",,,'')")))</f>
        <v/>
      </c>
      <c r="BF29" s="640" cm="1">
        <f t="array" ref="BF29">_xlfn.SINGLE(IF(ISERROR(_xll.FDSB($C$2,"FE_ESTIMATE(EBIT,MEAN,ANNUAL_ROLL,"&amp;BF$9&amp;","&amp;$C$5&amp;",,,'')")), "--", _xll.FDSB($C$2,"FE_ESTIMATE(EBIT,MEAN,ANNUAL_ROLL,"&amp;BF$9&amp;","&amp;$C$5&amp;",,,'')")))</f>
        <v>6812.1869999999999</v>
      </c>
      <c r="BG29" s="639" t="str" cm="1">
        <f t="array" ref="BG29">_xlfn.SINGLE(IF(ISERROR(_xll.FDSB($C$2,"FE_ESTIMATE(EBIT,MEAN,QUARTERLY_ROLL,"&amp;BG$9&amp;","&amp;$C$5&amp;",,,'')")), "--", _xll.FDSB($C$2,"FE_ESTIMATE(EBIT,MEAN,QUARTERLY_ROLL,"&amp;BG$9&amp;","&amp;$C$5&amp;",,,'')")))</f>
        <v/>
      </c>
      <c r="BH29" s="639" t="str" cm="1">
        <f t="array" ref="BH29">_xlfn.SINGLE(IF(ISERROR(_xll.FDSB($C$2,"FE_ESTIMATE(EBIT,MEAN,QUARTERLY_ROLL,"&amp;BH$9&amp;","&amp;$C$5&amp;",,,'')")), "--", _xll.FDSB($C$2,"FE_ESTIMATE(EBIT,MEAN,QUARTERLY_ROLL,"&amp;BH$9&amp;","&amp;$C$5&amp;",,,'')")))</f>
        <v/>
      </c>
      <c r="BI29" s="639" t="str" cm="1">
        <f t="array" ref="BI29">_xlfn.SINGLE(IF(ISERROR(_xll.FDSB($C$2,"FE_ESTIMATE(EBIT,MEAN,QUARTERLY_ROLL,"&amp;BI$9&amp;","&amp;$C$5&amp;",,,'')")), "--", _xll.FDSB($C$2,"FE_ESTIMATE(EBIT,MEAN,QUARTERLY_ROLL,"&amp;BI$9&amp;","&amp;$C$5&amp;",,,'')")))</f>
        <v/>
      </c>
      <c r="BJ29" s="639" t="str" cm="1">
        <f t="array" ref="BJ29">_xlfn.SINGLE(IF(ISERROR(_xll.FDSB($C$2,"FE_ESTIMATE(EBIT,MEAN,QUARTERLY_ROLL,"&amp;BJ$9&amp;","&amp;$C$5&amp;",,,'')")), "--", _xll.FDSB($C$2,"FE_ESTIMATE(EBIT,MEAN,QUARTERLY_ROLL,"&amp;BJ$9&amp;","&amp;$C$5&amp;",,,'')")))</f>
        <v/>
      </c>
      <c r="BK29" s="640" cm="1">
        <f t="array" ref="BK29">_xlfn.SINGLE(IF(ISERROR(_xll.FDSB($C$2,"FE_ESTIMATE(EBIT,MEAN,ANNUAL_ROLL,"&amp;BK$9&amp;","&amp;$C$5&amp;",,,'')")), "--", _xll.FDSB($C$2,"FE_ESTIMATE(EBIT,MEAN,ANNUAL_ROLL,"&amp;BK$9&amp;","&amp;$C$5&amp;",,,'')")))</f>
        <v>8592.7669999999998</v>
      </c>
    </row>
    <row r="30" spans="1:63" s="66" customFormat="1" ht="12.75" customHeight="1" outlineLevel="1">
      <c r="A30" s="67" t="s">
        <v>132</v>
      </c>
      <c r="B30" s="68" t="s">
        <v>31</v>
      </c>
      <c r="C30" s="68"/>
      <c r="D30" s="69"/>
      <c r="E30" s="69"/>
      <c r="F30" s="69"/>
      <c r="G30" s="69"/>
      <c r="H30" s="70"/>
      <c r="I30" s="69" t="str">
        <f t="shared" ref="I30:AN30" si="12">IFERROR(I29/D29-1,"")</f>
        <v/>
      </c>
      <c r="J30" s="69" t="str">
        <f t="shared" si="12"/>
        <v/>
      </c>
      <c r="K30" s="69" t="str">
        <f t="shared" si="12"/>
        <v/>
      </c>
      <c r="L30" s="69" t="str">
        <f t="shared" si="12"/>
        <v/>
      </c>
      <c r="M30" s="70" t="str">
        <f t="shared" si="12"/>
        <v/>
      </c>
      <c r="N30" s="69" t="str">
        <f t="shared" si="12"/>
        <v/>
      </c>
      <c r="O30" s="69" t="str">
        <f t="shared" si="12"/>
        <v/>
      </c>
      <c r="P30" s="69" t="str">
        <f t="shared" si="12"/>
        <v/>
      </c>
      <c r="Q30" s="69" t="str">
        <f t="shared" si="12"/>
        <v/>
      </c>
      <c r="R30" s="70" t="str">
        <f t="shared" si="12"/>
        <v/>
      </c>
      <c r="S30" s="69" t="str">
        <f t="shared" si="12"/>
        <v/>
      </c>
      <c r="T30" s="69" t="str">
        <f t="shared" si="12"/>
        <v/>
      </c>
      <c r="U30" s="69" t="str">
        <f t="shared" si="12"/>
        <v/>
      </c>
      <c r="V30" s="69" t="str">
        <f t="shared" si="12"/>
        <v/>
      </c>
      <c r="W30" s="70" t="str">
        <f t="shared" si="12"/>
        <v/>
      </c>
      <c r="X30" s="69" t="str">
        <f t="shared" si="12"/>
        <v/>
      </c>
      <c r="Y30" s="69" t="str">
        <f t="shared" si="12"/>
        <v/>
      </c>
      <c r="Z30" s="69" t="str">
        <f t="shared" si="12"/>
        <v/>
      </c>
      <c r="AA30" s="69" t="str">
        <f t="shared" si="12"/>
        <v/>
      </c>
      <c r="AB30" s="70" t="str">
        <f t="shared" si="12"/>
        <v/>
      </c>
      <c r="AC30" s="69" t="str">
        <f t="shared" si="12"/>
        <v/>
      </c>
      <c r="AD30" s="69" t="str">
        <f t="shared" si="12"/>
        <v/>
      </c>
      <c r="AE30" s="69" t="str">
        <f t="shared" si="12"/>
        <v/>
      </c>
      <c r="AF30" s="69" t="str">
        <f t="shared" si="12"/>
        <v/>
      </c>
      <c r="AG30" s="70" t="str">
        <f t="shared" si="12"/>
        <v/>
      </c>
      <c r="AH30" s="69" t="str">
        <f t="shared" si="12"/>
        <v/>
      </c>
      <c r="AI30" s="69" t="str">
        <f t="shared" si="12"/>
        <v/>
      </c>
      <c r="AJ30" s="69" t="str">
        <f t="shared" si="12"/>
        <v/>
      </c>
      <c r="AK30" s="69" t="str">
        <f t="shared" si="12"/>
        <v/>
      </c>
      <c r="AL30" s="70" t="str">
        <f t="shared" si="12"/>
        <v/>
      </c>
      <c r="AM30" s="69" t="str">
        <f t="shared" si="12"/>
        <v/>
      </c>
      <c r="AN30" s="69" t="str">
        <f t="shared" si="12"/>
        <v/>
      </c>
      <c r="AO30" s="69" t="str">
        <f t="shared" ref="AO30:BK30" si="13">IFERROR(AO29/AJ29-1,"")</f>
        <v/>
      </c>
      <c r="AP30" s="69">
        <f t="shared" si="13"/>
        <v>1.3183912539117433</v>
      </c>
      <c r="AQ30" s="70">
        <f t="shared" si="13"/>
        <v>1.2555609786566051</v>
      </c>
      <c r="AR30" s="69">
        <f t="shared" si="13"/>
        <v>1.9194788957055215</v>
      </c>
      <c r="AS30" s="69">
        <f t="shared" si="13"/>
        <v>2.171014775662202</v>
      </c>
      <c r="AT30" s="69">
        <f t="shared" si="13"/>
        <v>2.8757033345288057</v>
      </c>
      <c r="AU30" s="69">
        <f t="shared" si="13"/>
        <v>2.0100200064781237</v>
      </c>
      <c r="AV30" s="70">
        <f t="shared" si="13"/>
        <v>2.3248277456555231</v>
      </c>
      <c r="AW30" s="69">
        <f t="shared" si="13"/>
        <v>1.0392350462745412</v>
      </c>
      <c r="AX30" s="69">
        <f t="shared" si="13"/>
        <v>0.68606130689483535</v>
      </c>
      <c r="AY30" s="69">
        <f t="shared" si="13"/>
        <v>0.63527890628585748</v>
      </c>
      <c r="AZ30" s="69">
        <f t="shared" si="13"/>
        <v>0.49955872053220807</v>
      </c>
      <c r="BA30" s="70">
        <f t="shared" si="13"/>
        <v>0.73652184664263842</v>
      </c>
      <c r="BB30" s="69" t="str">
        <f t="shared" si="13"/>
        <v/>
      </c>
      <c r="BC30" s="69" t="str">
        <f t="shared" si="13"/>
        <v/>
      </c>
      <c r="BD30" s="69" t="str">
        <f t="shared" si="13"/>
        <v/>
      </c>
      <c r="BE30" s="69" t="str">
        <f t="shared" si="13"/>
        <v/>
      </c>
      <c r="BF30" s="70">
        <f t="shared" si="13"/>
        <v>0.46976524316374024</v>
      </c>
      <c r="BG30" s="69" t="str">
        <f t="shared" si="13"/>
        <v/>
      </c>
      <c r="BH30" s="69" t="str">
        <f t="shared" si="13"/>
        <v/>
      </c>
      <c r="BI30" s="69" t="str">
        <f t="shared" si="13"/>
        <v/>
      </c>
      <c r="BJ30" s="69" t="str">
        <f t="shared" si="13"/>
        <v/>
      </c>
      <c r="BK30" s="70">
        <f t="shared" si="13"/>
        <v>0.26138155044774902</v>
      </c>
    </row>
    <row r="31" spans="1:63" s="66" customFormat="1" ht="12.75" customHeight="1" outlineLevel="1">
      <c r="A31" s="67" t="s">
        <v>131</v>
      </c>
      <c r="B31" s="68" t="s">
        <v>33</v>
      </c>
      <c r="C31" s="68"/>
      <c r="D31" s="69"/>
      <c r="E31" s="69"/>
      <c r="F31" s="69"/>
      <c r="G31" s="69"/>
      <c r="H31" s="72"/>
      <c r="I31" s="69" t="str">
        <f>IFERROR(I29/G29-1,"")</f>
        <v/>
      </c>
      <c r="J31" s="69" t="str">
        <f>IFERROR(J29/I29-1,"")</f>
        <v/>
      </c>
      <c r="K31" s="69" t="str">
        <f>IFERROR(K29/J29-1,"")</f>
        <v/>
      </c>
      <c r="L31" s="69" t="str">
        <f>IFERROR(L29/K29-1,"")</f>
        <v/>
      </c>
      <c r="M31" s="72"/>
      <c r="N31" s="69" t="str">
        <f>IFERROR(N29/L29-1,"")</f>
        <v/>
      </c>
      <c r="O31" s="69" t="str">
        <f>IFERROR(O29/N29-1,"")</f>
        <v/>
      </c>
      <c r="P31" s="69" t="str">
        <f>IFERROR(P29/O29-1,"")</f>
        <v/>
      </c>
      <c r="Q31" s="69" t="str">
        <f>IFERROR(Q29/P29-1,"")</f>
        <v/>
      </c>
      <c r="R31" s="72"/>
      <c r="S31" s="69" t="str">
        <f>IFERROR(S29/Q29-1,"")</f>
        <v/>
      </c>
      <c r="T31" s="69" t="str">
        <f>IFERROR(T29/S29-1,"")</f>
        <v/>
      </c>
      <c r="U31" s="69" t="str">
        <f>IFERROR(U29/T29-1,"")</f>
        <v/>
      </c>
      <c r="V31" s="69" t="str">
        <f>IFERROR(V29/U29-1,"")</f>
        <v/>
      </c>
      <c r="W31" s="72"/>
      <c r="X31" s="69" t="str">
        <f>IFERROR(X29/V29-1,"")</f>
        <v/>
      </c>
      <c r="Y31" s="69" t="str">
        <f>IFERROR(Y29/X29-1,"")</f>
        <v/>
      </c>
      <c r="Z31" s="69" t="str">
        <f>IFERROR(Z29/Y29-1,"")</f>
        <v/>
      </c>
      <c r="AA31" s="69" t="str">
        <f>IFERROR(AA29/Z29-1,"")</f>
        <v/>
      </c>
      <c r="AB31" s="72"/>
      <c r="AC31" s="69" t="str">
        <f>IFERROR(AC29/AA29-1,"")</f>
        <v/>
      </c>
      <c r="AD31" s="69" t="str">
        <f>IFERROR(AD29/AC29-1,"")</f>
        <v/>
      </c>
      <c r="AE31" s="69" t="str">
        <f>IFERROR(AE29/AD29-1,"")</f>
        <v/>
      </c>
      <c r="AF31" s="69" t="str">
        <f>IFERROR(AF29/AE29-1,"")</f>
        <v/>
      </c>
      <c r="AG31" s="72"/>
      <c r="AH31" s="69" t="str">
        <f>IFERROR(AH29/AF29-1,"")</f>
        <v/>
      </c>
      <c r="AI31" s="69" t="str">
        <f>IFERROR(AI29/AH29-1,"")</f>
        <v/>
      </c>
      <c r="AJ31" s="69" t="str">
        <f>IFERROR(AJ29/AI29-1,"")</f>
        <v/>
      </c>
      <c r="AK31" s="69" t="str">
        <f>IFERROR(AK29/AJ29-1,"")</f>
        <v/>
      </c>
      <c r="AL31" s="72"/>
      <c r="AM31" s="69">
        <f>IFERROR(AM29/AK29-1,"")</f>
        <v>0.3597359009151273</v>
      </c>
      <c r="AN31" s="69">
        <f>IFERROR(AN29/AM29-1,"")</f>
        <v>0.22569325153374242</v>
      </c>
      <c r="AO31" s="69">
        <f>IFERROR(AO29/AN29-1,"")</f>
        <v>-9.3958195687428803E-2</v>
      </c>
      <c r="AP31" s="69">
        <f>IFERROR(AP29/AO29-1,"")</f>
        <v>0.53533140776067234</v>
      </c>
      <c r="AQ31" s="72"/>
      <c r="AR31" s="69">
        <f>IFERROR(AR29/AP29-1,"")</f>
        <v>0.71227365517225505</v>
      </c>
      <c r="AS31" s="69">
        <f>IFERROR(AS29/AR29-1,"")</f>
        <v>0.33129628604617345</v>
      </c>
      <c r="AT31" s="69">
        <f>IFERROR(AT29/AS29-1,"")</f>
        <v>0.10738974449067729</v>
      </c>
      <c r="AU31" s="69">
        <f>IFERROR(AU29/AT29-1,"")</f>
        <v>0.19239731605920141</v>
      </c>
      <c r="AV31" s="72"/>
      <c r="AW31" s="69">
        <f>IFERROR(AW29/AU29-1,"")</f>
        <v>0.16003496286570229</v>
      </c>
      <c r="AX31" s="69">
        <f>IFERROR(AX29/AW29-1,"")</f>
        <v>0.10072998206654815</v>
      </c>
      <c r="AY31" s="69">
        <f>IFERROR(AY29/AX29-1,"")</f>
        <v>7.4036325249613677E-2</v>
      </c>
      <c r="AZ31" s="69">
        <f>IFERROR(AZ29/AY29-1,"")</f>
        <v>9.3434145553155323E-2</v>
      </c>
      <c r="BA31" s="72"/>
      <c r="BB31" s="69" t="str">
        <f>IFERROR(BB29/AZ29-1,"")</f>
        <v/>
      </c>
      <c r="BC31" s="69" t="str">
        <f>IFERROR(BC29/BB29-1,"")</f>
        <v/>
      </c>
      <c r="BD31" s="69" t="str">
        <f>IFERROR(BD29/BC29-1,"")</f>
        <v/>
      </c>
      <c r="BE31" s="69" t="str">
        <f>IFERROR(BE29/BD29-1,"")</f>
        <v/>
      </c>
      <c r="BF31" s="72"/>
      <c r="BG31" s="69" t="str">
        <f>IFERROR(BG29/BE29-1,"")</f>
        <v/>
      </c>
      <c r="BH31" s="69" t="str">
        <f>IFERROR(BH29/BG29-1,"")</f>
        <v/>
      </c>
      <c r="BI31" s="69" t="str">
        <f>IFERROR(BI29/BH29-1,"")</f>
        <v/>
      </c>
      <c r="BJ31" s="69" t="str">
        <f>IFERROR(BJ29/BI29-1,"")</f>
        <v/>
      </c>
      <c r="BK31" s="72"/>
    </row>
    <row r="32" spans="1:63" s="71" customFormat="1" ht="12.75" customHeight="1" outlineLevel="1">
      <c r="A32" s="67" t="s">
        <v>134</v>
      </c>
      <c r="B32" s="68" t="s">
        <v>39</v>
      </c>
      <c r="C32" s="68"/>
      <c r="D32" s="69"/>
      <c r="E32" s="69"/>
      <c r="F32" s="69"/>
      <c r="G32" s="69"/>
      <c r="H32" s="70"/>
      <c r="I32" s="69" t="str">
        <f t="shared" ref="I32:AN32" si="14">IFERROR(I29/I12,"--")</f>
        <v>--</v>
      </c>
      <c r="J32" s="69" t="str">
        <f t="shared" si="14"/>
        <v>--</v>
      </c>
      <c r="K32" s="69" t="str">
        <f t="shared" si="14"/>
        <v>--</v>
      </c>
      <c r="L32" s="69" t="str">
        <f t="shared" si="14"/>
        <v>--</v>
      </c>
      <c r="M32" s="70" t="str">
        <f t="shared" si="14"/>
        <v>--</v>
      </c>
      <c r="N32" s="69" t="str">
        <f t="shared" si="14"/>
        <v>--</v>
      </c>
      <c r="O32" s="69" t="str">
        <f t="shared" si="14"/>
        <v>--</v>
      </c>
      <c r="P32" s="69" t="str">
        <f t="shared" si="14"/>
        <v>--</v>
      </c>
      <c r="Q32" s="69" t="str">
        <f t="shared" si="14"/>
        <v>--</v>
      </c>
      <c r="R32" s="70" t="str">
        <f t="shared" si="14"/>
        <v>--</v>
      </c>
      <c r="S32" s="69" t="str">
        <f t="shared" si="14"/>
        <v>--</v>
      </c>
      <c r="T32" s="69" t="str">
        <f t="shared" si="14"/>
        <v>--</v>
      </c>
      <c r="U32" s="69" t="str">
        <f t="shared" si="14"/>
        <v>--</v>
      </c>
      <c r="V32" s="69" t="str">
        <f t="shared" si="14"/>
        <v>--</v>
      </c>
      <c r="W32" s="70" t="str">
        <f t="shared" si="14"/>
        <v>--</v>
      </c>
      <c r="X32" s="69" t="str">
        <f t="shared" si="14"/>
        <v>--</v>
      </c>
      <c r="Y32" s="69" t="str">
        <f t="shared" si="14"/>
        <v>--</v>
      </c>
      <c r="Z32" s="69" t="str">
        <f t="shared" si="14"/>
        <v>--</v>
      </c>
      <c r="AA32" s="69" t="str">
        <f t="shared" si="14"/>
        <v>--</v>
      </c>
      <c r="AB32" s="70" t="str">
        <f t="shared" si="14"/>
        <v>--</v>
      </c>
      <c r="AC32" s="69" t="str">
        <f t="shared" si="14"/>
        <v>--</v>
      </c>
      <c r="AD32" s="69" t="str">
        <f t="shared" si="14"/>
        <v>--</v>
      </c>
      <c r="AE32" s="69" t="str">
        <f t="shared" si="14"/>
        <v>--</v>
      </c>
      <c r="AF32" s="69" t="str">
        <f t="shared" si="14"/>
        <v>--</v>
      </c>
      <c r="AG32" s="70" t="str">
        <f t="shared" si="14"/>
        <v>--</v>
      </c>
      <c r="AH32" s="69" t="str">
        <f t="shared" si="14"/>
        <v>--</v>
      </c>
      <c r="AI32" s="69" t="str">
        <f t="shared" si="14"/>
        <v>--</v>
      </c>
      <c r="AJ32" s="69" t="str">
        <f t="shared" si="14"/>
        <v>--</v>
      </c>
      <c r="AK32" s="69">
        <f t="shared" si="14"/>
        <v>0.16041690977080589</v>
      </c>
      <c r="AL32" s="70">
        <f t="shared" si="14"/>
        <v>0.1858252286871139</v>
      </c>
      <c r="AM32" s="69">
        <f t="shared" si="14"/>
        <v>0.16605000651975488</v>
      </c>
      <c r="AN32" s="69">
        <f t="shared" si="14"/>
        <v>0.16473447956279252</v>
      </c>
      <c r="AO32" s="69">
        <f t="shared" ref="AO32:BK32" si="15">IFERROR(AO29/AO12,"--")</f>
        <v>0.14067314829198913</v>
      </c>
      <c r="AP32" s="69">
        <f t="shared" si="15"/>
        <v>0.15481870467672623</v>
      </c>
      <c r="AQ32" s="70">
        <f t="shared" si="15"/>
        <v>0.15183183183183183</v>
      </c>
      <c r="AR32" s="69">
        <f t="shared" si="15"/>
        <v>0.18997847170417984</v>
      </c>
      <c r="AS32" s="69">
        <f t="shared" si="15"/>
        <v>0.21811988871914503</v>
      </c>
      <c r="AT32" s="69">
        <f t="shared" si="15"/>
        <v>0.22412515080715067</v>
      </c>
      <c r="AU32" s="69">
        <f t="shared" si="15"/>
        <v>0.23801264230560329</v>
      </c>
      <c r="AV32" s="70">
        <f t="shared" si="15"/>
        <v>0.21715709111394282</v>
      </c>
      <c r="AW32" s="69">
        <f t="shared" si="15"/>
        <v>0.25456610814002817</v>
      </c>
      <c r="AX32" s="69">
        <f t="shared" si="15"/>
        <v>0.26005187980609379</v>
      </c>
      <c r="AY32" s="69">
        <f t="shared" si="15"/>
        <v>0.25914338386559799</v>
      </c>
      <c r="AZ32" s="69">
        <f t="shared" si="15"/>
        <v>0.26558597654578359</v>
      </c>
      <c r="BA32" s="70">
        <f t="shared" si="15"/>
        <v>0.2501088014710553</v>
      </c>
      <c r="BB32" s="69" t="str">
        <f t="shared" si="15"/>
        <v>--</v>
      </c>
      <c r="BC32" s="69" t="str">
        <f t="shared" si="15"/>
        <v>--</v>
      </c>
      <c r="BD32" s="69" t="str">
        <f t="shared" si="15"/>
        <v>--</v>
      </c>
      <c r="BE32" s="69" t="str">
        <f t="shared" si="15"/>
        <v>--</v>
      </c>
      <c r="BF32" s="70">
        <f t="shared" si="15"/>
        <v>0.26368050881664273</v>
      </c>
      <c r="BG32" s="69" t="str">
        <f t="shared" si="15"/>
        <v>--</v>
      </c>
      <c r="BH32" s="69" t="str">
        <f t="shared" si="15"/>
        <v>--</v>
      </c>
      <c r="BI32" s="69" t="str">
        <f t="shared" si="15"/>
        <v>--</v>
      </c>
      <c r="BJ32" s="69" t="str">
        <f t="shared" si="15"/>
        <v>--</v>
      </c>
      <c r="BK32" s="70">
        <f t="shared" si="15"/>
        <v>0.26852690576303179</v>
      </c>
    </row>
    <row r="33" spans="1:63" s="71" customFormat="1" ht="12.75" customHeight="1" outlineLevel="1">
      <c r="A33" s="67"/>
      <c r="B33" s="68"/>
      <c r="C33" s="68"/>
      <c r="D33" s="69"/>
      <c r="E33" s="69"/>
      <c r="F33" s="69"/>
      <c r="G33" s="69"/>
      <c r="H33" s="70"/>
      <c r="I33" s="69"/>
      <c r="J33" s="69"/>
      <c r="K33" s="69"/>
      <c r="L33" s="69"/>
      <c r="M33" s="70"/>
      <c r="N33" s="69"/>
      <c r="O33" s="69"/>
      <c r="P33" s="69"/>
      <c r="Q33" s="69"/>
      <c r="R33" s="70"/>
      <c r="S33" s="69"/>
      <c r="T33" s="69"/>
      <c r="U33" s="69"/>
      <c r="V33" s="69"/>
      <c r="W33" s="70"/>
      <c r="X33" s="69"/>
      <c r="Y33" s="69"/>
      <c r="Z33" s="69"/>
      <c r="AA33" s="69"/>
      <c r="AB33" s="70"/>
      <c r="AC33" s="69"/>
      <c r="AD33" s="69"/>
      <c r="AE33" s="69"/>
      <c r="AF33" s="69"/>
      <c r="AG33" s="70"/>
      <c r="AH33" s="69"/>
      <c r="AI33" s="69"/>
      <c r="AJ33" s="69"/>
      <c r="AK33" s="69"/>
      <c r="AL33" s="70"/>
      <c r="AM33" s="69"/>
      <c r="AN33" s="69"/>
      <c r="AO33" s="69"/>
      <c r="AP33" s="69"/>
      <c r="AQ33" s="70"/>
      <c r="AR33" s="69"/>
      <c r="AS33" s="69"/>
      <c r="AT33" s="69"/>
      <c r="AU33" s="69"/>
      <c r="AV33" s="70"/>
      <c r="AW33" s="69"/>
      <c r="AX33" s="69"/>
      <c r="AY33" s="69"/>
      <c r="AZ33" s="69"/>
      <c r="BA33" s="70"/>
      <c r="BB33" s="69"/>
      <c r="BC33" s="69"/>
      <c r="BD33" s="69"/>
      <c r="BE33" s="69"/>
      <c r="BF33" s="70"/>
      <c r="BG33" s="69"/>
      <c r="BH33" s="69"/>
      <c r="BI33" s="69"/>
      <c r="BJ33" s="69"/>
      <c r="BK33" s="70"/>
    </row>
    <row r="34" spans="1:63" s="66" customFormat="1" ht="12.75" customHeight="1" outlineLevel="1">
      <c r="A34" s="62" t="s">
        <v>164</v>
      </c>
      <c r="B34" s="461" t="s">
        <v>163</v>
      </c>
      <c r="C34" s="63"/>
      <c r="D34" s="64"/>
      <c r="E34" s="64"/>
      <c r="F34" s="64"/>
      <c r="G34" s="64"/>
      <c r="H34" s="65"/>
      <c r="I34" s="76" t="str" cm="1">
        <f t="array" ref="I34">_xlfn.SINGLE(IF(ISERROR(_xll.FDSB($C$2,"FE_ESTIMATE(EAG,MEAN,QUARTERLY_ROLL,"&amp;I$9&amp;","&amp;$C$5&amp;",,,'')")), "--", _xll.FDSB($C$2,"FE_ESTIMATE(EAG,MEAN,QUARTERLY_ROLL,"&amp;I$9&amp;","&amp;$C$5&amp;",,,'')")))</f>
        <v>--</v>
      </c>
      <c r="J34" s="76" t="str" cm="1">
        <f t="array" ref="J34">_xlfn.SINGLE(IF(ISERROR(_xll.FDSB($C$2,"FE_ESTIMATE(EAG,MEAN,QUARTERLY_ROLL,"&amp;J$9&amp;","&amp;$C$5&amp;",,,'')")), "--", _xll.FDSB($C$2,"FE_ESTIMATE(EAG,MEAN,QUARTERLY_ROLL,"&amp;J$9&amp;","&amp;$C$5&amp;",,,'')")))</f>
        <v>--</v>
      </c>
      <c r="K34" s="76" t="str" cm="1">
        <f t="array" ref="K34">_xlfn.SINGLE(IF(ISERROR(_xll.FDSB($C$2,"FE_ESTIMATE(EAG,MEAN,QUARTERLY_ROLL,"&amp;K$9&amp;","&amp;$C$5&amp;",,,'')")), "--", _xll.FDSB($C$2,"FE_ESTIMATE(EAG,MEAN,QUARTERLY_ROLL,"&amp;K$9&amp;","&amp;$C$5&amp;",,,'')")))</f>
        <v>--</v>
      </c>
      <c r="L34" s="76" t="str" cm="1">
        <f t="array" ref="L34">_xlfn.SINGLE(IF(ISERROR(_xll.FDSB($C$2,"FE_ESTIMATE(EAG,MEAN,QUARTERLY_ROLL,"&amp;L$9&amp;","&amp;$C$5&amp;",,,'')")), "--", _xll.FDSB($C$2,"FE_ESTIMATE(EAG,MEAN,QUARTERLY_ROLL,"&amp;L$9&amp;","&amp;$C$5&amp;",,,'')")))</f>
        <v>--</v>
      </c>
      <c r="M34" s="77" t="str" cm="1">
        <f t="array" ref="M34">_xlfn.SINGLE(IF(ISERROR(_xll.FDSB($C$2,"FE_ESTIMATE(EAG,MEAN,ANNUAL_ROLL,"&amp;M$9&amp;","&amp;$C$5&amp;",,,'')")), "--", _xll.FDSB($C$2,"FE_ESTIMATE(EAG,MEAN,ANNUAL_ROLL,"&amp;M$9&amp;","&amp;$C$5&amp;",,,'')")))</f>
        <v>--</v>
      </c>
      <c r="N34" s="76" t="str" cm="1">
        <f t="array" ref="N34">_xlfn.SINGLE(IF(ISERROR(_xll.FDSB($C$2,"FE_ESTIMATE(EAG,MEAN,QUARTERLY_ROLL,"&amp;N$9&amp;","&amp;$C$5&amp;",,,'')")), "--", _xll.FDSB($C$2,"FE_ESTIMATE(EAG,MEAN,QUARTERLY_ROLL,"&amp;N$9&amp;","&amp;$C$5&amp;",,,'')")))</f>
        <v>--</v>
      </c>
      <c r="O34" s="76" t="str" cm="1">
        <f t="array" ref="O34">_xlfn.SINGLE(IF(ISERROR(_xll.FDSB($C$2,"FE_ESTIMATE(EAG,MEAN,QUARTERLY_ROLL,"&amp;O$9&amp;","&amp;$C$5&amp;",,,'')")), "--", _xll.FDSB($C$2,"FE_ESTIMATE(EAG,MEAN,QUARTERLY_ROLL,"&amp;O$9&amp;","&amp;$C$5&amp;",,,'')")))</f>
        <v>--</v>
      </c>
      <c r="P34" s="76" t="str" cm="1">
        <f t="array" ref="P34">_xlfn.SINGLE(IF(ISERROR(_xll.FDSB($C$2,"FE_ESTIMATE(EAG,MEAN,QUARTERLY_ROLL,"&amp;P$9&amp;","&amp;$C$5&amp;",,,'')")), "--", _xll.FDSB($C$2,"FE_ESTIMATE(EAG,MEAN,QUARTERLY_ROLL,"&amp;P$9&amp;","&amp;$C$5&amp;",,,'')")))</f>
        <v>--</v>
      </c>
      <c r="Q34" s="76" t="str" cm="1">
        <f t="array" ref="Q34">_xlfn.SINGLE(IF(ISERROR(_xll.FDSB($C$2,"FE_ESTIMATE(EAG,MEAN,QUARTERLY_ROLL,"&amp;Q$9&amp;","&amp;$C$5&amp;",,,'')")), "--", _xll.FDSB($C$2,"FE_ESTIMATE(EAG,MEAN,QUARTERLY_ROLL,"&amp;Q$9&amp;","&amp;$C$5&amp;",,,'')")))</f>
        <v>--</v>
      </c>
      <c r="R34" s="77" t="str" cm="1">
        <f t="array" ref="R34">_xlfn.SINGLE(IF(ISERROR(_xll.FDSB($C$2,"FE_ESTIMATE(EAG,MEAN,ANNUAL_ROLL,"&amp;R$9&amp;","&amp;$C$5&amp;",,,'')")), "--", _xll.FDSB($C$2,"FE_ESTIMATE(EAG,MEAN,ANNUAL_ROLL,"&amp;R$9&amp;","&amp;$C$5&amp;",,,'')")))</f>
        <v>--</v>
      </c>
      <c r="S34" s="76" t="str" cm="1">
        <f t="array" ref="S34">_xlfn.SINGLE(IF(ISERROR(_xll.FDSB($C$2,"FE_ESTIMATE(EAG,MEAN,QUARTERLY_ROLL,"&amp;S$9&amp;","&amp;$C$5&amp;",,,'')")), "--", _xll.FDSB($C$2,"FE_ESTIMATE(EAG,MEAN,QUARTERLY_ROLL,"&amp;S$9&amp;","&amp;$C$5&amp;",,,'')")))</f>
        <v>--</v>
      </c>
      <c r="T34" s="76" t="str" cm="1">
        <f t="array" ref="T34">_xlfn.SINGLE(IF(ISERROR(_xll.FDSB($C$2,"FE_ESTIMATE(EAG,MEAN,QUARTERLY_ROLL,"&amp;T$9&amp;","&amp;$C$5&amp;",,,'')")), "--", _xll.FDSB($C$2,"FE_ESTIMATE(EAG,MEAN,QUARTERLY_ROLL,"&amp;T$9&amp;","&amp;$C$5&amp;",,,'')")))</f>
        <v>--</v>
      </c>
      <c r="U34" s="76" t="str" cm="1">
        <f t="array" ref="U34">_xlfn.SINGLE(IF(ISERROR(_xll.FDSB($C$2,"FE_ESTIMATE(EAG,MEAN,QUARTERLY_ROLL,"&amp;U$9&amp;","&amp;$C$5&amp;",,,'')")), "--", _xll.FDSB($C$2,"FE_ESTIMATE(EAG,MEAN,QUARTERLY_ROLL,"&amp;U$9&amp;","&amp;$C$5&amp;",,,'')")))</f>
        <v>--</v>
      </c>
      <c r="V34" s="76" t="str" cm="1">
        <f t="array" ref="V34">_xlfn.SINGLE(IF(ISERROR(_xll.FDSB($C$2,"FE_ESTIMATE(EAG,MEAN,QUARTERLY_ROLL,"&amp;V$9&amp;","&amp;$C$5&amp;",,,'')")), "--", _xll.FDSB($C$2,"FE_ESTIMATE(EAG,MEAN,QUARTERLY_ROLL,"&amp;V$9&amp;","&amp;$C$5&amp;",,,'')")))</f>
        <v>--</v>
      </c>
      <c r="W34" s="77" t="str" cm="1">
        <f t="array" ref="W34">_xlfn.SINGLE(IF(ISERROR(_xll.FDSB($C$2,"FE_ESTIMATE(EAG,MEAN,ANNUAL_ROLL,"&amp;W$9&amp;","&amp;$C$5&amp;",,,'')")), "--", _xll.FDSB($C$2,"FE_ESTIMATE(EAG,MEAN,ANNUAL_ROLL,"&amp;W$9&amp;","&amp;$C$5&amp;",,,'')")))</f>
        <v>--</v>
      </c>
      <c r="X34" s="76" t="str" cm="1">
        <f t="array" ref="X34">_xlfn.SINGLE(IF(ISERROR(_xll.FDSB($C$2,"FE_ESTIMATE(EAG,MEAN,QUARTERLY_ROLL,"&amp;X$9&amp;","&amp;$C$5&amp;",,,'')")), "--", _xll.FDSB($C$2,"FE_ESTIMATE(EAG,MEAN,QUARTERLY_ROLL,"&amp;X$9&amp;","&amp;$C$5&amp;",,,'')")))</f>
        <v/>
      </c>
      <c r="Y34" s="76" t="str" cm="1">
        <f t="array" ref="Y34">_xlfn.SINGLE(IF(ISERROR(_xll.FDSB($C$2,"FE_ESTIMATE(EAG,MEAN,QUARTERLY_ROLL,"&amp;Y$9&amp;","&amp;$C$5&amp;",,,'')")), "--", _xll.FDSB($C$2,"FE_ESTIMATE(EAG,MEAN,QUARTERLY_ROLL,"&amp;Y$9&amp;","&amp;$C$5&amp;",,,'')")))</f>
        <v/>
      </c>
      <c r="Z34" s="76" t="str" cm="1">
        <f t="array" ref="Z34">_xlfn.SINGLE(IF(ISERROR(_xll.FDSB($C$2,"FE_ESTIMATE(EAG,MEAN,QUARTERLY_ROLL,"&amp;Z$9&amp;","&amp;$C$5&amp;",,,'')")), "--", _xll.FDSB($C$2,"FE_ESTIMATE(EAG,MEAN,QUARTERLY_ROLL,"&amp;Z$9&amp;","&amp;$C$5&amp;",,,'')")))</f>
        <v/>
      </c>
      <c r="AA34" s="76" t="str" cm="1">
        <f t="array" ref="AA34">_xlfn.SINGLE(IF(ISERROR(_xll.FDSB($C$2,"FE_ESTIMATE(EAG,MEAN,QUARTERLY_ROLL,"&amp;AA$9&amp;","&amp;$C$5&amp;",,,'')")), "--", _xll.FDSB($C$2,"FE_ESTIMATE(EAG,MEAN,QUARTERLY_ROLL,"&amp;AA$9&amp;","&amp;$C$5&amp;",,,'')")))</f>
        <v/>
      </c>
      <c r="AB34" s="77" t="str" cm="1">
        <f t="array" ref="AB34">_xlfn.SINGLE(IF(ISERROR(_xll.FDSB($C$2,"FE_ESTIMATE(EAG,MEAN,ANNUAL_ROLL,"&amp;AB$9&amp;","&amp;$C$5&amp;",,,'')")), "--", _xll.FDSB($C$2,"FE_ESTIMATE(EAG,MEAN,ANNUAL_ROLL,"&amp;AB$9&amp;","&amp;$C$5&amp;",,,'')")))</f>
        <v/>
      </c>
      <c r="AC34" s="76" t="str" cm="1">
        <f t="array" ref="AC34">_xlfn.SINGLE(IF(ISERROR(_xll.FDSB($C$2,"FE_ESTIMATE(EAG,MEAN,QUARTERLY_ROLL,"&amp;AC$9&amp;","&amp;$C$5&amp;",,,'')")), "--", _xll.FDSB($C$2,"FE_ESTIMATE(EAG,MEAN,QUARTERLY_ROLL,"&amp;AC$9&amp;","&amp;$C$5&amp;",,,'')")))</f>
        <v/>
      </c>
      <c r="AD34" s="76" t="str" cm="1">
        <f t="array" ref="AD34">_xlfn.SINGLE(IF(ISERROR(_xll.FDSB($C$2,"FE_ESTIMATE(EAG,MEAN,QUARTERLY_ROLL,"&amp;AD$9&amp;","&amp;$C$5&amp;",,,'')")), "--", _xll.FDSB($C$2,"FE_ESTIMATE(EAG,MEAN,QUARTERLY_ROLL,"&amp;AD$9&amp;","&amp;$C$5&amp;",,,'')")))</f>
        <v/>
      </c>
      <c r="AE34" s="76" t="str" cm="1">
        <f t="array" ref="AE34">_xlfn.SINGLE(IF(ISERROR(_xll.FDSB($C$2,"FE_ESTIMATE(EAG,MEAN,QUARTERLY_ROLL,"&amp;AE$9&amp;","&amp;$C$5&amp;",,,'')")), "--", _xll.FDSB($C$2,"FE_ESTIMATE(EAG,MEAN,QUARTERLY_ROLL,"&amp;AE$9&amp;","&amp;$C$5&amp;",,,'')")))</f>
        <v/>
      </c>
      <c r="AF34" s="76" t="str" cm="1">
        <f t="array" ref="AF34">_xlfn.SINGLE(IF(ISERROR(_xll.FDSB($C$2,"FE_ESTIMATE(EAG,MEAN,QUARTERLY_ROLL,"&amp;AF$9&amp;","&amp;$C$5&amp;",,,'')")), "--", _xll.FDSB($C$2,"FE_ESTIMATE(EAG,MEAN,QUARTERLY_ROLL,"&amp;AF$9&amp;","&amp;$C$5&amp;",,,'')")))</f>
        <v/>
      </c>
      <c r="AG34" s="77" t="str" cm="1">
        <f t="array" ref="AG34">_xlfn.SINGLE(IF(ISERROR(_xll.FDSB($C$2,"FE_ESTIMATE(EAG,MEAN,ANNUAL_ROLL,"&amp;AG$9&amp;","&amp;$C$5&amp;",,,'')")), "--", _xll.FDSB($C$2,"FE_ESTIMATE(EAG,MEAN,ANNUAL_ROLL,"&amp;AG$9&amp;","&amp;$C$5&amp;",,,'')")))</f>
        <v/>
      </c>
      <c r="AH34" s="76" t="str" cm="1">
        <f t="array" ref="AH34">_xlfn.SINGLE(IF(ISERROR(_xll.FDSB($C$2,"FE_ESTIMATE(EAG,MEAN,QUARTERLY_ROLL,"&amp;AH$9&amp;","&amp;$C$5&amp;",,,'')")), "--", _xll.FDSB($C$2,"FE_ESTIMATE(EAG,MEAN,QUARTERLY_ROLL,"&amp;AH$9&amp;","&amp;$C$5&amp;",,,'')")))</f>
        <v/>
      </c>
      <c r="AI34" s="76" t="str" cm="1">
        <f t="array" ref="AI34">_xlfn.SINGLE(IF(ISERROR(_xll.FDSB($C$2,"FE_ESTIMATE(EAG,MEAN,QUARTERLY_ROLL,"&amp;AI$9&amp;","&amp;$C$5&amp;",,,'')")), "--", _xll.FDSB($C$2,"FE_ESTIMATE(EAG,MEAN,QUARTERLY_ROLL,"&amp;AI$9&amp;","&amp;$C$5&amp;",,,'')")))</f>
        <v/>
      </c>
      <c r="AJ34" s="76" t="str" cm="1">
        <f t="array" ref="AJ34">_xlfn.SINGLE(IF(ISERROR(_xll.FDSB($C$2,"FE_ESTIMATE(EAG,MEAN,QUARTERLY_ROLL,"&amp;AJ$9&amp;","&amp;$C$5&amp;",,,'')")), "--", _xll.FDSB($C$2,"FE_ESTIMATE(EAG,MEAN,QUARTERLY_ROLL,"&amp;AJ$9&amp;","&amp;$C$5&amp;",,,'')")))</f>
        <v/>
      </c>
      <c r="AK34" s="76" cm="1">
        <f t="array" ref="AK34">_xlfn.SINGLE(IF(ISERROR(_xll.FDSB($C$2,"FE_ESTIMATE(EAG,MEAN,QUARTERLY_ROLL,"&amp;AK$9&amp;","&amp;$C$5&amp;",,,'')")), "--", _xll.FDSB($C$2,"FE_ESTIMATE(EAG,MEAN,QUARTERLY_ROLL,"&amp;AK$9&amp;","&amp;$C$5&amp;",,,'')")))</f>
        <v>-0.21</v>
      </c>
      <c r="AL34" s="77" cm="1">
        <f t="array" ref="AL34">_xlfn.SINGLE(IF(ISERROR(_xll.FDSB($C$2,"FE_ESTIMATE(EAG,MEAN,ANNUAL_ROLL,"&amp;AL$9&amp;","&amp;$C$5&amp;",,,'')")), "--", _xll.FDSB($C$2,"FE_ESTIMATE(EAG,MEAN,ANNUAL_ROLL,"&amp;AL$9&amp;","&amp;$C$5&amp;",,,'')")))</f>
        <v>-2.8925000000000001</v>
      </c>
      <c r="AM34" s="76" cm="1">
        <f t="array" ref="AM34">_xlfn.SINGLE(IF(ISERROR(_xll.FDSB($C$2,"FE_ESTIMATE(EAG,MEAN,QUARTERLY_ROLL,"&amp;AM$9&amp;","&amp;$C$5&amp;",,,'')")), "--", _xll.FDSB($C$2,"FE_ESTIMATE(EAG,MEAN,QUARTERLY_ROLL,"&amp;AM$9&amp;","&amp;$C$5&amp;",,,'')")))</f>
        <v>-1.49</v>
      </c>
      <c r="AN34" s="76" cm="1">
        <f t="array" ref="AN34">_xlfn.SINGLE(IF(ISERROR(_xll.FDSB($C$2,"FE_ESTIMATE(EAG,MEAN,QUARTERLY_ROLL,"&amp;AN$9&amp;","&amp;$C$5&amp;",,,'')")), "--", _xll.FDSB($C$2,"FE_ESTIMATE(EAG,MEAN,QUARTERLY_ROLL,"&amp;AN$9&amp;","&amp;$C$5&amp;",,,'')")))</f>
        <v>-0.6</v>
      </c>
      <c r="AO34" s="76" cm="1">
        <f t="array" ref="AO34">_xlfn.SINGLE(IF(ISERROR(_xll.FDSB($C$2,"FE_ESTIMATE(EAG,MEAN,QUARTERLY_ROLL,"&amp;AO$9&amp;","&amp;$C$5&amp;",,,'')")), "--", _xll.FDSB($C$2,"FE_ESTIMATE(EAG,MEAN,QUARTERLY_ROLL,"&amp;AO$9&amp;","&amp;$C$5&amp;",,,'')")))</f>
        <v>-0.53646689999999997</v>
      </c>
      <c r="AP34" s="76" cm="1">
        <f t="array" ref="AP34">_xlfn.SINGLE(IF(ISERROR(_xll.FDSB($C$2,"FE_ESTIMATE(EAG,MEAN,QUARTERLY_ROLL,"&amp;AP$9&amp;","&amp;$C$5&amp;",,,'')")), "--", _xll.FDSB($C$2,"FE_ESTIMATE(EAG,MEAN,QUARTERLY_ROLL,"&amp;AP$9&amp;","&amp;$C$5&amp;",,,'')")))</f>
        <v>-0.50157910000000006</v>
      </c>
      <c r="AQ34" s="77" cm="1">
        <f t="array" ref="AQ34">_xlfn.SINGLE(IF(ISERROR(_xll.FDSB($C$2,"FE_ESTIMATE(EAG,MEAN,ANNUAL_ROLL,"&amp;AQ$9&amp;","&amp;$C$5&amp;",,,'')")), "--", _xll.FDSB($C$2,"FE_ESTIMATE(EAG,MEAN,ANNUAL_ROLL,"&amp;AQ$9&amp;","&amp;$C$5&amp;",,,'')")))</f>
        <v>-2.7166703000000001</v>
      </c>
      <c r="AR34" s="76" cm="1">
        <f t="array" ref="AR34">_xlfn.SINGLE(IF(ISERROR(_xll.FDSB($C$2,"FE_ESTIMATE(EAG,MEAN,QUARTERLY_ROLL,"&amp;AR$9&amp;","&amp;$C$5&amp;",,,'')")), "--", _xll.FDSB($C$2,"FE_ESTIMATE(EAG,MEAN,QUARTERLY_ROLL,"&amp;AR$9&amp;","&amp;$C$5&amp;",,,'')")))</f>
        <v>-0.57185960000000002</v>
      </c>
      <c r="AS34" s="76" cm="1">
        <f t="array" ref="AS34">_xlfn.SINGLE(IF(ISERROR(_xll.FDSB($C$2,"FE_ESTIMATE(EAG,MEAN,QUARTERLY_ROLL,"&amp;AS$9&amp;","&amp;$C$5&amp;",,,'')")), "--", _xll.FDSB($C$2,"FE_ESTIMATE(EAG,MEAN,QUARTERLY_ROLL,"&amp;AS$9&amp;","&amp;$C$5&amp;",,,'')")))</f>
        <v>-0.22438315</v>
      </c>
      <c r="AT34" s="76" cm="1">
        <f t="array" ref="AT34">_xlfn.SINGLE(IF(ISERROR(_xll.FDSB($C$2,"FE_ESTIMATE(EAG,MEAN,QUARTERLY_ROLL,"&amp;AT$9&amp;","&amp;$C$5&amp;",,,'')")), "--", _xll.FDSB($C$2,"FE_ESTIMATE(EAG,MEAN,QUARTERLY_ROLL,"&amp;AT$9&amp;","&amp;$C$5&amp;",,,'')")))</f>
        <v>-0.14614916999999999</v>
      </c>
      <c r="AU34" s="76" cm="1">
        <f t="array" ref="AU34">_xlfn.SINGLE(IF(ISERROR(_xll.FDSB($C$2,"FE_ESTIMATE(EAG,MEAN,QUARTERLY_ROLL,"&amp;AU$9&amp;","&amp;$C$5&amp;",,,'')")), "--", _xll.FDSB($C$2,"FE_ESTIMATE(EAG,MEAN,QUARTERLY_ROLL,"&amp;AU$9&amp;","&amp;$C$5&amp;",,,'')")))</f>
        <v>3.8856334999999999E-2</v>
      </c>
      <c r="AV34" s="77" cm="1">
        <f t="array" ref="AV34">_xlfn.SINGLE(IF(ISERROR(_xll.FDSB($C$2,"FE_ESTIMATE(EAG,MEAN,ANNUAL_ROLL,"&amp;AV$9&amp;","&amp;$C$5&amp;",,,'')")), "--", _xll.FDSB($C$2,"FE_ESTIMATE(EAG,MEAN,ANNUAL_ROLL,"&amp;AV$9&amp;","&amp;$C$5&amp;",,,'')")))</f>
        <v>-0.96072000000000002</v>
      </c>
      <c r="AW34" s="76" cm="1">
        <f t="array" ref="AW34">_xlfn.SINGLE(IF(ISERROR(_xll.FDSB($C$2,"FE_ESTIMATE(EAG,MEAN,QUARTERLY_ROLL,"&amp;AW$9&amp;","&amp;$C$5&amp;",,,'')")), "--", _xll.FDSB($C$2,"FE_ESTIMATE(EAG,MEAN,QUARTERLY_ROLL,"&amp;AW$9&amp;","&amp;$C$5&amp;",,,'')")))</f>
        <v>4.7834000000000002E-2</v>
      </c>
      <c r="AX34" s="76" cm="1">
        <f t="array" ref="AX34">_xlfn.SINGLE(IF(ISERROR(_xll.FDSB($C$2,"FE_ESTIMATE(EAG,MEAN,QUARTERLY_ROLL,"&amp;AX$9&amp;","&amp;$C$5&amp;",,,'')")), "--", _xll.FDSB($C$2,"FE_ESTIMATE(EAG,MEAN,QUARTERLY_ROLL,"&amp;AX$9&amp;","&amp;$C$5&amp;",,,'')")))</f>
        <v>0.28012567999999999</v>
      </c>
      <c r="AY34" s="76" cm="1">
        <f t="array" ref="AY34">_xlfn.SINGLE(IF(ISERROR(_xll.FDSB($C$2,"FE_ESTIMATE(EAG,MEAN,QUARTERLY_ROLL,"&amp;AY$9&amp;","&amp;$C$5&amp;",,,'')")), "--", _xll.FDSB($C$2,"FE_ESTIMATE(EAG,MEAN,QUARTERLY_ROLL,"&amp;AY$9&amp;","&amp;$C$5&amp;",,,'')")))</f>
        <v>0.44811331999999998</v>
      </c>
      <c r="AZ34" s="76" cm="1">
        <f t="array" ref="AZ34">_xlfn.SINGLE(IF(ISERROR(_xll.FDSB($C$2,"FE_ESTIMATE(EAG,MEAN,QUARTERLY_ROLL,"&amp;AZ$9&amp;","&amp;$C$5&amp;",,,'')")), "--", _xll.FDSB($C$2,"FE_ESTIMATE(EAG,MEAN,QUARTERLY_ROLL,"&amp;AZ$9&amp;","&amp;$C$5&amp;",,,'')")))</f>
        <v>0.65047900000000003</v>
      </c>
      <c r="BA34" s="77" cm="1">
        <f t="array" ref="BA34">_xlfn.SINGLE(IF(ISERROR(_xll.FDSB($C$2,"FE_ESTIMATE(EAG,MEAN,ANNUAL_ROLL,"&amp;BA$9&amp;","&amp;$C$5&amp;",,,'')")), "--", _xll.FDSB($C$2,"FE_ESTIMATE(EAG,MEAN,ANNUAL_ROLL,"&amp;BA$9&amp;","&amp;$C$5&amp;",,,'')")))</f>
        <v>1.3366720000000001</v>
      </c>
      <c r="BB34" s="76" cm="1">
        <f t="array" ref="BB34">_xlfn.SINGLE(IF(ISERROR(_xll.FDSB($C$2,"FE_ESTIMATE(EAG,MEAN,QUARTERLY_ROLL,"&amp;BB$9&amp;","&amp;$C$5&amp;",,,'')")), "--", _xll.FDSB($C$2,"FE_ESTIMATE(EAG,MEAN,QUARTERLY_ROLL,"&amp;BB$9&amp;","&amp;$C$5&amp;",,,'')")))</f>
        <v>0.40310000000000001</v>
      </c>
      <c r="BC34" s="76" cm="1">
        <f t="array" ref="BC34">_xlfn.SINGLE(IF(ISERROR(_xll.FDSB($C$2,"FE_ESTIMATE(EAG,MEAN,QUARTERLY_ROLL,"&amp;BC$9&amp;","&amp;$C$5&amp;",,,'')")), "--", _xll.FDSB($C$2,"FE_ESTIMATE(EAG,MEAN,QUARTERLY_ROLL,"&amp;BC$9&amp;","&amp;$C$5&amp;",,,'')")))</f>
        <v>0.65549999999999997</v>
      </c>
      <c r="BD34" s="76" cm="1">
        <f t="array" ref="BD34">_xlfn.SINGLE(IF(ISERROR(_xll.FDSB($C$2,"FE_ESTIMATE(EAG,MEAN,QUARTERLY_ROLL,"&amp;BD$9&amp;","&amp;$C$5&amp;",,,'')")), "--", _xll.FDSB($C$2,"FE_ESTIMATE(EAG,MEAN,QUARTERLY_ROLL,"&amp;BD$9&amp;","&amp;$C$5&amp;",,,'')")))</f>
        <v>0.92610000000000003</v>
      </c>
      <c r="BE34" s="76" cm="1">
        <f t="array" ref="BE34">_xlfn.SINGLE(IF(ISERROR(_xll.FDSB($C$2,"FE_ESTIMATE(EAG,MEAN,QUARTERLY_ROLL,"&amp;BE$9&amp;","&amp;$C$5&amp;",,,'')")), "--", _xll.FDSB($C$2,"FE_ESTIMATE(EAG,MEAN,QUARTERLY_ROLL,"&amp;BE$9&amp;","&amp;$C$5&amp;",,,'')")))</f>
        <v>1.0882000000000001</v>
      </c>
      <c r="BF34" s="77" cm="1">
        <f t="array" ref="BF34">_xlfn.SINGLE(IF(ISERROR(_xll.FDSB($C$2,"FE_ESTIMATE(EAG,MEAN,ANNUAL_ROLL,"&amp;BF$9&amp;","&amp;$C$5&amp;",,,'')")), "--", _xll.FDSB($C$2,"FE_ESTIMATE(EAG,MEAN,ANNUAL_ROLL,"&amp;BF$9&amp;","&amp;$C$5&amp;",,,'')")))</f>
        <v>2.5014500000000002</v>
      </c>
      <c r="BG34" s="76" t="str" cm="1">
        <f t="array" ref="BG34">_xlfn.SINGLE(IF(ISERROR(_xll.FDSB($C$2,"FE_ESTIMATE(EAG,MEAN,QUARTERLY_ROLL,"&amp;BG$9&amp;","&amp;$C$5&amp;",,,'')")), "--", _xll.FDSB($C$2,"FE_ESTIMATE(EAG,MEAN,QUARTERLY_ROLL,"&amp;BG$9&amp;","&amp;$C$5&amp;",,,'')")))</f>
        <v/>
      </c>
      <c r="BH34" s="76" t="str" cm="1">
        <f t="array" ref="BH34">_xlfn.SINGLE(IF(ISERROR(_xll.FDSB($C$2,"FE_ESTIMATE(EAG,MEAN,QUARTERLY_ROLL,"&amp;BH$9&amp;","&amp;$C$5&amp;",,,'')")), "--", _xll.FDSB($C$2,"FE_ESTIMATE(EAG,MEAN,QUARTERLY_ROLL,"&amp;BH$9&amp;","&amp;$C$5&amp;",,,'')")))</f>
        <v/>
      </c>
      <c r="BI34" s="76" t="str" cm="1">
        <f t="array" ref="BI34">_xlfn.SINGLE(IF(ISERROR(_xll.FDSB($C$2,"FE_ESTIMATE(EAG,MEAN,QUARTERLY_ROLL,"&amp;BI$9&amp;","&amp;$C$5&amp;",,,'')")), "--", _xll.FDSB($C$2,"FE_ESTIMATE(EAG,MEAN,QUARTERLY_ROLL,"&amp;BI$9&amp;","&amp;$C$5&amp;",,,'')")))</f>
        <v/>
      </c>
      <c r="BJ34" s="76" t="str" cm="1">
        <f t="array" ref="BJ34">_xlfn.SINGLE(IF(ISERROR(_xll.FDSB($C$2,"FE_ESTIMATE(EAG,MEAN,QUARTERLY_ROLL,"&amp;BJ$9&amp;","&amp;$C$5&amp;",,,'')")), "--", _xll.FDSB($C$2,"FE_ESTIMATE(EAG,MEAN,QUARTERLY_ROLL,"&amp;BJ$9&amp;","&amp;$C$5&amp;",,,'')")))</f>
        <v/>
      </c>
      <c r="BK34" s="77" cm="1">
        <f t="array" ref="BK34">_xlfn.SINGLE(IF(ISERROR(_xll.FDSB($C$2,"FE_ESTIMATE(EAG,MEAN,ANNUAL_ROLL,"&amp;BK$9&amp;","&amp;$C$5&amp;",,,'')")), "--", _xll.FDSB($C$2,"FE_ESTIMATE(EAG,MEAN,ANNUAL_ROLL,"&amp;BK$9&amp;","&amp;$C$5&amp;",,,'')")))</f>
        <v>2.92</v>
      </c>
    </row>
    <row r="35" spans="1:63" s="66" customFormat="1" ht="12.75" customHeight="1" outlineLevel="1">
      <c r="A35" s="78" t="s">
        <v>165</v>
      </c>
      <c r="B35" s="68" t="s">
        <v>31</v>
      </c>
      <c r="C35" s="68"/>
      <c r="D35" s="69"/>
      <c r="E35" s="69"/>
      <c r="F35" s="69"/>
      <c r="G35" s="69"/>
      <c r="H35" s="70"/>
      <c r="I35" s="69" t="str">
        <f t="shared" ref="I35:AN35" si="16">IFERROR(I34/D34-1,"")</f>
        <v/>
      </c>
      <c r="J35" s="69" t="str">
        <f t="shared" si="16"/>
        <v/>
      </c>
      <c r="K35" s="69" t="str">
        <f t="shared" si="16"/>
        <v/>
      </c>
      <c r="L35" s="69" t="str">
        <f t="shared" si="16"/>
        <v/>
      </c>
      <c r="M35" s="70" t="str">
        <f t="shared" si="16"/>
        <v/>
      </c>
      <c r="N35" s="69" t="str">
        <f t="shared" si="16"/>
        <v/>
      </c>
      <c r="O35" s="69" t="str">
        <f t="shared" si="16"/>
        <v/>
      </c>
      <c r="P35" s="69" t="str">
        <f t="shared" si="16"/>
        <v/>
      </c>
      <c r="Q35" s="69" t="str">
        <f t="shared" si="16"/>
        <v/>
      </c>
      <c r="R35" s="70" t="str">
        <f t="shared" si="16"/>
        <v/>
      </c>
      <c r="S35" s="69" t="str">
        <f t="shared" si="16"/>
        <v/>
      </c>
      <c r="T35" s="69" t="str">
        <f t="shared" si="16"/>
        <v/>
      </c>
      <c r="U35" s="69" t="str">
        <f t="shared" si="16"/>
        <v/>
      </c>
      <c r="V35" s="69" t="str">
        <f t="shared" si="16"/>
        <v/>
      </c>
      <c r="W35" s="70" t="str">
        <f t="shared" si="16"/>
        <v/>
      </c>
      <c r="X35" s="69" t="str">
        <f t="shared" si="16"/>
        <v/>
      </c>
      <c r="Y35" s="69" t="str">
        <f t="shared" si="16"/>
        <v/>
      </c>
      <c r="Z35" s="69" t="str">
        <f t="shared" si="16"/>
        <v/>
      </c>
      <c r="AA35" s="69" t="str">
        <f t="shared" si="16"/>
        <v/>
      </c>
      <c r="AB35" s="70" t="str">
        <f t="shared" si="16"/>
        <v/>
      </c>
      <c r="AC35" s="69" t="str">
        <f t="shared" si="16"/>
        <v/>
      </c>
      <c r="AD35" s="69" t="str">
        <f t="shared" si="16"/>
        <v/>
      </c>
      <c r="AE35" s="69" t="str">
        <f t="shared" si="16"/>
        <v/>
      </c>
      <c r="AF35" s="69" t="str">
        <f t="shared" si="16"/>
        <v/>
      </c>
      <c r="AG35" s="70" t="str">
        <f t="shared" si="16"/>
        <v/>
      </c>
      <c r="AH35" s="69" t="str">
        <f t="shared" si="16"/>
        <v/>
      </c>
      <c r="AI35" s="69" t="str">
        <f t="shared" si="16"/>
        <v/>
      </c>
      <c r="AJ35" s="69" t="str">
        <f t="shared" si="16"/>
        <v/>
      </c>
      <c r="AK35" s="69" t="str">
        <f t="shared" si="16"/>
        <v/>
      </c>
      <c r="AL35" s="70" t="str">
        <f t="shared" si="16"/>
        <v/>
      </c>
      <c r="AM35" s="69" t="str">
        <f t="shared" si="16"/>
        <v/>
      </c>
      <c r="AN35" s="69" t="str">
        <f t="shared" si="16"/>
        <v/>
      </c>
      <c r="AO35" s="69" t="str">
        <f t="shared" ref="AO35:BK35" si="17">IFERROR(AO34/AJ34-1,"")</f>
        <v/>
      </c>
      <c r="AP35" s="69">
        <f t="shared" si="17"/>
        <v>1.388471904761905</v>
      </c>
      <c r="AQ35" s="70">
        <f t="shared" si="17"/>
        <v>-6.0788141745894531E-2</v>
      </c>
      <c r="AR35" s="69">
        <f t="shared" si="17"/>
        <v>-0.61620161073825508</v>
      </c>
      <c r="AS35" s="69">
        <f t="shared" si="17"/>
        <v>-0.62602808333333337</v>
      </c>
      <c r="AT35" s="69">
        <f t="shared" si="17"/>
        <v>-0.72757094612920192</v>
      </c>
      <c r="AU35" s="69">
        <f t="shared" si="17"/>
        <v>-1.0774680105291468</v>
      </c>
      <c r="AV35" s="70">
        <f t="shared" si="17"/>
        <v>-0.6463612091610822</v>
      </c>
      <c r="AW35" s="69">
        <f t="shared" si="17"/>
        <v>-1.0836464055163191</v>
      </c>
      <c r="AX35" s="69">
        <f t="shared" si="17"/>
        <v>-2.2484256505000486</v>
      </c>
      <c r="AY35" s="69">
        <f t="shared" si="17"/>
        <v>-4.0661366054969728</v>
      </c>
      <c r="AZ35" s="69">
        <f t="shared" si="17"/>
        <v>15.740616427154031</v>
      </c>
      <c r="BA35" s="70">
        <f t="shared" si="17"/>
        <v>-2.3913231742859522</v>
      </c>
      <c r="BB35" s="69">
        <f t="shared" si="17"/>
        <v>7.4270602500313583</v>
      </c>
      <c r="BC35" s="69">
        <f t="shared" si="17"/>
        <v>1.3400210933892245</v>
      </c>
      <c r="BD35" s="69">
        <f t="shared" si="17"/>
        <v>1.0666647445338158</v>
      </c>
      <c r="BE35" s="69">
        <f t="shared" si="17"/>
        <v>0.67292103203946629</v>
      </c>
      <c r="BF35" s="70">
        <f t="shared" si="17"/>
        <v>0.871401510617414</v>
      </c>
      <c r="BG35" s="69" t="str">
        <f t="shared" si="17"/>
        <v/>
      </c>
      <c r="BH35" s="69" t="str">
        <f t="shared" si="17"/>
        <v/>
      </c>
      <c r="BI35" s="69" t="str">
        <f t="shared" si="17"/>
        <v/>
      </c>
      <c r="BJ35" s="69" t="str">
        <f t="shared" si="17"/>
        <v/>
      </c>
      <c r="BK35" s="70">
        <f t="shared" si="17"/>
        <v>0.16732295268744113</v>
      </c>
    </row>
    <row r="36" spans="1:63" s="66" customFormat="1" ht="12.75" customHeight="1" outlineLevel="1">
      <c r="A36" s="67" t="s">
        <v>166</v>
      </c>
      <c r="B36" s="68" t="s">
        <v>33</v>
      </c>
      <c r="C36" s="68"/>
      <c r="D36" s="69"/>
      <c r="E36" s="69"/>
      <c r="F36" s="69"/>
      <c r="G36" s="69"/>
      <c r="H36" s="72"/>
      <c r="I36" s="69" t="str">
        <f>IFERROR(I34/G34-1,"")</f>
        <v/>
      </c>
      <c r="J36" s="69" t="str">
        <f>IFERROR(J34/I34-1,"")</f>
        <v/>
      </c>
      <c r="K36" s="69" t="str">
        <f>IFERROR(K34/J34-1,"")</f>
        <v/>
      </c>
      <c r="L36" s="69" t="str">
        <f>IFERROR(L34/K34-1,"")</f>
        <v/>
      </c>
      <c r="M36" s="72"/>
      <c r="N36" s="69" t="str">
        <f>IFERROR(N34/L34-1,"")</f>
        <v/>
      </c>
      <c r="O36" s="69" t="str">
        <f>IFERROR(O34/N34-1,"")</f>
        <v/>
      </c>
      <c r="P36" s="69" t="str">
        <f>IFERROR(P34/O34-1,"")</f>
        <v/>
      </c>
      <c r="Q36" s="69" t="str">
        <f>IFERROR(Q34/P34-1,"")</f>
        <v/>
      </c>
      <c r="R36" s="72"/>
      <c r="S36" s="69" t="str">
        <f>IFERROR(S34/Q34-1,"")</f>
        <v/>
      </c>
      <c r="T36" s="69" t="str">
        <f>IFERROR(T34/S34-1,"")</f>
        <v/>
      </c>
      <c r="U36" s="69" t="str">
        <f>IFERROR(U34/T34-1,"")</f>
        <v/>
      </c>
      <c r="V36" s="69" t="str">
        <f>IFERROR(V34/U34-1,"")</f>
        <v/>
      </c>
      <c r="W36" s="72"/>
      <c r="X36" s="69" t="str">
        <f>IFERROR(X34/V34-1,"")</f>
        <v/>
      </c>
      <c r="Y36" s="69" t="str">
        <f>IFERROR(Y34/X34-1,"")</f>
        <v/>
      </c>
      <c r="Z36" s="69" t="str">
        <f>IFERROR(Z34/Y34-1,"")</f>
        <v/>
      </c>
      <c r="AA36" s="69" t="str">
        <f>IFERROR(AA34/Z34-1,"")</f>
        <v/>
      </c>
      <c r="AB36" s="72"/>
      <c r="AC36" s="69" t="str">
        <f>IFERROR(AC34/AA34-1,"")</f>
        <v/>
      </c>
      <c r="AD36" s="69" t="str">
        <f>IFERROR(AD34/AC34-1,"")</f>
        <v/>
      </c>
      <c r="AE36" s="69" t="str">
        <f>IFERROR(AE34/AD34-1,"")</f>
        <v/>
      </c>
      <c r="AF36" s="69" t="str">
        <f>IFERROR(AF34/AE34-1,"")</f>
        <v/>
      </c>
      <c r="AG36" s="72"/>
      <c r="AH36" s="69" t="str">
        <f>IFERROR(AH34/AF34-1,"")</f>
        <v/>
      </c>
      <c r="AI36" s="69" t="str">
        <f>IFERROR(AI34/AH34-1,"")</f>
        <v/>
      </c>
      <c r="AJ36" s="69" t="str">
        <f>IFERROR(AJ34/AI34-1,"")</f>
        <v/>
      </c>
      <c r="AK36" s="69" t="str">
        <f>IFERROR(AK34/AJ34-1,"")</f>
        <v/>
      </c>
      <c r="AL36" s="72"/>
      <c r="AM36" s="69">
        <f>IFERROR(AM34/AK34-1,"")</f>
        <v>6.0952380952380958</v>
      </c>
      <c r="AN36" s="69">
        <f>IFERROR(AN34/AM34-1,"")</f>
        <v>-0.59731543624161076</v>
      </c>
      <c r="AO36" s="69">
        <f>IFERROR(AO34/AN34-1,"")</f>
        <v>-0.10588850000000005</v>
      </c>
      <c r="AP36" s="69">
        <f>IFERROR(AP34/AO34-1,"")</f>
        <v>-6.5032530431979874E-2</v>
      </c>
      <c r="AQ36" s="72"/>
      <c r="AR36" s="69">
        <f>IFERROR(AR34/AP34-1,"")</f>
        <v>0.14011847782333819</v>
      </c>
      <c r="AS36" s="69">
        <f>IFERROR(AS34/AR34-1,"")</f>
        <v>-0.60762545561882675</v>
      </c>
      <c r="AT36" s="69">
        <f>IFERROR(AT34/AS34-1,"")</f>
        <v>-0.34866245526903428</v>
      </c>
      <c r="AU36" s="69">
        <f>IFERROR(AU34/AT34-1,"")</f>
        <v>-1.2658676405757214</v>
      </c>
      <c r="AV36" s="72"/>
      <c r="AW36" s="69">
        <f>IFERROR(AW34/AU34-1,"")</f>
        <v>0.23104765284734152</v>
      </c>
      <c r="AX36" s="69">
        <f>IFERROR(AX34/AW34-1,"")</f>
        <v>4.8562043734582092</v>
      </c>
      <c r="AY36" s="69">
        <f>IFERROR(AY34/AX34-1,"")</f>
        <v>0.59968668349149579</v>
      </c>
      <c r="AZ36" s="69">
        <f>IFERROR(AZ34/AY34-1,"")</f>
        <v>0.45159487783134877</v>
      </c>
      <c r="BA36" s="72"/>
      <c r="BB36" s="69">
        <f>IFERROR(BB34/AZ34-1,"")</f>
        <v>-0.38030282299659179</v>
      </c>
      <c r="BC36" s="69">
        <f>IFERROR(BC34/BB34-1,"")</f>
        <v>0.62614735797568821</v>
      </c>
      <c r="BD36" s="69">
        <f>IFERROR(BD34/BC34-1,"")</f>
        <v>0.41281464530892453</v>
      </c>
      <c r="BE36" s="69">
        <f>IFERROR(BE34/BD34-1,"")</f>
        <v>0.17503509340244028</v>
      </c>
      <c r="BF36" s="72"/>
      <c r="BG36" s="69" t="str">
        <f>IFERROR(BG34/BE34-1,"")</f>
        <v/>
      </c>
      <c r="BH36" s="69" t="str">
        <f>IFERROR(BH34/BG34-1,"")</f>
        <v/>
      </c>
      <c r="BI36" s="69" t="str">
        <f>IFERROR(BI34/BH34-1,"")</f>
        <v/>
      </c>
      <c r="BJ36" s="69" t="str">
        <f>IFERROR(BJ34/BI34-1,"")</f>
        <v/>
      </c>
      <c r="BK36" s="72"/>
    </row>
    <row r="37" spans="1:63" s="71" customFormat="1" ht="12.75" customHeight="1" outlineLevel="1">
      <c r="A37" s="53"/>
      <c r="B37" s="68"/>
      <c r="C37" s="68"/>
      <c r="D37" s="69"/>
      <c r="E37" s="69"/>
      <c r="F37" s="69"/>
      <c r="G37" s="69"/>
      <c r="H37" s="75"/>
      <c r="I37" s="69"/>
      <c r="J37" s="69"/>
      <c r="K37" s="69"/>
      <c r="L37" s="69"/>
      <c r="M37" s="75"/>
      <c r="N37" s="69"/>
      <c r="O37" s="69"/>
      <c r="P37" s="69"/>
      <c r="Q37" s="69"/>
      <c r="R37" s="75"/>
      <c r="S37" s="69"/>
      <c r="T37" s="69"/>
      <c r="U37" s="69"/>
      <c r="V37" s="69"/>
      <c r="W37" s="75"/>
      <c r="X37" s="69"/>
      <c r="Y37" s="69"/>
      <c r="Z37" s="69"/>
      <c r="AA37" s="69"/>
      <c r="AB37" s="75"/>
      <c r="AC37" s="69"/>
      <c r="AD37" s="69"/>
      <c r="AE37" s="69"/>
      <c r="AF37" s="69"/>
      <c r="AG37" s="75"/>
      <c r="AH37" s="69"/>
      <c r="AI37" s="69"/>
      <c r="AJ37" s="69"/>
      <c r="AK37" s="69"/>
      <c r="AL37" s="75"/>
      <c r="AM37" s="69"/>
      <c r="AN37" s="69"/>
      <c r="AO37" s="69"/>
      <c r="AP37" s="69"/>
      <c r="AQ37" s="75"/>
      <c r="AR37" s="69"/>
      <c r="AS37" s="69"/>
      <c r="AT37" s="69"/>
      <c r="AU37" s="69"/>
      <c r="AV37" s="75"/>
      <c r="AW37" s="69"/>
      <c r="AX37" s="69"/>
      <c r="AY37" s="69"/>
      <c r="AZ37" s="69"/>
      <c r="BA37" s="75"/>
      <c r="BB37" s="69"/>
      <c r="BC37" s="69"/>
      <c r="BD37" s="69"/>
      <c r="BE37" s="69"/>
      <c r="BF37" s="75"/>
      <c r="BG37" s="69"/>
      <c r="BH37" s="69"/>
      <c r="BI37" s="69"/>
      <c r="BJ37" s="69"/>
      <c r="BK37" s="75"/>
    </row>
    <row r="38" spans="1:63" s="66" customFormat="1" ht="12.75" customHeight="1" outlineLevel="1">
      <c r="A38" s="62" t="s">
        <v>121</v>
      </c>
      <c r="B38" s="461" t="s">
        <v>162</v>
      </c>
      <c r="C38" s="63"/>
      <c r="D38" s="64"/>
      <c r="E38" s="64"/>
      <c r="F38" s="64"/>
      <c r="G38" s="64"/>
      <c r="H38" s="65"/>
      <c r="I38" s="76" t="str" cm="1">
        <f t="array" ref="I38">_xlfn.SINGLE(IF(ISERROR(_xll.FDSB($C$2,"FE_ESTIMATE(EPS,MEAN,QUARTERLY_ROLL,"&amp;I$9&amp;","&amp;$C$5&amp;",,,'')")), "--", _xll.FDSB($C$2,"FE_ESTIMATE(EPS,MEAN,QUARTERLY_ROLL,"&amp;I$9&amp;","&amp;$C$5&amp;",,,'')")))</f>
        <v>--</v>
      </c>
      <c r="J38" s="76" t="str" cm="1">
        <f t="array" ref="J38">_xlfn.SINGLE(IF(ISERROR(_xll.FDSB($C$2,"FE_ESTIMATE(EPS,MEAN,QUARTERLY_ROLL,"&amp;J$9&amp;","&amp;$C$5&amp;",,,'')")), "--", _xll.FDSB($C$2,"FE_ESTIMATE(EPS,MEAN,QUARTERLY_ROLL,"&amp;J$9&amp;","&amp;$C$5&amp;",,,'')")))</f>
        <v>--</v>
      </c>
      <c r="K38" s="76" t="str" cm="1">
        <f t="array" ref="K38">_xlfn.SINGLE(IF(ISERROR(_xll.FDSB($C$2,"FE_ESTIMATE(EPS,MEAN,QUARTERLY_ROLL,"&amp;K$9&amp;","&amp;$C$5&amp;",,,'')")), "--", _xll.FDSB($C$2,"FE_ESTIMATE(EPS,MEAN,QUARTERLY_ROLL,"&amp;K$9&amp;","&amp;$C$5&amp;",,,'')")))</f>
        <v>--</v>
      </c>
      <c r="L38" s="76" t="str" cm="1">
        <f t="array" ref="L38">_xlfn.SINGLE(IF(ISERROR(_xll.FDSB($C$2,"FE_ESTIMATE(EPS,MEAN,QUARTERLY_ROLL,"&amp;L$9&amp;","&amp;$C$5&amp;",,,'')")), "--", _xll.FDSB($C$2,"FE_ESTIMATE(EPS,MEAN,QUARTERLY_ROLL,"&amp;L$9&amp;","&amp;$C$5&amp;",,,'')")))</f>
        <v>--</v>
      </c>
      <c r="M38" s="77" t="str" cm="1">
        <f t="array" ref="M38">_xlfn.SINGLE(IF(ISERROR(_xll.FDSB($C$2,"FE_ESTIMATE(EPS,MEAN,ANNUAL_ROLL,"&amp;M$9&amp;","&amp;$C$5&amp;",,,'')")), "--", _xll.FDSB($C$2,"FE_ESTIMATE(EPS,MEAN,ANNUAL_ROLL,"&amp;M$9&amp;","&amp;$C$5&amp;",,,'')")))</f>
        <v>--</v>
      </c>
      <c r="N38" s="76" t="str" cm="1">
        <f t="array" ref="N38">_xlfn.SINGLE(IF(ISERROR(_xll.FDSB($C$2,"FE_ESTIMATE(EPS,MEAN,QUARTERLY_ROLL,"&amp;N$9&amp;","&amp;$C$5&amp;",,,'')")), "--", _xll.FDSB($C$2,"FE_ESTIMATE(EPS,MEAN,QUARTERLY_ROLL,"&amp;N$9&amp;","&amp;$C$5&amp;",,,'')")))</f>
        <v>--</v>
      </c>
      <c r="O38" s="76" t="str" cm="1">
        <f t="array" ref="O38">_xlfn.SINGLE(IF(ISERROR(_xll.FDSB($C$2,"FE_ESTIMATE(EPS,MEAN,QUARTERLY_ROLL,"&amp;O$9&amp;","&amp;$C$5&amp;",,,'')")), "--", _xll.FDSB($C$2,"FE_ESTIMATE(EPS,MEAN,QUARTERLY_ROLL,"&amp;O$9&amp;","&amp;$C$5&amp;",,,'')")))</f>
        <v>--</v>
      </c>
      <c r="P38" s="76" t="str" cm="1">
        <f t="array" ref="P38">_xlfn.SINGLE(IF(ISERROR(_xll.FDSB($C$2,"FE_ESTIMATE(EPS,MEAN,QUARTERLY_ROLL,"&amp;P$9&amp;","&amp;$C$5&amp;",,,'')")), "--", _xll.FDSB($C$2,"FE_ESTIMATE(EPS,MEAN,QUARTERLY_ROLL,"&amp;P$9&amp;","&amp;$C$5&amp;",,,'')")))</f>
        <v>--</v>
      </c>
      <c r="Q38" s="76" t="str" cm="1">
        <f t="array" ref="Q38">_xlfn.SINGLE(IF(ISERROR(_xll.FDSB($C$2,"FE_ESTIMATE(EPS,MEAN,QUARTERLY_ROLL,"&amp;Q$9&amp;","&amp;$C$5&amp;",,,'')")), "--", _xll.FDSB($C$2,"FE_ESTIMATE(EPS,MEAN,QUARTERLY_ROLL,"&amp;Q$9&amp;","&amp;$C$5&amp;",,,'')")))</f>
        <v>--</v>
      </c>
      <c r="R38" s="77" t="str" cm="1">
        <f t="array" ref="R38">_xlfn.SINGLE(IF(ISERROR(_xll.FDSB($C$2,"FE_ESTIMATE(EPS,MEAN,ANNUAL_ROLL,"&amp;R$9&amp;","&amp;$C$5&amp;",,,'')")), "--", _xll.FDSB($C$2,"FE_ESTIMATE(EPS,MEAN,ANNUAL_ROLL,"&amp;R$9&amp;","&amp;$C$5&amp;",,,'')")))</f>
        <v>--</v>
      </c>
      <c r="S38" s="76" t="str" cm="1">
        <f t="array" ref="S38">_xlfn.SINGLE(IF(ISERROR(_xll.FDSB($C$2,"FE_ESTIMATE(EPS,MEAN,QUARTERLY_ROLL,"&amp;S$9&amp;","&amp;$C$5&amp;",,,'')")), "--", _xll.FDSB($C$2,"FE_ESTIMATE(EPS,MEAN,QUARTERLY_ROLL,"&amp;S$9&amp;","&amp;$C$5&amp;",,,'')")))</f>
        <v>--</v>
      </c>
      <c r="T38" s="76" t="str" cm="1">
        <f t="array" ref="T38">_xlfn.SINGLE(IF(ISERROR(_xll.FDSB($C$2,"FE_ESTIMATE(EPS,MEAN,QUARTERLY_ROLL,"&amp;T$9&amp;","&amp;$C$5&amp;",,,'')")), "--", _xll.FDSB($C$2,"FE_ESTIMATE(EPS,MEAN,QUARTERLY_ROLL,"&amp;T$9&amp;","&amp;$C$5&amp;",,,'')")))</f>
        <v>--</v>
      </c>
      <c r="U38" s="76" t="str" cm="1">
        <f t="array" ref="U38">_xlfn.SINGLE(IF(ISERROR(_xll.FDSB($C$2,"FE_ESTIMATE(EPS,MEAN,QUARTERLY_ROLL,"&amp;U$9&amp;","&amp;$C$5&amp;",,,'')")), "--", _xll.FDSB($C$2,"FE_ESTIMATE(EPS,MEAN,QUARTERLY_ROLL,"&amp;U$9&amp;","&amp;$C$5&amp;",,,'')")))</f>
        <v>--</v>
      </c>
      <c r="V38" s="76" t="str" cm="1">
        <f t="array" ref="V38">_xlfn.SINGLE(IF(ISERROR(_xll.FDSB($C$2,"FE_ESTIMATE(EPS,MEAN,QUARTERLY_ROLL,"&amp;V$9&amp;","&amp;$C$5&amp;",,,'')")), "--", _xll.FDSB($C$2,"FE_ESTIMATE(EPS,MEAN,QUARTERLY_ROLL,"&amp;V$9&amp;","&amp;$C$5&amp;",,,'')")))</f>
        <v>--</v>
      </c>
      <c r="W38" s="77" t="str" cm="1">
        <f t="array" ref="W38">_xlfn.SINGLE(IF(ISERROR(_xll.FDSB($C$2,"FE_ESTIMATE(EPS,MEAN,ANNUAL_ROLL,"&amp;W$9&amp;","&amp;$C$5&amp;",,,'')")), "--", _xll.FDSB($C$2,"FE_ESTIMATE(EPS,MEAN,ANNUAL_ROLL,"&amp;W$9&amp;","&amp;$C$5&amp;",,,'')")))</f>
        <v>--</v>
      </c>
      <c r="X38" s="76" t="str" cm="1">
        <f t="array" ref="X38">_xlfn.SINGLE(IF(ISERROR(_xll.FDSB($C$2,"FE_ESTIMATE(EPS,MEAN,QUARTERLY_ROLL,"&amp;X$9&amp;","&amp;$C$5&amp;",,,'')")), "--", _xll.FDSB($C$2,"FE_ESTIMATE(EPS,MEAN,QUARTERLY_ROLL,"&amp;X$9&amp;","&amp;$C$5&amp;",,,'')")))</f>
        <v/>
      </c>
      <c r="Y38" s="76" t="str" cm="1">
        <f t="array" ref="Y38">_xlfn.SINGLE(IF(ISERROR(_xll.FDSB($C$2,"FE_ESTIMATE(EPS,MEAN,QUARTERLY_ROLL,"&amp;Y$9&amp;","&amp;$C$5&amp;",,,'')")), "--", _xll.FDSB($C$2,"FE_ESTIMATE(EPS,MEAN,QUARTERLY_ROLL,"&amp;Y$9&amp;","&amp;$C$5&amp;",,,'')")))</f>
        <v/>
      </c>
      <c r="Z38" s="76" t="str" cm="1">
        <f t="array" ref="Z38">_xlfn.SINGLE(IF(ISERROR(_xll.FDSB($C$2,"FE_ESTIMATE(EPS,MEAN,QUARTERLY_ROLL,"&amp;Z$9&amp;","&amp;$C$5&amp;",,,'')")), "--", _xll.FDSB($C$2,"FE_ESTIMATE(EPS,MEAN,QUARTERLY_ROLL,"&amp;Z$9&amp;","&amp;$C$5&amp;",,,'')")))</f>
        <v/>
      </c>
      <c r="AA38" s="76" t="str" cm="1">
        <f t="array" ref="AA38">_xlfn.SINGLE(IF(ISERROR(_xll.FDSB($C$2,"FE_ESTIMATE(EPS,MEAN,QUARTERLY_ROLL,"&amp;AA$9&amp;","&amp;$C$5&amp;",,,'')")), "--", _xll.FDSB($C$2,"FE_ESTIMATE(EPS,MEAN,QUARTERLY_ROLL,"&amp;AA$9&amp;","&amp;$C$5&amp;",,,'')")))</f>
        <v/>
      </c>
      <c r="AB38" s="77" t="str" cm="1">
        <f t="array" ref="AB38">_xlfn.SINGLE(IF(ISERROR(_xll.FDSB($C$2,"FE_ESTIMATE(EPS,MEAN,ANNUAL_ROLL,"&amp;AB$9&amp;","&amp;$C$5&amp;",,,'')")), "--", _xll.FDSB($C$2,"FE_ESTIMATE(EPS,MEAN,ANNUAL_ROLL,"&amp;AB$9&amp;","&amp;$C$5&amp;",,,'')")))</f>
        <v/>
      </c>
      <c r="AC38" s="76" t="str" cm="1">
        <f t="array" ref="AC38">_xlfn.SINGLE(IF(ISERROR(_xll.FDSB($C$2,"FE_ESTIMATE(EPS,MEAN,QUARTERLY_ROLL,"&amp;AC$9&amp;","&amp;$C$5&amp;",,,'')")), "--", _xll.FDSB($C$2,"FE_ESTIMATE(EPS,MEAN,QUARTERLY_ROLL,"&amp;AC$9&amp;","&amp;$C$5&amp;",,,'')")))</f>
        <v/>
      </c>
      <c r="AD38" s="76" t="str" cm="1">
        <f t="array" ref="AD38">_xlfn.SINGLE(IF(ISERROR(_xll.FDSB($C$2,"FE_ESTIMATE(EPS,MEAN,QUARTERLY_ROLL,"&amp;AD$9&amp;","&amp;$C$5&amp;",,,'')")), "--", _xll.FDSB($C$2,"FE_ESTIMATE(EPS,MEAN,QUARTERLY_ROLL,"&amp;AD$9&amp;","&amp;$C$5&amp;",,,'')")))</f>
        <v/>
      </c>
      <c r="AE38" s="76" t="str" cm="1">
        <f t="array" ref="AE38">_xlfn.SINGLE(IF(ISERROR(_xll.FDSB($C$2,"FE_ESTIMATE(EPS,MEAN,QUARTERLY_ROLL,"&amp;AE$9&amp;","&amp;$C$5&amp;",,,'')")), "--", _xll.FDSB($C$2,"FE_ESTIMATE(EPS,MEAN,QUARTERLY_ROLL,"&amp;AE$9&amp;","&amp;$C$5&amp;",,,'')")))</f>
        <v/>
      </c>
      <c r="AF38" s="76" t="str" cm="1">
        <f t="array" ref="AF38">_xlfn.SINGLE(IF(ISERROR(_xll.FDSB($C$2,"FE_ESTIMATE(EPS,MEAN,QUARTERLY_ROLL,"&amp;AF$9&amp;","&amp;$C$5&amp;",,,'')")), "--", _xll.FDSB($C$2,"FE_ESTIMATE(EPS,MEAN,QUARTERLY_ROLL,"&amp;AF$9&amp;","&amp;$C$5&amp;",,,'')")))</f>
        <v/>
      </c>
      <c r="AG38" s="77" t="str" cm="1">
        <f t="array" ref="AG38">_xlfn.SINGLE(IF(ISERROR(_xll.FDSB($C$2,"FE_ESTIMATE(EPS,MEAN,ANNUAL_ROLL,"&amp;AG$9&amp;","&amp;$C$5&amp;",,,'')")), "--", _xll.FDSB($C$2,"FE_ESTIMATE(EPS,MEAN,ANNUAL_ROLL,"&amp;AG$9&amp;","&amp;$C$5&amp;",,,'')")))</f>
        <v/>
      </c>
      <c r="AH38" s="76" t="str" cm="1">
        <f t="array" ref="AH38">_xlfn.SINGLE(IF(ISERROR(_xll.FDSB($C$2,"FE_ESTIMATE(EPS,MEAN,QUARTERLY_ROLL,"&amp;AH$9&amp;","&amp;$C$5&amp;",,,'')")), "--", _xll.FDSB($C$2,"FE_ESTIMATE(EPS,MEAN,QUARTERLY_ROLL,"&amp;AH$9&amp;","&amp;$C$5&amp;",,,'')")))</f>
        <v/>
      </c>
      <c r="AI38" s="76" t="str" cm="1">
        <f t="array" ref="AI38">_xlfn.SINGLE(IF(ISERROR(_xll.FDSB($C$2,"FE_ESTIMATE(EPS,MEAN,QUARTERLY_ROLL,"&amp;AI$9&amp;","&amp;$C$5&amp;",,,'')")), "--", _xll.FDSB($C$2,"FE_ESTIMATE(EPS,MEAN,QUARTERLY_ROLL,"&amp;AI$9&amp;","&amp;$C$5&amp;",,,'')")))</f>
        <v/>
      </c>
      <c r="AJ38" s="76" t="str" cm="1">
        <f t="array" ref="AJ38">_xlfn.SINGLE(IF(ISERROR(_xll.FDSB($C$2,"FE_ESTIMATE(EPS,MEAN,QUARTERLY_ROLL,"&amp;AJ$9&amp;","&amp;$C$5&amp;",,,'')")), "--", _xll.FDSB($C$2,"FE_ESTIMATE(EPS,MEAN,QUARTERLY_ROLL,"&amp;AJ$9&amp;","&amp;$C$5&amp;",,,'')")))</f>
        <v/>
      </c>
      <c r="AK38" s="76" cm="1">
        <f t="array" ref="AK38">_xlfn.SINGLE(IF(ISERROR(_xll.FDSB($C$2,"FE_ESTIMATE(EPS,MEAN,QUARTERLY_ROLL,"&amp;AK$9&amp;","&amp;$C$5&amp;",,,'')")), "--", _xll.FDSB($C$2,"FE_ESTIMATE(EPS,MEAN,QUARTERLY_ROLL,"&amp;AK$9&amp;","&amp;$C$5&amp;",,,'')")))</f>
        <v>-0.10173333399999999</v>
      </c>
      <c r="AL38" s="77" cm="1">
        <f t="array" ref="AL38">_xlfn.SINGLE(IF(ISERROR(_xll.FDSB($C$2,"FE_ESTIMATE(EPS,MEAN,ANNUAL_ROLL,"&amp;AL$9&amp;","&amp;$C$5&amp;",,,'')")), "--", _xll.FDSB($C$2,"FE_ESTIMATE(EPS,MEAN,ANNUAL_ROLL,"&amp;AL$9&amp;","&amp;$C$5&amp;",,,'')")))</f>
        <v>-0.28160099999999999</v>
      </c>
      <c r="AM38" s="76" cm="1">
        <f t="array" ref="AM38">_xlfn.SINGLE(IF(ISERROR(_xll.FDSB($C$2,"FE_ESTIMATE(EPS,MEAN,QUARTERLY_ROLL,"&amp;AM$9&amp;","&amp;$C$5&amp;",,,'')")), "--", _xll.FDSB($C$2,"FE_ESTIMATE(EPS,MEAN,QUARTERLY_ROLL,"&amp;AM$9&amp;","&amp;$C$5&amp;",,,'')")))</f>
        <v>-0.82778200000000002</v>
      </c>
      <c r="AN38" s="76" cm="1">
        <f t="array" ref="AN38">_xlfn.SINGLE(IF(ISERROR(_xll.FDSB($C$2,"FE_ESTIMATE(EPS,MEAN,QUARTERLY_ROLL,"&amp;AN$9&amp;","&amp;$C$5&amp;",,,'')")), "--", _xll.FDSB($C$2,"FE_ESTIMATE(EPS,MEAN,QUARTERLY_ROLL,"&amp;AN$9&amp;","&amp;$C$5&amp;",,,'')")))</f>
        <v>-0.27179199999999998</v>
      </c>
      <c r="AO38" s="76" cm="1">
        <f t="array" ref="AO38">_xlfn.SINGLE(IF(ISERROR(_xll.FDSB($C$2,"FE_ESTIMATE(EPS,MEAN,QUARTERLY_ROLL,"&amp;AO$9&amp;","&amp;$C$5&amp;",,,'')")), "--", _xll.FDSB($C$2,"FE_ESTIMATE(EPS,MEAN,QUARTERLY_ROLL,"&amp;AO$9&amp;","&amp;$C$5&amp;",,,'')")))</f>
        <v>-0.39620164000000002</v>
      </c>
      <c r="AP38" s="76" cm="1">
        <f t="array" ref="AP38">_xlfn.SINGLE(IF(ISERROR(_xll.FDSB($C$2,"FE_ESTIMATE(EPS,MEAN,QUARTERLY_ROLL,"&amp;AP$9&amp;","&amp;$C$5&amp;",,,'')")), "--", _xll.FDSB($C$2,"FE_ESTIMATE(EPS,MEAN,QUARTERLY_ROLL,"&amp;AP$9&amp;","&amp;$C$5&amp;",,,'')")))</f>
        <v>-0.39520195000000002</v>
      </c>
      <c r="AQ38" s="77" cm="1">
        <f t="array" ref="AQ38">_xlfn.SINGLE(IF(ISERROR(_xll.FDSB($C$2,"FE_ESTIMATE(EPS,MEAN,ANNUAL_ROLL,"&amp;AQ$9&amp;","&amp;$C$5&amp;",,,'')")), "--", _xll.FDSB($C$2,"FE_ESTIMATE(EPS,MEAN,ANNUAL_ROLL,"&amp;AQ$9&amp;","&amp;$C$5&amp;",,,'')")))</f>
        <v>-1.7698483</v>
      </c>
      <c r="AR38" s="76" cm="1">
        <f t="array" ref="AR38">_xlfn.SINGLE(IF(ISERROR(_xll.FDSB($C$2,"FE_ESTIMATE(EPS,MEAN,QUARTERLY_ROLL,"&amp;AR$9&amp;","&amp;$C$5&amp;",,,'')")), "--", _xll.FDSB($C$2,"FE_ESTIMATE(EPS,MEAN,QUARTERLY_ROLL,"&amp;AR$9&amp;","&amp;$C$5&amp;",,,'')")))</f>
        <v>-0.33845504999999998</v>
      </c>
      <c r="AS38" s="76" cm="1">
        <f t="array" ref="AS38">_xlfn.SINGLE(IF(ISERROR(_xll.FDSB($C$2,"FE_ESTIMATE(EPS,MEAN,QUARTERLY_ROLL,"&amp;AS$9&amp;","&amp;$C$5&amp;",,,'')")), "--", _xll.FDSB($C$2,"FE_ESTIMATE(EPS,MEAN,QUARTERLY_ROLL,"&amp;AS$9&amp;","&amp;$C$5&amp;",,,'')")))</f>
        <v>-0.10337503000000001</v>
      </c>
      <c r="AT38" s="76" cm="1">
        <f t="array" ref="AT38">_xlfn.SINGLE(IF(ISERROR(_xll.FDSB($C$2,"FE_ESTIMATE(EPS,MEAN,QUARTERLY_ROLL,"&amp;AT$9&amp;","&amp;$C$5&amp;",,,'')")), "--", _xll.FDSB($C$2,"FE_ESTIMATE(EPS,MEAN,QUARTERLY_ROLL,"&amp;AT$9&amp;","&amp;$C$5&amp;",,,'')")))</f>
        <v>-8.6208194000000002E-2</v>
      </c>
      <c r="AU38" s="76" cm="1">
        <f t="array" ref="AU38">_xlfn.SINGLE(IF(ISERROR(_xll.FDSB($C$2,"FE_ESTIMATE(EPS,MEAN,QUARTERLY_ROLL,"&amp;AU$9&amp;","&amp;$C$5&amp;",,,'')")), "--", _xll.FDSB($C$2,"FE_ESTIMATE(EPS,MEAN,QUARTERLY_ROLL,"&amp;AU$9&amp;","&amp;$C$5&amp;",,,'')")))</f>
        <v>7.7868300000000001E-2</v>
      </c>
      <c r="AV38" s="77" cm="1">
        <f t="array" ref="AV38">_xlfn.SINGLE(IF(ISERROR(_xll.FDSB($C$2,"FE_ESTIMATE(EPS,MEAN,ANNUAL_ROLL,"&amp;AV$9&amp;","&amp;$C$5&amp;",,,'')")), "--", _xll.FDSB($C$2,"FE_ESTIMATE(EPS,MEAN,ANNUAL_ROLL,"&amp;AV$9&amp;","&amp;$C$5&amp;",,,'')")))</f>
        <v>-0.42042065000000001</v>
      </c>
      <c r="AW38" s="76" cm="1">
        <f t="array" ref="AW38">_xlfn.SINGLE(IF(ISERROR(_xll.FDSB($C$2,"FE_ESTIMATE(EPS,MEAN,QUARTERLY_ROLL,"&amp;AW$9&amp;","&amp;$C$5&amp;",,,'')")), "--", _xll.FDSB($C$2,"FE_ESTIMATE(EPS,MEAN,QUARTERLY_ROLL,"&amp;AW$9&amp;","&amp;$C$5&amp;",,,'')")))</f>
        <v>0.29571231999999997</v>
      </c>
      <c r="AX38" s="76" cm="1">
        <f t="array" ref="AX38">_xlfn.SINGLE(IF(ISERROR(_xll.FDSB($C$2,"FE_ESTIMATE(EPS,MEAN,QUARTERLY_ROLL,"&amp;AX$9&amp;","&amp;$C$5&amp;",,,'')")), "--", _xll.FDSB($C$2,"FE_ESTIMATE(EPS,MEAN,QUARTERLY_ROLL,"&amp;AX$9&amp;","&amp;$C$5&amp;",,,'')")))</f>
        <v>0.43361503000000001</v>
      </c>
      <c r="AY38" s="76" cm="1">
        <f t="array" ref="AY38">_xlfn.SINGLE(IF(ISERROR(_xll.FDSB($C$2,"FE_ESTIMATE(EPS,MEAN,QUARTERLY_ROLL,"&amp;AY$9&amp;","&amp;$C$5&amp;",,,'')")), "--", _xll.FDSB($C$2,"FE_ESTIMATE(EPS,MEAN,QUARTERLY_ROLL,"&amp;AY$9&amp;","&amp;$C$5&amp;",,,'')")))</f>
        <v>0.58069409999999999</v>
      </c>
      <c r="AZ38" s="76" cm="1">
        <f t="array" ref="AZ38">_xlfn.SINGLE(IF(ISERROR(_xll.FDSB($C$2,"FE_ESTIMATE(EPS,MEAN,QUARTERLY_ROLL,"&amp;AZ$9&amp;","&amp;$C$5&amp;",,,'')")), "--", _xll.FDSB($C$2,"FE_ESTIMATE(EPS,MEAN,QUARTERLY_ROLL,"&amp;AZ$9&amp;","&amp;$C$5&amp;",,,'')")))</f>
        <v>0.75191885000000003</v>
      </c>
      <c r="BA38" s="77" cm="1">
        <f t="array" ref="BA38">_xlfn.SINGLE(IF(ISERROR(_xll.FDSB($C$2,"FE_ESTIMATE(EPS,MEAN,ANNUAL_ROLL,"&amp;BA$9&amp;","&amp;$C$5&amp;",,,'')")), "--", _xll.FDSB($C$2,"FE_ESTIMATE(EPS,MEAN,ANNUAL_ROLL,"&amp;BA$9&amp;","&amp;$C$5&amp;",,,'')")))</f>
        <v>2.2121487000000002</v>
      </c>
      <c r="BB38" s="76" cm="1">
        <f t="array" ref="BB38">_xlfn.SINGLE(IF(ISERROR(_xll.FDSB($C$2,"FE_ESTIMATE(EPS,MEAN,QUARTERLY_ROLL,"&amp;BB$9&amp;","&amp;$C$5&amp;",,,'')")), "--", _xll.FDSB($C$2,"FE_ESTIMATE(EPS,MEAN,QUARTERLY_ROLL,"&amp;BB$9&amp;","&amp;$C$5&amp;",,,'')")))</f>
        <v>0.95550000000000002</v>
      </c>
      <c r="BC38" s="76" cm="1">
        <f t="array" ref="BC38">_xlfn.SINGLE(IF(ISERROR(_xll.FDSB($C$2,"FE_ESTIMATE(EPS,MEAN,QUARTERLY_ROLL,"&amp;BC$9&amp;","&amp;$C$5&amp;",,,'')")), "--", _xll.FDSB($C$2,"FE_ESTIMATE(EPS,MEAN,QUARTERLY_ROLL,"&amp;BC$9&amp;","&amp;$C$5&amp;",,,'')")))</f>
        <v>1.1316999999999999</v>
      </c>
      <c r="BD38" s="76" cm="1">
        <f t="array" ref="BD38">_xlfn.SINGLE(IF(ISERROR(_xll.FDSB($C$2,"FE_ESTIMATE(EPS,MEAN,QUARTERLY_ROLL,"&amp;BD$9&amp;","&amp;$C$5&amp;",,,'')")), "--", _xll.FDSB($C$2,"FE_ESTIMATE(EPS,MEAN,QUARTERLY_ROLL,"&amp;BD$9&amp;","&amp;$C$5&amp;",,,'')")))</f>
        <v>1.2884</v>
      </c>
      <c r="BE38" s="76" cm="1">
        <f t="array" ref="BE38">_xlfn.SINGLE(IF(ISERROR(_xll.FDSB($C$2,"FE_ESTIMATE(EPS,MEAN,QUARTERLY_ROLL,"&amp;BE$9&amp;","&amp;$C$5&amp;",,,'')")), "--", _xll.FDSB($C$2,"FE_ESTIMATE(EPS,MEAN,QUARTERLY_ROLL,"&amp;BE$9&amp;","&amp;$C$5&amp;",,,'')")))</f>
        <v>1.4726999999999999</v>
      </c>
      <c r="BF38" s="77" cm="1">
        <f t="array" ref="BF38">_xlfn.SINGLE(IF(ISERROR(_xll.FDSB($C$2,"FE_ESTIMATE(EPS,MEAN,ANNUAL_ROLL,"&amp;BF$9&amp;","&amp;$C$5&amp;",,,'')")), "--", _xll.FDSB($C$2,"FE_ESTIMATE(EPS,MEAN,ANNUAL_ROLL,"&amp;BF$9&amp;","&amp;$C$5&amp;",,,'')")))</f>
        <v>3.5766800000000001</v>
      </c>
      <c r="BG38" s="76" t="str" cm="1">
        <f t="array" ref="BG38">_xlfn.SINGLE(IF(ISERROR(_xll.FDSB($C$2,"FE_ESTIMATE(EPS,MEAN,QUARTERLY_ROLL,"&amp;BG$9&amp;","&amp;$C$5&amp;",,,'')")), "--", _xll.FDSB($C$2,"FE_ESTIMATE(EPS,MEAN,QUARTERLY_ROLL,"&amp;BG$9&amp;","&amp;$C$5&amp;",,,'')")))</f>
        <v/>
      </c>
      <c r="BH38" s="76" t="str" cm="1">
        <f t="array" ref="BH38">_xlfn.SINGLE(IF(ISERROR(_xll.FDSB($C$2,"FE_ESTIMATE(EPS,MEAN,QUARTERLY_ROLL,"&amp;BH$9&amp;","&amp;$C$5&amp;",,,'')")), "--", _xll.FDSB($C$2,"FE_ESTIMATE(EPS,MEAN,QUARTERLY_ROLL,"&amp;BH$9&amp;","&amp;$C$5&amp;",,,'')")))</f>
        <v/>
      </c>
      <c r="BI38" s="76" t="str" cm="1">
        <f t="array" ref="BI38">_xlfn.SINGLE(IF(ISERROR(_xll.FDSB($C$2,"FE_ESTIMATE(EPS,MEAN,QUARTERLY_ROLL,"&amp;BI$9&amp;","&amp;$C$5&amp;",,,'')")), "--", _xll.FDSB($C$2,"FE_ESTIMATE(EPS,MEAN,QUARTERLY_ROLL,"&amp;BI$9&amp;","&amp;$C$5&amp;",,,'')")))</f>
        <v/>
      </c>
      <c r="BJ38" s="76" t="str" cm="1">
        <f t="array" ref="BJ38">_xlfn.SINGLE(IF(ISERROR(_xll.FDSB($C$2,"FE_ESTIMATE(EPS,MEAN,QUARTERLY_ROLL,"&amp;BJ$9&amp;","&amp;$C$5&amp;",,,'')")), "--", _xll.FDSB($C$2,"FE_ESTIMATE(EPS,MEAN,QUARTERLY_ROLL,"&amp;BJ$9&amp;","&amp;$C$5&amp;",,,'')")))</f>
        <v/>
      </c>
      <c r="BK38" s="77" cm="1">
        <f t="array" ref="BK38">_xlfn.SINGLE(IF(ISERROR(_xll.FDSB($C$2,"FE_ESTIMATE(EPS,MEAN,ANNUAL_ROLL,"&amp;BK$9&amp;","&amp;$C$5&amp;",,,'')")), "--", _xll.FDSB($C$2,"FE_ESTIMATE(EPS,MEAN,ANNUAL_ROLL,"&amp;BK$9&amp;","&amp;$C$5&amp;",,,'')")))</f>
        <v>4.84</v>
      </c>
    </row>
    <row r="39" spans="1:63" s="66" customFormat="1" ht="12.75" customHeight="1" outlineLevel="1">
      <c r="A39" s="78" t="s">
        <v>135</v>
      </c>
      <c r="B39" s="68" t="s">
        <v>31</v>
      </c>
      <c r="C39" s="68"/>
      <c r="D39" s="69"/>
      <c r="E39" s="69"/>
      <c r="F39" s="69"/>
      <c r="G39" s="69"/>
      <c r="H39" s="70"/>
      <c r="I39" s="69" t="str">
        <f t="shared" ref="I39:AN39" si="18">IFERROR(I38/D38-1,"")</f>
        <v/>
      </c>
      <c r="J39" s="69" t="str">
        <f t="shared" si="18"/>
        <v/>
      </c>
      <c r="K39" s="69" t="str">
        <f t="shared" si="18"/>
        <v/>
      </c>
      <c r="L39" s="69" t="str">
        <f t="shared" si="18"/>
        <v/>
      </c>
      <c r="M39" s="70" t="str">
        <f t="shared" si="18"/>
        <v/>
      </c>
      <c r="N39" s="69" t="str">
        <f t="shared" si="18"/>
        <v/>
      </c>
      <c r="O39" s="69" t="str">
        <f t="shared" si="18"/>
        <v/>
      </c>
      <c r="P39" s="69" t="str">
        <f t="shared" si="18"/>
        <v/>
      </c>
      <c r="Q39" s="69" t="str">
        <f t="shared" si="18"/>
        <v/>
      </c>
      <c r="R39" s="70" t="str">
        <f t="shared" si="18"/>
        <v/>
      </c>
      <c r="S39" s="69" t="str">
        <f t="shared" si="18"/>
        <v/>
      </c>
      <c r="T39" s="69" t="str">
        <f t="shared" si="18"/>
        <v/>
      </c>
      <c r="U39" s="69" t="str">
        <f t="shared" si="18"/>
        <v/>
      </c>
      <c r="V39" s="69" t="str">
        <f t="shared" si="18"/>
        <v/>
      </c>
      <c r="W39" s="70" t="str">
        <f t="shared" si="18"/>
        <v/>
      </c>
      <c r="X39" s="69" t="str">
        <f t="shared" si="18"/>
        <v/>
      </c>
      <c r="Y39" s="69" t="str">
        <f t="shared" si="18"/>
        <v/>
      </c>
      <c r="Z39" s="69" t="str">
        <f t="shared" si="18"/>
        <v/>
      </c>
      <c r="AA39" s="69" t="str">
        <f t="shared" si="18"/>
        <v/>
      </c>
      <c r="AB39" s="70" t="str">
        <f t="shared" si="18"/>
        <v/>
      </c>
      <c r="AC39" s="69" t="str">
        <f t="shared" si="18"/>
        <v/>
      </c>
      <c r="AD39" s="69" t="str">
        <f t="shared" si="18"/>
        <v/>
      </c>
      <c r="AE39" s="69" t="str">
        <f t="shared" si="18"/>
        <v/>
      </c>
      <c r="AF39" s="69" t="str">
        <f t="shared" si="18"/>
        <v/>
      </c>
      <c r="AG39" s="70" t="str">
        <f t="shared" si="18"/>
        <v/>
      </c>
      <c r="AH39" s="69" t="str">
        <f t="shared" si="18"/>
        <v/>
      </c>
      <c r="AI39" s="69" t="str">
        <f t="shared" si="18"/>
        <v/>
      </c>
      <c r="AJ39" s="69" t="str">
        <f t="shared" si="18"/>
        <v/>
      </c>
      <c r="AK39" s="69" t="str">
        <f t="shared" si="18"/>
        <v/>
      </c>
      <c r="AL39" s="70" t="str">
        <f t="shared" si="18"/>
        <v/>
      </c>
      <c r="AM39" s="69" t="str">
        <f t="shared" si="18"/>
        <v/>
      </c>
      <c r="AN39" s="69" t="str">
        <f t="shared" si="18"/>
        <v/>
      </c>
      <c r="AO39" s="69" t="str">
        <f t="shared" ref="AO39:BK39" si="19">IFERROR(AO38/AJ38-1,"")</f>
        <v/>
      </c>
      <c r="AP39" s="69">
        <f t="shared" si="19"/>
        <v>2.88468493522487</v>
      </c>
      <c r="AQ39" s="70">
        <f t="shared" si="19"/>
        <v>5.2849503375343128</v>
      </c>
      <c r="AR39" s="69">
        <f t="shared" si="19"/>
        <v>-0.59113021302710145</v>
      </c>
      <c r="AS39" s="69">
        <f t="shared" si="19"/>
        <v>-0.61965388973921232</v>
      </c>
      <c r="AT39" s="69">
        <f t="shared" si="19"/>
        <v>-0.78241333377620548</v>
      </c>
      <c r="AU39" s="69">
        <f t="shared" si="19"/>
        <v>-1.1970341998565543</v>
      </c>
      <c r="AV39" s="70">
        <f t="shared" si="19"/>
        <v>-0.76245384985820541</v>
      </c>
      <c r="AW39" s="69">
        <f t="shared" si="19"/>
        <v>-1.8737122403698807</v>
      </c>
      <c r="AX39" s="69">
        <f t="shared" si="19"/>
        <v>-5.1945819024187951</v>
      </c>
      <c r="AY39" s="69">
        <f t="shared" si="19"/>
        <v>-7.7359501812553919</v>
      </c>
      <c r="AZ39" s="69">
        <f t="shared" si="19"/>
        <v>8.6562895298857168</v>
      </c>
      <c r="BA39" s="70">
        <f t="shared" si="19"/>
        <v>-6.2617508202796417</v>
      </c>
      <c r="BB39" s="69">
        <f t="shared" si="19"/>
        <v>2.2311808990575708</v>
      </c>
      <c r="BC39" s="69">
        <f t="shared" si="19"/>
        <v>1.6099187567368225</v>
      </c>
      <c r="BD39" s="69">
        <f t="shared" si="19"/>
        <v>1.2187241096474031</v>
      </c>
      <c r="BE39" s="69">
        <f t="shared" si="19"/>
        <v>0.95858901529067908</v>
      </c>
      <c r="BF39" s="70">
        <f t="shared" si="19"/>
        <v>0.61683525162661978</v>
      </c>
      <c r="BG39" s="69" t="str">
        <f t="shared" si="19"/>
        <v/>
      </c>
      <c r="BH39" s="69" t="str">
        <f t="shared" si="19"/>
        <v/>
      </c>
      <c r="BI39" s="69" t="str">
        <f t="shared" si="19"/>
        <v/>
      </c>
      <c r="BJ39" s="69" t="str">
        <f t="shared" si="19"/>
        <v/>
      </c>
      <c r="BK39" s="70">
        <f t="shared" si="19"/>
        <v>0.35321023966359855</v>
      </c>
    </row>
    <row r="40" spans="1:63" s="66" customFormat="1" ht="12.75" customHeight="1" outlineLevel="1">
      <c r="A40" s="67" t="s">
        <v>139</v>
      </c>
      <c r="B40" s="68" t="s">
        <v>33</v>
      </c>
      <c r="C40" s="68"/>
      <c r="D40" s="69"/>
      <c r="E40" s="69"/>
      <c r="F40" s="69"/>
      <c r="G40" s="69"/>
      <c r="H40" s="72"/>
      <c r="I40" s="69" t="str">
        <f>IFERROR(I38/G38-1,"")</f>
        <v/>
      </c>
      <c r="J40" s="69" t="str">
        <f>IFERROR(J38/I38-1,"")</f>
        <v/>
      </c>
      <c r="K40" s="69" t="str">
        <f>IFERROR(K38/J38-1,"")</f>
        <v/>
      </c>
      <c r="L40" s="69" t="str">
        <f>IFERROR(L38/K38-1,"")</f>
        <v/>
      </c>
      <c r="M40" s="72"/>
      <c r="N40" s="69" t="str">
        <f>IFERROR(N38/L38-1,"")</f>
        <v/>
      </c>
      <c r="O40" s="69" t="str">
        <f>IFERROR(O38/N38-1,"")</f>
        <v/>
      </c>
      <c r="P40" s="69" t="str">
        <f>IFERROR(P38/O38-1,"")</f>
        <v/>
      </c>
      <c r="Q40" s="69" t="str">
        <f>IFERROR(Q38/P38-1,"")</f>
        <v/>
      </c>
      <c r="R40" s="72"/>
      <c r="S40" s="69" t="str">
        <f>IFERROR(S38/Q38-1,"")</f>
        <v/>
      </c>
      <c r="T40" s="69" t="str">
        <f>IFERROR(T38/S38-1,"")</f>
        <v/>
      </c>
      <c r="U40" s="69" t="str">
        <f>IFERROR(U38/T38-1,"")</f>
        <v/>
      </c>
      <c r="V40" s="69" t="str">
        <f>IFERROR(V38/U38-1,"")</f>
        <v/>
      </c>
      <c r="W40" s="72"/>
      <c r="X40" s="69" t="str">
        <f>IFERROR(X38/V38-1,"")</f>
        <v/>
      </c>
      <c r="Y40" s="69" t="str">
        <f>IFERROR(Y38/X38-1,"")</f>
        <v/>
      </c>
      <c r="Z40" s="69" t="str">
        <f>IFERROR(Z38/Y38-1,"")</f>
        <v/>
      </c>
      <c r="AA40" s="69" t="str">
        <f>IFERROR(AA38/Z38-1,"")</f>
        <v/>
      </c>
      <c r="AB40" s="72"/>
      <c r="AC40" s="69" t="str">
        <f>IFERROR(AC38/AA38-1,"")</f>
        <v/>
      </c>
      <c r="AD40" s="69" t="str">
        <f>IFERROR(AD38/AC38-1,"")</f>
        <v/>
      </c>
      <c r="AE40" s="69" t="str">
        <f>IFERROR(AE38/AD38-1,"")</f>
        <v/>
      </c>
      <c r="AF40" s="69" t="str">
        <f>IFERROR(AF38/AE38-1,"")</f>
        <v/>
      </c>
      <c r="AG40" s="72"/>
      <c r="AH40" s="69" t="str">
        <f>IFERROR(AH38/AF38-1,"")</f>
        <v/>
      </c>
      <c r="AI40" s="69" t="str">
        <f>IFERROR(AI38/AH38-1,"")</f>
        <v/>
      </c>
      <c r="AJ40" s="69" t="str">
        <f>IFERROR(AJ38/AI38-1,"")</f>
        <v/>
      </c>
      <c r="AK40" s="69" t="str">
        <f>IFERROR(AK38/AJ38-1,"")</f>
        <v/>
      </c>
      <c r="AL40" s="72"/>
      <c r="AM40" s="69">
        <f>IFERROR(AM38/AK38-1,"")</f>
        <v>7.1367823844247553</v>
      </c>
      <c r="AN40" s="69">
        <f>IFERROR(AN38/AM38-1,"")</f>
        <v>-0.6716623458833364</v>
      </c>
      <c r="AO40" s="69">
        <f>IFERROR(AO38/AN38-1,"")</f>
        <v>0.45773841761346934</v>
      </c>
      <c r="AP40" s="69">
        <f>IFERROR(AP38/AO38-1,"")</f>
        <v>-2.5231849116020832E-3</v>
      </c>
      <c r="AQ40" s="72"/>
      <c r="AR40" s="69">
        <f>IFERROR(AR38/AP38-1,"")</f>
        <v>-0.14358962550665566</v>
      </c>
      <c r="AS40" s="69">
        <f>IFERROR(AS38/AR38-1,"")</f>
        <v>-0.69456791972818843</v>
      </c>
      <c r="AT40" s="69">
        <f>IFERROR(AT38/AS38-1,"")</f>
        <v>-0.1660636616018395</v>
      </c>
      <c r="AU40" s="69">
        <f>IFERROR(AU38/AT38-1,"")</f>
        <v>-1.9032586855954783</v>
      </c>
      <c r="AV40" s="72"/>
      <c r="AW40" s="69">
        <f>IFERROR(AW38/AU38-1,"")</f>
        <v>2.7975956839946416</v>
      </c>
      <c r="AX40" s="69">
        <f>IFERROR(AX38/AW38-1,"")</f>
        <v>0.46634076659369494</v>
      </c>
      <c r="AY40" s="69">
        <f>IFERROR(AY38/AX38-1,"")</f>
        <v>0.33919273969816022</v>
      </c>
      <c r="AZ40" s="69">
        <f>IFERROR(AZ38/AY38-1,"")</f>
        <v>0.29486221747388175</v>
      </c>
      <c r="BA40" s="72"/>
      <c r="BB40" s="69">
        <f>IFERROR(BB38/AZ38-1,"")</f>
        <v>0.27074883147297069</v>
      </c>
      <c r="BC40" s="69">
        <f>IFERROR(BC38/BB38-1,"")</f>
        <v>0.18440607012035581</v>
      </c>
      <c r="BD40" s="69">
        <f>IFERROR(BD38/BC38-1,"")</f>
        <v>0.13846425731200851</v>
      </c>
      <c r="BE40" s="69">
        <f>IFERROR(BE38/BD38-1,"")</f>
        <v>0.14304563800062087</v>
      </c>
      <c r="BF40" s="72"/>
      <c r="BG40" s="69" t="str">
        <f>IFERROR(BG38/BE38-1,"")</f>
        <v/>
      </c>
      <c r="BH40" s="69" t="str">
        <f>IFERROR(BH38/BG38-1,"")</f>
        <v/>
      </c>
      <c r="BI40" s="69" t="str">
        <f>IFERROR(BI38/BH38-1,"")</f>
        <v/>
      </c>
      <c r="BJ40" s="69" t="str">
        <f>IFERROR(BJ38/BI38-1,"")</f>
        <v/>
      </c>
      <c r="BK40" s="72"/>
    </row>
    <row r="41" spans="1:63" s="71" customFormat="1" ht="12.75" customHeight="1">
      <c r="A41" s="79"/>
      <c r="B41" s="68"/>
      <c r="C41" s="68"/>
      <c r="D41" s="69"/>
      <c r="E41" s="69"/>
      <c r="F41" s="69"/>
      <c r="G41" s="69"/>
      <c r="H41" s="70"/>
      <c r="I41" s="69"/>
      <c r="J41" s="69"/>
      <c r="K41" s="69"/>
      <c r="L41" s="69"/>
      <c r="M41" s="70"/>
      <c r="N41" s="69"/>
      <c r="O41" s="69"/>
      <c r="P41" s="69"/>
      <c r="Q41" s="69"/>
      <c r="R41" s="70"/>
      <c r="S41" s="69"/>
      <c r="T41" s="69"/>
      <c r="U41" s="69"/>
      <c r="V41" s="69"/>
      <c r="W41" s="70"/>
      <c r="X41" s="69"/>
      <c r="Y41" s="69"/>
      <c r="Z41" s="69"/>
      <c r="AA41" s="69"/>
      <c r="AB41" s="70"/>
      <c r="AC41" s="69"/>
      <c r="AD41" s="69"/>
      <c r="AE41" s="69"/>
      <c r="AF41" s="69"/>
      <c r="AG41" s="70"/>
      <c r="AH41" s="69"/>
      <c r="AI41" s="69"/>
      <c r="AJ41" s="69"/>
      <c r="AK41" s="69"/>
      <c r="AL41" s="70"/>
      <c r="AM41" s="69"/>
      <c r="AN41" s="69"/>
      <c r="AO41" s="69"/>
      <c r="AP41" s="69"/>
      <c r="AQ41" s="70"/>
      <c r="AR41" s="69"/>
      <c r="AS41" s="69"/>
      <c r="AT41" s="69"/>
      <c r="AU41" s="69"/>
      <c r="AV41" s="70"/>
      <c r="AW41" s="69"/>
      <c r="AX41" s="69"/>
      <c r="AY41" s="69"/>
      <c r="AZ41" s="69"/>
      <c r="BA41" s="70"/>
      <c r="BB41" s="69"/>
      <c r="BC41" s="69"/>
      <c r="BD41" s="69"/>
      <c r="BE41" s="69"/>
      <c r="BF41" s="70"/>
      <c r="BG41" s="69"/>
      <c r="BH41" s="69"/>
      <c r="BI41" s="69"/>
      <c r="BJ41" s="69"/>
      <c r="BK41" s="70"/>
    </row>
    <row r="42" spans="1:63" s="71" customFormat="1" ht="12.75" customHeight="1">
      <c r="A42" s="53"/>
      <c r="B42" s="42" t="s">
        <v>40</v>
      </c>
      <c r="C42" s="68"/>
      <c r="D42" s="69"/>
      <c r="E42" s="69"/>
      <c r="F42" s="69"/>
      <c r="G42" s="69"/>
      <c r="H42" s="70"/>
      <c r="I42" s="69"/>
      <c r="J42" s="69"/>
      <c r="K42" s="69"/>
      <c r="L42" s="69"/>
      <c r="M42" s="70"/>
      <c r="N42" s="69"/>
      <c r="O42" s="69"/>
      <c r="P42" s="69"/>
      <c r="Q42" s="69"/>
      <c r="R42" s="70"/>
      <c r="S42" s="69"/>
      <c r="T42" s="69"/>
      <c r="U42" s="69"/>
      <c r="V42" s="69"/>
      <c r="W42" s="70"/>
      <c r="X42" s="69"/>
      <c r="Y42" s="69"/>
      <c r="Z42" s="69"/>
      <c r="AA42" s="69"/>
      <c r="AB42" s="70"/>
      <c r="AC42" s="69"/>
      <c r="AD42" s="69"/>
      <c r="AE42" s="69"/>
      <c r="AF42" s="69"/>
      <c r="AG42" s="70"/>
      <c r="AH42" s="69"/>
      <c r="AI42" s="69"/>
      <c r="AJ42" s="69"/>
      <c r="AK42" s="69"/>
      <c r="AL42" s="70"/>
      <c r="AM42" s="69"/>
      <c r="AN42" s="69"/>
      <c r="AO42" s="69"/>
      <c r="AP42" s="69"/>
      <c r="AQ42" s="70"/>
      <c r="AR42" s="69"/>
      <c r="AS42" s="69"/>
      <c r="AT42" s="69"/>
      <c r="AU42" s="69"/>
      <c r="AV42" s="70"/>
      <c r="AW42" s="69"/>
      <c r="AX42" s="69"/>
      <c r="AY42" s="69"/>
      <c r="AZ42" s="69"/>
      <c r="BA42" s="70"/>
      <c r="BB42" s="69"/>
      <c r="BC42" s="69"/>
      <c r="BD42" s="69"/>
      <c r="BE42" s="69"/>
      <c r="BF42" s="70"/>
      <c r="BG42" s="69"/>
      <c r="BH42" s="69"/>
      <c r="BI42" s="69"/>
      <c r="BJ42" s="69"/>
      <c r="BK42" s="70"/>
    </row>
    <row r="43" spans="1:63" s="641" customFormat="1" ht="12.75" customHeight="1" outlineLevel="1">
      <c r="A43" s="642" t="s">
        <v>41</v>
      </c>
      <c r="B43" s="637" t="s">
        <v>42</v>
      </c>
      <c r="C43" s="638"/>
      <c r="D43" s="639"/>
      <c r="E43" s="639"/>
      <c r="F43" s="639"/>
      <c r="G43" s="639"/>
      <c r="H43" s="640"/>
      <c r="I43" s="639" t="str" cm="1">
        <f t="array" ref="I43">_xlfn.SINGLE(IF(ISERROR(_xll.FDSB($C$2,"FE_ESTIMATE(CFO,MEAN,QUARTERLY_ROLL,"&amp;I$9&amp;","&amp;$C$5&amp;",,,'')")), "--", _xll.FDSB($C$2,"FE_ESTIMATE(CFO,MEAN,QUARTERLY_ROLL,"&amp;I$9&amp;","&amp;$C$5&amp;",,,'')")))</f>
        <v>--</v>
      </c>
      <c r="J43" s="639" t="str" cm="1">
        <f t="array" ref="J43">_xlfn.SINGLE(IF(ISERROR(_xll.FDSB($C$2,"FE_ESTIMATE(CFO,MEAN,QUARTERLY_ROLL,"&amp;J$9&amp;","&amp;$C$5&amp;",,,'')")), "--", _xll.FDSB($C$2,"FE_ESTIMATE(CFO,MEAN,QUARTERLY_ROLL,"&amp;J$9&amp;","&amp;$C$5&amp;",,,'')")))</f>
        <v>--</v>
      </c>
      <c r="K43" s="639" t="str" cm="1">
        <f t="array" ref="K43">_xlfn.SINGLE(IF(ISERROR(_xll.FDSB($C$2,"FE_ESTIMATE(CFO,MEAN,QUARTERLY_ROLL,"&amp;K$9&amp;","&amp;$C$5&amp;",,,'')")), "--", _xll.FDSB($C$2,"FE_ESTIMATE(CFO,MEAN,QUARTERLY_ROLL,"&amp;K$9&amp;","&amp;$C$5&amp;",,,'')")))</f>
        <v>--</v>
      </c>
      <c r="L43" s="639" t="str" cm="1">
        <f t="array" ref="L43">_xlfn.SINGLE(IF(ISERROR(_xll.FDSB($C$2,"FE_ESTIMATE(CFO,MEAN,QUARTERLY_ROLL,"&amp;L$9&amp;","&amp;$C$5&amp;",,,'')")), "--", _xll.FDSB($C$2,"FE_ESTIMATE(CFO,MEAN,QUARTERLY_ROLL,"&amp;L$9&amp;","&amp;$C$5&amp;",,,'')")))</f>
        <v>--</v>
      </c>
      <c r="M43" s="640" t="str" cm="1">
        <f t="array" ref="M43">_xlfn.SINGLE(IF(ISERROR(_xll.FDSB($C$2,"FE_ESTIMATE(CFO,MEAN,ANNUAL_ROLL,"&amp;M$9&amp;","&amp;$C$5&amp;",,,'')")), "--", _xll.FDSB($C$2,"FE_ESTIMATE(CFO,MEAN,ANNUAL_ROLL,"&amp;M$9&amp;","&amp;$C$5&amp;",,,'')")))</f>
        <v>--</v>
      </c>
      <c r="N43" s="639" t="str" cm="1">
        <f t="array" ref="N43">_xlfn.SINGLE(IF(ISERROR(_xll.FDSB($C$2,"FE_ESTIMATE(CFO,MEAN,QUARTERLY_ROLL,"&amp;N$9&amp;","&amp;$C$5&amp;",,,'')")), "--", _xll.FDSB($C$2,"FE_ESTIMATE(CFO,MEAN,QUARTERLY_ROLL,"&amp;N$9&amp;","&amp;$C$5&amp;",,,'')")))</f>
        <v>--</v>
      </c>
      <c r="O43" s="639" t="str" cm="1">
        <f t="array" ref="O43">_xlfn.SINGLE(IF(ISERROR(_xll.FDSB($C$2,"FE_ESTIMATE(CFO,MEAN,QUARTERLY_ROLL,"&amp;O$9&amp;","&amp;$C$5&amp;",,,'')")), "--", _xll.FDSB($C$2,"FE_ESTIMATE(CFO,MEAN,QUARTERLY_ROLL,"&amp;O$9&amp;","&amp;$C$5&amp;",,,'')")))</f>
        <v>--</v>
      </c>
      <c r="P43" s="639" t="str" cm="1">
        <f t="array" ref="P43">_xlfn.SINGLE(IF(ISERROR(_xll.FDSB($C$2,"FE_ESTIMATE(CFO,MEAN,QUARTERLY_ROLL,"&amp;P$9&amp;","&amp;$C$5&amp;",,,'')")), "--", _xll.FDSB($C$2,"FE_ESTIMATE(CFO,MEAN,QUARTERLY_ROLL,"&amp;P$9&amp;","&amp;$C$5&amp;",,,'')")))</f>
        <v>--</v>
      </c>
      <c r="Q43" s="639" t="str" cm="1">
        <f t="array" ref="Q43">_xlfn.SINGLE(IF(ISERROR(_xll.FDSB($C$2,"FE_ESTIMATE(CFO,MEAN,QUARTERLY_ROLL,"&amp;Q$9&amp;","&amp;$C$5&amp;",,,'')")), "--", _xll.FDSB($C$2,"FE_ESTIMATE(CFO,MEAN,QUARTERLY_ROLL,"&amp;Q$9&amp;","&amp;$C$5&amp;",,,'')")))</f>
        <v>--</v>
      </c>
      <c r="R43" s="640" t="str" cm="1">
        <f t="array" ref="R43">_xlfn.SINGLE(IF(ISERROR(_xll.FDSB($C$2,"FE_ESTIMATE(CFO,MEAN,ANNUAL_ROLL,"&amp;R$9&amp;","&amp;$C$5&amp;",,,'')")), "--", _xll.FDSB($C$2,"FE_ESTIMATE(CFO,MEAN,ANNUAL_ROLL,"&amp;R$9&amp;","&amp;$C$5&amp;",,,'')")))</f>
        <v>--</v>
      </c>
      <c r="S43" s="639" t="str" cm="1">
        <f t="array" ref="S43">_xlfn.SINGLE(IF(ISERROR(_xll.FDSB($C$2,"FE_ESTIMATE(CFO,MEAN,QUARTERLY_ROLL,"&amp;S$9&amp;","&amp;$C$5&amp;",,,'')")), "--", _xll.FDSB($C$2,"FE_ESTIMATE(CFO,MEAN,QUARTERLY_ROLL,"&amp;S$9&amp;","&amp;$C$5&amp;",,,'')")))</f>
        <v>--</v>
      </c>
      <c r="T43" s="639" t="str" cm="1">
        <f t="array" ref="T43">_xlfn.SINGLE(IF(ISERROR(_xll.FDSB($C$2,"FE_ESTIMATE(CFO,MEAN,QUARTERLY_ROLL,"&amp;T$9&amp;","&amp;$C$5&amp;",,,'')")), "--", _xll.FDSB($C$2,"FE_ESTIMATE(CFO,MEAN,QUARTERLY_ROLL,"&amp;T$9&amp;","&amp;$C$5&amp;",,,'')")))</f>
        <v>--</v>
      </c>
      <c r="U43" s="639" t="str" cm="1">
        <f t="array" ref="U43">_xlfn.SINGLE(IF(ISERROR(_xll.FDSB($C$2,"FE_ESTIMATE(CFO,MEAN,QUARTERLY_ROLL,"&amp;U$9&amp;","&amp;$C$5&amp;",,,'')")), "--", _xll.FDSB($C$2,"FE_ESTIMATE(CFO,MEAN,QUARTERLY_ROLL,"&amp;U$9&amp;","&amp;$C$5&amp;",,,'')")))</f>
        <v>--</v>
      </c>
      <c r="V43" s="639" t="str" cm="1">
        <f t="array" ref="V43">_xlfn.SINGLE(IF(ISERROR(_xll.FDSB($C$2,"FE_ESTIMATE(CFO,MEAN,QUARTERLY_ROLL,"&amp;V$9&amp;","&amp;$C$5&amp;",,,'')")), "--", _xll.FDSB($C$2,"FE_ESTIMATE(CFO,MEAN,QUARTERLY_ROLL,"&amp;V$9&amp;","&amp;$C$5&amp;",,,'')")))</f>
        <v>--</v>
      </c>
      <c r="W43" s="640" t="str" cm="1">
        <f t="array" ref="W43">_xlfn.SINGLE(IF(ISERROR(_xll.FDSB($C$2,"FE_ESTIMATE(CFO,MEAN,ANNUAL_ROLL,"&amp;W$9&amp;","&amp;$C$5&amp;",,,'')")), "--", _xll.FDSB($C$2,"FE_ESTIMATE(CFO,MEAN,ANNUAL_ROLL,"&amp;W$9&amp;","&amp;$C$5&amp;",,,'')")))</f>
        <v>--</v>
      </c>
      <c r="X43" s="639" t="str" cm="1">
        <f t="array" ref="X43">_xlfn.SINGLE(IF(ISERROR(_xll.FDSB($C$2,"FE_ESTIMATE(CFO,MEAN,QUARTERLY_ROLL,"&amp;X$9&amp;","&amp;$C$5&amp;",,,'')")), "--", _xll.FDSB($C$2,"FE_ESTIMATE(CFO,MEAN,QUARTERLY_ROLL,"&amp;X$9&amp;","&amp;$C$5&amp;",,,'')")))</f>
        <v/>
      </c>
      <c r="Y43" s="639" t="str" cm="1">
        <f t="array" ref="Y43">_xlfn.SINGLE(IF(ISERROR(_xll.FDSB($C$2,"FE_ESTIMATE(CFO,MEAN,QUARTERLY_ROLL,"&amp;Y$9&amp;","&amp;$C$5&amp;",,,'')")), "--", _xll.FDSB($C$2,"FE_ESTIMATE(CFO,MEAN,QUARTERLY_ROLL,"&amp;Y$9&amp;","&amp;$C$5&amp;",,,'')")))</f>
        <v/>
      </c>
      <c r="Z43" s="639" t="str" cm="1">
        <f t="array" ref="Z43">_xlfn.SINGLE(IF(ISERROR(_xll.FDSB($C$2,"FE_ESTIMATE(CFO,MEAN,QUARTERLY_ROLL,"&amp;Z$9&amp;","&amp;$C$5&amp;",,,'')")), "--", _xll.FDSB($C$2,"FE_ESTIMATE(CFO,MEAN,QUARTERLY_ROLL,"&amp;Z$9&amp;","&amp;$C$5&amp;",,,'')")))</f>
        <v/>
      </c>
      <c r="AA43" s="639" t="str" cm="1">
        <f t="array" ref="AA43">_xlfn.SINGLE(IF(ISERROR(_xll.FDSB($C$2,"FE_ESTIMATE(CFO,MEAN,QUARTERLY_ROLL,"&amp;AA$9&amp;","&amp;$C$5&amp;",,,'')")), "--", _xll.FDSB($C$2,"FE_ESTIMATE(CFO,MEAN,QUARTERLY_ROLL,"&amp;AA$9&amp;","&amp;$C$5&amp;",,,'')")))</f>
        <v/>
      </c>
      <c r="AB43" s="640" t="str" cm="1">
        <f t="array" ref="AB43">_xlfn.SINGLE(IF(ISERROR(_xll.FDSB($C$2,"FE_ESTIMATE(CFO,MEAN,ANNUAL_ROLL,"&amp;AB$9&amp;","&amp;$C$5&amp;",,,'')")), "--", _xll.FDSB($C$2,"FE_ESTIMATE(CFO,MEAN,ANNUAL_ROLL,"&amp;AB$9&amp;","&amp;$C$5&amp;",,,'')")))</f>
        <v/>
      </c>
      <c r="AC43" s="639" t="str" cm="1">
        <f t="array" ref="AC43">_xlfn.SINGLE(IF(ISERROR(_xll.FDSB($C$2,"FE_ESTIMATE(CFO,MEAN,QUARTERLY_ROLL,"&amp;AC$9&amp;","&amp;$C$5&amp;",,,'')")), "--", _xll.FDSB($C$2,"FE_ESTIMATE(CFO,MEAN,QUARTERLY_ROLL,"&amp;AC$9&amp;","&amp;$C$5&amp;",,,'')")))</f>
        <v/>
      </c>
      <c r="AD43" s="639" t="str" cm="1">
        <f t="array" ref="AD43">_xlfn.SINGLE(IF(ISERROR(_xll.FDSB($C$2,"FE_ESTIMATE(CFO,MEAN,QUARTERLY_ROLL,"&amp;AD$9&amp;","&amp;$C$5&amp;",,,'')")), "--", _xll.FDSB($C$2,"FE_ESTIMATE(CFO,MEAN,QUARTERLY_ROLL,"&amp;AD$9&amp;","&amp;$C$5&amp;",,,'')")))</f>
        <v/>
      </c>
      <c r="AE43" s="639" t="str" cm="1">
        <f t="array" ref="AE43">_xlfn.SINGLE(IF(ISERROR(_xll.FDSB($C$2,"FE_ESTIMATE(CFO,MEAN,QUARTERLY_ROLL,"&amp;AE$9&amp;","&amp;$C$5&amp;",,,'')")), "--", _xll.FDSB($C$2,"FE_ESTIMATE(CFO,MEAN,QUARTERLY_ROLL,"&amp;AE$9&amp;","&amp;$C$5&amp;",,,'')")))</f>
        <v/>
      </c>
      <c r="AF43" s="639" t="str" cm="1">
        <f t="array" ref="AF43">_xlfn.SINGLE(IF(ISERROR(_xll.FDSB($C$2,"FE_ESTIMATE(CFO,MEAN,QUARTERLY_ROLL,"&amp;AF$9&amp;","&amp;$C$5&amp;",,,'')")), "--", _xll.FDSB($C$2,"FE_ESTIMATE(CFO,MEAN,QUARTERLY_ROLL,"&amp;AF$9&amp;","&amp;$C$5&amp;",,,'')")))</f>
        <v/>
      </c>
      <c r="AG43" s="640" t="str" cm="1">
        <f t="array" ref="AG43">_xlfn.SINGLE(IF(ISERROR(_xll.FDSB($C$2,"FE_ESTIMATE(CFO,MEAN,ANNUAL_ROLL,"&amp;AG$9&amp;","&amp;$C$5&amp;",,,'')")), "--", _xll.FDSB($C$2,"FE_ESTIMATE(CFO,MEAN,ANNUAL_ROLL,"&amp;AG$9&amp;","&amp;$C$5&amp;",,,'')")))</f>
        <v/>
      </c>
      <c r="AH43" s="639" t="str" cm="1">
        <f t="array" ref="AH43">_xlfn.SINGLE(IF(ISERROR(_xll.FDSB($C$2,"FE_ESTIMATE(CFO,MEAN,QUARTERLY_ROLL,"&amp;AH$9&amp;","&amp;$C$5&amp;",,,'')")), "--", _xll.FDSB($C$2,"FE_ESTIMATE(CFO,MEAN,QUARTERLY_ROLL,"&amp;AH$9&amp;","&amp;$C$5&amp;",,,'')")))</f>
        <v/>
      </c>
      <c r="AI43" s="639" t="str" cm="1">
        <f t="array" ref="AI43">_xlfn.SINGLE(IF(ISERROR(_xll.FDSB($C$2,"FE_ESTIMATE(CFO,MEAN,QUARTERLY_ROLL,"&amp;AI$9&amp;","&amp;$C$5&amp;",,,'')")), "--", _xll.FDSB($C$2,"FE_ESTIMATE(CFO,MEAN,QUARTERLY_ROLL,"&amp;AI$9&amp;","&amp;$C$5&amp;",,,'')")))</f>
        <v/>
      </c>
      <c r="AJ43" s="639" t="str" cm="1">
        <f t="array" ref="AJ43">_xlfn.SINGLE(IF(ISERROR(_xll.FDSB($C$2,"FE_ESTIMATE(CFO,MEAN,QUARTERLY_ROLL,"&amp;AJ$9&amp;","&amp;$C$5&amp;",,,'')")), "--", _xll.FDSB($C$2,"FE_ESTIMATE(CFO,MEAN,QUARTERLY_ROLL,"&amp;AJ$9&amp;","&amp;$C$5&amp;",,,'')")))</f>
        <v/>
      </c>
      <c r="AK43" s="639" cm="1">
        <f t="array" ref="AK43">_xlfn.SINGLE(IF(ISERROR(_xll.FDSB($C$2,"FE_ESTIMATE(CFO,MEAN,QUARTERLY_ROLL,"&amp;AK$9&amp;","&amp;$C$5&amp;",,,'')")), "--", _xll.FDSB($C$2,"FE_ESTIMATE(CFO,MEAN,QUARTERLY_ROLL,"&amp;AK$9&amp;","&amp;$C$5&amp;",,,'')")))</f>
        <v>-323.43331999999998</v>
      </c>
      <c r="AL43" s="640" cm="1">
        <f t="array" ref="AL43">_xlfn.SINGLE(IF(ISERROR(_xll.FDSB($C$2,"FE_ESTIMATE(CFO,MEAN,ANNUAL_ROLL,"&amp;AL$9&amp;","&amp;$C$5&amp;",,,'')")), "--", _xll.FDSB($C$2,"FE_ESTIMATE(CFO,MEAN,ANNUAL_ROLL,"&amp;AL$9&amp;","&amp;$C$5&amp;",,,'')")))</f>
        <v>2749.1039999999998</v>
      </c>
      <c r="AM43" s="639" cm="1">
        <f t="array" ref="AM43">_xlfn.SINGLE(IF(ISERROR(_xll.FDSB($C$2,"FE_ESTIMATE(CFO,MEAN,QUARTERLY_ROLL,"&amp;AM$9&amp;","&amp;$C$5&amp;",,,'')")), "--", _xll.FDSB($C$2,"FE_ESTIMATE(CFO,MEAN,QUARTERLY_ROLL,"&amp;AM$9&amp;","&amp;$C$5&amp;",,,'')")))</f>
        <v>61.04</v>
      </c>
      <c r="AN43" s="639" cm="1">
        <f t="array" ref="AN43">_xlfn.SINGLE(IF(ISERROR(_xll.FDSB($C$2,"FE_ESTIMATE(CFO,MEAN,QUARTERLY_ROLL,"&amp;AN$9&amp;","&amp;$C$5&amp;",,,'')")), "--", _xll.FDSB($C$2,"FE_ESTIMATE(CFO,MEAN,QUARTERLY_ROLL,"&amp;AN$9&amp;","&amp;$C$5&amp;",,,'')")))</f>
        <v>-251.8</v>
      </c>
      <c r="AO43" s="639" cm="1">
        <f t="array" ref="AO43">_xlfn.SINGLE(IF(ISERROR(_xll.FDSB($C$2,"FE_ESTIMATE(CFO,MEAN,QUARTERLY_ROLL,"&amp;AO$9&amp;","&amp;$C$5&amp;",,,'')")), "--", _xll.FDSB($C$2,"FE_ESTIMATE(CFO,MEAN,QUARTERLY_ROLL,"&amp;AO$9&amp;","&amp;$C$5&amp;",,,'')")))</f>
        <v>917.24285999999995</v>
      </c>
      <c r="AP43" s="639" cm="1">
        <f t="array" ref="AP43">_xlfn.SINGLE(IF(ISERROR(_xll.FDSB($C$2,"FE_ESTIMATE(CFO,MEAN,QUARTERLY_ROLL,"&amp;AP$9&amp;","&amp;$C$5&amp;",,,'')")), "--", _xll.FDSB($C$2,"FE_ESTIMATE(CFO,MEAN,QUARTERLY_ROLL,"&amp;AP$9&amp;","&amp;$C$5&amp;",,,'')")))</f>
        <v>2542.5</v>
      </c>
      <c r="AQ43" s="640" cm="1">
        <f t="array" ref="AQ43">_xlfn.SINGLE(IF(ISERROR(_xll.FDSB($C$2,"FE_ESTIMATE(CFO,MEAN,ANNUAL_ROLL,"&amp;AQ$9&amp;","&amp;$C$5&amp;",,,'')")), "--", _xll.FDSB($C$2,"FE_ESTIMATE(CFO,MEAN,ANNUAL_ROLL,"&amp;AQ$9&amp;","&amp;$C$5&amp;",,,'')")))</f>
        <v>3081.7091999999998</v>
      </c>
      <c r="AR43" s="639" cm="1">
        <f t="array" ref="AR43">_xlfn.SINGLE(IF(ISERROR(_xll.FDSB($C$2,"FE_ESTIMATE(CFO,MEAN,QUARTERLY_ROLL,"&amp;AR$9&amp;","&amp;$C$5&amp;",,,'')")), "--", _xll.FDSB($C$2,"FE_ESTIMATE(CFO,MEAN,QUARTERLY_ROLL,"&amp;AR$9&amp;","&amp;$C$5&amp;",,,'')")))</f>
        <v>1832.44</v>
      </c>
      <c r="AS43" s="639" cm="1">
        <f t="array" ref="AS43">_xlfn.SINGLE(IF(ISERROR(_xll.FDSB($C$2,"FE_ESTIMATE(CFO,MEAN,QUARTERLY_ROLL,"&amp;AS$9&amp;","&amp;$C$5&amp;",,,'')")), "--", _xll.FDSB($C$2,"FE_ESTIMATE(CFO,MEAN,QUARTERLY_ROLL,"&amp;AS$9&amp;","&amp;$C$5&amp;",,,'')")))</f>
        <v>1941.54</v>
      </c>
      <c r="AT43" s="639" cm="1">
        <f t="array" ref="AT43">_xlfn.SINGLE(IF(ISERROR(_xll.FDSB($C$2,"FE_ESTIMATE(CFO,MEAN,QUARTERLY_ROLL,"&amp;AT$9&amp;","&amp;$C$5&amp;",,,'')")), "--", _xll.FDSB($C$2,"FE_ESTIMATE(CFO,MEAN,QUARTERLY_ROLL,"&amp;AT$9&amp;","&amp;$C$5&amp;",,,'')")))</f>
        <v>2187.6</v>
      </c>
      <c r="AU43" s="639" cm="1">
        <f t="array" ref="AU43">_xlfn.SINGLE(IF(ISERROR(_xll.FDSB($C$2,"FE_ESTIMATE(CFO,MEAN,QUARTERLY_ROLL,"&amp;AU$9&amp;","&amp;$C$5&amp;",,,'')")), "--", _xll.FDSB($C$2,"FE_ESTIMATE(CFO,MEAN,QUARTERLY_ROLL,"&amp;AU$9&amp;","&amp;$C$5&amp;",,,'')")))</f>
        <v>2162.58</v>
      </c>
      <c r="AV43" s="640" cm="1">
        <f t="array" ref="AV43">_xlfn.SINGLE(IF(ISERROR(_xll.FDSB($C$2,"FE_ESTIMATE(CFO,MEAN,ANNUAL_ROLL,"&amp;AV$9&amp;","&amp;$C$5&amp;",,,'')")), "--", _xll.FDSB($C$2,"FE_ESTIMATE(CFO,MEAN,ANNUAL_ROLL,"&amp;AV$9&amp;","&amp;$C$5&amp;",,,'')")))</f>
        <v>8721.0869999999995</v>
      </c>
      <c r="AW43" s="639" cm="1">
        <f t="array" ref="AW43">_xlfn.SINGLE(IF(ISERROR(_xll.FDSB($C$2,"FE_ESTIMATE(CFO,MEAN,QUARTERLY_ROLL,"&amp;AW$9&amp;","&amp;$C$5&amp;",,,'')")), "--", _xll.FDSB($C$2,"FE_ESTIMATE(CFO,MEAN,QUARTERLY_ROLL,"&amp;AW$9&amp;","&amp;$C$5&amp;",,,'')")))</f>
        <v>1918.9</v>
      </c>
      <c r="AX43" s="639" cm="1">
        <f t="array" ref="AX43">_xlfn.SINGLE(IF(ISERROR(_xll.FDSB($C$2,"FE_ESTIMATE(CFO,MEAN,QUARTERLY_ROLL,"&amp;AX$9&amp;","&amp;$C$5&amp;",,,'')")), "--", _xll.FDSB($C$2,"FE_ESTIMATE(CFO,MEAN,QUARTERLY_ROLL,"&amp;AX$9&amp;","&amp;$C$5&amp;",,,'')")))</f>
        <v>2630.8</v>
      </c>
      <c r="AY43" s="639" cm="1">
        <f t="array" ref="AY43">_xlfn.SINGLE(IF(ISERROR(_xll.FDSB($C$2,"FE_ESTIMATE(CFO,MEAN,QUARTERLY_ROLL,"&amp;AY$9&amp;","&amp;$C$5&amp;",,,'')")), "--", _xll.FDSB($C$2,"FE_ESTIMATE(CFO,MEAN,QUARTERLY_ROLL,"&amp;AY$9&amp;","&amp;$C$5&amp;",,,'')")))</f>
        <v>2803.7</v>
      </c>
      <c r="AZ43" s="639" cm="1">
        <f t="array" ref="AZ43">_xlfn.SINGLE(IF(ISERROR(_xll.FDSB($C$2,"FE_ESTIMATE(CFO,MEAN,QUARTERLY_ROLL,"&amp;AZ$9&amp;","&amp;$C$5&amp;",,,'')")), "--", _xll.FDSB($C$2,"FE_ESTIMATE(CFO,MEAN,QUARTERLY_ROLL,"&amp;AZ$9&amp;","&amp;$C$5&amp;",,,'')")))</f>
        <v>3531.1</v>
      </c>
      <c r="BA43" s="640" cm="1">
        <f t="array" ref="BA43">_xlfn.SINGLE(IF(ISERROR(_xll.FDSB($C$2,"FE_ESTIMATE(CFO,MEAN,ANNUAL_ROLL,"&amp;BA$9&amp;","&amp;$C$5&amp;",,,'')")), "--", _xll.FDSB($C$2,"FE_ESTIMATE(CFO,MEAN,ANNUAL_ROLL,"&amp;BA$9&amp;","&amp;$C$5&amp;",,,'')")))</f>
        <v>11356.98</v>
      </c>
      <c r="BB43" s="639" t="str" cm="1">
        <f t="array" ref="BB43">_xlfn.SINGLE(IF(ISERROR(_xll.FDSB($C$2,"FE_ESTIMATE(CFO,MEAN,QUARTERLY_ROLL,"&amp;BB$9&amp;","&amp;$C$5&amp;",,,'')")), "--", _xll.FDSB($C$2,"FE_ESTIMATE(CFO,MEAN,QUARTERLY_ROLL,"&amp;BB$9&amp;","&amp;$C$5&amp;",,,'')")))</f>
        <v/>
      </c>
      <c r="BC43" s="639" t="str" cm="1">
        <f t="array" ref="BC43">_xlfn.SINGLE(IF(ISERROR(_xll.FDSB($C$2,"FE_ESTIMATE(CFO,MEAN,QUARTERLY_ROLL,"&amp;BC$9&amp;","&amp;$C$5&amp;",,,'')")), "--", _xll.FDSB($C$2,"FE_ESTIMATE(CFO,MEAN,QUARTERLY_ROLL,"&amp;BC$9&amp;","&amp;$C$5&amp;",,,'')")))</f>
        <v/>
      </c>
      <c r="BD43" s="639" t="str" cm="1">
        <f t="array" ref="BD43">_xlfn.SINGLE(IF(ISERROR(_xll.FDSB($C$2,"FE_ESTIMATE(CFO,MEAN,QUARTERLY_ROLL,"&amp;BD$9&amp;","&amp;$C$5&amp;",,,'')")), "--", _xll.FDSB($C$2,"FE_ESTIMATE(CFO,MEAN,QUARTERLY_ROLL,"&amp;BD$9&amp;","&amp;$C$5&amp;",,,'')")))</f>
        <v/>
      </c>
      <c r="BE43" s="639" t="str" cm="1">
        <f t="array" ref="BE43">_xlfn.SINGLE(IF(ISERROR(_xll.FDSB($C$2,"FE_ESTIMATE(CFO,MEAN,QUARTERLY_ROLL,"&amp;BE$9&amp;","&amp;$C$5&amp;",,,'')")), "--", _xll.FDSB($C$2,"FE_ESTIMATE(CFO,MEAN,QUARTERLY_ROLL,"&amp;BE$9&amp;","&amp;$C$5&amp;",,,'')")))</f>
        <v/>
      </c>
      <c r="BF43" s="640" t="str" cm="1">
        <f t="array" ref="BF43">_xlfn.SINGLE(IF(ISERROR(_xll.FDSB($C$2,"FE_ESTIMATE(CFO,MEAN,ANNUAL_ROLL,"&amp;BF$9&amp;","&amp;$C$5&amp;",,,'')")), "--", _xll.FDSB($C$2,"FE_ESTIMATE(CFO,MEAN,ANNUAL_ROLL,"&amp;BF$9&amp;","&amp;$C$5&amp;",,,'')")))</f>
        <v/>
      </c>
      <c r="BG43" s="639" t="str" cm="1">
        <f t="array" ref="BG43">_xlfn.SINGLE(IF(ISERROR(_xll.FDSB($C$2,"FE_ESTIMATE(CFO,MEAN,QUARTERLY_ROLL,"&amp;BG$9&amp;","&amp;$C$5&amp;",,,'')")), "--", _xll.FDSB($C$2,"FE_ESTIMATE(CFO,MEAN,QUARTERLY_ROLL,"&amp;BG$9&amp;","&amp;$C$5&amp;",,,'')")))</f>
        <v/>
      </c>
      <c r="BH43" s="639" t="str" cm="1">
        <f t="array" ref="BH43">_xlfn.SINGLE(IF(ISERROR(_xll.FDSB($C$2,"FE_ESTIMATE(CFO,MEAN,QUARTERLY_ROLL,"&amp;BH$9&amp;","&amp;$C$5&amp;",,,'')")), "--", _xll.FDSB($C$2,"FE_ESTIMATE(CFO,MEAN,QUARTERLY_ROLL,"&amp;BH$9&amp;","&amp;$C$5&amp;",,,'')")))</f>
        <v/>
      </c>
      <c r="BI43" s="639" t="str" cm="1">
        <f t="array" ref="BI43">_xlfn.SINGLE(IF(ISERROR(_xll.FDSB($C$2,"FE_ESTIMATE(CFO,MEAN,QUARTERLY_ROLL,"&amp;BI$9&amp;","&amp;$C$5&amp;",,,'')")), "--", _xll.FDSB($C$2,"FE_ESTIMATE(CFO,MEAN,QUARTERLY_ROLL,"&amp;BI$9&amp;","&amp;$C$5&amp;",,,'')")))</f>
        <v/>
      </c>
      <c r="BJ43" s="639" t="str" cm="1">
        <f t="array" ref="BJ43">_xlfn.SINGLE(IF(ISERROR(_xll.FDSB($C$2,"FE_ESTIMATE(CFO,MEAN,QUARTERLY_ROLL,"&amp;BJ$9&amp;","&amp;$C$5&amp;",,,'')")), "--", _xll.FDSB($C$2,"FE_ESTIMATE(CFO,MEAN,QUARTERLY_ROLL,"&amp;BJ$9&amp;","&amp;$C$5&amp;",,,'')")))</f>
        <v/>
      </c>
      <c r="BK43" s="640" t="str" cm="1">
        <f t="array" ref="BK43">_xlfn.SINGLE(IF(ISERROR(_xll.FDSB($C$2,"FE_ESTIMATE(CFO,MEAN,ANNUAL_ROLL,"&amp;BK$9&amp;","&amp;$C$5&amp;",,,'')")), "--", _xll.FDSB($C$2,"FE_ESTIMATE(CFO,MEAN,ANNUAL_ROLL,"&amp;BK$9&amp;","&amp;$C$5&amp;",,,'')")))</f>
        <v/>
      </c>
    </row>
    <row r="44" spans="1:63" ht="12.75" customHeight="1" outlineLevel="1">
      <c r="A44" s="67" t="s">
        <v>125</v>
      </c>
      <c r="B44" s="68" t="s">
        <v>31</v>
      </c>
      <c r="C44" s="68"/>
      <c r="D44" s="69"/>
      <c r="E44" s="69"/>
      <c r="F44" s="69"/>
      <c r="G44" s="69"/>
      <c r="H44" s="70"/>
      <c r="I44" s="69" t="str">
        <f t="shared" ref="I44:AN44" si="20">IFERROR(I43/D43-1,"")</f>
        <v/>
      </c>
      <c r="J44" s="69" t="str">
        <f t="shared" si="20"/>
        <v/>
      </c>
      <c r="K44" s="69" t="str">
        <f t="shared" si="20"/>
        <v/>
      </c>
      <c r="L44" s="69" t="str">
        <f t="shared" si="20"/>
        <v/>
      </c>
      <c r="M44" s="70" t="str">
        <f t="shared" si="20"/>
        <v/>
      </c>
      <c r="N44" s="69" t="str">
        <f t="shared" si="20"/>
        <v/>
      </c>
      <c r="O44" s="69" t="str">
        <f t="shared" si="20"/>
        <v/>
      </c>
      <c r="P44" s="69" t="str">
        <f t="shared" si="20"/>
        <v/>
      </c>
      <c r="Q44" s="69" t="str">
        <f t="shared" si="20"/>
        <v/>
      </c>
      <c r="R44" s="70" t="str">
        <f t="shared" si="20"/>
        <v/>
      </c>
      <c r="S44" s="69" t="str">
        <f t="shared" si="20"/>
        <v/>
      </c>
      <c r="T44" s="69" t="str">
        <f t="shared" si="20"/>
        <v/>
      </c>
      <c r="U44" s="69" t="str">
        <f t="shared" si="20"/>
        <v/>
      </c>
      <c r="V44" s="69" t="str">
        <f t="shared" si="20"/>
        <v/>
      </c>
      <c r="W44" s="70" t="str">
        <f t="shared" si="20"/>
        <v/>
      </c>
      <c r="X44" s="69" t="str">
        <f t="shared" si="20"/>
        <v/>
      </c>
      <c r="Y44" s="69" t="str">
        <f t="shared" si="20"/>
        <v/>
      </c>
      <c r="Z44" s="69" t="str">
        <f t="shared" si="20"/>
        <v/>
      </c>
      <c r="AA44" s="69" t="str">
        <f t="shared" si="20"/>
        <v/>
      </c>
      <c r="AB44" s="70" t="str">
        <f t="shared" si="20"/>
        <v/>
      </c>
      <c r="AC44" s="69" t="str">
        <f t="shared" si="20"/>
        <v/>
      </c>
      <c r="AD44" s="69" t="str">
        <f t="shared" si="20"/>
        <v/>
      </c>
      <c r="AE44" s="69" t="str">
        <f t="shared" si="20"/>
        <v/>
      </c>
      <c r="AF44" s="69" t="str">
        <f t="shared" si="20"/>
        <v/>
      </c>
      <c r="AG44" s="70" t="str">
        <f t="shared" si="20"/>
        <v/>
      </c>
      <c r="AH44" s="69" t="str">
        <f t="shared" si="20"/>
        <v/>
      </c>
      <c r="AI44" s="69" t="str">
        <f t="shared" si="20"/>
        <v/>
      </c>
      <c r="AJ44" s="69" t="str">
        <f t="shared" si="20"/>
        <v/>
      </c>
      <c r="AK44" s="69" t="str">
        <f t="shared" si="20"/>
        <v/>
      </c>
      <c r="AL44" s="70" t="str">
        <f t="shared" si="20"/>
        <v/>
      </c>
      <c r="AM44" s="69" t="str">
        <f t="shared" si="20"/>
        <v/>
      </c>
      <c r="AN44" s="69" t="str">
        <f t="shared" si="20"/>
        <v/>
      </c>
      <c r="AO44" s="69" t="str">
        <f t="shared" ref="AO44:BK44" si="21">IFERROR(AO43/AJ43-1,"")</f>
        <v/>
      </c>
      <c r="AP44" s="69">
        <f t="shared" si="21"/>
        <v>-8.8609711578262882</v>
      </c>
      <c r="AQ44" s="70">
        <f t="shared" si="21"/>
        <v>0.12098676514238815</v>
      </c>
      <c r="AR44" s="69">
        <f t="shared" si="21"/>
        <v>29.020314547837486</v>
      </c>
      <c r="AS44" s="69">
        <f t="shared" si="21"/>
        <v>-8.7106433677521835</v>
      </c>
      <c r="AT44" s="69">
        <f t="shared" si="21"/>
        <v>1.3849735935802214</v>
      </c>
      <c r="AU44" s="69">
        <f t="shared" si="21"/>
        <v>-0.14942772861356934</v>
      </c>
      <c r="AV44" s="70">
        <f t="shared" si="21"/>
        <v>1.8299513140305388</v>
      </c>
      <c r="AW44" s="69">
        <f t="shared" si="21"/>
        <v>4.7182990984697915E-2</v>
      </c>
      <c r="AX44" s="69">
        <f t="shared" si="21"/>
        <v>0.35500685023229006</v>
      </c>
      <c r="AY44" s="69">
        <f t="shared" si="21"/>
        <v>0.28163283964161634</v>
      </c>
      <c r="AZ44" s="69">
        <f t="shared" si="21"/>
        <v>0.63281820788132692</v>
      </c>
      <c r="BA44" s="70">
        <f t="shared" si="21"/>
        <v>0.30224363086849149</v>
      </c>
      <c r="BB44" s="69" t="str">
        <f t="shared" si="21"/>
        <v/>
      </c>
      <c r="BC44" s="69" t="str">
        <f t="shared" si="21"/>
        <v/>
      </c>
      <c r="BD44" s="69" t="str">
        <f t="shared" si="21"/>
        <v/>
      </c>
      <c r="BE44" s="69" t="str">
        <f t="shared" si="21"/>
        <v/>
      </c>
      <c r="BF44" s="70" t="str">
        <f t="shared" si="21"/>
        <v/>
      </c>
      <c r="BG44" s="69" t="str">
        <f t="shared" si="21"/>
        <v/>
      </c>
      <c r="BH44" s="69" t="str">
        <f t="shared" si="21"/>
        <v/>
      </c>
      <c r="BI44" s="69" t="str">
        <f t="shared" si="21"/>
        <v/>
      </c>
      <c r="BJ44" s="69" t="str">
        <f t="shared" si="21"/>
        <v/>
      </c>
      <c r="BK44" s="70" t="str">
        <f t="shared" si="21"/>
        <v/>
      </c>
    </row>
    <row r="45" spans="1:63" ht="12.75" customHeight="1" outlineLevel="1">
      <c r="A45" s="67" t="s">
        <v>140</v>
      </c>
      <c r="B45" s="68" t="s">
        <v>33</v>
      </c>
      <c r="C45" s="68"/>
      <c r="D45" s="69"/>
      <c r="E45" s="69"/>
      <c r="F45" s="69"/>
      <c r="G45" s="69"/>
      <c r="H45" s="72"/>
      <c r="I45" s="69" t="str">
        <f>IFERROR(I43/G43-1,"")</f>
        <v/>
      </c>
      <c r="J45" s="69" t="str">
        <f>IFERROR(J43/I43-1,"")</f>
        <v/>
      </c>
      <c r="K45" s="69" t="str">
        <f>IFERROR(K43/J43-1,"")</f>
        <v/>
      </c>
      <c r="L45" s="69" t="str">
        <f>IFERROR(L43/K43-1,"")</f>
        <v/>
      </c>
      <c r="M45" s="72"/>
      <c r="N45" s="69" t="str">
        <f>IFERROR(N43/L43-1,"")</f>
        <v/>
      </c>
      <c r="O45" s="69" t="str">
        <f>IFERROR(O43/N43-1,"")</f>
        <v/>
      </c>
      <c r="P45" s="69" t="str">
        <f>IFERROR(P43/O43-1,"")</f>
        <v/>
      </c>
      <c r="Q45" s="69" t="str">
        <f>IFERROR(Q43/P43-1,"")</f>
        <v/>
      </c>
      <c r="R45" s="72"/>
      <c r="S45" s="69" t="str">
        <f>IFERROR(S43/Q43-1,"")</f>
        <v/>
      </c>
      <c r="T45" s="69" t="str">
        <f>IFERROR(T43/S43-1,"")</f>
        <v/>
      </c>
      <c r="U45" s="69" t="str">
        <f>IFERROR(U43/T43-1,"")</f>
        <v/>
      </c>
      <c r="V45" s="69" t="str">
        <f>IFERROR(V43/U43-1,"")</f>
        <v/>
      </c>
      <c r="W45" s="72"/>
      <c r="X45" s="69" t="str">
        <f>IFERROR(X43/V43-1,"")</f>
        <v/>
      </c>
      <c r="Y45" s="69" t="str">
        <f>IFERROR(Y43/X43-1,"")</f>
        <v/>
      </c>
      <c r="Z45" s="69" t="str">
        <f>IFERROR(Z43/Y43-1,"")</f>
        <v/>
      </c>
      <c r="AA45" s="69" t="str">
        <f>IFERROR(AA43/Z43-1,"")</f>
        <v/>
      </c>
      <c r="AB45" s="72"/>
      <c r="AC45" s="69" t="str">
        <f>IFERROR(AC43/AA43-1,"")</f>
        <v/>
      </c>
      <c r="AD45" s="69" t="str">
        <f>IFERROR(AD43/AC43-1,"")</f>
        <v/>
      </c>
      <c r="AE45" s="69" t="str">
        <f>IFERROR(AE43/AD43-1,"")</f>
        <v/>
      </c>
      <c r="AF45" s="69" t="str">
        <f>IFERROR(AF43/AE43-1,"")</f>
        <v/>
      </c>
      <c r="AG45" s="72"/>
      <c r="AH45" s="69" t="str">
        <f>IFERROR(AH43/AF43-1,"")</f>
        <v/>
      </c>
      <c r="AI45" s="69" t="str">
        <f>IFERROR(AI43/AH43-1,"")</f>
        <v/>
      </c>
      <c r="AJ45" s="69" t="str">
        <f>IFERROR(AJ43/AI43-1,"")</f>
        <v/>
      </c>
      <c r="AK45" s="69" t="str">
        <f>IFERROR(AK43/AJ43-1,"")</f>
        <v/>
      </c>
      <c r="AL45" s="72"/>
      <c r="AM45" s="69">
        <f>IFERROR(AM43/AK43-1,"")</f>
        <v>-1.1887251443357785</v>
      </c>
      <c r="AN45" s="69">
        <f>IFERROR(AN43/AM43-1,"")</f>
        <v>-5.1251638269986897</v>
      </c>
      <c r="AO45" s="69">
        <f>IFERROR(AO43/AN43-1,"")</f>
        <v>-4.6427436854646542</v>
      </c>
      <c r="AP45" s="69">
        <f>IFERROR(AP43/AO43-1,"")</f>
        <v>1.771894021611681</v>
      </c>
      <c r="AQ45" s="72"/>
      <c r="AR45" s="69">
        <f>IFERROR(AR43/AP43-1,"")</f>
        <v>-0.27927630285152405</v>
      </c>
      <c r="AS45" s="69">
        <f>IFERROR(AS43/AR43-1,"")</f>
        <v>5.9538102202527643E-2</v>
      </c>
      <c r="AT45" s="69">
        <f>IFERROR(AT43/AS43-1,"")</f>
        <v>0.1267344479124819</v>
      </c>
      <c r="AU45" s="69">
        <f>IFERROR(AU43/AT43-1,"")</f>
        <v>-1.1437191442676853E-2</v>
      </c>
      <c r="AV45" s="72"/>
      <c r="AW45" s="69">
        <f>IFERROR(AW43/AU43-1,"")</f>
        <v>-0.11268022454660631</v>
      </c>
      <c r="AX45" s="69">
        <f>IFERROR(AX43/AW43-1,"")</f>
        <v>0.37099379853040815</v>
      </c>
      <c r="AY45" s="69">
        <f>IFERROR(AY43/AX43-1,"")</f>
        <v>6.572145355025083E-2</v>
      </c>
      <c r="AZ45" s="69">
        <f>IFERROR(AZ43/AY43-1,"")</f>
        <v>0.25944287905268038</v>
      </c>
      <c r="BA45" s="72"/>
      <c r="BB45" s="69" t="str">
        <f>IFERROR(BB43/AZ43-1,"")</f>
        <v/>
      </c>
      <c r="BC45" s="69" t="str">
        <f>IFERROR(BC43/BB43-1,"")</f>
        <v/>
      </c>
      <c r="BD45" s="69" t="str">
        <f>IFERROR(BD43/BC43-1,"")</f>
        <v/>
      </c>
      <c r="BE45" s="69" t="str">
        <f>IFERROR(BE43/BD43-1,"")</f>
        <v/>
      </c>
      <c r="BF45" s="72"/>
      <c r="BG45" s="69" t="str">
        <f>IFERROR(BG43/BE43-1,"")</f>
        <v/>
      </c>
      <c r="BH45" s="69" t="str">
        <f>IFERROR(BH43/BG43-1,"")</f>
        <v/>
      </c>
      <c r="BI45" s="69" t="str">
        <f>IFERROR(BI43/BH43-1,"")</f>
        <v/>
      </c>
      <c r="BJ45" s="69" t="str">
        <f>IFERROR(BJ43/BI43-1,"")</f>
        <v/>
      </c>
      <c r="BK45" s="72"/>
    </row>
    <row r="46" spans="1:63" ht="12.75" customHeight="1" outlineLevel="1">
      <c r="A46" s="67" t="s">
        <v>136</v>
      </c>
      <c r="B46" s="68" t="s">
        <v>137</v>
      </c>
      <c r="C46" s="68"/>
      <c r="D46" s="69" t="str">
        <f t="shared" ref="D46:AI46" si="22">IFERROR(D43/D12,"")</f>
        <v/>
      </c>
      <c r="E46" s="69" t="str">
        <f t="shared" si="22"/>
        <v/>
      </c>
      <c r="F46" s="69" t="str">
        <f t="shared" si="22"/>
        <v/>
      </c>
      <c r="G46" s="69" t="str">
        <f t="shared" si="22"/>
        <v/>
      </c>
      <c r="H46" s="406" t="str">
        <f t="shared" si="22"/>
        <v/>
      </c>
      <c r="I46" s="69" t="str">
        <f t="shared" si="22"/>
        <v/>
      </c>
      <c r="J46" s="69" t="str">
        <f t="shared" si="22"/>
        <v/>
      </c>
      <c r="K46" s="69" t="str">
        <f t="shared" si="22"/>
        <v/>
      </c>
      <c r="L46" s="69" t="str">
        <f t="shared" si="22"/>
        <v/>
      </c>
      <c r="M46" s="407" t="str">
        <f t="shared" si="22"/>
        <v/>
      </c>
      <c r="N46" s="69" t="str">
        <f t="shared" si="22"/>
        <v/>
      </c>
      <c r="O46" s="69" t="str">
        <f t="shared" si="22"/>
        <v/>
      </c>
      <c r="P46" s="69" t="str">
        <f t="shared" si="22"/>
        <v/>
      </c>
      <c r="Q46" s="69" t="str">
        <f t="shared" si="22"/>
        <v/>
      </c>
      <c r="R46" s="407" t="str">
        <f t="shared" si="22"/>
        <v/>
      </c>
      <c r="S46" s="69" t="str">
        <f t="shared" si="22"/>
        <v/>
      </c>
      <c r="T46" s="69" t="str">
        <f t="shared" si="22"/>
        <v/>
      </c>
      <c r="U46" s="69" t="str">
        <f t="shared" si="22"/>
        <v/>
      </c>
      <c r="V46" s="69" t="str">
        <f t="shared" si="22"/>
        <v/>
      </c>
      <c r="W46" s="407" t="str">
        <f t="shared" si="22"/>
        <v/>
      </c>
      <c r="X46" s="69" t="str">
        <f t="shared" si="22"/>
        <v/>
      </c>
      <c r="Y46" s="69" t="str">
        <f t="shared" si="22"/>
        <v/>
      </c>
      <c r="Z46" s="69" t="str">
        <f t="shared" si="22"/>
        <v/>
      </c>
      <c r="AA46" s="69" t="str">
        <f t="shared" si="22"/>
        <v/>
      </c>
      <c r="AB46" s="407" t="str">
        <f t="shared" si="22"/>
        <v/>
      </c>
      <c r="AC46" s="69" t="str">
        <f t="shared" si="22"/>
        <v/>
      </c>
      <c r="AD46" s="69" t="str">
        <f t="shared" si="22"/>
        <v/>
      </c>
      <c r="AE46" s="69" t="str">
        <f t="shared" si="22"/>
        <v/>
      </c>
      <c r="AF46" s="69" t="str">
        <f t="shared" si="22"/>
        <v/>
      </c>
      <c r="AG46" s="407" t="str">
        <f t="shared" si="22"/>
        <v/>
      </c>
      <c r="AH46" s="69" t="str">
        <f t="shared" si="22"/>
        <v/>
      </c>
      <c r="AI46" s="69" t="str">
        <f t="shared" si="22"/>
        <v/>
      </c>
      <c r="AJ46" s="69" t="str">
        <f t="shared" ref="AJ46:BK46" si="23">IFERROR(AJ43/AJ12,"")</f>
        <v/>
      </c>
      <c r="AK46" s="69">
        <f t="shared" si="23"/>
        <v>-0.43281456248213518</v>
      </c>
      <c r="AL46" s="407">
        <f t="shared" si="23"/>
        <v>1.4353612966361864</v>
      </c>
      <c r="AM46" s="69">
        <f t="shared" si="23"/>
        <v>6.2182161950710656E-2</v>
      </c>
      <c r="AN46" s="69">
        <f t="shared" si="23"/>
        <v>-0.20762078780462867</v>
      </c>
      <c r="AO46" s="69">
        <f t="shared" si="23"/>
        <v>0.71281677462683579</v>
      </c>
      <c r="AP46" s="69">
        <f t="shared" si="23"/>
        <v>1.4163305446430172</v>
      </c>
      <c r="AQ46" s="407">
        <f t="shared" si="23"/>
        <v>0.58286140651752361</v>
      </c>
      <c r="AR46" s="69">
        <f t="shared" si="23"/>
        <v>0.73154527301684458</v>
      </c>
      <c r="AS46" s="69">
        <f t="shared" si="23"/>
        <v>0.66845772232311518</v>
      </c>
      <c r="AT46" s="69">
        <f t="shared" si="23"/>
        <v>0.69886026292876302</v>
      </c>
      <c r="AU46" s="69">
        <f t="shared" si="23"/>
        <v>0.61529453237496046</v>
      </c>
      <c r="AV46" s="407">
        <f t="shared" si="23"/>
        <v>0.70955538064772705</v>
      </c>
      <c r="AW46" s="69">
        <f t="shared" si="23"/>
        <v>0.50337621977706382</v>
      </c>
      <c r="AX46" s="69">
        <f t="shared" si="23"/>
        <v>0.64048181527562775</v>
      </c>
      <c r="AY46" s="69">
        <f t="shared" si="23"/>
        <v>0.63330318195489133</v>
      </c>
      <c r="AZ46" s="69">
        <f t="shared" si="23"/>
        <v>0.74758835482989483</v>
      </c>
      <c r="BA46" s="407">
        <f t="shared" si="23"/>
        <v>0.61284866992933473</v>
      </c>
      <c r="BB46" s="69" t="str">
        <f t="shared" si="23"/>
        <v/>
      </c>
      <c r="BC46" s="69" t="str">
        <f t="shared" si="23"/>
        <v/>
      </c>
      <c r="BD46" s="69" t="str">
        <f t="shared" si="23"/>
        <v/>
      </c>
      <c r="BE46" s="69" t="str">
        <f t="shared" si="23"/>
        <v/>
      </c>
      <c r="BF46" s="407" t="str">
        <f t="shared" si="23"/>
        <v/>
      </c>
      <c r="BG46" s="69" t="str">
        <f t="shared" si="23"/>
        <v/>
      </c>
      <c r="BH46" s="69" t="str">
        <f t="shared" si="23"/>
        <v/>
      </c>
      <c r="BI46" s="69" t="str">
        <f t="shared" si="23"/>
        <v/>
      </c>
      <c r="BJ46" s="69" t="str">
        <f t="shared" si="23"/>
        <v/>
      </c>
      <c r="BK46" s="407" t="str">
        <f t="shared" si="23"/>
        <v/>
      </c>
    </row>
    <row r="47" spans="1:63" ht="12.75" customHeight="1" outlineLevel="1">
      <c r="B47" s="42"/>
      <c r="C47" s="42"/>
      <c r="D47" s="81"/>
      <c r="E47" s="81"/>
      <c r="F47" s="81"/>
      <c r="G47" s="81"/>
      <c r="H47" s="80"/>
      <c r="I47" s="81"/>
      <c r="J47" s="81"/>
      <c r="K47" s="81"/>
      <c r="L47" s="81"/>
      <c r="M47" s="80"/>
      <c r="N47" s="81"/>
      <c r="O47" s="81"/>
      <c r="P47" s="81"/>
      <c r="Q47" s="81"/>
      <c r="R47" s="80"/>
      <c r="S47" s="81"/>
      <c r="T47" s="81"/>
      <c r="U47" s="81"/>
      <c r="V47" s="81"/>
      <c r="W47" s="80"/>
      <c r="X47" s="81"/>
      <c r="Y47" s="81"/>
      <c r="Z47" s="81"/>
      <c r="AA47" s="81"/>
      <c r="AB47" s="80"/>
      <c r="AC47" s="81"/>
      <c r="AD47" s="81"/>
      <c r="AE47" s="81"/>
      <c r="AF47" s="81"/>
      <c r="AG47" s="80"/>
      <c r="AH47" s="81"/>
      <c r="AI47" s="81"/>
      <c r="AJ47" s="81"/>
      <c r="AK47" s="81"/>
      <c r="AL47" s="80"/>
      <c r="AM47" s="81"/>
      <c r="AN47" s="81"/>
      <c r="AO47" s="81"/>
      <c r="AP47" s="81"/>
      <c r="AQ47" s="80"/>
      <c r="AR47" s="81"/>
      <c r="AS47" s="81"/>
      <c r="AT47" s="81"/>
      <c r="AU47" s="81"/>
      <c r="AV47" s="80"/>
      <c r="AW47" s="81"/>
      <c r="AX47" s="81"/>
      <c r="AY47" s="81"/>
      <c r="AZ47" s="81"/>
      <c r="BA47" s="80"/>
      <c r="BB47" s="81"/>
      <c r="BC47" s="81"/>
      <c r="BD47" s="81"/>
      <c r="BE47" s="81"/>
      <c r="BF47" s="80"/>
      <c r="BG47" s="81"/>
      <c r="BH47" s="81"/>
      <c r="BI47" s="81"/>
      <c r="BJ47" s="81"/>
      <c r="BK47" s="80"/>
    </row>
    <row r="48" spans="1:63" s="641" customFormat="1" ht="12.75" customHeight="1" outlineLevel="1">
      <c r="A48" s="642" t="s">
        <v>142</v>
      </c>
      <c r="B48" s="637" t="s">
        <v>43</v>
      </c>
      <c r="C48" s="638"/>
      <c r="D48" s="639"/>
      <c r="E48" s="639"/>
      <c r="F48" s="639"/>
      <c r="G48" s="639"/>
      <c r="H48" s="640"/>
      <c r="I48" s="639" t="str" cm="1">
        <f t="array" ref="I48">_xlfn.SINGLE(IF(ISERROR(_xll.FDSB($C$2,"FE_ESTIMATE(CAPEX,MEAN,QUARTERLY_ROLL,"&amp;I$9&amp;","&amp;$C$5&amp;",,,'')")), "--", _xll.FDSB($C$2,"FE_ESTIMATE(CAPEX,MEAN,QUARTERLY_ROLL,"&amp;I$9&amp;","&amp;$C$5&amp;",,,'')")))</f>
        <v>--</v>
      </c>
      <c r="J48" s="639" t="str" cm="1">
        <f t="array" ref="J48">_xlfn.SINGLE(IF(ISERROR(_xll.FDSB($C$2,"FE_ESTIMATE(CAPEX,MEAN,QUARTERLY_ROLL,"&amp;J$9&amp;","&amp;$C$5&amp;",,,'')")), "--", _xll.FDSB($C$2,"FE_ESTIMATE(CAPEX,MEAN,QUARTERLY_ROLL,"&amp;J$9&amp;","&amp;$C$5&amp;",,,'')")))</f>
        <v>--</v>
      </c>
      <c r="K48" s="639" t="str" cm="1">
        <f t="array" ref="K48">_xlfn.SINGLE(IF(ISERROR(_xll.FDSB($C$2,"FE_ESTIMATE(CAPEX,MEAN,QUARTERLY_ROLL,"&amp;K$9&amp;","&amp;$C$5&amp;",,,'')")), "--", _xll.FDSB($C$2,"FE_ESTIMATE(CAPEX,MEAN,QUARTERLY_ROLL,"&amp;K$9&amp;","&amp;$C$5&amp;",,,'')")))</f>
        <v>--</v>
      </c>
      <c r="L48" s="639" t="str" cm="1">
        <f t="array" ref="L48">_xlfn.SINGLE(IF(ISERROR(_xll.FDSB($C$2,"FE_ESTIMATE(CAPEX,MEAN,QUARTERLY_ROLL,"&amp;L$9&amp;","&amp;$C$5&amp;",,,'')")), "--", _xll.FDSB($C$2,"FE_ESTIMATE(CAPEX,MEAN,QUARTERLY_ROLL,"&amp;L$9&amp;","&amp;$C$5&amp;",,,'')")))</f>
        <v>--</v>
      </c>
      <c r="M48" s="640" t="str" cm="1">
        <f t="array" ref="M48">_xlfn.SINGLE(IF(ISERROR(_xll.FDSB($C$2,"FE_ESTIMATE(CAPEX,MEAN,ANNUAL_ROLL,"&amp;M$9&amp;","&amp;$C$5&amp;",,,'')")), "--", _xll.FDSB($C$2,"FE_ESTIMATE(CAPEX,MEAN,ANNUAL_ROLL,"&amp;M$9&amp;","&amp;$C$5&amp;",,,'')")))</f>
        <v>--</v>
      </c>
      <c r="N48" s="639" t="str" cm="1">
        <f t="array" ref="N48">_xlfn.SINGLE(IF(ISERROR(_xll.FDSB($C$2,"FE_ESTIMATE(CAPEX,MEAN,QUARTERLY_ROLL,"&amp;N$9&amp;","&amp;$C$5&amp;",,,'')")), "--", _xll.FDSB($C$2,"FE_ESTIMATE(CAPEX,MEAN,QUARTERLY_ROLL,"&amp;N$9&amp;","&amp;$C$5&amp;",,,'')")))</f>
        <v>--</v>
      </c>
      <c r="O48" s="639" t="str" cm="1">
        <f t="array" ref="O48">_xlfn.SINGLE(IF(ISERROR(_xll.FDSB($C$2,"FE_ESTIMATE(CAPEX,MEAN,QUARTERLY_ROLL,"&amp;O$9&amp;","&amp;$C$5&amp;",,,'')")), "--", _xll.FDSB($C$2,"FE_ESTIMATE(CAPEX,MEAN,QUARTERLY_ROLL,"&amp;O$9&amp;","&amp;$C$5&amp;",,,'')")))</f>
        <v>--</v>
      </c>
      <c r="P48" s="639" t="str" cm="1">
        <f t="array" ref="P48">_xlfn.SINGLE(IF(ISERROR(_xll.FDSB($C$2,"FE_ESTIMATE(CAPEX,MEAN,QUARTERLY_ROLL,"&amp;P$9&amp;","&amp;$C$5&amp;",,,'')")), "--", _xll.FDSB($C$2,"FE_ESTIMATE(CAPEX,MEAN,QUARTERLY_ROLL,"&amp;P$9&amp;","&amp;$C$5&amp;",,,'')")))</f>
        <v>--</v>
      </c>
      <c r="Q48" s="639" t="str" cm="1">
        <f t="array" ref="Q48">_xlfn.SINGLE(IF(ISERROR(_xll.FDSB($C$2,"FE_ESTIMATE(CAPEX,MEAN,QUARTERLY_ROLL,"&amp;Q$9&amp;","&amp;$C$5&amp;",,,'')")), "--", _xll.FDSB($C$2,"FE_ESTIMATE(CAPEX,MEAN,QUARTERLY_ROLL,"&amp;Q$9&amp;","&amp;$C$5&amp;",,,'')")))</f>
        <v>--</v>
      </c>
      <c r="R48" s="640" t="str" cm="1">
        <f t="array" ref="R48">_xlfn.SINGLE(IF(ISERROR(_xll.FDSB($C$2,"FE_ESTIMATE(CAPEX,MEAN,ANNUAL_ROLL,"&amp;R$9&amp;","&amp;$C$5&amp;",,,'')")), "--", _xll.FDSB($C$2,"FE_ESTIMATE(CAPEX,MEAN,ANNUAL_ROLL,"&amp;R$9&amp;","&amp;$C$5&amp;",,,'')")))</f>
        <v>--</v>
      </c>
      <c r="S48" s="639" t="str" cm="1">
        <f t="array" ref="S48">_xlfn.SINGLE(IF(ISERROR(_xll.FDSB($C$2,"FE_ESTIMATE(CAPEX,MEAN,QUARTERLY_ROLL,"&amp;S$9&amp;","&amp;$C$5&amp;",,,'')")), "--", _xll.FDSB($C$2,"FE_ESTIMATE(CAPEX,MEAN,QUARTERLY_ROLL,"&amp;S$9&amp;","&amp;$C$5&amp;",,,'')")))</f>
        <v>--</v>
      </c>
      <c r="T48" s="639" t="str" cm="1">
        <f t="array" ref="T48">_xlfn.SINGLE(IF(ISERROR(_xll.FDSB($C$2,"FE_ESTIMATE(CAPEX,MEAN,QUARTERLY_ROLL,"&amp;T$9&amp;","&amp;$C$5&amp;",,,'')")), "--", _xll.FDSB($C$2,"FE_ESTIMATE(CAPEX,MEAN,QUARTERLY_ROLL,"&amp;T$9&amp;","&amp;$C$5&amp;",,,'')")))</f>
        <v>--</v>
      </c>
      <c r="U48" s="639" t="str" cm="1">
        <f t="array" ref="U48">_xlfn.SINGLE(IF(ISERROR(_xll.FDSB($C$2,"FE_ESTIMATE(CAPEX,MEAN,QUARTERLY_ROLL,"&amp;U$9&amp;","&amp;$C$5&amp;",,,'')")), "--", _xll.FDSB($C$2,"FE_ESTIMATE(CAPEX,MEAN,QUARTERLY_ROLL,"&amp;U$9&amp;","&amp;$C$5&amp;",,,'')")))</f>
        <v>--</v>
      </c>
      <c r="V48" s="639" t="str" cm="1">
        <f t="array" ref="V48">_xlfn.SINGLE(IF(ISERROR(_xll.FDSB($C$2,"FE_ESTIMATE(CAPEX,MEAN,QUARTERLY_ROLL,"&amp;V$9&amp;","&amp;$C$5&amp;",,,'')")), "--", _xll.FDSB($C$2,"FE_ESTIMATE(CAPEX,MEAN,QUARTERLY_ROLL,"&amp;V$9&amp;","&amp;$C$5&amp;",,,'')")))</f>
        <v>--</v>
      </c>
      <c r="W48" s="640" t="str" cm="1">
        <f t="array" ref="W48">_xlfn.SINGLE(IF(ISERROR(_xll.FDSB($C$2,"FE_ESTIMATE(CAPEX,MEAN,ANNUAL_ROLL,"&amp;W$9&amp;","&amp;$C$5&amp;",,,'')")), "--", _xll.FDSB($C$2,"FE_ESTIMATE(CAPEX,MEAN,ANNUAL_ROLL,"&amp;W$9&amp;","&amp;$C$5&amp;",,,'')")))</f>
        <v>--</v>
      </c>
      <c r="X48" s="639" t="str" cm="1">
        <f t="array" ref="X48">_xlfn.SINGLE(IF(ISERROR(_xll.FDSB($C$2,"FE_ESTIMATE(CAPEX,MEAN,QUARTERLY_ROLL,"&amp;X$9&amp;","&amp;$C$5&amp;",,,'')")), "--", _xll.FDSB($C$2,"FE_ESTIMATE(CAPEX,MEAN,QUARTERLY_ROLL,"&amp;X$9&amp;","&amp;$C$5&amp;",,,'')")))</f>
        <v/>
      </c>
      <c r="Y48" s="639" t="str" cm="1">
        <f t="array" ref="Y48">_xlfn.SINGLE(IF(ISERROR(_xll.FDSB($C$2,"FE_ESTIMATE(CAPEX,MEAN,QUARTERLY_ROLL,"&amp;Y$9&amp;","&amp;$C$5&amp;",,,'')")), "--", _xll.FDSB($C$2,"FE_ESTIMATE(CAPEX,MEAN,QUARTERLY_ROLL,"&amp;Y$9&amp;","&amp;$C$5&amp;",,,'')")))</f>
        <v/>
      </c>
      <c r="Z48" s="639" t="str" cm="1">
        <f t="array" ref="Z48">_xlfn.SINGLE(IF(ISERROR(_xll.FDSB($C$2,"FE_ESTIMATE(CAPEX,MEAN,QUARTERLY_ROLL,"&amp;Z$9&amp;","&amp;$C$5&amp;",,,'')")), "--", _xll.FDSB($C$2,"FE_ESTIMATE(CAPEX,MEAN,QUARTERLY_ROLL,"&amp;Z$9&amp;","&amp;$C$5&amp;",,,'')")))</f>
        <v/>
      </c>
      <c r="AA48" s="639" t="str" cm="1">
        <f t="array" ref="AA48">_xlfn.SINGLE(IF(ISERROR(_xll.FDSB($C$2,"FE_ESTIMATE(CAPEX,MEAN,QUARTERLY_ROLL,"&amp;AA$9&amp;","&amp;$C$5&amp;",,,'')")), "--", _xll.FDSB($C$2,"FE_ESTIMATE(CAPEX,MEAN,QUARTERLY_ROLL,"&amp;AA$9&amp;","&amp;$C$5&amp;",,,'')")))</f>
        <v/>
      </c>
      <c r="AB48" s="640" t="str" cm="1">
        <f t="array" ref="AB48">_xlfn.SINGLE(IF(ISERROR(_xll.FDSB($C$2,"FE_ESTIMATE(CAPEX,MEAN,ANNUAL_ROLL,"&amp;AB$9&amp;","&amp;$C$5&amp;",,,'')")), "--", _xll.FDSB($C$2,"FE_ESTIMATE(CAPEX,MEAN,ANNUAL_ROLL,"&amp;AB$9&amp;","&amp;$C$5&amp;",,,'')")))</f>
        <v/>
      </c>
      <c r="AC48" s="639" t="str" cm="1">
        <f t="array" ref="AC48">_xlfn.SINGLE(IF(ISERROR(_xll.FDSB($C$2,"FE_ESTIMATE(CAPEX,MEAN,QUARTERLY_ROLL,"&amp;AC$9&amp;","&amp;$C$5&amp;",,,'')")), "--", _xll.FDSB($C$2,"FE_ESTIMATE(CAPEX,MEAN,QUARTERLY_ROLL,"&amp;AC$9&amp;","&amp;$C$5&amp;",,,'')")))</f>
        <v/>
      </c>
      <c r="AD48" s="639" t="str" cm="1">
        <f t="array" ref="AD48">_xlfn.SINGLE(IF(ISERROR(_xll.FDSB($C$2,"FE_ESTIMATE(CAPEX,MEAN,QUARTERLY_ROLL,"&amp;AD$9&amp;","&amp;$C$5&amp;",,,'')")), "--", _xll.FDSB($C$2,"FE_ESTIMATE(CAPEX,MEAN,QUARTERLY_ROLL,"&amp;AD$9&amp;","&amp;$C$5&amp;",,,'')")))</f>
        <v/>
      </c>
      <c r="AE48" s="639" t="str" cm="1">
        <f t="array" ref="AE48">_xlfn.SINGLE(IF(ISERROR(_xll.FDSB($C$2,"FE_ESTIMATE(CAPEX,MEAN,QUARTERLY_ROLL,"&amp;AE$9&amp;","&amp;$C$5&amp;",,,'')")), "--", _xll.FDSB($C$2,"FE_ESTIMATE(CAPEX,MEAN,QUARTERLY_ROLL,"&amp;AE$9&amp;","&amp;$C$5&amp;",,,'')")))</f>
        <v/>
      </c>
      <c r="AF48" s="639" t="str" cm="1">
        <f t="array" ref="AF48">_xlfn.SINGLE(IF(ISERROR(_xll.FDSB($C$2,"FE_ESTIMATE(CAPEX,MEAN,QUARTERLY_ROLL,"&amp;AF$9&amp;","&amp;$C$5&amp;",,,'')")), "--", _xll.FDSB($C$2,"FE_ESTIMATE(CAPEX,MEAN,QUARTERLY_ROLL,"&amp;AF$9&amp;","&amp;$C$5&amp;",,,'')")))</f>
        <v/>
      </c>
      <c r="AG48" s="640" t="str" cm="1">
        <f t="array" ref="AG48">_xlfn.SINGLE(IF(ISERROR(_xll.FDSB($C$2,"FE_ESTIMATE(CAPEX,MEAN,ANNUAL_ROLL,"&amp;AG$9&amp;","&amp;$C$5&amp;",,,'')")), "--", _xll.FDSB($C$2,"FE_ESTIMATE(CAPEX,MEAN,ANNUAL_ROLL,"&amp;AG$9&amp;","&amp;$C$5&amp;",,,'')")))</f>
        <v/>
      </c>
      <c r="AH48" s="639" t="str" cm="1">
        <f t="array" ref="AH48">_xlfn.SINGLE(IF(ISERROR(_xll.FDSB($C$2,"FE_ESTIMATE(CAPEX,MEAN,QUARTERLY_ROLL,"&amp;AH$9&amp;","&amp;$C$5&amp;",,,'')")), "--", _xll.FDSB($C$2,"FE_ESTIMATE(CAPEX,MEAN,QUARTERLY_ROLL,"&amp;AH$9&amp;","&amp;$C$5&amp;",,,'')")))</f>
        <v/>
      </c>
      <c r="AI48" s="639" t="str" cm="1">
        <f t="array" ref="AI48">_xlfn.SINGLE(IF(ISERROR(_xll.FDSB($C$2,"FE_ESTIMATE(CAPEX,MEAN,QUARTERLY_ROLL,"&amp;AI$9&amp;","&amp;$C$5&amp;",,,'')")), "--", _xll.FDSB($C$2,"FE_ESTIMATE(CAPEX,MEAN,QUARTERLY_ROLL,"&amp;AI$9&amp;","&amp;$C$5&amp;",,,'')")))</f>
        <v/>
      </c>
      <c r="AJ48" s="639" t="str" cm="1">
        <f t="array" ref="AJ48">_xlfn.SINGLE(IF(ISERROR(_xll.FDSB($C$2,"FE_ESTIMATE(CAPEX,MEAN,QUARTERLY_ROLL,"&amp;AJ$9&amp;","&amp;$C$5&amp;",,,'')")), "--", _xll.FDSB($C$2,"FE_ESTIMATE(CAPEX,MEAN,QUARTERLY_ROLL,"&amp;AJ$9&amp;","&amp;$C$5&amp;",,,'')")))</f>
        <v/>
      </c>
      <c r="AK48" s="639" cm="1">
        <f t="array" ref="AK48">_xlfn.SINGLE(IF(ISERROR(_xll.FDSB($C$2,"FE_ESTIMATE(CAPEX,MEAN,QUARTERLY_ROLL,"&amp;AK$9&amp;","&amp;$C$5&amp;",,,'')")), "--", _xll.FDSB($C$2,"FE_ESTIMATE(CAPEX,MEAN,QUARTERLY_ROLL,"&amp;AK$9&amp;","&amp;$C$5&amp;",,,'')")))</f>
        <v>3151.0666999999999</v>
      </c>
      <c r="AL48" s="640" cm="1">
        <f t="array" ref="AL48">_xlfn.SINGLE(IF(ISERROR(_xll.FDSB($C$2,"FE_ESTIMATE(CAPEX,MEAN,ANNUAL_ROLL,"&amp;AL$9&amp;","&amp;$C$5&amp;",,,'')")), "--", _xll.FDSB($C$2,"FE_ESTIMATE(CAPEX,MEAN,ANNUAL_ROLL,"&amp;AL$9&amp;","&amp;$C$5&amp;",,,'')")))</f>
        <v>8770.1759999999995</v>
      </c>
      <c r="AM48" s="639" cm="1">
        <f t="array" ref="AM48">_xlfn.SINGLE(IF(ISERROR(_xll.FDSB($C$2,"FE_ESTIMATE(CAPEX,MEAN,QUARTERLY_ROLL,"&amp;AM$9&amp;","&amp;$C$5&amp;",,,'')")), "--", _xll.FDSB($C$2,"FE_ESTIMATE(CAPEX,MEAN,QUARTERLY_ROLL,"&amp;AM$9&amp;","&amp;$C$5&amp;",,,'')")))</f>
        <v>1407.3589999999999</v>
      </c>
      <c r="AN48" s="639" cm="1">
        <f t="array" ref="AN48">_xlfn.SINGLE(IF(ISERROR(_xll.FDSB($C$2,"FE_ESTIMATE(CAPEX,MEAN,QUARTERLY_ROLL,"&amp;AN$9&amp;","&amp;$C$5&amp;",,,'')")), "--", _xll.FDSB($C$2,"FE_ESTIMATE(CAPEX,MEAN,QUARTERLY_ROLL,"&amp;AN$9&amp;","&amp;$C$5&amp;",,,'')")))</f>
        <v>2452.9920000000002</v>
      </c>
      <c r="AO48" s="639" cm="1">
        <f t="array" ref="AO48">_xlfn.SINGLE(IF(ISERROR(_xll.FDSB($C$2,"FE_ESTIMATE(CAPEX,MEAN,QUARTERLY_ROLL,"&amp;AO$9&amp;","&amp;$C$5&amp;",,,'')")), "--", _xll.FDSB($C$2,"FE_ESTIMATE(CAPEX,MEAN,QUARTERLY_ROLL,"&amp;AO$9&amp;","&amp;$C$5&amp;",,,'')")))</f>
        <v>3709.1889999999999</v>
      </c>
      <c r="AP48" s="639" cm="1">
        <f t="array" ref="AP48">_xlfn.SINGLE(IF(ISERROR(_xll.FDSB($C$2,"FE_ESTIMATE(CAPEX,MEAN,QUARTERLY_ROLL,"&amp;AP$9&amp;","&amp;$C$5&amp;",,,'')")), "--", _xll.FDSB($C$2,"FE_ESTIMATE(CAPEX,MEAN,QUARTERLY_ROLL,"&amp;AP$9&amp;","&amp;$C$5&amp;",,,'')")))</f>
        <v>13295.45</v>
      </c>
      <c r="AQ48" s="640" cm="1">
        <f t="array" ref="AQ48">_xlfn.SINGLE(IF(ISERROR(_xll.FDSB($C$2,"FE_ESTIMATE(CAPEX,MEAN,ANNUAL_ROLL,"&amp;AQ$9&amp;","&amp;$C$5&amp;",,,'')")), "--", _xll.FDSB($C$2,"FE_ESTIMATE(CAPEX,MEAN,ANNUAL_ROLL,"&amp;AQ$9&amp;","&amp;$C$5&amp;",,,'')")))</f>
        <v>20849.692999999999</v>
      </c>
      <c r="AR48" s="639" cm="1">
        <f t="array" ref="AR48">_xlfn.SINGLE(IF(ISERROR(_xll.FDSB($C$2,"FE_ESTIMATE(CAPEX,MEAN,QUARTERLY_ROLL,"&amp;AR$9&amp;","&amp;$C$5&amp;",,,'')")), "--", _xll.FDSB($C$2,"FE_ESTIMATE(CAPEX,MEAN,QUARTERLY_ROLL,"&amp;AR$9&amp;","&amp;$C$5&amp;",,,'')")))</f>
        <v>4275.1000000000004</v>
      </c>
      <c r="AS48" s="639" cm="1">
        <f t="array" ref="AS48">_xlfn.SINGLE(IF(ISERROR(_xll.FDSB($C$2,"FE_ESTIMATE(CAPEX,MEAN,QUARTERLY_ROLL,"&amp;AS$9&amp;","&amp;$C$5&amp;",,,'')")), "--", _xll.FDSB($C$2,"FE_ESTIMATE(CAPEX,MEAN,QUARTERLY_ROLL,"&amp;AS$9&amp;","&amp;$C$5&amp;",,,'')")))</f>
        <v>4008.86</v>
      </c>
      <c r="AT48" s="639" cm="1">
        <f t="array" ref="AT48">_xlfn.SINGLE(IF(ISERROR(_xll.FDSB($C$2,"FE_ESTIMATE(CAPEX,MEAN,QUARTERLY_ROLL,"&amp;AT$9&amp;","&amp;$C$5&amp;",,,'')")), "--", _xll.FDSB($C$2,"FE_ESTIMATE(CAPEX,MEAN,QUARTERLY_ROLL,"&amp;AT$9&amp;","&amp;$C$5&amp;",,,'')")))</f>
        <v>3855.04</v>
      </c>
      <c r="AU48" s="639" cm="1">
        <f t="array" ref="AU48">_xlfn.SINGLE(IF(ISERROR(_xll.FDSB($C$2,"FE_ESTIMATE(CAPEX,MEAN,QUARTERLY_ROLL,"&amp;AU$9&amp;","&amp;$C$5&amp;",,,'')")), "--", _xll.FDSB($C$2,"FE_ESTIMATE(CAPEX,MEAN,QUARTERLY_ROLL,"&amp;AU$9&amp;","&amp;$C$5&amp;",,,'')")))</f>
        <v>3844.84</v>
      </c>
      <c r="AV48" s="640" cm="1">
        <f t="array" ref="AV48">_xlfn.SINGLE(IF(ISERROR(_xll.FDSB($C$2,"FE_ESTIMATE(CAPEX,MEAN,ANNUAL_ROLL,"&amp;AV$9&amp;","&amp;$C$5&amp;",,,'')")), "--", _xll.FDSB($C$2,"FE_ESTIMATE(CAPEX,MEAN,ANNUAL_ROLL,"&amp;AV$9&amp;","&amp;$C$5&amp;",,,'')")))</f>
        <v>17992.282999999999</v>
      </c>
      <c r="AW48" s="639" cm="1">
        <f t="array" ref="AW48">_xlfn.SINGLE(IF(ISERROR(_xll.FDSB($C$2,"FE_ESTIMATE(CAPEX,MEAN,QUARTERLY_ROLL,"&amp;AW$9&amp;","&amp;$C$5&amp;",,,'')")), "--", _xll.FDSB($C$2,"FE_ESTIMATE(CAPEX,MEAN,QUARTERLY_ROLL,"&amp;AW$9&amp;","&amp;$C$5&amp;",,,'')")))</f>
        <v>5300.1</v>
      </c>
      <c r="AX48" s="639" cm="1">
        <f t="array" ref="AX48">_xlfn.SINGLE(IF(ISERROR(_xll.FDSB($C$2,"FE_ESTIMATE(CAPEX,MEAN,QUARTERLY_ROLL,"&amp;AX$9&amp;","&amp;$C$5&amp;",,,'')")), "--", _xll.FDSB($C$2,"FE_ESTIMATE(CAPEX,MEAN,QUARTERLY_ROLL,"&amp;AX$9&amp;","&amp;$C$5&amp;",,,'')")))</f>
        <v>5300.1</v>
      </c>
      <c r="AY48" s="639" cm="1">
        <f t="array" ref="AY48">_xlfn.SINGLE(IF(ISERROR(_xll.FDSB($C$2,"FE_ESTIMATE(CAPEX,MEAN,QUARTERLY_ROLL,"&amp;AY$9&amp;","&amp;$C$5&amp;",,,'')")), "--", _xll.FDSB($C$2,"FE_ESTIMATE(CAPEX,MEAN,QUARTERLY_ROLL,"&amp;AY$9&amp;","&amp;$C$5&amp;",,,'')")))</f>
        <v>5300.1</v>
      </c>
      <c r="AZ48" s="639" cm="1">
        <f t="array" ref="AZ48">_xlfn.SINGLE(IF(ISERROR(_xll.FDSB($C$2,"FE_ESTIMATE(CAPEX,MEAN,QUARTERLY_ROLL,"&amp;AZ$9&amp;","&amp;$C$5&amp;",,,'')")), "--", _xll.FDSB($C$2,"FE_ESTIMATE(CAPEX,MEAN,QUARTERLY_ROLL,"&amp;AZ$9&amp;","&amp;$C$5&amp;",,,'')")))</f>
        <v>5300.1</v>
      </c>
      <c r="BA48" s="640" cm="1">
        <f t="array" ref="BA48">_xlfn.SINGLE(IF(ISERROR(_xll.FDSB($C$2,"FE_ESTIMATE(CAPEX,MEAN,ANNUAL_ROLL,"&amp;BA$9&amp;","&amp;$C$5&amp;",,,'')")), "--", _xll.FDSB($C$2,"FE_ESTIMATE(CAPEX,MEAN,ANNUAL_ROLL,"&amp;BA$9&amp;","&amp;$C$5&amp;",,,'')")))</f>
        <v>16330.655000000001</v>
      </c>
      <c r="BB48" s="639" t="str" cm="1">
        <f t="array" ref="BB48">_xlfn.SINGLE(IF(ISERROR(_xll.FDSB($C$2,"FE_ESTIMATE(CAPEX,MEAN,QUARTERLY_ROLL,"&amp;BB$9&amp;","&amp;$C$5&amp;",,,'')")), "--", _xll.FDSB($C$2,"FE_ESTIMATE(CAPEX,MEAN,QUARTERLY_ROLL,"&amp;BB$9&amp;","&amp;$C$5&amp;",,,'')")))</f>
        <v/>
      </c>
      <c r="BC48" s="639" t="str" cm="1">
        <f t="array" ref="BC48">_xlfn.SINGLE(IF(ISERROR(_xll.FDSB($C$2,"FE_ESTIMATE(CAPEX,MEAN,QUARTERLY_ROLL,"&amp;BC$9&amp;","&amp;$C$5&amp;",,,'')")), "--", _xll.FDSB($C$2,"FE_ESTIMATE(CAPEX,MEAN,QUARTERLY_ROLL,"&amp;BC$9&amp;","&amp;$C$5&amp;",,,'')")))</f>
        <v/>
      </c>
      <c r="BD48" s="639" t="str" cm="1">
        <f t="array" ref="BD48">_xlfn.SINGLE(IF(ISERROR(_xll.FDSB($C$2,"FE_ESTIMATE(CAPEX,MEAN,QUARTERLY_ROLL,"&amp;BD$9&amp;","&amp;$C$5&amp;",,,'')")), "--", _xll.FDSB($C$2,"FE_ESTIMATE(CAPEX,MEAN,QUARTERLY_ROLL,"&amp;BD$9&amp;","&amp;$C$5&amp;",,,'')")))</f>
        <v/>
      </c>
      <c r="BE48" s="639" t="str" cm="1">
        <f t="array" ref="BE48">_xlfn.SINGLE(IF(ISERROR(_xll.FDSB($C$2,"FE_ESTIMATE(CAPEX,MEAN,QUARTERLY_ROLL,"&amp;BE$9&amp;","&amp;$C$5&amp;",,,'')")), "--", _xll.FDSB($C$2,"FE_ESTIMATE(CAPEX,MEAN,QUARTERLY_ROLL,"&amp;BE$9&amp;","&amp;$C$5&amp;",,,'')")))</f>
        <v/>
      </c>
      <c r="BF48" s="640" cm="1">
        <f t="array" ref="BF48">_xlfn.SINGLE(IF(ISERROR(_xll.FDSB($C$2,"FE_ESTIMATE(CAPEX,MEAN,ANNUAL_ROLL,"&amp;BF$9&amp;","&amp;$C$5&amp;",,,'')")), "--", _xll.FDSB($C$2,"FE_ESTIMATE(CAPEX,MEAN,ANNUAL_ROLL,"&amp;BF$9&amp;","&amp;$C$5&amp;",,,'')")))</f>
        <v>18605.599999999999</v>
      </c>
      <c r="BG48" s="639" t="str" cm="1">
        <f t="array" ref="BG48">_xlfn.SINGLE(IF(ISERROR(_xll.FDSB($C$2,"FE_ESTIMATE(CAPEX,MEAN,QUARTERLY_ROLL,"&amp;BG$9&amp;","&amp;$C$5&amp;",,,'')")), "--", _xll.FDSB($C$2,"FE_ESTIMATE(CAPEX,MEAN,QUARTERLY_ROLL,"&amp;BG$9&amp;","&amp;$C$5&amp;",,,'')")))</f>
        <v/>
      </c>
      <c r="BH48" s="639" t="str" cm="1">
        <f t="array" ref="BH48">_xlfn.SINGLE(IF(ISERROR(_xll.FDSB($C$2,"FE_ESTIMATE(CAPEX,MEAN,QUARTERLY_ROLL,"&amp;BH$9&amp;","&amp;$C$5&amp;",,,'')")), "--", _xll.FDSB($C$2,"FE_ESTIMATE(CAPEX,MEAN,QUARTERLY_ROLL,"&amp;BH$9&amp;","&amp;$C$5&amp;",,,'')")))</f>
        <v/>
      </c>
      <c r="BI48" s="639" t="str" cm="1">
        <f t="array" ref="BI48">_xlfn.SINGLE(IF(ISERROR(_xll.FDSB($C$2,"FE_ESTIMATE(CAPEX,MEAN,QUARTERLY_ROLL,"&amp;BI$9&amp;","&amp;$C$5&amp;",,,'')")), "--", _xll.FDSB($C$2,"FE_ESTIMATE(CAPEX,MEAN,QUARTERLY_ROLL,"&amp;BI$9&amp;","&amp;$C$5&amp;",,,'')")))</f>
        <v/>
      </c>
      <c r="BJ48" s="639" t="str" cm="1">
        <f t="array" ref="BJ48">_xlfn.SINGLE(IF(ISERROR(_xll.FDSB($C$2,"FE_ESTIMATE(CAPEX,MEAN,QUARTERLY_ROLL,"&amp;BJ$9&amp;","&amp;$C$5&amp;",,,'')")), "--", _xll.FDSB($C$2,"FE_ESTIMATE(CAPEX,MEAN,QUARTERLY_ROLL,"&amp;BJ$9&amp;","&amp;$C$5&amp;",,,'')")))</f>
        <v/>
      </c>
      <c r="BK48" s="640" cm="1">
        <f t="array" ref="BK48">_xlfn.SINGLE(IF(ISERROR(_xll.FDSB($C$2,"FE_ESTIMATE(CAPEX,MEAN,ANNUAL_ROLL,"&amp;BK$9&amp;","&amp;$C$5&amp;",,,'')")), "--", _xll.FDSB($C$2,"FE_ESTIMATE(CAPEX,MEAN,ANNUAL_ROLL,"&amp;BK$9&amp;","&amp;$C$5&amp;",,,'')")))</f>
        <v>15975.85</v>
      </c>
    </row>
    <row r="49" spans="1:63" s="71" customFormat="1" ht="12.75" customHeight="1" outlineLevel="1">
      <c r="A49" s="62" t="s">
        <v>143</v>
      </c>
      <c r="B49" s="68" t="s">
        <v>31</v>
      </c>
      <c r="C49" s="68"/>
      <c r="D49" s="69"/>
      <c r="E49" s="69"/>
      <c r="F49" s="69"/>
      <c r="G49" s="69"/>
      <c r="H49" s="70"/>
      <c r="I49" s="69" t="str">
        <f t="shared" ref="I49:AN49" si="24">IFERROR(I48/D48-1,"")</f>
        <v/>
      </c>
      <c r="J49" s="69" t="str">
        <f t="shared" si="24"/>
        <v/>
      </c>
      <c r="K49" s="69" t="str">
        <f t="shared" si="24"/>
        <v/>
      </c>
      <c r="L49" s="69" t="str">
        <f t="shared" si="24"/>
        <v/>
      </c>
      <c r="M49" s="70" t="str">
        <f t="shared" si="24"/>
        <v/>
      </c>
      <c r="N49" s="69" t="str">
        <f t="shared" si="24"/>
        <v/>
      </c>
      <c r="O49" s="69" t="str">
        <f t="shared" si="24"/>
        <v/>
      </c>
      <c r="P49" s="69" t="str">
        <f t="shared" si="24"/>
        <v/>
      </c>
      <c r="Q49" s="69" t="str">
        <f t="shared" si="24"/>
        <v/>
      </c>
      <c r="R49" s="70" t="str">
        <f t="shared" si="24"/>
        <v/>
      </c>
      <c r="S49" s="69" t="str">
        <f t="shared" si="24"/>
        <v/>
      </c>
      <c r="T49" s="69" t="str">
        <f t="shared" si="24"/>
        <v/>
      </c>
      <c r="U49" s="69" t="str">
        <f t="shared" si="24"/>
        <v/>
      </c>
      <c r="V49" s="69" t="str">
        <f t="shared" si="24"/>
        <v/>
      </c>
      <c r="W49" s="70" t="str">
        <f t="shared" si="24"/>
        <v/>
      </c>
      <c r="X49" s="69" t="str">
        <f t="shared" si="24"/>
        <v/>
      </c>
      <c r="Y49" s="69" t="str">
        <f t="shared" si="24"/>
        <v/>
      </c>
      <c r="Z49" s="69" t="str">
        <f t="shared" si="24"/>
        <v/>
      </c>
      <c r="AA49" s="69" t="str">
        <f t="shared" si="24"/>
        <v/>
      </c>
      <c r="AB49" s="70" t="str">
        <f t="shared" si="24"/>
        <v/>
      </c>
      <c r="AC49" s="69" t="str">
        <f t="shared" si="24"/>
        <v/>
      </c>
      <c r="AD49" s="69" t="str">
        <f t="shared" si="24"/>
        <v/>
      </c>
      <c r="AE49" s="69" t="str">
        <f t="shared" si="24"/>
        <v/>
      </c>
      <c r="AF49" s="69" t="str">
        <f t="shared" si="24"/>
        <v/>
      </c>
      <c r="AG49" s="70" t="str">
        <f t="shared" si="24"/>
        <v/>
      </c>
      <c r="AH49" s="69" t="str">
        <f t="shared" si="24"/>
        <v/>
      </c>
      <c r="AI49" s="69" t="str">
        <f t="shared" si="24"/>
        <v/>
      </c>
      <c r="AJ49" s="69" t="str">
        <f t="shared" si="24"/>
        <v/>
      </c>
      <c r="AK49" s="69" t="str">
        <f t="shared" si="24"/>
        <v/>
      </c>
      <c r="AL49" s="70" t="str">
        <f t="shared" si="24"/>
        <v/>
      </c>
      <c r="AM49" s="69" t="str">
        <f t="shared" si="24"/>
        <v/>
      </c>
      <c r="AN49" s="69" t="str">
        <f t="shared" si="24"/>
        <v/>
      </c>
      <c r="AO49" s="69" t="str">
        <f t="shared" ref="AO49:BK49" si="25">IFERROR(AO48/AJ48-1,"")</f>
        <v/>
      </c>
      <c r="AP49" s="69">
        <f t="shared" si="25"/>
        <v>3.2193489588779576</v>
      </c>
      <c r="AQ49" s="70">
        <f t="shared" si="25"/>
        <v>1.3773403179138026</v>
      </c>
      <c r="AR49" s="69">
        <f t="shared" si="25"/>
        <v>2.0376755326821376</v>
      </c>
      <c r="AS49" s="69">
        <f t="shared" si="25"/>
        <v>0.63427357284491759</v>
      </c>
      <c r="AT49" s="69">
        <f t="shared" si="25"/>
        <v>3.9321533629049332E-2</v>
      </c>
      <c r="AU49" s="69">
        <f t="shared" si="25"/>
        <v>-0.71081535412490737</v>
      </c>
      <c r="AV49" s="70">
        <f t="shared" si="25"/>
        <v>-0.13704806109135514</v>
      </c>
      <c r="AW49" s="69">
        <f t="shared" si="25"/>
        <v>0.2397604734392178</v>
      </c>
      <c r="AX49" s="69">
        <f t="shared" si="25"/>
        <v>0.32209655612817611</v>
      </c>
      <c r="AY49" s="69">
        <f t="shared" si="25"/>
        <v>0.37484954760521294</v>
      </c>
      <c r="AZ49" s="69">
        <f t="shared" si="25"/>
        <v>0.37849689453917468</v>
      </c>
      <c r="BA49" s="70">
        <f t="shared" si="25"/>
        <v>-9.2352260132858022E-2</v>
      </c>
      <c r="BB49" s="69" t="str">
        <f t="shared" si="25"/>
        <v/>
      </c>
      <c r="BC49" s="69" t="str">
        <f t="shared" si="25"/>
        <v/>
      </c>
      <c r="BD49" s="69" t="str">
        <f t="shared" si="25"/>
        <v/>
      </c>
      <c r="BE49" s="69" t="str">
        <f t="shared" si="25"/>
        <v/>
      </c>
      <c r="BF49" s="70">
        <f t="shared" si="25"/>
        <v>0.13930519014699638</v>
      </c>
      <c r="BG49" s="69" t="str">
        <f t="shared" si="25"/>
        <v/>
      </c>
      <c r="BH49" s="69" t="str">
        <f t="shared" si="25"/>
        <v/>
      </c>
      <c r="BI49" s="69" t="str">
        <f t="shared" si="25"/>
        <v/>
      </c>
      <c r="BJ49" s="69" t="str">
        <f t="shared" si="25"/>
        <v/>
      </c>
      <c r="BK49" s="70">
        <f t="shared" si="25"/>
        <v>-0.14134185406544253</v>
      </c>
    </row>
    <row r="50" spans="1:63" s="71" customFormat="1" ht="12.75" customHeight="1" outlineLevel="1">
      <c r="A50" s="62" t="s">
        <v>144</v>
      </c>
      <c r="B50" s="68" t="s">
        <v>33</v>
      </c>
      <c r="C50" s="68"/>
      <c r="D50" s="69"/>
      <c r="E50" s="69"/>
      <c r="F50" s="69"/>
      <c r="G50" s="69"/>
      <c r="H50" s="72"/>
      <c r="I50" s="69" t="str">
        <f>IFERROR(I48/G48-1,"")</f>
        <v/>
      </c>
      <c r="J50" s="69" t="str">
        <f>IFERROR(J48/I48-1,"")</f>
        <v/>
      </c>
      <c r="K50" s="69" t="str">
        <f>IFERROR(K48/J48-1,"")</f>
        <v/>
      </c>
      <c r="L50" s="69" t="str">
        <f>IFERROR(L48/K48-1,"")</f>
        <v/>
      </c>
      <c r="M50" s="72"/>
      <c r="N50" s="69" t="str">
        <f>IFERROR(N48/L48-1,"")</f>
        <v/>
      </c>
      <c r="O50" s="69" t="str">
        <f>IFERROR(O48/N48-1,"")</f>
        <v/>
      </c>
      <c r="P50" s="69" t="str">
        <f>IFERROR(P48/O48-1,"")</f>
        <v/>
      </c>
      <c r="Q50" s="69" t="str">
        <f>IFERROR(Q48/P48-1,"")</f>
        <v/>
      </c>
      <c r="R50" s="72"/>
      <c r="S50" s="69" t="str">
        <f>IFERROR(S48/Q48-1,"")</f>
        <v/>
      </c>
      <c r="T50" s="69" t="str">
        <f>IFERROR(T48/S48-1,"")</f>
        <v/>
      </c>
      <c r="U50" s="69" t="str">
        <f>IFERROR(U48/T48-1,"")</f>
        <v/>
      </c>
      <c r="V50" s="69" t="str">
        <f>IFERROR(V48/U48-1,"")</f>
        <v/>
      </c>
      <c r="W50" s="72"/>
      <c r="X50" s="69" t="str">
        <f>IFERROR(X48/V48-1,"")</f>
        <v/>
      </c>
      <c r="Y50" s="69" t="str">
        <f>IFERROR(Y48/X48-1,"")</f>
        <v/>
      </c>
      <c r="Z50" s="69" t="str">
        <f>IFERROR(Z48/Y48-1,"")</f>
        <v/>
      </c>
      <c r="AA50" s="69" t="str">
        <f>IFERROR(AA48/Z48-1,"")</f>
        <v/>
      </c>
      <c r="AB50" s="72"/>
      <c r="AC50" s="69" t="str">
        <f>IFERROR(AC48/AA48-1,"")</f>
        <v/>
      </c>
      <c r="AD50" s="69" t="str">
        <f>IFERROR(AD48/AC48-1,"")</f>
        <v/>
      </c>
      <c r="AE50" s="69" t="str">
        <f>IFERROR(AE48/AD48-1,"")</f>
        <v/>
      </c>
      <c r="AF50" s="69" t="str">
        <f>IFERROR(AF48/AE48-1,"")</f>
        <v/>
      </c>
      <c r="AG50" s="72"/>
      <c r="AH50" s="69" t="str">
        <f>IFERROR(AH48/AF48-1,"")</f>
        <v/>
      </c>
      <c r="AI50" s="69" t="str">
        <f>IFERROR(AI48/AH48-1,"")</f>
        <v/>
      </c>
      <c r="AJ50" s="69" t="str">
        <f>IFERROR(AJ48/AI48-1,"")</f>
        <v/>
      </c>
      <c r="AK50" s="69" t="str">
        <f>IFERROR(AK48/AJ48-1,"")</f>
        <v/>
      </c>
      <c r="AL50" s="72"/>
      <c r="AM50" s="69">
        <f>IFERROR(AM48/AK48-1,"")</f>
        <v>-0.55337060938760829</v>
      </c>
      <c r="AN50" s="69">
        <f>IFERROR(AN48/AM48-1,"")</f>
        <v>0.74297531759842395</v>
      </c>
      <c r="AO50" s="69">
        <f>IFERROR(AO48/AN48-1,"")</f>
        <v>0.51210807047067397</v>
      </c>
      <c r="AP50" s="69">
        <f>IFERROR(AP48/AO48-1,"")</f>
        <v>2.5844628030547923</v>
      </c>
      <c r="AQ50" s="72"/>
      <c r="AR50" s="69">
        <f>IFERROR(AR48/AP48-1,"")</f>
        <v>-0.678453907163729</v>
      </c>
      <c r="AS50" s="69">
        <f>IFERROR(AS48/AR48-1,"")</f>
        <v>-6.2276905803373084E-2</v>
      </c>
      <c r="AT50" s="69">
        <f>IFERROR(AT48/AS48-1,"")</f>
        <v>-3.8370010426904466E-2</v>
      </c>
      <c r="AU50" s="69">
        <f>IFERROR(AU48/AT48-1,"")</f>
        <v>-2.6458869428073184E-3</v>
      </c>
      <c r="AV50" s="72"/>
      <c r="AW50" s="69">
        <f>IFERROR(AW48/AU48-1,"")</f>
        <v>0.37849689453917468</v>
      </c>
      <c r="AX50" s="69">
        <f>IFERROR(AX48/AW48-1,"")</f>
        <v>0</v>
      </c>
      <c r="AY50" s="69">
        <f>IFERROR(AY48/AX48-1,"")</f>
        <v>0</v>
      </c>
      <c r="AZ50" s="69">
        <f>IFERROR(AZ48/AY48-1,"")</f>
        <v>0</v>
      </c>
      <c r="BA50" s="72"/>
      <c r="BB50" s="69" t="str">
        <f>IFERROR(BB48/AZ48-1,"")</f>
        <v/>
      </c>
      <c r="BC50" s="69" t="str">
        <f>IFERROR(BC48/BB48-1,"")</f>
        <v/>
      </c>
      <c r="BD50" s="69" t="str">
        <f>IFERROR(BD48/BC48-1,"")</f>
        <v/>
      </c>
      <c r="BE50" s="69" t="str">
        <f>IFERROR(BE48/BD48-1,"")</f>
        <v/>
      </c>
      <c r="BF50" s="72"/>
      <c r="BG50" s="69" t="str">
        <f>IFERROR(BG48/BE48-1,"")</f>
        <v/>
      </c>
      <c r="BH50" s="69" t="str">
        <f>IFERROR(BH48/BG48-1,"")</f>
        <v/>
      </c>
      <c r="BI50" s="69" t="str">
        <f>IFERROR(BI48/BH48-1,"")</f>
        <v/>
      </c>
      <c r="BJ50" s="69" t="str">
        <f>IFERROR(BJ48/BI48-1,"")</f>
        <v/>
      </c>
      <c r="BK50" s="72"/>
    </row>
    <row r="51" spans="1:63" s="71" customFormat="1" ht="12.75" customHeight="1" outlineLevel="1">
      <c r="A51" s="53"/>
      <c r="B51" s="68"/>
      <c r="C51" s="68"/>
      <c r="D51" s="69"/>
      <c r="E51" s="69"/>
      <c r="F51" s="69"/>
      <c r="G51" s="69"/>
      <c r="H51" s="72"/>
      <c r="I51" s="69"/>
      <c r="J51" s="69"/>
      <c r="K51" s="69"/>
      <c r="L51" s="69"/>
      <c r="M51" s="72"/>
      <c r="N51" s="69"/>
      <c r="O51" s="69"/>
      <c r="P51" s="69"/>
      <c r="Q51" s="69"/>
      <c r="R51" s="72"/>
      <c r="S51" s="69"/>
      <c r="T51" s="69"/>
      <c r="U51" s="69"/>
      <c r="V51" s="69"/>
      <c r="W51" s="72"/>
      <c r="X51" s="69"/>
      <c r="Y51" s="69"/>
      <c r="Z51" s="69"/>
      <c r="AA51" s="69"/>
      <c r="AB51" s="72"/>
      <c r="AC51" s="69"/>
      <c r="AD51" s="69"/>
      <c r="AE51" s="69"/>
      <c r="AF51" s="69"/>
      <c r="AG51" s="72"/>
      <c r="AH51" s="69"/>
      <c r="AI51" s="69"/>
      <c r="AJ51" s="69"/>
      <c r="AK51" s="69"/>
      <c r="AL51" s="72"/>
      <c r="AM51" s="69"/>
      <c r="AN51" s="69"/>
      <c r="AO51" s="69"/>
      <c r="AP51" s="69"/>
      <c r="AQ51" s="72"/>
      <c r="AR51" s="69"/>
      <c r="AS51" s="69"/>
      <c r="AT51" s="69"/>
      <c r="AU51" s="69"/>
      <c r="AV51" s="72"/>
      <c r="AW51" s="69"/>
      <c r="AX51" s="69"/>
      <c r="AY51" s="69"/>
      <c r="AZ51" s="69"/>
      <c r="BA51" s="72"/>
      <c r="BB51" s="69"/>
      <c r="BC51" s="69"/>
      <c r="BD51" s="69"/>
      <c r="BE51" s="69"/>
      <c r="BF51" s="72"/>
      <c r="BG51" s="69"/>
      <c r="BH51" s="69"/>
      <c r="BI51" s="69"/>
      <c r="BJ51" s="69"/>
      <c r="BK51" s="72"/>
    </row>
    <row r="52" spans="1:63" s="641" customFormat="1" ht="12.75" customHeight="1" outlineLevel="1">
      <c r="A52" s="642" t="s">
        <v>44</v>
      </c>
      <c r="B52" s="637" t="s">
        <v>167</v>
      </c>
      <c r="C52" s="638"/>
      <c r="D52" s="639"/>
      <c r="E52" s="639"/>
      <c r="F52" s="639"/>
      <c r="G52" s="639"/>
      <c r="H52" s="640"/>
      <c r="I52" s="639" t="str" cm="1">
        <f t="array" ref="I52">_xlfn.SINGLE(IF(ISERROR(_xll.FDSB($C$2,"FE_ESTIMATE(FCF,MEAN,QUARTERLY_ROLL,"&amp;I$9&amp;","&amp;$C$5&amp;",,,'')")), "--", _xll.FDSB($C$2,"FE_ESTIMATE(FCF,MEAN,QUARTERLY_ROLL,"&amp;I$9&amp;","&amp;$C$5&amp;",,,'')")))</f>
        <v>--</v>
      </c>
      <c r="J52" s="639" t="str" cm="1">
        <f t="array" ref="J52">_xlfn.SINGLE(IF(ISERROR(_xll.FDSB($C$2,"FE_ESTIMATE(FCF,MEAN,QUARTERLY_ROLL,"&amp;J$9&amp;","&amp;$C$5&amp;",,,'')")), "--", _xll.FDSB($C$2,"FE_ESTIMATE(FCF,MEAN,QUARTERLY_ROLL,"&amp;J$9&amp;","&amp;$C$5&amp;",,,'')")))</f>
        <v>--</v>
      </c>
      <c r="K52" s="639" t="str" cm="1">
        <f t="array" ref="K52">_xlfn.SINGLE(IF(ISERROR(_xll.FDSB($C$2,"FE_ESTIMATE(FCF,MEAN,QUARTERLY_ROLL,"&amp;K$9&amp;","&amp;$C$5&amp;",,,'')")), "--", _xll.FDSB($C$2,"FE_ESTIMATE(FCF,MEAN,QUARTERLY_ROLL,"&amp;K$9&amp;","&amp;$C$5&amp;",,,'')")))</f>
        <v>--</v>
      </c>
      <c r="L52" s="639" t="str" cm="1">
        <f t="array" ref="L52">_xlfn.SINGLE(IF(ISERROR(_xll.FDSB($C$2,"FE_ESTIMATE(FCF,MEAN,QUARTERLY_ROLL,"&amp;L$9&amp;","&amp;$C$5&amp;",,,'')")), "--", _xll.FDSB($C$2,"FE_ESTIMATE(FCF,MEAN,QUARTERLY_ROLL,"&amp;L$9&amp;","&amp;$C$5&amp;",,,'')")))</f>
        <v>--</v>
      </c>
      <c r="M52" s="640" t="str" cm="1">
        <f t="array" ref="M52">_xlfn.SINGLE(IF(ISERROR(_xll.FDSB($C$2,"FE_ESTIMATE(FCF,MEAN,ANNUAL_ROLL,"&amp;M$9&amp;","&amp;$C$5&amp;",,,'')")), "--", _xll.FDSB($C$2,"FE_ESTIMATE(FCF,MEAN,ANNUAL_ROLL,"&amp;M$9&amp;","&amp;$C$5&amp;",,,'')")))</f>
        <v>--</v>
      </c>
      <c r="N52" s="639" t="str" cm="1">
        <f t="array" ref="N52">_xlfn.SINGLE(IF(ISERROR(_xll.FDSB($C$2,"FE_ESTIMATE(FCF,MEAN,QUARTERLY_ROLL,"&amp;N$9&amp;","&amp;$C$5&amp;",,,'')")), "--", _xll.FDSB($C$2,"FE_ESTIMATE(FCF,MEAN,QUARTERLY_ROLL,"&amp;N$9&amp;","&amp;$C$5&amp;",,,'')")))</f>
        <v>--</v>
      </c>
      <c r="O52" s="639" t="str" cm="1">
        <f t="array" ref="O52">_xlfn.SINGLE(IF(ISERROR(_xll.FDSB($C$2,"FE_ESTIMATE(FCF,MEAN,QUARTERLY_ROLL,"&amp;O$9&amp;","&amp;$C$5&amp;",,,'')")), "--", _xll.FDSB($C$2,"FE_ESTIMATE(FCF,MEAN,QUARTERLY_ROLL,"&amp;O$9&amp;","&amp;$C$5&amp;",,,'')")))</f>
        <v>--</v>
      </c>
      <c r="P52" s="639" t="str" cm="1">
        <f t="array" ref="P52">_xlfn.SINGLE(IF(ISERROR(_xll.FDSB($C$2,"FE_ESTIMATE(FCF,MEAN,QUARTERLY_ROLL,"&amp;P$9&amp;","&amp;$C$5&amp;",,,'')")), "--", _xll.FDSB($C$2,"FE_ESTIMATE(FCF,MEAN,QUARTERLY_ROLL,"&amp;P$9&amp;","&amp;$C$5&amp;",,,'')")))</f>
        <v>--</v>
      </c>
      <c r="Q52" s="639" t="str" cm="1">
        <f t="array" ref="Q52">_xlfn.SINGLE(IF(ISERROR(_xll.FDSB($C$2,"FE_ESTIMATE(FCF,MEAN,QUARTERLY_ROLL,"&amp;Q$9&amp;","&amp;$C$5&amp;",,,'')")), "--", _xll.FDSB($C$2,"FE_ESTIMATE(FCF,MEAN,QUARTERLY_ROLL,"&amp;Q$9&amp;","&amp;$C$5&amp;",,,'')")))</f>
        <v>--</v>
      </c>
      <c r="R52" s="640" t="str" cm="1">
        <f t="array" ref="R52">_xlfn.SINGLE(IF(ISERROR(_xll.FDSB($C$2,"FE_ESTIMATE(FCF,MEAN,ANNUAL_ROLL,"&amp;R$9&amp;","&amp;$C$5&amp;",,,'')")), "--", _xll.FDSB($C$2,"FE_ESTIMATE(FCF,MEAN,ANNUAL_ROLL,"&amp;R$9&amp;","&amp;$C$5&amp;",,,'')")))</f>
        <v>--</v>
      </c>
      <c r="S52" s="639" t="str" cm="1">
        <f t="array" ref="S52">_xlfn.SINGLE(IF(ISERROR(_xll.FDSB($C$2,"FE_ESTIMATE(FCF,MEAN,QUARTERLY_ROLL,"&amp;S$9&amp;","&amp;$C$5&amp;",,,'')")), "--", _xll.FDSB($C$2,"FE_ESTIMATE(FCF,MEAN,QUARTERLY_ROLL,"&amp;S$9&amp;","&amp;$C$5&amp;",,,'')")))</f>
        <v>--</v>
      </c>
      <c r="T52" s="639" t="str" cm="1">
        <f t="array" ref="T52">_xlfn.SINGLE(IF(ISERROR(_xll.FDSB($C$2,"FE_ESTIMATE(FCF,MEAN,QUARTERLY_ROLL,"&amp;T$9&amp;","&amp;$C$5&amp;",,,'')")), "--", _xll.FDSB($C$2,"FE_ESTIMATE(FCF,MEAN,QUARTERLY_ROLL,"&amp;T$9&amp;","&amp;$C$5&amp;",,,'')")))</f>
        <v>--</v>
      </c>
      <c r="U52" s="639" t="str" cm="1">
        <f t="array" ref="U52">_xlfn.SINGLE(IF(ISERROR(_xll.FDSB($C$2,"FE_ESTIMATE(FCF,MEAN,QUARTERLY_ROLL,"&amp;U$9&amp;","&amp;$C$5&amp;",,,'')")), "--", _xll.FDSB($C$2,"FE_ESTIMATE(FCF,MEAN,QUARTERLY_ROLL,"&amp;U$9&amp;","&amp;$C$5&amp;",,,'')")))</f>
        <v>--</v>
      </c>
      <c r="V52" s="639" t="str" cm="1">
        <f t="array" ref="V52">_xlfn.SINGLE(IF(ISERROR(_xll.FDSB($C$2,"FE_ESTIMATE(FCF,MEAN,QUARTERLY_ROLL,"&amp;V$9&amp;","&amp;$C$5&amp;",,,'')")), "--", _xll.FDSB($C$2,"FE_ESTIMATE(FCF,MEAN,QUARTERLY_ROLL,"&amp;V$9&amp;","&amp;$C$5&amp;",,,'')")))</f>
        <v>--</v>
      </c>
      <c r="W52" s="640" t="str" cm="1">
        <f t="array" ref="W52">_xlfn.SINGLE(IF(ISERROR(_xll.FDSB($C$2,"FE_ESTIMATE(FCF,MEAN,ANNUAL_ROLL,"&amp;W$9&amp;","&amp;$C$5&amp;",,,'')")), "--", _xll.FDSB($C$2,"FE_ESTIMATE(FCF,MEAN,ANNUAL_ROLL,"&amp;W$9&amp;","&amp;$C$5&amp;",,,'')")))</f>
        <v>--</v>
      </c>
      <c r="X52" s="639" t="str" cm="1">
        <f t="array" ref="X52">_xlfn.SINGLE(IF(ISERROR(_xll.FDSB($C$2,"FE_ESTIMATE(FCF,MEAN,QUARTERLY_ROLL,"&amp;X$9&amp;","&amp;$C$5&amp;",,,'')")), "--", _xll.FDSB($C$2,"FE_ESTIMATE(FCF,MEAN,QUARTERLY_ROLL,"&amp;X$9&amp;","&amp;$C$5&amp;",,,'')")))</f>
        <v/>
      </c>
      <c r="Y52" s="639" t="str" cm="1">
        <f t="array" ref="Y52">_xlfn.SINGLE(IF(ISERROR(_xll.FDSB($C$2,"FE_ESTIMATE(FCF,MEAN,QUARTERLY_ROLL,"&amp;Y$9&amp;","&amp;$C$5&amp;",,,'')")), "--", _xll.FDSB($C$2,"FE_ESTIMATE(FCF,MEAN,QUARTERLY_ROLL,"&amp;Y$9&amp;","&amp;$C$5&amp;",,,'')")))</f>
        <v/>
      </c>
      <c r="Z52" s="639" t="str" cm="1">
        <f t="array" ref="Z52">_xlfn.SINGLE(IF(ISERROR(_xll.FDSB($C$2,"FE_ESTIMATE(FCF,MEAN,QUARTERLY_ROLL,"&amp;Z$9&amp;","&amp;$C$5&amp;",,,'')")), "--", _xll.FDSB($C$2,"FE_ESTIMATE(FCF,MEAN,QUARTERLY_ROLL,"&amp;Z$9&amp;","&amp;$C$5&amp;",,,'')")))</f>
        <v/>
      </c>
      <c r="AA52" s="639" t="str" cm="1">
        <f t="array" ref="AA52">_xlfn.SINGLE(IF(ISERROR(_xll.FDSB($C$2,"FE_ESTIMATE(FCF,MEAN,QUARTERLY_ROLL,"&amp;AA$9&amp;","&amp;$C$5&amp;",,,'')")), "--", _xll.FDSB($C$2,"FE_ESTIMATE(FCF,MEAN,QUARTERLY_ROLL,"&amp;AA$9&amp;","&amp;$C$5&amp;",,,'')")))</f>
        <v/>
      </c>
      <c r="AB52" s="640" t="str" cm="1">
        <f t="array" ref="AB52">_xlfn.SINGLE(IF(ISERROR(_xll.FDSB($C$2,"FE_ESTIMATE(FCF,MEAN,ANNUAL_ROLL,"&amp;AB$9&amp;","&amp;$C$5&amp;",,,'')")), "--", _xll.FDSB($C$2,"FE_ESTIMATE(FCF,MEAN,ANNUAL_ROLL,"&amp;AB$9&amp;","&amp;$C$5&amp;",,,'')")))</f>
        <v/>
      </c>
      <c r="AC52" s="639" t="str" cm="1">
        <f t="array" ref="AC52">_xlfn.SINGLE(IF(ISERROR(_xll.FDSB($C$2,"FE_ESTIMATE(FCF,MEAN,QUARTERLY_ROLL,"&amp;AC$9&amp;","&amp;$C$5&amp;",,,'')")), "--", _xll.FDSB($C$2,"FE_ESTIMATE(FCF,MEAN,QUARTERLY_ROLL,"&amp;AC$9&amp;","&amp;$C$5&amp;",,,'')")))</f>
        <v/>
      </c>
      <c r="AD52" s="639" t="str" cm="1">
        <f t="array" ref="AD52">_xlfn.SINGLE(IF(ISERROR(_xll.FDSB($C$2,"FE_ESTIMATE(FCF,MEAN,QUARTERLY_ROLL,"&amp;AD$9&amp;","&amp;$C$5&amp;",,,'')")), "--", _xll.FDSB($C$2,"FE_ESTIMATE(FCF,MEAN,QUARTERLY_ROLL,"&amp;AD$9&amp;","&amp;$C$5&amp;",,,'')")))</f>
        <v/>
      </c>
      <c r="AE52" s="639" t="str" cm="1">
        <f t="array" ref="AE52">_xlfn.SINGLE(IF(ISERROR(_xll.FDSB($C$2,"FE_ESTIMATE(FCF,MEAN,QUARTERLY_ROLL,"&amp;AE$9&amp;","&amp;$C$5&amp;",,,'')")), "--", _xll.FDSB($C$2,"FE_ESTIMATE(FCF,MEAN,QUARTERLY_ROLL,"&amp;AE$9&amp;","&amp;$C$5&amp;",,,'')")))</f>
        <v/>
      </c>
      <c r="AF52" s="639" t="str" cm="1">
        <f t="array" ref="AF52">_xlfn.SINGLE(IF(ISERROR(_xll.FDSB($C$2,"FE_ESTIMATE(FCF,MEAN,QUARTERLY_ROLL,"&amp;AF$9&amp;","&amp;$C$5&amp;",,,'')")), "--", _xll.FDSB($C$2,"FE_ESTIMATE(FCF,MEAN,QUARTERLY_ROLL,"&amp;AF$9&amp;","&amp;$C$5&amp;",,,'')")))</f>
        <v/>
      </c>
      <c r="AG52" s="640" t="str" cm="1">
        <f t="array" ref="AG52">_xlfn.SINGLE(IF(ISERROR(_xll.FDSB($C$2,"FE_ESTIMATE(FCF,MEAN,ANNUAL_ROLL,"&amp;AG$9&amp;","&amp;$C$5&amp;",,,'')")), "--", _xll.FDSB($C$2,"FE_ESTIMATE(FCF,MEAN,ANNUAL_ROLL,"&amp;AG$9&amp;","&amp;$C$5&amp;",,,'')")))</f>
        <v/>
      </c>
      <c r="AH52" s="639" t="str" cm="1">
        <f t="array" ref="AH52">_xlfn.SINGLE(IF(ISERROR(_xll.FDSB($C$2,"FE_ESTIMATE(FCF,MEAN,QUARTERLY_ROLL,"&amp;AH$9&amp;","&amp;$C$5&amp;",,,'')")), "--", _xll.FDSB($C$2,"FE_ESTIMATE(FCF,MEAN,QUARTERLY_ROLL,"&amp;AH$9&amp;","&amp;$C$5&amp;",,,'')")))</f>
        <v/>
      </c>
      <c r="AI52" s="639" t="str" cm="1">
        <f t="array" ref="AI52">_xlfn.SINGLE(IF(ISERROR(_xll.FDSB($C$2,"FE_ESTIMATE(FCF,MEAN,QUARTERLY_ROLL,"&amp;AI$9&amp;","&amp;$C$5&amp;",,,'')")), "--", _xll.FDSB($C$2,"FE_ESTIMATE(FCF,MEAN,QUARTERLY_ROLL,"&amp;AI$9&amp;","&amp;$C$5&amp;",,,'')")))</f>
        <v/>
      </c>
      <c r="AJ52" s="639" t="str" cm="1">
        <f t="array" ref="AJ52">_xlfn.SINGLE(IF(ISERROR(_xll.FDSB($C$2,"FE_ESTIMATE(FCF,MEAN,QUARTERLY_ROLL,"&amp;AJ$9&amp;","&amp;$C$5&amp;",,,'')")), "--", _xll.FDSB($C$2,"FE_ESTIMATE(FCF,MEAN,QUARTERLY_ROLL,"&amp;AJ$9&amp;","&amp;$C$5&amp;",,,'')")))</f>
        <v/>
      </c>
      <c r="AK52" s="639" cm="1">
        <f t="array" ref="AK52">_xlfn.SINGLE(IF(ISERROR(_xll.FDSB($C$2,"FE_ESTIMATE(FCF,MEAN,QUARTERLY_ROLL,"&amp;AK$9&amp;","&amp;$C$5&amp;",,,'')")), "--", _xll.FDSB($C$2,"FE_ESTIMATE(FCF,MEAN,QUARTERLY_ROLL,"&amp;AK$9&amp;","&amp;$C$5&amp;",,,'')")))</f>
        <v>-3476</v>
      </c>
      <c r="AL52" s="640" cm="1">
        <f t="array" ref="AL52">_xlfn.SINGLE(IF(ISERROR(_xll.FDSB($C$2,"FE_ESTIMATE(FCF,MEAN,ANNUAL_ROLL,"&amp;AL$9&amp;","&amp;$C$5&amp;",,,'')")), "--", _xll.FDSB($C$2,"FE_ESTIMATE(FCF,MEAN,ANNUAL_ROLL,"&amp;AL$9&amp;","&amp;$C$5&amp;",,,'')")))</f>
        <v>-5952.9443000000001</v>
      </c>
      <c r="AM52" s="639" cm="1">
        <f t="array" ref="AM52">_xlfn.SINGLE(IF(ISERROR(_xll.FDSB($C$2,"FE_ESTIMATE(FCF,MEAN,QUARTERLY_ROLL,"&amp;AM$9&amp;","&amp;$C$5&amp;",,,'')")), "--", _xll.FDSB($C$2,"FE_ESTIMATE(FCF,MEAN,QUARTERLY_ROLL,"&amp;AM$9&amp;","&amp;$C$5&amp;",,,'')")))</f>
        <v>-1346</v>
      </c>
      <c r="AN52" s="639" cm="1">
        <f t="array" ref="AN52">_xlfn.SINGLE(IF(ISERROR(_xll.FDSB($C$2,"FE_ESTIMATE(FCF,MEAN,QUARTERLY_ROLL,"&amp;AN$9&amp;","&amp;$C$5&amp;",,,'')")), "--", _xll.FDSB($C$2,"FE_ESTIMATE(FCF,MEAN,QUARTERLY_ROLL,"&amp;AN$9&amp;","&amp;$C$5&amp;",,,'')")))</f>
        <v>-2783.9142999999999</v>
      </c>
      <c r="AO52" s="639" cm="1">
        <f t="array" ref="AO52">_xlfn.SINGLE(IF(ISERROR(_xll.FDSB($C$2,"FE_ESTIMATE(FCF,MEAN,QUARTERLY_ROLL,"&amp;AO$9&amp;","&amp;$C$5&amp;",,,'')")), "--", _xll.FDSB($C$2,"FE_ESTIMATE(FCF,MEAN,QUARTERLY_ROLL,"&amp;AO$9&amp;","&amp;$C$5&amp;",,,'')")))</f>
        <v>-2438.6287000000002</v>
      </c>
      <c r="AP52" s="639" cm="1">
        <f t="array" ref="AP52">_xlfn.SINGLE(IF(ISERROR(_xll.FDSB($C$2,"FE_ESTIMATE(FCF,MEAN,QUARTERLY_ROLL,"&amp;AP$9&amp;","&amp;$C$5&amp;",,,'')")), "--", _xll.FDSB($C$2,"FE_ESTIMATE(FCF,MEAN,QUARTERLY_ROLL,"&amp;AP$9&amp;","&amp;$C$5&amp;",,,'')")))</f>
        <v>-9329</v>
      </c>
      <c r="AQ52" s="640" cm="1">
        <f t="array" ref="AQ52">_xlfn.SINGLE(IF(ISERROR(_xll.FDSB($C$2,"FE_ESTIMATE(FCF,MEAN,ANNUAL_ROLL,"&amp;AQ$9&amp;","&amp;$C$5&amp;",,,'')")), "--", _xll.FDSB($C$2,"FE_ESTIMATE(FCF,MEAN,ANNUAL_ROLL,"&amp;AQ$9&amp;","&amp;$C$5&amp;",,,'')")))</f>
        <v>-16617.939999999999</v>
      </c>
      <c r="AR52" s="639" cm="1">
        <f t="array" ref="AR52">_xlfn.SINGLE(IF(ISERROR(_xll.FDSB($C$2,"FE_ESTIMATE(FCF,MEAN,QUARTERLY_ROLL,"&amp;AR$9&amp;","&amp;$C$5&amp;",,,'')")), "--", _xll.FDSB($C$2,"FE_ESTIMATE(FCF,MEAN,QUARTERLY_ROLL,"&amp;AR$9&amp;","&amp;$C$5&amp;",,,'')")))</f>
        <v>-2747</v>
      </c>
      <c r="AS52" s="639" cm="1">
        <f t="array" ref="AS52">_xlfn.SINGLE(IF(ISERROR(_xll.FDSB($C$2,"FE_ESTIMATE(FCF,MEAN,QUARTERLY_ROLL,"&amp;AS$9&amp;","&amp;$C$5&amp;",,,'')")), "--", _xll.FDSB($C$2,"FE_ESTIMATE(FCF,MEAN,QUARTERLY_ROLL,"&amp;AS$9&amp;","&amp;$C$5&amp;",,,'')")))</f>
        <v>-2359</v>
      </c>
      <c r="AT52" s="639" cm="1">
        <f t="array" ref="AT52">_xlfn.SINGLE(IF(ISERROR(_xll.FDSB($C$2,"FE_ESTIMATE(FCF,MEAN,QUARTERLY_ROLL,"&amp;AT$9&amp;","&amp;$C$5&amp;",,,'')")), "--", _xll.FDSB($C$2,"FE_ESTIMATE(FCF,MEAN,QUARTERLY_ROLL,"&amp;AT$9&amp;","&amp;$C$5&amp;",,,'')")))</f>
        <v>-1733.3334</v>
      </c>
      <c r="AU52" s="639" cm="1">
        <f t="array" ref="AU52">_xlfn.SINGLE(IF(ISERROR(_xll.FDSB($C$2,"FE_ESTIMATE(FCF,MEAN,QUARTERLY_ROLL,"&amp;AU$9&amp;","&amp;$C$5&amp;",,,'')")), "--", _xll.FDSB($C$2,"FE_ESTIMATE(FCF,MEAN,QUARTERLY_ROLL,"&amp;AU$9&amp;","&amp;$C$5&amp;",,,'')")))</f>
        <v>-1296</v>
      </c>
      <c r="AV52" s="640" cm="1">
        <f t="array" ref="AV52">_xlfn.SINGLE(IF(ISERROR(_xll.FDSB($C$2,"FE_ESTIMATE(FCF,MEAN,ANNUAL_ROLL,"&amp;AV$9&amp;","&amp;$C$5&amp;",,,'')")), "--", _xll.FDSB($C$2,"FE_ESTIMATE(FCF,MEAN,ANNUAL_ROLL,"&amp;AV$9&amp;","&amp;$C$5&amp;",,,'')")))</f>
        <v>-10561.946</v>
      </c>
      <c r="AW52" s="639" t="str" cm="1">
        <f t="array" ref="AW52">_xlfn.SINGLE(IF(ISERROR(_xll.FDSB($C$2,"FE_ESTIMATE(FCF,MEAN,QUARTERLY_ROLL,"&amp;AW$9&amp;","&amp;$C$5&amp;",,,'')")), "--", _xll.FDSB($C$2,"FE_ESTIMATE(FCF,MEAN,QUARTERLY_ROLL,"&amp;AW$9&amp;","&amp;$C$5&amp;",,,'')")))</f>
        <v/>
      </c>
      <c r="AX52" s="639" t="str" cm="1">
        <f t="array" ref="AX52">_xlfn.SINGLE(IF(ISERROR(_xll.FDSB($C$2,"FE_ESTIMATE(FCF,MEAN,QUARTERLY_ROLL,"&amp;AX$9&amp;","&amp;$C$5&amp;",,,'')")), "--", _xll.FDSB($C$2,"FE_ESTIMATE(FCF,MEAN,QUARTERLY_ROLL,"&amp;AX$9&amp;","&amp;$C$5&amp;",,,'')")))</f>
        <v/>
      </c>
      <c r="AY52" s="639" t="str" cm="1">
        <f t="array" ref="AY52">_xlfn.SINGLE(IF(ISERROR(_xll.FDSB($C$2,"FE_ESTIMATE(FCF,MEAN,QUARTERLY_ROLL,"&amp;AY$9&amp;","&amp;$C$5&amp;",,,'')")), "--", _xll.FDSB($C$2,"FE_ESTIMATE(FCF,MEAN,QUARTERLY_ROLL,"&amp;AY$9&amp;","&amp;$C$5&amp;",,,'')")))</f>
        <v/>
      </c>
      <c r="AZ52" s="639" t="str" cm="1">
        <f t="array" ref="AZ52">_xlfn.SINGLE(IF(ISERROR(_xll.FDSB($C$2,"FE_ESTIMATE(FCF,MEAN,QUARTERLY_ROLL,"&amp;AZ$9&amp;","&amp;$C$5&amp;",,,'')")), "--", _xll.FDSB($C$2,"FE_ESTIMATE(FCF,MEAN,QUARTERLY_ROLL,"&amp;AZ$9&amp;","&amp;$C$5&amp;",,,'')")))</f>
        <v/>
      </c>
      <c r="BA52" s="640" cm="1">
        <f t="array" ref="BA52">_xlfn.SINGLE(IF(ISERROR(_xll.FDSB($C$2,"FE_ESTIMATE(FCF,MEAN,ANNUAL_ROLL,"&amp;BA$9&amp;","&amp;$C$5&amp;",,,'')")), "--", _xll.FDSB($C$2,"FE_ESTIMATE(FCF,MEAN,ANNUAL_ROLL,"&amp;BA$9&amp;","&amp;$C$5&amp;",,,'')")))</f>
        <v>-4798.2209999999995</v>
      </c>
      <c r="BB52" s="639" t="str" cm="1">
        <f t="array" ref="BB52">_xlfn.SINGLE(IF(ISERROR(_xll.FDSB($C$2,"FE_ESTIMATE(FCF,MEAN,QUARTERLY_ROLL,"&amp;BB$9&amp;","&amp;$C$5&amp;",,,'')")), "--", _xll.FDSB($C$2,"FE_ESTIMATE(FCF,MEAN,QUARTERLY_ROLL,"&amp;BB$9&amp;","&amp;$C$5&amp;",,,'')")))</f>
        <v/>
      </c>
      <c r="BC52" s="639" t="str" cm="1">
        <f t="array" ref="BC52">_xlfn.SINGLE(IF(ISERROR(_xll.FDSB($C$2,"FE_ESTIMATE(FCF,MEAN,QUARTERLY_ROLL,"&amp;BC$9&amp;","&amp;$C$5&amp;",,,'')")), "--", _xll.FDSB($C$2,"FE_ESTIMATE(FCF,MEAN,QUARTERLY_ROLL,"&amp;BC$9&amp;","&amp;$C$5&amp;",,,'')")))</f>
        <v/>
      </c>
      <c r="BD52" s="639" t="str" cm="1">
        <f t="array" ref="BD52">_xlfn.SINGLE(IF(ISERROR(_xll.FDSB($C$2,"FE_ESTIMATE(FCF,MEAN,QUARTERLY_ROLL,"&amp;BD$9&amp;","&amp;$C$5&amp;",,,'')")), "--", _xll.FDSB($C$2,"FE_ESTIMATE(FCF,MEAN,QUARTERLY_ROLL,"&amp;BD$9&amp;","&amp;$C$5&amp;",,,'')")))</f>
        <v/>
      </c>
      <c r="BE52" s="639" t="str" cm="1">
        <f t="array" ref="BE52">_xlfn.SINGLE(IF(ISERROR(_xll.FDSB($C$2,"FE_ESTIMATE(FCF,MEAN,QUARTERLY_ROLL,"&amp;BE$9&amp;","&amp;$C$5&amp;",,,'')")), "--", _xll.FDSB($C$2,"FE_ESTIMATE(FCF,MEAN,QUARTERLY_ROLL,"&amp;BE$9&amp;","&amp;$C$5&amp;",,,'')")))</f>
        <v/>
      </c>
      <c r="BF52" s="640" cm="1">
        <f t="array" ref="BF52">_xlfn.SINGLE(IF(ISERROR(_xll.FDSB($C$2,"FE_ESTIMATE(FCF,MEAN,ANNUAL_ROLL,"&amp;BF$9&amp;","&amp;$C$5&amp;",,,'')")), "--", _xll.FDSB($C$2,"FE_ESTIMATE(FCF,MEAN,ANNUAL_ROLL,"&amp;BF$9&amp;","&amp;$C$5&amp;",,,'')")))</f>
        <v>-1840.0042000000001</v>
      </c>
      <c r="BG52" s="639" t="str" cm="1">
        <f t="array" ref="BG52">_xlfn.SINGLE(IF(ISERROR(_xll.FDSB($C$2,"FE_ESTIMATE(FCF,MEAN,QUARTERLY_ROLL,"&amp;BG$9&amp;","&amp;$C$5&amp;",,,'')")), "--", _xll.FDSB($C$2,"FE_ESTIMATE(FCF,MEAN,QUARTERLY_ROLL,"&amp;BG$9&amp;","&amp;$C$5&amp;",,,'')")))</f>
        <v/>
      </c>
      <c r="BH52" s="639" t="str" cm="1">
        <f t="array" ref="BH52">_xlfn.SINGLE(IF(ISERROR(_xll.FDSB($C$2,"FE_ESTIMATE(FCF,MEAN,QUARTERLY_ROLL,"&amp;BH$9&amp;","&amp;$C$5&amp;",,,'')")), "--", _xll.FDSB($C$2,"FE_ESTIMATE(FCF,MEAN,QUARTERLY_ROLL,"&amp;BH$9&amp;","&amp;$C$5&amp;",,,'')")))</f>
        <v/>
      </c>
      <c r="BI52" s="639" t="str" cm="1">
        <f t="array" ref="BI52">_xlfn.SINGLE(IF(ISERROR(_xll.FDSB($C$2,"FE_ESTIMATE(FCF,MEAN,QUARTERLY_ROLL,"&amp;BI$9&amp;","&amp;$C$5&amp;",,,'')")), "--", _xll.FDSB($C$2,"FE_ESTIMATE(FCF,MEAN,QUARTERLY_ROLL,"&amp;BI$9&amp;","&amp;$C$5&amp;",,,'')")))</f>
        <v/>
      </c>
      <c r="BJ52" s="639" t="str" cm="1">
        <f t="array" ref="BJ52">_xlfn.SINGLE(IF(ISERROR(_xll.FDSB($C$2,"FE_ESTIMATE(FCF,MEAN,QUARTERLY_ROLL,"&amp;BJ$9&amp;","&amp;$C$5&amp;",,,'')")), "--", _xll.FDSB($C$2,"FE_ESTIMATE(FCF,MEAN,QUARTERLY_ROLL,"&amp;BJ$9&amp;","&amp;$C$5&amp;",,,'')")))</f>
        <v/>
      </c>
      <c r="BK52" s="640" cm="1">
        <f t="array" ref="BK52">_xlfn.SINGLE(IF(ISERROR(_xll.FDSB($C$2,"FE_ESTIMATE(FCF,MEAN,ANNUAL_ROLL,"&amp;BK$9&amp;","&amp;$C$5&amp;",,,'')")), "--", _xll.FDSB($C$2,"FE_ESTIMATE(FCF,MEAN,ANNUAL_ROLL,"&amp;BK$9&amp;","&amp;$C$5&amp;",,,'')")))</f>
        <v>4661.55</v>
      </c>
    </row>
    <row r="53" spans="1:63" s="54" customFormat="1" ht="12.75" customHeight="1" outlineLevel="1">
      <c r="A53" s="62" t="s">
        <v>126</v>
      </c>
      <c r="B53" s="68" t="s">
        <v>31</v>
      </c>
      <c r="C53" s="68"/>
      <c r="D53" s="69"/>
      <c r="E53" s="69"/>
      <c r="F53" s="69"/>
      <c r="G53" s="69"/>
      <c r="H53" s="70"/>
      <c r="I53" s="69" t="str">
        <f t="shared" ref="I53:AN53" si="26">IFERROR(I52/D52-1,"")</f>
        <v/>
      </c>
      <c r="J53" s="69" t="str">
        <f t="shared" si="26"/>
        <v/>
      </c>
      <c r="K53" s="69" t="str">
        <f t="shared" si="26"/>
        <v/>
      </c>
      <c r="L53" s="69" t="str">
        <f t="shared" si="26"/>
        <v/>
      </c>
      <c r="M53" s="70" t="str">
        <f t="shared" si="26"/>
        <v/>
      </c>
      <c r="N53" s="69" t="str">
        <f t="shared" si="26"/>
        <v/>
      </c>
      <c r="O53" s="69" t="str">
        <f t="shared" si="26"/>
        <v/>
      </c>
      <c r="P53" s="69" t="str">
        <f t="shared" si="26"/>
        <v/>
      </c>
      <c r="Q53" s="69" t="str">
        <f t="shared" si="26"/>
        <v/>
      </c>
      <c r="R53" s="70" t="str">
        <f t="shared" si="26"/>
        <v/>
      </c>
      <c r="S53" s="69" t="str">
        <f t="shared" si="26"/>
        <v/>
      </c>
      <c r="T53" s="69" t="str">
        <f t="shared" si="26"/>
        <v/>
      </c>
      <c r="U53" s="69" t="str">
        <f t="shared" si="26"/>
        <v/>
      </c>
      <c r="V53" s="69" t="str">
        <f t="shared" si="26"/>
        <v/>
      </c>
      <c r="W53" s="70" t="str">
        <f t="shared" si="26"/>
        <v/>
      </c>
      <c r="X53" s="69" t="str">
        <f t="shared" si="26"/>
        <v/>
      </c>
      <c r="Y53" s="69" t="str">
        <f t="shared" si="26"/>
        <v/>
      </c>
      <c r="Z53" s="69" t="str">
        <f t="shared" si="26"/>
        <v/>
      </c>
      <c r="AA53" s="69" t="str">
        <f t="shared" si="26"/>
        <v/>
      </c>
      <c r="AB53" s="70" t="str">
        <f t="shared" si="26"/>
        <v/>
      </c>
      <c r="AC53" s="69" t="str">
        <f t="shared" si="26"/>
        <v/>
      </c>
      <c r="AD53" s="69" t="str">
        <f t="shared" si="26"/>
        <v/>
      </c>
      <c r="AE53" s="69" t="str">
        <f t="shared" si="26"/>
        <v/>
      </c>
      <c r="AF53" s="69" t="str">
        <f t="shared" si="26"/>
        <v/>
      </c>
      <c r="AG53" s="70" t="str">
        <f t="shared" si="26"/>
        <v/>
      </c>
      <c r="AH53" s="69" t="str">
        <f t="shared" si="26"/>
        <v/>
      </c>
      <c r="AI53" s="69" t="str">
        <f t="shared" si="26"/>
        <v/>
      </c>
      <c r="AJ53" s="69" t="str">
        <f t="shared" si="26"/>
        <v/>
      </c>
      <c r="AK53" s="69" t="str">
        <f t="shared" si="26"/>
        <v/>
      </c>
      <c r="AL53" s="70" t="str">
        <f t="shared" si="26"/>
        <v/>
      </c>
      <c r="AM53" s="69" t="str">
        <f t="shared" si="26"/>
        <v/>
      </c>
      <c r="AN53" s="69" t="str">
        <f t="shared" si="26"/>
        <v/>
      </c>
      <c r="AO53" s="69" t="str">
        <f t="shared" ref="AO53:BK53" si="27">IFERROR(AO52/AJ52-1,"")</f>
        <v/>
      </c>
      <c r="AP53" s="69">
        <f t="shared" si="27"/>
        <v>1.6838319907940162</v>
      </c>
      <c r="AQ53" s="70">
        <f t="shared" si="27"/>
        <v>1.7915497210346816</v>
      </c>
      <c r="AR53" s="69">
        <f t="shared" si="27"/>
        <v>1.0408618127786031</v>
      </c>
      <c r="AS53" s="69">
        <f t="shared" si="27"/>
        <v>-0.15263196140772006</v>
      </c>
      <c r="AT53" s="69">
        <f t="shared" si="27"/>
        <v>-0.28921799370277246</v>
      </c>
      <c r="AU53" s="69">
        <f t="shared" si="27"/>
        <v>-0.86107835780898268</v>
      </c>
      <c r="AV53" s="70">
        <f t="shared" si="27"/>
        <v>-0.36442507314384331</v>
      </c>
      <c r="AW53" s="69" t="str">
        <f t="shared" si="27"/>
        <v/>
      </c>
      <c r="AX53" s="69" t="str">
        <f t="shared" si="27"/>
        <v/>
      </c>
      <c r="AY53" s="69" t="str">
        <f t="shared" si="27"/>
        <v/>
      </c>
      <c r="AZ53" s="69" t="str">
        <f t="shared" si="27"/>
        <v/>
      </c>
      <c r="BA53" s="70">
        <f t="shared" si="27"/>
        <v>-0.54570672866534253</v>
      </c>
      <c r="BB53" s="69" t="str">
        <f t="shared" si="27"/>
        <v/>
      </c>
      <c r="BC53" s="69" t="str">
        <f t="shared" si="27"/>
        <v/>
      </c>
      <c r="BD53" s="69" t="str">
        <f t="shared" si="27"/>
        <v/>
      </c>
      <c r="BE53" s="69" t="str">
        <f t="shared" si="27"/>
        <v/>
      </c>
      <c r="BF53" s="70">
        <f t="shared" si="27"/>
        <v>-0.61652366575028528</v>
      </c>
      <c r="BG53" s="69" t="str">
        <f t="shared" si="27"/>
        <v/>
      </c>
      <c r="BH53" s="69" t="str">
        <f t="shared" si="27"/>
        <v/>
      </c>
      <c r="BI53" s="69" t="str">
        <f t="shared" si="27"/>
        <v/>
      </c>
      <c r="BJ53" s="69" t="str">
        <f t="shared" si="27"/>
        <v/>
      </c>
      <c r="BK53" s="70">
        <f t="shared" si="27"/>
        <v>-3.5334453040922407</v>
      </c>
    </row>
    <row r="54" spans="1:63" s="54" customFormat="1" ht="12.75" customHeight="1" outlineLevel="1">
      <c r="A54" s="62" t="s">
        <v>141</v>
      </c>
      <c r="B54" s="68" t="s">
        <v>33</v>
      </c>
      <c r="C54" s="68"/>
      <c r="D54" s="69"/>
      <c r="E54" s="69"/>
      <c r="F54" s="69"/>
      <c r="G54" s="69"/>
      <c r="H54" s="72"/>
      <c r="I54" s="69" t="str">
        <f>IFERROR(I52/G52-1,"")</f>
        <v/>
      </c>
      <c r="J54" s="69" t="str">
        <f>IFERROR(J52/I52-1,"")</f>
        <v/>
      </c>
      <c r="K54" s="69" t="str">
        <f>IFERROR(K52/J52-1,"")</f>
        <v/>
      </c>
      <c r="L54" s="69" t="str">
        <f>IFERROR(L52/K52-1,"")</f>
        <v/>
      </c>
      <c r="M54" s="72"/>
      <c r="N54" s="69" t="str">
        <f>IFERROR(N52/L52-1,"")</f>
        <v/>
      </c>
      <c r="O54" s="69" t="str">
        <f>IFERROR(O52/N52-1,"")</f>
        <v/>
      </c>
      <c r="P54" s="69" t="str">
        <f>IFERROR(P52/O52-1,"")</f>
        <v/>
      </c>
      <c r="Q54" s="69" t="str">
        <f>IFERROR(Q52/P52-1,"")</f>
        <v/>
      </c>
      <c r="R54" s="72"/>
      <c r="S54" s="69" t="str">
        <f>IFERROR(S52/Q52-1,"")</f>
        <v/>
      </c>
      <c r="T54" s="69" t="str">
        <f>IFERROR(T52/S52-1,"")</f>
        <v/>
      </c>
      <c r="U54" s="69" t="str">
        <f>IFERROR(U52/T52-1,"")</f>
        <v/>
      </c>
      <c r="V54" s="69" t="str">
        <f>IFERROR(V52/U52-1,"")</f>
        <v/>
      </c>
      <c r="W54" s="72"/>
      <c r="X54" s="69" t="str">
        <f>IFERROR(X52/V52-1,"")</f>
        <v/>
      </c>
      <c r="Y54" s="69" t="str">
        <f>IFERROR(Y52/X52-1,"")</f>
        <v/>
      </c>
      <c r="Z54" s="69" t="str">
        <f>IFERROR(Z52/Y52-1,"")</f>
        <v/>
      </c>
      <c r="AA54" s="69" t="str">
        <f>IFERROR(AA52/Z52-1,"")</f>
        <v/>
      </c>
      <c r="AB54" s="72"/>
      <c r="AC54" s="69" t="str">
        <f>IFERROR(AC52/AA52-1,"")</f>
        <v/>
      </c>
      <c r="AD54" s="69" t="str">
        <f>IFERROR(AD52/AC52-1,"")</f>
        <v/>
      </c>
      <c r="AE54" s="69" t="str">
        <f>IFERROR(AE52/AD52-1,"")</f>
        <v/>
      </c>
      <c r="AF54" s="69" t="str">
        <f>IFERROR(AF52/AE52-1,"")</f>
        <v/>
      </c>
      <c r="AG54" s="72"/>
      <c r="AH54" s="69" t="str">
        <f>IFERROR(AH52/AF52-1,"")</f>
        <v/>
      </c>
      <c r="AI54" s="69" t="str">
        <f>IFERROR(AI52/AH52-1,"")</f>
        <v/>
      </c>
      <c r="AJ54" s="69" t="str">
        <f>IFERROR(AJ52/AI52-1,"")</f>
        <v/>
      </c>
      <c r="AK54" s="69" t="str">
        <f>IFERROR(AK52/AJ52-1,"")</f>
        <v/>
      </c>
      <c r="AL54" s="72"/>
      <c r="AM54" s="69">
        <f>IFERROR(AM52/AK52-1,"")</f>
        <v>-0.61277330264672036</v>
      </c>
      <c r="AN54" s="69">
        <f>IFERROR(AN52/AM52-1,"")</f>
        <v>1.0682869985141159</v>
      </c>
      <c r="AO54" s="69">
        <f>IFERROR(AO52/AN52-1,"")</f>
        <v>-0.12402881798480636</v>
      </c>
      <c r="AP54" s="69">
        <f>IFERROR(AP52/AO52-1,"")</f>
        <v>2.8255106240650738</v>
      </c>
      <c r="AQ54" s="72"/>
      <c r="AR54" s="69">
        <f>IFERROR(AR52/AP52-1,"")</f>
        <v>-0.7055418587201201</v>
      </c>
      <c r="AS54" s="69">
        <f>IFERROR(AS52/AR52-1,"")</f>
        <v>-0.14124499453949768</v>
      </c>
      <c r="AT54" s="69">
        <f>IFERROR(AT52/AS52-1,"")</f>
        <v>-0.26522534972445955</v>
      </c>
      <c r="AU54" s="69">
        <f>IFERROR(AU52/AT52-1,"")</f>
        <v>-0.2523077210650877</v>
      </c>
      <c r="AV54" s="72"/>
      <c r="AW54" s="69" t="str">
        <f>IFERROR(AW52/AU52-1,"")</f>
        <v/>
      </c>
      <c r="AX54" s="69" t="str">
        <f>IFERROR(AX52/AW52-1,"")</f>
        <v/>
      </c>
      <c r="AY54" s="69" t="str">
        <f>IFERROR(AY52/AX52-1,"")</f>
        <v/>
      </c>
      <c r="AZ54" s="69" t="str">
        <f>IFERROR(AZ52/AY52-1,"")</f>
        <v/>
      </c>
      <c r="BA54" s="72"/>
      <c r="BB54" s="69" t="str">
        <f>IFERROR(BB52/AZ52-1,"")</f>
        <v/>
      </c>
      <c r="BC54" s="69" t="str">
        <f>IFERROR(BC52/BB52-1,"")</f>
        <v/>
      </c>
      <c r="BD54" s="69" t="str">
        <f>IFERROR(BD52/BC52-1,"")</f>
        <v/>
      </c>
      <c r="BE54" s="69" t="str">
        <f>IFERROR(BE52/BD52-1,"")</f>
        <v/>
      </c>
      <c r="BF54" s="72"/>
      <c r="BG54" s="69" t="str">
        <f>IFERROR(BG52/BE52-1,"")</f>
        <v/>
      </c>
      <c r="BH54" s="69" t="str">
        <f>IFERROR(BH52/BG52-1,"")</f>
        <v/>
      </c>
      <c r="BI54" s="69" t="str">
        <f>IFERROR(BI52/BH52-1,"")</f>
        <v/>
      </c>
      <c r="BJ54" s="69" t="str">
        <f>IFERROR(BJ52/BI52-1,"")</f>
        <v/>
      </c>
      <c r="BK54" s="72"/>
    </row>
    <row r="55" spans="1:63" s="54" customFormat="1" ht="12.75" customHeight="1" outlineLevel="1">
      <c r="A55" s="62" t="s">
        <v>120</v>
      </c>
      <c r="B55" s="68" t="s">
        <v>138</v>
      </c>
      <c r="C55" s="73"/>
      <c r="D55" s="69"/>
      <c r="E55" s="69"/>
      <c r="F55" s="69"/>
      <c r="G55" s="69"/>
      <c r="H55" s="74"/>
      <c r="I55" s="69" t="str">
        <f t="shared" ref="I55:AN55" si="28">IFERROR(I52/I12,"--")</f>
        <v>--</v>
      </c>
      <c r="J55" s="69" t="str">
        <f t="shared" si="28"/>
        <v>--</v>
      </c>
      <c r="K55" s="69" t="str">
        <f t="shared" si="28"/>
        <v>--</v>
      </c>
      <c r="L55" s="69" t="str">
        <f t="shared" si="28"/>
        <v>--</v>
      </c>
      <c r="M55" s="70" t="str">
        <f t="shared" si="28"/>
        <v>--</v>
      </c>
      <c r="N55" s="69" t="str">
        <f t="shared" si="28"/>
        <v>--</v>
      </c>
      <c r="O55" s="69" t="str">
        <f t="shared" si="28"/>
        <v>--</v>
      </c>
      <c r="P55" s="69" t="str">
        <f t="shared" si="28"/>
        <v>--</v>
      </c>
      <c r="Q55" s="69" t="str">
        <f t="shared" si="28"/>
        <v>--</v>
      </c>
      <c r="R55" s="70" t="str">
        <f t="shared" si="28"/>
        <v>--</v>
      </c>
      <c r="S55" s="69" t="str">
        <f t="shared" si="28"/>
        <v>--</v>
      </c>
      <c r="T55" s="69" t="str">
        <f t="shared" si="28"/>
        <v>--</v>
      </c>
      <c r="U55" s="69" t="str">
        <f t="shared" si="28"/>
        <v>--</v>
      </c>
      <c r="V55" s="69" t="str">
        <f t="shared" si="28"/>
        <v>--</v>
      </c>
      <c r="W55" s="70" t="str">
        <f t="shared" si="28"/>
        <v>--</v>
      </c>
      <c r="X55" s="69" t="str">
        <f t="shared" si="28"/>
        <v>--</v>
      </c>
      <c r="Y55" s="69" t="str">
        <f t="shared" si="28"/>
        <v>--</v>
      </c>
      <c r="Z55" s="69" t="str">
        <f t="shared" si="28"/>
        <v>--</v>
      </c>
      <c r="AA55" s="69" t="str">
        <f t="shared" si="28"/>
        <v>--</v>
      </c>
      <c r="AB55" s="70" t="str">
        <f t="shared" si="28"/>
        <v>--</v>
      </c>
      <c r="AC55" s="69" t="str">
        <f t="shared" si="28"/>
        <v>--</v>
      </c>
      <c r="AD55" s="69" t="str">
        <f t="shared" si="28"/>
        <v>--</v>
      </c>
      <c r="AE55" s="69" t="str">
        <f t="shared" si="28"/>
        <v>--</v>
      </c>
      <c r="AF55" s="69" t="str">
        <f t="shared" si="28"/>
        <v>--</v>
      </c>
      <c r="AG55" s="70" t="str">
        <f t="shared" si="28"/>
        <v>--</v>
      </c>
      <c r="AH55" s="69" t="str">
        <f t="shared" si="28"/>
        <v>--</v>
      </c>
      <c r="AI55" s="69" t="str">
        <f t="shared" si="28"/>
        <v>--</v>
      </c>
      <c r="AJ55" s="69" t="str">
        <f t="shared" si="28"/>
        <v>--</v>
      </c>
      <c r="AK55" s="69">
        <f t="shared" si="28"/>
        <v>-4.6515412177938318</v>
      </c>
      <c r="AL55" s="70">
        <f t="shared" si="28"/>
        <v>-3.108149364029515</v>
      </c>
      <c r="AM55" s="69">
        <f t="shared" si="28"/>
        <v>-1.3711859434085278</v>
      </c>
      <c r="AN55" s="69">
        <f t="shared" si="28"/>
        <v>-2.2954665613446044</v>
      </c>
      <c r="AO55" s="69">
        <f t="shared" ref="AO55:BK55" si="29">IFERROR(AO52/AO12,"--")</f>
        <v>-1.8951310718803893</v>
      </c>
      <c r="AP55" s="69">
        <f t="shared" si="29"/>
        <v>-5.196832901071665</v>
      </c>
      <c r="AQ55" s="70">
        <f t="shared" si="29"/>
        <v>-3.1430466839063906</v>
      </c>
      <c r="AR55" s="69">
        <f t="shared" si="29"/>
        <v>-1.0966552056150662</v>
      </c>
      <c r="AS55" s="69">
        <f t="shared" si="29"/>
        <v>-0.81218608267675596</v>
      </c>
      <c r="AT55" s="69">
        <f t="shared" si="29"/>
        <v>-0.55373826826988792</v>
      </c>
      <c r="AU55" s="69">
        <f t="shared" si="29"/>
        <v>-0.36873628441858741</v>
      </c>
      <c r="AV55" s="70">
        <f t="shared" si="29"/>
        <v>-0.8593293031488779</v>
      </c>
      <c r="AW55" s="69" t="str">
        <f t="shared" si="29"/>
        <v>--</v>
      </c>
      <c r="AX55" s="69" t="str">
        <f t="shared" si="29"/>
        <v>--</v>
      </c>
      <c r="AY55" s="69" t="str">
        <f t="shared" si="29"/>
        <v>--</v>
      </c>
      <c r="AZ55" s="69" t="str">
        <f t="shared" si="29"/>
        <v>--</v>
      </c>
      <c r="BA55" s="70">
        <f t="shared" si="29"/>
        <v>-0.25892300223096304</v>
      </c>
      <c r="BB55" s="69" t="str">
        <f t="shared" si="29"/>
        <v>--</v>
      </c>
      <c r="BC55" s="69" t="str">
        <f t="shared" si="29"/>
        <v>--</v>
      </c>
      <c r="BD55" s="69" t="str">
        <f t="shared" si="29"/>
        <v>--</v>
      </c>
      <c r="BE55" s="69" t="str">
        <f t="shared" si="29"/>
        <v>--</v>
      </c>
      <c r="BF55" s="70">
        <f t="shared" si="29"/>
        <v>-7.1221363077783928E-2</v>
      </c>
      <c r="BG55" s="69" t="str">
        <f t="shared" si="29"/>
        <v>--</v>
      </c>
      <c r="BH55" s="69" t="str">
        <f t="shared" si="29"/>
        <v>--</v>
      </c>
      <c r="BI55" s="69" t="str">
        <f t="shared" si="29"/>
        <v>--</v>
      </c>
      <c r="BJ55" s="69" t="str">
        <f t="shared" si="29"/>
        <v>--</v>
      </c>
      <c r="BK55" s="70">
        <f t="shared" si="29"/>
        <v>0.14567503082064959</v>
      </c>
    </row>
    <row r="56" spans="1:63" s="54" customFormat="1" ht="12.75" customHeight="1">
      <c r="A56" s="53"/>
      <c r="B56" s="68"/>
      <c r="C56" s="73"/>
      <c r="D56" s="69"/>
      <c r="E56" s="69"/>
      <c r="F56" s="69"/>
      <c r="G56" s="69"/>
      <c r="H56" s="74"/>
      <c r="I56" s="69"/>
      <c r="J56" s="69"/>
      <c r="K56" s="69"/>
      <c r="L56" s="69"/>
      <c r="M56" s="70"/>
      <c r="N56" s="69"/>
      <c r="O56" s="69"/>
      <c r="P56" s="69"/>
      <c r="Q56" s="69"/>
      <c r="R56" s="70"/>
      <c r="S56" s="69"/>
      <c r="T56" s="69"/>
      <c r="U56" s="69"/>
      <c r="V56" s="69"/>
      <c r="W56" s="70"/>
      <c r="X56" s="69"/>
      <c r="Y56" s="69"/>
      <c r="Z56" s="69"/>
      <c r="AA56" s="69"/>
      <c r="AB56" s="70"/>
      <c r="AC56" s="69"/>
      <c r="AD56" s="69"/>
      <c r="AE56" s="69"/>
      <c r="AF56" s="69"/>
      <c r="AG56" s="70"/>
      <c r="AH56" s="69"/>
      <c r="AI56" s="69"/>
      <c r="AJ56" s="69"/>
      <c r="AK56" s="69"/>
      <c r="AL56" s="70"/>
      <c r="AM56" s="69"/>
      <c r="AN56" s="69"/>
      <c r="AO56" s="69"/>
      <c r="AP56" s="69"/>
      <c r="AQ56" s="70"/>
      <c r="AR56" s="69"/>
      <c r="AS56" s="69"/>
      <c r="AT56" s="69"/>
      <c r="AU56" s="69"/>
      <c r="AV56" s="70"/>
      <c r="AW56" s="69"/>
      <c r="AX56" s="69"/>
      <c r="AY56" s="69"/>
      <c r="AZ56" s="69"/>
      <c r="BA56" s="70"/>
      <c r="BB56" s="69"/>
      <c r="BC56" s="69"/>
      <c r="BD56" s="69"/>
      <c r="BE56" s="69"/>
      <c r="BF56" s="70"/>
      <c r="BG56" s="69"/>
      <c r="BH56" s="69"/>
      <c r="BI56" s="69"/>
      <c r="BJ56" s="69"/>
      <c r="BK56" s="70"/>
    </row>
    <row r="57" spans="1:63" s="54" customFormat="1" ht="12.75" customHeight="1">
      <c r="A57" s="53"/>
      <c r="B57" s="42" t="s">
        <v>45</v>
      </c>
      <c r="C57" s="73"/>
      <c r="D57" s="69"/>
      <c r="E57" s="69"/>
      <c r="F57" s="69"/>
      <c r="G57" s="69"/>
      <c r="H57" s="74"/>
      <c r="I57" s="69"/>
      <c r="J57" s="69"/>
      <c r="K57" s="69"/>
      <c r="L57" s="69"/>
      <c r="M57" s="74"/>
      <c r="N57" s="69"/>
      <c r="O57" s="69"/>
      <c r="P57" s="69"/>
      <c r="Q57" s="69"/>
      <c r="R57" s="74"/>
      <c r="S57" s="69"/>
      <c r="T57" s="69"/>
      <c r="U57" s="69"/>
      <c r="V57" s="69"/>
      <c r="W57" s="74"/>
      <c r="X57" s="69"/>
      <c r="Y57" s="69"/>
      <c r="Z57" s="69"/>
      <c r="AA57" s="69"/>
      <c r="AB57" s="74"/>
      <c r="AC57" s="69"/>
      <c r="AD57" s="69"/>
      <c r="AE57" s="69"/>
      <c r="AF57" s="69"/>
      <c r="AG57" s="74"/>
      <c r="AH57" s="69"/>
      <c r="AI57" s="69"/>
      <c r="AJ57" s="69"/>
      <c r="AK57" s="69"/>
      <c r="AL57" s="74"/>
      <c r="AM57" s="69"/>
      <c r="AN57" s="69"/>
      <c r="AO57" s="69"/>
      <c r="AP57" s="69"/>
      <c r="AQ57" s="74"/>
      <c r="AR57" s="69"/>
      <c r="AS57" s="69"/>
      <c r="AT57" s="69"/>
      <c r="AU57" s="69"/>
      <c r="AV57" s="74"/>
      <c r="AW57" s="69"/>
      <c r="AX57" s="69"/>
      <c r="AY57" s="69"/>
      <c r="AZ57" s="69"/>
      <c r="BA57" s="74"/>
      <c r="BB57" s="69"/>
      <c r="BC57" s="69"/>
      <c r="BD57" s="69"/>
      <c r="BE57" s="69"/>
      <c r="BF57" s="74"/>
      <c r="BG57" s="69"/>
      <c r="BH57" s="69"/>
      <c r="BI57" s="69"/>
      <c r="BJ57" s="69"/>
      <c r="BK57" s="74"/>
    </row>
    <row r="58" spans="1:63" s="641" customFormat="1" ht="12.75" customHeight="1" outlineLevel="1">
      <c r="A58" s="636"/>
      <c r="B58" s="637" t="s">
        <v>46</v>
      </c>
      <c r="C58" s="638"/>
      <c r="D58" s="639"/>
      <c r="E58" s="639"/>
      <c r="F58" s="639"/>
      <c r="G58" s="639"/>
      <c r="H58" s="640"/>
      <c r="I58" s="639" t="str" cm="1">
        <f t="array" ref="I58">_xlfn.SINGLE(IF(ISERROR(_xll.FDS($C$2,"FE_ESTIMATE(DEFREVENUE_ST,MEAN,QUARTERLY_ROLL,"&amp;I$9&amp;","&amp;$C$5&amp;",,,'')")), "--", _xll.FDS($C$2,"FE_ESTIMATE(DEFREVENUE_ST,MEAN,QUARTERLY_ROLL,"&amp;I$9&amp;","&amp;$C$5&amp;",,,'')")))</f>
        <v>--</v>
      </c>
      <c r="J58" s="639" t="str" cm="1">
        <f t="array" ref="J58">_xlfn.SINGLE(IF(ISERROR(_xll.FDS($C$2,"FE_ESTIMATE(DEFREVENUE_ST,MEAN,QUARTERLY_ROLL,"&amp;J$9&amp;","&amp;$C$5&amp;",,,'')")), "--", _xll.FDS($C$2,"FE_ESTIMATE(DEFREVENUE_ST,MEAN,QUARTERLY_ROLL,"&amp;J$9&amp;","&amp;$C$5&amp;",,,'')")))</f>
        <v>--</v>
      </c>
      <c r="K58" s="639" t="str" cm="1">
        <f t="array" ref="K58">_xlfn.SINGLE(IF(ISERROR(_xll.FDS($C$2,"FE_ESTIMATE(DEFREVENUE_ST,MEAN,QUARTERLY_ROLL,"&amp;K$9&amp;","&amp;$C$5&amp;",,,'')")), "--", _xll.FDS($C$2,"FE_ESTIMATE(DEFREVENUE_ST,MEAN,QUARTERLY_ROLL,"&amp;K$9&amp;","&amp;$C$5&amp;",,,'')")))</f>
        <v>--</v>
      </c>
      <c r="L58" s="639" t="str" cm="1">
        <f t="array" ref="L58">_xlfn.SINGLE(IF(ISERROR(_xll.FDS($C$2,"FE_ESTIMATE(DEFREVENUE_ST,MEAN,QUARTERLY_ROLL,"&amp;L$9&amp;","&amp;$C$5&amp;",,,'')")), "--", _xll.FDS($C$2,"FE_ESTIMATE(DEFREVENUE_ST,MEAN,QUARTERLY_ROLL,"&amp;L$9&amp;","&amp;$C$5&amp;",,,'')")))</f>
        <v>--</v>
      </c>
      <c r="M58" s="640" t="str" cm="1">
        <f t="array" ref="M58">_xlfn.SINGLE(IF(ISERROR(_xll.FDS($C$2,"FE_ESTIMATE(DEFREVENUE_ST,MEAN,ANNUAL_ROLL,"&amp;M$9&amp;","&amp;$C$5&amp;",,,'')")), "--", _xll.FDS($C$2,"FE_ESTIMATE(DEFREVENUE_ST,MEAN,ANNUAL_ROLL,"&amp;M$9&amp;","&amp;$C$5&amp;",,,'')")))</f>
        <v>--</v>
      </c>
      <c r="N58" s="639" t="str" cm="1">
        <f t="array" ref="N58">_xlfn.SINGLE(IF(ISERROR(_xll.FDS($C$2,"FE_ESTIMATE(DEFREVENUE_ST,MEAN,QUARTERLY_ROLL,"&amp;N$9&amp;","&amp;$C$5&amp;",,,'')")), "--", _xll.FDS($C$2,"FE_ESTIMATE(DEFREVENUE_ST,MEAN,QUARTERLY_ROLL,"&amp;N$9&amp;","&amp;$C$5&amp;",,,'')")))</f>
        <v>--</v>
      </c>
      <c r="O58" s="639" t="str" cm="1">
        <f t="array" ref="O58">_xlfn.SINGLE(IF(ISERROR(_xll.FDS($C$2,"FE_ESTIMATE(DEFREVENUE_ST,MEAN,QUARTERLY_ROLL,"&amp;O$9&amp;","&amp;$C$5&amp;",,,'')")), "--", _xll.FDS($C$2,"FE_ESTIMATE(DEFREVENUE_ST,MEAN,QUARTERLY_ROLL,"&amp;O$9&amp;","&amp;$C$5&amp;",,,'')")))</f>
        <v>--</v>
      </c>
      <c r="P58" s="639" t="str" cm="1">
        <f t="array" ref="P58">_xlfn.SINGLE(IF(ISERROR(_xll.FDS($C$2,"FE_ESTIMATE(DEFREVENUE_ST,MEAN,QUARTERLY_ROLL,"&amp;P$9&amp;","&amp;$C$5&amp;",,,'')")), "--", _xll.FDS($C$2,"FE_ESTIMATE(DEFREVENUE_ST,MEAN,QUARTERLY_ROLL,"&amp;P$9&amp;","&amp;$C$5&amp;",,,'')")))</f>
        <v>--</v>
      </c>
      <c r="Q58" s="639" t="str" cm="1">
        <f t="array" ref="Q58">_xlfn.SINGLE(IF(ISERROR(_xll.FDS($C$2,"FE_ESTIMATE(DEFREVENUE_ST,MEAN,QUARTERLY_ROLL,"&amp;Q$9&amp;","&amp;$C$5&amp;",,,'')")), "--", _xll.FDS($C$2,"FE_ESTIMATE(DEFREVENUE_ST,MEAN,QUARTERLY_ROLL,"&amp;Q$9&amp;","&amp;$C$5&amp;",,,'')")))</f>
        <v>--</v>
      </c>
      <c r="R58" s="640" t="str" cm="1">
        <f t="array" ref="R58">_xlfn.SINGLE(IF(ISERROR(_xll.FDS($C$2,"FE_ESTIMATE(DEFREVENUE_ST,MEAN,ANNUAL_ROLL,"&amp;R$9&amp;","&amp;$C$5&amp;",,,'')")), "--", _xll.FDS($C$2,"FE_ESTIMATE(DEFREVENUE_ST,MEAN,ANNUAL_ROLL,"&amp;R$9&amp;","&amp;$C$5&amp;",,,'')")))</f>
        <v>--</v>
      </c>
      <c r="S58" s="639" t="str" cm="1">
        <f t="array" ref="S58">_xlfn.SINGLE(IF(ISERROR(_xll.FDS($C$2,"FE_ESTIMATE(DEFREVENUE_ST,MEAN,QUARTERLY_ROLL,"&amp;S$9&amp;","&amp;$C$5&amp;",,,'')")), "--", _xll.FDS($C$2,"FE_ESTIMATE(DEFREVENUE_ST,MEAN,QUARTERLY_ROLL,"&amp;S$9&amp;","&amp;$C$5&amp;",,,'')")))</f>
        <v>--</v>
      </c>
      <c r="T58" s="639" t="str" cm="1">
        <f t="array" ref="T58">_xlfn.SINGLE(IF(ISERROR(_xll.FDS($C$2,"FE_ESTIMATE(DEFREVENUE_ST,MEAN,QUARTERLY_ROLL,"&amp;T$9&amp;","&amp;$C$5&amp;",,,'')")), "--", _xll.FDS($C$2,"FE_ESTIMATE(DEFREVENUE_ST,MEAN,QUARTERLY_ROLL,"&amp;T$9&amp;","&amp;$C$5&amp;",,,'')")))</f>
        <v>--</v>
      </c>
      <c r="U58" s="639" t="str" cm="1">
        <f t="array" ref="U58">_xlfn.SINGLE(IF(ISERROR(_xll.FDS($C$2,"FE_ESTIMATE(DEFREVENUE_ST,MEAN,QUARTERLY_ROLL,"&amp;U$9&amp;","&amp;$C$5&amp;",,,'')")), "--", _xll.FDS($C$2,"FE_ESTIMATE(DEFREVENUE_ST,MEAN,QUARTERLY_ROLL,"&amp;U$9&amp;","&amp;$C$5&amp;",,,'')")))</f>
        <v>--</v>
      </c>
      <c r="V58" s="639" t="str" cm="1">
        <f t="array" ref="V58">_xlfn.SINGLE(IF(ISERROR(_xll.FDS($C$2,"FE_ESTIMATE(DEFREVENUE_ST,MEAN,QUARTERLY_ROLL,"&amp;V$9&amp;","&amp;$C$5&amp;",,,'')")), "--", _xll.FDS($C$2,"FE_ESTIMATE(DEFREVENUE_ST,MEAN,QUARTERLY_ROLL,"&amp;V$9&amp;","&amp;$C$5&amp;",,,'')")))</f>
        <v>--</v>
      </c>
      <c r="W58" s="640" t="str" cm="1">
        <f t="array" ref="W58">_xlfn.SINGLE(IF(ISERROR(_xll.FDS($C$2,"FE_ESTIMATE(DEFREVENUE_ST,MEAN,ANNUAL_ROLL,"&amp;W$9&amp;","&amp;$C$5&amp;",,,'')")), "--", _xll.FDS($C$2,"FE_ESTIMATE(DEFREVENUE_ST,MEAN,ANNUAL_ROLL,"&amp;W$9&amp;","&amp;$C$5&amp;",,,'')")))</f>
        <v>--</v>
      </c>
      <c r="X58" s="639" t="str" cm="1">
        <f t="array" ref="X58">_xlfn.SINGLE(IF(ISERROR(_xll.FDS($C$2,"FE_ESTIMATE(DEFREVENUE_ST,MEAN,QUARTERLY_ROLL,"&amp;X$9&amp;","&amp;$C$5&amp;",,,'')")), "--", _xll.FDS($C$2,"FE_ESTIMATE(DEFREVENUE_ST,MEAN,QUARTERLY_ROLL,"&amp;X$9&amp;","&amp;$C$5&amp;",,,'')")))</f>
        <v>--</v>
      </c>
      <c r="Y58" s="639" t="str" cm="1">
        <f t="array" ref="Y58">_xlfn.SINGLE(IF(ISERROR(_xll.FDS($C$2,"FE_ESTIMATE(DEFREVENUE_ST,MEAN,QUARTERLY_ROLL,"&amp;Y$9&amp;","&amp;$C$5&amp;",,,'')")), "--", _xll.FDS($C$2,"FE_ESTIMATE(DEFREVENUE_ST,MEAN,QUARTERLY_ROLL,"&amp;Y$9&amp;","&amp;$C$5&amp;",,,'')")))</f>
        <v>--</v>
      </c>
      <c r="Z58" s="639" t="str" cm="1">
        <f t="array" ref="Z58">_xlfn.SINGLE(IF(ISERROR(_xll.FDS($C$2,"FE_ESTIMATE(DEFREVENUE_ST,MEAN,QUARTERLY_ROLL,"&amp;Z$9&amp;","&amp;$C$5&amp;",,,'')")), "--", _xll.FDS($C$2,"FE_ESTIMATE(DEFREVENUE_ST,MEAN,QUARTERLY_ROLL,"&amp;Z$9&amp;","&amp;$C$5&amp;",,,'')")))</f>
        <v>--</v>
      </c>
      <c r="AA58" s="639" t="str" cm="1">
        <f t="array" ref="AA58">_xlfn.SINGLE(IF(ISERROR(_xll.FDS($C$2,"FE_ESTIMATE(DEFREVENUE_ST,MEAN,QUARTERLY_ROLL,"&amp;AA$9&amp;","&amp;$C$5&amp;",,,'')")), "--", _xll.FDS($C$2,"FE_ESTIMATE(DEFREVENUE_ST,MEAN,QUARTERLY_ROLL,"&amp;AA$9&amp;","&amp;$C$5&amp;",,,'')")))</f>
        <v>--</v>
      </c>
      <c r="AB58" s="640" t="str" cm="1">
        <f t="array" ref="AB58">_xlfn.SINGLE(IF(ISERROR(_xll.FDS($C$2,"FE_ESTIMATE(DEFREVENUE_ST,MEAN,ANNUAL_ROLL,"&amp;AB$9&amp;","&amp;$C$5&amp;",,,'')")), "--", _xll.FDS($C$2,"FE_ESTIMATE(DEFREVENUE_ST,MEAN,ANNUAL_ROLL,"&amp;AB$9&amp;","&amp;$C$5&amp;",,,'')")))</f>
        <v>--</v>
      </c>
      <c r="AC58" s="639" t="str" cm="1">
        <f t="array" ref="AC58">_xlfn.SINGLE(IF(ISERROR(_xll.FDS($C$2,"FE_ESTIMATE(DEFREVENUE_ST,MEAN,QUARTERLY_ROLL,"&amp;AC$9&amp;","&amp;$C$5&amp;",,,'')")), "--", _xll.FDS($C$2,"FE_ESTIMATE(DEFREVENUE_ST,MEAN,QUARTERLY_ROLL,"&amp;AC$9&amp;","&amp;$C$5&amp;",,,'')")))</f>
        <v>--</v>
      </c>
      <c r="AD58" s="639" t="str" cm="1">
        <f t="array" ref="AD58">_xlfn.SINGLE(IF(ISERROR(_xll.FDS($C$2,"FE_ESTIMATE(DEFREVENUE_ST,MEAN,QUARTERLY_ROLL,"&amp;AD$9&amp;","&amp;$C$5&amp;",,,'')")), "--", _xll.FDS($C$2,"FE_ESTIMATE(DEFREVENUE_ST,MEAN,QUARTERLY_ROLL,"&amp;AD$9&amp;","&amp;$C$5&amp;",,,'')")))</f>
        <v>--</v>
      </c>
      <c r="AE58" s="639" t="str" cm="1">
        <f t="array" ref="AE58">_xlfn.SINGLE(IF(ISERROR(_xll.FDS($C$2,"FE_ESTIMATE(DEFREVENUE_ST,MEAN,QUARTERLY_ROLL,"&amp;AE$9&amp;","&amp;$C$5&amp;",,,'')")), "--", _xll.FDS($C$2,"FE_ESTIMATE(DEFREVENUE_ST,MEAN,QUARTERLY_ROLL,"&amp;AE$9&amp;","&amp;$C$5&amp;",,,'')")))</f>
        <v>--</v>
      </c>
      <c r="AF58" s="639" t="str" cm="1">
        <f t="array" ref="AF58">_xlfn.SINGLE(IF(ISERROR(_xll.FDS($C$2,"FE_ESTIMATE(DEFREVENUE_ST,MEAN,QUARTERLY_ROLL,"&amp;AF$9&amp;","&amp;$C$5&amp;",,,'')")), "--", _xll.FDS($C$2,"FE_ESTIMATE(DEFREVENUE_ST,MEAN,QUARTERLY_ROLL,"&amp;AF$9&amp;","&amp;$C$5&amp;",,,'')")))</f>
        <v>--</v>
      </c>
      <c r="AG58" s="640" t="str" cm="1">
        <f t="array" ref="AG58">_xlfn.SINGLE(IF(ISERROR(_xll.FDS($C$2,"FE_ESTIMATE(DEFREVENUE_ST,MEAN,ANNUAL_ROLL,"&amp;AG$9&amp;","&amp;$C$5&amp;",,,'')")), "--", _xll.FDS($C$2,"FE_ESTIMATE(DEFREVENUE_ST,MEAN,ANNUAL_ROLL,"&amp;AG$9&amp;","&amp;$C$5&amp;",,,'')")))</f>
        <v>--</v>
      </c>
      <c r="AH58" s="639" t="str" cm="1">
        <f t="array" ref="AH58">_xlfn.SINGLE(IF(ISERROR(_xll.FDS($C$2,"FE_ESTIMATE(DEFREVENUE_ST,MEAN,QUARTERLY_ROLL,"&amp;AH$9&amp;","&amp;$C$5&amp;",,,'')")), "--", _xll.FDS($C$2,"FE_ESTIMATE(DEFREVENUE_ST,MEAN,QUARTERLY_ROLL,"&amp;AH$9&amp;","&amp;$C$5&amp;",,,'')")))</f>
        <v>--</v>
      </c>
      <c r="AI58" s="639" t="str" cm="1">
        <f t="array" ref="AI58">_xlfn.SINGLE(IF(ISERROR(_xll.FDS($C$2,"FE_ESTIMATE(DEFREVENUE_ST,MEAN,QUARTERLY_ROLL,"&amp;AI$9&amp;","&amp;$C$5&amp;",,,'')")), "--", _xll.FDS($C$2,"FE_ESTIMATE(DEFREVENUE_ST,MEAN,QUARTERLY_ROLL,"&amp;AI$9&amp;","&amp;$C$5&amp;",,,'')")))</f>
        <v>--</v>
      </c>
      <c r="AJ58" s="639" t="str" cm="1">
        <f t="array" ref="AJ58">_xlfn.SINGLE(IF(ISERROR(_xll.FDS($C$2,"FE_ESTIMATE(DEFREVENUE_ST,MEAN,QUARTERLY_ROLL,"&amp;AJ$9&amp;","&amp;$C$5&amp;",,,'')")), "--", _xll.FDS($C$2,"FE_ESTIMATE(DEFREVENUE_ST,MEAN,QUARTERLY_ROLL,"&amp;AJ$9&amp;","&amp;$C$5&amp;",,,'')")))</f>
        <v>--</v>
      </c>
      <c r="AK58" s="639" cm="1">
        <f t="array" ref="AK58">_xlfn.SINGLE(IF(ISERROR(_xll.FDS($C$2,"FE_ESTIMATE(DEFREVENUE_ST,MEAN,QUARTERLY_ROLL,"&amp;AK$9&amp;","&amp;$C$5&amp;",,,'')")), "--", _xll.FDS($C$2,"FE_ESTIMATE(DEFREVENUE_ST,MEAN,QUARTERLY_ROLL,"&amp;AK$9&amp;","&amp;$C$5&amp;",,,'')")))</f>
        <v>768.9443</v>
      </c>
      <c r="AL58" s="640" cm="1">
        <f t="array" ref="AL58">_xlfn.SINGLE(IF(ISERROR(_xll.FDS($C$2,"FE_ESTIMATE(DEFREVENUE_ST,MEAN,ANNUAL_ROLL,"&amp;AL$9&amp;","&amp;$C$5&amp;",,,'')")), "--", _xll.FDS($C$2,"FE_ESTIMATE(DEFREVENUE_ST,MEAN,ANNUAL_ROLL,"&amp;AL$9&amp;","&amp;$C$5&amp;",,,'')")))</f>
        <v>768.9443</v>
      </c>
      <c r="AM58" s="639" cm="1">
        <f t="array" ref="AM58">_xlfn.SINGLE(IF(ISERROR(_xll.FDS($C$2,"FE_ESTIMATE(DEFREVENUE_ST,MEAN,QUARTERLY_ROLL,"&amp;AM$9&amp;","&amp;$C$5&amp;",,,'')")), "--", _xll.FDS($C$2,"FE_ESTIMATE(DEFREVENUE_ST,MEAN,QUARTERLY_ROLL,"&amp;AM$9&amp;","&amp;$C$5&amp;",,,'')")))</f>
        <v>436.76499999999999</v>
      </c>
      <c r="AN58" s="639" cm="1">
        <f t="array" ref="AN58">_xlfn.SINGLE(IF(ISERROR(_xll.FDS($C$2,"FE_ESTIMATE(DEFREVENUE_ST,MEAN,QUARTERLY_ROLL,"&amp;AN$9&amp;","&amp;$C$5&amp;",,,'')")), "--", _xll.FDS($C$2,"FE_ESTIMATE(DEFREVENUE_ST,MEAN,QUARTERLY_ROLL,"&amp;AN$9&amp;","&amp;$C$5&amp;",,,'')")))</f>
        <v>951.18920000000003</v>
      </c>
      <c r="AO58" s="639" cm="1">
        <f t="array" ref="AO58">_xlfn.SINGLE(IF(ISERROR(_xll.FDS($C$2,"FE_ESTIMATE(DEFREVENUE_ST,MEAN,QUARTERLY_ROLL,"&amp;AO$9&amp;","&amp;$C$5&amp;",,,'')")), "--", _xll.FDS($C$2,"FE_ESTIMATE(DEFREVENUE_ST,MEAN,QUARTERLY_ROLL,"&amp;AO$9&amp;","&amp;$C$5&amp;",,,'')")))</f>
        <v>925.48260000000005</v>
      </c>
      <c r="AP58" s="639" cm="1">
        <f t="array" ref="AP58">_xlfn.SINGLE(IF(ISERROR(_xll.FDS($C$2,"FE_ESTIMATE(DEFREVENUE_ST,MEAN,QUARTERLY_ROLL,"&amp;AP$9&amp;","&amp;$C$5&amp;",,,'')")), "--", _xll.FDS($C$2,"FE_ESTIMATE(DEFREVENUE_ST,MEAN,QUARTERLY_ROLL,"&amp;AP$9&amp;","&amp;$C$5&amp;",,,'')")))</f>
        <v>1110.0409999999999</v>
      </c>
      <c r="AQ58" s="640" cm="1">
        <f t="array" ref="AQ58">_xlfn.SINGLE(IF(ISERROR(_xll.FDS($C$2,"FE_ESTIMATE(DEFREVENUE_ST,MEAN,ANNUAL_ROLL,"&amp;AQ$9&amp;","&amp;$C$5&amp;",,,'')")), "--", _xll.FDS($C$2,"FE_ESTIMATE(DEFREVENUE_ST,MEAN,ANNUAL_ROLL,"&amp;AQ$9&amp;","&amp;$C$5&amp;",,,'')")))</f>
        <v>1110.0409999999999</v>
      </c>
      <c r="AR58" s="639" cm="1">
        <f t="array" ref="AR58">_xlfn.SINGLE(IF(ISERROR(_xll.FDS($C$2,"FE_ESTIMATE(DEFREVENUE_ST,MEAN,QUARTERLY_ROLL,"&amp;AR$9&amp;","&amp;$C$5&amp;",,,'')")), "--", _xll.FDS($C$2,"FE_ESTIMATE(DEFREVENUE_ST,MEAN,QUARTERLY_ROLL,"&amp;AR$9&amp;","&amp;$C$5&amp;",,,'')")))</f>
        <v>1532.4704999999999</v>
      </c>
      <c r="AS58" s="639" cm="1">
        <f t="array" ref="AS58">_xlfn.SINGLE(IF(ISERROR(_xll.FDS($C$2,"FE_ESTIMATE(DEFREVENUE_ST,MEAN,QUARTERLY_ROLL,"&amp;AS$9&amp;","&amp;$C$5&amp;",,,'')")), "--", _xll.FDS($C$2,"FE_ESTIMATE(DEFREVENUE_ST,MEAN,QUARTERLY_ROLL,"&amp;AS$9&amp;","&amp;$C$5&amp;",,,'')")))</f>
        <v>1776.3634</v>
      </c>
      <c r="AT58" s="639" cm="1">
        <f t="array" ref="AT58">_xlfn.SINGLE(IF(ISERROR(_xll.FDS($C$2,"FE_ESTIMATE(DEFREVENUE_ST,MEAN,QUARTERLY_ROLL,"&amp;AT$9&amp;","&amp;$C$5&amp;",,,'')")), "--", _xll.FDS($C$2,"FE_ESTIMATE(DEFREVENUE_ST,MEAN,QUARTERLY_ROLL,"&amp;AT$9&amp;","&amp;$C$5&amp;",,,'')")))</f>
        <v>2012.8602000000001</v>
      </c>
      <c r="AU58" s="639" cm="1">
        <f t="array" ref="AU58">_xlfn.SINGLE(IF(ISERROR(_xll.FDS($C$2,"FE_ESTIMATE(DEFREVENUE_ST,MEAN,QUARTERLY_ROLL,"&amp;AU$9&amp;","&amp;$C$5&amp;",,,'')")), "--", _xll.FDS($C$2,"FE_ESTIMATE(DEFREVENUE_ST,MEAN,QUARTERLY_ROLL,"&amp;AU$9&amp;","&amp;$C$5&amp;",,,'')")))</f>
        <v>2224.2013999999999</v>
      </c>
      <c r="AV58" s="640" cm="1">
        <f t="array" ref="AV58">_xlfn.SINGLE(IF(ISERROR(_xll.FDS($C$2,"FE_ESTIMATE(DEFREVENUE_ST,MEAN,ANNUAL_ROLL,"&amp;AV$9&amp;","&amp;$C$5&amp;",,,'')")), "--", _xll.FDS($C$2,"FE_ESTIMATE(DEFREVENUE_ST,MEAN,ANNUAL_ROLL,"&amp;AV$9&amp;","&amp;$C$5&amp;",,,'')")))</f>
        <v>2224.2013999999999</v>
      </c>
      <c r="AW58" s="639" cm="1">
        <f t="array" ref="AW58">_xlfn.SINGLE(IF(ISERROR(_xll.FDS($C$2,"FE_ESTIMATE(DEFREVENUE_ST,MEAN,QUARTERLY_ROLL,"&amp;AW$9&amp;","&amp;$C$5&amp;",,,'')")), "--", _xll.FDS($C$2,"FE_ESTIMATE(DEFREVENUE_ST,MEAN,QUARTERLY_ROLL,"&amp;AW$9&amp;","&amp;$C$5&amp;",,,'')")))</f>
        <v>1546.7</v>
      </c>
      <c r="AX58" s="639" cm="1">
        <f t="array" ref="AX58">_xlfn.SINGLE(IF(ISERROR(_xll.FDS($C$2,"FE_ESTIMATE(DEFREVENUE_ST,MEAN,QUARTERLY_ROLL,"&amp;AX$9&amp;","&amp;$C$5&amp;",,,'')")), "--", _xll.FDS($C$2,"FE_ESTIMATE(DEFREVENUE_ST,MEAN,QUARTERLY_ROLL,"&amp;AX$9&amp;","&amp;$C$5&amp;",,,'')")))</f>
        <v>1647.9</v>
      </c>
      <c r="AY58" s="639" cm="1">
        <f t="array" ref="AY58">_xlfn.SINGLE(IF(ISERROR(_xll.FDS($C$2,"FE_ESTIMATE(DEFREVENUE_ST,MEAN,QUARTERLY_ROLL,"&amp;AY$9&amp;","&amp;$C$5&amp;",,,'')")), "--", _xll.FDS($C$2,"FE_ESTIMATE(DEFREVENUE_ST,MEAN,QUARTERLY_ROLL,"&amp;AY$9&amp;","&amp;$C$5&amp;",,,'')")))</f>
        <v>1749.1</v>
      </c>
      <c r="AZ58" s="639" cm="1">
        <f t="array" ref="AZ58">_xlfn.SINGLE(IF(ISERROR(_xll.FDS($C$2,"FE_ESTIMATE(DEFREVENUE_ST,MEAN,QUARTERLY_ROLL,"&amp;AZ$9&amp;","&amp;$C$5&amp;",,,'')")), "--", _xll.FDS($C$2,"FE_ESTIMATE(DEFREVENUE_ST,MEAN,QUARTERLY_ROLL,"&amp;AZ$9&amp;","&amp;$C$5&amp;",,,'')")))</f>
        <v>1850.3</v>
      </c>
      <c r="BA58" s="640" cm="1">
        <f t="array" ref="BA58">_xlfn.SINGLE(IF(ISERROR(_xll.FDS($C$2,"FE_ESTIMATE(DEFREVENUE_ST,MEAN,ANNUAL_ROLL,"&amp;BA$9&amp;","&amp;$C$5&amp;",,,'')")), "--", _xll.FDS($C$2,"FE_ESTIMATE(DEFREVENUE_ST,MEAN,ANNUAL_ROLL,"&amp;BA$9&amp;","&amp;$C$5&amp;",,,'')")))</f>
        <v>2370.9</v>
      </c>
      <c r="BB58" s="639" t="str" cm="1">
        <f t="array" ref="BB58">_xlfn.SINGLE(IF(ISERROR(_xll.FDS($C$2,"FE_ESTIMATE(DEFREVENUE_ST,MEAN,QUARTERLY_ROLL,"&amp;BB$9&amp;","&amp;$C$5&amp;",,,'')")), "--", _xll.FDS($C$2,"FE_ESTIMATE(DEFREVENUE_ST,MEAN,QUARTERLY_ROLL,"&amp;BB$9&amp;","&amp;$C$5&amp;",,,'')")))</f>
        <v>--</v>
      </c>
      <c r="BC58" s="639" t="str" cm="1">
        <f t="array" ref="BC58">_xlfn.SINGLE(IF(ISERROR(_xll.FDS($C$2,"FE_ESTIMATE(DEFREVENUE_ST,MEAN,QUARTERLY_ROLL,"&amp;BC$9&amp;","&amp;$C$5&amp;",,,'')")), "--", _xll.FDS($C$2,"FE_ESTIMATE(DEFREVENUE_ST,MEAN,QUARTERLY_ROLL,"&amp;BC$9&amp;","&amp;$C$5&amp;",,,'')")))</f>
        <v>--</v>
      </c>
      <c r="BD58" s="639" t="str" cm="1">
        <f t="array" ref="BD58">_xlfn.SINGLE(IF(ISERROR(_xll.FDS($C$2,"FE_ESTIMATE(DEFREVENUE_ST,MEAN,QUARTERLY_ROLL,"&amp;BD$9&amp;","&amp;$C$5&amp;",,,'')")), "--", _xll.FDS($C$2,"FE_ESTIMATE(DEFREVENUE_ST,MEAN,QUARTERLY_ROLL,"&amp;BD$9&amp;","&amp;$C$5&amp;",,,'')")))</f>
        <v>--</v>
      </c>
      <c r="BE58" s="639" t="str" cm="1">
        <f t="array" ref="BE58">_xlfn.SINGLE(IF(ISERROR(_xll.FDS($C$2,"FE_ESTIMATE(DEFREVENUE_ST,MEAN,QUARTERLY_ROLL,"&amp;BE$9&amp;","&amp;$C$5&amp;",,,'')")), "--", _xll.FDS($C$2,"FE_ESTIMATE(DEFREVENUE_ST,MEAN,QUARTERLY_ROLL,"&amp;BE$9&amp;","&amp;$C$5&amp;",,,'')")))</f>
        <v>--</v>
      </c>
      <c r="BF58" s="640" t="str" cm="1">
        <f t="array" ref="BF58">_xlfn.SINGLE(IF(ISERROR(_xll.FDS($C$2,"FE_ESTIMATE(DEFREVENUE_ST,MEAN,ANNUAL_ROLL,"&amp;BF$9&amp;","&amp;$C$5&amp;",,,'')")), "--", _xll.FDS($C$2,"FE_ESTIMATE(DEFREVENUE_ST,MEAN,ANNUAL_ROLL,"&amp;BF$9&amp;","&amp;$C$5&amp;",,,'')")))</f>
        <v>--</v>
      </c>
      <c r="BG58" s="639" t="str" cm="1">
        <f t="array" ref="BG58">_xlfn.SINGLE(IF(ISERROR(_xll.FDS($C$2,"FE_ESTIMATE(DEFREVENUE_ST,MEAN,QUARTERLY_ROLL,"&amp;BG$9&amp;","&amp;$C$5&amp;",,,'')")), "--", _xll.FDS($C$2,"FE_ESTIMATE(DEFREVENUE_ST,MEAN,QUARTERLY_ROLL,"&amp;BG$9&amp;","&amp;$C$5&amp;",,,'')")))</f>
        <v>--</v>
      </c>
      <c r="BH58" s="639" t="str" cm="1">
        <f t="array" ref="BH58">_xlfn.SINGLE(IF(ISERROR(_xll.FDS($C$2,"FE_ESTIMATE(DEFREVENUE_ST,MEAN,QUARTERLY_ROLL,"&amp;BH$9&amp;","&amp;$C$5&amp;",,,'')")), "--", _xll.FDS($C$2,"FE_ESTIMATE(DEFREVENUE_ST,MEAN,QUARTERLY_ROLL,"&amp;BH$9&amp;","&amp;$C$5&amp;",,,'')")))</f>
        <v>--</v>
      </c>
      <c r="BI58" s="639" t="str" cm="1">
        <f t="array" ref="BI58">_xlfn.SINGLE(IF(ISERROR(_xll.FDS($C$2,"FE_ESTIMATE(DEFREVENUE_ST,MEAN,QUARTERLY_ROLL,"&amp;BI$9&amp;","&amp;$C$5&amp;",,,'')")), "--", _xll.FDS($C$2,"FE_ESTIMATE(DEFREVENUE_ST,MEAN,QUARTERLY_ROLL,"&amp;BI$9&amp;","&amp;$C$5&amp;",,,'')")))</f>
        <v>--</v>
      </c>
      <c r="BJ58" s="639" t="str" cm="1">
        <f t="array" ref="BJ58">_xlfn.SINGLE(IF(ISERROR(_xll.FDS($C$2,"FE_ESTIMATE(DEFREVENUE_ST,MEAN,QUARTERLY_ROLL,"&amp;BJ$9&amp;","&amp;$C$5&amp;",,,'')")), "--", _xll.FDS($C$2,"FE_ESTIMATE(DEFREVENUE_ST,MEAN,QUARTERLY_ROLL,"&amp;BJ$9&amp;","&amp;$C$5&amp;",,,'')")))</f>
        <v>--</v>
      </c>
      <c r="BK58" s="640" t="str" cm="1">
        <f t="array" ref="BK58">_xlfn.SINGLE(IF(ISERROR(_xll.FDS($C$2,"FE_ESTIMATE(DEFREVENUE_ST,MEAN,ANNUAL_ROLL,"&amp;BK$9&amp;","&amp;$C$5&amp;",,,'')")), "--", _xll.FDS($C$2,"FE_ESTIMATE(DEFREVENUE_ST,MEAN,ANNUAL_ROLL,"&amp;BK$9&amp;","&amp;$C$5&amp;",,,'')")))</f>
        <v>--</v>
      </c>
    </row>
    <row r="59" spans="1:63" s="71" customFormat="1" ht="12.75" customHeight="1" outlineLevel="1">
      <c r="A59" s="53"/>
      <c r="B59" s="68" t="s">
        <v>31</v>
      </c>
      <c r="C59" s="68"/>
      <c r="D59" s="69"/>
      <c r="E59" s="69"/>
      <c r="F59" s="69"/>
      <c r="G59" s="69"/>
      <c r="H59" s="70"/>
      <c r="I59" s="69" t="str">
        <f t="shared" ref="I59:AN59" si="30">IFERROR(I58/D58-1,"")</f>
        <v/>
      </c>
      <c r="J59" s="69" t="str">
        <f t="shared" si="30"/>
        <v/>
      </c>
      <c r="K59" s="69" t="str">
        <f t="shared" si="30"/>
        <v/>
      </c>
      <c r="L59" s="69" t="str">
        <f t="shared" si="30"/>
        <v/>
      </c>
      <c r="M59" s="70" t="str">
        <f t="shared" si="30"/>
        <v/>
      </c>
      <c r="N59" s="69" t="str">
        <f t="shared" si="30"/>
        <v/>
      </c>
      <c r="O59" s="69" t="str">
        <f t="shared" si="30"/>
        <v/>
      </c>
      <c r="P59" s="69" t="str">
        <f t="shared" si="30"/>
        <v/>
      </c>
      <c r="Q59" s="69" t="str">
        <f t="shared" si="30"/>
        <v/>
      </c>
      <c r="R59" s="70" t="str">
        <f t="shared" si="30"/>
        <v/>
      </c>
      <c r="S59" s="69" t="str">
        <f t="shared" si="30"/>
        <v/>
      </c>
      <c r="T59" s="69" t="str">
        <f t="shared" si="30"/>
        <v/>
      </c>
      <c r="U59" s="69" t="str">
        <f t="shared" si="30"/>
        <v/>
      </c>
      <c r="V59" s="69" t="str">
        <f t="shared" si="30"/>
        <v/>
      </c>
      <c r="W59" s="70" t="str">
        <f t="shared" si="30"/>
        <v/>
      </c>
      <c r="X59" s="69" t="str">
        <f t="shared" si="30"/>
        <v/>
      </c>
      <c r="Y59" s="69" t="str">
        <f t="shared" si="30"/>
        <v/>
      </c>
      <c r="Z59" s="69" t="str">
        <f t="shared" si="30"/>
        <v/>
      </c>
      <c r="AA59" s="69" t="str">
        <f t="shared" si="30"/>
        <v/>
      </c>
      <c r="AB59" s="70" t="str">
        <f t="shared" si="30"/>
        <v/>
      </c>
      <c r="AC59" s="69" t="str">
        <f t="shared" si="30"/>
        <v/>
      </c>
      <c r="AD59" s="69" t="str">
        <f t="shared" si="30"/>
        <v/>
      </c>
      <c r="AE59" s="69" t="str">
        <f t="shared" si="30"/>
        <v/>
      </c>
      <c r="AF59" s="69" t="str">
        <f t="shared" si="30"/>
        <v/>
      </c>
      <c r="AG59" s="70" t="str">
        <f t="shared" si="30"/>
        <v/>
      </c>
      <c r="AH59" s="69" t="str">
        <f t="shared" si="30"/>
        <v/>
      </c>
      <c r="AI59" s="69" t="str">
        <f t="shared" si="30"/>
        <v/>
      </c>
      <c r="AJ59" s="69" t="str">
        <f t="shared" si="30"/>
        <v/>
      </c>
      <c r="AK59" s="69" t="str">
        <f t="shared" si="30"/>
        <v/>
      </c>
      <c r="AL59" s="70" t="str">
        <f t="shared" si="30"/>
        <v/>
      </c>
      <c r="AM59" s="69" t="str">
        <f t="shared" si="30"/>
        <v/>
      </c>
      <c r="AN59" s="69" t="str">
        <f t="shared" si="30"/>
        <v/>
      </c>
      <c r="AO59" s="69" t="str">
        <f t="shared" ref="AO59:BK59" si="31">IFERROR(AO58/AJ58-1,"")</f>
        <v/>
      </c>
      <c r="AP59" s="69">
        <f t="shared" si="31"/>
        <v>0.4435909076899327</v>
      </c>
      <c r="AQ59" s="70">
        <f t="shared" si="31"/>
        <v>0.4435909076899327</v>
      </c>
      <c r="AR59" s="69">
        <f t="shared" si="31"/>
        <v>2.5086843039162936</v>
      </c>
      <c r="AS59" s="69">
        <f t="shared" si="31"/>
        <v>0.86751847056295417</v>
      </c>
      <c r="AT59" s="69">
        <f t="shared" si="31"/>
        <v>1.1749303552546531</v>
      </c>
      <c r="AU59" s="69">
        <f t="shared" si="31"/>
        <v>1.0037110340969386</v>
      </c>
      <c r="AV59" s="70">
        <f t="shared" si="31"/>
        <v>1.0037110340969386</v>
      </c>
      <c r="AW59" s="69">
        <f t="shared" si="31"/>
        <v>9.2853337144174208E-3</v>
      </c>
      <c r="AX59" s="69">
        <f t="shared" si="31"/>
        <v>-7.2318197954314933E-2</v>
      </c>
      <c r="AY59" s="69">
        <f t="shared" si="31"/>
        <v>-0.13103751567048727</v>
      </c>
      <c r="AZ59" s="69">
        <f t="shared" si="31"/>
        <v>-0.16810590983352491</v>
      </c>
      <c r="BA59" s="70">
        <f t="shared" si="31"/>
        <v>6.5955627939088712E-2</v>
      </c>
      <c r="BB59" s="69" t="str">
        <f t="shared" si="31"/>
        <v/>
      </c>
      <c r="BC59" s="69" t="str">
        <f t="shared" si="31"/>
        <v/>
      </c>
      <c r="BD59" s="69" t="str">
        <f t="shared" si="31"/>
        <v/>
      </c>
      <c r="BE59" s="69" t="str">
        <f t="shared" si="31"/>
        <v/>
      </c>
      <c r="BF59" s="70" t="str">
        <f t="shared" si="31"/>
        <v/>
      </c>
      <c r="BG59" s="69" t="str">
        <f t="shared" si="31"/>
        <v/>
      </c>
      <c r="BH59" s="69" t="str">
        <f t="shared" si="31"/>
        <v/>
      </c>
      <c r="BI59" s="69" t="str">
        <f t="shared" si="31"/>
        <v/>
      </c>
      <c r="BJ59" s="69" t="str">
        <f t="shared" si="31"/>
        <v/>
      </c>
      <c r="BK59" s="70" t="str">
        <f t="shared" si="31"/>
        <v/>
      </c>
    </row>
    <row r="60" spans="1:63" s="71" customFormat="1" ht="12.75" customHeight="1" outlineLevel="1">
      <c r="A60" s="53"/>
      <c r="B60" s="68" t="s">
        <v>33</v>
      </c>
      <c r="C60" s="68"/>
      <c r="D60" s="69"/>
      <c r="E60" s="69"/>
      <c r="F60" s="69"/>
      <c r="G60" s="69"/>
      <c r="H60" s="72"/>
      <c r="I60" s="69" t="str">
        <f>IFERROR(I58/G58-1,"")</f>
        <v/>
      </c>
      <c r="J60" s="69" t="str">
        <f>IFERROR(J58/I58-1,"")</f>
        <v/>
      </c>
      <c r="K60" s="69" t="str">
        <f>IFERROR(K58/J58-1,"")</f>
        <v/>
      </c>
      <c r="L60" s="69" t="str">
        <f>IFERROR(L58/K58-1,"")</f>
        <v/>
      </c>
      <c r="M60" s="72"/>
      <c r="N60" s="69" t="str">
        <f>IFERROR(N58/L58-1,"")</f>
        <v/>
      </c>
      <c r="O60" s="69" t="str">
        <f>IFERROR(O58/N58-1,"")</f>
        <v/>
      </c>
      <c r="P60" s="69" t="str">
        <f>IFERROR(P58/O58-1,"")</f>
        <v/>
      </c>
      <c r="Q60" s="69" t="str">
        <f>IFERROR(Q58/P58-1,"")</f>
        <v/>
      </c>
      <c r="R60" s="72"/>
      <c r="S60" s="69" t="str">
        <f>IFERROR(S58/Q58-1,"")</f>
        <v/>
      </c>
      <c r="T60" s="69" t="str">
        <f>IFERROR(T58/S58-1,"")</f>
        <v/>
      </c>
      <c r="U60" s="69" t="str">
        <f>IFERROR(U58/T58-1,"")</f>
        <v/>
      </c>
      <c r="V60" s="69" t="str">
        <f>IFERROR(V58/U58-1,"")</f>
        <v/>
      </c>
      <c r="W60" s="72"/>
      <c r="X60" s="69" t="str">
        <f>IFERROR(X58/V58-1,"")</f>
        <v/>
      </c>
      <c r="Y60" s="69" t="str">
        <f>IFERROR(Y58/X58-1,"")</f>
        <v/>
      </c>
      <c r="Z60" s="69" t="str">
        <f>IFERROR(Z58/Y58-1,"")</f>
        <v/>
      </c>
      <c r="AA60" s="69" t="str">
        <f>IFERROR(AA58/Z58-1,"")</f>
        <v/>
      </c>
      <c r="AB60" s="72"/>
      <c r="AC60" s="69" t="str">
        <f>IFERROR(AC58/AA58-1,"")</f>
        <v/>
      </c>
      <c r="AD60" s="69" t="str">
        <f>IFERROR(AD58/AC58-1,"")</f>
        <v/>
      </c>
      <c r="AE60" s="69" t="str">
        <f>IFERROR(AE58/AD58-1,"")</f>
        <v/>
      </c>
      <c r="AF60" s="69" t="str">
        <f>IFERROR(AF58/AE58-1,"")</f>
        <v/>
      </c>
      <c r="AG60" s="72"/>
      <c r="AH60" s="69" t="str">
        <f>IFERROR(AH58/AF58-1,"")</f>
        <v/>
      </c>
      <c r="AI60" s="69" t="str">
        <f>IFERROR(AI58/AH58-1,"")</f>
        <v/>
      </c>
      <c r="AJ60" s="69" t="str">
        <f>IFERROR(AJ58/AI58-1,"")</f>
        <v/>
      </c>
      <c r="AK60" s="69" t="str">
        <f>IFERROR(AK58/AJ58-1,"")</f>
        <v/>
      </c>
      <c r="AL60" s="72"/>
      <c r="AM60" s="69">
        <f>IFERROR(AM58/AK58-1,"")</f>
        <v>-0.43199396887394836</v>
      </c>
      <c r="AN60" s="69">
        <f>IFERROR(AN58/AM58-1,"")</f>
        <v>1.177805456023262</v>
      </c>
      <c r="AO60" s="69">
        <f>IFERROR(AO58/AN58-1,"")</f>
        <v>-2.7025748400002825E-2</v>
      </c>
      <c r="AP60" s="69">
        <f>IFERROR(AP58/AO58-1,"")</f>
        <v>0.19941855200735259</v>
      </c>
      <c r="AQ60" s="72"/>
      <c r="AR60" s="69">
        <f>IFERROR(AR58/AP58-1,"")</f>
        <v>0.38055306065271455</v>
      </c>
      <c r="AS60" s="69">
        <f>IFERROR(AS58/AR58-1,"")</f>
        <v>0.15915014351010348</v>
      </c>
      <c r="AT60" s="69">
        <f>IFERROR(AT58/AS58-1,"")</f>
        <v>0.13313537083684568</v>
      </c>
      <c r="AU60" s="69">
        <f>IFERROR(AU58/AT58-1,"")</f>
        <v>0.1049954686371164</v>
      </c>
      <c r="AV60" s="72"/>
      <c r="AW60" s="69">
        <f>IFERROR(AW58/AU58-1,"")</f>
        <v>-0.30460434023645511</v>
      </c>
      <c r="AX60" s="69">
        <f>IFERROR(AX58/AW58-1,"")</f>
        <v>6.5429624361543981E-2</v>
      </c>
      <c r="AY60" s="69">
        <f>IFERROR(AY58/AX58-1,"")</f>
        <v>6.1411493415862495E-2</v>
      </c>
      <c r="AZ60" s="69">
        <f>IFERROR(AZ58/AY58-1,"")</f>
        <v>5.7858327139671761E-2</v>
      </c>
      <c r="BA60" s="72"/>
      <c r="BB60" s="69" t="str">
        <f>IFERROR(BB58/AZ58-1,"")</f>
        <v/>
      </c>
      <c r="BC60" s="69" t="str">
        <f>IFERROR(BC58/BB58-1,"")</f>
        <v/>
      </c>
      <c r="BD60" s="69" t="str">
        <f>IFERROR(BD58/BC58-1,"")</f>
        <v/>
      </c>
      <c r="BE60" s="69" t="str">
        <f>IFERROR(BE58/BD58-1,"")</f>
        <v/>
      </c>
      <c r="BF60" s="72"/>
      <c r="BG60" s="69" t="str">
        <f>IFERROR(BG58/BE58-1,"")</f>
        <v/>
      </c>
      <c r="BH60" s="69" t="str">
        <f>IFERROR(BH58/BG58-1,"")</f>
        <v/>
      </c>
      <c r="BI60" s="69" t="str">
        <f>IFERROR(BI58/BH58-1,"")</f>
        <v/>
      </c>
      <c r="BJ60" s="69" t="str">
        <f>IFERROR(BJ58/BI58-1,"")</f>
        <v/>
      </c>
      <c r="BK60" s="72"/>
    </row>
    <row r="61" spans="1:63" s="71" customFormat="1" ht="12.75" customHeight="1" outlineLevel="1">
      <c r="A61" s="53"/>
      <c r="B61" s="83"/>
      <c r="C61" s="68"/>
      <c r="D61" s="84"/>
      <c r="E61" s="69"/>
      <c r="F61" s="69"/>
      <c r="G61" s="69"/>
      <c r="H61" s="72"/>
      <c r="I61" s="81"/>
      <c r="J61" s="81"/>
      <c r="K61" s="81"/>
      <c r="L61" s="81"/>
      <c r="M61" s="80"/>
      <c r="N61" s="81"/>
      <c r="O61" s="81"/>
      <c r="P61" s="81"/>
      <c r="Q61" s="81"/>
      <c r="R61" s="80"/>
      <c r="S61" s="81"/>
      <c r="T61" s="81"/>
      <c r="U61" s="81"/>
      <c r="V61" s="81"/>
      <c r="W61" s="80"/>
      <c r="X61" s="81"/>
      <c r="Y61" s="81"/>
      <c r="Z61" s="81"/>
      <c r="AA61" s="81"/>
      <c r="AB61" s="80"/>
      <c r="AC61" s="81"/>
      <c r="AD61" s="81"/>
      <c r="AE61" s="81"/>
      <c r="AF61" s="81"/>
      <c r="AG61" s="80"/>
      <c r="AH61" s="81"/>
      <c r="AI61" s="81"/>
      <c r="AJ61" s="81"/>
      <c r="AK61" s="81"/>
      <c r="AL61" s="80"/>
      <c r="AM61" s="81"/>
      <c r="AN61" s="81"/>
      <c r="AO61" s="81"/>
      <c r="AP61" s="81"/>
      <c r="AQ61" s="80"/>
      <c r="AR61" s="81"/>
      <c r="AS61" s="81"/>
      <c r="AT61" s="81"/>
      <c r="AU61" s="81"/>
      <c r="AV61" s="80"/>
      <c r="AW61" s="81"/>
      <c r="AX61" s="81"/>
      <c r="AY61" s="81"/>
      <c r="AZ61" s="81"/>
      <c r="BA61" s="80"/>
      <c r="BB61" s="81"/>
      <c r="BC61" s="81"/>
      <c r="BD61" s="81"/>
      <c r="BE61" s="81"/>
      <c r="BF61" s="80"/>
      <c r="BG61" s="81"/>
      <c r="BH61" s="81"/>
      <c r="BI61" s="81"/>
      <c r="BJ61" s="81"/>
      <c r="BK61" s="80"/>
    </row>
    <row r="62" spans="1:63" s="641" customFormat="1" ht="12.75" customHeight="1" outlineLevel="1">
      <c r="A62" s="636"/>
      <c r="B62" s="637" t="s">
        <v>47</v>
      </c>
      <c r="C62" s="638"/>
      <c r="D62" s="639"/>
      <c r="E62" s="639"/>
      <c r="F62" s="639"/>
      <c r="G62" s="639"/>
      <c r="H62" s="640"/>
      <c r="I62" s="639" t="str" cm="1">
        <f t="array" ref="I62">_xlfn.SINGLE(IF(ISERROR(_xll.FDS($C$2,"FE_ESTIMATE(DEFREVENUE_LT,MEAN,QUARTERLY_ROLL,"&amp;I$9&amp;","&amp;$C$5&amp;",,,'')")), "--", _xll.FDS($C$2,"FE_ESTIMATE(DEFREVENUE_LT,MEAN,QUARTERLY_ROLL,"&amp;I$9&amp;","&amp;$C$5&amp;",,,'')")))</f>
        <v>--</v>
      </c>
      <c r="J62" s="639" t="str" cm="1">
        <f t="array" ref="J62">_xlfn.SINGLE(IF(ISERROR(_xll.FDS($C$2,"FE_ESTIMATE(DEFREVENUE_LT,MEAN,QUARTERLY_ROLL,"&amp;J$9&amp;","&amp;$C$5&amp;",,,'')")), "--", _xll.FDS($C$2,"FE_ESTIMATE(DEFREVENUE_LT,MEAN,QUARTERLY_ROLL,"&amp;J$9&amp;","&amp;$C$5&amp;",,,'')")))</f>
        <v>--</v>
      </c>
      <c r="K62" s="639" t="str" cm="1">
        <f t="array" ref="K62">_xlfn.SINGLE(IF(ISERROR(_xll.FDS($C$2,"FE_ESTIMATE(DEFREVENUE_LT,MEAN,QUARTERLY_ROLL,"&amp;K$9&amp;","&amp;$C$5&amp;",,,'')")), "--", _xll.FDS($C$2,"FE_ESTIMATE(DEFREVENUE_LT,MEAN,QUARTERLY_ROLL,"&amp;K$9&amp;","&amp;$C$5&amp;",,,'')")))</f>
        <v>--</v>
      </c>
      <c r="L62" s="639" t="str" cm="1">
        <f t="array" ref="L62">_xlfn.SINGLE(IF(ISERROR(_xll.FDS($C$2,"FE_ESTIMATE(DEFREVENUE_LT,MEAN,QUARTERLY_ROLL,"&amp;L$9&amp;","&amp;$C$5&amp;",,,'')")), "--", _xll.FDS($C$2,"FE_ESTIMATE(DEFREVENUE_LT,MEAN,QUARTERLY_ROLL,"&amp;L$9&amp;","&amp;$C$5&amp;",,,'')")))</f>
        <v>--</v>
      </c>
      <c r="M62" s="640" t="str" cm="1">
        <f t="array" ref="M62">_xlfn.SINGLE(IF(ISERROR(_xll.FDS($C$2,"FE_ESTIMATE(DEFREVENUE_LT,MEAN,ANNUAL_ROLL,"&amp;M$9&amp;","&amp;$C$5&amp;",,,'')")), "--", _xll.FDS($C$2,"FE_ESTIMATE(DEFREVENUE_LT,MEAN,ANNUAL_ROLL,"&amp;M$9&amp;","&amp;$C$5&amp;",,,'')")))</f>
        <v>--</v>
      </c>
      <c r="N62" s="639" t="str" cm="1">
        <f t="array" ref="N62">_xlfn.SINGLE(IF(ISERROR(_xll.FDS($C$2,"FE_ESTIMATE(DEFREVENUE_LT,MEAN,QUARTERLY_ROLL,"&amp;N$9&amp;","&amp;$C$5&amp;",,,'')")), "--", _xll.FDS($C$2,"FE_ESTIMATE(DEFREVENUE_LT,MEAN,QUARTERLY_ROLL,"&amp;N$9&amp;","&amp;$C$5&amp;",,,'')")))</f>
        <v>--</v>
      </c>
      <c r="O62" s="639" t="str" cm="1">
        <f t="array" ref="O62">_xlfn.SINGLE(IF(ISERROR(_xll.FDS($C$2,"FE_ESTIMATE(DEFREVENUE_LT,MEAN,QUARTERLY_ROLL,"&amp;O$9&amp;","&amp;$C$5&amp;",,,'')")), "--", _xll.FDS($C$2,"FE_ESTIMATE(DEFREVENUE_LT,MEAN,QUARTERLY_ROLL,"&amp;O$9&amp;","&amp;$C$5&amp;",,,'')")))</f>
        <v>--</v>
      </c>
      <c r="P62" s="639" t="str" cm="1">
        <f t="array" ref="P62">_xlfn.SINGLE(IF(ISERROR(_xll.FDS($C$2,"FE_ESTIMATE(DEFREVENUE_LT,MEAN,QUARTERLY_ROLL,"&amp;P$9&amp;","&amp;$C$5&amp;",,,'')")), "--", _xll.FDS($C$2,"FE_ESTIMATE(DEFREVENUE_LT,MEAN,QUARTERLY_ROLL,"&amp;P$9&amp;","&amp;$C$5&amp;",,,'')")))</f>
        <v>--</v>
      </c>
      <c r="Q62" s="639" t="str" cm="1">
        <f t="array" ref="Q62">_xlfn.SINGLE(IF(ISERROR(_xll.FDS($C$2,"FE_ESTIMATE(DEFREVENUE_LT,MEAN,QUARTERLY_ROLL,"&amp;Q$9&amp;","&amp;$C$5&amp;",,,'')")), "--", _xll.FDS($C$2,"FE_ESTIMATE(DEFREVENUE_LT,MEAN,QUARTERLY_ROLL,"&amp;Q$9&amp;","&amp;$C$5&amp;",,,'')")))</f>
        <v>--</v>
      </c>
      <c r="R62" s="640" t="str" cm="1">
        <f t="array" ref="R62">_xlfn.SINGLE(IF(ISERROR(_xll.FDS($C$2,"FE_ESTIMATE(DEFREVENUE_LT,MEAN,ANNUAL_ROLL,"&amp;R$9&amp;","&amp;$C$5&amp;",,,'')")), "--", _xll.FDS($C$2,"FE_ESTIMATE(DEFREVENUE_LT,MEAN,ANNUAL_ROLL,"&amp;R$9&amp;","&amp;$C$5&amp;",,,'')")))</f>
        <v>--</v>
      </c>
      <c r="S62" s="639" t="str" cm="1">
        <f t="array" ref="S62">_xlfn.SINGLE(IF(ISERROR(_xll.FDS($C$2,"FE_ESTIMATE(DEFREVENUE_LT,MEAN,QUARTERLY_ROLL,"&amp;S$9&amp;","&amp;$C$5&amp;",,,'')")), "--", _xll.FDS($C$2,"FE_ESTIMATE(DEFREVENUE_LT,MEAN,QUARTERLY_ROLL,"&amp;S$9&amp;","&amp;$C$5&amp;",,,'')")))</f>
        <v>--</v>
      </c>
      <c r="T62" s="639" t="str" cm="1">
        <f t="array" ref="T62">_xlfn.SINGLE(IF(ISERROR(_xll.FDS($C$2,"FE_ESTIMATE(DEFREVENUE_LT,MEAN,QUARTERLY_ROLL,"&amp;T$9&amp;","&amp;$C$5&amp;",,,'')")), "--", _xll.FDS($C$2,"FE_ESTIMATE(DEFREVENUE_LT,MEAN,QUARTERLY_ROLL,"&amp;T$9&amp;","&amp;$C$5&amp;",,,'')")))</f>
        <v>--</v>
      </c>
      <c r="U62" s="639" t="str" cm="1">
        <f t="array" ref="U62">_xlfn.SINGLE(IF(ISERROR(_xll.FDS($C$2,"FE_ESTIMATE(DEFREVENUE_LT,MEAN,QUARTERLY_ROLL,"&amp;U$9&amp;","&amp;$C$5&amp;",,,'')")), "--", _xll.FDS($C$2,"FE_ESTIMATE(DEFREVENUE_LT,MEAN,QUARTERLY_ROLL,"&amp;U$9&amp;","&amp;$C$5&amp;",,,'')")))</f>
        <v>--</v>
      </c>
      <c r="V62" s="639" t="str" cm="1">
        <f t="array" ref="V62">_xlfn.SINGLE(IF(ISERROR(_xll.FDS($C$2,"FE_ESTIMATE(DEFREVENUE_LT,MEAN,QUARTERLY_ROLL,"&amp;V$9&amp;","&amp;$C$5&amp;",,,'')")), "--", _xll.FDS($C$2,"FE_ESTIMATE(DEFREVENUE_LT,MEAN,QUARTERLY_ROLL,"&amp;V$9&amp;","&amp;$C$5&amp;",,,'')")))</f>
        <v>--</v>
      </c>
      <c r="W62" s="640" t="str" cm="1">
        <f t="array" ref="W62">_xlfn.SINGLE(IF(ISERROR(_xll.FDS($C$2,"FE_ESTIMATE(DEFREVENUE_LT,MEAN,ANNUAL_ROLL,"&amp;W$9&amp;","&amp;$C$5&amp;",,,'')")), "--", _xll.FDS($C$2,"FE_ESTIMATE(DEFREVENUE_LT,MEAN,ANNUAL_ROLL,"&amp;W$9&amp;","&amp;$C$5&amp;",,,'')")))</f>
        <v>--</v>
      </c>
      <c r="X62" s="639" t="str" cm="1">
        <f t="array" ref="X62">_xlfn.SINGLE(IF(ISERROR(_xll.FDS($C$2,"FE_ESTIMATE(DEFREVENUE_LT,MEAN,QUARTERLY_ROLL,"&amp;X$9&amp;","&amp;$C$5&amp;",,,'')")), "--", _xll.FDS($C$2,"FE_ESTIMATE(DEFREVENUE_LT,MEAN,QUARTERLY_ROLL,"&amp;X$9&amp;","&amp;$C$5&amp;",,,'')")))</f>
        <v>--</v>
      </c>
      <c r="Y62" s="639" t="str" cm="1">
        <f t="array" ref="Y62">_xlfn.SINGLE(IF(ISERROR(_xll.FDS($C$2,"FE_ESTIMATE(DEFREVENUE_LT,MEAN,QUARTERLY_ROLL,"&amp;Y$9&amp;","&amp;$C$5&amp;",,,'')")), "--", _xll.FDS($C$2,"FE_ESTIMATE(DEFREVENUE_LT,MEAN,QUARTERLY_ROLL,"&amp;Y$9&amp;","&amp;$C$5&amp;",,,'')")))</f>
        <v>--</v>
      </c>
      <c r="Z62" s="639" t="str" cm="1">
        <f t="array" ref="Z62">_xlfn.SINGLE(IF(ISERROR(_xll.FDS($C$2,"FE_ESTIMATE(DEFREVENUE_LT,MEAN,QUARTERLY_ROLL,"&amp;Z$9&amp;","&amp;$C$5&amp;",,,'')")), "--", _xll.FDS($C$2,"FE_ESTIMATE(DEFREVENUE_LT,MEAN,QUARTERLY_ROLL,"&amp;Z$9&amp;","&amp;$C$5&amp;",,,'')")))</f>
        <v>--</v>
      </c>
      <c r="AA62" s="639" t="str" cm="1">
        <f t="array" ref="AA62">_xlfn.SINGLE(IF(ISERROR(_xll.FDS($C$2,"FE_ESTIMATE(DEFREVENUE_LT,MEAN,QUARTERLY_ROLL,"&amp;AA$9&amp;","&amp;$C$5&amp;",,,'')")), "--", _xll.FDS($C$2,"FE_ESTIMATE(DEFREVENUE_LT,MEAN,QUARTERLY_ROLL,"&amp;AA$9&amp;","&amp;$C$5&amp;",,,'')")))</f>
        <v>--</v>
      </c>
      <c r="AB62" s="640" t="str" cm="1">
        <f t="array" ref="AB62">_xlfn.SINGLE(IF(ISERROR(_xll.FDS($C$2,"FE_ESTIMATE(DEFREVENUE_LT,MEAN,ANNUAL_ROLL,"&amp;AB$9&amp;","&amp;$C$5&amp;",,,'')")), "--", _xll.FDS($C$2,"FE_ESTIMATE(DEFREVENUE_LT,MEAN,ANNUAL_ROLL,"&amp;AB$9&amp;","&amp;$C$5&amp;",,,'')")))</f>
        <v>--</v>
      </c>
      <c r="AC62" s="639" t="str" cm="1">
        <f t="array" ref="AC62">_xlfn.SINGLE(IF(ISERROR(_xll.FDS($C$2,"FE_ESTIMATE(DEFREVENUE_LT,MEAN,QUARTERLY_ROLL,"&amp;AC$9&amp;","&amp;$C$5&amp;",,,'')")), "--", _xll.FDS($C$2,"FE_ESTIMATE(DEFREVENUE_LT,MEAN,QUARTERLY_ROLL,"&amp;AC$9&amp;","&amp;$C$5&amp;",,,'')")))</f>
        <v>--</v>
      </c>
      <c r="AD62" s="639" t="str" cm="1">
        <f t="array" ref="AD62">_xlfn.SINGLE(IF(ISERROR(_xll.FDS($C$2,"FE_ESTIMATE(DEFREVENUE_LT,MEAN,QUARTERLY_ROLL,"&amp;AD$9&amp;","&amp;$C$5&amp;",,,'')")), "--", _xll.FDS($C$2,"FE_ESTIMATE(DEFREVENUE_LT,MEAN,QUARTERLY_ROLL,"&amp;AD$9&amp;","&amp;$C$5&amp;",,,'')")))</f>
        <v>--</v>
      </c>
      <c r="AE62" s="639" t="str" cm="1">
        <f t="array" ref="AE62">_xlfn.SINGLE(IF(ISERROR(_xll.FDS($C$2,"FE_ESTIMATE(DEFREVENUE_LT,MEAN,QUARTERLY_ROLL,"&amp;AE$9&amp;","&amp;$C$5&amp;",,,'')")), "--", _xll.FDS($C$2,"FE_ESTIMATE(DEFREVENUE_LT,MEAN,QUARTERLY_ROLL,"&amp;AE$9&amp;","&amp;$C$5&amp;",,,'')")))</f>
        <v>--</v>
      </c>
      <c r="AF62" s="639" t="str" cm="1">
        <f t="array" ref="AF62">_xlfn.SINGLE(IF(ISERROR(_xll.FDS($C$2,"FE_ESTIMATE(DEFREVENUE_LT,MEAN,QUARTERLY_ROLL,"&amp;AF$9&amp;","&amp;$C$5&amp;",,,'')")), "--", _xll.FDS($C$2,"FE_ESTIMATE(DEFREVENUE_LT,MEAN,QUARTERLY_ROLL,"&amp;AF$9&amp;","&amp;$C$5&amp;",,,'')")))</f>
        <v>--</v>
      </c>
      <c r="AG62" s="640" t="str" cm="1">
        <f t="array" ref="AG62">_xlfn.SINGLE(IF(ISERROR(_xll.FDS($C$2,"FE_ESTIMATE(DEFREVENUE_LT,MEAN,ANNUAL_ROLL,"&amp;AG$9&amp;","&amp;$C$5&amp;",,,'')")), "--", _xll.FDS($C$2,"FE_ESTIMATE(DEFREVENUE_LT,MEAN,ANNUAL_ROLL,"&amp;AG$9&amp;","&amp;$C$5&amp;",,,'')")))</f>
        <v>--</v>
      </c>
      <c r="AH62" s="639" t="str" cm="1">
        <f t="array" ref="AH62">_xlfn.SINGLE(IF(ISERROR(_xll.FDS($C$2,"FE_ESTIMATE(DEFREVENUE_LT,MEAN,QUARTERLY_ROLL,"&amp;AH$9&amp;","&amp;$C$5&amp;",,,'')")), "--", _xll.FDS($C$2,"FE_ESTIMATE(DEFREVENUE_LT,MEAN,QUARTERLY_ROLL,"&amp;AH$9&amp;","&amp;$C$5&amp;",,,'')")))</f>
        <v>--</v>
      </c>
      <c r="AI62" s="639" t="str" cm="1">
        <f t="array" ref="AI62">_xlfn.SINGLE(IF(ISERROR(_xll.FDS($C$2,"FE_ESTIMATE(DEFREVENUE_LT,MEAN,QUARTERLY_ROLL,"&amp;AI$9&amp;","&amp;$C$5&amp;",,,'')")), "--", _xll.FDS($C$2,"FE_ESTIMATE(DEFREVENUE_LT,MEAN,QUARTERLY_ROLL,"&amp;AI$9&amp;","&amp;$C$5&amp;",,,'')")))</f>
        <v>--</v>
      </c>
      <c r="AJ62" s="639" t="str" cm="1">
        <f t="array" ref="AJ62">_xlfn.SINGLE(IF(ISERROR(_xll.FDS($C$2,"FE_ESTIMATE(DEFREVENUE_LT,MEAN,QUARTERLY_ROLL,"&amp;AJ$9&amp;","&amp;$C$5&amp;",,,'')")), "--", _xll.FDS($C$2,"FE_ESTIMATE(DEFREVENUE_LT,MEAN,QUARTERLY_ROLL,"&amp;AJ$9&amp;","&amp;$C$5&amp;",,,'')")))</f>
        <v>--</v>
      </c>
      <c r="AK62" s="639" cm="1">
        <f t="array" ref="AK62">_xlfn.SINGLE(IF(ISERROR(_xll.FDS($C$2,"FE_ESTIMATE(DEFREVENUE_LT,MEAN,QUARTERLY_ROLL,"&amp;AK$9&amp;","&amp;$C$5&amp;",,,'')")), "--", _xll.FDS($C$2,"FE_ESTIMATE(DEFREVENUE_LT,MEAN,QUARTERLY_ROLL,"&amp;AK$9&amp;","&amp;$C$5&amp;",,,'')")))</f>
        <v>3294.9940999999999</v>
      </c>
      <c r="AL62" s="640" cm="1">
        <f t="array" ref="AL62">_xlfn.SINGLE(IF(ISERROR(_xll.FDS($C$2,"FE_ESTIMATE(DEFREVENUE_LT,MEAN,ANNUAL_ROLL,"&amp;AL$9&amp;","&amp;$C$5&amp;",,,'')")), "--", _xll.FDS($C$2,"FE_ESTIMATE(DEFREVENUE_LT,MEAN,ANNUAL_ROLL,"&amp;AL$9&amp;","&amp;$C$5&amp;",,,'')")))</f>
        <v>3294.9940999999999</v>
      </c>
      <c r="AM62" s="639" cm="1">
        <f t="array" ref="AM62">_xlfn.SINGLE(IF(ISERROR(_xll.FDS($C$2,"FE_ESTIMATE(DEFREVENUE_LT,MEAN,QUARTERLY_ROLL,"&amp;AM$9&amp;","&amp;$C$5&amp;",,,'')")), "--", _xll.FDS($C$2,"FE_ESTIMATE(DEFREVENUE_LT,MEAN,QUARTERLY_ROLL,"&amp;AM$9&amp;","&amp;$C$5&amp;",,,'')")))</f>
        <v>3611.2345999999998</v>
      </c>
      <c r="AN62" s="639" cm="1">
        <f t="array" ref="AN62">_xlfn.SINGLE(IF(ISERROR(_xll.FDS($C$2,"FE_ESTIMATE(DEFREVENUE_LT,MEAN,QUARTERLY_ROLL,"&amp;AN$9&amp;","&amp;$C$5&amp;",,,'')")), "--", _xll.FDS($C$2,"FE_ESTIMATE(DEFREVENUE_LT,MEAN,QUARTERLY_ROLL,"&amp;AN$9&amp;","&amp;$C$5&amp;",,,'')")))</f>
        <v>3896.1145000000001</v>
      </c>
      <c r="AO62" s="639" cm="1">
        <f t="array" ref="AO62">_xlfn.SINGLE(IF(ISERROR(_xll.FDS($C$2,"FE_ESTIMATE(DEFREVENUE_LT,MEAN,QUARTERLY_ROLL,"&amp;AO$9&amp;","&amp;$C$5&amp;",,,'')")), "--", _xll.FDS($C$2,"FE_ESTIMATE(DEFREVENUE_LT,MEAN,QUARTERLY_ROLL,"&amp;AO$9&amp;","&amp;$C$5&amp;",,,'')")))</f>
        <v>4334.8850000000002</v>
      </c>
      <c r="AP62" s="639" cm="1">
        <f t="array" ref="AP62">_xlfn.SINGLE(IF(ISERROR(_xll.FDS($C$2,"FE_ESTIMATE(DEFREVENUE_LT,MEAN,QUARTERLY_ROLL,"&amp;AP$9&amp;","&amp;$C$5&amp;",,,'')")), "--", _xll.FDS($C$2,"FE_ESTIMATE(DEFREVENUE_LT,MEAN,QUARTERLY_ROLL,"&amp;AP$9&amp;","&amp;$C$5&amp;",,,'')")))</f>
        <v>5065.6777000000002</v>
      </c>
      <c r="AQ62" s="640" cm="1">
        <f t="array" ref="AQ62">_xlfn.SINGLE(IF(ISERROR(_xll.FDS($C$2,"FE_ESTIMATE(DEFREVENUE_LT,MEAN,ANNUAL_ROLL,"&amp;AQ$9&amp;","&amp;$C$5&amp;",,,'')")), "--", _xll.FDS($C$2,"FE_ESTIMATE(DEFREVENUE_LT,MEAN,ANNUAL_ROLL,"&amp;AQ$9&amp;","&amp;$C$5&amp;",,,'')")))</f>
        <v>5065.6777000000002</v>
      </c>
      <c r="AR62" s="639" cm="1">
        <f t="array" ref="AR62">_xlfn.SINGLE(IF(ISERROR(_xll.FDS($C$2,"FE_ESTIMATE(DEFREVENUE_LT,MEAN,QUARTERLY_ROLL,"&amp;AR$9&amp;","&amp;$C$5&amp;",,,'')")), "--", _xll.FDS($C$2,"FE_ESTIMATE(DEFREVENUE_LT,MEAN,QUARTERLY_ROLL,"&amp;AR$9&amp;","&amp;$C$5&amp;",,,'')")))</f>
        <v>5728.915</v>
      </c>
      <c r="AS62" s="639" cm="1">
        <f t="array" ref="AS62">_xlfn.SINGLE(IF(ISERROR(_xll.FDS($C$2,"FE_ESTIMATE(DEFREVENUE_LT,MEAN,QUARTERLY_ROLL,"&amp;AS$9&amp;","&amp;$C$5&amp;",,,'')")), "--", _xll.FDS($C$2,"FE_ESTIMATE(DEFREVENUE_LT,MEAN,QUARTERLY_ROLL,"&amp;AS$9&amp;","&amp;$C$5&amp;",,,'')")))</f>
        <v>6585.8810000000003</v>
      </c>
      <c r="AT62" s="639" cm="1">
        <f t="array" ref="AT62">_xlfn.SINGLE(IF(ISERROR(_xll.FDS($C$2,"FE_ESTIMATE(DEFREVENUE_LT,MEAN,QUARTERLY_ROLL,"&amp;AT$9&amp;","&amp;$C$5&amp;",,,'')")), "--", _xll.FDS($C$2,"FE_ESTIMATE(DEFREVENUE_LT,MEAN,QUARTERLY_ROLL,"&amp;AT$9&amp;","&amp;$C$5&amp;",,,'')")))</f>
        <v>7447.9663</v>
      </c>
      <c r="AU62" s="639" cm="1">
        <f t="array" ref="AU62">_xlfn.SINGLE(IF(ISERROR(_xll.FDS($C$2,"FE_ESTIMATE(DEFREVENUE_LT,MEAN,QUARTERLY_ROLL,"&amp;AU$9&amp;","&amp;$C$5&amp;",,,'')")), "--", _xll.FDS($C$2,"FE_ESTIMATE(DEFREVENUE_LT,MEAN,QUARTERLY_ROLL,"&amp;AU$9&amp;","&amp;$C$5&amp;",,,'')")))</f>
        <v>8239.9439999999995</v>
      </c>
      <c r="AV62" s="640" cm="1">
        <f t="array" ref="AV62">_xlfn.SINGLE(IF(ISERROR(_xll.FDS($C$2,"FE_ESTIMATE(DEFREVENUE_LT,MEAN,ANNUAL_ROLL,"&amp;AV$9&amp;","&amp;$C$5&amp;",,,'')")), "--", _xll.FDS($C$2,"FE_ESTIMATE(DEFREVENUE_LT,MEAN,ANNUAL_ROLL,"&amp;AV$9&amp;","&amp;$C$5&amp;",,,'')")))</f>
        <v>8239.9439999999995</v>
      </c>
      <c r="AW62" s="639" cm="1">
        <f t="array" ref="AW62">_xlfn.SINGLE(IF(ISERROR(_xll.FDS($C$2,"FE_ESTIMATE(DEFREVENUE_LT,MEAN,QUARTERLY_ROLL,"&amp;AW$9&amp;","&amp;$C$5&amp;",,,'')")), "--", _xll.FDS($C$2,"FE_ESTIMATE(DEFREVENUE_LT,MEAN,QUARTERLY_ROLL,"&amp;AW$9&amp;","&amp;$C$5&amp;",,,'')")))</f>
        <v>5818.5</v>
      </c>
      <c r="AX62" s="639" cm="1">
        <f t="array" ref="AX62">_xlfn.SINGLE(IF(ISERROR(_xll.FDS($C$2,"FE_ESTIMATE(DEFREVENUE_LT,MEAN,QUARTERLY_ROLL,"&amp;AX$9&amp;","&amp;$C$5&amp;",,,'')")), "--", _xll.FDS($C$2,"FE_ESTIMATE(DEFREVENUE_LT,MEAN,QUARTERLY_ROLL,"&amp;AX$9&amp;","&amp;$C$5&amp;",,,'')")))</f>
        <v>6199.2</v>
      </c>
      <c r="AY62" s="639" cm="1">
        <f t="array" ref="AY62">_xlfn.SINGLE(IF(ISERROR(_xll.FDS($C$2,"FE_ESTIMATE(DEFREVENUE_LT,MEAN,QUARTERLY_ROLL,"&amp;AY$9&amp;","&amp;$C$5&amp;",,,'')")), "--", _xll.FDS($C$2,"FE_ESTIMATE(DEFREVENUE_LT,MEAN,QUARTERLY_ROLL,"&amp;AY$9&amp;","&amp;$C$5&amp;",,,'')")))</f>
        <v>6580</v>
      </c>
      <c r="AZ62" s="639" cm="1">
        <f t="array" ref="AZ62">_xlfn.SINGLE(IF(ISERROR(_xll.FDS($C$2,"FE_ESTIMATE(DEFREVENUE_LT,MEAN,QUARTERLY_ROLL,"&amp;AZ$9&amp;","&amp;$C$5&amp;",,,'')")), "--", _xll.FDS($C$2,"FE_ESTIMATE(DEFREVENUE_LT,MEAN,QUARTERLY_ROLL,"&amp;AZ$9&amp;","&amp;$C$5&amp;",,,'')")))</f>
        <v>6960.8</v>
      </c>
      <c r="BA62" s="640" cm="1">
        <f t="array" ref="BA62">_xlfn.SINGLE(IF(ISERROR(_xll.FDS($C$2,"FE_ESTIMATE(DEFREVENUE_LT,MEAN,ANNUAL_ROLL,"&amp;BA$9&amp;","&amp;$C$5&amp;",,,'')")), "--", _xll.FDS($C$2,"FE_ESTIMATE(DEFREVENUE_LT,MEAN,ANNUAL_ROLL,"&amp;BA$9&amp;","&amp;$C$5&amp;",,,'')")))</f>
        <v>10469.467000000001</v>
      </c>
      <c r="BB62" s="639" t="str" cm="1">
        <f t="array" ref="BB62">_xlfn.SINGLE(IF(ISERROR(_xll.FDS($C$2,"FE_ESTIMATE(DEFREVENUE_LT,MEAN,QUARTERLY_ROLL,"&amp;BB$9&amp;","&amp;$C$5&amp;",,,'')")), "--", _xll.FDS($C$2,"FE_ESTIMATE(DEFREVENUE_LT,MEAN,QUARTERLY_ROLL,"&amp;BB$9&amp;","&amp;$C$5&amp;",,,'')")))</f>
        <v>--</v>
      </c>
      <c r="BC62" s="639" t="str" cm="1">
        <f t="array" ref="BC62">_xlfn.SINGLE(IF(ISERROR(_xll.FDS($C$2,"FE_ESTIMATE(DEFREVENUE_LT,MEAN,QUARTERLY_ROLL,"&amp;BC$9&amp;","&amp;$C$5&amp;",,,'')")), "--", _xll.FDS($C$2,"FE_ESTIMATE(DEFREVENUE_LT,MEAN,QUARTERLY_ROLL,"&amp;BC$9&amp;","&amp;$C$5&amp;",,,'')")))</f>
        <v>--</v>
      </c>
      <c r="BD62" s="639" t="str" cm="1">
        <f t="array" ref="BD62">_xlfn.SINGLE(IF(ISERROR(_xll.FDS($C$2,"FE_ESTIMATE(DEFREVENUE_LT,MEAN,QUARTERLY_ROLL,"&amp;BD$9&amp;","&amp;$C$5&amp;",,,'')")), "--", _xll.FDS($C$2,"FE_ESTIMATE(DEFREVENUE_LT,MEAN,QUARTERLY_ROLL,"&amp;BD$9&amp;","&amp;$C$5&amp;",,,'')")))</f>
        <v>--</v>
      </c>
      <c r="BE62" s="639" t="str" cm="1">
        <f t="array" ref="BE62">_xlfn.SINGLE(IF(ISERROR(_xll.FDS($C$2,"FE_ESTIMATE(DEFREVENUE_LT,MEAN,QUARTERLY_ROLL,"&amp;BE$9&amp;","&amp;$C$5&amp;",,,'')")), "--", _xll.FDS($C$2,"FE_ESTIMATE(DEFREVENUE_LT,MEAN,QUARTERLY_ROLL,"&amp;BE$9&amp;","&amp;$C$5&amp;",,,'')")))</f>
        <v>--</v>
      </c>
      <c r="BF62" s="640" t="str" cm="1">
        <f t="array" ref="BF62">_xlfn.SINGLE(IF(ISERROR(_xll.FDS($C$2,"FE_ESTIMATE(DEFREVENUE_LT,MEAN,ANNUAL_ROLL,"&amp;BF$9&amp;","&amp;$C$5&amp;",,,'')")), "--", _xll.FDS($C$2,"FE_ESTIMATE(DEFREVENUE_LT,MEAN,ANNUAL_ROLL,"&amp;BF$9&amp;","&amp;$C$5&amp;",,,'')")))</f>
        <v>--</v>
      </c>
      <c r="BG62" s="639" t="str" cm="1">
        <f t="array" ref="BG62">_xlfn.SINGLE(IF(ISERROR(_xll.FDS($C$2,"FE_ESTIMATE(DEFREVENUE_LT,MEAN,QUARTERLY_ROLL,"&amp;BG$9&amp;","&amp;$C$5&amp;",,,'')")), "--", _xll.FDS($C$2,"FE_ESTIMATE(DEFREVENUE_LT,MEAN,QUARTERLY_ROLL,"&amp;BG$9&amp;","&amp;$C$5&amp;",,,'')")))</f>
        <v>--</v>
      </c>
      <c r="BH62" s="639" t="str" cm="1">
        <f t="array" ref="BH62">_xlfn.SINGLE(IF(ISERROR(_xll.FDS($C$2,"FE_ESTIMATE(DEFREVENUE_LT,MEAN,QUARTERLY_ROLL,"&amp;BH$9&amp;","&amp;$C$5&amp;",,,'')")), "--", _xll.FDS($C$2,"FE_ESTIMATE(DEFREVENUE_LT,MEAN,QUARTERLY_ROLL,"&amp;BH$9&amp;","&amp;$C$5&amp;",,,'')")))</f>
        <v>--</v>
      </c>
      <c r="BI62" s="639" t="str" cm="1">
        <f t="array" ref="BI62">_xlfn.SINGLE(IF(ISERROR(_xll.FDS($C$2,"FE_ESTIMATE(DEFREVENUE_LT,MEAN,QUARTERLY_ROLL,"&amp;BI$9&amp;","&amp;$C$5&amp;",,,'')")), "--", _xll.FDS($C$2,"FE_ESTIMATE(DEFREVENUE_LT,MEAN,QUARTERLY_ROLL,"&amp;BI$9&amp;","&amp;$C$5&amp;",,,'')")))</f>
        <v>--</v>
      </c>
      <c r="BJ62" s="639" t="str" cm="1">
        <f t="array" ref="BJ62">_xlfn.SINGLE(IF(ISERROR(_xll.FDS($C$2,"FE_ESTIMATE(DEFREVENUE_LT,MEAN,QUARTERLY_ROLL,"&amp;BJ$9&amp;","&amp;$C$5&amp;",,,'')")), "--", _xll.FDS($C$2,"FE_ESTIMATE(DEFREVENUE_LT,MEAN,QUARTERLY_ROLL,"&amp;BJ$9&amp;","&amp;$C$5&amp;",,,'')")))</f>
        <v>--</v>
      </c>
      <c r="BK62" s="640" t="str" cm="1">
        <f t="array" ref="BK62">_xlfn.SINGLE(IF(ISERROR(_xll.FDS($C$2,"FE_ESTIMATE(DEFREVENUE_LT,MEAN,ANNUAL_ROLL,"&amp;BK$9&amp;","&amp;$C$5&amp;",,,'')")), "--", _xll.FDS($C$2,"FE_ESTIMATE(DEFREVENUE_LT,MEAN,ANNUAL_ROLL,"&amp;BK$9&amp;","&amp;$C$5&amp;",,,'')")))</f>
        <v>--</v>
      </c>
    </row>
    <row r="63" spans="1:63" s="54" customFormat="1" ht="12.75" customHeight="1" outlineLevel="1">
      <c r="A63" s="53"/>
      <c r="B63" s="68" t="s">
        <v>31</v>
      </c>
      <c r="C63" s="68"/>
      <c r="D63" s="69"/>
      <c r="E63" s="69"/>
      <c r="F63" s="69"/>
      <c r="G63" s="69"/>
      <c r="H63" s="70"/>
      <c r="I63" s="69" t="str">
        <f t="shared" ref="I63:AN63" si="32">IFERROR(I62/D62-1,"")</f>
        <v/>
      </c>
      <c r="J63" s="69" t="str">
        <f t="shared" si="32"/>
        <v/>
      </c>
      <c r="K63" s="69" t="str">
        <f t="shared" si="32"/>
        <v/>
      </c>
      <c r="L63" s="69" t="str">
        <f t="shared" si="32"/>
        <v/>
      </c>
      <c r="M63" s="70" t="str">
        <f t="shared" si="32"/>
        <v/>
      </c>
      <c r="N63" s="69" t="str">
        <f t="shared" si="32"/>
        <v/>
      </c>
      <c r="O63" s="69" t="str">
        <f t="shared" si="32"/>
        <v/>
      </c>
      <c r="P63" s="69" t="str">
        <f t="shared" si="32"/>
        <v/>
      </c>
      <c r="Q63" s="69" t="str">
        <f t="shared" si="32"/>
        <v/>
      </c>
      <c r="R63" s="70" t="str">
        <f t="shared" si="32"/>
        <v/>
      </c>
      <c r="S63" s="69" t="str">
        <f t="shared" si="32"/>
        <v/>
      </c>
      <c r="T63" s="69" t="str">
        <f t="shared" si="32"/>
        <v/>
      </c>
      <c r="U63" s="69" t="str">
        <f t="shared" si="32"/>
        <v/>
      </c>
      <c r="V63" s="69" t="str">
        <f t="shared" si="32"/>
        <v/>
      </c>
      <c r="W63" s="70" t="str">
        <f t="shared" si="32"/>
        <v/>
      </c>
      <c r="X63" s="69" t="str">
        <f t="shared" si="32"/>
        <v/>
      </c>
      <c r="Y63" s="69" t="str">
        <f t="shared" si="32"/>
        <v/>
      </c>
      <c r="Z63" s="69" t="str">
        <f t="shared" si="32"/>
        <v/>
      </c>
      <c r="AA63" s="69" t="str">
        <f t="shared" si="32"/>
        <v/>
      </c>
      <c r="AB63" s="70" t="str">
        <f t="shared" si="32"/>
        <v/>
      </c>
      <c r="AC63" s="69" t="str">
        <f t="shared" si="32"/>
        <v/>
      </c>
      <c r="AD63" s="69" t="str">
        <f t="shared" si="32"/>
        <v/>
      </c>
      <c r="AE63" s="69" t="str">
        <f t="shared" si="32"/>
        <v/>
      </c>
      <c r="AF63" s="69" t="str">
        <f t="shared" si="32"/>
        <v/>
      </c>
      <c r="AG63" s="70" t="str">
        <f t="shared" si="32"/>
        <v/>
      </c>
      <c r="AH63" s="69" t="str">
        <f t="shared" si="32"/>
        <v/>
      </c>
      <c r="AI63" s="69" t="str">
        <f t="shared" si="32"/>
        <v/>
      </c>
      <c r="AJ63" s="69" t="str">
        <f t="shared" si="32"/>
        <v/>
      </c>
      <c r="AK63" s="69" t="str">
        <f t="shared" si="32"/>
        <v/>
      </c>
      <c r="AL63" s="70" t="str">
        <f t="shared" si="32"/>
        <v/>
      </c>
      <c r="AM63" s="69" t="str">
        <f t="shared" si="32"/>
        <v/>
      </c>
      <c r="AN63" s="69" t="str">
        <f t="shared" si="32"/>
        <v/>
      </c>
      <c r="AO63" s="69" t="str">
        <f t="shared" ref="AO63:BK63" si="33">IFERROR(AO62/AJ62-1,"")</f>
        <v/>
      </c>
      <c r="AP63" s="69">
        <f t="shared" si="33"/>
        <v>0.5373859698261676</v>
      </c>
      <c r="AQ63" s="70">
        <f t="shared" si="33"/>
        <v>0.5373859698261676</v>
      </c>
      <c r="AR63" s="69">
        <f t="shared" si="33"/>
        <v>0.5864145187355041</v>
      </c>
      <c r="AS63" s="69">
        <f t="shared" si="33"/>
        <v>0.69037152270550584</v>
      </c>
      <c r="AT63" s="69">
        <f t="shared" si="33"/>
        <v>0.71814622533239048</v>
      </c>
      <c r="AU63" s="69">
        <f t="shared" si="33"/>
        <v>0.62662223852101739</v>
      </c>
      <c r="AV63" s="70">
        <f t="shared" si="33"/>
        <v>0.62662223852101739</v>
      </c>
      <c r="AW63" s="69">
        <f t="shared" si="33"/>
        <v>1.5637341451217202E-2</v>
      </c>
      <c r="AX63" s="69">
        <f t="shared" si="33"/>
        <v>-5.8713632997620335E-2</v>
      </c>
      <c r="AY63" s="69">
        <f t="shared" si="33"/>
        <v>-0.11653735597595283</v>
      </c>
      <c r="AZ63" s="69">
        <f t="shared" si="33"/>
        <v>-0.15523697733868091</v>
      </c>
      <c r="BA63" s="70">
        <f t="shared" si="33"/>
        <v>0.27057501847099941</v>
      </c>
      <c r="BB63" s="69" t="str">
        <f t="shared" si="33"/>
        <v/>
      </c>
      <c r="BC63" s="69" t="str">
        <f t="shared" si="33"/>
        <v/>
      </c>
      <c r="BD63" s="69" t="str">
        <f t="shared" si="33"/>
        <v/>
      </c>
      <c r="BE63" s="69" t="str">
        <f t="shared" si="33"/>
        <v/>
      </c>
      <c r="BF63" s="70" t="str">
        <f t="shared" si="33"/>
        <v/>
      </c>
      <c r="BG63" s="69" t="str">
        <f t="shared" si="33"/>
        <v/>
      </c>
      <c r="BH63" s="69" t="str">
        <f t="shared" si="33"/>
        <v/>
      </c>
      <c r="BI63" s="69" t="str">
        <f t="shared" si="33"/>
        <v/>
      </c>
      <c r="BJ63" s="69" t="str">
        <f t="shared" si="33"/>
        <v/>
      </c>
      <c r="BK63" s="70" t="str">
        <f t="shared" si="33"/>
        <v/>
      </c>
    </row>
    <row r="64" spans="1:63" s="54" customFormat="1" ht="12.75" customHeight="1" outlineLevel="1">
      <c r="A64" s="53"/>
      <c r="B64" s="68" t="s">
        <v>33</v>
      </c>
      <c r="C64" s="68"/>
      <c r="D64" s="69"/>
      <c r="E64" s="69"/>
      <c r="F64" s="69"/>
      <c r="G64" s="69"/>
      <c r="H64" s="72"/>
      <c r="I64" s="69" t="str">
        <f>IFERROR(I62/G62-1,"")</f>
        <v/>
      </c>
      <c r="J64" s="69" t="str">
        <f>IFERROR(J62/I62-1,"")</f>
        <v/>
      </c>
      <c r="K64" s="69" t="str">
        <f>IFERROR(K62/J62-1,"")</f>
        <v/>
      </c>
      <c r="L64" s="69" t="str">
        <f>IFERROR(L62/K62-1,"")</f>
        <v/>
      </c>
      <c r="M64" s="72"/>
      <c r="N64" s="69" t="str">
        <f>IFERROR(N62/L62-1,"")</f>
        <v/>
      </c>
      <c r="O64" s="69" t="str">
        <f>IFERROR(O62/N62-1,"")</f>
        <v/>
      </c>
      <c r="P64" s="69" t="str">
        <f>IFERROR(P62/O62-1,"")</f>
        <v/>
      </c>
      <c r="Q64" s="69" t="str">
        <f>IFERROR(Q62/P62-1,"")</f>
        <v/>
      </c>
      <c r="R64" s="72"/>
      <c r="S64" s="69" t="str">
        <f>IFERROR(S62/Q62-1,"")</f>
        <v/>
      </c>
      <c r="T64" s="69" t="str">
        <f>IFERROR(T62/S62-1,"")</f>
        <v/>
      </c>
      <c r="U64" s="69" t="str">
        <f>IFERROR(U62/T62-1,"")</f>
        <v/>
      </c>
      <c r="V64" s="69" t="str">
        <f>IFERROR(V62/U62-1,"")</f>
        <v/>
      </c>
      <c r="W64" s="72"/>
      <c r="X64" s="69" t="str">
        <f>IFERROR(X62/V62-1,"")</f>
        <v/>
      </c>
      <c r="Y64" s="69" t="str">
        <f>IFERROR(Y62/X62-1,"")</f>
        <v/>
      </c>
      <c r="Z64" s="69" t="str">
        <f>IFERROR(Z62/Y62-1,"")</f>
        <v/>
      </c>
      <c r="AA64" s="69" t="str">
        <f>IFERROR(AA62/Z62-1,"")</f>
        <v/>
      </c>
      <c r="AB64" s="72"/>
      <c r="AC64" s="69" t="str">
        <f>IFERROR(AC62/AA62-1,"")</f>
        <v/>
      </c>
      <c r="AD64" s="69" t="str">
        <f>IFERROR(AD62/AC62-1,"")</f>
        <v/>
      </c>
      <c r="AE64" s="69" t="str">
        <f>IFERROR(AE62/AD62-1,"")</f>
        <v/>
      </c>
      <c r="AF64" s="69" t="str">
        <f>IFERROR(AF62/AE62-1,"")</f>
        <v/>
      </c>
      <c r="AG64" s="72"/>
      <c r="AH64" s="69" t="str">
        <f>IFERROR(AH62/AF62-1,"")</f>
        <v/>
      </c>
      <c r="AI64" s="69" t="str">
        <f>IFERROR(AI62/AH62-1,"")</f>
        <v/>
      </c>
      <c r="AJ64" s="69" t="str">
        <f>IFERROR(AJ62/AI62-1,"")</f>
        <v/>
      </c>
      <c r="AK64" s="69" t="str">
        <f>IFERROR(AK62/AJ62-1,"")</f>
        <v/>
      </c>
      <c r="AL64" s="72"/>
      <c r="AM64" s="69">
        <f>IFERROR(AM62/AK62-1,"")</f>
        <v>9.5976044388061288E-2</v>
      </c>
      <c r="AN64" s="69">
        <f>IFERROR(AN62/AM62-1,"")</f>
        <v>7.8887120764737917E-2</v>
      </c>
      <c r="AO64" s="69">
        <f>IFERROR(AO62/AN62-1,"")</f>
        <v>0.11261745515949295</v>
      </c>
      <c r="AP64" s="69">
        <f>IFERROR(AP62/AO62-1,"")</f>
        <v>0.16858410315383221</v>
      </c>
      <c r="AQ64" s="72"/>
      <c r="AR64" s="69">
        <f>IFERROR(AR62/AP62-1,"")</f>
        <v>0.13092765455646727</v>
      </c>
      <c r="AS64" s="69">
        <f>IFERROR(AS62/AR62-1,"")</f>
        <v>0.14958609090901165</v>
      </c>
      <c r="AT64" s="69">
        <f>IFERROR(AT62/AS62-1,"")</f>
        <v>0.13089900956303335</v>
      </c>
      <c r="AU64" s="69">
        <f>IFERROR(AU62/AT62-1,"")</f>
        <v>0.10633475879180598</v>
      </c>
      <c r="AV64" s="72"/>
      <c r="AW64" s="69">
        <f>IFERROR(AW62/AU62-1,"")</f>
        <v>-0.29386656025817648</v>
      </c>
      <c r="AX64" s="69">
        <f>IFERROR(AX62/AW62-1,"")</f>
        <v>6.5429234338747033E-2</v>
      </c>
      <c r="AY64" s="69">
        <f>IFERROR(AY62/AX62-1,"")</f>
        <v>6.1427280939476026E-2</v>
      </c>
      <c r="AZ64" s="69">
        <f>IFERROR(AZ62/AY62-1,"")</f>
        <v>5.787234042553191E-2</v>
      </c>
      <c r="BA64" s="72"/>
      <c r="BB64" s="69" t="str">
        <f>IFERROR(BB62/AZ62-1,"")</f>
        <v/>
      </c>
      <c r="BC64" s="69" t="str">
        <f>IFERROR(BC62/BB62-1,"")</f>
        <v/>
      </c>
      <c r="BD64" s="69" t="str">
        <f>IFERROR(BD62/BC62-1,"")</f>
        <v/>
      </c>
      <c r="BE64" s="69" t="str">
        <f>IFERROR(BE62/BD62-1,"")</f>
        <v/>
      </c>
      <c r="BF64" s="72"/>
      <c r="BG64" s="69" t="str">
        <f>IFERROR(BG62/BE62-1,"")</f>
        <v/>
      </c>
      <c r="BH64" s="69" t="str">
        <f>IFERROR(BH62/BG62-1,"")</f>
        <v/>
      </c>
      <c r="BI64" s="69" t="str">
        <f>IFERROR(BI62/BH62-1,"")</f>
        <v/>
      </c>
      <c r="BJ64" s="69" t="str">
        <f>IFERROR(BJ62/BI62-1,"")</f>
        <v/>
      </c>
      <c r="BK64" s="72"/>
    </row>
    <row r="65" spans="1:63" s="54" customFormat="1" ht="12.75" customHeight="1" outlineLevel="1">
      <c r="A65" s="53"/>
      <c r="B65" s="85"/>
      <c r="C65" s="73"/>
      <c r="D65" s="84"/>
      <c r="E65" s="69"/>
      <c r="F65" s="69"/>
      <c r="G65" s="69"/>
      <c r="H65" s="86"/>
      <c r="I65" s="69"/>
      <c r="J65" s="69"/>
      <c r="K65" s="69"/>
      <c r="L65" s="69"/>
      <c r="M65" s="72"/>
      <c r="N65" s="69"/>
      <c r="O65" s="69"/>
      <c r="P65" s="69"/>
      <c r="Q65" s="69"/>
      <c r="R65" s="72"/>
      <c r="S65" s="69"/>
      <c r="T65" s="69"/>
      <c r="U65" s="69"/>
      <c r="V65" s="69"/>
      <c r="W65" s="72"/>
      <c r="X65" s="69"/>
      <c r="Y65" s="69"/>
      <c r="Z65" s="69"/>
      <c r="AA65" s="69"/>
      <c r="AB65" s="72"/>
      <c r="AC65" s="69"/>
      <c r="AD65" s="69"/>
      <c r="AE65" s="69"/>
      <c r="AF65" s="69"/>
      <c r="AG65" s="72"/>
      <c r="AH65" s="69"/>
      <c r="AI65" s="69"/>
      <c r="AJ65" s="69"/>
      <c r="AK65" s="69"/>
      <c r="AL65" s="72"/>
      <c r="AM65" s="69"/>
      <c r="AN65" s="69"/>
      <c r="AO65" s="69"/>
      <c r="AP65" s="69"/>
      <c r="AQ65" s="72"/>
      <c r="AR65" s="69"/>
      <c r="AS65" s="69"/>
      <c r="AT65" s="69"/>
      <c r="AU65" s="69"/>
      <c r="AV65" s="72"/>
      <c r="AW65" s="69"/>
      <c r="AX65" s="69"/>
      <c r="AY65" s="69"/>
      <c r="AZ65" s="69"/>
      <c r="BA65" s="72"/>
      <c r="BB65" s="69"/>
      <c r="BC65" s="69"/>
      <c r="BD65" s="69"/>
      <c r="BE65" s="69"/>
      <c r="BF65" s="72"/>
      <c r="BG65" s="69"/>
      <c r="BH65" s="69"/>
      <c r="BI65" s="69"/>
      <c r="BJ65" s="69"/>
      <c r="BK65" s="72"/>
    </row>
    <row r="66" spans="1:63" s="641" customFormat="1" ht="12.75" customHeight="1" outlineLevel="1">
      <c r="A66" s="642" t="s">
        <v>48</v>
      </c>
      <c r="B66" s="637" t="s">
        <v>49</v>
      </c>
      <c r="C66" s="638"/>
      <c r="D66" s="639"/>
      <c r="E66" s="639"/>
      <c r="F66" s="639"/>
      <c r="G66" s="639"/>
      <c r="H66" s="640"/>
      <c r="I66" s="639" t="str" cm="1">
        <f t="array" ref="I66">_xlfn.SINGLE(IF(ISERROR(_xll.FDS($C$2,"FE_ESTIMATE(DEFREVENUE,MEAN,QUARTERLY_ROLL,"&amp;I$9&amp;","&amp;$C$5&amp;",,,'')")), "--", _xll.FDS($C$2,"FE_ESTIMATE(DEFREVENUE,MEAN,QUARTERLY_ROLL,"&amp;I$9&amp;","&amp;$C$5&amp;",,,'')")))</f>
        <v>--</v>
      </c>
      <c r="J66" s="639" t="str" cm="1">
        <f t="array" ref="J66">_xlfn.SINGLE(IF(ISERROR(_xll.FDS($C$2,"FE_ESTIMATE(DEFREVENUE,MEAN,QUARTERLY_ROLL,"&amp;J$9&amp;","&amp;$C$5&amp;",,,'')")), "--", _xll.FDS($C$2,"FE_ESTIMATE(DEFREVENUE,MEAN,QUARTERLY_ROLL,"&amp;J$9&amp;","&amp;$C$5&amp;",,,'')")))</f>
        <v>--</v>
      </c>
      <c r="K66" s="639" t="str" cm="1">
        <f t="array" ref="K66">_xlfn.SINGLE(IF(ISERROR(_xll.FDS($C$2,"FE_ESTIMATE(DEFREVENUE,MEAN,QUARTERLY_ROLL,"&amp;K$9&amp;","&amp;$C$5&amp;",,,'')")), "--", _xll.FDS($C$2,"FE_ESTIMATE(DEFREVENUE,MEAN,QUARTERLY_ROLL,"&amp;K$9&amp;","&amp;$C$5&amp;",,,'')")))</f>
        <v>--</v>
      </c>
      <c r="L66" s="639" t="str" cm="1">
        <f t="array" ref="L66">_xlfn.SINGLE(IF(ISERROR(_xll.FDS($C$2,"FE_ESTIMATE(DEFREVENUE,MEAN,QUARTERLY_ROLL,"&amp;L$9&amp;","&amp;$C$5&amp;",,,'')")), "--", _xll.FDS($C$2,"FE_ESTIMATE(DEFREVENUE,MEAN,QUARTERLY_ROLL,"&amp;L$9&amp;","&amp;$C$5&amp;",,,'')")))</f>
        <v>--</v>
      </c>
      <c r="M66" s="640" t="str" cm="1">
        <f t="array" ref="M66">_xlfn.SINGLE(IF(ISERROR(_xll.FDS($C$2,"FE_ESTIMATE(DEFREVENUE,MEAN,ANNUAL_ROLL,"&amp;M$9&amp;","&amp;$C$5&amp;",,,'')")), "--", _xll.FDS($C$2,"FE_ESTIMATE(DEFREVENUE,MEAN,ANNUAL_ROLL,"&amp;M$9&amp;","&amp;$C$5&amp;",,,'')")))</f>
        <v>--</v>
      </c>
      <c r="N66" s="639" t="str" cm="1">
        <f t="array" ref="N66">_xlfn.SINGLE(IF(ISERROR(_xll.FDS($C$2,"FE_ESTIMATE(DEFREVENUE,MEAN,QUARTERLY_ROLL,"&amp;N$9&amp;","&amp;$C$5&amp;",,,'')")), "--", _xll.FDS($C$2,"FE_ESTIMATE(DEFREVENUE,MEAN,QUARTERLY_ROLL,"&amp;N$9&amp;","&amp;$C$5&amp;",,,'')")))</f>
        <v>--</v>
      </c>
      <c r="O66" s="639" t="str" cm="1">
        <f t="array" ref="O66">_xlfn.SINGLE(IF(ISERROR(_xll.FDS($C$2,"FE_ESTIMATE(DEFREVENUE,MEAN,QUARTERLY_ROLL,"&amp;O$9&amp;","&amp;$C$5&amp;",,,'')")), "--", _xll.FDS($C$2,"FE_ESTIMATE(DEFREVENUE,MEAN,QUARTERLY_ROLL,"&amp;O$9&amp;","&amp;$C$5&amp;",,,'')")))</f>
        <v>--</v>
      </c>
      <c r="P66" s="639" t="str" cm="1">
        <f t="array" ref="P66">_xlfn.SINGLE(IF(ISERROR(_xll.FDS($C$2,"FE_ESTIMATE(DEFREVENUE,MEAN,QUARTERLY_ROLL,"&amp;P$9&amp;","&amp;$C$5&amp;",,,'')")), "--", _xll.FDS($C$2,"FE_ESTIMATE(DEFREVENUE,MEAN,QUARTERLY_ROLL,"&amp;P$9&amp;","&amp;$C$5&amp;",,,'')")))</f>
        <v>--</v>
      </c>
      <c r="Q66" s="639" t="str" cm="1">
        <f t="array" ref="Q66">_xlfn.SINGLE(IF(ISERROR(_xll.FDS($C$2,"FE_ESTIMATE(DEFREVENUE,MEAN,QUARTERLY_ROLL,"&amp;Q$9&amp;","&amp;$C$5&amp;",,,'')")), "--", _xll.FDS($C$2,"FE_ESTIMATE(DEFREVENUE,MEAN,QUARTERLY_ROLL,"&amp;Q$9&amp;","&amp;$C$5&amp;",,,'')")))</f>
        <v>--</v>
      </c>
      <c r="R66" s="640" t="str" cm="1">
        <f t="array" ref="R66">_xlfn.SINGLE(IF(ISERROR(_xll.FDS($C$2,"FE_ESTIMATE(DEFREVENUE,MEAN,ANNUAL_ROLL,"&amp;R$9&amp;","&amp;$C$5&amp;",,,'')")), "--", _xll.FDS($C$2,"FE_ESTIMATE(DEFREVENUE,MEAN,ANNUAL_ROLL,"&amp;R$9&amp;","&amp;$C$5&amp;",,,'')")))</f>
        <v>--</v>
      </c>
      <c r="S66" s="639" t="str" cm="1">
        <f t="array" ref="S66">_xlfn.SINGLE(IF(ISERROR(_xll.FDS($C$2,"FE_ESTIMATE(DEFREVENUE,MEAN,QUARTERLY_ROLL,"&amp;S$9&amp;","&amp;$C$5&amp;",,,'')")), "--", _xll.FDS($C$2,"FE_ESTIMATE(DEFREVENUE,MEAN,QUARTERLY_ROLL,"&amp;S$9&amp;","&amp;$C$5&amp;",,,'')")))</f>
        <v>--</v>
      </c>
      <c r="T66" s="639" t="str" cm="1">
        <f t="array" ref="T66">_xlfn.SINGLE(IF(ISERROR(_xll.FDS($C$2,"FE_ESTIMATE(DEFREVENUE,MEAN,QUARTERLY_ROLL,"&amp;T$9&amp;","&amp;$C$5&amp;",,,'')")), "--", _xll.FDS($C$2,"FE_ESTIMATE(DEFREVENUE,MEAN,QUARTERLY_ROLL,"&amp;T$9&amp;","&amp;$C$5&amp;",,,'')")))</f>
        <v>--</v>
      </c>
      <c r="U66" s="639" t="str" cm="1">
        <f t="array" ref="U66">_xlfn.SINGLE(IF(ISERROR(_xll.FDS($C$2,"FE_ESTIMATE(DEFREVENUE,MEAN,QUARTERLY_ROLL,"&amp;U$9&amp;","&amp;$C$5&amp;",,,'')")), "--", _xll.FDS($C$2,"FE_ESTIMATE(DEFREVENUE,MEAN,QUARTERLY_ROLL,"&amp;U$9&amp;","&amp;$C$5&amp;",,,'')")))</f>
        <v>--</v>
      </c>
      <c r="V66" s="639" t="str" cm="1">
        <f t="array" ref="V66">_xlfn.SINGLE(IF(ISERROR(_xll.FDS($C$2,"FE_ESTIMATE(DEFREVENUE,MEAN,QUARTERLY_ROLL,"&amp;V$9&amp;","&amp;$C$5&amp;",,,'')")), "--", _xll.FDS($C$2,"FE_ESTIMATE(DEFREVENUE,MEAN,QUARTERLY_ROLL,"&amp;V$9&amp;","&amp;$C$5&amp;",,,'')")))</f>
        <v>--</v>
      </c>
      <c r="W66" s="640" t="str" cm="1">
        <f t="array" ref="W66">_xlfn.SINGLE(IF(ISERROR(_xll.FDS($C$2,"FE_ESTIMATE(DEFREVENUE,MEAN,ANNUAL_ROLL,"&amp;W$9&amp;","&amp;$C$5&amp;",,,'')")), "--", _xll.FDS($C$2,"FE_ESTIMATE(DEFREVENUE,MEAN,ANNUAL_ROLL,"&amp;W$9&amp;","&amp;$C$5&amp;",,,'')")))</f>
        <v>--</v>
      </c>
      <c r="X66" s="639" t="str" cm="1">
        <f t="array" ref="X66">_xlfn.SINGLE(IF(ISERROR(_xll.FDS($C$2,"FE_ESTIMATE(DEFREVENUE,MEAN,QUARTERLY_ROLL,"&amp;X$9&amp;","&amp;$C$5&amp;",,,'')")), "--", _xll.FDS($C$2,"FE_ESTIMATE(DEFREVENUE,MEAN,QUARTERLY_ROLL,"&amp;X$9&amp;","&amp;$C$5&amp;",,,'')")))</f>
        <v>--</v>
      </c>
      <c r="Y66" s="639" t="str" cm="1">
        <f t="array" ref="Y66">_xlfn.SINGLE(IF(ISERROR(_xll.FDS($C$2,"FE_ESTIMATE(DEFREVENUE,MEAN,QUARTERLY_ROLL,"&amp;Y$9&amp;","&amp;$C$5&amp;",,,'')")), "--", _xll.FDS($C$2,"FE_ESTIMATE(DEFREVENUE,MEAN,QUARTERLY_ROLL,"&amp;Y$9&amp;","&amp;$C$5&amp;",,,'')")))</f>
        <v>--</v>
      </c>
      <c r="Z66" s="639" t="str" cm="1">
        <f t="array" ref="Z66">_xlfn.SINGLE(IF(ISERROR(_xll.FDS($C$2,"FE_ESTIMATE(DEFREVENUE,MEAN,QUARTERLY_ROLL,"&amp;Z$9&amp;","&amp;$C$5&amp;",,,'')")), "--", _xll.FDS($C$2,"FE_ESTIMATE(DEFREVENUE,MEAN,QUARTERLY_ROLL,"&amp;Z$9&amp;","&amp;$C$5&amp;",,,'')")))</f>
        <v>--</v>
      </c>
      <c r="AA66" s="639" t="str" cm="1">
        <f t="array" ref="AA66">_xlfn.SINGLE(IF(ISERROR(_xll.FDS($C$2,"FE_ESTIMATE(DEFREVENUE,MEAN,QUARTERLY_ROLL,"&amp;AA$9&amp;","&amp;$C$5&amp;",,,'')")), "--", _xll.FDS($C$2,"FE_ESTIMATE(DEFREVENUE,MEAN,QUARTERLY_ROLL,"&amp;AA$9&amp;","&amp;$C$5&amp;",,,'')")))</f>
        <v>--</v>
      </c>
      <c r="AB66" s="640" t="str" cm="1">
        <f t="array" ref="AB66">_xlfn.SINGLE(IF(ISERROR(_xll.FDS($C$2,"FE_ESTIMATE(DEFREVENUE,MEAN,ANNUAL_ROLL,"&amp;AB$9&amp;","&amp;$C$5&amp;",,,'')")), "--", _xll.FDS($C$2,"FE_ESTIMATE(DEFREVENUE,MEAN,ANNUAL_ROLL,"&amp;AB$9&amp;","&amp;$C$5&amp;",,,'')")))</f>
        <v>--</v>
      </c>
      <c r="AC66" s="639" t="str" cm="1">
        <f t="array" ref="AC66">_xlfn.SINGLE(IF(ISERROR(_xll.FDS($C$2,"FE_ESTIMATE(DEFREVENUE,MEAN,QUARTERLY_ROLL,"&amp;AC$9&amp;","&amp;$C$5&amp;",,,'')")), "--", _xll.FDS($C$2,"FE_ESTIMATE(DEFREVENUE,MEAN,QUARTERLY_ROLL,"&amp;AC$9&amp;","&amp;$C$5&amp;",,,'')")))</f>
        <v>--</v>
      </c>
      <c r="AD66" s="639" t="str" cm="1">
        <f t="array" ref="AD66">_xlfn.SINGLE(IF(ISERROR(_xll.FDS($C$2,"FE_ESTIMATE(DEFREVENUE,MEAN,QUARTERLY_ROLL,"&amp;AD$9&amp;","&amp;$C$5&amp;",,,'')")), "--", _xll.FDS($C$2,"FE_ESTIMATE(DEFREVENUE,MEAN,QUARTERLY_ROLL,"&amp;AD$9&amp;","&amp;$C$5&amp;",,,'')")))</f>
        <v>--</v>
      </c>
      <c r="AE66" s="639" t="str" cm="1">
        <f t="array" ref="AE66">_xlfn.SINGLE(IF(ISERROR(_xll.FDS($C$2,"FE_ESTIMATE(DEFREVENUE,MEAN,QUARTERLY_ROLL,"&amp;AE$9&amp;","&amp;$C$5&amp;",,,'')")), "--", _xll.FDS($C$2,"FE_ESTIMATE(DEFREVENUE,MEAN,QUARTERLY_ROLL,"&amp;AE$9&amp;","&amp;$C$5&amp;",,,'')")))</f>
        <v>--</v>
      </c>
      <c r="AF66" s="639" t="str" cm="1">
        <f t="array" ref="AF66">_xlfn.SINGLE(IF(ISERROR(_xll.FDS($C$2,"FE_ESTIMATE(DEFREVENUE,MEAN,QUARTERLY_ROLL,"&amp;AF$9&amp;","&amp;$C$5&amp;",,,'')")), "--", _xll.FDS($C$2,"FE_ESTIMATE(DEFREVENUE,MEAN,QUARTERLY_ROLL,"&amp;AF$9&amp;","&amp;$C$5&amp;",,,'')")))</f>
        <v>--</v>
      </c>
      <c r="AG66" s="640" t="str" cm="1">
        <f t="array" ref="AG66">_xlfn.SINGLE(IF(ISERROR(_xll.FDS($C$2,"FE_ESTIMATE(DEFREVENUE,MEAN,ANNUAL_ROLL,"&amp;AG$9&amp;","&amp;$C$5&amp;",,,'')")), "--", _xll.FDS($C$2,"FE_ESTIMATE(DEFREVENUE,MEAN,ANNUAL_ROLL,"&amp;AG$9&amp;","&amp;$C$5&amp;",,,'')")))</f>
        <v>--</v>
      </c>
      <c r="AH66" s="639" t="str" cm="1">
        <f t="array" ref="AH66">_xlfn.SINGLE(IF(ISERROR(_xll.FDS($C$2,"FE_ESTIMATE(DEFREVENUE,MEAN,QUARTERLY_ROLL,"&amp;AH$9&amp;","&amp;$C$5&amp;",,,'')")), "--", _xll.FDS($C$2,"FE_ESTIMATE(DEFREVENUE,MEAN,QUARTERLY_ROLL,"&amp;AH$9&amp;","&amp;$C$5&amp;",,,'')")))</f>
        <v>--</v>
      </c>
      <c r="AI66" s="639" t="str" cm="1">
        <f t="array" ref="AI66">_xlfn.SINGLE(IF(ISERROR(_xll.FDS($C$2,"FE_ESTIMATE(DEFREVENUE,MEAN,QUARTERLY_ROLL,"&amp;AI$9&amp;","&amp;$C$5&amp;",,,'')")), "--", _xll.FDS($C$2,"FE_ESTIMATE(DEFREVENUE,MEAN,QUARTERLY_ROLL,"&amp;AI$9&amp;","&amp;$C$5&amp;",,,'')")))</f>
        <v>--</v>
      </c>
      <c r="AJ66" s="639" t="str" cm="1">
        <f t="array" ref="AJ66">_xlfn.SINGLE(IF(ISERROR(_xll.FDS($C$2,"FE_ESTIMATE(DEFREVENUE,MEAN,QUARTERLY_ROLL,"&amp;AJ$9&amp;","&amp;$C$5&amp;",,,'')")), "--", _xll.FDS($C$2,"FE_ESTIMATE(DEFREVENUE,MEAN,QUARTERLY_ROLL,"&amp;AJ$9&amp;","&amp;$C$5&amp;",,,'')")))</f>
        <v>--</v>
      </c>
      <c r="AK66" s="639" cm="1">
        <f t="array" ref="AK66">_xlfn.SINGLE(IF(ISERROR(_xll.FDS($C$2,"FE_ESTIMATE(DEFREVENUE,MEAN,QUARTERLY_ROLL,"&amp;AK$9&amp;","&amp;$C$5&amp;",,,'')")), "--", _xll.FDS($C$2,"FE_ESTIMATE(DEFREVENUE,MEAN,QUARTERLY_ROLL,"&amp;AK$9&amp;","&amp;$C$5&amp;",,,'')")))</f>
        <v>4063.9564999999998</v>
      </c>
      <c r="AL66" s="640" cm="1">
        <f t="array" ref="AL66">_xlfn.SINGLE(IF(ISERROR(_xll.FDS($C$2,"FE_ESTIMATE(DEFREVENUE,MEAN,ANNUAL_ROLL,"&amp;AL$9&amp;","&amp;$C$5&amp;",,,'')")), "--", _xll.FDS($C$2,"FE_ESTIMATE(DEFREVENUE,MEAN,ANNUAL_ROLL,"&amp;AL$9&amp;","&amp;$C$5&amp;",,,'')")))</f>
        <v>4063.9564999999998</v>
      </c>
      <c r="AM66" s="639" cm="1">
        <f t="array" ref="AM66">_xlfn.SINGLE(IF(ISERROR(_xll.FDS($C$2,"FE_ESTIMATE(DEFREVENUE,MEAN,QUARTERLY_ROLL,"&amp;AM$9&amp;","&amp;$C$5&amp;",,,'')")), "--", _xll.FDS($C$2,"FE_ESTIMATE(DEFREVENUE,MEAN,QUARTERLY_ROLL,"&amp;AM$9&amp;","&amp;$C$5&amp;",,,'')")))</f>
        <v>4047.9998000000001</v>
      </c>
      <c r="AN66" s="639" cm="1">
        <f t="array" ref="AN66">_xlfn.SINGLE(IF(ISERROR(_xll.FDS($C$2,"FE_ESTIMATE(DEFREVENUE,MEAN,QUARTERLY_ROLL,"&amp;AN$9&amp;","&amp;$C$5&amp;",,,'')")), "--", _xll.FDS($C$2,"FE_ESTIMATE(DEFREVENUE,MEAN,QUARTERLY_ROLL,"&amp;AN$9&amp;","&amp;$C$5&amp;",,,'')")))</f>
        <v>4847.4309999999996</v>
      </c>
      <c r="AO66" s="639" cm="1">
        <f t="array" ref="AO66">_xlfn.SINGLE(IF(ISERROR(_xll.FDS($C$2,"FE_ESTIMATE(DEFREVENUE,MEAN,QUARTERLY_ROLL,"&amp;AO$9&amp;","&amp;$C$5&amp;",,,'')")), "--", _xll.FDS($C$2,"FE_ESTIMATE(DEFREVENUE,MEAN,QUARTERLY_ROLL,"&amp;AO$9&amp;","&amp;$C$5&amp;",,,'')")))</f>
        <v>5819.6480000000001</v>
      </c>
      <c r="AP66" s="639" cm="1">
        <f t="array" ref="AP66">_xlfn.SINGLE(IF(ISERROR(_xll.FDS($C$2,"FE_ESTIMATE(DEFREVENUE,MEAN,QUARTERLY_ROLL,"&amp;AP$9&amp;","&amp;$C$5&amp;",,,'')")), "--", _xll.FDS($C$2,"FE_ESTIMATE(DEFREVENUE,MEAN,QUARTERLY_ROLL,"&amp;AP$9&amp;","&amp;$C$5&amp;",,,'')")))</f>
        <v>6822.1989999999996</v>
      </c>
      <c r="AQ66" s="640" cm="1">
        <f t="array" ref="AQ66">_xlfn.SINGLE(IF(ISERROR(_xll.FDS($C$2,"FE_ESTIMATE(DEFREVENUE,MEAN,ANNUAL_ROLL,"&amp;AQ$9&amp;","&amp;$C$5&amp;",,,'')")), "--", _xll.FDS($C$2,"FE_ESTIMATE(DEFREVENUE,MEAN,ANNUAL_ROLL,"&amp;AQ$9&amp;","&amp;$C$5&amp;",,,'')")))</f>
        <v>6822.1989999999996</v>
      </c>
      <c r="AR66" s="639" cm="1">
        <f t="array" ref="AR66">_xlfn.SINGLE(IF(ISERROR(_xll.FDS($C$2,"FE_ESTIMATE(DEFREVENUE,MEAN,QUARTERLY_ROLL,"&amp;AR$9&amp;","&amp;$C$5&amp;",,,'')")), "--", _xll.FDS($C$2,"FE_ESTIMATE(DEFREVENUE,MEAN,QUARTERLY_ROLL,"&amp;AR$9&amp;","&amp;$C$5&amp;",,,'')")))</f>
        <v>7667.1543000000001</v>
      </c>
      <c r="AS66" s="639" cm="1">
        <f t="array" ref="AS66">_xlfn.SINGLE(IF(ISERROR(_xll.FDS($C$2,"FE_ESTIMATE(DEFREVENUE,MEAN,QUARTERLY_ROLL,"&amp;AS$9&amp;","&amp;$C$5&amp;",,,'')")), "--", _xll.FDS($C$2,"FE_ESTIMATE(DEFREVENUE,MEAN,QUARTERLY_ROLL,"&amp;AS$9&amp;","&amp;$C$5&amp;",,,'')")))</f>
        <v>8721.5370000000003</v>
      </c>
      <c r="AT66" s="639" cm="1">
        <f t="array" ref="AT66">_xlfn.SINGLE(IF(ISERROR(_xll.FDS($C$2,"FE_ESTIMATE(DEFREVENUE,MEAN,QUARTERLY_ROLL,"&amp;AT$9&amp;","&amp;$C$5&amp;",,,'')")), "--", _xll.FDS($C$2,"FE_ESTIMATE(DEFREVENUE,MEAN,QUARTERLY_ROLL,"&amp;AT$9&amp;","&amp;$C$5&amp;",,,'')")))</f>
        <v>9815.0220000000008</v>
      </c>
      <c r="AU66" s="639" cm="1">
        <f t="array" ref="AU66">_xlfn.SINGLE(IF(ISERROR(_xll.FDS($C$2,"FE_ESTIMATE(DEFREVENUE,MEAN,QUARTERLY_ROLL,"&amp;AU$9&amp;","&amp;$C$5&amp;",,,'')")), "--", _xll.FDS($C$2,"FE_ESTIMATE(DEFREVENUE,MEAN,QUARTERLY_ROLL,"&amp;AU$9&amp;","&amp;$C$5&amp;",,,'')")))</f>
        <v>10808.620999999999</v>
      </c>
      <c r="AV66" s="640" cm="1">
        <f t="array" ref="AV66">_xlfn.SINGLE(IF(ISERROR(_xll.FDS($C$2,"FE_ESTIMATE(DEFREVENUE,MEAN,ANNUAL_ROLL,"&amp;AV$9&amp;","&amp;$C$5&amp;",,,'')")), "--", _xll.FDS($C$2,"FE_ESTIMATE(DEFREVENUE,MEAN,ANNUAL_ROLL,"&amp;AV$9&amp;","&amp;$C$5&amp;",,,'')")))</f>
        <v>11063.989</v>
      </c>
      <c r="AW66" s="639" cm="1">
        <f t="array" ref="AW66">_xlfn.SINGLE(IF(ISERROR(_xll.FDS($C$2,"FE_ESTIMATE(DEFREVENUE,MEAN,QUARTERLY_ROLL,"&amp;AW$9&amp;","&amp;$C$5&amp;",,,'')")), "--", _xll.FDS($C$2,"FE_ESTIMATE(DEFREVENUE,MEAN,QUARTERLY_ROLL,"&amp;AW$9&amp;","&amp;$C$5&amp;",,,'')")))</f>
        <v>7365.2</v>
      </c>
      <c r="AX66" s="639" cm="1">
        <f t="array" ref="AX66">_xlfn.SINGLE(IF(ISERROR(_xll.FDS($C$2,"FE_ESTIMATE(DEFREVENUE,MEAN,QUARTERLY_ROLL,"&amp;AX$9&amp;","&amp;$C$5&amp;",,,'')")), "--", _xll.FDS($C$2,"FE_ESTIMATE(DEFREVENUE,MEAN,QUARTERLY_ROLL,"&amp;AX$9&amp;","&amp;$C$5&amp;",,,'')")))</f>
        <v>7847.1</v>
      </c>
      <c r="AY66" s="639" cm="1">
        <f t="array" ref="AY66">_xlfn.SINGLE(IF(ISERROR(_xll.FDS($C$2,"FE_ESTIMATE(DEFREVENUE,MEAN,QUARTERLY_ROLL,"&amp;AY$9&amp;","&amp;$C$5&amp;",,,'')")), "--", _xll.FDS($C$2,"FE_ESTIMATE(DEFREVENUE,MEAN,QUARTERLY_ROLL,"&amp;AY$9&amp;","&amp;$C$5&amp;",,,'')")))</f>
        <v>8329.1</v>
      </c>
      <c r="AZ66" s="639" cm="1">
        <f t="array" ref="AZ66">_xlfn.SINGLE(IF(ISERROR(_xll.FDS($C$2,"FE_ESTIMATE(DEFREVENUE,MEAN,QUARTERLY_ROLL,"&amp;AZ$9&amp;","&amp;$C$5&amp;",,,'')")), "--", _xll.FDS($C$2,"FE_ESTIMATE(DEFREVENUE,MEAN,QUARTERLY_ROLL,"&amp;AZ$9&amp;","&amp;$C$5&amp;",,,'')")))</f>
        <v>8811.1</v>
      </c>
      <c r="BA66" s="640" cm="1">
        <f t="array" ref="BA66">_xlfn.SINGLE(IF(ISERROR(_xll.FDS($C$2,"FE_ESTIMATE(DEFREVENUE,MEAN,ANNUAL_ROLL,"&amp;BA$9&amp;","&amp;$C$5&amp;",,,'')")), "--", _xll.FDS($C$2,"FE_ESTIMATE(DEFREVENUE,MEAN,ANNUAL_ROLL,"&amp;BA$9&amp;","&amp;$C$5&amp;",,,'')")))</f>
        <v>13612</v>
      </c>
      <c r="BB66" s="639" t="str" cm="1">
        <f t="array" ref="BB66">_xlfn.SINGLE(IF(ISERROR(_xll.FDS($C$2,"FE_ESTIMATE(DEFREVENUE,MEAN,QUARTERLY_ROLL,"&amp;BB$9&amp;","&amp;$C$5&amp;",,,'')")), "--", _xll.FDS($C$2,"FE_ESTIMATE(DEFREVENUE,MEAN,QUARTERLY_ROLL,"&amp;BB$9&amp;","&amp;$C$5&amp;",,,'')")))</f>
        <v>--</v>
      </c>
      <c r="BC66" s="639" t="str" cm="1">
        <f t="array" ref="BC66">_xlfn.SINGLE(IF(ISERROR(_xll.FDS($C$2,"FE_ESTIMATE(DEFREVENUE,MEAN,QUARTERLY_ROLL,"&amp;BC$9&amp;","&amp;$C$5&amp;",,,'')")), "--", _xll.FDS($C$2,"FE_ESTIMATE(DEFREVENUE,MEAN,QUARTERLY_ROLL,"&amp;BC$9&amp;","&amp;$C$5&amp;",,,'')")))</f>
        <v>--</v>
      </c>
      <c r="BD66" s="639" t="str" cm="1">
        <f t="array" ref="BD66">_xlfn.SINGLE(IF(ISERROR(_xll.FDS($C$2,"FE_ESTIMATE(DEFREVENUE,MEAN,QUARTERLY_ROLL,"&amp;BD$9&amp;","&amp;$C$5&amp;",,,'')")), "--", _xll.FDS($C$2,"FE_ESTIMATE(DEFREVENUE,MEAN,QUARTERLY_ROLL,"&amp;BD$9&amp;","&amp;$C$5&amp;",,,'')")))</f>
        <v>--</v>
      </c>
      <c r="BE66" s="639" t="str" cm="1">
        <f t="array" ref="BE66">_xlfn.SINGLE(IF(ISERROR(_xll.FDS($C$2,"FE_ESTIMATE(DEFREVENUE,MEAN,QUARTERLY_ROLL,"&amp;BE$9&amp;","&amp;$C$5&amp;",,,'')")), "--", _xll.FDS($C$2,"FE_ESTIMATE(DEFREVENUE,MEAN,QUARTERLY_ROLL,"&amp;BE$9&amp;","&amp;$C$5&amp;",,,'')")))</f>
        <v>--</v>
      </c>
      <c r="BF66" s="640" cm="1">
        <f t="array" ref="BF66">_xlfn.SINGLE(IF(ISERROR(_xll.FDS($C$2,"FE_ESTIMATE(DEFREVENUE,MEAN,ANNUAL_ROLL,"&amp;BF$9&amp;","&amp;$C$5&amp;",,,'')")), "--", _xll.FDS($C$2,"FE_ESTIMATE(DEFREVENUE,MEAN,ANNUAL_ROLL,"&amp;BF$9&amp;","&amp;$C$5&amp;",,,'')")))</f>
        <v>18524.099999999999</v>
      </c>
      <c r="BG66" s="639" t="str" cm="1">
        <f t="array" ref="BG66">_xlfn.SINGLE(IF(ISERROR(_xll.FDS($C$2,"FE_ESTIMATE(DEFREVENUE,MEAN,QUARTERLY_ROLL,"&amp;BG$9&amp;","&amp;$C$5&amp;",,,'')")), "--", _xll.FDS($C$2,"FE_ESTIMATE(DEFREVENUE,MEAN,QUARTERLY_ROLL,"&amp;BG$9&amp;","&amp;$C$5&amp;",,,'')")))</f>
        <v>--</v>
      </c>
      <c r="BH66" s="639" t="str" cm="1">
        <f t="array" ref="BH66">_xlfn.SINGLE(IF(ISERROR(_xll.FDS($C$2,"FE_ESTIMATE(DEFREVENUE,MEAN,QUARTERLY_ROLL,"&amp;BH$9&amp;","&amp;$C$5&amp;",,,'')")), "--", _xll.FDS($C$2,"FE_ESTIMATE(DEFREVENUE,MEAN,QUARTERLY_ROLL,"&amp;BH$9&amp;","&amp;$C$5&amp;",,,'')")))</f>
        <v>--</v>
      </c>
      <c r="BI66" s="639" t="str" cm="1">
        <f t="array" ref="BI66">_xlfn.SINGLE(IF(ISERROR(_xll.FDS($C$2,"FE_ESTIMATE(DEFREVENUE,MEAN,QUARTERLY_ROLL,"&amp;BI$9&amp;","&amp;$C$5&amp;",,,'')")), "--", _xll.FDS($C$2,"FE_ESTIMATE(DEFREVENUE,MEAN,QUARTERLY_ROLL,"&amp;BI$9&amp;","&amp;$C$5&amp;",,,'')")))</f>
        <v>--</v>
      </c>
      <c r="BJ66" s="639" t="str" cm="1">
        <f t="array" ref="BJ66">_xlfn.SINGLE(IF(ISERROR(_xll.FDS($C$2,"FE_ESTIMATE(DEFREVENUE,MEAN,QUARTERLY_ROLL,"&amp;BJ$9&amp;","&amp;$C$5&amp;",,,'')")), "--", _xll.FDS($C$2,"FE_ESTIMATE(DEFREVENUE,MEAN,QUARTERLY_ROLL,"&amp;BJ$9&amp;","&amp;$C$5&amp;",,,'')")))</f>
        <v>--</v>
      </c>
      <c r="BK66" s="640" cm="1">
        <f t="array" ref="BK66">_xlfn.SINGLE(IF(ISERROR(_xll.FDS($C$2,"FE_ESTIMATE(DEFREVENUE,MEAN,ANNUAL_ROLL,"&amp;BK$9&amp;","&amp;$C$5&amp;",,,'')")), "--", _xll.FDS($C$2,"FE_ESTIMATE(DEFREVENUE,MEAN,ANNUAL_ROLL,"&amp;BK$9&amp;","&amp;$C$5&amp;",,,'')")))</f>
        <v>21537.4</v>
      </c>
    </row>
    <row r="67" spans="1:63" s="66" customFormat="1" ht="12.75" customHeight="1" outlineLevel="1">
      <c r="A67" s="67" t="s">
        <v>50</v>
      </c>
      <c r="B67" s="68" t="s">
        <v>31</v>
      </c>
      <c r="C67" s="68"/>
      <c r="D67" s="69"/>
      <c r="E67" s="69"/>
      <c r="F67" s="69"/>
      <c r="G67" s="69"/>
      <c r="H67" s="70"/>
      <c r="I67" s="69" t="str">
        <f t="shared" ref="I67:AN67" si="34">IFERROR(I66/D66-1,"")</f>
        <v/>
      </c>
      <c r="J67" s="69" t="str">
        <f t="shared" si="34"/>
        <v/>
      </c>
      <c r="K67" s="69" t="str">
        <f t="shared" si="34"/>
        <v/>
      </c>
      <c r="L67" s="69" t="str">
        <f t="shared" si="34"/>
        <v/>
      </c>
      <c r="M67" s="70" t="str">
        <f t="shared" si="34"/>
        <v/>
      </c>
      <c r="N67" s="69" t="str">
        <f t="shared" si="34"/>
        <v/>
      </c>
      <c r="O67" s="69" t="str">
        <f t="shared" si="34"/>
        <v/>
      </c>
      <c r="P67" s="69" t="str">
        <f t="shared" si="34"/>
        <v/>
      </c>
      <c r="Q67" s="69" t="str">
        <f t="shared" si="34"/>
        <v/>
      </c>
      <c r="R67" s="70" t="str">
        <f t="shared" si="34"/>
        <v/>
      </c>
      <c r="S67" s="69" t="str">
        <f t="shared" si="34"/>
        <v/>
      </c>
      <c r="T67" s="69" t="str">
        <f t="shared" si="34"/>
        <v/>
      </c>
      <c r="U67" s="69" t="str">
        <f t="shared" si="34"/>
        <v/>
      </c>
      <c r="V67" s="69" t="str">
        <f t="shared" si="34"/>
        <v/>
      </c>
      <c r="W67" s="70" t="str">
        <f t="shared" si="34"/>
        <v/>
      </c>
      <c r="X67" s="69" t="str">
        <f t="shared" si="34"/>
        <v/>
      </c>
      <c r="Y67" s="69" t="str">
        <f t="shared" si="34"/>
        <v/>
      </c>
      <c r="Z67" s="69" t="str">
        <f t="shared" si="34"/>
        <v/>
      </c>
      <c r="AA67" s="69" t="str">
        <f t="shared" si="34"/>
        <v/>
      </c>
      <c r="AB67" s="70" t="str">
        <f t="shared" si="34"/>
        <v/>
      </c>
      <c r="AC67" s="69" t="str">
        <f t="shared" si="34"/>
        <v/>
      </c>
      <c r="AD67" s="69" t="str">
        <f t="shared" si="34"/>
        <v/>
      </c>
      <c r="AE67" s="69" t="str">
        <f t="shared" si="34"/>
        <v/>
      </c>
      <c r="AF67" s="69" t="str">
        <f t="shared" si="34"/>
        <v/>
      </c>
      <c r="AG67" s="70" t="str">
        <f t="shared" si="34"/>
        <v/>
      </c>
      <c r="AH67" s="69" t="str">
        <f t="shared" si="34"/>
        <v/>
      </c>
      <c r="AI67" s="69" t="str">
        <f t="shared" si="34"/>
        <v/>
      </c>
      <c r="AJ67" s="69" t="str">
        <f t="shared" si="34"/>
        <v/>
      </c>
      <c r="AK67" s="69" t="str">
        <f t="shared" si="34"/>
        <v/>
      </c>
      <c r="AL67" s="70" t="str">
        <f t="shared" si="34"/>
        <v/>
      </c>
      <c r="AM67" s="69" t="str">
        <f t="shared" si="34"/>
        <v/>
      </c>
      <c r="AN67" s="69" t="str">
        <f t="shared" si="34"/>
        <v/>
      </c>
      <c r="AO67" s="69" t="str">
        <f t="shared" ref="AO67:BK67" si="35">IFERROR(AO66/AJ66-1,"")</f>
        <v/>
      </c>
      <c r="AP67" s="69">
        <f t="shared" si="35"/>
        <v>0.67870866728027224</v>
      </c>
      <c r="AQ67" s="70">
        <f t="shared" si="35"/>
        <v>0.67870866728027224</v>
      </c>
      <c r="AR67" s="69">
        <f t="shared" si="35"/>
        <v>0.89405995029940466</v>
      </c>
      <c r="AS67" s="69">
        <f t="shared" si="35"/>
        <v>0.79920807537023242</v>
      </c>
      <c r="AT67" s="69">
        <f t="shared" si="35"/>
        <v>0.68653190021114696</v>
      </c>
      <c r="AU67" s="69">
        <f t="shared" si="35"/>
        <v>0.58433094666397145</v>
      </c>
      <c r="AV67" s="70">
        <f t="shared" si="35"/>
        <v>0.62176286560975424</v>
      </c>
      <c r="AW67" s="69">
        <f t="shared" si="35"/>
        <v>-3.9382838558498889E-2</v>
      </c>
      <c r="AX67" s="69">
        <f t="shared" si="35"/>
        <v>-0.10026180018499031</v>
      </c>
      <c r="AY67" s="69">
        <f t="shared" si="35"/>
        <v>-0.1513926306023563</v>
      </c>
      <c r="AZ67" s="69">
        <f t="shared" si="35"/>
        <v>-0.18480812677213854</v>
      </c>
      <c r="BA67" s="70">
        <f t="shared" si="35"/>
        <v>0.23029768015857566</v>
      </c>
      <c r="BB67" s="69" t="str">
        <f t="shared" si="35"/>
        <v/>
      </c>
      <c r="BC67" s="69" t="str">
        <f t="shared" si="35"/>
        <v/>
      </c>
      <c r="BD67" s="69" t="str">
        <f t="shared" si="35"/>
        <v/>
      </c>
      <c r="BE67" s="69" t="str">
        <f t="shared" si="35"/>
        <v/>
      </c>
      <c r="BF67" s="70">
        <f t="shared" si="35"/>
        <v>0.36086541287099605</v>
      </c>
      <c r="BG67" s="69" t="str">
        <f t="shared" si="35"/>
        <v/>
      </c>
      <c r="BH67" s="69" t="str">
        <f t="shared" si="35"/>
        <v/>
      </c>
      <c r="BI67" s="69" t="str">
        <f t="shared" si="35"/>
        <v/>
      </c>
      <c r="BJ67" s="69" t="str">
        <f t="shared" si="35"/>
        <v/>
      </c>
      <c r="BK67" s="70">
        <f t="shared" si="35"/>
        <v>0.16266917151170657</v>
      </c>
    </row>
    <row r="68" spans="1:63" ht="12.75" customHeight="1" outlineLevel="1">
      <c r="A68" s="67" t="s">
        <v>51</v>
      </c>
      <c r="B68" s="68" t="s">
        <v>33</v>
      </c>
      <c r="C68" s="68"/>
      <c r="D68" s="69"/>
      <c r="E68" s="69"/>
      <c r="F68" s="69"/>
      <c r="G68" s="69"/>
      <c r="H68" s="72"/>
      <c r="I68" s="69" t="str">
        <f>IFERROR(I66/G66-1,"")</f>
        <v/>
      </c>
      <c r="J68" s="69" t="str">
        <f>IFERROR(J66/I66-1,"")</f>
        <v/>
      </c>
      <c r="K68" s="69" t="str">
        <f>IFERROR(K66/J66-1,"")</f>
        <v/>
      </c>
      <c r="L68" s="69" t="str">
        <f>IFERROR(L66/K66-1,"")</f>
        <v/>
      </c>
      <c r="M68" s="72"/>
      <c r="N68" s="69" t="str">
        <f>IFERROR(N66/L66-1,"")</f>
        <v/>
      </c>
      <c r="O68" s="69" t="str">
        <f>IFERROR(O66/N66-1,"")</f>
        <v/>
      </c>
      <c r="P68" s="69" t="str">
        <f>IFERROR(P66/O66-1,"")</f>
        <v/>
      </c>
      <c r="Q68" s="69" t="str">
        <f>IFERROR(Q66/P66-1,"")</f>
        <v/>
      </c>
      <c r="R68" s="72"/>
      <c r="S68" s="69" t="str">
        <f>IFERROR(S66/Q66-1,"")</f>
        <v/>
      </c>
      <c r="T68" s="69" t="str">
        <f>IFERROR(T66/S66-1,"")</f>
        <v/>
      </c>
      <c r="U68" s="69" t="str">
        <f>IFERROR(U66/T66-1,"")</f>
        <v/>
      </c>
      <c r="V68" s="69" t="str">
        <f>IFERROR(V66/U66-1,"")</f>
        <v/>
      </c>
      <c r="W68" s="72"/>
      <c r="X68" s="69" t="str">
        <f>IFERROR(X66/V66-1,"")</f>
        <v/>
      </c>
      <c r="Y68" s="69" t="str">
        <f>IFERROR(Y66/X66-1,"")</f>
        <v/>
      </c>
      <c r="Z68" s="69" t="str">
        <f>IFERROR(Z66/Y66-1,"")</f>
        <v/>
      </c>
      <c r="AA68" s="69" t="str">
        <f>IFERROR(AA66/Z66-1,"")</f>
        <v/>
      </c>
      <c r="AB68" s="72"/>
      <c r="AC68" s="69" t="str">
        <f>IFERROR(AC66/AA66-1,"")</f>
        <v/>
      </c>
      <c r="AD68" s="69" t="str">
        <f>IFERROR(AD66/AC66-1,"")</f>
        <v/>
      </c>
      <c r="AE68" s="69" t="str">
        <f>IFERROR(AE66/AD66-1,"")</f>
        <v/>
      </c>
      <c r="AF68" s="69" t="str">
        <f>IFERROR(AF66/AE66-1,"")</f>
        <v/>
      </c>
      <c r="AG68" s="72"/>
      <c r="AH68" s="69" t="str">
        <f>IFERROR(AH66/AF66-1,"")</f>
        <v/>
      </c>
      <c r="AI68" s="69" t="str">
        <f>IFERROR(AI66/AH66-1,"")</f>
        <v/>
      </c>
      <c r="AJ68" s="69" t="str">
        <f>IFERROR(AJ66/AI66-1,"")</f>
        <v/>
      </c>
      <c r="AK68" s="69" t="str">
        <f>IFERROR(AK66/AJ66-1,"")</f>
        <v/>
      </c>
      <c r="AL68" s="72"/>
      <c r="AM68" s="69">
        <f>IFERROR(AM66/AK66-1,"")</f>
        <v>-3.9263953735724222E-3</v>
      </c>
      <c r="AN68" s="69">
        <f>IFERROR(AN66/AM66-1,"")</f>
        <v>0.19748795442134148</v>
      </c>
      <c r="AO68" s="69">
        <f>IFERROR(AO66/AN66-1,"")</f>
        <v>0.20056334994763225</v>
      </c>
      <c r="AP68" s="69">
        <f>IFERROR(AP66/AO66-1,"")</f>
        <v>0.17227004107464916</v>
      </c>
      <c r="AQ68" s="72"/>
      <c r="AR68" s="69">
        <f>IFERROR(AR66/AP66-1,"")</f>
        <v>0.12385380432321025</v>
      </c>
      <c r="AS68" s="69">
        <f>IFERROR(AS66/AR66-1,"")</f>
        <v>0.1375194314271202</v>
      </c>
      <c r="AT68" s="69">
        <f>IFERROR(AT66/AS66-1,"")</f>
        <v>0.12537755673111284</v>
      </c>
      <c r="AU68" s="69">
        <f>IFERROR(AU66/AT66-1,"")</f>
        <v>0.10123247813402747</v>
      </c>
      <c r="AV68" s="72"/>
      <c r="AW68" s="69">
        <f>IFERROR(AW66/AU66-1,"")</f>
        <v>-0.31858097346553271</v>
      </c>
      <c r="AX68" s="69">
        <f>IFERROR(AX66/AW66-1,"")</f>
        <v>6.5429316243958091E-2</v>
      </c>
      <c r="AY68" s="69">
        <f>IFERROR(AY66/AX66-1,"")</f>
        <v>6.1423965541410164E-2</v>
      </c>
      <c r="AZ68" s="69">
        <f>IFERROR(AZ66/AY66-1,"")</f>
        <v>5.7869397654008337E-2</v>
      </c>
      <c r="BA68" s="72"/>
      <c r="BB68" s="69" t="str">
        <f>IFERROR(BB66/AZ66-1,"")</f>
        <v/>
      </c>
      <c r="BC68" s="69" t="str">
        <f>IFERROR(BC66/BB66-1,"")</f>
        <v/>
      </c>
      <c r="BD68" s="69" t="str">
        <f>IFERROR(BD66/BC66-1,"")</f>
        <v/>
      </c>
      <c r="BE68" s="69" t="str">
        <f>IFERROR(BE66/BD66-1,"")</f>
        <v/>
      </c>
      <c r="BF68" s="72"/>
      <c r="BG68" s="69" t="str">
        <f>IFERROR(BG66/BE66-1,"")</f>
        <v/>
      </c>
      <c r="BH68" s="69" t="str">
        <f>IFERROR(BH66/BG66-1,"")</f>
        <v/>
      </c>
      <c r="BI68" s="69" t="str">
        <f>IFERROR(BI66/BH66-1,"")</f>
        <v/>
      </c>
      <c r="BJ68" s="69" t="str">
        <f>IFERROR(BJ66/BI66-1,"")</f>
        <v/>
      </c>
      <c r="BK68" s="72"/>
    </row>
    <row r="69" spans="1:63" ht="12.75" customHeight="1" outlineLevel="1">
      <c r="A69" s="67"/>
      <c r="B69" s="68"/>
      <c r="C69" s="68"/>
      <c r="D69" s="69"/>
      <c r="E69" s="69"/>
      <c r="F69" s="69"/>
      <c r="G69" s="69"/>
      <c r="H69" s="72"/>
      <c r="I69" s="69"/>
      <c r="J69" s="69"/>
      <c r="K69" s="69"/>
      <c r="L69" s="69"/>
      <c r="M69" s="72"/>
      <c r="N69" s="69"/>
      <c r="O69" s="69"/>
      <c r="P69" s="69"/>
      <c r="Q69" s="69"/>
      <c r="R69" s="72"/>
      <c r="S69" s="69"/>
      <c r="T69" s="69"/>
      <c r="U69" s="69"/>
      <c r="V69" s="69"/>
      <c r="W69" s="72"/>
      <c r="X69" s="69"/>
      <c r="Y69" s="69"/>
      <c r="Z69" s="69"/>
      <c r="AA69" s="69"/>
      <c r="AB69" s="72"/>
      <c r="AC69" s="69"/>
      <c r="AD69" s="69"/>
      <c r="AE69" s="69"/>
      <c r="AF69" s="69"/>
      <c r="AG69" s="72"/>
      <c r="AH69" s="69"/>
      <c r="AI69" s="69"/>
      <c r="AJ69" s="69"/>
      <c r="AK69" s="69"/>
      <c r="AL69" s="72"/>
      <c r="AM69" s="69"/>
      <c r="AN69" s="69"/>
      <c r="AO69" s="69"/>
      <c r="AP69" s="69"/>
      <c r="AQ69" s="72"/>
      <c r="AR69" s="69"/>
      <c r="AS69" s="69"/>
      <c r="AT69" s="69"/>
      <c r="AU69" s="69"/>
      <c r="AV69" s="72"/>
      <c r="AW69" s="69"/>
      <c r="AX69" s="69"/>
      <c r="AY69" s="69"/>
      <c r="AZ69" s="69"/>
      <c r="BA69" s="72"/>
      <c r="BB69" s="69"/>
      <c r="BC69" s="69"/>
      <c r="BD69" s="69"/>
      <c r="BE69" s="69"/>
      <c r="BF69" s="72"/>
      <c r="BG69" s="69"/>
      <c r="BH69" s="69"/>
      <c r="BI69" s="69"/>
      <c r="BJ69" s="69"/>
      <c r="BK69" s="72"/>
    </row>
    <row r="70" spans="1:63" s="641" customFormat="1" ht="12.75" customHeight="1" outlineLevel="1">
      <c r="A70" s="642" t="s">
        <v>150</v>
      </c>
      <c r="B70" s="637" t="s">
        <v>87</v>
      </c>
      <c r="C70" s="638"/>
      <c r="D70" s="639"/>
      <c r="E70" s="639"/>
      <c r="F70" s="639"/>
      <c r="G70" s="639"/>
      <c r="H70" s="640"/>
      <c r="I70" s="639" t="str" cm="1">
        <f t="array" ref="I70">_xlfn.SINGLE(IF(ISERROR(_xll.FDSB($C$2,"FE_ESTIMATE(TOTALDEBT,MEAN,QUARTERLY_ROLL,"&amp;I$9&amp;","&amp;$C$5&amp;",,,'')")), "--", _xll.FDSB($C$2,"FE_ESTIMATE(TOTALDEBT,MEAN,QUARTERLY_ROLL,"&amp;I$9&amp;","&amp;$C$5&amp;",,,'')")))</f>
        <v>--</v>
      </c>
      <c r="J70" s="639" t="str" cm="1">
        <f t="array" ref="J70">_xlfn.SINGLE(IF(ISERROR(_xll.FDSB($C$2,"FE_ESTIMATE(TOTALDEBT,MEAN,QUARTERLY_ROLL,"&amp;J$9&amp;","&amp;$C$5&amp;",,,'')")), "--", _xll.FDSB($C$2,"FE_ESTIMATE(TOTALDEBT,MEAN,QUARTERLY_ROLL,"&amp;J$9&amp;","&amp;$C$5&amp;",,,'')")))</f>
        <v>--</v>
      </c>
      <c r="K70" s="639" t="str" cm="1">
        <f t="array" ref="K70">_xlfn.SINGLE(IF(ISERROR(_xll.FDSB($C$2,"FE_ESTIMATE(TOTALDEBT,MEAN,QUARTERLY_ROLL,"&amp;K$9&amp;","&amp;$C$5&amp;",,,'')")), "--", _xll.FDSB($C$2,"FE_ESTIMATE(TOTALDEBT,MEAN,QUARTERLY_ROLL,"&amp;K$9&amp;","&amp;$C$5&amp;",,,'')")))</f>
        <v>--</v>
      </c>
      <c r="L70" s="639" t="str" cm="1">
        <f t="array" ref="L70">_xlfn.SINGLE(IF(ISERROR(_xll.FDSB($C$2,"FE_ESTIMATE(TOTALDEBT,MEAN,QUARTERLY_ROLL,"&amp;L$9&amp;","&amp;$C$5&amp;",,,'')")), "--", _xll.FDSB($C$2,"FE_ESTIMATE(TOTALDEBT,MEAN,QUARTERLY_ROLL,"&amp;L$9&amp;","&amp;$C$5&amp;",,,'')")))</f>
        <v>--</v>
      </c>
      <c r="M70" s="640" t="str" cm="1">
        <f t="array" ref="M70">_xlfn.SINGLE(IF(ISERROR(_xll.FDSB($C$2,"FE_ESTIMATE(TOTALDEBT,MEAN,ANNUAL_ROLL,"&amp;M$9&amp;","&amp;$C$5&amp;",,,'')")), "--", _xll.FDSB($C$2,"FE_ESTIMATE(TOTALDEBT,MEAN,ANNUAL_ROLL,"&amp;M$9&amp;","&amp;$C$5&amp;",,,'')")))</f>
        <v>--</v>
      </c>
      <c r="N70" s="639" t="str" cm="1">
        <f t="array" ref="N70">_xlfn.SINGLE(IF(ISERROR(_xll.FDSB($C$2,"FE_ESTIMATE(TOTALDEBT,MEAN,QUARTERLY_ROLL,"&amp;N$9&amp;","&amp;$C$5&amp;",,,'')")), "--", _xll.FDSB($C$2,"FE_ESTIMATE(TOTALDEBT,MEAN,QUARTERLY_ROLL,"&amp;N$9&amp;","&amp;$C$5&amp;",,,'')")))</f>
        <v>--</v>
      </c>
      <c r="O70" s="639" t="str" cm="1">
        <f t="array" ref="O70">_xlfn.SINGLE(IF(ISERROR(_xll.FDSB($C$2,"FE_ESTIMATE(TOTALDEBT,MEAN,QUARTERLY_ROLL,"&amp;O$9&amp;","&amp;$C$5&amp;",,,'')")), "--", _xll.FDSB($C$2,"FE_ESTIMATE(TOTALDEBT,MEAN,QUARTERLY_ROLL,"&amp;O$9&amp;","&amp;$C$5&amp;",,,'')")))</f>
        <v>--</v>
      </c>
      <c r="P70" s="639" t="str" cm="1">
        <f t="array" ref="P70">_xlfn.SINGLE(IF(ISERROR(_xll.FDSB($C$2,"FE_ESTIMATE(TOTALDEBT,MEAN,QUARTERLY_ROLL,"&amp;P$9&amp;","&amp;$C$5&amp;",,,'')")), "--", _xll.FDSB($C$2,"FE_ESTIMATE(TOTALDEBT,MEAN,QUARTERLY_ROLL,"&amp;P$9&amp;","&amp;$C$5&amp;",,,'')")))</f>
        <v>--</v>
      </c>
      <c r="Q70" s="639" t="str" cm="1">
        <f t="array" ref="Q70">_xlfn.SINGLE(IF(ISERROR(_xll.FDSB($C$2,"FE_ESTIMATE(TOTALDEBT,MEAN,QUARTERLY_ROLL,"&amp;Q$9&amp;","&amp;$C$5&amp;",,,'')")), "--", _xll.FDSB($C$2,"FE_ESTIMATE(TOTALDEBT,MEAN,QUARTERLY_ROLL,"&amp;Q$9&amp;","&amp;$C$5&amp;",,,'')")))</f>
        <v>--</v>
      </c>
      <c r="R70" s="640" t="str" cm="1">
        <f t="array" ref="R70">_xlfn.SINGLE(IF(ISERROR(_xll.FDSB($C$2,"FE_ESTIMATE(TOTALDEBT,MEAN,ANNUAL_ROLL,"&amp;R$9&amp;","&amp;$C$5&amp;",,,'')")), "--", _xll.FDSB($C$2,"FE_ESTIMATE(TOTALDEBT,MEAN,ANNUAL_ROLL,"&amp;R$9&amp;","&amp;$C$5&amp;",,,'')")))</f>
        <v>--</v>
      </c>
      <c r="S70" s="639" t="str" cm="1">
        <f t="array" ref="S70">_xlfn.SINGLE(IF(ISERROR(_xll.FDSB($C$2,"FE_ESTIMATE(TOTALDEBT,MEAN,QUARTERLY_ROLL,"&amp;S$9&amp;","&amp;$C$5&amp;",,,'')")), "--", _xll.FDSB($C$2,"FE_ESTIMATE(TOTALDEBT,MEAN,QUARTERLY_ROLL,"&amp;S$9&amp;","&amp;$C$5&amp;",,,'')")))</f>
        <v>--</v>
      </c>
      <c r="T70" s="639" t="str" cm="1">
        <f t="array" ref="T70">_xlfn.SINGLE(IF(ISERROR(_xll.FDSB($C$2,"FE_ESTIMATE(TOTALDEBT,MEAN,QUARTERLY_ROLL,"&amp;T$9&amp;","&amp;$C$5&amp;",,,'')")), "--", _xll.FDSB($C$2,"FE_ESTIMATE(TOTALDEBT,MEAN,QUARTERLY_ROLL,"&amp;T$9&amp;","&amp;$C$5&amp;",,,'')")))</f>
        <v>--</v>
      </c>
      <c r="U70" s="639" t="str" cm="1">
        <f t="array" ref="U70">_xlfn.SINGLE(IF(ISERROR(_xll.FDSB($C$2,"FE_ESTIMATE(TOTALDEBT,MEAN,QUARTERLY_ROLL,"&amp;U$9&amp;","&amp;$C$5&amp;",,,'')")), "--", _xll.FDSB($C$2,"FE_ESTIMATE(TOTALDEBT,MEAN,QUARTERLY_ROLL,"&amp;U$9&amp;","&amp;$C$5&amp;",,,'')")))</f>
        <v>--</v>
      </c>
      <c r="V70" s="639" t="str" cm="1">
        <f t="array" ref="V70">_xlfn.SINGLE(IF(ISERROR(_xll.FDSB($C$2,"FE_ESTIMATE(TOTALDEBT,MEAN,QUARTERLY_ROLL,"&amp;V$9&amp;","&amp;$C$5&amp;",,,'')")), "--", _xll.FDSB($C$2,"FE_ESTIMATE(TOTALDEBT,MEAN,QUARTERLY_ROLL,"&amp;V$9&amp;","&amp;$C$5&amp;",,,'')")))</f>
        <v>--</v>
      </c>
      <c r="W70" s="640" t="str" cm="1">
        <f t="array" ref="W70">_xlfn.SINGLE(IF(ISERROR(_xll.FDSB($C$2,"FE_ESTIMATE(TOTALDEBT,MEAN,ANNUAL_ROLL,"&amp;W$9&amp;","&amp;$C$5&amp;",,,'')")), "--", _xll.FDSB($C$2,"FE_ESTIMATE(TOTALDEBT,MEAN,ANNUAL_ROLL,"&amp;W$9&amp;","&amp;$C$5&amp;",,,'')")))</f>
        <v>--</v>
      </c>
      <c r="X70" s="639" t="str" cm="1">
        <f t="array" ref="X70">_xlfn.SINGLE(IF(ISERROR(_xll.FDSB($C$2,"FE_ESTIMATE(TOTALDEBT,MEAN,QUARTERLY_ROLL,"&amp;X$9&amp;","&amp;$C$5&amp;",,,'')")), "--", _xll.FDSB($C$2,"FE_ESTIMATE(TOTALDEBT,MEAN,QUARTERLY_ROLL,"&amp;X$9&amp;","&amp;$C$5&amp;",,,'')")))</f>
        <v/>
      </c>
      <c r="Y70" s="639" t="str" cm="1">
        <f t="array" ref="Y70">_xlfn.SINGLE(IF(ISERROR(_xll.FDSB($C$2,"FE_ESTIMATE(TOTALDEBT,MEAN,QUARTERLY_ROLL,"&amp;Y$9&amp;","&amp;$C$5&amp;",,,'')")), "--", _xll.FDSB($C$2,"FE_ESTIMATE(TOTALDEBT,MEAN,QUARTERLY_ROLL,"&amp;Y$9&amp;","&amp;$C$5&amp;",,,'')")))</f>
        <v/>
      </c>
      <c r="Z70" s="639" t="str" cm="1">
        <f t="array" ref="Z70">_xlfn.SINGLE(IF(ISERROR(_xll.FDSB($C$2,"FE_ESTIMATE(TOTALDEBT,MEAN,QUARTERLY_ROLL,"&amp;Z$9&amp;","&amp;$C$5&amp;",,,'')")), "--", _xll.FDSB($C$2,"FE_ESTIMATE(TOTALDEBT,MEAN,QUARTERLY_ROLL,"&amp;Z$9&amp;","&amp;$C$5&amp;",,,'')")))</f>
        <v/>
      </c>
      <c r="AA70" s="639" t="str" cm="1">
        <f t="array" ref="AA70">_xlfn.SINGLE(IF(ISERROR(_xll.FDSB($C$2,"FE_ESTIMATE(TOTALDEBT,MEAN,QUARTERLY_ROLL,"&amp;AA$9&amp;","&amp;$C$5&amp;",,,'')")), "--", _xll.FDSB($C$2,"FE_ESTIMATE(TOTALDEBT,MEAN,QUARTERLY_ROLL,"&amp;AA$9&amp;","&amp;$C$5&amp;",,,'')")))</f>
        <v/>
      </c>
      <c r="AB70" s="640" t="str" cm="1">
        <f t="array" ref="AB70">_xlfn.SINGLE(IF(ISERROR(_xll.FDSB($C$2,"FE_ESTIMATE(TOTALDEBT,MEAN,ANNUAL_ROLL,"&amp;AB$9&amp;","&amp;$C$5&amp;",,,'')")), "--", _xll.FDSB($C$2,"FE_ESTIMATE(TOTALDEBT,MEAN,ANNUAL_ROLL,"&amp;AB$9&amp;","&amp;$C$5&amp;",,,'')")))</f>
        <v/>
      </c>
      <c r="AC70" s="639" t="str" cm="1">
        <f t="array" ref="AC70">_xlfn.SINGLE(IF(ISERROR(_xll.FDSB($C$2,"FE_ESTIMATE(TOTALDEBT,MEAN,QUARTERLY_ROLL,"&amp;AC$9&amp;","&amp;$C$5&amp;",,,'')")), "--", _xll.FDSB($C$2,"FE_ESTIMATE(TOTALDEBT,MEAN,QUARTERLY_ROLL,"&amp;AC$9&amp;","&amp;$C$5&amp;",,,'')")))</f>
        <v/>
      </c>
      <c r="AD70" s="639" t="str" cm="1">
        <f t="array" ref="AD70">_xlfn.SINGLE(IF(ISERROR(_xll.FDSB($C$2,"FE_ESTIMATE(TOTALDEBT,MEAN,QUARTERLY_ROLL,"&amp;AD$9&amp;","&amp;$C$5&amp;",,,'')")), "--", _xll.FDSB($C$2,"FE_ESTIMATE(TOTALDEBT,MEAN,QUARTERLY_ROLL,"&amp;AD$9&amp;","&amp;$C$5&amp;",,,'')")))</f>
        <v/>
      </c>
      <c r="AE70" s="639" t="str" cm="1">
        <f t="array" ref="AE70">_xlfn.SINGLE(IF(ISERROR(_xll.FDSB($C$2,"FE_ESTIMATE(TOTALDEBT,MEAN,QUARTERLY_ROLL,"&amp;AE$9&amp;","&amp;$C$5&amp;",,,'')")), "--", _xll.FDSB($C$2,"FE_ESTIMATE(TOTALDEBT,MEAN,QUARTERLY_ROLL,"&amp;AE$9&amp;","&amp;$C$5&amp;",,,'')")))</f>
        <v/>
      </c>
      <c r="AF70" s="639" t="str" cm="1">
        <f t="array" ref="AF70">_xlfn.SINGLE(IF(ISERROR(_xll.FDSB($C$2,"FE_ESTIMATE(TOTALDEBT,MEAN,QUARTERLY_ROLL,"&amp;AF$9&amp;","&amp;$C$5&amp;",,,'')")), "--", _xll.FDSB($C$2,"FE_ESTIMATE(TOTALDEBT,MEAN,QUARTERLY_ROLL,"&amp;AF$9&amp;","&amp;$C$5&amp;",,,'')")))</f>
        <v/>
      </c>
      <c r="AG70" s="640" t="str" cm="1">
        <f t="array" ref="AG70">_xlfn.SINGLE(IF(ISERROR(_xll.FDSB($C$2,"FE_ESTIMATE(TOTALDEBT,MEAN,ANNUAL_ROLL,"&amp;AG$9&amp;","&amp;$C$5&amp;",,,'')")), "--", _xll.FDSB($C$2,"FE_ESTIMATE(TOTALDEBT,MEAN,ANNUAL_ROLL,"&amp;AG$9&amp;","&amp;$C$5&amp;",,,'')")))</f>
        <v/>
      </c>
      <c r="AH70" s="639" t="str" cm="1">
        <f t="array" ref="AH70">_xlfn.SINGLE(IF(ISERROR(_xll.FDSB($C$2,"FE_ESTIMATE(TOTALDEBT,MEAN,QUARTERLY_ROLL,"&amp;AH$9&amp;","&amp;$C$5&amp;",,,'')")), "--", _xll.FDSB($C$2,"FE_ESTIMATE(TOTALDEBT,MEAN,QUARTERLY_ROLL,"&amp;AH$9&amp;","&amp;$C$5&amp;",,,'')")))</f>
        <v/>
      </c>
      <c r="AI70" s="639" t="str" cm="1">
        <f t="array" ref="AI70">_xlfn.SINGLE(IF(ISERROR(_xll.FDSB($C$2,"FE_ESTIMATE(TOTALDEBT,MEAN,QUARTERLY_ROLL,"&amp;AI$9&amp;","&amp;$C$5&amp;",,,'')")), "--", _xll.FDSB($C$2,"FE_ESTIMATE(TOTALDEBT,MEAN,QUARTERLY_ROLL,"&amp;AI$9&amp;","&amp;$C$5&amp;",,,'')")))</f>
        <v/>
      </c>
      <c r="AJ70" s="639" t="str" cm="1">
        <f t="array" ref="AJ70">_xlfn.SINGLE(IF(ISERROR(_xll.FDSB($C$2,"FE_ESTIMATE(TOTALDEBT,MEAN,QUARTERLY_ROLL,"&amp;AJ$9&amp;","&amp;$C$5&amp;",,,'')")), "--", _xll.FDSB($C$2,"FE_ESTIMATE(TOTALDEBT,MEAN,QUARTERLY_ROLL,"&amp;AJ$9&amp;","&amp;$C$5&amp;",,,'')")))</f>
        <v/>
      </c>
      <c r="AK70" s="639" cm="1">
        <f t="array" ref="AK70">_xlfn.SINGLE(IF(ISERROR(_xll.FDSB($C$2,"FE_ESTIMATE(TOTALDEBT,MEAN,QUARTERLY_ROLL,"&amp;AK$9&amp;","&amp;$C$5&amp;",,,'')")), "--", _xll.FDSB($C$2,"FE_ESTIMATE(TOTALDEBT,MEAN,QUARTERLY_ROLL,"&amp;AK$9&amp;","&amp;$C$5&amp;",,,'')")))</f>
        <v>7949.15</v>
      </c>
      <c r="AL70" s="640" cm="1">
        <f t="array" ref="AL70">_xlfn.SINGLE(IF(ISERROR(_xll.FDSB($C$2,"FE_ESTIMATE(TOTALDEBT,MEAN,ANNUAL_ROLL,"&amp;AL$9&amp;","&amp;$C$5&amp;",,,'')")), "--", _xll.FDSB($C$2,"FE_ESTIMATE(TOTALDEBT,MEAN,ANNUAL_ROLL,"&amp;AL$9&amp;","&amp;$C$5&amp;",,,'')")))</f>
        <v>7944.5879999999997</v>
      </c>
      <c r="AM70" s="639" cm="1">
        <f t="array" ref="AM70">_xlfn.SINGLE(IF(ISERROR(_xll.FDSB($C$2,"FE_ESTIMATE(TOTALDEBT,MEAN,QUARTERLY_ROLL,"&amp;AM$9&amp;","&amp;$C$5&amp;",,,'')")), "--", _xll.FDSB($C$2,"FE_ESTIMATE(TOTALDEBT,MEAN,QUARTERLY_ROLL,"&amp;AM$9&amp;","&amp;$C$5&amp;",,,'')")))</f>
        <v>8711.85</v>
      </c>
      <c r="AN70" s="639" cm="1">
        <f t="array" ref="AN70">_xlfn.SINGLE(IF(ISERROR(_xll.FDSB($C$2,"FE_ESTIMATE(TOTALDEBT,MEAN,QUARTERLY_ROLL,"&amp;AN$9&amp;","&amp;$C$5&amp;",,,'')")), "--", _xll.FDSB($C$2,"FE_ESTIMATE(TOTALDEBT,MEAN,QUARTERLY_ROLL,"&amp;AN$9&amp;","&amp;$C$5&amp;",,,'')")))</f>
        <v>11083.5</v>
      </c>
      <c r="AO70" s="639" cm="1">
        <f t="array" ref="AO70">_xlfn.SINGLE(IF(ISERROR(_xll.FDSB($C$2,"FE_ESTIMATE(TOTALDEBT,MEAN,QUARTERLY_ROLL,"&amp;AO$9&amp;","&amp;$C$5&amp;",,,'')")), "--", _xll.FDSB($C$2,"FE_ESTIMATE(TOTALDEBT,MEAN,QUARTERLY_ROLL,"&amp;AO$9&amp;","&amp;$C$5&amp;",,,'')")))</f>
        <v>15457.35</v>
      </c>
      <c r="AP70" s="639" cm="1">
        <f t="array" ref="AP70">_xlfn.SINGLE(IF(ISERROR(_xll.FDSB($C$2,"FE_ESTIMATE(TOTALDEBT,MEAN,QUARTERLY_ROLL,"&amp;AP$9&amp;","&amp;$C$5&amp;",,,'')")), "--", _xll.FDSB($C$2,"FE_ESTIMATE(TOTALDEBT,MEAN,QUARTERLY_ROLL,"&amp;AP$9&amp;","&amp;$C$5&amp;",,,'')")))</f>
        <v>25920.45</v>
      </c>
      <c r="AQ70" s="640" cm="1">
        <f t="array" ref="AQ70">_xlfn.SINGLE(IF(ISERROR(_xll.FDSB($C$2,"FE_ESTIMATE(TOTALDEBT,MEAN,ANNUAL_ROLL,"&amp;AQ$9&amp;","&amp;$C$5&amp;",,,'')")), "--", _xll.FDSB($C$2,"FE_ESTIMATE(TOTALDEBT,MEAN,ANNUAL_ROLL,"&amp;AQ$9&amp;","&amp;$C$5&amp;",,,'')")))</f>
        <v>25172.956999999999</v>
      </c>
      <c r="AR70" s="639" cm="1">
        <f t="array" ref="AR70">_xlfn.SINGLE(IF(ISERROR(_xll.FDSB($C$2,"FE_ESTIMATE(TOTALDEBT,MEAN,QUARTERLY_ROLL,"&amp;AR$9&amp;","&amp;$C$5&amp;",,,'')")), "--", _xll.FDSB($C$2,"FE_ESTIMATE(TOTALDEBT,MEAN,QUARTERLY_ROLL,"&amp;AR$9&amp;","&amp;$C$5&amp;",,,'')")))</f>
        <v>29668</v>
      </c>
      <c r="AS70" s="639" cm="1">
        <f t="array" ref="AS70">_xlfn.SINGLE(IF(ISERROR(_xll.FDSB($C$2,"FE_ESTIMATE(TOTALDEBT,MEAN,QUARTERLY_ROLL,"&amp;AS$9&amp;","&amp;$C$5&amp;",,,'')")), "--", _xll.FDSB($C$2,"FE_ESTIMATE(TOTALDEBT,MEAN,QUARTERLY_ROLL,"&amp;AS$9&amp;","&amp;$C$5&amp;",,,'')")))</f>
        <v>31664</v>
      </c>
      <c r="AT70" s="639" cm="1">
        <f t="array" ref="AT70">_xlfn.SINGLE(IF(ISERROR(_xll.FDSB($C$2,"FE_ESTIMATE(TOTALDEBT,MEAN,QUARTERLY_ROLL,"&amp;AT$9&amp;","&amp;$C$5&amp;",,,'')")), "--", _xll.FDSB($C$2,"FE_ESTIMATE(TOTALDEBT,MEAN,QUARTERLY_ROLL,"&amp;AT$9&amp;","&amp;$C$5&amp;",,,'')")))</f>
        <v>33749</v>
      </c>
      <c r="AU70" s="639" cm="1">
        <f t="array" ref="AU70">_xlfn.SINGLE(IF(ISERROR(_xll.FDSB($C$2,"FE_ESTIMATE(TOTALDEBT,MEAN,QUARTERLY_ROLL,"&amp;AU$9&amp;","&amp;$C$5&amp;",,,'')")), "--", _xll.FDSB($C$2,"FE_ESTIMATE(TOTALDEBT,MEAN,QUARTERLY_ROLL,"&amp;AU$9&amp;","&amp;$C$5&amp;",,,'')")))</f>
        <v>34728</v>
      </c>
      <c r="AV70" s="640" cm="1">
        <f t="array" ref="AV70">_xlfn.SINGLE(IF(ISERROR(_xll.FDSB($C$2,"FE_ESTIMATE(TOTALDEBT,MEAN,ANNUAL_ROLL,"&amp;AV$9&amp;","&amp;$C$5&amp;",,,'')")), "--", _xll.FDSB($C$2,"FE_ESTIMATE(TOTALDEBT,MEAN,ANNUAL_ROLL,"&amp;AV$9&amp;","&amp;$C$5&amp;",,,'')")))</f>
        <v>36424.887000000002</v>
      </c>
      <c r="AW70" s="639" t="str" cm="1">
        <f t="array" ref="AW70">_xlfn.SINGLE(IF(ISERROR(_xll.FDSB($C$2,"FE_ESTIMATE(TOTALDEBT,MEAN,QUARTERLY_ROLL,"&amp;AW$9&amp;","&amp;$C$5&amp;",,,'')")), "--", _xll.FDSB($C$2,"FE_ESTIMATE(TOTALDEBT,MEAN,QUARTERLY_ROLL,"&amp;AW$9&amp;","&amp;$C$5&amp;",,,'')")))</f>
        <v/>
      </c>
      <c r="AX70" s="639" t="str" cm="1">
        <f t="array" ref="AX70">_xlfn.SINGLE(IF(ISERROR(_xll.FDSB($C$2,"FE_ESTIMATE(TOTALDEBT,MEAN,QUARTERLY_ROLL,"&amp;AX$9&amp;","&amp;$C$5&amp;",,,'')")), "--", _xll.FDSB($C$2,"FE_ESTIMATE(TOTALDEBT,MEAN,QUARTERLY_ROLL,"&amp;AX$9&amp;","&amp;$C$5&amp;",,,'')")))</f>
        <v/>
      </c>
      <c r="AY70" s="639" t="str" cm="1">
        <f t="array" ref="AY70">_xlfn.SINGLE(IF(ISERROR(_xll.FDSB($C$2,"FE_ESTIMATE(TOTALDEBT,MEAN,QUARTERLY_ROLL,"&amp;AY$9&amp;","&amp;$C$5&amp;",,,'')")), "--", _xll.FDSB($C$2,"FE_ESTIMATE(TOTALDEBT,MEAN,QUARTERLY_ROLL,"&amp;AY$9&amp;","&amp;$C$5&amp;",,,'')")))</f>
        <v/>
      </c>
      <c r="AZ70" s="639" t="str" cm="1">
        <f t="array" ref="AZ70">_xlfn.SINGLE(IF(ISERROR(_xll.FDSB($C$2,"FE_ESTIMATE(TOTALDEBT,MEAN,QUARTERLY_ROLL,"&amp;AZ$9&amp;","&amp;$C$5&amp;",,,'')")), "--", _xll.FDSB($C$2,"FE_ESTIMATE(TOTALDEBT,MEAN,QUARTERLY_ROLL,"&amp;AZ$9&amp;","&amp;$C$5&amp;",,,'')")))</f>
        <v/>
      </c>
      <c r="BA70" s="640" cm="1">
        <f t="array" ref="BA70">_xlfn.SINGLE(IF(ISERROR(_xll.FDSB($C$2,"FE_ESTIMATE(TOTALDEBT,MEAN,ANNUAL_ROLL,"&amp;BA$9&amp;","&amp;$C$5&amp;",,,'')")), "--", _xll.FDSB($C$2,"FE_ESTIMATE(TOTALDEBT,MEAN,ANNUAL_ROLL,"&amp;BA$9&amp;","&amp;$C$5&amp;",,,'')")))</f>
        <v>38028.917999999998</v>
      </c>
      <c r="BB70" s="639" t="str" cm="1">
        <f t="array" ref="BB70">_xlfn.SINGLE(IF(ISERROR(_xll.FDSB($C$2,"FE_ESTIMATE(TOTALDEBT,MEAN,QUARTERLY_ROLL,"&amp;BB$9&amp;","&amp;$C$5&amp;",,,'')")), "--", _xll.FDSB($C$2,"FE_ESTIMATE(TOTALDEBT,MEAN,QUARTERLY_ROLL,"&amp;BB$9&amp;","&amp;$C$5&amp;",,,'')")))</f>
        <v/>
      </c>
      <c r="BC70" s="639" t="str" cm="1">
        <f t="array" ref="BC70">_xlfn.SINGLE(IF(ISERROR(_xll.FDSB($C$2,"FE_ESTIMATE(TOTALDEBT,MEAN,QUARTERLY_ROLL,"&amp;BC$9&amp;","&amp;$C$5&amp;",,,'')")), "--", _xll.FDSB($C$2,"FE_ESTIMATE(TOTALDEBT,MEAN,QUARTERLY_ROLL,"&amp;BC$9&amp;","&amp;$C$5&amp;",,,'')")))</f>
        <v/>
      </c>
      <c r="BD70" s="639" t="str" cm="1">
        <f t="array" ref="BD70">_xlfn.SINGLE(IF(ISERROR(_xll.FDSB($C$2,"FE_ESTIMATE(TOTALDEBT,MEAN,QUARTERLY_ROLL,"&amp;BD$9&amp;","&amp;$C$5&amp;",,,'')")), "--", _xll.FDSB($C$2,"FE_ESTIMATE(TOTALDEBT,MEAN,QUARTERLY_ROLL,"&amp;BD$9&amp;","&amp;$C$5&amp;",,,'')")))</f>
        <v/>
      </c>
      <c r="BE70" s="639" t="str" cm="1">
        <f t="array" ref="BE70">_xlfn.SINGLE(IF(ISERROR(_xll.FDSB($C$2,"FE_ESTIMATE(TOTALDEBT,MEAN,QUARTERLY_ROLL,"&amp;BE$9&amp;","&amp;$C$5&amp;",,,'')")), "--", _xll.FDSB($C$2,"FE_ESTIMATE(TOTALDEBT,MEAN,QUARTERLY_ROLL,"&amp;BE$9&amp;","&amp;$C$5&amp;",,,'')")))</f>
        <v/>
      </c>
      <c r="BF70" s="640" cm="1">
        <f t="array" ref="BF70">_xlfn.SINGLE(IF(ISERROR(_xll.FDSB($C$2,"FE_ESTIMATE(TOTALDEBT,MEAN,ANNUAL_ROLL,"&amp;BF$9&amp;","&amp;$C$5&amp;",,,'')")), "--", _xll.FDSB($C$2,"FE_ESTIMATE(TOTALDEBT,MEAN,ANNUAL_ROLL,"&amp;BF$9&amp;","&amp;$C$5&amp;",,,'')")))</f>
        <v>42425.3</v>
      </c>
      <c r="BG70" s="639" t="str" cm="1">
        <f t="array" ref="BG70">_xlfn.SINGLE(IF(ISERROR(_xll.FDSB($C$2,"FE_ESTIMATE(TOTALDEBT,MEAN,QUARTERLY_ROLL,"&amp;BG$9&amp;","&amp;$C$5&amp;",,,'')")), "--", _xll.FDSB($C$2,"FE_ESTIMATE(TOTALDEBT,MEAN,QUARTERLY_ROLL,"&amp;BG$9&amp;","&amp;$C$5&amp;",,,'')")))</f>
        <v/>
      </c>
      <c r="BH70" s="639" t="str" cm="1">
        <f t="array" ref="BH70">_xlfn.SINGLE(IF(ISERROR(_xll.FDSB($C$2,"FE_ESTIMATE(TOTALDEBT,MEAN,QUARTERLY_ROLL,"&amp;BH$9&amp;","&amp;$C$5&amp;",,,'')")), "--", _xll.FDSB($C$2,"FE_ESTIMATE(TOTALDEBT,MEAN,QUARTERLY_ROLL,"&amp;BH$9&amp;","&amp;$C$5&amp;",,,'')")))</f>
        <v/>
      </c>
      <c r="BI70" s="639" t="str" cm="1">
        <f t="array" ref="BI70">_xlfn.SINGLE(IF(ISERROR(_xll.FDSB($C$2,"FE_ESTIMATE(TOTALDEBT,MEAN,QUARTERLY_ROLL,"&amp;BI$9&amp;","&amp;$C$5&amp;",,,'')")), "--", _xll.FDSB($C$2,"FE_ESTIMATE(TOTALDEBT,MEAN,QUARTERLY_ROLL,"&amp;BI$9&amp;","&amp;$C$5&amp;",,,'')")))</f>
        <v/>
      </c>
      <c r="BJ70" s="639" t="str" cm="1">
        <f t="array" ref="BJ70">_xlfn.SINGLE(IF(ISERROR(_xll.FDSB($C$2,"FE_ESTIMATE(TOTALDEBT,MEAN,QUARTERLY_ROLL,"&amp;BJ$9&amp;","&amp;$C$5&amp;",,,'')")), "--", _xll.FDSB($C$2,"FE_ESTIMATE(TOTALDEBT,MEAN,QUARTERLY_ROLL,"&amp;BJ$9&amp;","&amp;$C$5&amp;",,,'')")))</f>
        <v/>
      </c>
      <c r="BK70" s="640" cm="1">
        <f t="array" ref="BK70">_xlfn.SINGLE(IF(ISERROR(_xll.FDSB($C$2,"FE_ESTIMATE(TOTALDEBT,MEAN,ANNUAL_ROLL,"&amp;BK$9&amp;","&amp;$C$5&amp;",,,'')")), "--", _xll.FDSB($C$2,"FE_ESTIMATE(TOTALDEBT,MEAN,ANNUAL_ROLL,"&amp;BK$9&amp;","&amp;$C$5&amp;",,,'')")))</f>
        <v>42499.4</v>
      </c>
    </row>
    <row r="71" spans="1:63" s="71" customFormat="1" ht="12.75" customHeight="1" outlineLevel="1">
      <c r="A71" s="67" t="s">
        <v>595</v>
      </c>
      <c r="B71" s="68" t="s">
        <v>31</v>
      </c>
      <c r="C71" s="68"/>
      <c r="D71" s="69"/>
      <c r="E71" s="69"/>
      <c r="F71" s="69"/>
      <c r="G71" s="69"/>
      <c r="H71" s="70"/>
      <c r="I71" s="69" t="str">
        <f t="shared" ref="I71:AN71" si="36">IFERROR(I70/D70-1,"")</f>
        <v/>
      </c>
      <c r="J71" s="69" t="str">
        <f t="shared" si="36"/>
        <v/>
      </c>
      <c r="K71" s="69" t="str">
        <f t="shared" si="36"/>
        <v/>
      </c>
      <c r="L71" s="69" t="str">
        <f t="shared" si="36"/>
        <v/>
      </c>
      <c r="M71" s="70" t="str">
        <f t="shared" si="36"/>
        <v/>
      </c>
      <c r="N71" s="69" t="str">
        <f t="shared" si="36"/>
        <v/>
      </c>
      <c r="O71" s="69" t="str">
        <f t="shared" si="36"/>
        <v/>
      </c>
      <c r="P71" s="69" t="str">
        <f t="shared" si="36"/>
        <v/>
      </c>
      <c r="Q71" s="69" t="str">
        <f t="shared" si="36"/>
        <v/>
      </c>
      <c r="R71" s="70" t="str">
        <f t="shared" si="36"/>
        <v/>
      </c>
      <c r="S71" s="69" t="str">
        <f t="shared" si="36"/>
        <v/>
      </c>
      <c r="T71" s="69" t="str">
        <f t="shared" si="36"/>
        <v/>
      </c>
      <c r="U71" s="69" t="str">
        <f t="shared" si="36"/>
        <v/>
      </c>
      <c r="V71" s="69" t="str">
        <f t="shared" si="36"/>
        <v/>
      </c>
      <c r="W71" s="70" t="str">
        <f t="shared" si="36"/>
        <v/>
      </c>
      <c r="X71" s="69" t="str">
        <f t="shared" si="36"/>
        <v/>
      </c>
      <c r="Y71" s="69" t="str">
        <f t="shared" si="36"/>
        <v/>
      </c>
      <c r="Z71" s="69" t="str">
        <f t="shared" si="36"/>
        <v/>
      </c>
      <c r="AA71" s="69" t="str">
        <f t="shared" si="36"/>
        <v/>
      </c>
      <c r="AB71" s="70" t="str">
        <f t="shared" si="36"/>
        <v/>
      </c>
      <c r="AC71" s="69" t="str">
        <f t="shared" si="36"/>
        <v/>
      </c>
      <c r="AD71" s="69" t="str">
        <f t="shared" si="36"/>
        <v/>
      </c>
      <c r="AE71" s="69" t="str">
        <f t="shared" si="36"/>
        <v/>
      </c>
      <c r="AF71" s="69" t="str">
        <f t="shared" si="36"/>
        <v/>
      </c>
      <c r="AG71" s="70" t="str">
        <f t="shared" si="36"/>
        <v/>
      </c>
      <c r="AH71" s="69" t="str">
        <f t="shared" si="36"/>
        <v/>
      </c>
      <c r="AI71" s="69" t="str">
        <f t="shared" si="36"/>
        <v/>
      </c>
      <c r="AJ71" s="69" t="str">
        <f t="shared" si="36"/>
        <v/>
      </c>
      <c r="AK71" s="69" t="str">
        <f t="shared" si="36"/>
        <v/>
      </c>
      <c r="AL71" s="70" t="str">
        <f t="shared" si="36"/>
        <v/>
      </c>
      <c r="AM71" s="69" t="str">
        <f t="shared" si="36"/>
        <v/>
      </c>
      <c r="AN71" s="69" t="str">
        <f t="shared" si="36"/>
        <v/>
      </c>
      <c r="AO71" s="69" t="str">
        <f t="shared" ref="AO71:BK71" si="37">IFERROR(AO70/AJ70-1,"")</f>
        <v/>
      </c>
      <c r="AP71" s="69">
        <f t="shared" si="37"/>
        <v>2.26078259939742</v>
      </c>
      <c r="AQ71" s="70">
        <f t="shared" si="37"/>
        <v>2.168566702263226</v>
      </c>
      <c r="AR71" s="69">
        <f t="shared" si="37"/>
        <v>2.4054764487450999</v>
      </c>
      <c r="AS71" s="69">
        <f t="shared" si="37"/>
        <v>1.8568592953489422</v>
      </c>
      <c r="AT71" s="69">
        <f t="shared" si="37"/>
        <v>1.1833626074327102</v>
      </c>
      <c r="AU71" s="69">
        <f t="shared" si="37"/>
        <v>0.3397915545447705</v>
      </c>
      <c r="AV71" s="70">
        <f t="shared" si="37"/>
        <v>0.44698483376426545</v>
      </c>
      <c r="AW71" s="69" t="str">
        <f t="shared" si="37"/>
        <v/>
      </c>
      <c r="AX71" s="69" t="str">
        <f t="shared" si="37"/>
        <v/>
      </c>
      <c r="AY71" s="69" t="str">
        <f t="shared" si="37"/>
        <v/>
      </c>
      <c r="AZ71" s="69" t="str">
        <f t="shared" si="37"/>
        <v/>
      </c>
      <c r="BA71" s="70">
        <f t="shared" si="37"/>
        <v>4.4036677450776773E-2</v>
      </c>
      <c r="BB71" s="69" t="str">
        <f t="shared" si="37"/>
        <v/>
      </c>
      <c r="BC71" s="69" t="str">
        <f t="shared" si="37"/>
        <v/>
      </c>
      <c r="BD71" s="69" t="str">
        <f t="shared" si="37"/>
        <v/>
      </c>
      <c r="BE71" s="69" t="str">
        <f t="shared" si="37"/>
        <v/>
      </c>
      <c r="BF71" s="70">
        <f t="shared" si="37"/>
        <v>0.11560628677366003</v>
      </c>
      <c r="BG71" s="69" t="str">
        <f t="shared" si="37"/>
        <v/>
      </c>
      <c r="BH71" s="69" t="str">
        <f t="shared" si="37"/>
        <v/>
      </c>
      <c r="BI71" s="69" t="str">
        <f t="shared" si="37"/>
        <v/>
      </c>
      <c r="BJ71" s="69" t="str">
        <f t="shared" si="37"/>
        <v/>
      </c>
      <c r="BK71" s="70">
        <f t="shared" si="37"/>
        <v>1.746599316917008E-3</v>
      </c>
    </row>
    <row r="72" spans="1:63" s="71" customFormat="1" ht="12.75" customHeight="1" outlineLevel="1">
      <c r="A72" s="67" t="s">
        <v>596</v>
      </c>
      <c r="B72" s="68" t="s">
        <v>33</v>
      </c>
      <c r="C72" s="68"/>
      <c r="D72" s="69"/>
      <c r="E72" s="69"/>
      <c r="F72" s="69"/>
      <c r="G72" s="69"/>
      <c r="H72" s="72"/>
      <c r="I72" s="69" t="str">
        <f>IFERROR(I70/G70-1,"")</f>
        <v/>
      </c>
      <c r="J72" s="69" t="str">
        <f>IFERROR(J70/I70-1,"")</f>
        <v/>
      </c>
      <c r="K72" s="69" t="str">
        <f>IFERROR(K70/J70-1,"")</f>
        <v/>
      </c>
      <c r="L72" s="69" t="str">
        <f>IFERROR(L70/K70-1,"")</f>
        <v/>
      </c>
      <c r="M72" s="72"/>
      <c r="N72" s="69" t="str">
        <f>IFERROR(N70/L70-1,"")</f>
        <v/>
      </c>
      <c r="O72" s="69" t="str">
        <f>IFERROR(O70/N70-1,"")</f>
        <v/>
      </c>
      <c r="P72" s="69" t="str">
        <f>IFERROR(P70/O70-1,"")</f>
        <v/>
      </c>
      <c r="Q72" s="69" t="str">
        <f>IFERROR(Q70/P70-1,"")</f>
        <v/>
      </c>
      <c r="R72" s="72"/>
      <c r="S72" s="69" t="str">
        <f>IFERROR(S70/Q70-1,"")</f>
        <v/>
      </c>
      <c r="T72" s="69" t="str">
        <f>IFERROR(T70/S70-1,"")</f>
        <v/>
      </c>
      <c r="U72" s="69" t="str">
        <f>IFERROR(U70/T70-1,"")</f>
        <v/>
      </c>
      <c r="V72" s="69" t="str">
        <f>IFERROR(V70/U70-1,"")</f>
        <v/>
      </c>
      <c r="W72" s="72"/>
      <c r="X72" s="69" t="str">
        <f>IFERROR(X70/V70-1,"")</f>
        <v/>
      </c>
      <c r="Y72" s="69" t="str">
        <f>IFERROR(Y70/X70-1,"")</f>
        <v/>
      </c>
      <c r="Z72" s="69" t="str">
        <f>IFERROR(Z70/Y70-1,"")</f>
        <v/>
      </c>
      <c r="AA72" s="69" t="str">
        <f>IFERROR(AA70/Z70-1,"")</f>
        <v/>
      </c>
      <c r="AB72" s="72"/>
      <c r="AC72" s="69" t="str">
        <f>IFERROR(AC70/AA70-1,"")</f>
        <v/>
      </c>
      <c r="AD72" s="69" t="str">
        <f>IFERROR(AD70/AC70-1,"")</f>
        <v/>
      </c>
      <c r="AE72" s="69" t="str">
        <f>IFERROR(AE70/AD70-1,"")</f>
        <v/>
      </c>
      <c r="AF72" s="69" t="str">
        <f>IFERROR(AF70/AE70-1,"")</f>
        <v/>
      </c>
      <c r="AG72" s="72"/>
      <c r="AH72" s="69" t="str">
        <f>IFERROR(AH70/AF70-1,"")</f>
        <v/>
      </c>
      <c r="AI72" s="69" t="str">
        <f>IFERROR(AI70/AH70-1,"")</f>
        <v/>
      </c>
      <c r="AJ72" s="69" t="str">
        <f>IFERROR(AJ70/AI70-1,"")</f>
        <v/>
      </c>
      <c r="AK72" s="69" t="str">
        <f>IFERROR(AK70/AJ70-1,"")</f>
        <v/>
      </c>
      <c r="AL72" s="72"/>
      <c r="AM72" s="69">
        <f>IFERROR(AM70/AK70-1,"")</f>
        <v>9.5947365441588106E-2</v>
      </c>
      <c r="AN72" s="69">
        <f>IFERROR(AN70/AM70-1,"")</f>
        <v>0.2722326486337574</v>
      </c>
      <c r="AO72" s="69">
        <f>IFERROR(AO70/AN70-1,"")</f>
        <v>0.39462714846393299</v>
      </c>
      <c r="AP72" s="69">
        <f>IFERROR(AP70/AO70-1,"")</f>
        <v>0.67690127997360472</v>
      </c>
      <c r="AQ72" s="72"/>
      <c r="AR72" s="69">
        <f>IFERROR(AR70/AP70-1,"")</f>
        <v>0.14457889427073978</v>
      </c>
      <c r="AS72" s="69">
        <f>IFERROR(AS70/AR70-1,"")</f>
        <v>6.727787515167849E-2</v>
      </c>
      <c r="AT72" s="69">
        <f>IFERROR(AT70/AS70-1,"")</f>
        <v>6.5847650328448637E-2</v>
      </c>
      <c r="AU72" s="69">
        <f>IFERROR(AU70/AT70-1,"")</f>
        <v>2.900826691161229E-2</v>
      </c>
      <c r="AV72" s="72"/>
      <c r="AW72" s="69" t="str">
        <f>IFERROR(AW70/AU70-1,"")</f>
        <v/>
      </c>
      <c r="AX72" s="69" t="str">
        <f>IFERROR(AX70/AW70-1,"")</f>
        <v/>
      </c>
      <c r="AY72" s="69" t="str">
        <f>IFERROR(AY70/AX70-1,"")</f>
        <v/>
      </c>
      <c r="AZ72" s="69" t="str">
        <f>IFERROR(AZ70/AY70-1,"")</f>
        <v/>
      </c>
      <c r="BA72" s="72"/>
      <c r="BB72" s="69" t="str">
        <f>IFERROR(BB70/AZ70-1,"")</f>
        <v/>
      </c>
      <c r="BC72" s="69" t="str">
        <f>IFERROR(BC70/BB70-1,"")</f>
        <v/>
      </c>
      <c r="BD72" s="69" t="str">
        <f>IFERROR(BD70/BC70-1,"")</f>
        <v/>
      </c>
      <c r="BE72" s="69" t="str">
        <f>IFERROR(BE70/BD70-1,"")</f>
        <v/>
      </c>
      <c r="BF72" s="72"/>
      <c r="BG72" s="69" t="str">
        <f>IFERROR(BG70/BE70-1,"")</f>
        <v/>
      </c>
      <c r="BH72" s="69" t="str">
        <f>IFERROR(BH70/BG70-1,"")</f>
        <v/>
      </c>
      <c r="BI72" s="69" t="str">
        <f>IFERROR(BI70/BH70-1,"")</f>
        <v/>
      </c>
      <c r="BJ72" s="69" t="str">
        <f>IFERROR(BJ70/BI70-1,"")</f>
        <v/>
      </c>
      <c r="BK72" s="72"/>
    </row>
    <row r="73" spans="1:63" s="71" customFormat="1" ht="12.75" customHeight="1">
      <c r="A73" s="53"/>
      <c r="B73" s="68"/>
      <c r="C73" s="68"/>
      <c r="D73" s="82"/>
      <c r="E73" s="69"/>
      <c r="F73" s="69"/>
      <c r="G73" s="69"/>
      <c r="H73" s="70"/>
      <c r="I73" s="69"/>
      <c r="J73" s="69"/>
      <c r="K73" s="69"/>
      <c r="L73" s="69"/>
      <c r="M73" s="72"/>
      <c r="N73" s="69"/>
      <c r="O73" s="69"/>
      <c r="P73" s="69"/>
      <c r="Q73" s="69"/>
      <c r="R73" s="72"/>
      <c r="S73" s="69"/>
      <c r="T73" s="69"/>
      <c r="U73" s="69"/>
      <c r="V73" s="69"/>
      <c r="W73" s="72"/>
      <c r="X73" s="69"/>
      <c r="Y73" s="69"/>
      <c r="Z73" s="69"/>
      <c r="AA73" s="69"/>
      <c r="AB73" s="72"/>
      <c r="AC73" s="69"/>
      <c r="AD73" s="69"/>
      <c r="AE73" s="69"/>
      <c r="AF73" s="69"/>
      <c r="AG73" s="72"/>
      <c r="AH73" s="69"/>
      <c r="AI73" s="69"/>
      <c r="AJ73" s="69"/>
      <c r="AK73" s="69"/>
      <c r="AL73" s="72"/>
      <c r="AM73" s="69"/>
      <c r="AN73" s="69"/>
      <c r="AO73" s="69"/>
      <c r="AP73" s="69"/>
      <c r="AQ73" s="72"/>
      <c r="AR73" s="69"/>
      <c r="AS73" s="69"/>
      <c r="AT73" s="69"/>
      <c r="AU73" s="69"/>
      <c r="AV73" s="72"/>
      <c r="AW73" s="69"/>
      <c r="AX73" s="69"/>
      <c r="AY73" s="69"/>
      <c r="AZ73" s="69"/>
      <c r="BA73" s="72"/>
      <c r="BB73" s="69"/>
      <c r="BC73" s="69"/>
      <c r="BD73" s="69"/>
      <c r="BE73" s="69"/>
      <c r="BF73" s="72"/>
      <c r="BG73" s="69"/>
      <c r="BH73" s="69"/>
      <c r="BI73" s="69"/>
      <c r="BJ73" s="69"/>
      <c r="BK73" s="72"/>
    </row>
    <row r="74" spans="1:63" ht="12.75" customHeight="1">
      <c r="B74" s="68"/>
      <c r="D74" s="82"/>
      <c r="E74" s="69"/>
      <c r="F74" s="69"/>
      <c r="G74" s="69"/>
      <c r="H74" s="70"/>
      <c r="I74" s="69"/>
      <c r="J74" s="69"/>
      <c r="K74" s="69"/>
      <c r="L74" s="69"/>
      <c r="M74" s="70"/>
      <c r="N74" s="69"/>
      <c r="O74" s="69"/>
      <c r="P74" s="69"/>
      <c r="Q74" s="69"/>
      <c r="R74" s="70"/>
      <c r="S74" s="69"/>
      <c r="T74" s="69"/>
      <c r="U74" s="69"/>
      <c r="V74" s="69"/>
      <c r="W74" s="70"/>
      <c r="X74" s="69"/>
      <c r="Y74" s="69"/>
      <c r="Z74" s="69"/>
      <c r="AA74" s="69"/>
      <c r="AB74" s="70"/>
      <c r="AC74" s="69"/>
      <c r="AD74" s="69"/>
      <c r="AE74" s="69"/>
      <c r="AF74" s="69"/>
      <c r="AG74" s="70"/>
      <c r="AH74" s="69"/>
      <c r="AI74" s="69"/>
      <c r="AJ74" s="69"/>
      <c r="AK74" s="69"/>
      <c r="AL74" s="70"/>
      <c r="AM74" s="69"/>
      <c r="AN74" s="69"/>
      <c r="AO74" s="69"/>
      <c r="AP74" s="69"/>
      <c r="AQ74" s="70"/>
      <c r="AR74" s="69"/>
      <c r="AS74" s="69"/>
      <c r="AT74" s="69"/>
      <c r="AU74" s="69"/>
      <c r="AV74" s="70"/>
      <c r="AW74" s="69"/>
      <c r="AX74" s="69"/>
      <c r="AY74" s="69"/>
      <c r="AZ74" s="69"/>
      <c r="BA74" s="70"/>
      <c r="BB74" s="69"/>
      <c r="BC74" s="69"/>
      <c r="BD74" s="69"/>
      <c r="BE74" s="69"/>
      <c r="BF74" s="70"/>
      <c r="BG74" s="69"/>
      <c r="BH74" s="69"/>
      <c r="BI74" s="69"/>
      <c r="BJ74" s="69"/>
      <c r="BK74" s="70"/>
    </row>
    <row r="75" spans="1:63" ht="12.75" customHeight="1">
      <c r="B75" s="47" t="s">
        <v>52</v>
      </c>
      <c r="H75" s="87"/>
      <c r="M75" s="87"/>
      <c r="R75" s="87"/>
      <c r="W75" s="87"/>
      <c r="AB75" s="87"/>
      <c r="AG75" s="87"/>
      <c r="AL75" s="87"/>
      <c r="AQ75" s="87"/>
      <c r="AV75" s="87"/>
      <c r="BA75" s="87"/>
      <c r="BF75" s="87"/>
      <c r="BK75" s="87"/>
    </row>
    <row r="76" spans="1:63" s="641" customFormat="1" ht="12.75" customHeight="1" outlineLevel="1">
      <c r="A76" s="636"/>
      <c r="B76" s="637" t="s">
        <v>53</v>
      </c>
      <c r="C76" s="638"/>
      <c r="D76" s="639"/>
      <c r="E76" s="639"/>
      <c r="F76" s="639"/>
      <c r="G76" s="639"/>
      <c r="H76" s="640"/>
      <c r="I76" s="639" t="str">
        <f>IFERROR(I58-G58,"--")</f>
        <v>--</v>
      </c>
      <c r="J76" s="639" t="str">
        <f>IFERROR(J58-I58,"--")</f>
        <v>--</v>
      </c>
      <c r="K76" s="639" t="str">
        <f>IFERROR(K58-J58,"--")</f>
        <v>--</v>
      </c>
      <c r="L76" s="639" t="str">
        <f>IFERROR(L58-K58,"--")</f>
        <v>--</v>
      </c>
      <c r="M76" s="640" t="str">
        <f>IFERROR(M58-H58,"--")</f>
        <v>--</v>
      </c>
      <c r="N76" s="639" t="str">
        <f>IFERROR(N58-L58,"--")</f>
        <v>--</v>
      </c>
      <c r="O76" s="639" t="str">
        <f>IFERROR(O58-N58,"--")</f>
        <v>--</v>
      </c>
      <c r="P76" s="639" t="str">
        <f>IFERROR(P58-O58,"--")</f>
        <v>--</v>
      </c>
      <c r="Q76" s="639" t="str">
        <f>IFERROR(Q58-P58,"--")</f>
        <v>--</v>
      </c>
      <c r="R76" s="640" t="str">
        <f>IFERROR(R58-M58,"--")</f>
        <v>--</v>
      </c>
      <c r="S76" s="639" t="str">
        <f>IFERROR(S58-Q58,"--")</f>
        <v>--</v>
      </c>
      <c r="T76" s="639" t="str">
        <f>IFERROR(T58-S58,"--")</f>
        <v>--</v>
      </c>
      <c r="U76" s="639" t="str">
        <f>IFERROR(U58-T58,"--")</f>
        <v>--</v>
      </c>
      <c r="V76" s="639" t="str">
        <f>IFERROR(V58-U58,"--")</f>
        <v>--</v>
      </c>
      <c r="W76" s="640" t="str">
        <f>IFERROR(W58-R58,"--")</f>
        <v>--</v>
      </c>
      <c r="X76" s="639" t="str">
        <f>IFERROR(X58-V58,"--")</f>
        <v>--</v>
      </c>
      <c r="Y76" s="639" t="str">
        <f>IFERROR(Y58-X58,"--")</f>
        <v>--</v>
      </c>
      <c r="Z76" s="639" t="str">
        <f>IFERROR(Z58-Y58,"--")</f>
        <v>--</v>
      </c>
      <c r="AA76" s="639" t="str">
        <f>IFERROR(AA58-Z58,"--")</f>
        <v>--</v>
      </c>
      <c r="AB76" s="640" t="str">
        <f>IFERROR(AB58-W58,"--")</f>
        <v>--</v>
      </c>
      <c r="AC76" s="639" t="str">
        <f>IFERROR(AC58-AA58,"--")</f>
        <v>--</v>
      </c>
      <c r="AD76" s="639" t="str">
        <f>IFERROR(AD58-AC58,"--")</f>
        <v>--</v>
      </c>
      <c r="AE76" s="639" t="str">
        <f>IFERROR(AE58-AD58,"--")</f>
        <v>--</v>
      </c>
      <c r="AF76" s="639" t="str">
        <f>IFERROR(AF58-AE58,"--")</f>
        <v>--</v>
      </c>
      <c r="AG76" s="640" t="str">
        <f>IFERROR(AG58-AB58,"--")</f>
        <v>--</v>
      </c>
      <c r="AH76" s="639" t="str">
        <f>IFERROR(AH58-AF58,"--")</f>
        <v>--</v>
      </c>
      <c r="AI76" s="639" t="str">
        <f>IFERROR(AI58-AH58,"--")</f>
        <v>--</v>
      </c>
      <c r="AJ76" s="639" t="str">
        <f>IFERROR(AJ58-AI58,"--")</f>
        <v>--</v>
      </c>
      <c r="AK76" s="639" t="str">
        <f>IFERROR(AK58-AJ58,"--")</f>
        <v>--</v>
      </c>
      <c r="AL76" s="640" t="str">
        <f>IFERROR(AL58-AG58,"--")</f>
        <v>--</v>
      </c>
      <c r="AM76" s="639">
        <f>IFERROR(AM58-AK58,"--")</f>
        <v>-332.17930000000001</v>
      </c>
      <c r="AN76" s="639">
        <f>IFERROR(AN58-AM58,"--")</f>
        <v>514.42420000000004</v>
      </c>
      <c r="AO76" s="639">
        <f>IFERROR(AO58-AN58,"--")</f>
        <v>-25.70659999999998</v>
      </c>
      <c r="AP76" s="639">
        <f>IFERROR(AP58-AO58,"--")</f>
        <v>184.55839999999989</v>
      </c>
      <c r="AQ76" s="640">
        <f>IFERROR(AQ58-AL58,"--")</f>
        <v>341.09669999999994</v>
      </c>
      <c r="AR76" s="639">
        <f>IFERROR(AR58-AP58,"--")</f>
        <v>422.42949999999996</v>
      </c>
      <c r="AS76" s="639">
        <f>IFERROR(AS58-AR58,"--")</f>
        <v>243.89290000000005</v>
      </c>
      <c r="AT76" s="639">
        <f>IFERROR(AT58-AS58,"--")</f>
        <v>236.49680000000012</v>
      </c>
      <c r="AU76" s="639">
        <f>IFERROR(AU58-AT58,"--")</f>
        <v>211.34119999999984</v>
      </c>
      <c r="AV76" s="640">
        <f>IFERROR(AV58-AQ58,"--")</f>
        <v>1114.1604</v>
      </c>
      <c r="AW76" s="639">
        <f>IFERROR(AW58-AU58,"--")</f>
        <v>-677.50139999999988</v>
      </c>
      <c r="AX76" s="639">
        <f>IFERROR(AX58-AW58,"--")</f>
        <v>101.20000000000005</v>
      </c>
      <c r="AY76" s="639">
        <f>IFERROR(AY58-AX58,"--")</f>
        <v>101.19999999999982</v>
      </c>
      <c r="AZ76" s="639">
        <f>IFERROR(AZ58-AY58,"--")</f>
        <v>101.20000000000005</v>
      </c>
      <c r="BA76" s="640">
        <f>IFERROR(BA58-AV58,"--")</f>
        <v>146.69860000000017</v>
      </c>
      <c r="BB76" s="639" t="str">
        <f>IFERROR(BB58-AZ58,"--")</f>
        <v>--</v>
      </c>
      <c r="BC76" s="639" t="str">
        <f>IFERROR(BC58-BB58,"--")</f>
        <v>--</v>
      </c>
      <c r="BD76" s="639" t="str">
        <f>IFERROR(BD58-BC58,"--")</f>
        <v>--</v>
      </c>
      <c r="BE76" s="639" t="str">
        <f>IFERROR(BE58-BD58,"--")</f>
        <v>--</v>
      </c>
      <c r="BF76" s="640" t="str">
        <f>IFERROR(BF58-BA58,"--")</f>
        <v>--</v>
      </c>
      <c r="BG76" s="639" t="str">
        <f>IFERROR(BG58-BE58,"--")</f>
        <v>--</v>
      </c>
      <c r="BH76" s="639" t="str">
        <f>IFERROR(BH58-BG58,"--")</f>
        <v>--</v>
      </c>
      <c r="BI76" s="639" t="str">
        <f>IFERROR(BI58-BH58,"--")</f>
        <v>--</v>
      </c>
      <c r="BJ76" s="639" t="str">
        <f>IFERROR(BJ58-BI58,"--")</f>
        <v>--</v>
      </c>
      <c r="BK76" s="640" t="str">
        <f>IFERROR(BK58-BF58,"--")</f>
        <v>--</v>
      </c>
    </row>
    <row r="77" spans="1:63" s="71" customFormat="1" ht="12.75" customHeight="1" outlineLevel="1">
      <c r="A77" s="53"/>
      <c r="B77" s="68" t="s">
        <v>31</v>
      </c>
      <c r="C77" s="68"/>
      <c r="D77" s="69"/>
      <c r="E77" s="69"/>
      <c r="F77" s="69"/>
      <c r="G77" s="69"/>
      <c r="H77" s="70"/>
      <c r="I77" s="69" t="str">
        <f t="shared" ref="I77:AN77" si="38">IFERROR(I76/D76-1,"")</f>
        <v/>
      </c>
      <c r="J77" s="69" t="str">
        <f t="shared" si="38"/>
        <v/>
      </c>
      <c r="K77" s="69" t="str">
        <f t="shared" si="38"/>
        <v/>
      </c>
      <c r="L77" s="69" t="str">
        <f t="shared" si="38"/>
        <v/>
      </c>
      <c r="M77" s="70" t="str">
        <f t="shared" si="38"/>
        <v/>
      </c>
      <c r="N77" s="69" t="str">
        <f t="shared" si="38"/>
        <v/>
      </c>
      <c r="O77" s="69" t="str">
        <f t="shared" si="38"/>
        <v/>
      </c>
      <c r="P77" s="69" t="str">
        <f t="shared" si="38"/>
        <v/>
      </c>
      <c r="Q77" s="69" t="str">
        <f t="shared" si="38"/>
        <v/>
      </c>
      <c r="R77" s="70" t="str">
        <f t="shared" si="38"/>
        <v/>
      </c>
      <c r="S77" s="69" t="str">
        <f t="shared" si="38"/>
        <v/>
      </c>
      <c r="T77" s="69" t="str">
        <f t="shared" si="38"/>
        <v/>
      </c>
      <c r="U77" s="69" t="str">
        <f t="shared" si="38"/>
        <v/>
      </c>
      <c r="V77" s="69" t="str">
        <f t="shared" si="38"/>
        <v/>
      </c>
      <c r="W77" s="70" t="str">
        <f t="shared" si="38"/>
        <v/>
      </c>
      <c r="X77" s="69" t="str">
        <f t="shared" si="38"/>
        <v/>
      </c>
      <c r="Y77" s="69" t="str">
        <f t="shared" si="38"/>
        <v/>
      </c>
      <c r="Z77" s="69" t="str">
        <f t="shared" si="38"/>
        <v/>
      </c>
      <c r="AA77" s="69" t="str">
        <f t="shared" si="38"/>
        <v/>
      </c>
      <c r="AB77" s="70" t="str">
        <f t="shared" si="38"/>
        <v/>
      </c>
      <c r="AC77" s="69" t="str">
        <f t="shared" si="38"/>
        <v/>
      </c>
      <c r="AD77" s="69" t="str">
        <f t="shared" si="38"/>
        <v/>
      </c>
      <c r="AE77" s="69" t="str">
        <f t="shared" si="38"/>
        <v/>
      </c>
      <c r="AF77" s="69" t="str">
        <f t="shared" si="38"/>
        <v/>
      </c>
      <c r="AG77" s="70" t="str">
        <f t="shared" si="38"/>
        <v/>
      </c>
      <c r="AH77" s="69" t="str">
        <f t="shared" si="38"/>
        <v/>
      </c>
      <c r="AI77" s="69" t="str">
        <f t="shared" si="38"/>
        <v/>
      </c>
      <c r="AJ77" s="69" t="str">
        <f t="shared" si="38"/>
        <v/>
      </c>
      <c r="AK77" s="69" t="str">
        <f t="shared" si="38"/>
        <v/>
      </c>
      <c r="AL77" s="70" t="str">
        <f t="shared" si="38"/>
        <v/>
      </c>
      <c r="AM77" s="69" t="str">
        <f t="shared" si="38"/>
        <v/>
      </c>
      <c r="AN77" s="69" t="str">
        <f t="shared" si="38"/>
        <v/>
      </c>
      <c r="AO77" s="69" t="str">
        <f t="shared" ref="AO77:BK77" si="39">IFERROR(AO76/AJ76-1,"")</f>
        <v/>
      </c>
      <c r="AP77" s="69" t="str">
        <f t="shared" si="39"/>
        <v/>
      </c>
      <c r="AQ77" s="70" t="str">
        <f t="shared" si="39"/>
        <v/>
      </c>
      <c r="AR77" s="69">
        <f t="shared" si="39"/>
        <v>-2.2716912221803103</v>
      </c>
      <c r="AS77" s="69">
        <f t="shared" si="39"/>
        <v>-0.52589147244628065</v>
      </c>
      <c r="AT77" s="69">
        <f t="shared" si="39"/>
        <v>-10.199847509977994</v>
      </c>
      <c r="AU77" s="69">
        <f t="shared" si="39"/>
        <v>0.14511829317982805</v>
      </c>
      <c r="AV77" s="70">
        <f t="shared" si="39"/>
        <v>2.2664062713007782</v>
      </c>
      <c r="AW77" s="69">
        <f t="shared" si="39"/>
        <v>-2.6038212293412273</v>
      </c>
      <c r="AX77" s="69">
        <f t="shared" si="39"/>
        <v>-0.58506377184411673</v>
      </c>
      <c r="AY77" s="69">
        <f t="shared" si="39"/>
        <v>-0.57208723331563149</v>
      </c>
      <c r="AZ77" s="69">
        <f t="shared" si="39"/>
        <v>-0.52115347125879796</v>
      </c>
      <c r="BA77" s="70">
        <f t="shared" si="39"/>
        <v>-0.86833260273834889</v>
      </c>
      <c r="BB77" s="69" t="str">
        <f t="shared" si="39"/>
        <v/>
      </c>
      <c r="BC77" s="69" t="str">
        <f t="shared" si="39"/>
        <v/>
      </c>
      <c r="BD77" s="69" t="str">
        <f t="shared" si="39"/>
        <v/>
      </c>
      <c r="BE77" s="69" t="str">
        <f t="shared" si="39"/>
        <v/>
      </c>
      <c r="BF77" s="70" t="str">
        <f t="shared" si="39"/>
        <v/>
      </c>
      <c r="BG77" s="69" t="str">
        <f t="shared" si="39"/>
        <v/>
      </c>
      <c r="BH77" s="69" t="str">
        <f t="shared" si="39"/>
        <v/>
      </c>
      <c r="BI77" s="69" t="str">
        <f t="shared" si="39"/>
        <v/>
      </c>
      <c r="BJ77" s="69" t="str">
        <f t="shared" si="39"/>
        <v/>
      </c>
      <c r="BK77" s="70" t="str">
        <f t="shared" si="39"/>
        <v/>
      </c>
    </row>
    <row r="78" spans="1:63" s="71" customFormat="1" ht="12.75" customHeight="1" outlineLevel="1">
      <c r="A78" s="53"/>
      <c r="B78" s="68" t="s">
        <v>33</v>
      </c>
      <c r="C78" s="68"/>
      <c r="D78" s="69"/>
      <c r="E78" s="69"/>
      <c r="F78" s="69"/>
      <c r="G78" s="69"/>
      <c r="H78" s="72"/>
      <c r="I78" s="69" t="str">
        <f>IFERROR(I76/G76-1,"")</f>
        <v/>
      </c>
      <c r="J78" s="69" t="str">
        <f>IFERROR(J76/I76-1,"")</f>
        <v/>
      </c>
      <c r="K78" s="69" t="str">
        <f>IFERROR(K76/J76-1,"")</f>
        <v/>
      </c>
      <c r="L78" s="69" t="str">
        <f>IFERROR(L76/K76-1,"")</f>
        <v/>
      </c>
      <c r="M78" s="72"/>
      <c r="N78" s="69" t="str">
        <f>IFERROR(N76/L76-1,"")</f>
        <v/>
      </c>
      <c r="O78" s="69" t="str">
        <f>IFERROR(O76/N76-1,"")</f>
        <v/>
      </c>
      <c r="P78" s="69" t="str">
        <f>IFERROR(P76/O76-1,"")</f>
        <v/>
      </c>
      <c r="Q78" s="69" t="str">
        <f>IFERROR(Q76/P76-1,"")</f>
        <v/>
      </c>
      <c r="R78" s="72"/>
      <c r="S78" s="69" t="str">
        <f>IFERROR(S76/Q76-1,"")</f>
        <v/>
      </c>
      <c r="T78" s="69" t="str">
        <f>IFERROR(T76/S76-1,"")</f>
        <v/>
      </c>
      <c r="U78" s="69" t="str">
        <f>IFERROR(U76/T76-1,"")</f>
        <v/>
      </c>
      <c r="V78" s="69" t="str">
        <f>IFERROR(V76/U76-1,"")</f>
        <v/>
      </c>
      <c r="W78" s="72"/>
      <c r="X78" s="69" t="str">
        <f>IFERROR(X76/V76-1,"")</f>
        <v/>
      </c>
      <c r="Y78" s="69" t="str">
        <f>IFERROR(Y76/X76-1,"")</f>
        <v/>
      </c>
      <c r="Z78" s="69" t="str">
        <f>IFERROR(Z76/Y76-1,"")</f>
        <v/>
      </c>
      <c r="AA78" s="69" t="str">
        <f>IFERROR(AA76/Z76-1,"")</f>
        <v/>
      </c>
      <c r="AB78" s="72"/>
      <c r="AC78" s="69" t="str">
        <f>IFERROR(AC76/AA76-1,"")</f>
        <v/>
      </c>
      <c r="AD78" s="69" t="str">
        <f>IFERROR(AD76/AC76-1,"")</f>
        <v/>
      </c>
      <c r="AE78" s="69" t="str">
        <f>IFERROR(AE76/AD76-1,"")</f>
        <v/>
      </c>
      <c r="AF78" s="69" t="str">
        <f>IFERROR(AF76/AE76-1,"")</f>
        <v/>
      </c>
      <c r="AG78" s="72"/>
      <c r="AH78" s="69" t="str">
        <f>IFERROR(AH76/AF76-1,"")</f>
        <v/>
      </c>
      <c r="AI78" s="69" t="str">
        <f>IFERROR(AI76/AH76-1,"")</f>
        <v/>
      </c>
      <c r="AJ78" s="69" t="str">
        <f>IFERROR(AJ76/AI76-1,"")</f>
        <v/>
      </c>
      <c r="AK78" s="69" t="str">
        <f>IFERROR(AK76/AJ76-1,"")</f>
        <v/>
      </c>
      <c r="AL78" s="72"/>
      <c r="AM78" s="69" t="str">
        <f>IFERROR(AM76/AK76-1,"")</f>
        <v/>
      </c>
      <c r="AN78" s="69">
        <f>IFERROR(AN76/AM76-1,"")</f>
        <v>-2.5486341262083458</v>
      </c>
      <c r="AO78" s="69">
        <f>IFERROR(AO76/AN76-1,"")</f>
        <v>-1.0499715993143401</v>
      </c>
      <c r="AP78" s="69">
        <f>IFERROR(AP76/AO76-1,"")</f>
        <v>-8.1794169590688774</v>
      </c>
      <c r="AQ78" s="72"/>
      <c r="AR78" s="69">
        <f>IFERROR(AR76/AP76-1,"")</f>
        <v>1.288866288394352</v>
      </c>
      <c r="AS78" s="69">
        <f>IFERROR(AS76/AR76-1,"")</f>
        <v>-0.42264235807395067</v>
      </c>
      <c r="AT78" s="69">
        <f>IFERROR(AT76/AS76-1,"")</f>
        <v>-3.032519601841599E-2</v>
      </c>
      <c r="AU78" s="69">
        <f>IFERROR(AU76/AT76-1,"")</f>
        <v>-0.10636761258503402</v>
      </c>
      <c r="AV78" s="72"/>
      <c r="AW78" s="69">
        <f>IFERROR(AW76/AU76-1,"")</f>
        <v>-4.2057232569891738</v>
      </c>
      <c r="AX78" s="69">
        <f>IFERROR(AX76/AW76-1,"")</f>
        <v>-1.1493723850607542</v>
      </c>
      <c r="AY78" s="69">
        <f>IFERROR(AY76/AX76-1,"")</f>
        <v>-2.2204460492503131E-15</v>
      </c>
      <c r="AZ78" s="69">
        <f>IFERROR(AZ76/AY76-1,"")</f>
        <v>2.2204460492503131E-15</v>
      </c>
      <c r="BA78" s="72"/>
      <c r="BB78" s="69" t="str">
        <f>IFERROR(BB76/AZ76-1,"")</f>
        <v/>
      </c>
      <c r="BC78" s="69" t="str">
        <f>IFERROR(BC76/BB76-1,"")</f>
        <v/>
      </c>
      <c r="BD78" s="69" t="str">
        <f>IFERROR(BD76/BC76-1,"")</f>
        <v/>
      </c>
      <c r="BE78" s="69" t="str">
        <f>IFERROR(BE76/BD76-1,"")</f>
        <v/>
      </c>
      <c r="BF78" s="72"/>
      <c r="BG78" s="69" t="str">
        <f>IFERROR(BG76/BE76-1,"")</f>
        <v/>
      </c>
      <c r="BH78" s="69" t="str">
        <f>IFERROR(BH76/BG76-1,"")</f>
        <v/>
      </c>
      <c r="BI78" s="69" t="str">
        <f>IFERROR(BI76/BH76-1,"")</f>
        <v/>
      </c>
      <c r="BJ78" s="69" t="str">
        <f>IFERROR(BJ76/BI76-1,"")</f>
        <v/>
      </c>
      <c r="BK78" s="72"/>
    </row>
    <row r="79" spans="1:63" s="71" customFormat="1" ht="12.75" customHeight="1" outlineLevel="1">
      <c r="A79" s="53"/>
      <c r="B79" s="83"/>
      <c r="C79" s="68"/>
      <c r="D79" s="84"/>
      <c r="E79" s="69"/>
      <c r="F79" s="69"/>
      <c r="G79" s="69"/>
      <c r="H79" s="72"/>
      <c r="I79" s="81"/>
      <c r="J79" s="81"/>
      <c r="K79" s="81"/>
      <c r="L79" s="81"/>
      <c r="M79" s="80"/>
      <c r="N79" s="81"/>
      <c r="O79" s="81"/>
      <c r="P79" s="81"/>
      <c r="Q79" s="81"/>
      <c r="R79" s="80"/>
      <c r="S79" s="81"/>
      <c r="T79" s="81"/>
      <c r="U79" s="81"/>
      <c r="V79" s="81"/>
      <c r="W79" s="80"/>
      <c r="X79" s="81"/>
      <c r="Y79" s="81"/>
      <c r="Z79" s="81"/>
      <c r="AA79" s="81"/>
      <c r="AB79" s="80"/>
      <c r="AC79" s="81"/>
      <c r="AD79" s="81"/>
      <c r="AE79" s="81"/>
      <c r="AF79" s="81"/>
      <c r="AG79" s="80"/>
      <c r="AH79" s="81"/>
      <c r="AI79" s="81"/>
      <c r="AJ79" s="81"/>
      <c r="AK79" s="81"/>
      <c r="AL79" s="80"/>
      <c r="AM79" s="81"/>
      <c r="AN79" s="81"/>
      <c r="AO79" s="81"/>
      <c r="AP79" s="81"/>
      <c r="AQ79" s="80"/>
      <c r="AR79" s="81"/>
      <c r="AS79" s="81"/>
      <c r="AT79" s="81"/>
      <c r="AU79" s="81"/>
      <c r="AV79" s="80"/>
      <c r="AW79" s="81"/>
      <c r="AX79" s="81"/>
      <c r="AY79" s="81"/>
      <c r="AZ79" s="81"/>
      <c r="BA79" s="80"/>
      <c r="BB79" s="81"/>
      <c r="BC79" s="81"/>
      <c r="BD79" s="81"/>
      <c r="BE79" s="81"/>
      <c r="BF79" s="80"/>
      <c r="BG79" s="81"/>
      <c r="BH79" s="81"/>
      <c r="BI79" s="81"/>
      <c r="BJ79" s="81"/>
      <c r="BK79" s="80"/>
    </row>
    <row r="80" spans="1:63" s="641" customFormat="1" ht="12.75" customHeight="1" outlineLevel="1">
      <c r="A80" s="636"/>
      <c r="B80" s="637" t="s">
        <v>54</v>
      </c>
      <c r="C80" s="638"/>
      <c r="D80" s="639"/>
      <c r="E80" s="639"/>
      <c r="F80" s="639"/>
      <c r="G80" s="639"/>
      <c r="H80" s="640"/>
      <c r="I80" s="639" t="str">
        <f t="shared" ref="I80:AN80" si="40">IFERROR(I88-I12,"--")</f>
        <v>--</v>
      </c>
      <c r="J80" s="639" t="str">
        <f t="shared" si="40"/>
        <v>--</v>
      </c>
      <c r="K80" s="639" t="str">
        <f t="shared" si="40"/>
        <v>--</v>
      </c>
      <c r="L80" s="639" t="str">
        <f t="shared" si="40"/>
        <v>--</v>
      </c>
      <c r="M80" s="640" t="str">
        <f t="shared" si="40"/>
        <v>--</v>
      </c>
      <c r="N80" s="639" t="str">
        <f t="shared" si="40"/>
        <v>--</v>
      </c>
      <c r="O80" s="639" t="str">
        <f t="shared" si="40"/>
        <v>--</v>
      </c>
      <c r="P80" s="639" t="str">
        <f t="shared" si="40"/>
        <v>--</v>
      </c>
      <c r="Q80" s="639" t="str">
        <f t="shared" si="40"/>
        <v>--</v>
      </c>
      <c r="R80" s="640" t="str">
        <f t="shared" si="40"/>
        <v>--</v>
      </c>
      <c r="S80" s="639" t="str">
        <f t="shared" si="40"/>
        <v>--</v>
      </c>
      <c r="T80" s="639" t="str">
        <f t="shared" si="40"/>
        <v>--</v>
      </c>
      <c r="U80" s="639" t="str">
        <f t="shared" si="40"/>
        <v>--</v>
      </c>
      <c r="V80" s="639" t="str">
        <f t="shared" si="40"/>
        <v>--</v>
      </c>
      <c r="W80" s="640" t="str">
        <f t="shared" si="40"/>
        <v>--</v>
      </c>
      <c r="X80" s="639" t="str">
        <f t="shared" si="40"/>
        <v>--</v>
      </c>
      <c r="Y80" s="639" t="str">
        <f t="shared" si="40"/>
        <v>--</v>
      </c>
      <c r="Z80" s="639" t="str">
        <f t="shared" si="40"/>
        <v>--</v>
      </c>
      <c r="AA80" s="639" t="str">
        <f t="shared" si="40"/>
        <v>--</v>
      </c>
      <c r="AB80" s="640" t="str">
        <f t="shared" si="40"/>
        <v>--</v>
      </c>
      <c r="AC80" s="639" t="str">
        <f t="shared" si="40"/>
        <v>--</v>
      </c>
      <c r="AD80" s="639" t="str">
        <f t="shared" si="40"/>
        <v>--</v>
      </c>
      <c r="AE80" s="639" t="str">
        <f t="shared" si="40"/>
        <v>--</v>
      </c>
      <c r="AF80" s="639" t="str">
        <f t="shared" si="40"/>
        <v>--</v>
      </c>
      <c r="AG80" s="640" t="str">
        <f t="shared" si="40"/>
        <v>--</v>
      </c>
      <c r="AH80" s="639" t="str">
        <f t="shared" si="40"/>
        <v>--</v>
      </c>
      <c r="AI80" s="639" t="str">
        <f t="shared" si="40"/>
        <v>--</v>
      </c>
      <c r="AJ80" s="639" t="str">
        <f t="shared" si="40"/>
        <v>--</v>
      </c>
      <c r="AK80" s="639">
        <f t="shared" si="40"/>
        <v>-365.27919999999995</v>
      </c>
      <c r="AL80" s="640" t="str">
        <f t="shared" si="40"/>
        <v>--</v>
      </c>
      <c r="AM80" s="639" t="str">
        <f t="shared" si="40"/>
        <v>--</v>
      </c>
      <c r="AN80" s="639" t="str">
        <f t="shared" si="40"/>
        <v>--</v>
      </c>
      <c r="AO80" s="639" t="str">
        <f t="shared" ref="AO80:BK80" si="41">IFERROR(AO88-AO12,"--")</f>
        <v>--</v>
      </c>
      <c r="AP80" s="639" t="str">
        <f t="shared" si="41"/>
        <v>--</v>
      </c>
      <c r="AQ80" s="640" t="str">
        <f t="shared" si="41"/>
        <v>--</v>
      </c>
      <c r="AR80" s="639" t="str">
        <f t="shared" si="41"/>
        <v>--</v>
      </c>
      <c r="AS80" s="639" t="str">
        <f t="shared" si="41"/>
        <v>--</v>
      </c>
      <c r="AT80" s="639" t="str">
        <f t="shared" si="41"/>
        <v>--</v>
      </c>
      <c r="AU80" s="639" t="str">
        <f t="shared" si="41"/>
        <v>--</v>
      </c>
      <c r="AV80" s="640" t="str">
        <f t="shared" si="41"/>
        <v>--</v>
      </c>
      <c r="AW80" s="639" t="str">
        <f t="shared" si="41"/>
        <v>--</v>
      </c>
      <c r="AX80" s="639" t="str">
        <f t="shared" si="41"/>
        <v>--</v>
      </c>
      <c r="AY80" s="639" t="str">
        <f t="shared" si="41"/>
        <v>--</v>
      </c>
      <c r="AZ80" s="639" t="str">
        <f t="shared" si="41"/>
        <v>--</v>
      </c>
      <c r="BA80" s="640" t="str">
        <f t="shared" si="41"/>
        <v>--</v>
      </c>
      <c r="BB80" s="639" t="str">
        <f t="shared" si="41"/>
        <v>--</v>
      </c>
      <c r="BC80" s="639" t="str">
        <f t="shared" si="41"/>
        <v>--</v>
      </c>
      <c r="BD80" s="639" t="str">
        <f t="shared" si="41"/>
        <v>--</v>
      </c>
      <c r="BE80" s="639" t="str">
        <f t="shared" si="41"/>
        <v>--</v>
      </c>
      <c r="BF80" s="640" t="str">
        <f t="shared" si="41"/>
        <v>--</v>
      </c>
      <c r="BG80" s="639" t="str">
        <f t="shared" si="41"/>
        <v>--</v>
      </c>
      <c r="BH80" s="639" t="str">
        <f t="shared" si="41"/>
        <v>--</v>
      </c>
      <c r="BI80" s="639" t="str">
        <f t="shared" si="41"/>
        <v>--</v>
      </c>
      <c r="BJ80" s="639" t="str">
        <f t="shared" si="41"/>
        <v>--</v>
      </c>
      <c r="BK80" s="640" t="str">
        <f t="shared" si="41"/>
        <v>--</v>
      </c>
    </row>
    <row r="81" spans="1:63" s="54" customFormat="1" ht="12.75" customHeight="1" outlineLevel="1">
      <c r="A81" s="53"/>
      <c r="B81" s="68" t="s">
        <v>31</v>
      </c>
      <c r="C81" s="68"/>
      <c r="D81" s="69"/>
      <c r="E81" s="69"/>
      <c r="F81" s="69"/>
      <c r="G81" s="69"/>
      <c r="H81" s="70"/>
      <c r="I81" s="69" t="str">
        <f t="shared" ref="I81:AN81" si="42">IFERROR(I80/D80-1,"")</f>
        <v/>
      </c>
      <c r="J81" s="69" t="str">
        <f t="shared" si="42"/>
        <v/>
      </c>
      <c r="K81" s="69" t="str">
        <f t="shared" si="42"/>
        <v/>
      </c>
      <c r="L81" s="69" t="str">
        <f t="shared" si="42"/>
        <v/>
      </c>
      <c r="M81" s="70" t="str">
        <f t="shared" si="42"/>
        <v/>
      </c>
      <c r="N81" s="69" t="str">
        <f t="shared" si="42"/>
        <v/>
      </c>
      <c r="O81" s="69" t="str">
        <f t="shared" si="42"/>
        <v/>
      </c>
      <c r="P81" s="69" t="str">
        <f t="shared" si="42"/>
        <v/>
      </c>
      <c r="Q81" s="69" t="str">
        <f t="shared" si="42"/>
        <v/>
      </c>
      <c r="R81" s="70" t="str">
        <f t="shared" si="42"/>
        <v/>
      </c>
      <c r="S81" s="69" t="str">
        <f t="shared" si="42"/>
        <v/>
      </c>
      <c r="T81" s="69" t="str">
        <f t="shared" si="42"/>
        <v/>
      </c>
      <c r="U81" s="69" t="str">
        <f t="shared" si="42"/>
        <v/>
      </c>
      <c r="V81" s="69" t="str">
        <f t="shared" si="42"/>
        <v/>
      </c>
      <c r="W81" s="70" t="str">
        <f t="shared" si="42"/>
        <v/>
      </c>
      <c r="X81" s="69" t="str">
        <f t="shared" si="42"/>
        <v/>
      </c>
      <c r="Y81" s="69" t="str">
        <f t="shared" si="42"/>
        <v/>
      </c>
      <c r="Z81" s="69" t="str">
        <f t="shared" si="42"/>
        <v/>
      </c>
      <c r="AA81" s="69" t="str">
        <f t="shared" si="42"/>
        <v/>
      </c>
      <c r="AB81" s="70" t="str">
        <f t="shared" si="42"/>
        <v/>
      </c>
      <c r="AC81" s="69" t="str">
        <f t="shared" si="42"/>
        <v/>
      </c>
      <c r="AD81" s="69" t="str">
        <f t="shared" si="42"/>
        <v/>
      </c>
      <c r="AE81" s="69" t="str">
        <f t="shared" si="42"/>
        <v/>
      </c>
      <c r="AF81" s="69" t="str">
        <f t="shared" si="42"/>
        <v/>
      </c>
      <c r="AG81" s="70" t="str">
        <f t="shared" si="42"/>
        <v/>
      </c>
      <c r="AH81" s="69" t="str">
        <f t="shared" si="42"/>
        <v/>
      </c>
      <c r="AI81" s="69" t="str">
        <f t="shared" si="42"/>
        <v/>
      </c>
      <c r="AJ81" s="69" t="str">
        <f t="shared" si="42"/>
        <v/>
      </c>
      <c r="AK81" s="69" t="str">
        <f t="shared" si="42"/>
        <v/>
      </c>
      <c r="AL81" s="70" t="str">
        <f t="shared" si="42"/>
        <v/>
      </c>
      <c r="AM81" s="69" t="str">
        <f t="shared" si="42"/>
        <v/>
      </c>
      <c r="AN81" s="69" t="str">
        <f t="shared" si="42"/>
        <v/>
      </c>
      <c r="AO81" s="69" t="str">
        <f t="shared" ref="AO81:BK81" si="43">IFERROR(AO80/AJ80-1,"")</f>
        <v/>
      </c>
      <c r="AP81" s="69" t="str">
        <f t="shared" si="43"/>
        <v/>
      </c>
      <c r="AQ81" s="70" t="str">
        <f t="shared" si="43"/>
        <v/>
      </c>
      <c r="AR81" s="69" t="str">
        <f t="shared" si="43"/>
        <v/>
      </c>
      <c r="AS81" s="69" t="str">
        <f t="shared" si="43"/>
        <v/>
      </c>
      <c r="AT81" s="69" t="str">
        <f t="shared" si="43"/>
        <v/>
      </c>
      <c r="AU81" s="69" t="str">
        <f t="shared" si="43"/>
        <v/>
      </c>
      <c r="AV81" s="70" t="str">
        <f t="shared" si="43"/>
        <v/>
      </c>
      <c r="AW81" s="69" t="str">
        <f t="shared" si="43"/>
        <v/>
      </c>
      <c r="AX81" s="69" t="str">
        <f t="shared" si="43"/>
        <v/>
      </c>
      <c r="AY81" s="69" t="str">
        <f t="shared" si="43"/>
        <v/>
      </c>
      <c r="AZ81" s="69" t="str">
        <f t="shared" si="43"/>
        <v/>
      </c>
      <c r="BA81" s="70" t="str">
        <f t="shared" si="43"/>
        <v/>
      </c>
      <c r="BB81" s="69" t="str">
        <f t="shared" si="43"/>
        <v/>
      </c>
      <c r="BC81" s="69" t="str">
        <f t="shared" si="43"/>
        <v/>
      </c>
      <c r="BD81" s="69" t="str">
        <f t="shared" si="43"/>
        <v/>
      </c>
      <c r="BE81" s="69" t="str">
        <f t="shared" si="43"/>
        <v/>
      </c>
      <c r="BF81" s="70" t="str">
        <f t="shared" si="43"/>
        <v/>
      </c>
      <c r="BG81" s="69" t="str">
        <f t="shared" si="43"/>
        <v/>
      </c>
      <c r="BH81" s="69" t="str">
        <f t="shared" si="43"/>
        <v/>
      </c>
      <c r="BI81" s="69" t="str">
        <f t="shared" si="43"/>
        <v/>
      </c>
      <c r="BJ81" s="69" t="str">
        <f t="shared" si="43"/>
        <v/>
      </c>
      <c r="BK81" s="70" t="str">
        <f t="shared" si="43"/>
        <v/>
      </c>
    </row>
    <row r="82" spans="1:63" s="54" customFormat="1" ht="12.75" customHeight="1" outlineLevel="1">
      <c r="A82" s="53"/>
      <c r="B82" s="68" t="s">
        <v>33</v>
      </c>
      <c r="C82" s="68"/>
      <c r="D82" s="69"/>
      <c r="E82" s="69"/>
      <c r="F82" s="69"/>
      <c r="G82" s="69"/>
      <c r="H82" s="72"/>
      <c r="I82" s="69" t="str">
        <f>IFERROR(I80/G80-1,"")</f>
        <v/>
      </c>
      <c r="J82" s="69" t="str">
        <f>IFERROR(J80/I80-1,"")</f>
        <v/>
      </c>
      <c r="K82" s="69" t="str">
        <f>IFERROR(K80/J80-1,"")</f>
        <v/>
      </c>
      <c r="L82" s="69" t="str">
        <f>IFERROR(L80/K80-1,"")</f>
        <v/>
      </c>
      <c r="M82" s="72"/>
      <c r="N82" s="69" t="str">
        <f>IFERROR(N80/L80-1,"")</f>
        <v/>
      </c>
      <c r="O82" s="69" t="str">
        <f>IFERROR(O80/N80-1,"")</f>
        <v/>
      </c>
      <c r="P82" s="69" t="str">
        <f>IFERROR(P80/O80-1,"")</f>
        <v/>
      </c>
      <c r="Q82" s="69" t="str">
        <f>IFERROR(Q80/P80-1,"")</f>
        <v/>
      </c>
      <c r="R82" s="72"/>
      <c r="S82" s="69" t="str">
        <f>IFERROR(S80/Q80-1,"")</f>
        <v/>
      </c>
      <c r="T82" s="69" t="str">
        <f>IFERROR(T80/S80-1,"")</f>
        <v/>
      </c>
      <c r="U82" s="69" t="str">
        <f>IFERROR(U80/T80-1,"")</f>
        <v/>
      </c>
      <c r="V82" s="69" t="str">
        <f>IFERROR(V80/U80-1,"")</f>
        <v/>
      </c>
      <c r="W82" s="72"/>
      <c r="X82" s="69" t="str">
        <f>IFERROR(X80/V80-1,"")</f>
        <v/>
      </c>
      <c r="Y82" s="69" t="str">
        <f>IFERROR(Y80/X80-1,"")</f>
        <v/>
      </c>
      <c r="Z82" s="69" t="str">
        <f>IFERROR(Z80/Y80-1,"")</f>
        <v/>
      </c>
      <c r="AA82" s="69" t="str">
        <f>IFERROR(AA80/Z80-1,"")</f>
        <v/>
      </c>
      <c r="AB82" s="72"/>
      <c r="AC82" s="69" t="str">
        <f>IFERROR(AC80/AA80-1,"")</f>
        <v/>
      </c>
      <c r="AD82" s="69" t="str">
        <f>IFERROR(AD80/AC80-1,"")</f>
        <v/>
      </c>
      <c r="AE82" s="69" t="str">
        <f>IFERROR(AE80/AD80-1,"")</f>
        <v/>
      </c>
      <c r="AF82" s="69" t="str">
        <f>IFERROR(AF80/AE80-1,"")</f>
        <v/>
      </c>
      <c r="AG82" s="72"/>
      <c r="AH82" s="69" t="str">
        <f>IFERROR(AH80/AF80-1,"")</f>
        <v/>
      </c>
      <c r="AI82" s="69" t="str">
        <f>IFERROR(AI80/AH80-1,"")</f>
        <v/>
      </c>
      <c r="AJ82" s="69" t="str">
        <f>IFERROR(AJ80/AI80-1,"")</f>
        <v/>
      </c>
      <c r="AK82" s="69" t="str">
        <f>IFERROR(AK80/AJ80-1,"")</f>
        <v/>
      </c>
      <c r="AL82" s="72"/>
      <c r="AM82" s="69" t="str">
        <f>IFERROR(AM80/AK80-1,"")</f>
        <v/>
      </c>
      <c r="AN82" s="69" t="str">
        <f>IFERROR(AN80/AM80-1,"")</f>
        <v/>
      </c>
      <c r="AO82" s="69" t="str">
        <f>IFERROR(AO80/AN80-1,"")</f>
        <v/>
      </c>
      <c r="AP82" s="69" t="str">
        <f>IFERROR(AP80/AO80-1,"")</f>
        <v/>
      </c>
      <c r="AQ82" s="72"/>
      <c r="AR82" s="69" t="str">
        <f>IFERROR(AR80/AP80-1,"")</f>
        <v/>
      </c>
      <c r="AS82" s="69" t="str">
        <f>IFERROR(AS80/AR80-1,"")</f>
        <v/>
      </c>
      <c r="AT82" s="69" t="str">
        <f>IFERROR(AT80/AS80-1,"")</f>
        <v/>
      </c>
      <c r="AU82" s="69" t="str">
        <f>IFERROR(AU80/AT80-1,"")</f>
        <v/>
      </c>
      <c r="AV82" s="72"/>
      <c r="AW82" s="69" t="str">
        <f>IFERROR(AW80/AU80-1,"")</f>
        <v/>
      </c>
      <c r="AX82" s="69" t="str">
        <f>IFERROR(AX80/AW80-1,"")</f>
        <v/>
      </c>
      <c r="AY82" s="69" t="str">
        <f>IFERROR(AY80/AX80-1,"")</f>
        <v/>
      </c>
      <c r="AZ82" s="69" t="str">
        <f>IFERROR(AZ80/AY80-1,"")</f>
        <v/>
      </c>
      <c r="BA82" s="72"/>
      <c r="BB82" s="69" t="str">
        <f>IFERROR(BB80/AZ80-1,"")</f>
        <v/>
      </c>
      <c r="BC82" s="69" t="str">
        <f>IFERROR(BC80/BB80-1,"")</f>
        <v/>
      </c>
      <c r="BD82" s="69" t="str">
        <f>IFERROR(BD80/BC80-1,"")</f>
        <v/>
      </c>
      <c r="BE82" s="69" t="str">
        <f>IFERROR(BE80/BD80-1,"")</f>
        <v/>
      </c>
      <c r="BF82" s="72"/>
      <c r="BG82" s="69" t="str">
        <f>IFERROR(BG80/BE80-1,"")</f>
        <v/>
      </c>
      <c r="BH82" s="69" t="str">
        <f>IFERROR(BH80/BG80-1,"")</f>
        <v/>
      </c>
      <c r="BI82" s="69" t="str">
        <f>IFERROR(BI80/BH80-1,"")</f>
        <v/>
      </c>
      <c r="BJ82" s="69" t="str">
        <f>IFERROR(BJ80/BI80-1,"")</f>
        <v/>
      </c>
      <c r="BK82" s="72"/>
    </row>
    <row r="83" spans="1:63" s="54" customFormat="1" ht="12.75" customHeight="1" outlineLevel="1">
      <c r="A83" s="53"/>
      <c r="B83" s="85"/>
      <c r="C83" s="73"/>
      <c r="D83" s="84"/>
      <c r="E83" s="69"/>
      <c r="F83" s="69"/>
      <c r="G83" s="69"/>
      <c r="H83" s="86"/>
      <c r="I83" s="69"/>
      <c r="J83" s="69"/>
      <c r="K83" s="69"/>
      <c r="L83" s="69"/>
      <c r="M83" s="72"/>
      <c r="N83" s="69"/>
      <c r="O83" s="69"/>
      <c r="P83" s="69"/>
      <c r="Q83" s="69"/>
      <c r="R83" s="72"/>
      <c r="S83" s="69"/>
      <c r="T83" s="69"/>
      <c r="U83" s="69"/>
      <c r="V83" s="69"/>
      <c r="W83" s="72"/>
      <c r="X83" s="69"/>
      <c r="Y83" s="69"/>
      <c r="Z83" s="69"/>
      <c r="AA83" s="69"/>
      <c r="AB83" s="72"/>
      <c r="AC83" s="69"/>
      <c r="AD83" s="69"/>
      <c r="AE83" s="69"/>
      <c r="AF83" s="69"/>
      <c r="AG83" s="72"/>
      <c r="AH83" s="69"/>
      <c r="AI83" s="69"/>
      <c r="AJ83" s="69"/>
      <c r="AK83" s="69"/>
      <c r="AL83" s="72"/>
      <c r="AM83" s="69"/>
      <c r="AN83" s="69"/>
      <c r="AO83" s="69"/>
      <c r="AP83" s="69"/>
      <c r="AQ83" s="72"/>
      <c r="AR83" s="69"/>
      <c r="AS83" s="69"/>
      <c r="AT83" s="69"/>
      <c r="AU83" s="69"/>
      <c r="AV83" s="72"/>
      <c r="AW83" s="69"/>
      <c r="AX83" s="69"/>
      <c r="AY83" s="69"/>
      <c r="AZ83" s="69"/>
      <c r="BA83" s="72"/>
      <c r="BB83" s="69"/>
      <c r="BC83" s="69"/>
      <c r="BD83" s="69"/>
      <c r="BE83" s="69"/>
      <c r="BF83" s="72"/>
      <c r="BG83" s="69"/>
      <c r="BH83" s="69"/>
      <c r="BI83" s="69"/>
      <c r="BJ83" s="69"/>
      <c r="BK83" s="72"/>
    </row>
    <row r="84" spans="1:63" s="641" customFormat="1" ht="12.75" customHeight="1" outlineLevel="1">
      <c r="A84" s="636"/>
      <c r="B84" s="637" t="s">
        <v>55</v>
      </c>
      <c r="C84" s="638"/>
      <c r="D84" s="639"/>
      <c r="E84" s="639"/>
      <c r="F84" s="639"/>
      <c r="G84" s="639"/>
      <c r="H84" s="640"/>
      <c r="I84" s="639" t="str">
        <f>IFERROR(I66-G66,"--")</f>
        <v>--</v>
      </c>
      <c r="J84" s="639" t="str">
        <f>IFERROR(J66-I66,"--")</f>
        <v>--</v>
      </c>
      <c r="K84" s="639" t="str">
        <f>IFERROR(K66-J66,"--")</f>
        <v>--</v>
      </c>
      <c r="L84" s="639" t="str">
        <f>IFERROR(L66-K66,"--")</f>
        <v>--</v>
      </c>
      <c r="M84" s="640" t="str">
        <f>IFERROR(M66-H66,"--")</f>
        <v>--</v>
      </c>
      <c r="N84" s="639" t="str">
        <f>IFERROR(N66-L66,"--")</f>
        <v>--</v>
      </c>
      <c r="O84" s="639" t="str">
        <f>IFERROR(O66-N66,"--")</f>
        <v>--</v>
      </c>
      <c r="P84" s="639" t="str">
        <f>IFERROR(P66-O66,"--")</f>
        <v>--</v>
      </c>
      <c r="Q84" s="639" t="str">
        <f>IFERROR(Q66-P66,"--")</f>
        <v>--</v>
      </c>
      <c r="R84" s="640" t="str">
        <f>IFERROR(R66-M66,"--")</f>
        <v>--</v>
      </c>
      <c r="S84" s="639" t="str">
        <f>IFERROR(S66-Q66,"--")</f>
        <v>--</v>
      </c>
      <c r="T84" s="639" t="str">
        <f>IFERROR(T66-S66,"--")</f>
        <v>--</v>
      </c>
      <c r="U84" s="639" t="str">
        <f>IFERROR(U66-T66,"--")</f>
        <v>--</v>
      </c>
      <c r="V84" s="639" t="str">
        <f>IFERROR(V66-U66,"--")</f>
        <v>--</v>
      </c>
      <c r="W84" s="640" t="str">
        <f>IFERROR(W66-R66,"--")</f>
        <v>--</v>
      </c>
      <c r="X84" s="639" t="str">
        <f>IFERROR(X66-V66,"--")</f>
        <v>--</v>
      </c>
      <c r="Y84" s="639" t="str">
        <f>IFERROR(Y66-X66,"--")</f>
        <v>--</v>
      </c>
      <c r="Z84" s="639" t="str">
        <f>IFERROR(Z66-Y66,"--")</f>
        <v>--</v>
      </c>
      <c r="AA84" s="639" t="str">
        <f>IFERROR(AA66-Z66,"--")</f>
        <v>--</v>
      </c>
      <c r="AB84" s="640" t="str">
        <f>IFERROR(AB66-W66,"--")</f>
        <v>--</v>
      </c>
      <c r="AC84" s="639" t="str">
        <f>IFERROR(AC66-AA66,"--")</f>
        <v>--</v>
      </c>
      <c r="AD84" s="639" t="str">
        <f>IFERROR(AD66-AC66,"--")</f>
        <v>--</v>
      </c>
      <c r="AE84" s="639" t="str">
        <f>IFERROR(AE66-AD66,"--")</f>
        <v>--</v>
      </c>
      <c r="AF84" s="639" t="str">
        <f>IFERROR(AF66-AE66,"--")</f>
        <v>--</v>
      </c>
      <c r="AG84" s="640" t="str">
        <f>IFERROR(AG66-AB66,"--")</f>
        <v>--</v>
      </c>
      <c r="AH84" s="639" t="str">
        <f>IFERROR(AH66-AF66,"--")</f>
        <v>--</v>
      </c>
      <c r="AI84" s="639" t="str">
        <f>IFERROR(AI66-AH66,"--")</f>
        <v>--</v>
      </c>
      <c r="AJ84" s="639" t="str">
        <f>IFERROR(AJ66-AI66,"--")</f>
        <v>--</v>
      </c>
      <c r="AK84" s="639" t="str">
        <f>IFERROR(AK66-AJ66,"--")</f>
        <v>--</v>
      </c>
      <c r="AL84" s="640" t="str">
        <f>IFERROR(AL66-AG66,"--")</f>
        <v>--</v>
      </c>
      <c r="AM84" s="639">
        <f>IFERROR(AM66-AK66,"--")</f>
        <v>-15.956699999999728</v>
      </c>
      <c r="AN84" s="639">
        <f>IFERROR(AN66-AM66,"--")</f>
        <v>799.43119999999954</v>
      </c>
      <c r="AO84" s="639">
        <f>IFERROR(AO66-AN66,"--")</f>
        <v>972.21700000000055</v>
      </c>
      <c r="AP84" s="639">
        <f>IFERROR(AP66-AO66,"--")</f>
        <v>1002.5509999999995</v>
      </c>
      <c r="AQ84" s="640">
        <f>IFERROR(AQ66-AL66,"--")</f>
        <v>2758.2424999999998</v>
      </c>
      <c r="AR84" s="639">
        <f>IFERROR(AR66-AP66,"--")</f>
        <v>844.95530000000053</v>
      </c>
      <c r="AS84" s="639">
        <f>IFERROR(AS66-AR66,"--")</f>
        <v>1054.3827000000001</v>
      </c>
      <c r="AT84" s="639">
        <f>IFERROR(AT66-AS66,"--")</f>
        <v>1093.4850000000006</v>
      </c>
      <c r="AU84" s="639">
        <f>IFERROR(AU66-AT66,"--")</f>
        <v>993.59899999999834</v>
      </c>
      <c r="AV84" s="640">
        <f>IFERROR(AV66-AQ66,"--")</f>
        <v>4241.79</v>
      </c>
      <c r="AW84" s="639">
        <f>IFERROR(AW66-AU66,"--")</f>
        <v>-3443.4209999999994</v>
      </c>
      <c r="AX84" s="639">
        <f>IFERROR(AX66-AW66,"--")</f>
        <v>481.90000000000055</v>
      </c>
      <c r="AY84" s="639">
        <f>IFERROR(AY66-AX66,"--")</f>
        <v>482</v>
      </c>
      <c r="AZ84" s="639">
        <f>IFERROR(AZ66-AY66,"--")</f>
        <v>482</v>
      </c>
      <c r="BA84" s="640">
        <f>IFERROR(BA66-AV66,"--")</f>
        <v>2548.0110000000004</v>
      </c>
      <c r="BB84" s="639" t="str">
        <f>IFERROR(BB66-AZ66,"--")</f>
        <v>--</v>
      </c>
      <c r="BC84" s="639" t="str">
        <f>IFERROR(BC66-BB66,"--")</f>
        <v>--</v>
      </c>
      <c r="BD84" s="639" t="str">
        <f>IFERROR(BD66-BC66,"--")</f>
        <v>--</v>
      </c>
      <c r="BE84" s="639" t="str">
        <f>IFERROR(BE66-BD66,"--")</f>
        <v>--</v>
      </c>
      <c r="BF84" s="640">
        <f>IFERROR(BF66-BA66,"--")</f>
        <v>4912.0999999999985</v>
      </c>
      <c r="BG84" s="639" t="str">
        <f>IFERROR(BG66-BE66,"--")</f>
        <v>--</v>
      </c>
      <c r="BH84" s="639" t="str">
        <f>IFERROR(BH66-BG66,"--")</f>
        <v>--</v>
      </c>
      <c r="BI84" s="639" t="str">
        <f>IFERROR(BI66-BH66,"--")</f>
        <v>--</v>
      </c>
      <c r="BJ84" s="639" t="str">
        <f>IFERROR(BJ66-BI66,"--")</f>
        <v>--</v>
      </c>
      <c r="BK84" s="640">
        <f>IFERROR(BK66-BF66,"--")</f>
        <v>3013.3000000000029</v>
      </c>
    </row>
    <row r="85" spans="1:63" ht="12.75" customHeight="1" outlineLevel="1">
      <c r="B85" s="68" t="s">
        <v>31</v>
      </c>
      <c r="C85" s="68"/>
      <c r="D85" s="69"/>
      <c r="E85" s="69"/>
      <c r="F85" s="69"/>
      <c r="G85" s="69"/>
      <c r="H85" s="70"/>
      <c r="I85" s="69" t="str">
        <f t="shared" ref="I85:AN85" si="44">IFERROR(I84/D84-1,"")</f>
        <v/>
      </c>
      <c r="J85" s="69" t="str">
        <f t="shared" si="44"/>
        <v/>
      </c>
      <c r="K85" s="69" t="str">
        <f t="shared" si="44"/>
        <v/>
      </c>
      <c r="L85" s="69" t="str">
        <f t="shared" si="44"/>
        <v/>
      </c>
      <c r="M85" s="70" t="str">
        <f t="shared" si="44"/>
        <v/>
      </c>
      <c r="N85" s="69" t="str">
        <f t="shared" si="44"/>
        <v/>
      </c>
      <c r="O85" s="69" t="str">
        <f t="shared" si="44"/>
        <v/>
      </c>
      <c r="P85" s="69" t="str">
        <f t="shared" si="44"/>
        <v/>
      </c>
      <c r="Q85" s="69" t="str">
        <f t="shared" si="44"/>
        <v/>
      </c>
      <c r="R85" s="70" t="str">
        <f t="shared" si="44"/>
        <v/>
      </c>
      <c r="S85" s="69" t="str">
        <f t="shared" si="44"/>
        <v/>
      </c>
      <c r="T85" s="69" t="str">
        <f t="shared" si="44"/>
        <v/>
      </c>
      <c r="U85" s="69" t="str">
        <f t="shared" si="44"/>
        <v/>
      </c>
      <c r="V85" s="69" t="str">
        <f t="shared" si="44"/>
        <v/>
      </c>
      <c r="W85" s="70" t="str">
        <f t="shared" si="44"/>
        <v/>
      </c>
      <c r="X85" s="69" t="str">
        <f t="shared" si="44"/>
        <v/>
      </c>
      <c r="Y85" s="69" t="str">
        <f t="shared" si="44"/>
        <v/>
      </c>
      <c r="Z85" s="69" t="str">
        <f t="shared" si="44"/>
        <v/>
      </c>
      <c r="AA85" s="69" t="str">
        <f t="shared" si="44"/>
        <v/>
      </c>
      <c r="AB85" s="70" t="str">
        <f t="shared" si="44"/>
        <v/>
      </c>
      <c r="AC85" s="69" t="str">
        <f t="shared" si="44"/>
        <v/>
      </c>
      <c r="AD85" s="69" t="str">
        <f t="shared" si="44"/>
        <v/>
      </c>
      <c r="AE85" s="69" t="str">
        <f t="shared" si="44"/>
        <v/>
      </c>
      <c r="AF85" s="69" t="str">
        <f t="shared" si="44"/>
        <v/>
      </c>
      <c r="AG85" s="70" t="str">
        <f t="shared" si="44"/>
        <v/>
      </c>
      <c r="AH85" s="69" t="str">
        <f t="shared" si="44"/>
        <v/>
      </c>
      <c r="AI85" s="69" t="str">
        <f t="shared" si="44"/>
        <v/>
      </c>
      <c r="AJ85" s="69" t="str">
        <f t="shared" si="44"/>
        <v/>
      </c>
      <c r="AK85" s="69" t="str">
        <f t="shared" si="44"/>
        <v/>
      </c>
      <c r="AL85" s="70" t="str">
        <f t="shared" si="44"/>
        <v/>
      </c>
      <c r="AM85" s="69" t="str">
        <f t="shared" si="44"/>
        <v/>
      </c>
      <c r="AN85" s="69" t="str">
        <f t="shared" si="44"/>
        <v/>
      </c>
      <c r="AO85" s="69" t="str">
        <f t="shared" ref="AO85:BK85" si="45">IFERROR(AO84/AJ84-1,"")</f>
        <v/>
      </c>
      <c r="AP85" s="69" t="str">
        <f t="shared" si="45"/>
        <v/>
      </c>
      <c r="AQ85" s="70" t="str">
        <f t="shared" si="45"/>
        <v/>
      </c>
      <c r="AR85" s="69">
        <f t="shared" si="45"/>
        <v>-53.953010334217915</v>
      </c>
      <c r="AS85" s="69">
        <f t="shared" si="45"/>
        <v>0.31891612436442407</v>
      </c>
      <c r="AT85" s="69">
        <f t="shared" si="45"/>
        <v>0.12473346999692447</v>
      </c>
      <c r="AU85" s="69">
        <f t="shared" si="45"/>
        <v>-8.9292215558122168E-3</v>
      </c>
      <c r="AV85" s="70">
        <f t="shared" si="45"/>
        <v>0.53785970595406329</v>
      </c>
      <c r="AW85" s="69">
        <f t="shared" si="45"/>
        <v>-5.0752700172423291</v>
      </c>
      <c r="AX85" s="69">
        <f t="shared" si="45"/>
        <v>-0.54295532352721598</v>
      </c>
      <c r="AY85" s="69">
        <f t="shared" si="45"/>
        <v>-0.55920748798566078</v>
      </c>
      <c r="AZ85" s="69">
        <f t="shared" si="45"/>
        <v>-0.51489484188289159</v>
      </c>
      <c r="BA85" s="70">
        <f t="shared" si="45"/>
        <v>-0.39930760362959972</v>
      </c>
      <c r="BB85" s="69" t="str">
        <f t="shared" si="45"/>
        <v/>
      </c>
      <c r="BC85" s="69" t="str">
        <f t="shared" si="45"/>
        <v/>
      </c>
      <c r="BD85" s="69" t="str">
        <f t="shared" si="45"/>
        <v/>
      </c>
      <c r="BE85" s="69" t="str">
        <f t="shared" si="45"/>
        <v/>
      </c>
      <c r="BF85" s="70">
        <f t="shared" si="45"/>
        <v>0.92781742308019766</v>
      </c>
      <c r="BG85" s="69" t="str">
        <f t="shared" si="45"/>
        <v/>
      </c>
      <c r="BH85" s="69" t="str">
        <f t="shared" si="45"/>
        <v/>
      </c>
      <c r="BI85" s="69" t="str">
        <f t="shared" si="45"/>
        <v/>
      </c>
      <c r="BJ85" s="69" t="str">
        <f t="shared" si="45"/>
        <v/>
      </c>
      <c r="BK85" s="70">
        <f t="shared" si="45"/>
        <v>-0.38655564829706157</v>
      </c>
    </row>
    <row r="86" spans="1:63" ht="12.75" customHeight="1" outlineLevel="1">
      <c r="B86" s="68" t="s">
        <v>33</v>
      </c>
      <c r="C86" s="68"/>
      <c r="D86" s="69"/>
      <c r="E86" s="69"/>
      <c r="F86" s="69"/>
      <c r="G86" s="69"/>
      <c r="H86" s="72"/>
      <c r="I86" s="69" t="str">
        <f>IFERROR(I84/G84-1,"")</f>
        <v/>
      </c>
      <c r="J86" s="69" t="str">
        <f>IFERROR(J84/I84-1,"")</f>
        <v/>
      </c>
      <c r="K86" s="69" t="str">
        <f>IFERROR(K84/J84-1,"")</f>
        <v/>
      </c>
      <c r="L86" s="69" t="str">
        <f>IFERROR(L84/K84-1,"")</f>
        <v/>
      </c>
      <c r="M86" s="72"/>
      <c r="N86" s="69" t="str">
        <f>IFERROR(N84/L84-1,"")</f>
        <v/>
      </c>
      <c r="O86" s="69" t="str">
        <f>IFERROR(O84/N84-1,"")</f>
        <v/>
      </c>
      <c r="P86" s="69" t="str">
        <f>IFERROR(P84/O84-1,"")</f>
        <v/>
      </c>
      <c r="Q86" s="69" t="str">
        <f>IFERROR(Q84/P84-1,"")</f>
        <v/>
      </c>
      <c r="R86" s="72"/>
      <c r="S86" s="69" t="str">
        <f>IFERROR(S84/Q84-1,"")</f>
        <v/>
      </c>
      <c r="T86" s="69" t="str">
        <f>IFERROR(T84/S84-1,"")</f>
        <v/>
      </c>
      <c r="U86" s="69" t="str">
        <f>IFERROR(U84/T84-1,"")</f>
        <v/>
      </c>
      <c r="V86" s="69" t="str">
        <f>IFERROR(V84/U84-1,"")</f>
        <v/>
      </c>
      <c r="W86" s="72"/>
      <c r="X86" s="69" t="str">
        <f>IFERROR(X84/V84-1,"")</f>
        <v/>
      </c>
      <c r="Y86" s="69" t="str">
        <f>IFERROR(Y84/X84-1,"")</f>
        <v/>
      </c>
      <c r="Z86" s="69" t="str">
        <f>IFERROR(Z84/Y84-1,"")</f>
        <v/>
      </c>
      <c r="AA86" s="69" t="str">
        <f>IFERROR(AA84/Z84-1,"")</f>
        <v/>
      </c>
      <c r="AB86" s="72"/>
      <c r="AC86" s="69" t="str">
        <f>IFERROR(AC84/AA84-1,"")</f>
        <v/>
      </c>
      <c r="AD86" s="69" t="str">
        <f>IFERROR(AD84/AC84-1,"")</f>
        <v/>
      </c>
      <c r="AE86" s="69" t="str">
        <f>IFERROR(AE84/AD84-1,"")</f>
        <v/>
      </c>
      <c r="AF86" s="69" t="str">
        <f>IFERROR(AF84/AE84-1,"")</f>
        <v/>
      </c>
      <c r="AG86" s="72"/>
      <c r="AH86" s="69" t="str">
        <f>IFERROR(AH84/AF84-1,"")</f>
        <v/>
      </c>
      <c r="AI86" s="69" t="str">
        <f>IFERROR(AI84/AH84-1,"")</f>
        <v/>
      </c>
      <c r="AJ86" s="69" t="str">
        <f>IFERROR(AJ84/AI84-1,"")</f>
        <v/>
      </c>
      <c r="AK86" s="69" t="str">
        <f>IFERROR(AK84/AJ84-1,"")</f>
        <v/>
      </c>
      <c r="AL86" s="72"/>
      <c r="AM86" s="69" t="str">
        <f>IFERROR(AM84/AK84-1,"")</f>
        <v/>
      </c>
      <c r="AN86" s="69">
        <f>IFERROR(AN84/AM84-1,"")</f>
        <v>-51.100033214888619</v>
      </c>
      <c r="AO86" s="69">
        <f>IFERROR(AO84/AN84-1,"")</f>
        <v>0.21613592264099912</v>
      </c>
      <c r="AP86" s="69">
        <f>IFERROR(AP84/AO84-1,"")</f>
        <v>3.1200853307439491E-2</v>
      </c>
      <c r="AQ86" s="72"/>
      <c r="AR86" s="69">
        <f>IFERROR(AR84/AP84-1,"")</f>
        <v>-0.1571946963296621</v>
      </c>
      <c r="AS86" s="69">
        <f>IFERROR(AS84/AR84-1,"")</f>
        <v>0.24785618836878043</v>
      </c>
      <c r="AT86" s="69">
        <f>IFERROR(AT84/AS84-1,"")</f>
        <v>3.7085490875372384E-2</v>
      </c>
      <c r="AU86" s="69">
        <f>IFERROR(AU84/AT84-1,"")</f>
        <v>-9.1346474803040034E-2</v>
      </c>
      <c r="AV86" s="72"/>
      <c r="AW86" s="69">
        <f>IFERROR(AW84/AU84-1,"")</f>
        <v>-4.4656043333376996</v>
      </c>
      <c r="AX86" s="69">
        <f>IFERROR(AX84/AW84-1,"")</f>
        <v>-1.1399480342368826</v>
      </c>
      <c r="AY86" s="69">
        <f>IFERROR(AY84/AX84-1,"")</f>
        <v>2.0751193193491169E-4</v>
      </c>
      <c r="AZ86" s="69">
        <f>IFERROR(AZ84/AY84-1,"")</f>
        <v>0</v>
      </c>
      <c r="BA86" s="72"/>
      <c r="BB86" s="69" t="str">
        <f>IFERROR(BB84/AZ84-1,"")</f>
        <v/>
      </c>
      <c r="BC86" s="69" t="str">
        <f>IFERROR(BC84/BB84-1,"")</f>
        <v/>
      </c>
      <c r="BD86" s="69" t="str">
        <f>IFERROR(BD84/BC84-1,"")</f>
        <v/>
      </c>
      <c r="BE86" s="69" t="str">
        <f>IFERROR(BE84/BD84-1,"")</f>
        <v/>
      </c>
      <c r="BF86" s="72"/>
      <c r="BG86" s="69" t="str">
        <f>IFERROR(BG84/BE84-1,"")</f>
        <v/>
      </c>
      <c r="BH86" s="69" t="str">
        <f>IFERROR(BH84/BG84-1,"")</f>
        <v/>
      </c>
      <c r="BI86" s="69" t="str">
        <f>IFERROR(BI84/BH84-1,"")</f>
        <v/>
      </c>
      <c r="BJ86" s="69" t="str">
        <f>IFERROR(BJ84/BI84-1,"")</f>
        <v/>
      </c>
      <c r="BK86" s="72"/>
    </row>
    <row r="87" spans="1:63" ht="12.75" customHeight="1" outlineLevel="1">
      <c r="H87" s="70"/>
      <c r="I87" s="69"/>
      <c r="J87" s="69"/>
      <c r="K87" s="69"/>
      <c r="L87" s="69"/>
      <c r="M87" s="70"/>
      <c r="N87" s="69"/>
      <c r="O87" s="69"/>
      <c r="P87" s="69"/>
      <c r="Q87" s="69"/>
      <c r="R87" s="70"/>
      <c r="S87" s="69"/>
      <c r="T87" s="69"/>
      <c r="U87" s="69"/>
      <c r="V87" s="69"/>
      <c r="W87" s="70"/>
      <c r="X87" s="69"/>
      <c r="Y87" s="69"/>
      <c r="Z87" s="69"/>
      <c r="AA87" s="69"/>
      <c r="AB87" s="70"/>
      <c r="AC87" s="69"/>
      <c r="AD87" s="69"/>
      <c r="AE87" s="69"/>
      <c r="AF87" s="69"/>
      <c r="AG87" s="70"/>
      <c r="AH87" s="69"/>
      <c r="AI87" s="69"/>
      <c r="AJ87" s="69"/>
      <c r="AK87" s="69"/>
      <c r="AL87" s="70"/>
      <c r="AM87" s="69"/>
      <c r="AN87" s="69"/>
      <c r="AO87" s="69"/>
      <c r="AP87" s="69"/>
      <c r="AQ87" s="70"/>
      <c r="AR87" s="69"/>
      <c r="AS87" s="69"/>
      <c r="AT87" s="69"/>
      <c r="AU87" s="69"/>
      <c r="AV87" s="70"/>
      <c r="AW87" s="69"/>
      <c r="AX87" s="69"/>
      <c r="AY87" s="69"/>
      <c r="AZ87" s="69"/>
      <c r="BA87" s="70"/>
      <c r="BB87" s="69"/>
      <c r="BC87" s="69"/>
      <c r="BD87" s="69"/>
      <c r="BE87" s="69"/>
      <c r="BF87" s="70"/>
      <c r="BG87" s="69"/>
      <c r="BH87" s="69"/>
      <c r="BI87" s="69"/>
      <c r="BJ87" s="69"/>
      <c r="BK87" s="70"/>
    </row>
    <row r="88" spans="1:63" s="641" customFormat="1" ht="12.75" customHeight="1" outlineLevel="1">
      <c r="A88" s="642" t="s">
        <v>122</v>
      </c>
      <c r="B88" s="643" t="s">
        <v>56</v>
      </c>
      <c r="C88" s="638"/>
      <c r="D88" s="639"/>
      <c r="E88" s="639"/>
      <c r="F88" s="639"/>
      <c r="G88" s="639"/>
      <c r="H88" s="640"/>
      <c r="I88" s="639" t="str" cm="1">
        <f t="array" ref="I88">_xlfn.SINGLE(IF(ISERROR(_xll.FDS($C$2,"FE_ESTIMATE(NEW_ORDERS_VALUE,MEAN,QUARTERLY_ROLL,"&amp;I$9&amp;","&amp;$C$5&amp;",,,'')")), "--", _xll.FDS($C$2,"FE_ESTIMATE(NEW_ORDERS_VALUE,MEAN,QUARTERLY_ROLL,"&amp;I$9&amp;","&amp;$C$5&amp;",,,'')")))</f>
        <v>--</v>
      </c>
      <c r="J88" s="639" t="str" cm="1">
        <f t="array" ref="J88">_xlfn.SINGLE(IF(ISERROR(_xll.FDS($C$2,"FE_ESTIMATE(NEW_ORDERS_VALUE,MEAN,QUARTERLY_ROLL,"&amp;J$9&amp;","&amp;$C$5&amp;",,,'')")), "--", _xll.FDS($C$2,"FE_ESTIMATE(NEW_ORDERS_VALUE,MEAN,QUARTERLY_ROLL,"&amp;J$9&amp;","&amp;$C$5&amp;",,,'')")))</f>
        <v>--</v>
      </c>
      <c r="K88" s="639" t="str" cm="1">
        <f t="array" ref="K88">_xlfn.SINGLE(IF(ISERROR(_xll.FDS($C$2,"FE_ESTIMATE(NEW_ORDERS_VALUE,MEAN,QUARTERLY_ROLL,"&amp;K$9&amp;","&amp;$C$5&amp;",,,'')")), "--", _xll.FDS($C$2,"FE_ESTIMATE(NEW_ORDERS_VALUE,MEAN,QUARTERLY_ROLL,"&amp;K$9&amp;","&amp;$C$5&amp;",,,'')")))</f>
        <v>--</v>
      </c>
      <c r="L88" s="639" t="str" cm="1">
        <f t="array" ref="L88">_xlfn.SINGLE(IF(ISERROR(_xll.FDS($C$2,"FE_ESTIMATE(NEW_ORDERS_VALUE,MEAN,QUARTERLY_ROLL,"&amp;L$9&amp;","&amp;$C$5&amp;",,,'')")), "--", _xll.FDS($C$2,"FE_ESTIMATE(NEW_ORDERS_VALUE,MEAN,QUARTERLY_ROLL,"&amp;L$9&amp;","&amp;$C$5&amp;",,,'')")))</f>
        <v>--</v>
      </c>
      <c r="M88" s="640" t="str" cm="1">
        <f t="array" ref="M88">_xlfn.SINGLE(IF(ISERROR(_xll.FDS($C$2,"FE_ESTIMATE(NEW_ORDERS_VALUE,MEAN,ANNUAL_ROLL,"&amp;M$9&amp;","&amp;$C$5&amp;",,,'')")), "--", _xll.FDS($C$2,"FE_ESTIMATE(NEW_ORDERS_VALUE,MEAN,ANNUAL_ROLL,"&amp;M$9&amp;","&amp;$C$5&amp;",,,'')")))</f>
        <v>--</v>
      </c>
      <c r="N88" s="639" t="str" cm="1">
        <f t="array" ref="N88">_xlfn.SINGLE(IF(ISERROR(_xll.FDS($C$2,"FE_ESTIMATE(NEW_ORDERS_VALUE,MEAN,QUARTERLY_ROLL,"&amp;N$9&amp;","&amp;$C$5&amp;",,,'')")), "--", _xll.FDS($C$2,"FE_ESTIMATE(NEW_ORDERS_VALUE,MEAN,QUARTERLY_ROLL,"&amp;N$9&amp;","&amp;$C$5&amp;",,,'')")))</f>
        <v>--</v>
      </c>
      <c r="O88" s="639" t="str" cm="1">
        <f t="array" ref="O88">_xlfn.SINGLE(IF(ISERROR(_xll.FDS($C$2,"FE_ESTIMATE(NEW_ORDERS_VALUE,MEAN,QUARTERLY_ROLL,"&amp;O$9&amp;","&amp;$C$5&amp;",,,'')")), "--", _xll.FDS($C$2,"FE_ESTIMATE(NEW_ORDERS_VALUE,MEAN,QUARTERLY_ROLL,"&amp;O$9&amp;","&amp;$C$5&amp;",,,'')")))</f>
        <v>--</v>
      </c>
      <c r="P88" s="639" t="str" cm="1">
        <f t="array" ref="P88">_xlfn.SINGLE(IF(ISERROR(_xll.FDS($C$2,"FE_ESTIMATE(NEW_ORDERS_VALUE,MEAN,QUARTERLY_ROLL,"&amp;P$9&amp;","&amp;$C$5&amp;",,,'')")), "--", _xll.FDS($C$2,"FE_ESTIMATE(NEW_ORDERS_VALUE,MEAN,QUARTERLY_ROLL,"&amp;P$9&amp;","&amp;$C$5&amp;",,,'')")))</f>
        <v>--</v>
      </c>
      <c r="Q88" s="639" t="str" cm="1">
        <f t="array" ref="Q88">_xlfn.SINGLE(IF(ISERROR(_xll.FDS($C$2,"FE_ESTIMATE(NEW_ORDERS_VALUE,MEAN,QUARTERLY_ROLL,"&amp;Q$9&amp;","&amp;$C$5&amp;",,,'')")), "--", _xll.FDS($C$2,"FE_ESTIMATE(NEW_ORDERS_VALUE,MEAN,QUARTERLY_ROLL,"&amp;Q$9&amp;","&amp;$C$5&amp;",,,'')")))</f>
        <v>--</v>
      </c>
      <c r="R88" s="640" t="str" cm="1">
        <f t="array" ref="R88">_xlfn.SINGLE(IF(ISERROR(_xll.FDS($C$2,"FE_ESTIMATE(NEW_ORDERS_VALUE,MEAN,ANNUAL_ROLL,"&amp;R$9&amp;","&amp;$C$5&amp;",,,'')")), "--", _xll.FDS($C$2,"FE_ESTIMATE(NEW_ORDERS_VALUE,MEAN,ANNUAL_ROLL,"&amp;R$9&amp;","&amp;$C$5&amp;",,,'')")))</f>
        <v>--</v>
      </c>
      <c r="S88" s="639" t="str" cm="1">
        <f t="array" ref="S88">_xlfn.SINGLE(IF(ISERROR(_xll.FDS($C$2,"FE_ESTIMATE(NEW_ORDERS_VALUE,MEAN,QUARTERLY_ROLL,"&amp;S$9&amp;","&amp;$C$5&amp;",,,'')")), "--", _xll.FDS($C$2,"FE_ESTIMATE(NEW_ORDERS_VALUE,MEAN,QUARTERLY_ROLL,"&amp;S$9&amp;","&amp;$C$5&amp;",,,'')")))</f>
        <v>--</v>
      </c>
      <c r="T88" s="639" t="str" cm="1">
        <f t="array" ref="T88">_xlfn.SINGLE(IF(ISERROR(_xll.FDS($C$2,"FE_ESTIMATE(NEW_ORDERS_VALUE,MEAN,QUARTERLY_ROLL,"&amp;T$9&amp;","&amp;$C$5&amp;",,,'')")), "--", _xll.FDS($C$2,"FE_ESTIMATE(NEW_ORDERS_VALUE,MEAN,QUARTERLY_ROLL,"&amp;T$9&amp;","&amp;$C$5&amp;",,,'')")))</f>
        <v>--</v>
      </c>
      <c r="U88" s="639" t="str" cm="1">
        <f t="array" ref="U88">_xlfn.SINGLE(IF(ISERROR(_xll.FDS($C$2,"FE_ESTIMATE(NEW_ORDERS_VALUE,MEAN,QUARTERLY_ROLL,"&amp;U$9&amp;","&amp;$C$5&amp;",,,'')")), "--", _xll.FDS($C$2,"FE_ESTIMATE(NEW_ORDERS_VALUE,MEAN,QUARTERLY_ROLL,"&amp;U$9&amp;","&amp;$C$5&amp;",,,'')")))</f>
        <v>--</v>
      </c>
      <c r="V88" s="639" t="str" cm="1">
        <f t="array" ref="V88">_xlfn.SINGLE(IF(ISERROR(_xll.FDS($C$2,"FE_ESTIMATE(NEW_ORDERS_VALUE,MEAN,QUARTERLY_ROLL,"&amp;V$9&amp;","&amp;$C$5&amp;",,,'')")), "--", _xll.FDS($C$2,"FE_ESTIMATE(NEW_ORDERS_VALUE,MEAN,QUARTERLY_ROLL,"&amp;V$9&amp;","&amp;$C$5&amp;",,,'')")))</f>
        <v>--</v>
      </c>
      <c r="W88" s="640" t="str" cm="1">
        <f t="array" ref="W88">_xlfn.SINGLE(IF(ISERROR(_xll.FDS($C$2,"FE_ESTIMATE(NEW_ORDERS_VALUE,MEAN,ANNUAL_ROLL,"&amp;W$9&amp;","&amp;$C$5&amp;",,,'')")), "--", _xll.FDS($C$2,"FE_ESTIMATE(NEW_ORDERS_VALUE,MEAN,ANNUAL_ROLL,"&amp;W$9&amp;","&amp;$C$5&amp;",,,'')")))</f>
        <v>--</v>
      </c>
      <c r="X88" s="639" t="str" cm="1">
        <f t="array" ref="X88">_xlfn.SINGLE(IF(ISERROR(_xll.FDS($C$2,"FE_ESTIMATE(NEW_ORDERS_VALUE,MEAN,QUARTERLY_ROLL,"&amp;X$9&amp;","&amp;$C$5&amp;",,,'')")), "--", _xll.FDS($C$2,"FE_ESTIMATE(NEW_ORDERS_VALUE,MEAN,QUARTERLY_ROLL,"&amp;X$9&amp;","&amp;$C$5&amp;",,,'')")))</f>
        <v>--</v>
      </c>
      <c r="Y88" s="639" t="str" cm="1">
        <f t="array" ref="Y88">_xlfn.SINGLE(IF(ISERROR(_xll.FDS($C$2,"FE_ESTIMATE(NEW_ORDERS_VALUE,MEAN,QUARTERLY_ROLL,"&amp;Y$9&amp;","&amp;$C$5&amp;",,,'')")), "--", _xll.FDS($C$2,"FE_ESTIMATE(NEW_ORDERS_VALUE,MEAN,QUARTERLY_ROLL,"&amp;Y$9&amp;","&amp;$C$5&amp;",,,'')")))</f>
        <v>--</v>
      </c>
      <c r="Z88" s="639" t="str" cm="1">
        <f t="array" ref="Z88">_xlfn.SINGLE(IF(ISERROR(_xll.FDS($C$2,"FE_ESTIMATE(NEW_ORDERS_VALUE,MEAN,QUARTERLY_ROLL,"&amp;Z$9&amp;","&amp;$C$5&amp;",,,'')")), "--", _xll.FDS($C$2,"FE_ESTIMATE(NEW_ORDERS_VALUE,MEAN,QUARTERLY_ROLL,"&amp;Z$9&amp;","&amp;$C$5&amp;",,,'')")))</f>
        <v>--</v>
      </c>
      <c r="AA88" s="639" t="str" cm="1">
        <f t="array" ref="AA88">_xlfn.SINGLE(IF(ISERROR(_xll.FDS($C$2,"FE_ESTIMATE(NEW_ORDERS_VALUE,MEAN,QUARTERLY_ROLL,"&amp;AA$9&amp;","&amp;$C$5&amp;",,,'')")), "--", _xll.FDS($C$2,"FE_ESTIMATE(NEW_ORDERS_VALUE,MEAN,QUARTERLY_ROLL,"&amp;AA$9&amp;","&amp;$C$5&amp;",,,'')")))</f>
        <v>--</v>
      </c>
      <c r="AB88" s="640" t="str" cm="1">
        <f t="array" ref="AB88">_xlfn.SINGLE(IF(ISERROR(_xll.FDS($C$2,"FE_ESTIMATE(NEW_ORDERS_VALUE,MEAN,ANNUAL_ROLL,"&amp;AB$9&amp;","&amp;$C$5&amp;",,,'')")), "--", _xll.FDS($C$2,"FE_ESTIMATE(NEW_ORDERS_VALUE,MEAN,ANNUAL_ROLL,"&amp;AB$9&amp;","&amp;$C$5&amp;",,,'')")))</f>
        <v>--</v>
      </c>
      <c r="AC88" s="639" t="str" cm="1">
        <f t="array" ref="AC88">_xlfn.SINGLE(IF(ISERROR(_xll.FDS($C$2,"FE_ESTIMATE(NEW_ORDERS_VALUE,MEAN,QUARTERLY_ROLL,"&amp;AC$9&amp;","&amp;$C$5&amp;",,,'')")), "--", _xll.FDS($C$2,"FE_ESTIMATE(NEW_ORDERS_VALUE,MEAN,QUARTERLY_ROLL,"&amp;AC$9&amp;","&amp;$C$5&amp;",,,'')")))</f>
        <v>--</v>
      </c>
      <c r="AD88" s="639" t="str" cm="1">
        <f t="array" ref="AD88">_xlfn.SINGLE(IF(ISERROR(_xll.FDS($C$2,"FE_ESTIMATE(NEW_ORDERS_VALUE,MEAN,QUARTERLY_ROLL,"&amp;AD$9&amp;","&amp;$C$5&amp;",,,'')")), "--", _xll.FDS($C$2,"FE_ESTIMATE(NEW_ORDERS_VALUE,MEAN,QUARTERLY_ROLL,"&amp;AD$9&amp;","&amp;$C$5&amp;",,,'')")))</f>
        <v>--</v>
      </c>
      <c r="AE88" s="639" t="str" cm="1">
        <f t="array" ref="AE88">_xlfn.SINGLE(IF(ISERROR(_xll.FDS($C$2,"FE_ESTIMATE(NEW_ORDERS_VALUE,MEAN,QUARTERLY_ROLL,"&amp;AE$9&amp;","&amp;$C$5&amp;",,,'')")), "--", _xll.FDS($C$2,"FE_ESTIMATE(NEW_ORDERS_VALUE,MEAN,QUARTERLY_ROLL,"&amp;AE$9&amp;","&amp;$C$5&amp;",,,'')")))</f>
        <v>--</v>
      </c>
      <c r="AF88" s="639" t="str" cm="1">
        <f t="array" ref="AF88">_xlfn.SINGLE(IF(ISERROR(_xll.FDS($C$2,"FE_ESTIMATE(NEW_ORDERS_VALUE,MEAN,QUARTERLY_ROLL,"&amp;AF$9&amp;","&amp;$C$5&amp;",,,'')")), "--", _xll.FDS($C$2,"FE_ESTIMATE(NEW_ORDERS_VALUE,MEAN,QUARTERLY_ROLL,"&amp;AF$9&amp;","&amp;$C$5&amp;",,,'')")))</f>
        <v>--</v>
      </c>
      <c r="AG88" s="640" t="str" cm="1">
        <f t="array" ref="AG88">_xlfn.SINGLE(IF(ISERROR(_xll.FDS($C$2,"FE_ESTIMATE(NEW_ORDERS_VALUE,MEAN,ANNUAL_ROLL,"&amp;AG$9&amp;","&amp;$C$5&amp;",,,'')")), "--", _xll.FDS($C$2,"FE_ESTIMATE(NEW_ORDERS_VALUE,MEAN,ANNUAL_ROLL,"&amp;AG$9&amp;","&amp;$C$5&amp;",,,'')")))</f>
        <v>--</v>
      </c>
      <c r="AH88" s="639" t="str" cm="1">
        <f t="array" ref="AH88">_xlfn.SINGLE(IF(ISERROR(_xll.FDS($C$2,"FE_ESTIMATE(NEW_ORDERS_VALUE,MEAN,QUARTERLY_ROLL,"&amp;AH$9&amp;","&amp;$C$5&amp;",,,'')")), "--", _xll.FDS($C$2,"FE_ESTIMATE(NEW_ORDERS_VALUE,MEAN,QUARTERLY_ROLL,"&amp;AH$9&amp;","&amp;$C$5&amp;",,,'')")))</f>
        <v>--</v>
      </c>
      <c r="AI88" s="639" t="str" cm="1">
        <f t="array" ref="AI88">_xlfn.SINGLE(IF(ISERROR(_xll.FDS($C$2,"FE_ESTIMATE(NEW_ORDERS_VALUE,MEAN,QUARTERLY_ROLL,"&amp;AI$9&amp;","&amp;$C$5&amp;",,,'')")), "--", _xll.FDS($C$2,"FE_ESTIMATE(NEW_ORDERS_VALUE,MEAN,QUARTERLY_ROLL,"&amp;AI$9&amp;","&amp;$C$5&amp;",,,'')")))</f>
        <v>--</v>
      </c>
      <c r="AJ88" s="639" t="str" cm="1">
        <f t="array" ref="AJ88">_xlfn.SINGLE(IF(ISERROR(_xll.FDS($C$2,"FE_ESTIMATE(NEW_ORDERS_VALUE,MEAN,QUARTERLY_ROLL,"&amp;AJ$9&amp;","&amp;$C$5&amp;",,,'')")), "--", _xll.FDS($C$2,"FE_ESTIMATE(NEW_ORDERS_VALUE,MEAN,QUARTERLY_ROLL,"&amp;AJ$9&amp;","&amp;$C$5&amp;",,,'')")))</f>
        <v>--</v>
      </c>
      <c r="AK88" s="639" cm="1">
        <f t="array" ref="AK88">_xlfn.SINGLE(IF(ISERROR(_xll.FDS($C$2,"FE_ESTIMATE(NEW_ORDERS_VALUE,MEAN,QUARTERLY_ROLL,"&amp;AK$9&amp;","&amp;$C$5&amp;",,,'')")), "--", _xll.FDS($C$2,"FE_ESTIMATE(NEW_ORDERS_VALUE,MEAN,QUARTERLY_ROLL,"&amp;AK$9&amp;","&amp;$C$5&amp;",,,'')")))</f>
        <v>382</v>
      </c>
      <c r="AL88" s="640" t="str" cm="1">
        <f t="array" ref="AL88">_xlfn.SINGLE(IF(ISERROR(_xll.FDS($C$2,"FE_ESTIMATE(NEW_ORDERS_VALUE,MEAN,ANNUAL_ROLL,"&amp;AL$9&amp;","&amp;$C$5&amp;",,,'')")), "--", _xll.FDS($C$2,"FE_ESTIMATE(NEW_ORDERS_VALUE,MEAN,ANNUAL_ROLL,"&amp;AL$9&amp;","&amp;$C$5&amp;",,,'')")))</f>
        <v>--</v>
      </c>
      <c r="AM88" s="639" t="str" cm="1">
        <f t="array" ref="AM88">_xlfn.SINGLE(IF(ISERROR(_xll.FDS($C$2,"FE_ESTIMATE(NEW_ORDERS_VALUE,MEAN,QUARTERLY_ROLL,"&amp;AM$9&amp;","&amp;$C$5&amp;",,,'')")), "--", _xll.FDS($C$2,"FE_ESTIMATE(NEW_ORDERS_VALUE,MEAN,QUARTERLY_ROLL,"&amp;AM$9&amp;","&amp;$C$5&amp;",,,'')")))</f>
        <v>--</v>
      </c>
      <c r="AN88" s="639" t="str" cm="1">
        <f t="array" ref="AN88">_xlfn.SINGLE(IF(ISERROR(_xll.FDS($C$2,"FE_ESTIMATE(NEW_ORDERS_VALUE,MEAN,QUARTERLY_ROLL,"&amp;AN$9&amp;","&amp;$C$5&amp;",,,'')")), "--", _xll.FDS($C$2,"FE_ESTIMATE(NEW_ORDERS_VALUE,MEAN,QUARTERLY_ROLL,"&amp;AN$9&amp;","&amp;$C$5&amp;",,,'')")))</f>
        <v>--</v>
      </c>
      <c r="AO88" s="639" t="str" cm="1">
        <f t="array" ref="AO88">_xlfn.SINGLE(IF(ISERROR(_xll.FDS($C$2,"FE_ESTIMATE(NEW_ORDERS_VALUE,MEAN,QUARTERLY_ROLL,"&amp;AO$9&amp;","&amp;$C$5&amp;",,,'')")), "--", _xll.FDS($C$2,"FE_ESTIMATE(NEW_ORDERS_VALUE,MEAN,QUARTERLY_ROLL,"&amp;AO$9&amp;","&amp;$C$5&amp;",,,'')")))</f>
        <v>--</v>
      </c>
      <c r="AP88" s="639" t="str" cm="1">
        <f t="array" ref="AP88">_xlfn.SINGLE(IF(ISERROR(_xll.FDS($C$2,"FE_ESTIMATE(NEW_ORDERS_VALUE,MEAN,QUARTERLY_ROLL,"&amp;AP$9&amp;","&amp;$C$5&amp;",,,'')")), "--", _xll.FDS($C$2,"FE_ESTIMATE(NEW_ORDERS_VALUE,MEAN,QUARTERLY_ROLL,"&amp;AP$9&amp;","&amp;$C$5&amp;",,,'')")))</f>
        <v>--</v>
      </c>
      <c r="AQ88" s="640" t="str" cm="1">
        <f t="array" ref="AQ88">_xlfn.SINGLE(IF(ISERROR(_xll.FDS($C$2,"FE_ESTIMATE(NEW_ORDERS_VALUE,MEAN,ANNUAL_ROLL,"&amp;AQ$9&amp;","&amp;$C$5&amp;",,,'')")), "--", _xll.FDS($C$2,"FE_ESTIMATE(NEW_ORDERS_VALUE,MEAN,ANNUAL_ROLL,"&amp;AQ$9&amp;","&amp;$C$5&amp;",,,'')")))</f>
        <v>--</v>
      </c>
      <c r="AR88" s="639" t="str" cm="1">
        <f t="array" ref="AR88">_xlfn.SINGLE(IF(ISERROR(_xll.FDS($C$2,"FE_ESTIMATE(NEW_ORDERS_VALUE,MEAN,QUARTERLY_ROLL,"&amp;AR$9&amp;","&amp;$C$5&amp;",,,'')")), "--", _xll.FDS($C$2,"FE_ESTIMATE(NEW_ORDERS_VALUE,MEAN,QUARTERLY_ROLL,"&amp;AR$9&amp;","&amp;$C$5&amp;",,,'')")))</f>
        <v>--</v>
      </c>
      <c r="AS88" s="639" t="str" cm="1">
        <f t="array" ref="AS88">_xlfn.SINGLE(IF(ISERROR(_xll.FDS($C$2,"FE_ESTIMATE(NEW_ORDERS_VALUE,MEAN,QUARTERLY_ROLL,"&amp;AS$9&amp;","&amp;$C$5&amp;",,,'')")), "--", _xll.FDS($C$2,"FE_ESTIMATE(NEW_ORDERS_VALUE,MEAN,QUARTERLY_ROLL,"&amp;AS$9&amp;","&amp;$C$5&amp;",,,'')")))</f>
        <v>--</v>
      </c>
      <c r="AT88" s="639" t="str" cm="1">
        <f t="array" ref="AT88">_xlfn.SINGLE(IF(ISERROR(_xll.FDS($C$2,"FE_ESTIMATE(NEW_ORDERS_VALUE,MEAN,QUARTERLY_ROLL,"&amp;AT$9&amp;","&amp;$C$5&amp;",,,'')")), "--", _xll.FDS($C$2,"FE_ESTIMATE(NEW_ORDERS_VALUE,MEAN,QUARTERLY_ROLL,"&amp;AT$9&amp;","&amp;$C$5&amp;",,,'')")))</f>
        <v>--</v>
      </c>
      <c r="AU88" s="639" t="str" cm="1">
        <f t="array" ref="AU88">_xlfn.SINGLE(IF(ISERROR(_xll.FDS($C$2,"FE_ESTIMATE(NEW_ORDERS_VALUE,MEAN,QUARTERLY_ROLL,"&amp;AU$9&amp;","&amp;$C$5&amp;",,,'')")), "--", _xll.FDS($C$2,"FE_ESTIMATE(NEW_ORDERS_VALUE,MEAN,QUARTERLY_ROLL,"&amp;AU$9&amp;","&amp;$C$5&amp;",,,'')")))</f>
        <v>--</v>
      </c>
      <c r="AV88" s="640" t="str" cm="1">
        <f t="array" ref="AV88">_xlfn.SINGLE(IF(ISERROR(_xll.FDS($C$2,"FE_ESTIMATE(NEW_ORDERS_VALUE,MEAN,ANNUAL_ROLL,"&amp;AV$9&amp;","&amp;$C$5&amp;",,,'')")), "--", _xll.FDS($C$2,"FE_ESTIMATE(NEW_ORDERS_VALUE,MEAN,ANNUAL_ROLL,"&amp;AV$9&amp;","&amp;$C$5&amp;",,,'')")))</f>
        <v>--</v>
      </c>
      <c r="AW88" s="639" t="str" cm="1">
        <f t="array" ref="AW88">_xlfn.SINGLE(IF(ISERROR(_xll.FDS($C$2,"FE_ESTIMATE(NEW_ORDERS_VALUE,MEAN,QUARTERLY_ROLL,"&amp;AW$9&amp;","&amp;$C$5&amp;",,,'')")), "--", _xll.FDS($C$2,"FE_ESTIMATE(NEW_ORDERS_VALUE,MEAN,QUARTERLY_ROLL,"&amp;AW$9&amp;","&amp;$C$5&amp;",,,'')")))</f>
        <v>--</v>
      </c>
      <c r="AX88" s="639" t="str" cm="1">
        <f t="array" ref="AX88">_xlfn.SINGLE(IF(ISERROR(_xll.FDS($C$2,"FE_ESTIMATE(NEW_ORDERS_VALUE,MEAN,QUARTERLY_ROLL,"&amp;AX$9&amp;","&amp;$C$5&amp;",,,'')")), "--", _xll.FDS($C$2,"FE_ESTIMATE(NEW_ORDERS_VALUE,MEAN,QUARTERLY_ROLL,"&amp;AX$9&amp;","&amp;$C$5&amp;",,,'')")))</f>
        <v>--</v>
      </c>
      <c r="AY88" s="639" t="str" cm="1">
        <f t="array" ref="AY88">_xlfn.SINGLE(IF(ISERROR(_xll.FDS($C$2,"FE_ESTIMATE(NEW_ORDERS_VALUE,MEAN,QUARTERLY_ROLL,"&amp;AY$9&amp;","&amp;$C$5&amp;",,,'')")), "--", _xll.FDS($C$2,"FE_ESTIMATE(NEW_ORDERS_VALUE,MEAN,QUARTERLY_ROLL,"&amp;AY$9&amp;","&amp;$C$5&amp;",,,'')")))</f>
        <v>--</v>
      </c>
      <c r="AZ88" s="639" t="str" cm="1">
        <f t="array" ref="AZ88">_xlfn.SINGLE(IF(ISERROR(_xll.FDS($C$2,"FE_ESTIMATE(NEW_ORDERS_VALUE,MEAN,QUARTERLY_ROLL,"&amp;AZ$9&amp;","&amp;$C$5&amp;",,,'')")), "--", _xll.FDS($C$2,"FE_ESTIMATE(NEW_ORDERS_VALUE,MEAN,QUARTERLY_ROLL,"&amp;AZ$9&amp;","&amp;$C$5&amp;",,,'')")))</f>
        <v>--</v>
      </c>
      <c r="BA88" s="640" t="str" cm="1">
        <f t="array" ref="BA88">_xlfn.SINGLE(IF(ISERROR(_xll.FDS($C$2,"FE_ESTIMATE(NEW_ORDERS_VALUE,MEAN,ANNUAL_ROLL,"&amp;BA$9&amp;","&amp;$C$5&amp;",,,'')")), "--", _xll.FDS($C$2,"FE_ESTIMATE(NEW_ORDERS_VALUE,MEAN,ANNUAL_ROLL,"&amp;BA$9&amp;","&amp;$C$5&amp;",,,'')")))</f>
        <v>--</v>
      </c>
      <c r="BB88" s="639" t="str" cm="1">
        <f t="array" ref="BB88">_xlfn.SINGLE(IF(ISERROR(_xll.FDS($C$2,"FE_ESTIMATE(NEW_ORDERS_VALUE,MEAN,QUARTERLY_ROLL,"&amp;BB$9&amp;","&amp;$C$5&amp;",,,'')")), "--", _xll.FDS($C$2,"FE_ESTIMATE(NEW_ORDERS_VALUE,MEAN,QUARTERLY_ROLL,"&amp;BB$9&amp;","&amp;$C$5&amp;",,,'')")))</f>
        <v>--</v>
      </c>
      <c r="BC88" s="639" t="str" cm="1">
        <f t="array" ref="BC88">_xlfn.SINGLE(IF(ISERROR(_xll.FDS($C$2,"FE_ESTIMATE(NEW_ORDERS_VALUE,MEAN,QUARTERLY_ROLL,"&amp;BC$9&amp;","&amp;$C$5&amp;",,,'')")), "--", _xll.FDS($C$2,"FE_ESTIMATE(NEW_ORDERS_VALUE,MEAN,QUARTERLY_ROLL,"&amp;BC$9&amp;","&amp;$C$5&amp;",,,'')")))</f>
        <v>--</v>
      </c>
      <c r="BD88" s="639" t="str" cm="1">
        <f t="array" ref="BD88">_xlfn.SINGLE(IF(ISERROR(_xll.FDS($C$2,"FE_ESTIMATE(NEW_ORDERS_VALUE,MEAN,QUARTERLY_ROLL,"&amp;BD$9&amp;","&amp;$C$5&amp;",,,'')")), "--", _xll.FDS($C$2,"FE_ESTIMATE(NEW_ORDERS_VALUE,MEAN,QUARTERLY_ROLL,"&amp;BD$9&amp;","&amp;$C$5&amp;",,,'')")))</f>
        <v>--</v>
      </c>
      <c r="BE88" s="639" t="str" cm="1">
        <f t="array" ref="BE88">_xlfn.SINGLE(IF(ISERROR(_xll.FDS($C$2,"FE_ESTIMATE(NEW_ORDERS_VALUE,MEAN,QUARTERLY_ROLL,"&amp;BE$9&amp;","&amp;$C$5&amp;",,,'')")), "--", _xll.FDS($C$2,"FE_ESTIMATE(NEW_ORDERS_VALUE,MEAN,QUARTERLY_ROLL,"&amp;BE$9&amp;","&amp;$C$5&amp;",,,'')")))</f>
        <v>--</v>
      </c>
      <c r="BF88" s="640" t="str" cm="1">
        <f t="array" ref="BF88">_xlfn.SINGLE(IF(ISERROR(_xll.FDS($C$2,"FE_ESTIMATE(NEW_ORDERS_VALUE,MEAN,ANNUAL_ROLL,"&amp;BF$9&amp;","&amp;$C$5&amp;",,,'')")), "--", _xll.FDS($C$2,"FE_ESTIMATE(NEW_ORDERS_VALUE,MEAN,ANNUAL_ROLL,"&amp;BF$9&amp;","&amp;$C$5&amp;",,,'')")))</f>
        <v>--</v>
      </c>
      <c r="BG88" s="639" t="str" cm="1">
        <f t="array" ref="BG88">_xlfn.SINGLE(IF(ISERROR(_xll.FDS($C$2,"FE_ESTIMATE(NEW_ORDERS_VALUE,MEAN,QUARTERLY_ROLL,"&amp;BG$9&amp;","&amp;$C$5&amp;",,,'')")), "--", _xll.FDS($C$2,"FE_ESTIMATE(NEW_ORDERS_VALUE,MEAN,QUARTERLY_ROLL,"&amp;BG$9&amp;","&amp;$C$5&amp;",,,'')")))</f>
        <v>--</v>
      </c>
      <c r="BH88" s="639" t="str" cm="1">
        <f t="array" ref="BH88">_xlfn.SINGLE(IF(ISERROR(_xll.FDS($C$2,"FE_ESTIMATE(NEW_ORDERS_VALUE,MEAN,QUARTERLY_ROLL,"&amp;BH$9&amp;","&amp;$C$5&amp;",,,'')")), "--", _xll.FDS($C$2,"FE_ESTIMATE(NEW_ORDERS_VALUE,MEAN,QUARTERLY_ROLL,"&amp;BH$9&amp;","&amp;$C$5&amp;",,,'')")))</f>
        <v>--</v>
      </c>
      <c r="BI88" s="639" t="str" cm="1">
        <f t="array" ref="BI88">_xlfn.SINGLE(IF(ISERROR(_xll.FDS($C$2,"FE_ESTIMATE(NEW_ORDERS_VALUE,MEAN,QUARTERLY_ROLL,"&amp;BI$9&amp;","&amp;$C$5&amp;",,,'')")), "--", _xll.FDS($C$2,"FE_ESTIMATE(NEW_ORDERS_VALUE,MEAN,QUARTERLY_ROLL,"&amp;BI$9&amp;","&amp;$C$5&amp;",,,'')")))</f>
        <v>--</v>
      </c>
      <c r="BJ88" s="639" t="str" cm="1">
        <f t="array" ref="BJ88">_xlfn.SINGLE(IF(ISERROR(_xll.FDS($C$2,"FE_ESTIMATE(NEW_ORDERS_VALUE,MEAN,QUARTERLY_ROLL,"&amp;BJ$9&amp;","&amp;$C$5&amp;",,,'')")), "--", _xll.FDS($C$2,"FE_ESTIMATE(NEW_ORDERS_VALUE,MEAN,QUARTERLY_ROLL,"&amp;BJ$9&amp;","&amp;$C$5&amp;",,,'')")))</f>
        <v>--</v>
      </c>
      <c r="BK88" s="640" t="str" cm="1">
        <f t="array" ref="BK88">_xlfn.SINGLE(IF(ISERROR(_xll.FDS($C$2,"FE_ESTIMATE(NEW_ORDERS_VALUE,MEAN,ANNUAL_ROLL,"&amp;BK$9&amp;","&amp;$C$5&amp;",,,'')")), "--", _xll.FDS($C$2,"FE_ESTIMATE(NEW_ORDERS_VALUE,MEAN,ANNUAL_ROLL,"&amp;BK$9&amp;","&amp;$C$5&amp;",,,'')")))</f>
        <v>--</v>
      </c>
    </row>
    <row r="89" spans="1:63" s="71" customFormat="1" ht="12.75" customHeight="1" outlineLevel="1">
      <c r="A89" s="67" t="s">
        <v>123</v>
      </c>
      <c r="B89" s="68" t="s">
        <v>31</v>
      </c>
      <c r="C89" s="68"/>
      <c r="D89" s="69"/>
      <c r="E89" s="69"/>
      <c r="F89" s="69"/>
      <c r="G89" s="69"/>
      <c r="H89" s="70"/>
      <c r="I89" s="69" t="str">
        <f t="shared" ref="I89:AN89" si="46">IFERROR(I88/D88-1,"")</f>
        <v/>
      </c>
      <c r="J89" s="69" t="str">
        <f t="shared" si="46"/>
        <v/>
      </c>
      <c r="K89" s="69" t="str">
        <f t="shared" si="46"/>
        <v/>
      </c>
      <c r="L89" s="69" t="str">
        <f t="shared" si="46"/>
        <v/>
      </c>
      <c r="M89" s="70" t="str">
        <f t="shared" si="46"/>
        <v/>
      </c>
      <c r="N89" s="69" t="str">
        <f t="shared" si="46"/>
        <v/>
      </c>
      <c r="O89" s="69" t="str">
        <f t="shared" si="46"/>
        <v/>
      </c>
      <c r="P89" s="69" t="str">
        <f t="shared" si="46"/>
        <v/>
      </c>
      <c r="Q89" s="69" t="str">
        <f t="shared" si="46"/>
        <v/>
      </c>
      <c r="R89" s="70" t="str">
        <f t="shared" si="46"/>
        <v/>
      </c>
      <c r="S89" s="69" t="str">
        <f t="shared" si="46"/>
        <v/>
      </c>
      <c r="T89" s="69" t="str">
        <f t="shared" si="46"/>
        <v/>
      </c>
      <c r="U89" s="69" t="str">
        <f t="shared" si="46"/>
        <v/>
      </c>
      <c r="V89" s="69" t="str">
        <f t="shared" si="46"/>
        <v/>
      </c>
      <c r="W89" s="70" t="str">
        <f t="shared" si="46"/>
        <v/>
      </c>
      <c r="X89" s="69" t="str">
        <f t="shared" si="46"/>
        <v/>
      </c>
      <c r="Y89" s="69" t="str">
        <f t="shared" si="46"/>
        <v/>
      </c>
      <c r="Z89" s="69" t="str">
        <f t="shared" si="46"/>
        <v/>
      </c>
      <c r="AA89" s="69" t="str">
        <f t="shared" si="46"/>
        <v/>
      </c>
      <c r="AB89" s="70" t="str">
        <f t="shared" si="46"/>
        <v/>
      </c>
      <c r="AC89" s="69" t="str">
        <f t="shared" si="46"/>
        <v/>
      </c>
      <c r="AD89" s="69" t="str">
        <f t="shared" si="46"/>
        <v/>
      </c>
      <c r="AE89" s="69" t="str">
        <f t="shared" si="46"/>
        <v/>
      </c>
      <c r="AF89" s="69" t="str">
        <f t="shared" si="46"/>
        <v/>
      </c>
      <c r="AG89" s="70" t="str">
        <f t="shared" si="46"/>
        <v/>
      </c>
      <c r="AH89" s="69" t="str">
        <f t="shared" si="46"/>
        <v/>
      </c>
      <c r="AI89" s="69" t="str">
        <f t="shared" si="46"/>
        <v/>
      </c>
      <c r="AJ89" s="69" t="str">
        <f t="shared" si="46"/>
        <v/>
      </c>
      <c r="AK89" s="69" t="str">
        <f t="shared" si="46"/>
        <v/>
      </c>
      <c r="AL89" s="70" t="str">
        <f t="shared" si="46"/>
        <v/>
      </c>
      <c r="AM89" s="69" t="str">
        <f t="shared" si="46"/>
        <v/>
      </c>
      <c r="AN89" s="69" t="str">
        <f t="shared" si="46"/>
        <v/>
      </c>
      <c r="AO89" s="69" t="str">
        <f t="shared" ref="AO89:BK89" si="47">IFERROR(AO88/AJ88-1,"")</f>
        <v/>
      </c>
      <c r="AP89" s="69" t="str">
        <f t="shared" si="47"/>
        <v/>
      </c>
      <c r="AQ89" s="70" t="str">
        <f t="shared" si="47"/>
        <v/>
      </c>
      <c r="AR89" s="69" t="str">
        <f t="shared" si="47"/>
        <v/>
      </c>
      <c r="AS89" s="69" t="str">
        <f t="shared" si="47"/>
        <v/>
      </c>
      <c r="AT89" s="69" t="str">
        <f t="shared" si="47"/>
        <v/>
      </c>
      <c r="AU89" s="69" t="str">
        <f t="shared" si="47"/>
        <v/>
      </c>
      <c r="AV89" s="70" t="str">
        <f t="shared" si="47"/>
        <v/>
      </c>
      <c r="AW89" s="69" t="str">
        <f t="shared" si="47"/>
        <v/>
      </c>
      <c r="AX89" s="69" t="str">
        <f t="shared" si="47"/>
        <v/>
      </c>
      <c r="AY89" s="69" t="str">
        <f t="shared" si="47"/>
        <v/>
      </c>
      <c r="AZ89" s="69" t="str">
        <f t="shared" si="47"/>
        <v/>
      </c>
      <c r="BA89" s="70" t="str">
        <f t="shared" si="47"/>
        <v/>
      </c>
      <c r="BB89" s="69" t="str">
        <f t="shared" si="47"/>
        <v/>
      </c>
      <c r="BC89" s="69" t="str">
        <f t="shared" si="47"/>
        <v/>
      </c>
      <c r="BD89" s="69" t="str">
        <f t="shared" si="47"/>
        <v/>
      </c>
      <c r="BE89" s="69" t="str">
        <f t="shared" si="47"/>
        <v/>
      </c>
      <c r="BF89" s="70" t="str">
        <f t="shared" si="47"/>
        <v/>
      </c>
      <c r="BG89" s="69" t="str">
        <f t="shared" si="47"/>
        <v/>
      </c>
      <c r="BH89" s="69" t="str">
        <f t="shared" si="47"/>
        <v/>
      </c>
      <c r="BI89" s="69" t="str">
        <f t="shared" si="47"/>
        <v/>
      </c>
      <c r="BJ89" s="69" t="str">
        <f t="shared" si="47"/>
        <v/>
      </c>
      <c r="BK89" s="70" t="str">
        <f t="shared" si="47"/>
        <v/>
      </c>
    </row>
    <row r="90" spans="1:63" s="71" customFormat="1" ht="12.75" customHeight="1" outlineLevel="1">
      <c r="A90" s="67" t="s">
        <v>124</v>
      </c>
      <c r="B90" s="68" t="s">
        <v>33</v>
      </c>
      <c r="C90" s="68"/>
      <c r="D90" s="69"/>
      <c r="E90" s="69"/>
      <c r="F90" s="69"/>
      <c r="G90" s="69"/>
      <c r="H90" s="72"/>
      <c r="I90" s="69" t="str">
        <f>IFERROR(I88/G88-1,"")</f>
        <v/>
      </c>
      <c r="J90" s="69" t="str">
        <f>IFERROR(J88/I88-1,"")</f>
        <v/>
      </c>
      <c r="K90" s="69" t="str">
        <f>IFERROR(K88/J88-1,"")</f>
        <v/>
      </c>
      <c r="L90" s="69" t="str">
        <f>IFERROR(L88/K88-1,"")</f>
        <v/>
      </c>
      <c r="M90" s="72"/>
      <c r="N90" s="69" t="str">
        <f>IFERROR(N88/L88-1,"")</f>
        <v/>
      </c>
      <c r="O90" s="69" t="str">
        <f>IFERROR(O88/N88-1,"")</f>
        <v/>
      </c>
      <c r="P90" s="69" t="str">
        <f>IFERROR(P88/O88-1,"")</f>
        <v/>
      </c>
      <c r="Q90" s="69" t="str">
        <f>IFERROR(Q88/P88-1,"")</f>
        <v/>
      </c>
      <c r="R90" s="72"/>
      <c r="S90" s="69" t="str">
        <f>IFERROR(S88/Q88-1,"")</f>
        <v/>
      </c>
      <c r="T90" s="69" t="str">
        <f>IFERROR(T88/S88-1,"")</f>
        <v/>
      </c>
      <c r="U90" s="69" t="str">
        <f>IFERROR(U88/T88-1,"")</f>
        <v/>
      </c>
      <c r="V90" s="69" t="str">
        <f>IFERROR(V88/U88-1,"")</f>
        <v/>
      </c>
      <c r="W90" s="72"/>
      <c r="X90" s="69" t="str">
        <f>IFERROR(X88/V88-1,"")</f>
        <v/>
      </c>
      <c r="Y90" s="69" t="str">
        <f>IFERROR(Y88/X88-1,"")</f>
        <v/>
      </c>
      <c r="Z90" s="69" t="str">
        <f>IFERROR(Z88/Y88-1,"")</f>
        <v/>
      </c>
      <c r="AA90" s="69" t="str">
        <f>IFERROR(AA88/Z88-1,"")</f>
        <v/>
      </c>
      <c r="AB90" s="72"/>
      <c r="AC90" s="69" t="str">
        <f>IFERROR(AC88/AA88-1,"")</f>
        <v/>
      </c>
      <c r="AD90" s="69" t="str">
        <f>IFERROR(AD88/AC88-1,"")</f>
        <v/>
      </c>
      <c r="AE90" s="69" t="str">
        <f>IFERROR(AE88/AD88-1,"")</f>
        <v/>
      </c>
      <c r="AF90" s="69" t="str">
        <f>IFERROR(AF88/AE88-1,"")</f>
        <v/>
      </c>
      <c r="AG90" s="72"/>
      <c r="AH90" s="69" t="str">
        <f>IFERROR(AH88/AF88-1,"")</f>
        <v/>
      </c>
      <c r="AI90" s="69" t="str">
        <f>IFERROR(AI88/AH88-1,"")</f>
        <v/>
      </c>
      <c r="AJ90" s="69" t="str">
        <f>IFERROR(AJ88/AI88-1,"")</f>
        <v/>
      </c>
      <c r="AK90" s="69" t="str">
        <f>IFERROR(AK88/AJ88-1,"")</f>
        <v/>
      </c>
      <c r="AL90" s="72"/>
      <c r="AM90" s="69" t="str">
        <f>IFERROR(AM88/AK88-1,"")</f>
        <v/>
      </c>
      <c r="AN90" s="69" t="str">
        <f>IFERROR(AN88/AM88-1,"")</f>
        <v/>
      </c>
      <c r="AO90" s="69" t="str">
        <f>IFERROR(AO88/AN88-1,"")</f>
        <v/>
      </c>
      <c r="AP90" s="69" t="str">
        <f>IFERROR(AP88/AO88-1,"")</f>
        <v/>
      </c>
      <c r="AQ90" s="72"/>
      <c r="AR90" s="69" t="str">
        <f>IFERROR(AR88/AP88-1,"")</f>
        <v/>
      </c>
      <c r="AS90" s="69" t="str">
        <f>IFERROR(AS88/AR88-1,"")</f>
        <v/>
      </c>
      <c r="AT90" s="69" t="str">
        <f>IFERROR(AT88/AS88-1,"")</f>
        <v/>
      </c>
      <c r="AU90" s="69" t="str">
        <f>IFERROR(AU88/AT88-1,"")</f>
        <v/>
      </c>
      <c r="AV90" s="72"/>
      <c r="AW90" s="69" t="str">
        <f>IFERROR(AW88/AU88-1,"")</f>
        <v/>
      </c>
      <c r="AX90" s="69" t="str">
        <f>IFERROR(AX88/AW88-1,"")</f>
        <v/>
      </c>
      <c r="AY90" s="69" t="str">
        <f>IFERROR(AY88/AX88-1,"")</f>
        <v/>
      </c>
      <c r="AZ90" s="69" t="str">
        <f>IFERROR(AZ88/AY88-1,"")</f>
        <v/>
      </c>
      <c r="BA90" s="72"/>
      <c r="BB90" s="69" t="str">
        <f>IFERROR(BB88/AZ88-1,"")</f>
        <v/>
      </c>
      <c r="BC90" s="69" t="str">
        <f>IFERROR(BC88/BB88-1,"")</f>
        <v/>
      </c>
      <c r="BD90" s="69" t="str">
        <f>IFERROR(BD88/BC88-1,"")</f>
        <v/>
      </c>
      <c r="BE90" s="69" t="str">
        <f>IFERROR(BE88/BD88-1,"")</f>
        <v/>
      </c>
      <c r="BF90" s="72"/>
      <c r="BG90" s="69" t="str">
        <f>IFERROR(BG88/BE88-1,"")</f>
        <v/>
      </c>
      <c r="BH90" s="69" t="str">
        <f>IFERROR(BH88/BG88-1,"")</f>
        <v/>
      </c>
      <c r="BI90" s="69" t="str">
        <f>IFERROR(BI88/BH88-1,"")</f>
        <v/>
      </c>
      <c r="BJ90" s="69" t="str">
        <f>IFERROR(BJ88/BI88-1,"")</f>
        <v/>
      </c>
      <c r="BK90" s="72"/>
    </row>
    <row r="91" spans="1:63" ht="12.75" customHeight="1" outlineLevel="1">
      <c r="H91" s="70"/>
      <c r="I91" s="81"/>
      <c r="J91" s="81"/>
      <c r="K91" s="81"/>
      <c r="L91" s="81"/>
      <c r="M91" s="80"/>
      <c r="N91" s="81"/>
      <c r="O91" s="81"/>
      <c r="P91" s="81"/>
      <c r="Q91" s="81"/>
      <c r="R91" s="80"/>
      <c r="S91" s="81"/>
      <c r="T91" s="81"/>
      <c r="U91" s="81"/>
      <c r="V91" s="81"/>
      <c r="W91" s="80"/>
      <c r="X91" s="81"/>
      <c r="Y91" s="81"/>
      <c r="Z91" s="81"/>
      <c r="AA91" s="81"/>
      <c r="AB91" s="80"/>
      <c r="AC91" s="81"/>
      <c r="AD91" s="81"/>
      <c r="AE91" s="81"/>
      <c r="AF91" s="81"/>
      <c r="AG91" s="80"/>
      <c r="AH91" s="81"/>
      <c r="AI91" s="81"/>
      <c r="AJ91" s="81"/>
      <c r="AK91" s="81"/>
      <c r="AL91" s="80"/>
      <c r="AM91" s="81"/>
      <c r="AN91" s="81"/>
      <c r="AO91" s="81"/>
      <c r="AP91" s="81"/>
      <c r="AQ91" s="80"/>
      <c r="AR91" s="81"/>
      <c r="AS91" s="81"/>
      <c r="AT91" s="81"/>
      <c r="AU91" s="81"/>
      <c r="AV91" s="80"/>
      <c r="AW91" s="81"/>
      <c r="AX91" s="81"/>
      <c r="AY91" s="81"/>
      <c r="AZ91" s="81"/>
      <c r="BA91" s="80"/>
      <c r="BB91" s="81"/>
      <c r="BC91" s="81"/>
      <c r="BD91" s="81"/>
      <c r="BE91" s="81"/>
      <c r="BF91" s="80"/>
      <c r="BG91" s="81"/>
      <c r="BH91" s="81"/>
      <c r="BI91" s="81"/>
      <c r="BJ91" s="81"/>
      <c r="BK91" s="80"/>
    </row>
    <row r="92" spans="1:63" s="641" customFormat="1" ht="12.75" customHeight="1" outlineLevel="1">
      <c r="A92" s="636"/>
      <c r="B92" s="637" t="s">
        <v>57</v>
      </c>
      <c r="C92" s="638"/>
      <c r="D92" s="639"/>
      <c r="E92" s="639"/>
      <c r="F92" s="639"/>
      <c r="G92" s="639"/>
      <c r="H92" s="640"/>
      <c r="I92" s="639" t="str">
        <f t="shared" ref="I92:AN92" si="48">IFERROR(I12+I84,"--")</f>
        <v>--</v>
      </c>
      <c r="J92" s="639" t="str">
        <f t="shared" si="48"/>
        <v>--</v>
      </c>
      <c r="K92" s="639" t="str">
        <f t="shared" si="48"/>
        <v>--</v>
      </c>
      <c r="L92" s="639" t="str">
        <f t="shared" si="48"/>
        <v>--</v>
      </c>
      <c r="M92" s="640" t="str">
        <f t="shared" si="48"/>
        <v>--</v>
      </c>
      <c r="N92" s="639" t="str">
        <f t="shared" si="48"/>
        <v>--</v>
      </c>
      <c r="O92" s="639" t="str">
        <f t="shared" si="48"/>
        <v>--</v>
      </c>
      <c r="P92" s="639" t="str">
        <f t="shared" si="48"/>
        <v>--</v>
      </c>
      <c r="Q92" s="639" t="str">
        <f t="shared" si="48"/>
        <v>--</v>
      </c>
      <c r="R92" s="640" t="str">
        <f t="shared" si="48"/>
        <v>--</v>
      </c>
      <c r="S92" s="639" t="str">
        <f t="shared" si="48"/>
        <v>--</v>
      </c>
      <c r="T92" s="639" t="str">
        <f t="shared" si="48"/>
        <v>--</v>
      </c>
      <c r="U92" s="639" t="str">
        <f t="shared" si="48"/>
        <v>--</v>
      </c>
      <c r="V92" s="639" t="str">
        <f t="shared" si="48"/>
        <v>--</v>
      </c>
      <c r="W92" s="640" t="str">
        <f t="shared" si="48"/>
        <v>--</v>
      </c>
      <c r="X92" s="639" t="str">
        <f t="shared" si="48"/>
        <v>--</v>
      </c>
      <c r="Y92" s="639" t="str">
        <f t="shared" si="48"/>
        <v>--</v>
      </c>
      <c r="Z92" s="639" t="str">
        <f t="shared" si="48"/>
        <v>--</v>
      </c>
      <c r="AA92" s="639" t="str">
        <f t="shared" si="48"/>
        <v>--</v>
      </c>
      <c r="AB92" s="640" t="str">
        <f t="shared" si="48"/>
        <v>--</v>
      </c>
      <c r="AC92" s="639" t="str">
        <f t="shared" si="48"/>
        <v>--</v>
      </c>
      <c r="AD92" s="639" t="str">
        <f t="shared" si="48"/>
        <v>--</v>
      </c>
      <c r="AE92" s="639" t="str">
        <f t="shared" si="48"/>
        <v>--</v>
      </c>
      <c r="AF92" s="639" t="str">
        <f t="shared" si="48"/>
        <v>--</v>
      </c>
      <c r="AG92" s="640" t="str">
        <f t="shared" si="48"/>
        <v>--</v>
      </c>
      <c r="AH92" s="639" t="str">
        <f t="shared" si="48"/>
        <v>--</v>
      </c>
      <c r="AI92" s="639" t="str">
        <f t="shared" si="48"/>
        <v>--</v>
      </c>
      <c r="AJ92" s="639" t="str">
        <f t="shared" si="48"/>
        <v>--</v>
      </c>
      <c r="AK92" s="639" t="str">
        <f t="shared" si="48"/>
        <v>--</v>
      </c>
      <c r="AL92" s="640" t="str">
        <f t="shared" si="48"/>
        <v>--</v>
      </c>
      <c r="AM92" s="639">
        <f t="shared" si="48"/>
        <v>965.67530000000022</v>
      </c>
      <c r="AN92" s="639">
        <f t="shared" si="48"/>
        <v>2012.2191999999995</v>
      </c>
      <c r="AO92" s="639">
        <f t="shared" ref="AO92:BK92" si="49">IFERROR(AO12+AO84,"--")</f>
        <v>2259.0033000000003</v>
      </c>
      <c r="AP92" s="639">
        <f t="shared" si="49"/>
        <v>2797.6827999999996</v>
      </c>
      <c r="AQ92" s="640">
        <f t="shared" si="49"/>
        <v>8045.4500000000007</v>
      </c>
      <c r="AR92" s="639">
        <f t="shared" si="49"/>
        <v>3349.8447000000006</v>
      </c>
      <c r="AS92" s="639">
        <f t="shared" si="49"/>
        <v>3958.8895000000002</v>
      </c>
      <c r="AT92" s="639">
        <f t="shared" si="49"/>
        <v>4223.7245000000003</v>
      </c>
      <c r="AU92" s="639">
        <f t="shared" si="49"/>
        <v>4508.3059999999987</v>
      </c>
      <c r="AV92" s="640">
        <f t="shared" si="49"/>
        <v>16532.707999999999</v>
      </c>
      <c r="AW92" s="639">
        <f t="shared" si="49"/>
        <v>368.63830000000053</v>
      </c>
      <c r="AX92" s="639">
        <f t="shared" si="49"/>
        <v>4589.4327000000003</v>
      </c>
      <c r="AY92" s="639">
        <f t="shared" si="49"/>
        <v>4909.1054999999997</v>
      </c>
      <c r="AZ92" s="639">
        <f t="shared" si="49"/>
        <v>5205.3212999999996</v>
      </c>
      <c r="BA92" s="640">
        <f t="shared" si="49"/>
        <v>21079.47</v>
      </c>
      <c r="BB92" s="639" t="str">
        <f t="shared" si="49"/>
        <v>--</v>
      </c>
      <c r="BC92" s="639" t="str">
        <f t="shared" si="49"/>
        <v>--</v>
      </c>
      <c r="BD92" s="639" t="str">
        <f t="shared" si="49"/>
        <v>--</v>
      </c>
      <c r="BE92" s="639" t="str">
        <f t="shared" si="49"/>
        <v>--</v>
      </c>
      <c r="BF92" s="640">
        <f t="shared" si="49"/>
        <v>30747.103999999999</v>
      </c>
      <c r="BG92" s="639" t="str">
        <f t="shared" si="49"/>
        <v>--</v>
      </c>
      <c r="BH92" s="639" t="str">
        <f t="shared" si="49"/>
        <v>--</v>
      </c>
      <c r="BI92" s="639" t="str">
        <f t="shared" si="49"/>
        <v>--</v>
      </c>
      <c r="BJ92" s="639" t="str">
        <f t="shared" si="49"/>
        <v>--</v>
      </c>
      <c r="BK92" s="640">
        <f t="shared" si="49"/>
        <v>35012.950000000004</v>
      </c>
    </row>
    <row r="93" spans="1:63" s="71" customFormat="1" ht="12.75" customHeight="1" outlineLevel="1">
      <c r="A93" s="409"/>
      <c r="B93" s="68" t="s">
        <v>31</v>
      </c>
      <c r="C93" s="68"/>
      <c r="D93" s="69"/>
      <c r="E93" s="69"/>
      <c r="F93" s="69"/>
      <c r="G93" s="69"/>
      <c r="H93" s="70"/>
      <c r="I93" s="69" t="str">
        <f t="shared" ref="I93:AN93" si="50">IFERROR(I92/D92-1,"")</f>
        <v/>
      </c>
      <c r="J93" s="69" t="str">
        <f t="shared" si="50"/>
        <v/>
      </c>
      <c r="K93" s="69" t="str">
        <f t="shared" si="50"/>
        <v/>
      </c>
      <c r="L93" s="69" t="str">
        <f t="shared" si="50"/>
        <v/>
      </c>
      <c r="M93" s="70" t="str">
        <f t="shared" si="50"/>
        <v/>
      </c>
      <c r="N93" s="69" t="str">
        <f t="shared" si="50"/>
        <v/>
      </c>
      <c r="O93" s="69" t="str">
        <f t="shared" si="50"/>
        <v/>
      </c>
      <c r="P93" s="69" t="str">
        <f t="shared" si="50"/>
        <v/>
      </c>
      <c r="Q93" s="69" t="str">
        <f t="shared" si="50"/>
        <v/>
      </c>
      <c r="R93" s="70" t="str">
        <f t="shared" si="50"/>
        <v/>
      </c>
      <c r="S93" s="69" t="str">
        <f t="shared" si="50"/>
        <v/>
      </c>
      <c r="T93" s="69" t="str">
        <f t="shared" si="50"/>
        <v/>
      </c>
      <c r="U93" s="69" t="str">
        <f t="shared" si="50"/>
        <v/>
      </c>
      <c r="V93" s="69" t="str">
        <f t="shared" si="50"/>
        <v/>
      </c>
      <c r="W93" s="70" t="str">
        <f t="shared" si="50"/>
        <v/>
      </c>
      <c r="X93" s="69" t="str">
        <f t="shared" si="50"/>
        <v/>
      </c>
      <c r="Y93" s="69" t="str">
        <f t="shared" si="50"/>
        <v/>
      </c>
      <c r="Z93" s="69" t="str">
        <f t="shared" si="50"/>
        <v/>
      </c>
      <c r="AA93" s="69" t="str">
        <f t="shared" si="50"/>
        <v/>
      </c>
      <c r="AB93" s="70" t="str">
        <f t="shared" si="50"/>
        <v/>
      </c>
      <c r="AC93" s="69" t="str">
        <f t="shared" si="50"/>
        <v/>
      </c>
      <c r="AD93" s="69" t="str">
        <f t="shared" si="50"/>
        <v/>
      </c>
      <c r="AE93" s="69" t="str">
        <f t="shared" si="50"/>
        <v/>
      </c>
      <c r="AF93" s="69" t="str">
        <f t="shared" si="50"/>
        <v/>
      </c>
      <c r="AG93" s="70" t="str">
        <f t="shared" si="50"/>
        <v/>
      </c>
      <c r="AH93" s="69" t="str">
        <f t="shared" si="50"/>
        <v/>
      </c>
      <c r="AI93" s="69" t="str">
        <f t="shared" si="50"/>
        <v/>
      </c>
      <c r="AJ93" s="69" t="str">
        <f t="shared" si="50"/>
        <v/>
      </c>
      <c r="AK93" s="69" t="str">
        <f t="shared" si="50"/>
        <v/>
      </c>
      <c r="AL93" s="70" t="str">
        <f t="shared" si="50"/>
        <v/>
      </c>
      <c r="AM93" s="69" t="str">
        <f t="shared" si="50"/>
        <v/>
      </c>
      <c r="AN93" s="69" t="str">
        <f t="shared" si="50"/>
        <v/>
      </c>
      <c r="AO93" s="69" t="str">
        <f t="shared" ref="AO93:BK93" si="51">IFERROR(AO92/AJ92-1,"")</f>
        <v/>
      </c>
      <c r="AP93" s="69" t="str">
        <f t="shared" si="51"/>
        <v/>
      </c>
      <c r="AQ93" s="70" t="str">
        <f t="shared" si="51"/>
        <v/>
      </c>
      <c r="AR93" s="69">
        <f t="shared" si="51"/>
        <v>2.4689141370810663</v>
      </c>
      <c r="AS93" s="69">
        <f t="shared" si="51"/>
        <v>0.9674245728298394</v>
      </c>
      <c r="AT93" s="69">
        <f t="shared" si="51"/>
        <v>0.86972922970054967</v>
      </c>
      <c r="AU93" s="69">
        <f t="shared" si="51"/>
        <v>0.61144286979210061</v>
      </c>
      <c r="AV93" s="70">
        <f t="shared" si="51"/>
        <v>1.0549140197254347</v>
      </c>
      <c r="AW93" s="69">
        <f t="shared" si="51"/>
        <v>-0.88995361486459346</v>
      </c>
      <c r="AX93" s="69">
        <f t="shared" si="51"/>
        <v>0.15927274555149884</v>
      </c>
      <c r="AY93" s="69">
        <f t="shared" si="51"/>
        <v>0.16226934308807284</v>
      </c>
      <c r="AZ93" s="69">
        <f t="shared" si="51"/>
        <v>0.15460691887374134</v>
      </c>
      <c r="BA93" s="70">
        <f t="shared" si="51"/>
        <v>0.27501616795022343</v>
      </c>
      <c r="BB93" s="69" t="str">
        <f t="shared" si="51"/>
        <v/>
      </c>
      <c r="BC93" s="69" t="str">
        <f t="shared" si="51"/>
        <v/>
      </c>
      <c r="BD93" s="69" t="str">
        <f t="shared" si="51"/>
        <v/>
      </c>
      <c r="BE93" s="69" t="str">
        <f t="shared" si="51"/>
        <v/>
      </c>
      <c r="BF93" s="70">
        <f t="shared" si="51"/>
        <v>0.45862794463048639</v>
      </c>
      <c r="BG93" s="69" t="str">
        <f t="shared" si="51"/>
        <v/>
      </c>
      <c r="BH93" s="69" t="str">
        <f t="shared" si="51"/>
        <v/>
      </c>
      <c r="BI93" s="69" t="str">
        <f t="shared" si="51"/>
        <v/>
      </c>
      <c r="BJ93" s="69" t="str">
        <f t="shared" si="51"/>
        <v/>
      </c>
      <c r="BK93" s="70">
        <f t="shared" si="51"/>
        <v>0.1387397655401954</v>
      </c>
    </row>
    <row r="94" spans="1:63" s="71" customFormat="1" ht="12.75" customHeight="1" outlineLevel="1">
      <c r="A94" s="409"/>
      <c r="B94" s="68" t="s">
        <v>33</v>
      </c>
      <c r="C94" s="68"/>
      <c r="D94" s="69"/>
      <c r="E94" s="69"/>
      <c r="F94" s="69"/>
      <c r="G94" s="69"/>
      <c r="H94" s="72"/>
      <c r="I94" s="69" t="str">
        <f>IFERROR(I92/G92-1,"")</f>
        <v/>
      </c>
      <c r="J94" s="69" t="str">
        <f>IFERROR(J92/I92-1,"")</f>
        <v/>
      </c>
      <c r="K94" s="69" t="str">
        <f>IFERROR(K92/J92-1,"")</f>
        <v/>
      </c>
      <c r="L94" s="69" t="str">
        <f>IFERROR(L92/K92-1,"")</f>
        <v/>
      </c>
      <c r="M94" s="72"/>
      <c r="N94" s="69" t="str">
        <f>IFERROR(N92/L92-1,"")</f>
        <v/>
      </c>
      <c r="O94" s="69" t="str">
        <f>IFERROR(O92/N92-1,"")</f>
        <v/>
      </c>
      <c r="P94" s="69" t="str">
        <f>IFERROR(P92/O92-1,"")</f>
        <v/>
      </c>
      <c r="Q94" s="69" t="str">
        <f>IFERROR(Q92/P92-1,"")</f>
        <v/>
      </c>
      <c r="R94" s="72"/>
      <c r="S94" s="69" t="str">
        <f>IFERROR(S92/Q92-1,"")</f>
        <v/>
      </c>
      <c r="T94" s="69" t="str">
        <f>IFERROR(T92/S92-1,"")</f>
        <v/>
      </c>
      <c r="U94" s="69" t="str">
        <f>IFERROR(U92/T92-1,"")</f>
        <v/>
      </c>
      <c r="V94" s="69" t="str">
        <f>IFERROR(V92/U92-1,"")</f>
        <v/>
      </c>
      <c r="W94" s="72"/>
      <c r="X94" s="69" t="str">
        <f>IFERROR(X92/V92-1,"")</f>
        <v/>
      </c>
      <c r="Y94" s="69" t="str">
        <f>IFERROR(Y92/X92-1,"")</f>
        <v/>
      </c>
      <c r="Z94" s="69" t="str">
        <f>IFERROR(Z92/Y92-1,"")</f>
        <v/>
      </c>
      <c r="AA94" s="69" t="str">
        <f>IFERROR(AA92/Z92-1,"")</f>
        <v/>
      </c>
      <c r="AB94" s="72"/>
      <c r="AC94" s="69" t="str">
        <f>IFERROR(AC92/AA92-1,"")</f>
        <v/>
      </c>
      <c r="AD94" s="69" t="str">
        <f>IFERROR(AD92/AC92-1,"")</f>
        <v/>
      </c>
      <c r="AE94" s="69" t="str">
        <f>IFERROR(AE92/AD92-1,"")</f>
        <v/>
      </c>
      <c r="AF94" s="69" t="str">
        <f>IFERROR(AF92/AE92-1,"")</f>
        <v/>
      </c>
      <c r="AG94" s="72"/>
      <c r="AH94" s="69" t="str">
        <f>IFERROR(AH92/AF92-1,"")</f>
        <v/>
      </c>
      <c r="AI94" s="69" t="str">
        <f>IFERROR(AI92/AH92-1,"")</f>
        <v/>
      </c>
      <c r="AJ94" s="69" t="str">
        <f>IFERROR(AJ92/AI92-1,"")</f>
        <v/>
      </c>
      <c r="AK94" s="69" t="str">
        <f>IFERROR(AK92/AJ92-1,"")</f>
        <v/>
      </c>
      <c r="AL94" s="72"/>
      <c r="AM94" s="69" t="str">
        <f>IFERROR(AM92/AK92-1,"")</f>
        <v/>
      </c>
      <c r="AN94" s="69">
        <f>IFERROR(AN92/AM92-1,"")</f>
        <v>1.0837430552484868</v>
      </c>
      <c r="AO94" s="69">
        <f>IFERROR(AO92/AN92-1,"")</f>
        <v>0.12264275184333839</v>
      </c>
      <c r="AP94" s="69">
        <f>IFERROR(AP92/AO92-1,"")</f>
        <v>0.23845892566867843</v>
      </c>
      <c r="AQ94" s="72"/>
      <c r="AR94" s="69">
        <f>IFERROR(AR92/AP92-1,"")</f>
        <v>0.19736401138828219</v>
      </c>
      <c r="AS94" s="69">
        <f>IFERROR(AS92/AR92-1,"")</f>
        <v>0.18181284642837303</v>
      </c>
      <c r="AT94" s="69">
        <f>IFERROR(AT92/AS92-1,"")</f>
        <v>6.6896284930407779E-2</v>
      </c>
      <c r="AU94" s="69">
        <f>IFERROR(AU92/AT92-1,"")</f>
        <v>6.7376908697524662E-2</v>
      </c>
      <c r="AV94" s="72"/>
      <c r="AW94" s="69">
        <f>IFERROR(AW92/AU92-1,"")</f>
        <v>-0.91823130461863045</v>
      </c>
      <c r="AX94" s="69">
        <f>IFERROR(AX92/AW92-1,"")</f>
        <v>11.449690387569587</v>
      </c>
      <c r="AY94" s="69">
        <f>IFERROR(AY92/AX92-1,"")</f>
        <v>6.9654099078519938E-2</v>
      </c>
      <c r="AZ94" s="69">
        <f>IFERROR(AZ92/AY92-1,"")</f>
        <v>6.0340076211440108E-2</v>
      </c>
      <c r="BA94" s="72"/>
      <c r="BB94" s="69" t="str">
        <f>IFERROR(BB92/AZ92-1,"")</f>
        <v/>
      </c>
      <c r="BC94" s="69" t="str">
        <f>IFERROR(BC92/BB92-1,"")</f>
        <v/>
      </c>
      <c r="BD94" s="69" t="str">
        <f>IFERROR(BD92/BC92-1,"")</f>
        <v/>
      </c>
      <c r="BE94" s="69" t="str">
        <f>IFERROR(BE92/BD92-1,"")</f>
        <v/>
      </c>
      <c r="BF94" s="72"/>
      <c r="BG94" s="69" t="str">
        <f>IFERROR(BG92/BE92-1,"")</f>
        <v/>
      </c>
      <c r="BH94" s="69" t="str">
        <f>IFERROR(BH92/BG92-1,"")</f>
        <v/>
      </c>
      <c r="BI94" s="69" t="str">
        <f>IFERROR(BI92/BH92-1,"")</f>
        <v/>
      </c>
      <c r="BJ94" s="69" t="str">
        <f>IFERROR(BJ92/BI92-1,"")</f>
        <v/>
      </c>
      <c r="BK94" s="72"/>
    </row>
    <row r="95" spans="1:63" s="71" customFormat="1" ht="12.75" customHeight="1" outlineLevel="1">
      <c r="A95" s="53"/>
      <c r="B95" s="68"/>
      <c r="C95" s="68"/>
      <c r="D95" s="82"/>
      <c r="E95" s="69"/>
      <c r="F95" s="69"/>
      <c r="G95" s="69"/>
      <c r="H95" s="70"/>
      <c r="I95" s="69"/>
      <c r="J95" s="69"/>
      <c r="K95" s="69"/>
      <c r="L95" s="69"/>
      <c r="M95" s="72"/>
      <c r="N95" s="69"/>
      <c r="O95" s="69"/>
      <c r="P95" s="69"/>
      <c r="Q95" s="69"/>
      <c r="R95" s="72"/>
      <c r="S95" s="69"/>
      <c r="T95" s="69"/>
      <c r="U95" s="69"/>
      <c r="V95" s="69"/>
      <c r="W95" s="72"/>
      <c r="X95" s="69"/>
      <c r="Y95" s="69"/>
      <c r="Z95" s="69"/>
      <c r="AA95" s="69"/>
      <c r="AB95" s="72"/>
      <c r="AC95" s="69"/>
      <c r="AD95" s="69"/>
      <c r="AE95" s="69"/>
      <c r="AF95" s="69"/>
      <c r="AG95" s="72"/>
      <c r="AH95" s="69"/>
      <c r="AI95" s="69"/>
      <c r="AJ95" s="69"/>
      <c r="AK95" s="69"/>
      <c r="AL95" s="72"/>
      <c r="AM95" s="69"/>
      <c r="AN95" s="69"/>
      <c r="AO95" s="69"/>
      <c r="AP95" s="69"/>
      <c r="AQ95" s="72"/>
      <c r="AR95" s="69"/>
      <c r="AS95" s="69"/>
      <c r="AT95" s="69"/>
      <c r="AU95" s="69"/>
      <c r="AV95" s="72"/>
      <c r="AW95" s="69"/>
      <c r="AX95" s="69"/>
      <c r="AY95" s="69"/>
      <c r="AZ95" s="69"/>
      <c r="BA95" s="72"/>
      <c r="BB95" s="69"/>
      <c r="BC95" s="69"/>
      <c r="BD95" s="69"/>
      <c r="BE95" s="69"/>
      <c r="BF95" s="72"/>
      <c r="BG95" s="69"/>
      <c r="BH95" s="69"/>
      <c r="BI95" s="69"/>
      <c r="BJ95" s="69"/>
      <c r="BK95" s="72"/>
    </row>
    <row r="96" spans="1:63" s="641" customFormat="1" ht="12.75" customHeight="1" outlineLevel="1">
      <c r="A96" s="636"/>
      <c r="B96" s="637" t="s">
        <v>58</v>
      </c>
      <c r="C96" s="638"/>
      <c r="D96" s="639"/>
      <c r="E96" s="639"/>
      <c r="F96" s="639"/>
      <c r="G96" s="639"/>
      <c r="H96" s="640"/>
      <c r="I96" s="639" t="str">
        <f t="shared" ref="I96:AN96" si="52">IFERROR(I12+I76,"--")</f>
        <v>--</v>
      </c>
      <c r="J96" s="639" t="str">
        <f t="shared" si="52"/>
        <v>--</v>
      </c>
      <c r="K96" s="639" t="str">
        <f t="shared" si="52"/>
        <v>--</v>
      </c>
      <c r="L96" s="639" t="str">
        <f t="shared" si="52"/>
        <v>--</v>
      </c>
      <c r="M96" s="640" t="str">
        <f t="shared" si="52"/>
        <v>--</v>
      </c>
      <c r="N96" s="639" t="str">
        <f t="shared" si="52"/>
        <v>--</v>
      </c>
      <c r="O96" s="639" t="str">
        <f t="shared" si="52"/>
        <v>--</v>
      </c>
      <c r="P96" s="639" t="str">
        <f t="shared" si="52"/>
        <v>--</v>
      </c>
      <c r="Q96" s="639" t="str">
        <f t="shared" si="52"/>
        <v>--</v>
      </c>
      <c r="R96" s="640" t="str">
        <f t="shared" si="52"/>
        <v>--</v>
      </c>
      <c r="S96" s="639" t="str">
        <f t="shared" si="52"/>
        <v>--</v>
      </c>
      <c r="T96" s="639" t="str">
        <f t="shared" si="52"/>
        <v>--</v>
      </c>
      <c r="U96" s="639" t="str">
        <f t="shared" si="52"/>
        <v>--</v>
      </c>
      <c r="V96" s="639" t="str">
        <f t="shared" si="52"/>
        <v>--</v>
      </c>
      <c r="W96" s="640" t="str">
        <f t="shared" si="52"/>
        <v>--</v>
      </c>
      <c r="X96" s="639" t="str">
        <f t="shared" si="52"/>
        <v>--</v>
      </c>
      <c r="Y96" s="639" t="str">
        <f t="shared" si="52"/>
        <v>--</v>
      </c>
      <c r="Z96" s="639" t="str">
        <f t="shared" si="52"/>
        <v>--</v>
      </c>
      <c r="AA96" s="639" t="str">
        <f t="shared" si="52"/>
        <v>--</v>
      </c>
      <c r="AB96" s="640" t="str">
        <f t="shared" si="52"/>
        <v>--</v>
      </c>
      <c r="AC96" s="639" t="str">
        <f t="shared" si="52"/>
        <v>--</v>
      </c>
      <c r="AD96" s="639" t="str">
        <f t="shared" si="52"/>
        <v>--</v>
      </c>
      <c r="AE96" s="639" t="str">
        <f t="shared" si="52"/>
        <v>--</v>
      </c>
      <c r="AF96" s="639" t="str">
        <f t="shared" si="52"/>
        <v>--</v>
      </c>
      <c r="AG96" s="640" t="str">
        <f t="shared" si="52"/>
        <v>--</v>
      </c>
      <c r="AH96" s="639" t="str">
        <f t="shared" si="52"/>
        <v>--</v>
      </c>
      <c r="AI96" s="639" t="str">
        <f t="shared" si="52"/>
        <v>--</v>
      </c>
      <c r="AJ96" s="639" t="str">
        <f t="shared" si="52"/>
        <v>--</v>
      </c>
      <c r="AK96" s="639" t="str">
        <f t="shared" si="52"/>
        <v>--</v>
      </c>
      <c r="AL96" s="640" t="str">
        <f t="shared" si="52"/>
        <v>--</v>
      </c>
      <c r="AM96" s="639">
        <f t="shared" si="52"/>
        <v>649.45269999999994</v>
      </c>
      <c r="AN96" s="639">
        <f t="shared" si="52"/>
        <v>1727.2121999999999</v>
      </c>
      <c r="AO96" s="639">
        <f t="shared" ref="AO96:BK96" si="53">IFERROR(AO12+AO76,"--")</f>
        <v>1261.0797</v>
      </c>
      <c r="AP96" s="639">
        <f t="shared" si="53"/>
        <v>1979.6902</v>
      </c>
      <c r="AQ96" s="640">
        <f t="shared" si="53"/>
        <v>5628.3042000000005</v>
      </c>
      <c r="AR96" s="639">
        <f t="shared" si="53"/>
        <v>2927.3189000000002</v>
      </c>
      <c r="AS96" s="639">
        <f t="shared" si="53"/>
        <v>3148.3996999999999</v>
      </c>
      <c r="AT96" s="639">
        <f t="shared" si="53"/>
        <v>3366.7363000000005</v>
      </c>
      <c r="AU96" s="639">
        <f t="shared" si="53"/>
        <v>3726.0481999999997</v>
      </c>
      <c r="AV96" s="640">
        <f t="shared" si="53"/>
        <v>13405.0784</v>
      </c>
      <c r="AW96" s="639">
        <f t="shared" si="53"/>
        <v>3134.5578999999998</v>
      </c>
      <c r="AX96" s="639">
        <f t="shared" si="53"/>
        <v>4208.7326999999996</v>
      </c>
      <c r="AY96" s="639">
        <f t="shared" si="53"/>
        <v>4528.3054999999995</v>
      </c>
      <c r="AZ96" s="639">
        <f t="shared" si="53"/>
        <v>4824.5212999999994</v>
      </c>
      <c r="BA96" s="640">
        <f t="shared" si="53"/>
        <v>18678.157599999999</v>
      </c>
      <c r="BB96" s="639" t="str">
        <f t="shared" si="53"/>
        <v>--</v>
      </c>
      <c r="BC96" s="639" t="str">
        <f t="shared" si="53"/>
        <v>--</v>
      </c>
      <c r="BD96" s="639" t="str">
        <f t="shared" si="53"/>
        <v>--</v>
      </c>
      <c r="BE96" s="639" t="str">
        <f t="shared" si="53"/>
        <v>--</v>
      </c>
      <c r="BF96" s="640" t="str">
        <f t="shared" si="53"/>
        <v>--</v>
      </c>
      <c r="BG96" s="639" t="str">
        <f t="shared" si="53"/>
        <v>--</v>
      </c>
      <c r="BH96" s="639" t="str">
        <f t="shared" si="53"/>
        <v>--</v>
      </c>
      <c r="BI96" s="639" t="str">
        <f t="shared" si="53"/>
        <v>--</v>
      </c>
      <c r="BJ96" s="639" t="str">
        <f t="shared" si="53"/>
        <v>--</v>
      </c>
      <c r="BK96" s="640" t="str">
        <f t="shared" si="53"/>
        <v>--</v>
      </c>
    </row>
    <row r="97" spans="1:63" s="71" customFormat="1" ht="12.75" customHeight="1" outlineLevel="1">
      <c r="A97" s="53"/>
      <c r="B97" s="68" t="s">
        <v>31</v>
      </c>
      <c r="C97" s="68"/>
      <c r="D97" s="69"/>
      <c r="E97" s="69"/>
      <c r="F97" s="69"/>
      <c r="G97" s="69"/>
      <c r="H97" s="70"/>
      <c r="I97" s="69" t="str">
        <f t="shared" ref="I97:AN97" si="54">IFERROR(I96/D96-1,"")</f>
        <v/>
      </c>
      <c r="J97" s="69" t="str">
        <f t="shared" si="54"/>
        <v/>
      </c>
      <c r="K97" s="69" t="str">
        <f t="shared" si="54"/>
        <v/>
      </c>
      <c r="L97" s="69" t="str">
        <f t="shared" si="54"/>
        <v/>
      </c>
      <c r="M97" s="70" t="str">
        <f t="shared" si="54"/>
        <v/>
      </c>
      <c r="N97" s="69" t="str">
        <f t="shared" si="54"/>
        <v/>
      </c>
      <c r="O97" s="69" t="str">
        <f t="shared" si="54"/>
        <v/>
      </c>
      <c r="P97" s="69" t="str">
        <f t="shared" si="54"/>
        <v/>
      </c>
      <c r="Q97" s="69" t="str">
        <f t="shared" si="54"/>
        <v/>
      </c>
      <c r="R97" s="70" t="str">
        <f t="shared" si="54"/>
        <v/>
      </c>
      <c r="S97" s="69" t="str">
        <f t="shared" si="54"/>
        <v/>
      </c>
      <c r="T97" s="69" t="str">
        <f t="shared" si="54"/>
        <v/>
      </c>
      <c r="U97" s="69" t="str">
        <f t="shared" si="54"/>
        <v/>
      </c>
      <c r="V97" s="69" t="str">
        <f t="shared" si="54"/>
        <v/>
      </c>
      <c r="W97" s="70" t="str">
        <f t="shared" si="54"/>
        <v/>
      </c>
      <c r="X97" s="69" t="str">
        <f t="shared" si="54"/>
        <v/>
      </c>
      <c r="Y97" s="69" t="str">
        <f t="shared" si="54"/>
        <v/>
      </c>
      <c r="Z97" s="69" t="str">
        <f t="shared" si="54"/>
        <v/>
      </c>
      <c r="AA97" s="69" t="str">
        <f t="shared" si="54"/>
        <v/>
      </c>
      <c r="AB97" s="70" t="str">
        <f t="shared" si="54"/>
        <v/>
      </c>
      <c r="AC97" s="69" t="str">
        <f t="shared" si="54"/>
        <v/>
      </c>
      <c r="AD97" s="69" t="str">
        <f t="shared" si="54"/>
        <v/>
      </c>
      <c r="AE97" s="69" t="str">
        <f t="shared" si="54"/>
        <v/>
      </c>
      <c r="AF97" s="69" t="str">
        <f t="shared" si="54"/>
        <v/>
      </c>
      <c r="AG97" s="70" t="str">
        <f t="shared" si="54"/>
        <v/>
      </c>
      <c r="AH97" s="69" t="str">
        <f t="shared" si="54"/>
        <v/>
      </c>
      <c r="AI97" s="69" t="str">
        <f t="shared" si="54"/>
        <v/>
      </c>
      <c r="AJ97" s="69" t="str">
        <f t="shared" si="54"/>
        <v/>
      </c>
      <c r="AK97" s="69" t="str">
        <f t="shared" si="54"/>
        <v/>
      </c>
      <c r="AL97" s="70" t="str">
        <f t="shared" si="54"/>
        <v/>
      </c>
      <c r="AM97" s="69" t="str">
        <f t="shared" si="54"/>
        <v/>
      </c>
      <c r="AN97" s="69" t="str">
        <f t="shared" si="54"/>
        <v/>
      </c>
      <c r="AO97" s="69" t="str">
        <f t="shared" ref="AO97:BK97" si="55">IFERROR(AO96/AJ96-1,"")</f>
        <v/>
      </c>
      <c r="AP97" s="69" t="str">
        <f t="shared" si="55"/>
        <v/>
      </c>
      <c r="AQ97" s="70" t="str">
        <f t="shared" si="55"/>
        <v/>
      </c>
      <c r="AR97" s="69">
        <f t="shared" si="55"/>
        <v>3.5073627378868402</v>
      </c>
      <c r="AS97" s="69">
        <f t="shared" si="55"/>
        <v>0.82282159655889409</v>
      </c>
      <c r="AT97" s="69">
        <f t="shared" si="55"/>
        <v>1.6697252362400254</v>
      </c>
      <c r="AU97" s="69">
        <f t="shared" si="55"/>
        <v>0.88213701315488646</v>
      </c>
      <c r="AV97" s="70">
        <f t="shared" si="55"/>
        <v>1.3817259912852613</v>
      </c>
      <c r="AW97" s="69">
        <f t="shared" si="55"/>
        <v>7.0794815009734613E-2</v>
      </c>
      <c r="AX97" s="69">
        <f t="shared" si="55"/>
        <v>0.33678474813728365</v>
      </c>
      <c r="AY97" s="69">
        <f t="shared" si="55"/>
        <v>0.34501341848483902</v>
      </c>
      <c r="AZ97" s="69">
        <f t="shared" si="55"/>
        <v>0.29480914927509527</v>
      </c>
      <c r="BA97" s="70">
        <f t="shared" si="55"/>
        <v>0.39336429393803463</v>
      </c>
      <c r="BB97" s="69" t="str">
        <f t="shared" si="55"/>
        <v/>
      </c>
      <c r="BC97" s="69" t="str">
        <f t="shared" si="55"/>
        <v/>
      </c>
      <c r="BD97" s="69" t="str">
        <f t="shared" si="55"/>
        <v/>
      </c>
      <c r="BE97" s="69" t="str">
        <f t="shared" si="55"/>
        <v/>
      </c>
      <c r="BF97" s="70" t="str">
        <f t="shared" si="55"/>
        <v/>
      </c>
      <c r="BG97" s="69" t="str">
        <f t="shared" si="55"/>
        <v/>
      </c>
      <c r="BH97" s="69" t="str">
        <f t="shared" si="55"/>
        <v/>
      </c>
      <c r="BI97" s="69" t="str">
        <f t="shared" si="55"/>
        <v/>
      </c>
      <c r="BJ97" s="69" t="str">
        <f t="shared" si="55"/>
        <v/>
      </c>
      <c r="BK97" s="70" t="str">
        <f t="shared" si="55"/>
        <v/>
      </c>
    </row>
    <row r="98" spans="1:63" s="71" customFormat="1" ht="12.75" customHeight="1" outlineLevel="1">
      <c r="A98" s="53"/>
      <c r="B98" s="68" t="s">
        <v>33</v>
      </c>
      <c r="C98" s="68"/>
      <c r="D98" s="69"/>
      <c r="E98" s="69"/>
      <c r="F98" s="69"/>
      <c r="G98" s="69"/>
      <c r="H98" s="72"/>
      <c r="I98" s="69" t="str">
        <f>IFERROR(I96/G96-1,"")</f>
        <v/>
      </c>
      <c r="J98" s="69" t="str">
        <f>IFERROR(J96/I96-1,"")</f>
        <v/>
      </c>
      <c r="K98" s="69" t="str">
        <f>IFERROR(K96/J96-1,"")</f>
        <v/>
      </c>
      <c r="L98" s="69" t="str">
        <f>IFERROR(L96/K96-1,"")</f>
        <v/>
      </c>
      <c r="M98" s="72"/>
      <c r="N98" s="69" t="str">
        <f>IFERROR(N96/L96-1,"")</f>
        <v/>
      </c>
      <c r="O98" s="69" t="str">
        <f>IFERROR(O96/N96-1,"")</f>
        <v/>
      </c>
      <c r="P98" s="69" t="str">
        <f>IFERROR(P96/O96-1,"")</f>
        <v/>
      </c>
      <c r="Q98" s="69" t="str">
        <f>IFERROR(Q96/P96-1,"")</f>
        <v/>
      </c>
      <c r="R98" s="72"/>
      <c r="S98" s="69" t="str">
        <f>IFERROR(S96/Q96-1,"")</f>
        <v/>
      </c>
      <c r="T98" s="69" t="str">
        <f>IFERROR(T96/S96-1,"")</f>
        <v/>
      </c>
      <c r="U98" s="69" t="str">
        <f>IFERROR(U96/T96-1,"")</f>
        <v/>
      </c>
      <c r="V98" s="69" t="str">
        <f>IFERROR(V96/U96-1,"")</f>
        <v/>
      </c>
      <c r="W98" s="72"/>
      <c r="X98" s="69" t="str">
        <f>IFERROR(X96/V96-1,"")</f>
        <v/>
      </c>
      <c r="Y98" s="69" t="str">
        <f>IFERROR(Y96/X96-1,"")</f>
        <v/>
      </c>
      <c r="Z98" s="69" t="str">
        <f>IFERROR(Z96/Y96-1,"")</f>
        <v/>
      </c>
      <c r="AA98" s="69" t="str">
        <f>IFERROR(AA96/Z96-1,"")</f>
        <v/>
      </c>
      <c r="AB98" s="72"/>
      <c r="AC98" s="69" t="str">
        <f>IFERROR(AC96/AA96-1,"")</f>
        <v/>
      </c>
      <c r="AD98" s="69" t="str">
        <f>IFERROR(AD96/AC96-1,"")</f>
        <v/>
      </c>
      <c r="AE98" s="69" t="str">
        <f>IFERROR(AE96/AD96-1,"")</f>
        <v/>
      </c>
      <c r="AF98" s="69" t="str">
        <f>IFERROR(AF96/AE96-1,"")</f>
        <v/>
      </c>
      <c r="AG98" s="72"/>
      <c r="AH98" s="69" t="str">
        <f>IFERROR(AH96/AF96-1,"")</f>
        <v/>
      </c>
      <c r="AI98" s="69" t="str">
        <f>IFERROR(AI96/AH96-1,"")</f>
        <v/>
      </c>
      <c r="AJ98" s="69" t="str">
        <f>IFERROR(AJ96/AI96-1,"")</f>
        <v/>
      </c>
      <c r="AK98" s="69" t="str">
        <f>IFERROR(AK96/AJ96-1,"")</f>
        <v/>
      </c>
      <c r="AL98" s="72"/>
      <c r="AM98" s="69" t="str">
        <f>IFERROR(AM96/AK96-1,"")</f>
        <v/>
      </c>
      <c r="AN98" s="69">
        <f>IFERROR(AN96/AM96-1,"")</f>
        <v>1.6594888280547608</v>
      </c>
      <c r="AO98" s="69">
        <f>IFERROR(AO96/AN96-1,"")</f>
        <v>-0.26987564122115393</v>
      </c>
      <c r="AP98" s="69">
        <f>IFERROR(AP96/AO96-1,"")</f>
        <v>0.56983749718594323</v>
      </c>
      <c r="AQ98" s="72"/>
      <c r="AR98" s="69">
        <f>IFERROR(AR96/AP96-1,"")</f>
        <v>0.47867524928900496</v>
      </c>
      <c r="AS98" s="69">
        <f>IFERROR(AS96/AR96-1,"")</f>
        <v>7.5523305643262706E-2</v>
      </c>
      <c r="AT98" s="69">
        <f>IFERROR(AT96/AS96-1,"")</f>
        <v>6.9348437557023246E-2</v>
      </c>
      <c r="AU98" s="69">
        <f>IFERROR(AU96/AT96-1,"")</f>
        <v>0.10672409953817863</v>
      </c>
      <c r="AV98" s="72"/>
      <c r="AW98" s="69">
        <f>IFERROR(AW96/AU96-1,"")</f>
        <v>-0.15874467217037069</v>
      </c>
      <c r="AX98" s="69">
        <f>IFERROR(AX96/AW96-1,"")</f>
        <v>0.34268781572036033</v>
      </c>
      <c r="AY98" s="69">
        <f>IFERROR(AY96/AX96-1,"")</f>
        <v>7.5930885323270747E-2</v>
      </c>
      <c r="AZ98" s="69">
        <f>IFERROR(AZ96/AY96-1,"")</f>
        <v>6.5414270304863464E-2</v>
      </c>
      <c r="BA98" s="72"/>
      <c r="BB98" s="69" t="str">
        <f>IFERROR(BB96/AZ96-1,"")</f>
        <v/>
      </c>
      <c r="BC98" s="69" t="str">
        <f>IFERROR(BC96/BB96-1,"")</f>
        <v/>
      </c>
      <c r="BD98" s="69" t="str">
        <f>IFERROR(BD96/BC96-1,"")</f>
        <v/>
      </c>
      <c r="BE98" s="69" t="str">
        <f>IFERROR(BE96/BD96-1,"")</f>
        <v/>
      </c>
      <c r="BF98" s="72"/>
      <c r="BG98" s="69" t="str">
        <f>IFERROR(BG96/BE96-1,"")</f>
        <v/>
      </c>
      <c r="BH98" s="69" t="str">
        <f>IFERROR(BH96/BG96-1,"")</f>
        <v/>
      </c>
      <c r="BI98" s="69" t="str">
        <f>IFERROR(BI96/BH96-1,"")</f>
        <v/>
      </c>
      <c r="BJ98" s="69" t="str">
        <f>IFERROR(BJ96/BI96-1,"")</f>
        <v/>
      </c>
      <c r="BK98" s="72"/>
    </row>
    <row r="99" spans="1:63" s="71" customFormat="1" ht="12.75" customHeight="1" outlineLevel="1">
      <c r="A99" s="53"/>
      <c r="B99" s="68"/>
      <c r="C99" s="68"/>
      <c r="D99" s="82"/>
      <c r="E99" s="69"/>
      <c r="F99" s="69"/>
      <c r="G99" s="69"/>
      <c r="H99" s="70"/>
      <c r="I99" s="69"/>
      <c r="J99" s="69"/>
      <c r="K99" s="69"/>
      <c r="L99" s="69"/>
      <c r="M99" s="72"/>
      <c r="N99" s="69"/>
      <c r="O99" s="69"/>
      <c r="P99" s="69"/>
      <c r="Q99" s="69"/>
      <c r="R99" s="72"/>
      <c r="S99" s="69"/>
      <c r="T99" s="69"/>
      <c r="U99" s="69"/>
      <c r="V99" s="69"/>
      <c r="W99" s="72"/>
      <c r="X99" s="69"/>
      <c r="Y99" s="69"/>
      <c r="Z99" s="69"/>
      <c r="AA99" s="69"/>
      <c r="AB99" s="72"/>
      <c r="AC99" s="69"/>
      <c r="AD99" s="69"/>
      <c r="AE99" s="69"/>
      <c r="AF99" s="69"/>
      <c r="AG99" s="72"/>
      <c r="AH99" s="69"/>
      <c r="AI99" s="69"/>
      <c r="AJ99" s="69"/>
      <c r="AK99" s="69"/>
      <c r="AL99" s="72"/>
      <c r="AM99" s="69"/>
      <c r="AN99" s="69"/>
      <c r="AO99" s="69"/>
      <c r="AP99" s="69"/>
      <c r="AQ99" s="72"/>
      <c r="AR99" s="69"/>
      <c r="AS99" s="69"/>
      <c r="AT99" s="69"/>
      <c r="AU99" s="69"/>
      <c r="AV99" s="72"/>
      <c r="AW99" s="69"/>
      <c r="AX99" s="69"/>
      <c r="AY99" s="69"/>
      <c r="AZ99" s="69"/>
      <c r="BA99" s="72"/>
      <c r="BB99" s="69"/>
      <c r="BC99" s="69"/>
      <c r="BD99" s="69"/>
      <c r="BE99" s="69"/>
      <c r="BF99" s="72"/>
      <c r="BG99" s="69"/>
      <c r="BH99" s="69"/>
      <c r="BI99" s="69"/>
      <c r="BJ99" s="69"/>
      <c r="BK99" s="72"/>
    </row>
    <row r="100" spans="1:63" s="641" customFormat="1" ht="12.75" customHeight="1" outlineLevel="1">
      <c r="A100" s="642" t="s">
        <v>207</v>
      </c>
      <c r="B100" s="637" t="s">
        <v>207</v>
      </c>
      <c r="C100" s="638"/>
      <c r="D100" s="639"/>
      <c r="E100" s="639"/>
      <c r="F100" s="639"/>
      <c r="G100" s="639"/>
      <c r="H100" s="640"/>
      <c r="I100" s="639" t="str" cm="1">
        <f t="array" ref="I100">_xlfn.SINGLE(IF(ISERROR(_xll.FDSB($C$2,"FE_ESTIMATE(ARR,MEAN,QUARTERLY_ROLL,"&amp;I$9&amp;","&amp;$C$5&amp;",,,'')")), "--", _xll.FDSB($C$2,"FE_ESTIMATE(ARR,MEAN,QUARTERLY_ROLL,"&amp;I$9&amp;","&amp;$C$5&amp;",,,'')")))</f>
        <v>--</v>
      </c>
      <c r="J100" s="639" t="str" cm="1">
        <f t="array" ref="J100">_xlfn.SINGLE(IF(ISERROR(_xll.FDSB($C$2,"FE_ESTIMATE(ARR,MEAN,QUARTERLY_ROLL,"&amp;J$9&amp;","&amp;$C$5&amp;",,,'')")), "--", _xll.FDSB($C$2,"FE_ESTIMATE(ARR,MEAN,QUARTERLY_ROLL,"&amp;J$9&amp;","&amp;$C$5&amp;",,,'')")))</f>
        <v>--</v>
      </c>
      <c r="K100" s="639" t="str" cm="1">
        <f t="array" ref="K100">_xlfn.SINGLE(IF(ISERROR(_xll.FDSB($C$2,"FE_ESTIMATE(ARR,MEAN,QUARTERLY_ROLL,"&amp;K$9&amp;","&amp;$C$5&amp;",,,'')")), "--", _xll.FDSB($C$2,"FE_ESTIMATE(ARR,MEAN,QUARTERLY_ROLL,"&amp;K$9&amp;","&amp;$C$5&amp;",,,'')")))</f>
        <v>--</v>
      </c>
      <c r="L100" s="639" t="str" cm="1">
        <f t="array" ref="L100">_xlfn.SINGLE(IF(ISERROR(_xll.FDSB($C$2,"FE_ESTIMATE(ARR,MEAN,QUARTERLY_ROLL,"&amp;L$9&amp;","&amp;$C$5&amp;",,,'')")), "--", _xll.FDSB($C$2,"FE_ESTIMATE(ARR,MEAN,QUARTERLY_ROLL,"&amp;L$9&amp;","&amp;$C$5&amp;",,,'')")))</f>
        <v>--</v>
      </c>
      <c r="M100" s="640" t="str" cm="1">
        <f t="array" ref="M100">_xlfn.SINGLE(IF(ISERROR(_xll.FDSB($C$2,"FE_ESTIMATE(ARR,MEAN,ANNUAL_ROLL,"&amp;M$9&amp;","&amp;$C$5&amp;",,,'')")), "--", _xll.FDSB($C$2,"FE_ESTIMATE(ARR,MEAN,ANNUAL_ROLL,"&amp;M$9&amp;","&amp;$C$5&amp;",,,'')")))</f>
        <v>--</v>
      </c>
      <c r="N100" s="639" t="str" cm="1">
        <f t="array" ref="N100">_xlfn.SINGLE(IF(ISERROR(_xll.FDSB($C$2,"FE_ESTIMATE(ARR,MEAN,QUARTERLY_ROLL,"&amp;N$9&amp;","&amp;$C$5&amp;",,,'')")), "--", _xll.FDSB($C$2,"FE_ESTIMATE(ARR,MEAN,QUARTERLY_ROLL,"&amp;N$9&amp;","&amp;$C$5&amp;",,,'')")))</f>
        <v>--</v>
      </c>
      <c r="O100" s="639" t="str" cm="1">
        <f t="array" ref="O100">_xlfn.SINGLE(IF(ISERROR(_xll.FDSB($C$2,"FE_ESTIMATE(ARR,MEAN,QUARTERLY_ROLL,"&amp;O$9&amp;","&amp;$C$5&amp;",,,'')")), "--", _xll.FDSB($C$2,"FE_ESTIMATE(ARR,MEAN,QUARTERLY_ROLL,"&amp;O$9&amp;","&amp;$C$5&amp;",,,'')")))</f>
        <v>--</v>
      </c>
      <c r="P100" s="639" t="str" cm="1">
        <f t="array" ref="P100">_xlfn.SINGLE(IF(ISERROR(_xll.FDSB($C$2,"FE_ESTIMATE(ARR,MEAN,QUARTERLY_ROLL,"&amp;P$9&amp;","&amp;$C$5&amp;",,,'')")), "--", _xll.FDSB($C$2,"FE_ESTIMATE(ARR,MEAN,QUARTERLY_ROLL,"&amp;P$9&amp;","&amp;$C$5&amp;",,,'')")))</f>
        <v>--</v>
      </c>
      <c r="Q100" s="639" t="str" cm="1">
        <f t="array" ref="Q100">_xlfn.SINGLE(IF(ISERROR(_xll.FDSB($C$2,"FE_ESTIMATE(ARR,MEAN,QUARTERLY_ROLL,"&amp;Q$9&amp;","&amp;$C$5&amp;",,,'')")), "--", _xll.FDSB($C$2,"FE_ESTIMATE(ARR,MEAN,QUARTERLY_ROLL,"&amp;Q$9&amp;","&amp;$C$5&amp;",,,'')")))</f>
        <v>--</v>
      </c>
      <c r="R100" s="640" t="str" cm="1">
        <f t="array" ref="R100">_xlfn.SINGLE(IF(ISERROR(_xll.FDSB($C$2,"FE_ESTIMATE(ARR,MEAN,ANNUAL_ROLL,"&amp;R$9&amp;","&amp;$C$5&amp;",,,'')")), "--", _xll.FDSB($C$2,"FE_ESTIMATE(ARR,MEAN,ANNUAL_ROLL,"&amp;R$9&amp;","&amp;$C$5&amp;",,,'')")))</f>
        <v>--</v>
      </c>
      <c r="S100" s="639" t="str" cm="1">
        <f t="array" ref="S100">_xlfn.SINGLE(IF(ISERROR(_xll.FDSB($C$2,"FE_ESTIMATE(ARR,MEAN,QUARTERLY_ROLL,"&amp;S$9&amp;","&amp;$C$5&amp;",,,'')")), "--", _xll.FDSB($C$2,"FE_ESTIMATE(ARR,MEAN,QUARTERLY_ROLL,"&amp;S$9&amp;","&amp;$C$5&amp;",,,'')")))</f>
        <v>--</v>
      </c>
      <c r="T100" s="639" t="str" cm="1">
        <f t="array" ref="T100">_xlfn.SINGLE(IF(ISERROR(_xll.FDSB($C$2,"FE_ESTIMATE(ARR,MEAN,QUARTERLY_ROLL,"&amp;T$9&amp;","&amp;$C$5&amp;",,,'')")), "--", _xll.FDSB($C$2,"FE_ESTIMATE(ARR,MEAN,QUARTERLY_ROLL,"&amp;T$9&amp;","&amp;$C$5&amp;",,,'')")))</f>
        <v>--</v>
      </c>
      <c r="U100" s="639" t="str" cm="1">
        <f t="array" ref="U100">_xlfn.SINGLE(IF(ISERROR(_xll.FDSB($C$2,"FE_ESTIMATE(ARR,MEAN,QUARTERLY_ROLL,"&amp;U$9&amp;","&amp;$C$5&amp;",,,'')")), "--", _xll.FDSB($C$2,"FE_ESTIMATE(ARR,MEAN,QUARTERLY_ROLL,"&amp;U$9&amp;","&amp;$C$5&amp;",,,'')")))</f>
        <v>--</v>
      </c>
      <c r="V100" s="639" t="str" cm="1">
        <f t="array" ref="V100">_xlfn.SINGLE(IF(ISERROR(_xll.FDSB($C$2,"FE_ESTIMATE(ARR,MEAN,QUARTERLY_ROLL,"&amp;V$9&amp;","&amp;$C$5&amp;",,,'')")), "--", _xll.FDSB($C$2,"FE_ESTIMATE(ARR,MEAN,QUARTERLY_ROLL,"&amp;V$9&amp;","&amp;$C$5&amp;",,,'')")))</f>
        <v>--</v>
      </c>
      <c r="W100" s="640" t="str" cm="1">
        <f t="array" ref="W100">_xlfn.SINGLE(IF(ISERROR(_xll.FDSB($C$2,"FE_ESTIMATE(ARR,MEAN,ANNUAL_ROLL,"&amp;W$9&amp;","&amp;$C$5&amp;",,,'')")), "--", _xll.FDSB($C$2,"FE_ESTIMATE(ARR,MEAN,ANNUAL_ROLL,"&amp;W$9&amp;","&amp;$C$5&amp;",,,'')")))</f>
        <v>--</v>
      </c>
      <c r="X100" s="639" t="str" cm="1">
        <f t="array" ref="X100">_xlfn.SINGLE(IF(ISERROR(_xll.FDSB($C$2,"FE_ESTIMATE(ARR,MEAN,QUARTERLY_ROLL,"&amp;X$9&amp;","&amp;$C$5&amp;",,,'')")), "--", _xll.FDSB($C$2,"FE_ESTIMATE(ARR,MEAN,QUARTERLY_ROLL,"&amp;X$9&amp;","&amp;$C$5&amp;",,,'')")))</f>
        <v/>
      </c>
      <c r="Y100" s="639" t="str" cm="1">
        <f t="array" ref="Y100">_xlfn.SINGLE(IF(ISERROR(_xll.FDSB($C$2,"FE_ESTIMATE(ARR,MEAN,QUARTERLY_ROLL,"&amp;Y$9&amp;","&amp;$C$5&amp;",,,'')")), "--", _xll.FDSB($C$2,"FE_ESTIMATE(ARR,MEAN,QUARTERLY_ROLL,"&amp;Y$9&amp;","&amp;$C$5&amp;",,,'')")))</f>
        <v/>
      </c>
      <c r="Z100" s="639" t="str" cm="1">
        <f t="array" ref="Z100">_xlfn.SINGLE(IF(ISERROR(_xll.FDSB($C$2,"FE_ESTIMATE(ARR,MEAN,QUARTERLY_ROLL,"&amp;Z$9&amp;","&amp;$C$5&amp;",,,'')")), "--", _xll.FDSB($C$2,"FE_ESTIMATE(ARR,MEAN,QUARTERLY_ROLL,"&amp;Z$9&amp;","&amp;$C$5&amp;",,,'')")))</f>
        <v/>
      </c>
      <c r="AA100" s="639" t="str" cm="1">
        <f t="array" ref="AA100">_xlfn.SINGLE(IF(ISERROR(_xll.FDSB($C$2,"FE_ESTIMATE(ARR,MEAN,QUARTERLY_ROLL,"&amp;AA$9&amp;","&amp;$C$5&amp;",,,'')")), "--", _xll.FDSB($C$2,"FE_ESTIMATE(ARR,MEAN,QUARTERLY_ROLL,"&amp;AA$9&amp;","&amp;$C$5&amp;",,,'')")))</f>
        <v/>
      </c>
      <c r="AB100" s="640" t="str" cm="1">
        <f t="array" ref="AB100">_xlfn.SINGLE(IF(ISERROR(_xll.FDSB($C$2,"FE_ESTIMATE(ARR,MEAN,ANNUAL_ROLL,"&amp;AB$9&amp;","&amp;$C$5&amp;",,,'')")), "--", _xll.FDSB($C$2,"FE_ESTIMATE(ARR,MEAN,ANNUAL_ROLL,"&amp;AB$9&amp;","&amp;$C$5&amp;",,,'')")))</f>
        <v/>
      </c>
      <c r="AC100" s="639" t="str" cm="1">
        <f t="array" ref="AC100">_xlfn.SINGLE(IF(ISERROR(_xll.FDSB($C$2,"FE_ESTIMATE(ARR,MEAN,QUARTERLY_ROLL,"&amp;AC$9&amp;","&amp;$C$5&amp;",,,'')")), "--", _xll.FDSB($C$2,"FE_ESTIMATE(ARR,MEAN,QUARTERLY_ROLL,"&amp;AC$9&amp;","&amp;$C$5&amp;",,,'')")))</f>
        <v/>
      </c>
      <c r="AD100" s="639" t="str" cm="1">
        <f t="array" ref="AD100">_xlfn.SINGLE(IF(ISERROR(_xll.FDSB($C$2,"FE_ESTIMATE(ARR,MEAN,QUARTERLY_ROLL,"&amp;AD$9&amp;","&amp;$C$5&amp;",,,'')")), "--", _xll.FDSB($C$2,"FE_ESTIMATE(ARR,MEAN,QUARTERLY_ROLL,"&amp;AD$9&amp;","&amp;$C$5&amp;",,,'')")))</f>
        <v/>
      </c>
      <c r="AE100" s="639" t="str" cm="1">
        <f t="array" ref="AE100">_xlfn.SINGLE(IF(ISERROR(_xll.FDSB($C$2,"FE_ESTIMATE(ARR,MEAN,QUARTERLY_ROLL,"&amp;AE$9&amp;","&amp;$C$5&amp;",,,'')")), "--", _xll.FDSB($C$2,"FE_ESTIMATE(ARR,MEAN,QUARTERLY_ROLL,"&amp;AE$9&amp;","&amp;$C$5&amp;",,,'')")))</f>
        <v/>
      </c>
      <c r="AF100" s="639" t="str" cm="1">
        <f t="array" ref="AF100">_xlfn.SINGLE(IF(ISERROR(_xll.FDSB($C$2,"FE_ESTIMATE(ARR,MEAN,QUARTERLY_ROLL,"&amp;AF$9&amp;","&amp;$C$5&amp;",,,'')")), "--", _xll.FDSB($C$2,"FE_ESTIMATE(ARR,MEAN,QUARTERLY_ROLL,"&amp;AF$9&amp;","&amp;$C$5&amp;",,,'')")))</f>
        <v/>
      </c>
      <c r="AG100" s="640" t="str" cm="1">
        <f t="array" ref="AG100">_xlfn.SINGLE(IF(ISERROR(_xll.FDSB($C$2,"FE_ESTIMATE(ARR,MEAN,ANNUAL_ROLL,"&amp;AG$9&amp;","&amp;$C$5&amp;",,,'')")), "--", _xll.FDSB($C$2,"FE_ESTIMATE(ARR,MEAN,ANNUAL_ROLL,"&amp;AG$9&amp;","&amp;$C$5&amp;",,,'')")))</f>
        <v/>
      </c>
      <c r="AH100" s="639" t="str" cm="1">
        <f t="array" ref="AH100">_xlfn.SINGLE(IF(ISERROR(_xll.FDSB($C$2,"FE_ESTIMATE(ARR,MEAN,QUARTERLY_ROLL,"&amp;AH$9&amp;","&amp;$C$5&amp;",,,'')")), "--", _xll.FDSB($C$2,"FE_ESTIMATE(ARR,MEAN,QUARTERLY_ROLL,"&amp;AH$9&amp;","&amp;$C$5&amp;",,,'')")))</f>
        <v/>
      </c>
      <c r="AI100" s="639" t="str" cm="1">
        <f t="array" ref="AI100">_xlfn.SINGLE(IF(ISERROR(_xll.FDSB($C$2,"FE_ESTIMATE(ARR,MEAN,QUARTERLY_ROLL,"&amp;AI$9&amp;","&amp;$C$5&amp;",,,'')")), "--", _xll.FDSB($C$2,"FE_ESTIMATE(ARR,MEAN,QUARTERLY_ROLL,"&amp;AI$9&amp;","&amp;$C$5&amp;",,,'')")))</f>
        <v/>
      </c>
      <c r="AJ100" s="639" t="str" cm="1">
        <f t="array" ref="AJ100">_xlfn.SINGLE(IF(ISERROR(_xll.FDSB($C$2,"FE_ESTIMATE(ARR,MEAN,QUARTERLY_ROLL,"&amp;AJ$9&amp;","&amp;$C$5&amp;",,,'')")), "--", _xll.FDSB($C$2,"FE_ESTIMATE(ARR,MEAN,QUARTERLY_ROLL,"&amp;AJ$9&amp;","&amp;$C$5&amp;",,,'')")))</f>
        <v/>
      </c>
      <c r="AK100" s="639" t="str" cm="1">
        <f t="array" ref="AK100">_xlfn.SINGLE(IF(ISERROR(_xll.FDSB($C$2,"FE_ESTIMATE(ARR,MEAN,QUARTERLY_ROLL,"&amp;AK$9&amp;","&amp;$C$5&amp;",,,'')")), "--", _xll.FDSB($C$2,"FE_ESTIMATE(ARR,MEAN,QUARTERLY_ROLL,"&amp;AK$9&amp;","&amp;$C$5&amp;",,,'')")))</f>
        <v/>
      </c>
      <c r="AL100" s="640" cm="1">
        <f t="array" ref="AL100">_xlfn.SINGLE(IF(ISERROR(_xll.FDSB($C$2,"FE_ESTIMATE(ARR,MEAN,ANNUAL_ROLL,"&amp;AL$9&amp;","&amp;$C$5&amp;",,,'')")), "--", _xll.FDSB($C$2,"FE_ESTIMATE(ARR,MEAN,ANNUAL_ROLL,"&amp;AL$9&amp;","&amp;$C$5&amp;",,,'')")))</f>
        <v>3000</v>
      </c>
      <c r="AM100" s="639" t="str" cm="1">
        <f t="array" ref="AM100">_xlfn.SINGLE(IF(ISERROR(_xll.FDSB($C$2,"FE_ESTIMATE(ARR,MEAN,QUARTERLY_ROLL,"&amp;AM$9&amp;","&amp;$C$5&amp;",,,'')")), "--", _xll.FDSB($C$2,"FE_ESTIMATE(ARR,MEAN,QUARTERLY_ROLL,"&amp;AM$9&amp;","&amp;$C$5&amp;",,,'')")))</f>
        <v/>
      </c>
      <c r="AN100" s="639" cm="1">
        <f t="array" ref="AN100">_xlfn.SINGLE(IF(ISERROR(_xll.FDSB($C$2,"FE_ESTIMATE(ARR,MEAN,QUARTERLY_ROLL,"&amp;AN$9&amp;","&amp;$C$5&amp;",,,'')")), "--", _xll.FDSB($C$2,"FE_ESTIMATE(ARR,MEAN,QUARTERLY_ROLL,"&amp;AN$9&amp;","&amp;$C$5&amp;",,,'')")))</f>
        <v>4851</v>
      </c>
      <c r="AO100" s="639" cm="1">
        <f t="array" ref="AO100">_xlfn.SINGLE(IF(ISERROR(_xll.FDSB($C$2,"FE_ESTIMATE(ARR,MEAN,QUARTERLY_ROLL,"&amp;AO$9&amp;","&amp;$C$5&amp;",,,'')")), "--", _xll.FDSB($C$2,"FE_ESTIMATE(ARR,MEAN,QUARTERLY_ROLL,"&amp;AO$9&amp;","&amp;$C$5&amp;",,,'')")))</f>
        <v>5121</v>
      </c>
      <c r="AP100" s="639" cm="1">
        <f t="array" ref="AP100">_xlfn.SINGLE(IF(ISERROR(_xll.FDSB($C$2,"FE_ESTIMATE(ARR,MEAN,QUARTERLY_ROLL,"&amp;AP$9&amp;","&amp;$C$5&amp;",,,'')")), "--", _xll.FDSB($C$2,"FE_ESTIMATE(ARR,MEAN,QUARTERLY_ROLL,"&amp;AP$9&amp;","&amp;$C$5&amp;",,,'')")))</f>
        <v>7101</v>
      </c>
      <c r="AQ100" s="640" cm="1">
        <f t="array" ref="AQ100">_xlfn.SINGLE(IF(ISERROR(_xll.FDSB($C$2,"FE_ESTIMATE(ARR,MEAN,ANNUAL_ROLL,"&amp;AQ$9&amp;","&amp;$C$5&amp;",,,'')")), "--", _xll.FDSB($C$2,"FE_ESTIMATE(ARR,MEAN,ANNUAL_ROLL,"&amp;AQ$9&amp;","&amp;$C$5&amp;",,,'')")))</f>
        <v>7101</v>
      </c>
      <c r="AR100" s="639" cm="1">
        <f t="array" ref="AR100">_xlfn.SINGLE(IF(ISERROR(_xll.FDSB($C$2,"FE_ESTIMATE(ARR,MEAN,QUARTERLY_ROLL,"&amp;AR$9&amp;","&amp;$C$5&amp;",,,'')")), "--", _xll.FDSB($C$2,"FE_ESTIMATE(ARR,MEAN,QUARTERLY_ROLL,"&amp;AR$9&amp;","&amp;$C$5&amp;",,,'')")))</f>
        <v>9853</v>
      </c>
      <c r="AS100" s="639" cm="1">
        <f t="array" ref="AS100">_xlfn.SINGLE(IF(ISERROR(_xll.FDSB($C$2,"FE_ESTIMATE(ARR,MEAN,QUARTERLY_ROLL,"&amp;AS$9&amp;","&amp;$C$5&amp;",,,'')")), "--", _xll.FDSB($C$2,"FE_ESTIMATE(ARR,MEAN,QUARTERLY_ROLL,"&amp;AS$9&amp;","&amp;$C$5&amp;",,,'')")))</f>
        <v>11639</v>
      </c>
      <c r="AT100" s="639" cm="1">
        <f t="array" ref="AT100">_xlfn.SINGLE(IF(ISERROR(_xll.FDSB($C$2,"FE_ESTIMATE(ARR,MEAN,QUARTERLY_ROLL,"&amp;AT$9&amp;","&amp;$C$5&amp;",,,'')")), "--", _xll.FDSB($C$2,"FE_ESTIMATE(ARR,MEAN,QUARTERLY_ROLL,"&amp;AT$9&amp;","&amp;$C$5&amp;",,,'')")))</f>
        <v>13196</v>
      </c>
      <c r="AU100" s="639" cm="1">
        <f t="array" ref="AU100">_xlfn.SINGLE(IF(ISERROR(_xll.FDSB($C$2,"FE_ESTIMATE(ARR,MEAN,QUARTERLY_ROLL,"&amp;AU$9&amp;","&amp;$C$5&amp;",,,'')")), "--", _xll.FDSB($C$2,"FE_ESTIMATE(ARR,MEAN,QUARTERLY_ROLL,"&amp;AU$9&amp;","&amp;$C$5&amp;",,,'')")))</f>
        <v>14401</v>
      </c>
      <c r="AV100" s="640" cm="1">
        <f t="array" ref="AV100">_xlfn.SINGLE(IF(ISERROR(_xll.FDSB($C$2,"FE_ESTIMATE(ARR,MEAN,ANNUAL_ROLL,"&amp;AV$9&amp;","&amp;$C$5&amp;",,,'')")), "--", _xll.FDSB($C$2,"FE_ESTIMATE(ARR,MEAN,ANNUAL_ROLL,"&amp;AV$9&amp;","&amp;$C$5&amp;",,,'')")))</f>
        <v>14401</v>
      </c>
      <c r="AW100" s="639" t="str" cm="1">
        <f t="array" ref="AW100">_xlfn.SINGLE(IF(ISERROR(_xll.FDSB($C$2,"FE_ESTIMATE(ARR,MEAN,QUARTERLY_ROLL,"&amp;AW$9&amp;","&amp;$C$5&amp;",,,'')")), "--", _xll.FDSB($C$2,"FE_ESTIMATE(ARR,MEAN,QUARTERLY_ROLL,"&amp;AW$9&amp;","&amp;$C$5&amp;",,,'')")))</f>
        <v/>
      </c>
      <c r="AX100" s="639" t="str" cm="1">
        <f t="array" ref="AX100">_xlfn.SINGLE(IF(ISERROR(_xll.FDSB($C$2,"FE_ESTIMATE(ARR,MEAN,QUARTERLY_ROLL,"&amp;AX$9&amp;","&amp;$C$5&amp;",,,'')")), "--", _xll.FDSB($C$2,"FE_ESTIMATE(ARR,MEAN,QUARTERLY_ROLL,"&amp;AX$9&amp;","&amp;$C$5&amp;",,,'')")))</f>
        <v/>
      </c>
      <c r="AY100" s="639" t="str" cm="1">
        <f t="array" ref="AY100">_xlfn.SINGLE(IF(ISERROR(_xll.FDSB($C$2,"FE_ESTIMATE(ARR,MEAN,QUARTERLY_ROLL,"&amp;AY$9&amp;","&amp;$C$5&amp;",,,'')")), "--", _xll.FDSB($C$2,"FE_ESTIMATE(ARR,MEAN,QUARTERLY_ROLL,"&amp;AY$9&amp;","&amp;$C$5&amp;",,,'')")))</f>
        <v/>
      </c>
      <c r="AZ100" s="639" t="str" cm="1">
        <f t="array" ref="AZ100">_xlfn.SINGLE(IF(ISERROR(_xll.FDSB($C$2,"FE_ESTIMATE(ARR,MEAN,QUARTERLY_ROLL,"&amp;AZ$9&amp;","&amp;$C$5&amp;",,,'')")), "--", _xll.FDSB($C$2,"FE_ESTIMATE(ARR,MEAN,QUARTERLY_ROLL,"&amp;AZ$9&amp;","&amp;$C$5&amp;",,,'')")))</f>
        <v/>
      </c>
      <c r="BA100" s="640" cm="1">
        <f t="array" ref="BA100">_xlfn.SINGLE(IF(ISERROR(_xll.FDSB($C$2,"FE_ESTIMATE(ARR,MEAN,ANNUAL_ROLL,"&amp;BA$9&amp;","&amp;$C$5&amp;",,,'')")), "--", _xll.FDSB($C$2,"FE_ESTIMATE(ARR,MEAN,ANNUAL_ROLL,"&amp;BA$9&amp;","&amp;$C$5&amp;",,,'')")))</f>
        <v>20677</v>
      </c>
      <c r="BB100" s="639" t="str" cm="1">
        <f t="array" ref="BB100">_xlfn.SINGLE(IF(ISERROR(_xll.FDSB($C$2,"FE_ESTIMATE(ARR,MEAN,QUARTERLY_ROLL,"&amp;BB$9&amp;","&amp;$C$5&amp;",,,'')")), "--", _xll.FDSB($C$2,"FE_ESTIMATE(ARR,MEAN,QUARTERLY_ROLL,"&amp;BB$9&amp;","&amp;$C$5&amp;",,,'')")))</f>
        <v/>
      </c>
      <c r="BC100" s="639" t="str" cm="1">
        <f t="array" ref="BC100">_xlfn.SINGLE(IF(ISERROR(_xll.FDSB($C$2,"FE_ESTIMATE(ARR,MEAN,QUARTERLY_ROLL,"&amp;BC$9&amp;","&amp;$C$5&amp;",,,'')")), "--", _xll.FDSB($C$2,"FE_ESTIMATE(ARR,MEAN,QUARTERLY_ROLL,"&amp;BC$9&amp;","&amp;$C$5&amp;",,,'')")))</f>
        <v/>
      </c>
      <c r="BD100" s="639" t="str" cm="1">
        <f t="array" ref="BD100">_xlfn.SINGLE(IF(ISERROR(_xll.FDSB($C$2,"FE_ESTIMATE(ARR,MEAN,QUARTERLY_ROLL,"&amp;BD$9&amp;","&amp;$C$5&amp;",,,'')")), "--", _xll.FDSB($C$2,"FE_ESTIMATE(ARR,MEAN,QUARTERLY_ROLL,"&amp;BD$9&amp;","&amp;$C$5&amp;",,,'')")))</f>
        <v/>
      </c>
      <c r="BE100" s="639" t="str" cm="1">
        <f t="array" ref="BE100">_xlfn.SINGLE(IF(ISERROR(_xll.FDSB($C$2,"FE_ESTIMATE(ARR,MEAN,QUARTERLY_ROLL,"&amp;BE$9&amp;","&amp;$C$5&amp;",,,'')")), "--", _xll.FDSB($C$2,"FE_ESTIMATE(ARR,MEAN,QUARTERLY_ROLL,"&amp;BE$9&amp;","&amp;$C$5&amp;",,,'')")))</f>
        <v/>
      </c>
      <c r="BF100" s="640" cm="1">
        <f t="array" ref="BF100">_xlfn.SINGLE(IF(ISERROR(_xll.FDSB($C$2,"FE_ESTIMATE(ARR,MEAN,ANNUAL_ROLL,"&amp;BF$9&amp;","&amp;$C$5&amp;",,,'')")), "--", _xll.FDSB($C$2,"FE_ESTIMATE(ARR,MEAN,ANNUAL_ROLL,"&amp;BF$9&amp;","&amp;$C$5&amp;",,,'')")))</f>
        <v>26577</v>
      </c>
      <c r="BG100" s="639" t="str" cm="1">
        <f t="array" ref="BG100">_xlfn.SINGLE(IF(ISERROR(_xll.FDSB($C$2,"FE_ESTIMATE(ARR,MEAN,QUARTERLY_ROLL,"&amp;BG$9&amp;","&amp;$C$5&amp;",,,'')")), "--", _xll.FDSB($C$2,"FE_ESTIMATE(ARR,MEAN,QUARTERLY_ROLL,"&amp;BG$9&amp;","&amp;$C$5&amp;",,,'')")))</f>
        <v/>
      </c>
      <c r="BH100" s="639" t="str" cm="1">
        <f t="array" ref="BH100">_xlfn.SINGLE(IF(ISERROR(_xll.FDSB($C$2,"FE_ESTIMATE(ARR,MEAN,QUARTERLY_ROLL,"&amp;BH$9&amp;","&amp;$C$5&amp;",,,'')")), "--", _xll.FDSB($C$2,"FE_ESTIMATE(ARR,MEAN,QUARTERLY_ROLL,"&amp;BH$9&amp;","&amp;$C$5&amp;",,,'')")))</f>
        <v/>
      </c>
      <c r="BI100" s="639" t="str" cm="1">
        <f t="array" ref="BI100">_xlfn.SINGLE(IF(ISERROR(_xll.FDSB($C$2,"FE_ESTIMATE(ARR,MEAN,QUARTERLY_ROLL,"&amp;BI$9&amp;","&amp;$C$5&amp;",,,'')")), "--", _xll.FDSB($C$2,"FE_ESTIMATE(ARR,MEAN,QUARTERLY_ROLL,"&amp;BI$9&amp;","&amp;$C$5&amp;",,,'')")))</f>
        <v/>
      </c>
      <c r="BJ100" s="639" t="str" cm="1">
        <f t="array" ref="BJ100">_xlfn.SINGLE(IF(ISERROR(_xll.FDSB($C$2,"FE_ESTIMATE(ARR,MEAN,QUARTERLY_ROLL,"&amp;BJ$9&amp;","&amp;$C$5&amp;",,,'')")), "--", _xll.FDSB($C$2,"FE_ESTIMATE(ARR,MEAN,QUARTERLY_ROLL,"&amp;BJ$9&amp;","&amp;$C$5&amp;",,,'')")))</f>
        <v/>
      </c>
      <c r="BK100" s="640" t="str" cm="1">
        <f t="array" ref="BK100">_xlfn.SINGLE(IF(ISERROR(_xll.FDSB($C$2,"FE_ESTIMATE(ARR,MEAN,ANNUAL_ROLL,"&amp;BK$9&amp;","&amp;$C$5&amp;",,,'')")), "--", _xll.FDSB($C$2,"FE_ESTIMATE(ARR,MEAN,ANNUAL_ROLL,"&amp;BK$9&amp;","&amp;$C$5&amp;",,,'')")))</f>
        <v/>
      </c>
    </row>
    <row r="101" spans="1:63" s="71" customFormat="1" ht="12.75" customHeight="1" outlineLevel="1">
      <c r="A101" s="67" t="s">
        <v>208</v>
      </c>
      <c r="B101" s="68" t="s">
        <v>31</v>
      </c>
      <c r="C101" s="68"/>
      <c r="D101" s="69"/>
      <c r="E101" s="69"/>
      <c r="F101" s="69"/>
      <c r="G101" s="69"/>
      <c r="H101" s="70"/>
      <c r="I101" s="69" t="str">
        <f t="shared" ref="I101:AN101" si="56">IFERROR(I100/D100-1,"")</f>
        <v/>
      </c>
      <c r="J101" s="69" t="str">
        <f t="shared" si="56"/>
        <v/>
      </c>
      <c r="K101" s="69" t="str">
        <f t="shared" si="56"/>
        <v/>
      </c>
      <c r="L101" s="69" t="str">
        <f t="shared" si="56"/>
        <v/>
      </c>
      <c r="M101" s="70" t="str">
        <f t="shared" si="56"/>
        <v/>
      </c>
      <c r="N101" s="69" t="str">
        <f t="shared" si="56"/>
        <v/>
      </c>
      <c r="O101" s="69" t="str">
        <f t="shared" si="56"/>
        <v/>
      </c>
      <c r="P101" s="69" t="str">
        <f t="shared" si="56"/>
        <v/>
      </c>
      <c r="Q101" s="69" t="str">
        <f t="shared" si="56"/>
        <v/>
      </c>
      <c r="R101" s="70" t="str">
        <f t="shared" si="56"/>
        <v/>
      </c>
      <c r="S101" s="69" t="str">
        <f t="shared" si="56"/>
        <v/>
      </c>
      <c r="T101" s="69" t="str">
        <f t="shared" si="56"/>
        <v/>
      </c>
      <c r="U101" s="69" t="str">
        <f t="shared" si="56"/>
        <v/>
      </c>
      <c r="V101" s="69" t="str">
        <f t="shared" si="56"/>
        <v/>
      </c>
      <c r="W101" s="70" t="str">
        <f t="shared" si="56"/>
        <v/>
      </c>
      <c r="X101" s="69" t="str">
        <f t="shared" si="56"/>
        <v/>
      </c>
      <c r="Y101" s="69" t="str">
        <f t="shared" si="56"/>
        <v/>
      </c>
      <c r="Z101" s="69" t="str">
        <f t="shared" si="56"/>
        <v/>
      </c>
      <c r="AA101" s="69" t="str">
        <f t="shared" si="56"/>
        <v/>
      </c>
      <c r="AB101" s="70" t="str">
        <f t="shared" si="56"/>
        <v/>
      </c>
      <c r="AC101" s="69" t="str">
        <f t="shared" si="56"/>
        <v/>
      </c>
      <c r="AD101" s="69" t="str">
        <f t="shared" si="56"/>
        <v/>
      </c>
      <c r="AE101" s="69" t="str">
        <f t="shared" si="56"/>
        <v/>
      </c>
      <c r="AF101" s="69" t="str">
        <f t="shared" si="56"/>
        <v/>
      </c>
      <c r="AG101" s="70" t="str">
        <f t="shared" si="56"/>
        <v/>
      </c>
      <c r="AH101" s="69" t="str">
        <f t="shared" si="56"/>
        <v/>
      </c>
      <c r="AI101" s="69" t="str">
        <f t="shared" si="56"/>
        <v/>
      </c>
      <c r="AJ101" s="69" t="str">
        <f t="shared" si="56"/>
        <v/>
      </c>
      <c r="AK101" s="69" t="str">
        <f t="shared" si="56"/>
        <v/>
      </c>
      <c r="AL101" s="70" t="str">
        <f t="shared" si="56"/>
        <v/>
      </c>
      <c r="AM101" s="69" t="str">
        <f t="shared" si="56"/>
        <v/>
      </c>
      <c r="AN101" s="69" t="str">
        <f t="shared" si="56"/>
        <v/>
      </c>
      <c r="AO101" s="69" t="str">
        <f t="shared" ref="AO101:BK101" si="57">IFERROR(AO100/AJ100-1,"")</f>
        <v/>
      </c>
      <c r="AP101" s="69" t="str">
        <f t="shared" si="57"/>
        <v/>
      </c>
      <c r="AQ101" s="70">
        <f t="shared" si="57"/>
        <v>1.367</v>
      </c>
      <c r="AR101" s="69" t="str">
        <f t="shared" si="57"/>
        <v/>
      </c>
      <c r="AS101" s="69">
        <f t="shared" si="57"/>
        <v>1.3992991135848278</v>
      </c>
      <c r="AT101" s="69">
        <f t="shared" si="57"/>
        <v>1.5768404608474906</v>
      </c>
      <c r="AU101" s="69">
        <f t="shared" si="57"/>
        <v>1.028024221940572</v>
      </c>
      <c r="AV101" s="70">
        <f t="shared" si="57"/>
        <v>1.028024221940572</v>
      </c>
      <c r="AW101" s="69" t="str">
        <f t="shared" si="57"/>
        <v/>
      </c>
      <c r="AX101" s="69" t="str">
        <f t="shared" si="57"/>
        <v/>
      </c>
      <c r="AY101" s="69" t="str">
        <f t="shared" si="57"/>
        <v/>
      </c>
      <c r="AZ101" s="69" t="str">
        <f t="shared" si="57"/>
        <v/>
      </c>
      <c r="BA101" s="70">
        <f t="shared" si="57"/>
        <v>0.4358030692313033</v>
      </c>
      <c r="BB101" s="69" t="str">
        <f t="shared" si="57"/>
        <v/>
      </c>
      <c r="BC101" s="69" t="str">
        <f t="shared" si="57"/>
        <v/>
      </c>
      <c r="BD101" s="69" t="str">
        <f t="shared" si="57"/>
        <v/>
      </c>
      <c r="BE101" s="69" t="str">
        <f t="shared" si="57"/>
        <v/>
      </c>
      <c r="BF101" s="70">
        <f t="shared" si="57"/>
        <v>0.28534120036755817</v>
      </c>
      <c r="BG101" s="69" t="str">
        <f t="shared" si="57"/>
        <v/>
      </c>
      <c r="BH101" s="69" t="str">
        <f t="shared" si="57"/>
        <v/>
      </c>
      <c r="BI101" s="69" t="str">
        <f t="shared" si="57"/>
        <v/>
      </c>
      <c r="BJ101" s="69" t="str">
        <f t="shared" si="57"/>
        <v/>
      </c>
      <c r="BK101" s="70" t="str">
        <f t="shared" si="57"/>
        <v/>
      </c>
    </row>
    <row r="102" spans="1:63" s="71" customFormat="1" ht="12.75" customHeight="1" outlineLevel="1">
      <c r="A102" s="67" t="s">
        <v>209</v>
      </c>
      <c r="B102" s="68" t="s">
        <v>33</v>
      </c>
      <c r="C102" s="68"/>
      <c r="D102" s="69"/>
      <c r="E102" s="69"/>
      <c r="F102" s="69"/>
      <c r="G102" s="69"/>
      <c r="H102" s="72"/>
      <c r="I102" s="69" t="str">
        <f>IFERROR(I100/G100-1,"")</f>
        <v/>
      </c>
      <c r="J102" s="69" t="str">
        <f>IFERROR(J100/I100-1,"")</f>
        <v/>
      </c>
      <c r="K102" s="69" t="str">
        <f>IFERROR(K100/J100-1,"")</f>
        <v/>
      </c>
      <c r="L102" s="69" t="str">
        <f>IFERROR(L100/K100-1,"")</f>
        <v/>
      </c>
      <c r="M102" s="72"/>
      <c r="N102" s="69" t="str">
        <f>IFERROR(N100/L100-1,"")</f>
        <v/>
      </c>
      <c r="O102" s="69" t="str">
        <f>IFERROR(O100/N100-1,"")</f>
        <v/>
      </c>
      <c r="P102" s="69" t="str">
        <f>IFERROR(P100/O100-1,"")</f>
        <v/>
      </c>
      <c r="Q102" s="69" t="str">
        <f>IFERROR(Q100/P100-1,"")</f>
        <v/>
      </c>
      <c r="R102" s="72"/>
      <c r="S102" s="69" t="str">
        <f>IFERROR(S100/Q100-1,"")</f>
        <v/>
      </c>
      <c r="T102" s="69" t="str">
        <f>IFERROR(T100/S100-1,"")</f>
        <v/>
      </c>
      <c r="U102" s="69" t="str">
        <f>IFERROR(U100/T100-1,"")</f>
        <v/>
      </c>
      <c r="V102" s="69" t="str">
        <f>IFERROR(V100/U100-1,"")</f>
        <v/>
      </c>
      <c r="W102" s="72"/>
      <c r="X102" s="69" t="str">
        <f>IFERROR(X100/V100-1,"")</f>
        <v/>
      </c>
      <c r="Y102" s="69" t="str">
        <f>IFERROR(Y100/X100-1,"")</f>
        <v/>
      </c>
      <c r="Z102" s="69" t="str">
        <f>IFERROR(Z100/Y100-1,"")</f>
        <v/>
      </c>
      <c r="AA102" s="69" t="str">
        <f>IFERROR(AA100/Z100-1,"")</f>
        <v/>
      </c>
      <c r="AB102" s="72"/>
      <c r="AC102" s="69" t="str">
        <f>IFERROR(AC100/AA100-1,"")</f>
        <v/>
      </c>
      <c r="AD102" s="69" t="str">
        <f>IFERROR(AD100/AC100-1,"")</f>
        <v/>
      </c>
      <c r="AE102" s="69" t="str">
        <f>IFERROR(AE100/AD100-1,"")</f>
        <v/>
      </c>
      <c r="AF102" s="69" t="str">
        <f>IFERROR(AF100/AE100-1,"")</f>
        <v/>
      </c>
      <c r="AG102" s="72"/>
      <c r="AH102" s="69" t="str">
        <f>IFERROR(AH100/AF100-1,"")</f>
        <v/>
      </c>
      <c r="AI102" s="69" t="str">
        <f>IFERROR(AI100/AH100-1,"")</f>
        <v/>
      </c>
      <c r="AJ102" s="69" t="str">
        <f>IFERROR(AJ100/AI100-1,"")</f>
        <v/>
      </c>
      <c r="AK102" s="69" t="str">
        <f>IFERROR(AK100/AJ100-1,"")</f>
        <v/>
      </c>
      <c r="AL102" s="72"/>
      <c r="AM102" s="69" t="str">
        <f>IFERROR(AM100/AK100-1,"")</f>
        <v/>
      </c>
      <c r="AN102" s="69" t="str">
        <f>IFERROR(AN100/AM100-1,"")</f>
        <v/>
      </c>
      <c r="AO102" s="69">
        <f>IFERROR(AO100/AN100-1,"")</f>
        <v>5.5658627087198598E-2</v>
      </c>
      <c r="AP102" s="69">
        <f>IFERROR(AP100/AO100-1,"")</f>
        <v>0.38664323374340959</v>
      </c>
      <c r="AQ102" s="72"/>
      <c r="AR102" s="69">
        <f>IFERROR(AR100/AP100-1,"")</f>
        <v>0.38755104914800742</v>
      </c>
      <c r="AS102" s="69">
        <f>IFERROR(AS100/AR100-1,"")</f>
        <v>0.18126458946513746</v>
      </c>
      <c r="AT102" s="69">
        <f>IFERROR(AT100/AS100-1,"")</f>
        <v>0.13377437924220303</v>
      </c>
      <c r="AU102" s="69">
        <f>IFERROR(AU100/AT100-1,"")</f>
        <v>9.1315550166717108E-2</v>
      </c>
      <c r="AV102" s="72"/>
      <c r="AW102" s="69" t="str">
        <f>IFERROR(AW100/AU100-1,"")</f>
        <v/>
      </c>
      <c r="AX102" s="69" t="str">
        <f>IFERROR(AX100/AW100-1,"")</f>
        <v/>
      </c>
      <c r="AY102" s="69" t="str">
        <f>IFERROR(AY100/AX100-1,"")</f>
        <v/>
      </c>
      <c r="AZ102" s="69" t="str">
        <f>IFERROR(AZ100/AY100-1,"")</f>
        <v/>
      </c>
      <c r="BA102" s="72"/>
      <c r="BB102" s="69" t="str">
        <f>IFERROR(BB100/AZ100-1,"")</f>
        <v/>
      </c>
      <c r="BC102" s="69" t="str">
        <f>IFERROR(BC100/BB100-1,"")</f>
        <v/>
      </c>
      <c r="BD102" s="69" t="str">
        <f>IFERROR(BD100/BC100-1,"")</f>
        <v/>
      </c>
      <c r="BE102" s="69" t="str">
        <f>IFERROR(BE100/BD100-1,"")</f>
        <v/>
      </c>
      <c r="BF102" s="72"/>
      <c r="BG102" s="69" t="str">
        <f>IFERROR(BG100/BE100-1,"")</f>
        <v/>
      </c>
      <c r="BH102" s="69" t="str">
        <f>IFERROR(BH100/BG100-1,"")</f>
        <v/>
      </c>
      <c r="BI102" s="69" t="str">
        <f>IFERROR(BI100/BH100-1,"")</f>
        <v/>
      </c>
      <c r="BJ102" s="69" t="str">
        <f>IFERROR(BJ100/BI100-1,"")</f>
        <v/>
      </c>
      <c r="BK102" s="72"/>
    </row>
    <row r="103" spans="1:63" s="71" customFormat="1" ht="12.75" customHeight="1" outlineLevel="1">
      <c r="A103" s="53"/>
      <c r="B103" s="68"/>
      <c r="C103" s="68"/>
      <c r="D103" s="82"/>
      <c r="E103" s="69"/>
      <c r="F103" s="69"/>
      <c r="G103" s="69"/>
      <c r="H103" s="70"/>
      <c r="I103" s="69"/>
      <c r="J103" s="69"/>
      <c r="K103" s="69"/>
      <c r="L103" s="69"/>
      <c r="M103" s="72"/>
      <c r="N103" s="69"/>
      <c r="O103" s="69"/>
      <c r="P103" s="69"/>
      <c r="Q103" s="69"/>
      <c r="R103" s="72"/>
      <c r="S103" s="69"/>
      <c r="T103" s="69"/>
      <c r="U103" s="69"/>
      <c r="V103" s="69"/>
      <c r="W103" s="72"/>
      <c r="X103" s="69"/>
      <c r="Y103" s="69"/>
      <c r="Z103" s="69"/>
      <c r="AA103" s="69"/>
      <c r="AB103" s="72"/>
      <c r="AC103" s="69"/>
      <c r="AD103" s="69"/>
      <c r="AE103" s="69"/>
      <c r="AF103" s="69"/>
      <c r="AG103" s="72"/>
      <c r="AH103" s="69"/>
      <c r="AI103" s="69"/>
      <c r="AJ103" s="69"/>
      <c r="AK103" s="69"/>
      <c r="AL103" s="72"/>
      <c r="AM103" s="69"/>
      <c r="AN103" s="69"/>
      <c r="AO103" s="69"/>
      <c r="AP103" s="69"/>
      <c r="AQ103" s="72"/>
      <c r="AR103" s="69"/>
      <c r="AS103" s="69"/>
      <c r="AT103" s="69"/>
      <c r="AU103" s="69"/>
      <c r="AV103" s="72"/>
      <c r="AW103" s="69"/>
      <c r="AX103" s="69"/>
      <c r="AY103" s="69"/>
      <c r="AZ103" s="69"/>
      <c r="BA103" s="72"/>
      <c r="BB103" s="69"/>
      <c r="BC103" s="69"/>
      <c r="BD103" s="69"/>
      <c r="BE103" s="69"/>
      <c r="BF103" s="72"/>
      <c r="BG103" s="69"/>
      <c r="BH103" s="69"/>
      <c r="BI103" s="69"/>
      <c r="BJ103" s="69"/>
      <c r="BK103" s="72"/>
    </row>
    <row r="104" spans="1:63" s="641" customFormat="1" ht="12.75" customHeight="1" outlineLevel="1">
      <c r="A104" s="642" t="s">
        <v>315</v>
      </c>
      <c r="B104" s="637" t="s">
        <v>315</v>
      </c>
      <c r="C104" s="638"/>
      <c r="D104" s="639"/>
      <c r="E104" s="639"/>
      <c r="F104" s="639"/>
      <c r="G104" s="639"/>
      <c r="H104" s="640"/>
      <c r="I104" s="639" t="str" cm="1">
        <f t="array" ref="I104">_xlfn.SINGLE(IF(ISERROR(_xll.FDSB($C$2,"FE_ESTIMATE(Total_RPO,MEAN,QUARTERLY_ROLL,"&amp;I$9&amp;","&amp;$C$5&amp;",,,'')")), "--", _xll.FDSB($C$2,"FE_ESTIMATE(Total_RPO,MEAN,QUARTERLY_ROLL,"&amp;I$9&amp;","&amp;$C$5&amp;",,,'')")))</f>
        <v>--</v>
      </c>
      <c r="J104" s="639" t="str" cm="1">
        <f t="array" ref="J104">_xlfn.SINGLE(IF(ISERROR(_xll.FDSB($C$2,"FE_ESTIMATE(Total_RPO,MEAN,QUARTERLY_ROLL,"&amp;J$9&amp;","&amp;$C$5&amp;",,,'')")), "--", _xll.FDSB($C$2,"FE_ESTIMATE(Total_RPO,MEAN,QUARTERLY_ROLL,"&amp;J$9&amp;","&amp;$C$5&amp;",,,'')")))</f>
        <v>--</v>
      </c>
      <c r="K104" s="639" t="str" cm="1">
        <f t="array" ref="K104">_xlfn.SINGLE(IF(ISERROR(_xll.FDSB($C$2,"FE_ESTIMATE(Total_RPO,MEAN,QUARTERLY_ROLL,"&amp;K$9&amp;","&amp;$C$5&amp;",,,'')")), "--", _xll.FDSB($C$2,"FE_ESTIMATE(Total_RPO,MEAN,QUARTERLY_ROLL,"&amp;K$9&amp;","&amp;$C$5&amp;",,,'')")))</f>
        <v>--</v>
      </c>
      <c r="L104" s="639" t="str" cm="1">
        <f t="array" ref="L104">_xlfn.SINGLE(IF(ISERROR(_xll.FDSB($C$2,"FE_ESTIMATE(Total_RPO,MEAN,QUARTERLY_ROLL,"&amp;L$9&amp;","&amp;$C$5&amp;",,,'')")), "--", _xll.FDSB($C$2,"FE_ESTIMATE(Total_RPO,MEAN,QUARTERLY_ROLL,"&amp;L$9&amp;","&amp;$C$5&amp;",,,'')")))</f>
        <v>--</v>
      </c>
      <c r="M104" s="640" t="str" cm="1">
        <f t="array" ref="M104">_xlfn.SINGLE(IF(ISERROR(_xll.FDSB($C$2,"FE_ESTIMATE(Total_RPO,MEAN,ANNUAL_ROLL,"&amp;M$9&amp;","&amp;$C$5&amp;",,,'')")), "--", _xll.FDSB($C$2,"FE_ESTIMATE(Total_RPO,MEAN,ANNUAL_ROLL,"&amp;M$9&amp;","&amp;$C$5&amp;",,,'')")))</f>
        <v>--</v>
      </c>
      <c r="N104" s="639" t="str" cm="1">
        <f t="array" ref="N104">_xlfn.SINGLE(IF(ISERROR(_xll.FDSB($C$2,"FE_ESTIMATE(Total_RPO,MEAN,QUARTERLY_ROLL,"&amp;N$9&amp;","&amp;$C$5&amp;",,,'')")), "--", _xll.FDSB($C$2,"FE_ESTIMATE(Total_RPO,MEAN,QUARTERLY_ROLL,"&amp;N$9&amp;","&amp;$C$5&amp;",,,'')")))</f>
        <v>--</v>
      </c>
      <c r="O104" s="639" t="str" cm="1">
        <f t="array" ref="O104">_xlfn.SINGLE(IF(ISERROR(_xll.FDSB($C$2,"FE_ESTIMATE(Total_RPO,MEAN,QUARTERLY_ROLL,"&amp;O$9&amp;","&amp;$C$5&amp;",,,'')")), "--", _xll.FDSB($C$2,"FE_ESTIMATE(Total_RPO,MEAN,QUARTERLY_ROLL,"&amp;O$9&amp;","&amp;$C$5&amp;",,,'')")))</f>
        <v>--</v>
      </c>
      <c r="P104" s="639" t="str" cm="1">
        <f t="array" ref="P104">_xlfn.SINGLE(IF(ISERROR(_xll.FDSB($C$2,"FE_ESTIMATE(Total_RPO,MEAN,QUARTERLY_ROLL,"&amp;P$9&amp;","&amp;$C$5&amp;",,,'')")), "--", _xll.FDSB($C$2,"FE_ESTIMATE(Total_RPO,MEAN,QUARTERLY_ROLL,"&amp;P$9&amp;","&amp;$C$5&amp;",,,'')")))</f>
        <v>--</v>
      </c>
      <c r="Q104" s="639" t="str" cm="1">
        <f t="array" ref="Q104">_xlfn.SINGLE(IF(ISERROR(_xll.FDSB($C$2,"FE_ESTIMATE(Total_RPO,MEAN,QUARTERLY_ROLL,"&amp;Q$9&amp;","&amp;$C$5&amp;",,,'')")), "--", _xll.FDSB($C$2,"FE_ESTIMATE(Total_RPO,MEAN,QUARTERLY_ROLL,"&amp;Q$9&amp;","&amp;$C$5&amp;",,,'')")))</f>
        <v>--</v>
      </c>
      <c r="R104" s="640" t="str" cm="1">
        <f t="array" ref="R104">_xlfn.SINGLE(IF(ISERROR(_xll.FDSB($C$2,"FE_ESTIMATE(Total_RPO,MEAN,ANNUAL_ROLL,"&amp;R$9&amp;","&amp;$C$5&amp;",,,'')")), "--", _xll.FDSB($C$2,"FE_ESTIMATE(Total_RPO,MEAN,ANNUAL_ROLL,"&amp;R$9&amp;","&amp;$C$5&amp;",,,'')")))</f>
        <v>--</v>
      </c>
      <c r="S104" s="639" t="str" cm="1">
        <f t="array" ref="S104">_xlfn.SINGLE(IF(ISERROR(_xll.FDSB($C$2,"FE_ESTIMATE(Total_RPO,MEAN,QUARTERLY_ROLL,"&amp;S$9&amp;","&amp;$C$5&amp;",,,'')")), "--", _xll.FDSB($C$2,"FE_ESTIMATE(Total_RPO,MEAN,QUARTERLY_ROLL,"&amp;S$9&amp;","&amp;$C$5&amp;",,,'')")))</f>
        <v>--</v>
      </c>
      <c r="T104" s="639" t="str" cm="1">
        <f t="array" ref="T104">_xlfn.SINGLE(IF(ISERROR(_xll.FDSB($C$2,"FE_ESTIMATE(Total_RPO,MEAN,QUARTERLY_ROLL,"&amp;T$9&amp;","&amp;$C$5&amp;",,,'')")), "--", _xll.FDSB($C$2,"FE_ESTIMATE(Total_RPO,MEAN,QUARTERLY_ROLL,"&amp;T$9&amp;","&amp;$C$5&amp;",,,'')")))</f>
        <v>--</v>
      </c>
      <c r="U104" s="639" t="str" cm="1">
        <f t="array" ref="U104">_xlfn.SINGLE(IF(ISERROR(_xll.FDSB($C$2,"FE_ESTIMATE(Total_RPO,MEAN,QUARTERLY_ROLL,"&amp;U$9&amp;","&amp;$C$5&amp;",,,'')")), "--", _xll.FDSB($C$2,"FE_ESTIMATE(Total_RPO,MEAN,QUARTERLY_ROLL,"&amp;U$9&amp;","&amp;$C$5&amp;",,,'')")))</f>
        <v>--</v>
      </c>
      <c r="V104" s="639" t="str" cm="1">
        <f t="array" ref="V104">_xlfn.SINGLE(IF(ISERROR(_xll.FDSB($C$2,"FE_ESTIMATE(Total_RPO,MEAN,QUARTERLY_ROLL,"&amp;V$9&amp;","&amp;$C$5&amp;",,,'')")), "--", _xll.FDSB($C$2,"FE_ESTIMATE(Total_RPO,MEAN,QUARTERLY_ROLL,"&amp;V$9&amp;","&amp;$C$5&amp;",,,'')")))</f>
        <v>--</v>
      </c>
      <c r="W104" s="640" t="str" cm="1">
        <f t="array" ref="W104">_xlfn.SINGLE(IF(ISERROR(_xll.FDSB($C$2,"FE_ESTIMATE(Total_RPO,MEAN,ANNUAL_ROLL,"&amp;W$9&amp;","&amp;$C$5&amp;",,,'')")), "--", _xll.FDSB($C$2,"FE_ESTIMATE(Total_RPO,MEAN,ANNUAL_ROLL,"&amp;W$9&amp;","&amp;$C$5&amp;",,,'')")))</f>
        <v>--</v>
      </c>
      <c r="X104" s="639" t="str" cm="1">
        <f t="array" ref="X104">_xlfn.SINGLE(IF(ISERROR(_xll.FDSB($C$2,"FE_ESTIMATE(Total_RPO,MEAN,QUARTERLY_ROLL,"&amp;X$9&amp;","&amp;$C$5&amp;",,,'')")), "--", _xll.FDSB($C$2,"FE_ESTIMATE(Total_RPO,MEAN,QUARTERLY_ROLL,"&amp;X$9&amp;","&amp;$C$5&amp;",,,'')")))</f>
        <v/>
      </c>
      <c r="Y104" s="639" t="str" cm="1">
        <f t="array" ref="Y104">_xlfn.SINGLE(IF(ISERROR(_xll.FDSB($C$2,"FE_ESTIMATE(Total_RPO,MEAN,QUARTERLY_ROLL,"&amp;Y$9&amp;","&amp;$C$5&amp;",,,'')")), "--", _xll.FDSB($C$2,"FE_ESTIMATE(Total_RPO,MEAN,QUARTERLY_ROLL,"&amp;Y$9&amp;","&amp;$C$5&amp;",,,'')")))</f>
        <v/>
      </c>
      <c r="Z104" s="639" t="str" cm="1">
        <f t="array" ref="Z104">_xlfn.SINGLE(IF(ISERROR(_xll.FDSB($C$2,"FE_ESTIMATE(Total_RPO,MEAN,QUARTERLY_ROLL,"&amp;Z$9&amp;","&amp;$C$5&amp;",,,'')")), "--", _xll.FDSB($C$2,"FE_ESTIMATE(Total_RPO,MEAN,QUARTERLY_ROLL,"&amp;Z$9&amp;","&amp;$C$5&amp;",,,'')")))</f>
        <v/>
      </c>
      <c r="AA104" s="639" t="str" cm="1">
        <f t="array" ref="AA104">_xlfn.SINGLE(IF(ISERROR(_xll.FDSB($C$2,"FE_ESTIMATE(Total_RPO,MEAN,QUARTERLY_ROLL,"&amp;AA$9&amp;","&amp;$C$5&amp;",,,'')")), "--", _xll.FDSB($C$2,"FE_ESTIMATE(Total_RPO,MEAN,QUARTERLY_ROLL,"&amp;AA$9&amp;","&amp;$C$5&amp;",,,'')")))</f>
        <v/>
      </c>
      <c r="AB104" s="640" t="str" cm="1">
        <f t="array" ref="AB104">_xlfn.SINGLE(IF(ISERROR(_xll.FDSB($C$2,"FE_ESTIMATE(Total_RPO,MEAN,ANNUAL_ROLL,"&amp;AB$9&amp;","&amp;$C$5&amp;",,,'')")), "--", _xll.FDSB($C$2,"FE_ESTIMATE(Total_RPO,MEAN,ANNUAL_ROLL,"&amp;AB$9&amp;","&amp;$C$5&amp;",,,'')")))</f>
        <v/>
      </c>
      <c r="AC104" s="639" t="str" cm="1">
        <f t="array" ref="AC104">_xlfn.SINGLE(IF(ISERROR(_xll.FDSB($C$2,"FE_ESTIMATE(Total_RPO,MEAN,QUARTERLY_ROLL,"&amp;AC$9&amp;","&amp;$C$5&amp;",,,'')")), "--", _xll.FDSB($C$2,"FE_ESTIMATE(Total_RPO,MEAN,QUARTERLY_ROLL,"&amp;AC$9&amp;","&amp;$C$5&amp;",,,'')")))</f>
        <v/>
      </c>
      <c r="AD104" s="639" t="str" cm="1">
        <f t="array" ref="AD104">_xlfn.SINGLE(IF(ISERROR(_xll.FDSB($C$2,"FE_ESTIMATE(Total_RPO,MEAN,QUARTERLY_ROLL,"&amp;AD$9&amp;","&amp;$C$5&amp;",,,'')")), "--", _xll.FDSB($C$2,"FE_ESTIMATE(Total_RPO,MEAN,QUARTERLY_ROLL,"&amp;AD$9&amp;","&amp;$C$5&amp;",,,'')")))</f>
        <v/>
      </c>
      <c r="AE104" s="639" t="str" cm="1">
        <f t="array" ref="AE104">_xlfn.SINGLE(IF(ISERROR(_xll.FDSB($C$2,"FE_ESTIMATE(Total_RPO,MEAN,QUARTERLY_ROLL,"&amp;AE$9&amp;","&amp;$C$5&amp;",,,'')")), "--", _xll.FDSB($C$2,"FE_ESTIMATE(Total_RPO,MEAN,QUARTERLY_ROLL,"&amp;AE$9&amp;","&amp;$C$5&amp;",,,'')")))</f>
        <v/>
      </c>
      <c r="AF104" s="639" t="str" cm="1">
        <f t="array" ref="AF104">_xlfn.SINGLE(IF(ISERROR(_xll.FDSB($C$2,"FE_ESTIMATE(Total_RPO,MEAN,QUARTERLY_ROLL,"&amp;AF$9&amp;","&amp;$C$5&amp;",,,'')")), "--", _xll.FDSB($C$2,"FE_ESTIMATE(Total_RPO,MEAN,QUARTERLY_ROLL,"&amp;AF$9&amp;","&amp;$C$5&amp;",,,'')")))</f>
        <v/>
      </c>
      <c r="AG104" s="640" t="str" cm="1">
        <f t="array" ref="AG104">_xlfn.SINGLE(IF(ISERROR(_xll.FDSB($C$2,"FE_ESTIMATE(Total_RPO,MEAN,ANNUAL_ROLL,"&amp;AG$9&amp;","&amp;$C$5&amp;",,,'')")), "--", _xll.FDSB($C$2,"FE_ESTIMATE(Total_RPO,MEAN,ANNUAL_ROLL,"&amp;AG$9&amp;","&amp;$C$5&amp;",,,'')")))</f>
        <v/>
      </c>
      <c r="AH104" s="639" t="str" cm="1">
        <f t="array" ref="AH104">_xlfn.SINGLE(IF(ISERROR(_xll.FDSB($C$2,"FE_ESTIMATE(Total_RPO,MEAN,QUARTERLY_ROLL,"&amp;AH$9&amp;","&amp;$C$5&amp;",,,'')")), "--", _xll.FDSB($C$2,"FE_ESTIMATE(Total_RPO,MEAN,QUARTERLY_ROLL,"&amp;AH$9&amp;","&amp;$C$5&amp;",,,'')")))</f>
        <v/>
      </c>
      <c r="AI104" s="639" t="str" cm="1">
        <f t="array" ref="AI104">_xlfn.SINGLE(IF(ISERROR(_xll.FDSB($C$2,"FE_ESTIMATE(Total_RPO,MEAN,QUARTERLY_ROLL,"&amp;AI$9&amp;","&amp;$C$5&amp;",,,'')")), "--", _xll.FDSB($C$2,"FE_ESTIMATE(Total_RPO,MEAN,QUARTERLY_ROLL,"&amp;AI$9&amp;","&amp;$C$5&amp;",,,'')")))</f>
        <v/>
      </c>
      <c r="AJ104" s="639" t="str" cm="1">
        <f t="array" ref="AJ104">_xlfn.SINGLE(IF(ISERROR(_xll.FDSB($C$2,"FE_ESTIMATE(Total_RPO,MEAN,QUARTERLY_ROLL,"&amp;AJ$9&amp;","&amp;$C$5&amp;",,,'')")), "--", _xll.FDSB($C$2,"FE_ESTIMATE(Total_RPO,MEAN,QUARTERLY_ROLL,"&amp;AJ$9&amp;","&amp;$C$5&amp;",,,'')")))</f>
        <v/>
      </c>
      <c r="AK104" s="639" cm="1">
        <f t="array" ref="AK104">_xlfn.SINGLE(IF(ISERROR(_xll.FDSB($C$2,"FE_ESTIMATE(Total_RPO,MEAN,QUARTERLY_ROLL,"&amp;AK$9&amp;","&amp;$C$5&amp;",,,'')")), "--", _xll.FDSB($C$2,"FE_ESTIMATE(Total_RPO,MEAN,QUARTERLY_ROLL,"&amp;AK$9&amp;","&amp;$C$5&amp;",,,'')")))</f>
        <v>15100</v>
      </c>
      <c r="AL104" s="640" cm="1">
        <f t="array" ref="AL104">_xlfn.SINGLE(IF(ISERROR(_xll.FDSB($C$2,"FE_ESTIMATE(Total_RPO,MEAN,ANNUAL_ROLL,"&amp;AL$9&amp;","&amp;$C$5&amp;",,,'')")), "--", _xll.FDSB($C$2,"FE_ESTIMATE(Total_RPO,MEAN,ANNUAL_ROLL,"&amp;AL$9&amp;","&amp;$C$5&amp;",,,'')")))</f>
        <v>15100</v>
      </c>
      <c r="AM104" s="639" t="str" cm="1">
        <f t="array" ref="AM104">_xlfn.SINGLE(IF(ISERROR(_xll.FDSB($C$2,"FE_ESTIMATE(Total_RPO,MEAN,QUARTERLY_ROLL,"&amp;AM$9&amp;","&amp;$C$5&amp;",,,'')")), "--", _xll.FDSB($C$2,"FE_ESTIMATE(Total_RPO,MEAN,QUARTERLY_ROLL,"&amp;AM$9&amp;","&amp;$C$5&amp;",,,'')")))</f>
        <v/>
      </c>
      <c r="AN104" s="639" t="str" cm="1">
        <f t="array" ref="AN104">_xlfn.SINGLE(IF(ISERROR(_xll.FDSB($C$2,"FE_ESTIMATE(Total_RPO,MEAN,QUARTERLY_ROLL,"&amp;AN$9&amp;","&amp;$C$5&amp;",,,'')")), "--", _xll.FDSB($C$2,"FE_ESTIMATE(Total_RPO,MEAN,QUARTERLY_ROLL,"&amp;AN$9&amp;","&amp;$C$5&amp;",,,'')")))</f>
        <v/>
      </c>
      <c r="AO104" s="639" t="str" cm="1">
        <f t="array" ref="AO104">_xlfn.SINGLE(IF(ISERROR(_xll.FDSB($C$2,"FE_ESTIMATE(Total_RPO,MEAN,QUARTERLY_ROLL,"&amp;AO$9&amp;","&amp;$C$5&amp;",,,'')")), "--", _xll.FDSB($C$2,"FE_ESTIMATE(Total_RPO,MEAN,QUARTERLY_ROLL,"&amp;AO$9&amp;","&amp;$C$5&amp;",,,'')")))</f>
        <v/>
      </c>
      <c r="AP104" s="639" t="str" cm="1">
        <f t="array" ref="AP104">_xlfn.SINGLE(IF(ISERROR(_xll.FDSB($C$2,"FE_ESTIMATE(Total_RPO,MEAN,QUARTERLY_ROLL,"&amp;AP$9&amp;","&amp;$C$5&amp;",,,'')")), "--", _xll.FDSB($C$2,"FE_ESTIMATE(Total_RPO,MEAN,QUARTERLY_ROLL,"&amp;AP$9&amp;","&amp;$C$5&amp;",,,'')")))</f>
        <v/>
      </c>
      <c r="AQ104" s="640" t="str" cm="1">
        <f t="array" ref="AQ104">_xlfn.SINGLE(IF(ISERROR(_xll.FDSB($C$2,"FE_ESTIMATE(Total_RPO,MEAN,ANNUAL_ROLL,"&amp;AQ$9&amp;","&amp;$C$5&amp;",,,'')")), "--", _xll.FDSB($C$2,"FE_ESTIMATE(Total_RPO,MEAN,ANNUAL_ROLL,"&amp;AQ$9&amp;","&amp;$C$5&amp;",,,'')")))</f>
        <v/>
      </c>
      <c r="AR104" s="639" t="str" cm="1">
        <f t="array" ref="AR104">_xlfn.SINGLE(IF(ISERROR(_xll.FDSB($C$2,"FE_ESTIMATE(Total_RPO,MEAN,QUARTERLY_ROLL,"&amp;AR$9&amp;","&amp;$C$5&amp;",,,'')")), "--", _xll.FDSB($C$2,"FE_ESTIMATE(Total_RPO,MEAN,QUARTERLY_ROLL,"&amp;AR$9&amp;","&amp;$C$5&amp;",,,'')")))</f>
        <v/>
      </c>
      <c r="AS104" s="639" t="str" cm="1">
        <f t="array" ref="AS104">_xlfn.SINGLE(IF(ISERROR(_xll.FDSB($C$2,"FE_ESTIMATE(Total_RPO,MEAN,QUARTERLY_ROLL,"&amp;AS$9&amp;","&amp;$C$5&amp;",,,'')")), "--", _xll.FDSB($C$2,"FE_ESTIMATE(Total_RPO,MEAN,QUARTERLY_ROLL,"&amp;AS$9&amp;","&amp;$C$5&amp;",,,'')")))</f>
        <v/>
      </c>
      <c r="AT104" s="639" t="str" cm="1">
        <f t="array" ref="AT104">_xlfn.SINGLE(IF(ISERROR(_xll.FDSB($C$2,"FE_ESTIMATE(Total_RPO,MEAN,QUARTERLY_ROLL,"&amp;AT$9&amp;","&amp;$C$5&amp;",,,'')")), "--", _xll.FDSB($C$2,"FE_ESTIMATE(Total_RPO,MEAN,QUARTERLY_ROLL,"&amp;AT$9&amp;","&amp;$C$5&amp;",,,'')")))</f>
        <v/>
      </c>
      <c r="AU104" s="639" t="str" cm="1">
        <f t="array" ref="AU104">_xlfn.SINGLE(IF(ISERROR(_xll.FDSB($C$2,"FE_ESTIMATE(Total_RPO,MEAN,QUARTERLY_ROLL,"&amp;AU$9&amp;","&amp;$C$5&amp;",,,'')")), "--", _xll.FDSB($C$2,"FE_ESTIMATE(Total_RPO,MEAN,QUARTERLY_ROLL,"&amp;AU$9&amp;","&amp;$C$5&amp;",,,'')")))</f>
        <v/>
      </c>
      <c r="AV104" s="640" t="str" cm="1">
        <f t="array" ref="AV104">_xlfn.SINGLE(IF(ISERROR(_xll.FDSB($C$2,"FE_ESTIMATE(Total_RPO,MEAN,ANNUAL_ROLL,"&amp;AV$9&amp;","&amp;$C$5&amp;",,,'')")), "--", _xll.FDSB($C$2,"FE_ESTIMATE(Total_RPO,MEAN,ANNUAL_ROLL,"&amp;AV$9&amp;","&amp;$C$5&amp;",,,'')")))</f>
        <v/>
      </c>
      <c r="AW104" s="639" t="str" cm="1">
        <f t="array" ref="AW104">_xlfn.SINGLE(IF(ISERROR(_xll.FDSB($C$2,"FE_ESTIMATE(Total_RPO,MEAN,QUARTERLY_ROLL,"&amp;AW$9&amp;","&amp;$C$5&amp;",,,'')")), "--", _xll.FDSB($C$2,"FE_ESTIMATE(Total_RPO,MEAN,QUARTERLY_ROLL,"&amp;AW$9&amp;","&amp;$C$5&amp;",,,'')")))</f>
        <v/>
      </c>
      <c r="AX104" s="639" t="str" cm="1">
        <f t="array" ref="AX104">_xlfn.SINGLE(IF(ISERROR(_xll.FDSB($C$2,"FE_ESTIMATE(Total_RPO,MEAN,QUARTERLY_ROLL,"&amp;AX$9&amp;","&amp;$C$5&amp;",,,'')")), "--", _xll.FDSB($C$2,"FE_ESTIMATE(Total_RPO,MEAN,QUARTERLY_ROLL,"&amp;AX$9&amp;","&amp;$C$5&amp;",,,'')")))</f>
        <v/>
      </c>
      <c r="AY104" s="639" t="str" cm="1">
        <f t="array" ref="AY104">_xlfn.SINGLE(IF(ISERROR(_xll.FDSB($C$2,"FE_ESTIMATE(Total_RPO,MEAN,QUARTERLY_ROLL,"&amp;AY$9&amp;","&amp;$C$5&amp;",,,'')")), "--", _xll.FDSB($C$2,"FE_ESTIMATE(Total_RPO,MEAN,QUARTERLY_ROLL,"&amp;AY$9&amp;","&amp;$C$5&amp;",,,'')")))</f>
        <v/>
      </c>
      <c r="AZ104" s="639" t="str" cm="1">
        <f t="array" ref="AZ104">_xlfn.SINGLE(IF(ISERROR(_xll.FDSB($C$2,"FE_ESTIMATE(Total_RPO,MEAN,QUARTERLY_ROLL,"&amp;AZ$9&amp;","&amp;$C$5&amp;",,,'')")), "--", _xll.FDSB($C$2,"FE_ESTIMATE(Total_RPO,MEAN,QUARTERLY_ROLL,"&amp;AZ$9&amp;","&amp;$C$5&amp;",,,'')")))</f>
        <v/>
      </c>
      <c r="BA104" s="640" t="str" cm="1">
        <f t="array" ref="BA104">_xlfn.SINGLE(IF(ISERROR(_xll.FDSB($C$2,"FE_ESTIMATE(Total_RPO,MEAN,ANNUAL_ROLL,"&amp;BA$9&amp;","&amp;$C$5&amp;",,,'')")), "--", _xll.FDSB($C$2,"FE_ESTIMATE(Total_RPO,MEAN,ANNUAL_ROLL,"&amp;BA$9&amp;","&amp;$C$5&amp;",,,'')")))</f>
        <v/>
      </c>
      <c r="BB104" s="639" t="str" cm="1">
        <f t="array" ref="BB104">_xlfn.SINGLE(IF(ISERROR(_xll.FDSB($C$2,"FE_ESTIMATE(Total_RPO,MEAN,QUARTERLY_ROLL,"&amp;BB$9&amp;","&amp;$C$5&amp;",,,'')")), "--", _xll.FDSB($C$2,"FE_ESTIMATE(Total_RPO,MEAN,QUARTERLY_ROLL,"&amp;BB$9&amp;","&amp;$C$5&amp;",,,'')")))</f>
        <v/>
      </c>
      <c r="BC104" s="639" t="str" cm="1">
        <f t="array" ref="BC104">_xlfn.SINGLE(IF(ISERROR(_xll.FDSB($C$2,"FE_ESTIMATE(Total_RPO,MEAN,QUARTERLY_ROLL,"&amp;BC$9&amp;","&amp;$C$5&amp;",,,'')")), "--", _xll.FDSB($C$2,"FE_ESTIMATE(Total_RPO,MEAN,QUARTERLY_ROLL,"&amp;BC$9&amp;","&amp;$C$5&amp;",,,'')")))</f>
        <v/>
      </c>
      <c r="BD104" s="639" t="str" cm="1">
        <f t="array" ref="BD104">_xlfn.SINGLE(IF(ISERROR(_xll.FDSB($C$2,"FE_ESTIMATE(Total_RPO,MEAN,QUARTERLY_ROLL,"&amp;BD$9&amp;","&amp;$C$5&amp;",,,'')")), "--", _xll.FDSB($C$2,"FE_ESTIMATE(Total_RPO,MEAN,QUARTERLY_ROLL,"&amp;BD$9&amp;","&amp;$C$5&amp;",,,'')")))</f>
        <v/>
      </c>
      <c r="BE104" s="639" t="str" cm="1">
        <f t="array" ref="BE104">_xlfn.SINGLE(IF(ISERROR(_xll.FDSB($C$2,"FE_ESTIMATE(Total_RPO,MEAN,QUARTERLY_ROLL,"&amp;BE$9&amp;","&amp;$C$5&amp;",,,'')")), "--", _xll.FDSB($C$2,"FE_ESTIMATE(Total_RPO,MEAN,QUARTERLY_ROLL,"&amp;BE$9&amp;","&amp;$C$5&amp;",,,'')")))</f>
        <v/>
      </c>
      <c r="BF104" s="640" t="str" cm="1">
        <f t="array" ref="BF104">_xlfn.SINGLE(IF(ISERROR(_xll.FDSB($C$2,"FE_ESTIMATE(Total_RPO,MEAN,ANNUAL_ROLL,"&amp;BF$9&amp;","&amp;$C$5&amp;",,,'')")), "--", _xll.FDSB($C$2,"FE_ESTIMATE(Total_RPO,MEAN,ANNUAL_ROLL,"&amp;BF$9&amp;","&amp;$C$5&amp;",,,'')")))</f>
        <v/>
      </c>
      <c r="BG104" s="639" t="str" cm="1">
        <f t="array" ref="BG104">_xlfn.SINGLE(IF(ISERROR(_xll.FDSB($C$2,"FE_ESTIMATE(Total_RPO,MEAN,QUARTERLY_ROLL,"&amp;BG$9&amp;","&amp;$C$5&amp;",,,'')")), "--", _xll.FDSB($C$2,"FE_ESTIMATE(Total_RPO,MEAN,QUARTERLY_ROLL,"&amp;BG$9&amp;","&amp;$C$5&amp;",,,'')")))</f>
        <v/>
      </c>
      <c r="BH104" s="639" t="str" cm="1">
        <f t="array" ref="BH104">_xlfn.SINGLE(IF(ISERROR(_xll.FDSB($C$2,"FE_ESTIMATE(Total_RPO,MEAN,QUARTERLY_ROLL,"&amp;BH$9&amp;","&amp;$C$5&amp;",,,'')")), "--", _xll.FDSB($C$2,"FE_ESTIMATE(Total_RPO,MEAN,QUARTERLY_ROLL,"&amp;BH$9&amp;","&amp;$C$5&amp;",,,'')")))</f>
        <v/>
      </c>
      <c r="BI104" s="639" t="str" cm="1">
        <f t="array" ref="BI104">_xlfn.SINGLE(IF(ISERROR(_xll.FDSB($C$2,"FE_ESTIMATE(Total_RPO,MEAN,QUARTERLY_ROLL,"&amp;BI$9&amp;","&amp;$C$5&amp;",,,'')")), "--", _xll.FDSB($C$2,"FE_ESTIMATE(Total_RPO,MEAN,QUARTERLY_ROLL,"&amp;BI$9&amp;","&amp;$C$5&amp;",,,'')")))</f>
        <v/>
      </c>
      <c r="BJ104" s="639" t="str" cm="1">
        <f t="array" ref="BJ104">_xlfn.SINGLE(IF(ISERROR(_xll.FDSB($C$2,"FE_ESTIMATE(Total_RPO,MEAN,QUARTERLY_ROLL,"&amp;BJ$9&amp;","&amp;$C$5&amp;",,,'')")), "--", _xll.FDSB($C$2,"FE_ESTIMATE(Total_RPO,MEAN,QUARTERLY_ROLL,"&amp;BJ$9&amp;","&amp;$C$5&amp;",,,'')")))</f>
        <v/>
      </c>
      <c r="BK104" s="640" t="str" cm="1">
        <f t="array" ref="BK104">_xlfn.SINGLE(IF(ISERROR(_xll.FDSB($C$2,"FE_ESTIMATE(Total_RPO,MEAN,ANNUAL_ROLL,"&amp;BK$9&amp;","&amp;$C$5&amp;",,,'')")), "--", _xll.FDSB($C$2,"FE_ESTIMATE(Total_RPO,MEAN,ANNUAL_ROLL,"&amp;BK$9&amp;","&amp;$C$5&amp;",,,'')")))</f>
        <v/>
      </c>
    </row>
    <row r="105" spans="1:63" s="71" customFormat="1" ht="12.75" customHeight="1" outlineLevel="1">
      <c r="A105" s="67" t="s">
        <v>321</v>
      </c>
      <c r="B105" s="68" t="s">
        <v>31</v>
      </c>
      <c r="C105" s="68"/>
      <c r="D105" s="69"/>
      <c r="E105" s="69"/>
      <c r="F105" s="69"/>
      <c r="G105" s="69"/>
      <c r="H105" s="70"/>
      <c r="I105" s="69" t="str">
        <f t="shared" ref="I105:AN105" si="58">IFERROR(I104/D104-1,"")</f>
        <v/>
      </c>
      <c r="J105" s="69" t="str">
        <f t="shared" si="58"/>
        <v/>
      </c>
      <c r="K105" s="69" t="str">
        <f t="shared" si="58"/>
        <v/>
      </c>
      <c r="L105" s="69" t="str">
        <f t="shared" si="58"/>
        <v/>
      </c>
      <c r="M105" s="70" t="str">
        <f t="shared" si="58"/>
        <v/>
      </c>
      <c r="N105" s="69" t="str">
        <f t="shared" si="58"/>
        <v/>
      </c>
      <c r="O105" s="69" t="str">
        <f t="shared" si="58"/>
        <v/>
      </c>
      <c r="P105" s="69" t="str">
        <f t="shared" si="58"/>
        <v/>
      </c>
      <c r="Q105" s="69" t="str">
        <f t="shared" si="58"/>
        <v/>
      </c>
      <c r="R105" s="70" t="str">
        <f t="shared" si="58"/>
        <v/>
      </c>
      <c r="S105" s="69" t="str">
        <f t="shared" si="58"/>
        <v/>
      </c>
      <c r="T105" s="69" t="str">
        <f t="shared" si="58"/>
        <v/>
      </c>
      <c r="U105" s="69" t="str">
        <f t="shared" si="58"/>
        <v/>
      </c>
      <c r="V105" s="69" t="str">
        <f t="shared" si="58"/>
        <v/>
      </c>
      <c r="W105" s="70" t="str">
        <f t="shared" si="58"/>
        <v/>
      </c>
      <c r="X105" s="69" t="str">
        <f t="shared" si="58"/>
        <v/>
      </c>
      <c r="Y105" s="69" t="str">
        <f t="shared" si="58"/>
        <v/>
      </c>
      <c r="Z105" s="69" t="str">
        <f t="shared" si="58"/>
        <v/>
      </c>
      <c r="AA105" s="69" t="str">
        <f t="shared" si="58"/>
        <v/>
      </c>
      <c r="AB105" s="70" t="str">
        <f t="shared" si="58"/>
        <v/>
      </c>
      <c r="AC105" s="69" t="str">
        <f t="shared" si="58"/>
        <v/>
      </c>
      <c r="AD105" s="69" t="str">
        <f t="shared" si="58"/>
        <v/>
      </c>
      <c r="AE105" s="69" t="str">
        <f t="shared" si="58"/>
        <v/>
      </c>
      <c r="AF105" s="69" t="str">
        <f t="shared" si="58"/>
        <v/>
      </c>
      <c r="AG105" s="70" t="str">
        <f t="shared" si="58"/>
        <v/>
      </c>
      <c r="AH105" s="69" t="str">
        <f t="shared" si="58"/>
        <v/>
      </c>
      <c r="AI105" s="69" t="str">
        <f t="shared" si="58"/>
        <v/>
      </c>
      <c r="AJ105" s="69" t="str">
        <f t="shared" si="58"/>
        <v/>
      </c>
      <c r="AK105" s="69" t="str">
        <f t="shared" si="58"/>
        <v/>
      </c>
      <c r="AL105" s="70" t="str">
        <f t="shared" si="58"/>
        <v/>
      </c>
      <c r="AM105" s="69" t="str">
        <f t="shared" si="58"/>
        <v/>
      </c>
      <c r="AN105" s="69" t="str">
        <f t="shared" si="58"/>
        <v/>
      </c>
      <c r="AO105" s="69" t="str">
        <f t="shared" ref="AO105:BK105" si="59">IFERROR(AO104/AJ104-1,"")</f>
        <v/>
      </c>
      <c r="AP105" s="69" t="str">
        <f t="shared" si="59"/>
        <v/>
      </c>
      <c r="AQ105" s="70" t="str">
        <f t="shared" si="59"/>
        <v/>
      </c>
      <c r="AR105" s="69" t="str">
        <f t="shared" si="59"/>
        <v/>
      </c>
      <c r="AS105" s="69" t="str">
        <f t="shared" si="59"/>
        <v/>
      </c>
      <c r="AT105" s="69" t="str">
        <f t="shared" si="59"/>
        <v/>
      </c>
      <c r="AU105" s="69" t="str">
        <f t="shared" si="59"/>
        <v/>
      </c>
      <c r="AV105" s="70" t="str">
        <f t="shared" si="59"/>
        <v/>
      </c>
      <c r="AW105" s="69" t="str">
        <f t="shared" si="59"/>
        <v/>
      </c>
      <c r="AX105" s="69" t="str">
        <f t="shared" si="59"/>
        <v/>
      </c>
      <c r="AY105" s="69" t="str">
        <f t="shared" si="59"/>
        <v/>
      </c>
      <c r="AZ105" s="69" t="str">
        <f t="shared" si="59"/>
        <v/>
      </c>
      <c r="BA105" s="70" t="str">
        <f t="shared" si="59"/>
        <v/>
      </c>
      <c r="BB105" s="69" t="str">
        <f t="shared" si="59"/>
        <v/>
      </c>
      <c r="BC105" s="69" t="str">
        <f t="shared" si="59"/>
        <v/>
      </c>
      <c r="BD105" s="69" t="str">
        <f t="shared" si="59"/>
        <v/>
      </c>
      <c r="BE105" s="69" t="str">
        <f t="shared" si="59"/>
        <v/>
      </c>
      <c r="BF105" s="70" t="str">
        <f t="shared" si="59"/>
        <v/>
      </c>
      <c r="BG105" s="69" t="str">
        <f t="shared" si="59"/>
        <v/>
      </c>
      <c r="BH105" s="69" t="str">
        <f t="shared" si="59"/>
        <v/>
      </c>
      <c r="BI105" s="69" t="str">
        <f t="shared" si="59"/>
        <v/>
      </c>
      <c r="BJ105" s="69" t="str">
        <f t="shared" si="59"/>
        <v/>
      </c>
      <c r="BK105" s="70" t="str">
        <f t="shared" si="59"/>
        <v/>
      </c>
    </row>
    <row r="106" spans="1:63" s="71" customFormat="1" ht="12.75" customHeight="1" outlineLevel="1">
      <c r="A106" s="67" t="s">
        <v>322</v>
      </c>
      <c r="B106" s="68" t="s">
        <v>33</v>
      </c>
      <c r="C106" s="68"/>
      <c r="D106" s="69"/>
      <c r="E106" s="69"/>
      <c r="F106" s="69"/>
      <c r="G106" s="69"/>
      <c r="H106" s="72"/>
      <c r="I106" s="69" t="str">
        <f>IFERROR(I104/G104-1,"")</f>
        <v/>
      </c>
      <c r="J106" s="69" t="str">
        <f>IFERROR(J104/I104-1,"")</f>
        <v/>
      </c>
      <c r="K106" s="69" t="str">
        <f>IFERROR(K104/J104-1,"")</f>
        <v/>
      </c>
      <c r="L106" s="69" t="str">
        <f>IFERROR(L104/K104-1,"")</f>
        <v/>
      </c>
      <c r="M106" s="72"/>
      <c r="N106" s="69" t="str">
        <f>IFERROR(N104/L104-1,"")</f>
        <v/>
      </c>
      <c r="O106" s="69" t="str">
        <f>IFERROR(O104/N104-1,"")</f>
        <v/>
      </c>
      <c r="P106" s="69" t="str">
        <f>IFERROR(P104/O104-1,"")</f>
        <v/>
      </c>
      <c r="Q106" s="69" t="str">
        <f>IFERROR(Q104/P104-1,"")</f>
        <v/>
      </c>
      <c r="R106" s="72"/>
      <c r="S106" s="69" t="str">
        <f>IFERROR(S104/Q104-1,"")</f>
        <v/>
      </c>
      <c r="T106" s="69" t="str">
        <f>IFERROR(T104/S104-1,"")</f>
        <v/>
      </c>
      <c r="U106" s="69" t="str">
        <f>IFERROR(U104/T104-1,"")</f>
        <v/>
      </c>
      <c r="V106" s="69" t="str">
        <f>IFERROR(V104/U104-1,"")</f>
        <v/>
      </c>
      <c r="W106" s="72"/>
      <c r="X106" s="69" t="str">
        <f>IFERROR(X104/V104-1,"")</f>
        <v/>
      </c>
      <c r="Y106" s="69" t="str">
        <f>IFERROR(Y104/X104-1,"")</f>
        <v/>
      </c>
      <c r="Z106" s="69" t="str">
        <f>IFERROR(Z104/Y104-1,"")</f>
        <v/>
      </c>
      <c r="AA106" s="69" t="str">
        <f>IFERROR(AA104/Z104-1,"")</f>
        <v/>
      </c>
      <c r="AB106" s="72"/>
      <c r="AC106" s="69" t="str">
        <f>IFERROR(AC104/AA104-1,"")</f>
        <v/>
      </c>
      <c r="AD106" s="69" t="str">
        <f>IFERROR(AD104/AC104-1,"")</f>
        <v/>
      </c>
      <c r="AE106" s="69" t="str">
        <f>IFERROR(AE104/AD104-1,"")</f>
        <v/>
      </c>
      <c r="AF106" s="69" t="str">
        <f>IFERROR(AF104/AE104-1,"")</f>
        <v/>
      </c>
      <c r="AG106" s="72"/>
      <c r="AH106" s="69" t="str">
        <f>IFERROR(AH104/AF104-1,"")</f>
        <v/>
      </c>
      <c r="AI106" s="69" t="str">
        <f>IFERROR(AI104/AH104-1,"")</f>
        <v/>
      </c>
      <c r="AJ106" s="69" t="str">
        <f>IFERROR(AJ104/AI104-1,"")</f>
        <v/>
      </c>
      <c r="AK106" s="69" t="str">
        <f>IFERROR(AK104/AJ104-1,"")</f>
        <v/>
      </c>
      <c r="AL106" s="72"/>
      <c r="AM106" s="69" t="str">
        <f>IFERROR(AM104/AK104-1,"")</f>
        <v/>
      </c>
      <c r="AN106" s="69" t="str">
        <f>IFERROR(AN104/AM104-1,"")</f>
        <v/>
      </c>
      <c r="AO106" s="69" t="str">
        <f>IFERROR(AO104/AN104-1,"")</f>
        <v/>
      </c>
      <c r="AP106" s="69" t="str">
        <f>IFERROR(AP104/AO104-1,"")</f>
        <v/>
      </c>
      <c r="AQ106" s="72"/>
      <c r="AR106" s="69" t="str">
        <f>IFERROR(AR104/AP104-1,"")</f>
        <v/>
      </c>
      <c r="AS106" s="69" t="str">
        <f>IFERROR(AS104/AR104-1,"")</f>
        <v/>
      </c>
      <c r="AT106" s="69" t="str">
        <f>IFERROR(AT104/AS104-1,"")</f>
        <v/>
      </c>
      <c r="AU106" s="69" t="str">
        <f>IFERROR(AU104/AT104-1,"")</f>
        <v/>
      </c>
      <c r="AV106" s="72"/>
      <c r="AW106" s="69" t="str">
        <f>IFERROR(AW104/AU104-1,"")</f>
        <v/>
      </c>
      <c r="AX106" s="69" t="str">
        <f>IFERROR(AX104/AW104-1,"")</f>
        <v/>
      </c>
      <c r="AY106" s="69" t="str">
        <f>IFERROR(AY104/AX104-1,"")</f>
        <v/>
      </c>
      <c r="AZ106" s="69" t="str">
        <f>IFERROR(AZ104/AY104-1,"")</f>
        <v/>
      </c>
      <c r="BA106" s="72"/>
      <c r="BB106" s="69" t="str">
        <f>IFERROR(BB104/AZ104-1,"")</f>
        <v/>
      </c>
      <c r="BC106" s="69" t="str">
        <f>IFERROR(BC104/BB104-1,"")</f>
        <v/>
      </c>
      <c r="BD106" s="69" t="str">
        <f>IFERROR(BD104/BC104-1,"")</f>
        <v/>
      </c>
      <c r="BE106" s="69" t="str">
        <f>IFERROR(BE104/BD104-1,"")</f>
        <v/>
      </c>
      <c r="BF106" s="72"/>
      <c r="BG106" s="69" t="str">
        <f>IFERROR(BG104/BE104-1,"")</f>
        <v/>
      </c>
      <c r="BH106" s="69" t="str">
        <f>IFERROR(BH104/BG104-1,"")</f>
        <v/>
      </c>
      <c r="BI106" s="69" t="str">
        <f>IFERROR(BI104/BH104-1,"")</f>
        <v/>
      </c>
      <c r="BJ106" s="69" t="str">
        <f>IFERROR(BJ104/BI104-1,"")</f>
        <v/>
      </c>
      <c r="BK106" s="72"/>
    </row>
    <row r="107" spans="1:63" s="71" customFormat="1" ht="12.75" customHeight="1">
      <c r="A107" s="53"/>
      <c r="B107" s="68"/>
      <c r="C107" s="68"/>
      <c r="D107" s="82"/>
      <c r="E107" s="69"/>
      <c r="F107" s="69"/>
      <c r="G107" s="69"/>
      <c r="H107" s="70"/>
      <c r="I107" s="69"/>
      <c r="J107" s="69"/>
      <c r="K107" s="69"/>
      <c r="L107" s="69"/>
      <c r="M107" s="72"/>
      <c r="N107" s="69"/>
      <c r="O107" s="69"/>
      <c r="P107" s="69"/>
      <c r="Q107" s="69"/>
      <c r="R107" s="72"/>
      <c r="S107" s="69"/>
      <c r="T107" s="69"/>
      <c r="U107" s="69"/>
      <c r="V107" s="69"/>
      <c r="W107" s="72"/>
      <c r="X107" s="69"/>
      <c r="Y107" s="69"/>
      <c r="Z107" s="69"/>
      <c r="AA107" s="69"/>
      <c r="AB107" s="72"/>
      <c r="AC107" s="69"/>
      <c r="AD107" s="69"/>
      <c r="AE107" s="69"/>
      <c r="AF107" s="69"/>
      <c r="AG107" s="72"/>
      <c r="AH107" s="69"/>
      <c r="AI107" s="69"/>
      <c r="AJ107" s="69"/>
      <c r="AK107" s="69"/>
      <c r="AL107" s="72"/>
      <c r="AM107" s="69"/>
      <c r="AN107" s="69"/>
      <c r="AO107" s="69"/>
      <c r="AP107" s="69"/>
      <c r="AQ107" s="72"/>
      <c r="AR107" s="69"/>
      <c r="AS107" s="69"/>
      <c r="AT107" s="69"/>
      <c r="AU107" s="69"/>
      <c r="AV107" s="72"/>
      <c r="AW107" s="69"/>
      <c r="AX107" s="69"/>
      <c r="AY107" s="69"/>
      <c r="AZ107" s="69"/>
      <c r="BA107" s="72"/>
      <c r="BB107" s="69"/>
      <c r="BC107" s="69"/>
      <c r="BD107" s="69"/>
      <c r="BE107" s="69"/>
      <c r="BF107" s="72"/>
      <c r="BG107" s="69"/>
      <c r="BH107" s="69"/>
      <c r="BI107" s="69"/>
      <c r="BJ107" s="69"/>
      <c r="BK107" s="72"/>
    </row>
    <row r="108" spans="1:63" ht="12.75" customHeight="1">
      <c r="I108" s="88"/>
      <c r="J108" s="88"/>
      <c r="K108" s="88"/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  <c r="AQ108" s="88"/>
      <c r="AR108" s="88"/>
      <c r="AS108" s="88"/>
      <c r="AT108" s="88"/>
      <c r="AU108" s="88"/>
      <c r="AV108" s="88"/>
      <c r="AW108" s="88"/>
      <c r="AX108" s="88"/>
      <c r="AY108" s="88"/>
      <c r="AZ108" s="88"/>
      <c r="BA108" s="88"/>
      <c r="BB108" s="88"/>
      <c r="BC108" s="88"/>
      <c r="BD108" s="88"/>
      <c r="BE108" s="88"/>
      <c r="BF108" s="88"/>
      <c r="BG108" s="88"/>
      <c r="BH108" s="88"/>
      <c r="BI108" s="88"/>
      <c r="BJ108" s="88"/>
      <c r="BK108" s="88"/>
    </row>
  </sheetData>
  <pageMargins left="0.7" right="0.7" top="0.75" bottom="0.75" header="0.3" footer="0.3"/>
  <customProperties>
    <customPr name="Qube.Worksheet.Visibility" r:id="rId1"/>
  </customPropertie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5347F-C959-4C2D-83AB-5F93D2BC189B}">
  <sheetPr codeName="Sheet18">
    <tabColor theme="5"/>
  </sheetPr>
  <dimension ref="A1:AD89"/>
  <sheetViews>
    <sheetView showGridLines="0" zoomScaleNormal="100" workbookViewId="0">
      <selection activeCell="N41" sqref="N41"/>
    </sheetView>
  </sheetViews>
  <sheetFormatPr defaultRowHeight="12.75"/>
  <cols>
    <col min="1" max="2" width="3.7109375" customWidth="1"/>
    <col min="3" max="3" width="10.7109375" customWidth="1"/>
    <col min="4" max="4" width="19" customWidth="1"/>
    <col min="5" max="5" width="10.7109375" customWidth="1"/>
    <col min="6" max="6" width="3.7109375" customWidth="1"/>
    <col min="7" max="7" width="18" customWidth="1"/>
    <col min="8" max="8" width="17.28515625" customWidth="1"/>
    <col min="9" max="9" width="9.42578125" customWidth="1"/>
    <col min="11" max="11" width="23.42578125" customWidth="1"/>
  </cols>
  <sheetData>
    <row r="1" spans="2:30" ht="13.5" thickBot="1"/>
    <row r="2" spans="2:30" ht="13.5" thickBot="1">
      <c r="C2" s="843" t="s">
        <v>423</v>
      </c>
      <c r="D2" s="842"/>
      <c r="E2" s="845"/>
      <c r="G2" s="843" t="s">
        <v>567</v>
      </c>
      <c r="H2" s="842"/>
      <c r="I2" s="845"/>
      <c r="K2" s="987"/>
      <c r="L2" s="982" t="s">
        <v>359</v>
      </c>
      <c r="M2" s="982"/>
      <c r="N2" s="982"/>
      <c r="O2" s="982" t="s">
        <v>513</v>
      </c>
      <c r="P2" s="982"/>
      <c r="Q2" s="982"/>
      <c r="R2" s="982" t="s">
        <v>360</v>
      </c>
      <c r="S2" s="982"/>
      <c r="T2" s="982"/>
      <c r="U2" s="982" t="s">
        <v>361</v>
      </c>
      <c r="V2" s="982"/>
      <c r="W2" s="982"/>
      <c r="X2" s="982" t="s">
        <v>423</v>
      </c>
      <c r="Y2" s="982"/>
      <c r="Z2" s="982"/>
      <c r="AA2" s="982" t="s">
        <v>514</v>
      </c>
      <c r="AB2" s="983"/>
      <c r="AC2" s="983"/>
    </row>
    <row r="3" spans="2:30" ht="13.5" thickBot="1">
      <c r="C3" s="828"/>
      <c r="E3" s="829"/>
      <c r="G3" s="828"/>
      <c r="I3" s="829"/>
      <c r="K3" s="975"/>
      <c r="L3" s="973" t="s">
        <v>367</v>
      </c>
      <c r="M3" s="973" t="s">
        <v>368</v>
      </c>
      <c r="N3" s="973" t="s">
        <v>521</v>
      </c>
      <c r="O3" s="973" t="str">
        <f t="shared" ref="O3:AC3" si="0">L3</f>
        <v>CY25</v>
      </c>
      <c r="P3" s="973" t="str">
        <f t="shared" si="0"/>
        <v>CY26</v>
      </c>
      <c r="Q3" s="973" t="str">
        <f t="shared" si="0"/>
        <v>CY27</v>
      </c>
      <c r="R3" s="973" t="str">
        <f t="shared" si="0"/>
        <v>CY25</v>
      </c>
      <c r="S3" s="973" t="str">
        <f t="shared" si="0"/>
        <v>CY26</v>
      </c>
      <c r="T3" s="973" t="str">
        <f t="shared" si="0"/>
        <v>CY27</v>
      </c>
      <c r="U3" s="973" t="str">
        <f>R3</f>
        <v>CY25</v>
      </c>
      <c r="V3" s="973" t="str">
        <f>S3</f>
        <v>CY26</v>
      </c>
      <c r="W3" s="973" t="str">
        <f>T3</f>
        <v>CY27</v>
      </c>
      <c r="X3" s="973" t="str">
        <f>R3</f>
        <v>CY25</v>
      </c>
      <c r="Y3" s="973" t="str">
        <f>S3</f>
        <v>CY26</v>
      </c>
      <c r="Z3" s="973" t="str">
        <f>T3</f>
        <v>CY27</v>
      </c>
      <c r="AA3" s="973" t="str">
        <f t="shared" si="0"/>
        <v>CY25</v>
      </c>
      <c r="AB3" s="974" t="str">
        <f t="shared" si="0"/>
        <v>CY26</v>
      </c>
      <c r="AC3" s="1078" t="str">
        <f t="shared" si="0"/>
        <v>CY27</v>
      </c>
    </row>
    <row r="4" spans="2:30">
      <c r="C4" s="924" t="s">
        <v>530</v>
      </c>
      <c r="E4" s="986">
        <f>M29</f>
        <v>510.20473194835085</v>
      </c>
      <c r="G4" s="924" t="s">
        <v>530</v>
      </c>
      <c r="I4" s="986">
        <f>M29</f>
        <v>510.20473194835085</v>
      </c>
      <c r="K4" s="1081" t="s">
        <v>8</v>
      </c>
      <c r="L4" s="976">
        <f>_xlfn.XLOOKUP($K4,'[2]Comps Table'!$C:$C,'[2]Comps Table'!P:P)</f>
        <v>0.11797335390867891</v>
      </c>
      <c r="M4" s="976">
        <f>_xlfn.XLOOKUP($K4,'[2]Comps Table'!$C:$C,'[2]Comps Table'!Q:Q)</f>
        <v>0.13198400643197616</v>
      </c>
      <c r="N4" s="1079">
        <f>_xlfn.XLOOKUP($K4,'[2]Comps Table'!$C:$C,'[2]Comps Table'!R:R)</f>
        <v>0.17146947303608084</v>
      </c>
      <c r="O4" s="976">
        <f>_xlfn.XLOOKUP($K4,'[2]Comps Table'!$C:$C,'[2]Comps Table'!AF:AF)</f>
        <v>0.44795465582662419</v>
      </c>
      <c r="P4" s="976">
        <f>_xlfn.XLOOKUP($K4,'[2]Comps Table'!$C:$C,'[2]Comps Table'!AG:AG)</f>
        <v>0.4552724989832268</v>
      </c>
      <c r="Q4" s="1079">
        <f>_xlfn.XLOOKUP($K4,'[2]Comps Table'!$C:$C,'[2]Comps Table'!AH:AH)</f>
        <v>0.44540800816471593</v>
      </c>
      <c r="R4" s="977">
        <f>_xlfn.XLOOKUP($K4,'[2]Comps Table'!$C:$C,'[2]Comps Table'!CF:CF)</f>
        <v>10.018524867088692</v>
      </c>
      <c r="S4" s="977">
        <f>_xlfn.XLOOKUP($K4,'[2]Comps Table'!$C:$C,'[2]Comps Table'!CG:CG)</f>
        <v>8.8504120289359687</v>
      </c>
      <c r="T4" s="1080">
        <f>_xlfn.XLOOKUP($K4,'[2]Comps Table'!$C:$C,'[2]Comps Table'!CH:CH)</f>
        <v>7.5549659915580047</v>
      </c>
      <c r="U4" s="977">
        <f>_xlfn.XLOOKUP($K4,'[2]Comps Table'!$C:$C,'[2]Comps Table'!CJ:CJ)</f>
        <v>0.84921929699852849</v>
      </c>
      <c r="V4" s="977">
        <f>_xlfn.XLOOKUP($K4,'[2]Comps Table'!$C:$C,'[2]Comps Table'!CK:CK)</f>
        <v>0.67056700794254354</v>
      </c>
      <c r="W4" s="1080">
        <f>_xlfn.XLOOKUP($K4,'[2]Comps Table'!$C:$C,'[2]Comps Table'!CL:CL)</f>
        <v>0.44060122526697676</v>
      </c>
      <c r="X4" s="977">
        <f>_xlfn.XLOOKUP($K4,'[2]Comps Table'!$C:$C,'[2]Comps Table'!CV:CV)</f>
        <v>22.365042391626016</v>
      </c>
      <c r="Y4" s="977">
        <f>_xlfn.XLOOKUP($K4,'[2]Comps Table'!$C:$C,'[2]Comps Table'!CW:CW)</f>
        <v>19.43981252700712</v>
      </c>
      <c r="Z4" s="1080">
        <f>_xlfn.XLOOKUP($K4,'[2]Comps Table'!$C:$C,'[2]Comps Table'!CX:CX)</f>
        <v>16.961899770702171</v>
      </c>
      <c r="AA4" s="977">
        <f>_xlfn.XLOOKUP($K4,'[2]Comps Table'!$C:$C,'[2]Comps Table'!CZ:CZ)</f>
        <v>1.895770667750821</v>
      </c>
      <c r="AB4" s="977">
        <f>_xlfn.XLOOKUP($K4,'[2]Comps Table'!$C:$C,'[2]Comps Table'!DA:DA)</f>
        <v>1.4728915307648502</v>
      </c>
      <c r="AC4" s="978">
        <f>_xlfn.XLOOKUP($K4,'[2]Comps Table'!$C:$C,'[2]Comps Table'!DB:DB)</f>
        <v>0.98920813544070474</v>
      </c>
    </row>
    <row r="5" spans="2:30">
      <c r="C5" s="924" t="s">
        <v>551</v>
      </c>
      <c r="E5" s="986">
        <f>N29</f>
        <v>2126.950242572846</v>
      </c>
      <c r="G5" s="924" t="s">
        <v>529</v>
      </c>
      <c r="I5" s="986">
        <f>O29</f>
        <v>3872.3901881474603</v>
      </c>
      <c r="K5" s="1082" t="s">
        <v>363</v>
      </c>
      <c r="L5" s="976">
        <f>_xlfn.XLOOKUP($K5,'[2]Comps Table'!$C:$C,'[2]Comps Table'!P:P)</f>
        <v>0.55145068469006953</v>
      </c>
      <c r="M5" s="976">
        <f>_xlfn.XLOOKUP($K5,'[2]Comps Table'!$C:$C,'[2]Comps Table'!Q:Q)</f>
        <v>0.22156759524341796</v>
      </c>
      <c r="N5" s="1033">
        <f>_xlfn.XLOOKUP($K5,'[2]Comps Table'!$C:$C,'[2]Comps Table'!R:R)</f>
        <v>0.16732216510101794</v>
      </c>
      <c r="O5" s="1076">
        <f>_xlfn.XLOOKUP($K5,'[2]Comps Table'!$C:$C,'[2]Comps Table'!AF:AF)</f>
        <v>0.64721507978428894</v>
      </c>
      <c r="P5" s="1076">
        <f>_xlfn.XLOOKUP($K5,'[2]Comps Table'!$C:$C,'[2]Comps Table'!AG:AG)</f>
        <v>0.66838209535442117</v>
      </c>
      <c r="Q5" s="1035">
        <f>_xlfn.XLOOKUP($K5,'[2]Comps Table'!$C:$C,'[2]Comps Table'!AH:AH)</f>
        <v>0.63649209939301354</v>
      </c>
      <c r="R5" s="1077">
        <f>_xlfn.XLOOKUP($K5,'[2]Comps Table'!$C:$C,'[2]Comps Table'!CF:CF)</f>
        <v>13.427700708378154</v>
      </c>
      <c r="S5" s="1077">
        <f>_xlfn.XLOOKUP($K5,'[2]Comps Table'!$C:$C,'[2]Comps Table'!CG:CG)</f>
        <v>10.992188038274262</v>
      </c>
      <c r="T5" s="1036">
        <f>_xlfn.XLOOKUP($K5,'[2]Comps Table'!$C:$C,'[2]Comps Table'!CH:CH)</f>
        <v>9.4165846986405999</v>
      </c>
      <c r="U5" s="1077">
        <f>_xlfn.XLOOKUP($K5,'[2]Comps Table'!$C:$C,'[2]Comps Table'!CJ:CJ)</f>
        <v>0.24349776110850041</v>
      </c>
      <c r="V5" s="1077">
        <f>_xlfn.XLOOKUP($K5,'[2]Comps Table'!$C:$C,'[2]Comps Table'!CK:CK)</f>
        <v>0.49610991292287382</v>
      </c>
      <c r="W5" s="1036">
        <f>_xlfn.XLOOKUP($K5,'[2]Comps Table'!$C:$C,'[2]Comps Table'!CL:CL)</f>
        <v>0.56278166690919251</v>
      </c>
      <c r="X5" s="1077">
        <f>_xlfn.XLOOKUP($K5,'[2]Comps Table'!$C:$C,'[2]Comps Table'!CV:CV)</f>
        <v>20.746890991559543</v>
      </c>
      <c r="Y5" s="1077">
        <f>_xlfn.XLOOKUP($K5,'[2]Comps Table'!$C:$C,'[2]Comps Table'!CW:CW)</f>
        <v>16.445964239131008</v>
      </c>
      <c r="Z5" s="1036">
        <f>_xlfn.XLOOKUP($K5,'[2]Comps Table'!$C:$C,'[2]Comps Table'!CX:CX)</f>
        <v>14.794503667242161</v>
      </c>
      <c r="AA5" s="977">
        <f>_xlfn.XLOOKUP($K5,'[2]Comps Table'!$C:$C,'[2]Comps Table'!CZ:CZ)</f>
        <v>0.37622386856260531</v>
      </c>
      <c r="AB5" s="977">
        <f>_xlfn.XLOOKUP($K5,'[2]Comps Table'!$C:$C,'[2]Comps Table'!DA:DA)</f>
        <v>0.7422549412545274</v>
      </c>
      <c r="AC5" s="978">
        <f>_xlfn.XLOOKUP($K5,'[2]Comps Table'!$C:$C,'[2]Comps Table'!DB:DB)</f>
        <v>0.88419269845750736</v>
      </c>
    </row>
    <row r="6" spans="2:30">
      <c r="C6" s="924" t="s">
        <v>529</v>
      </c>
      <c r="E6" s="986">
        <f>O29</f>
        <v>3872.3901881474603</v>
      </c>
      <c r="G6" s="924" t="s">
        <v>566</v>
      </c>
      <c r="I6" s="928">
        <f>R27</f>
        <v>0.23837379855052099</v>
      </c>
      <c r="K6" s="970" t="s">
        <v>364</v>
      </c>
      <c r="L6" s="976">
        <f>_xlfn.XLOOKUP($K6,'[2]Comps Table'!$C:$C,'[2]Comps Table'!P:P)</f>
        <v>6.0006826321951756E-2</v>
      </c>
      <c r="M6" s="976">
        <f>_xlfn.XLOOKUP($K6,'[2]Comps Table'!$C:$C,'[2]Comps Table'!Q:Q)</f>
        <v>9.1104722174670361E-2</v>
      </c>
      <c r="N6" s="1033">
        <f>_xlfn.XLOOKUP($K6,'[2]Comps Table'!$C:$C,'[2]Comps Table'!R:R)</f>
        <v>0.14027831686004966</v>
      </c>
      <c r="O6" s="1076">
        <f>_xlfn.XLOOKUP($K6,'[2]Comps Table'!$C:$C,'[2]Comps Table'!AF:AF)</f>
        <v>0.15917396588219629</v>
      </c>
      <c r="P6" s="1076">
        <f>_xlfn.XLOOKUP($K6,'[2]Comps Table'!$C:$C,'[2]Comps Table'!AG:AG)</f>
        <v>0.1598072132323525</v>
      </c>
      <c r="Q6" s="1035">
        <f>_xlfn.XLOOKUP($K6,'[2]Comps Table'!$C:$C,'[2]Comps Table'!AH:AH)</f>
        <v>0.19055621584370419</v>
      </c>
      <c r="R6" s="1077">
        <f>_xlfn.XLOOKUP($K6,'[2]Comps Table'!$C:$C,'[2]Comps Table'!CF:CF)</f>
        <v>11.280401662346238</v>
      </c>
      <c r="S6" s="1077">
        <f>_xlfn.XLOOKUP($K6,'[2]Comps Table'!$C:$C,'[2]Comps Table'!CG:CG)</f>
        <v>10.338514198585244</v>
      </c>
      <c r="T6" s="1036">
        <f>_xlfn.XLOOKUP($K6,'[2]Comps Table'!$C:$C,'[2]Comps Table'!CH:CH)</f>
        <v>9.0666585917849449</v>
      </c>
      <c r="U6" s="1077">
        <f>_xlfn.XLOOKUP($K6,'[2]Comps Table'!$C:$C,'[2]Comps Table'!CJ:CJ)</f>
        <v>1.8798530690198541</v>
      </c>
      <c r="V6" s="1077">
        <f>_xlfn.XLOOKUP($K6,'[2]Comps Table'!$C:$C,'[2]Comps Table'!CK:CK)</f>
        <v>1.1347945476156271</v>
      </c>
      <c r="W6" s="1036">
        <f>_xlfn.XLOOKUP($K6,'[2]Comps Table'!$C:$C,'[2]Comps Table'!CL:CL)</f>
        <v>0.64633357419239668</v>
      </c>
      <c r="X6" s="1077">
        <f>_xlfn.XLOOKUP($K6,'[2]Comps Table'!$C:$C,'[2]Comps Table'!CV:CV)</f>
        <v>70.868383531354596</v>
      </c>
      <c r="Y6" s="1077">
        <f>_xlfn.XLOOKUP($K6,'[2]Comps Table'!$C:$C,'[2]Comps Table'!CW:CW)</f>
        <v>64.693664256278026</v>
      </c>
      <c r="Z6" s="1036">
        <f>_xlfn.XLOOKUP($K6,'[2]Comps Table'!$C:$C,'[2]Comps Table'!CX:CX)</f>
        <v>47.579967683769993</v>
      </c>
      <c r="AA6" s="977">
        <f>_xlfn.XLOOKUP($K6,'[2]Comps Table'!$C:$C,'[2]Comps Table'!CZ:CZ)</f>
        <v>11.810053601423252</v>
      </c>
      <c r="AB6" s="977">
        <f>_xlfn.XLOOKUP($K6,'[2]Comps Table'!$C:$C,'[2]Comps Table'!DA:DA)</f>
        <v>7.1010220669181363</v>
      </c>
      <c r="AC6" s="978">
        <f>_xlfn.XLOOKUP($K6,'[2]Comps Table'!$C:$C,'[2]Comps Table'!DB:DB)</f>
        <v>3.3918262457653179</v>
      </c>
    </row>
    <row r="7" spans="2:30">
      <c r="C7" s="924"/>
      <c r="E7" s="829"/>
      <c r="G7" s="924"/>
      <c r="I7" s="829"/>
      <c r="K7" s="1082" t="s">
        <v>365</v>
      </c>
      <c r="L7" s="1076">
        <f>_xlfn.XLOOKUP($K7,'[2]Comps Table'!$C:$C,'[2]Comps Table'!P:P)</f>
        <v>4.2750457247370699E-2</v>
      </c>
      <c r="M7" s="1076">
        <f>_xlfn.XLOOKUP($K7,'[2]Comps Table'!$C:$C,'[2]Comps Table'!Q:Q)</f>
        <v>8.5600594870785196E-2</v>
      </c>
      <c r="N7" s="1035">
        <f>_xlfn.XLOOKUP($K7,'[2]Comps Table'!$C:$C,'[2]Comps Table'!R:R)</f>
        <v>8.0847107513126515E-2</v>
      </c>
      <c r="O7" s="1076">
        <f>_xlfn.XLOOKUP($K7,'[2]Comps Table'!$C:$C,'[2]Comps Table'!AF:AF)</f>
        <v>0.20776465112128606</v>
      </c>
      <c r="P7" s="1076">
        <f>_xlfn.XLOOKUP($K7,'[2]Comps Table'!$C:$C,'[2]Comps Table'!AG:AG)</f>
        <v>0.20701270384581053</v>
      </c>
      <c r="Q7" s="1035">
        <f>_xlfn.XLOOKUP($K7,'[2]Comps Table'!$C:$C,'[2]Comps Table'!AH:AH)</f>
        <v>0.23479727037365455</v>
      </c>
      <c r="R7" s="1077">
        <f>_xlfn.XLOOKUP($K7,'[2]Comps Table'!$C:$C,'[2]Comps Table'!CF:CF)</f>
        <v>9.8139086685227692</v>
      </c>
      <c r="S7" s="1077">
        <f>_xlfn.XLOOKUP($K7,'[2]Comps Table'!$C:$C,'[2]Comps Table'!CG:CG)</f>
        <v>9.0400730387319665</v>
      </c>
      <c r="T7" s="1036">
        <f>_xlfn.XLOOKUP($K7,'[2]Comps Table'!$C:$C,'[2]Comps Table'!CH:CH)</f>
        <v>8.3638777176652415</v>
      </c>
      <c r="U7" s="1077">
        <f>_xlfn.XLOOKUP($K7,'[2]Comps Table'!$C:$C,'[2]Comps Table'!CJ:CJ)</f>
        <v>2.2956265968655476</v>
      </c>
      <c r="V7" s="1077">
        <f>_xlfn.XLOOKUP($K7,'[2]Comps Table'!$C:$C,'[2]Comps Table'!CK:CK)</f>
        <v>1.0560759597965448</v>
      </c>
      <c r="W7" s="1036">
        <f>_xlfn.XLOOKUP($K7,'[2]Comps Table'!$C:$C,'[2]Comps Table'!CL:CL)</f>
        <v>1.0345302355198378</v>
      </c>
      <c r="X7" s="1077">
        <f>_xlfn.XLOOKUP($K7,'[2]Comps Table'!$C:$C,'[2]Comps Table'!CV:CV)</f>
        <v>47.235699699434129</v>
      </c>
      <c r="Y7" s="1077">
        <f>_xlfn.XLOOKUP($K7,'[2]Comps Table'!$C:$C,'[2]Comps Table'!CW:CW)</f>
        <v>43.669170397703191</v>
      </c>
      <c r="Z7" s="1036">
        <f>_xlfn.XLOOKUP($K7,'[2]Comps Table'!$C:$C,'[2]Comps Table'!CX:CX)</f>
        <v>35.621699112408891</v>
      </c>
      <c r="AA7" s="1077">
        <f>_xlfn.XLOOKUP($K7,'[2]Comps Table'!$C:$C,'[2]Comps Table'!CZ:CZ)</f>
        <v>11.049168299209077</v>
      </c>
      <c r="AB7" s="1077">
        <f>_xlfn.XLOOKUP($K7,'[2]Comps Table'!$C:$C,'[2]Comps Table'!DA:DA)</f>
        <v>5.1015031453487172</v>
      </c>
      <c r="AC7" s="1022">
        <f>_xlfn.XLOOKUP($K7,'[2]Comps Table'!$C:$C,'[2]Comps Table'!DB:DB)</f>
        <v>4.4060573356474464</v>
      </c>
    </row>
    <row r="8" spans="2:30">
      <c r="C8" s="924" t="s">
        <v>561</v>
      </c>
      <c r="E8" s="938">
        <f>Y14</f>
        <v>25.25413429714094</v>
      </c>
      <c r="G8" s="924" t="s">
        <v>560</v>
      </c>
      <c r="I8" s="984">
        <f>AB16</f>
        <v>1.3958548860312918</v>
      </c>
      <c r="K8" s="970" t="s">
        <v>369</v>
      </c>
      <c r="L8" s="976">
        <f>_xlfn.XLOOKUP($K8,'[2]Comps Table'!$C:$C,'[2]Comps Table'!P:P)</f>
        <v>3.4620289069845267E-2</v>
      </c>
      <c r="M8" s="976">
        <f>_xlfn.XLOOKUP($K8,'[2]Comps Table'!$C:$C,'[2]Comps Table'!Q:Q)</f>
        <v>3.9376854037703746E-2</v>
      </c>
      <c r="N8" s="1033">
        <f>_xlfn.XLOOKUP($K8,'[2]Comps Table'!$C:$C,'[2]Comps Table'!R:R)</f>
        <v>5.3155140867747308E-2</v>
      </c>
      <c r="O8" s="1076">
        <f>_xlfn.XLOOKUP($K8,'[2]Comps Table'!$C:$C,'[2]Comps Table'!AF:AF)</f>
        <v>0.18781518708350262</v>
      </c>
      <c r="P8" s="1076">
        <f>_xlfn.XLOOKUP($K8,'[2]Comps Table'!$C:$C,'[2]Comps Table'!AG:AG)</f>
        <v>0.19311497317288187</v>
      </c>
      <c r="Q8" s="1035">
        <f>_xlfn.XLOOKUP($K8,'[2]Comps Table'!$C:$C,'[2]Comps Table'!AH:AH)</f>
        <v>0.19602949861057778</v>
      </c>
      <c r="R8" s="1077">
        <f>_xlfn.XLOOKUP($K8,'[2]Comps Table'!$C:$C,'[2]Comps Table'!CF:CF)</f>
        <v>4.0717378393789545</v>
      </c>
      <c r="S8" s="1077">
        <f>_xlfn.XLOOKUP($K8,'[2]Comps Table'!$C:$C,'[2]Comps Table'!CG:CG)</f>
        <v>3.9174798087539968</v>
      </c>
      <c r="T8" s="1036">
        <f>_xlfn.XLOOKUP($K8,'[2]Comps Table'!$C:$C,'[2]Comps Table'!CH:CH)</f>
        <v>3.7197556720144656</v>
      </c>
      <c r="U8" s="1077">
        <f>_xlfn.XLOOKUP($K8,'[2]Comps Table'!$C:$C,'[2]Comps Table'!CJ:CJ)</f>
        <v>1.1761131835624945</v>
      </c>
      <c r="V8" s="1077">
        <f>_xlfn.XLOOKUP($K8,'[2]Comps Table'!$C:$C,'[2]Comps Table'!CK:CK)</f>
        <v>0.9948686619309326</v>
      </c>
      <c r="W8" s="1036">
        <f>_xlfn.XLOOKUP($K8,'[2]Comps Table'!$C:$C,'[2]Comps Table'!CL:CL)</f>
        <v>0.69979227056690663</v>
      </c>
      <c r="X8" s="1077">
        <f>_xlfn.XLOOKUP($K8,'[2]Comps Table'!$C:$C,'[2]Comps Table'!CV:CV)</f>
        <v>21.679491965517467</v>
      </c>
      <c r="Y8" s="1077">
        <f>_xlfn.XLOOKUP($K8,'[2]Comps Table'!$C:$C,'[2]Comps Table'!CW:CW)</f>
        <v>20.285738305993291</v>
      </c>
      <c r="Z8" s="1036">
        <f>_xlfn.XLOOKUP($K8,'[2]Comps Table'!$C:$C,'[2]Comps Table'!CX:CX)</f>
        <v>18.975489395113655</v>
      </c>
      <c r="AA8" s="977">
        <f>_xlfn.XLOOKUP($K8,'[2]Comps Table'!$C:$C,'[2]Comps Table'!CZ:CZ)</f>
        <v>6.2620771079582331</v>
      </c>
      <c r="AB8" s="977">
        <f>_xlfn.XLOOKUP($K8,'[2]Comps Table'!$C:$C,'[2]Comps Table'!DA:DA)</f>
        <v>5.1516909620482849</v>
      </c>
      <c r="AC8" s="978">
        <f>_xlfn.XLOOKUP($K8,'[2]Comps Table'!$C:$C,'[2]Comps Table'!DB:DB)</f>
        <v>3.5698314566272407</v>
      </c>
    </row>
    <row r="9" spans="2:30">
      <c r="C9" s="924"/>
      <c r="E9" s="829"/>
      <c r="G9" s="924"/>
      <c r="I9" s="829"/>
      <c r="K9" s="970" t="s">
        <v>370</v>
      </c>
      <c r="L9" s="976">
        <f>_xlfn.XLOOKUP($K9,'[2]Comps Table'!$C:$C,'[2]Comps Table'!P:P)</f>
        <v>0.10242797589791208</v>
      </c>
      <c r="M9" s="976">
        <f>_xlfn.XLOOKUP($K9,'[2]Comps Table'!$C:$C,'[2]Comps Table'!Q:Q)</f>
        <v>0.15799463656311508</v>
      </c>
      <c r="N9" s="1033">
        <f>_xlfn.XLOOKUP($K9,'[2]Comps Table'!$C:$C,'[2]Comps Table'!R:R)</f>
        <v>0.21485094779843306</v>
      </c>
      <c r="O9" s="1076">
        <f>_xlfn.XLOOKUP($K9,'[2]Comps Table'!$C:$C,'[2]Comps Table'!AF:AF)</f>
        <v>0.42748116750162268</v>
      </c>
      <c r="P9" s="1076">
        <f>_xlfn.XLOOKUP($K9,'[2]Comps Table'!$C:$C,'[2]Comps Table'!AG:AG)</f>
        <v>0.42615815016531255</v>
      </c>
      <c r="Q9" s="1035">
        <f>_xlfn.XLOOKUP($K9,'[2]Comps Table'!$C:$C,'[2]Comps Table'!AH:AH)</f>
        <v>0.46408399338926787</v>
      </c>
      <c r="R9" s="1077">
        <f>_xlfn.XLOOKUP($K9,'[2]Comps Table'!$C:$C,'[2]Comps Table'!CF:CF)</f>
        <v>7.5852106606382774</v>
      </c>
      <c r="S9" s="1077">
        <f>_xlfn.XLOOKUP($K9,'[2]Comps Table'!$C:$C,'[2]Comps Table'!CG:CG)</f>
        <v>6.5502986120478939</v>
      </c>
      <c r="T9" s="1036">
        <f>_xlfn.XLOOKUP($K9,'[2]Comps Table'!$C:$C,'[2]Comps Table'!CH:CH)</f>
        <v>5.3918537281618129</v>
      </c>
      <c r="U9" s="1077">
        <f>_xlfn.XLOOKUP($K9,'[2]Comps Table'!$C:$C,'[2]Comps Table'!CJ:CJ)</f>
        <v>0.74054091122510368</v>
      </c>
      <c r="V9" s="1077">
        <f>_xlfn.XLOOKUP($K9,'[2]Comps Table'!$C:$C,'[2]Comps Table'!CK:CK)</f>
        <v>0.41458993511031034</v>
      </c>
      <c r="W9" s="1036">
        <f>_xlfn.XLOOKUP($K9,'[2]Comps Table'!$C:$C,'[2]Comps Table'!CL:CL)</f>
        <v>0.25095787490871552</v>
      </c>
      <c r="X9" s="1077">
        <f>_xlfn.XLOOKUP($K9,'[2]Comps Table'!$C:$C,'[2]Comps Table'!CV:CV)</f>
        <v>17.743964500165927</v>
      </c>
      <c r="Y9" s="1077">
        <f>_xlfn.XLOOKUP($K9,'[2]Comps Table'!$C:$C,'[2]Comps Table'!CW:CW)</f>
        <v>15.370581577536282</v>
      </c>
      <c r="Z9" s="1036">
        <f>_xlfn.XLOOKUP($K9,'[2]Comps Table'!$C:$C,'[2]Comps Table'!CX:CX)</f>
        <v>11.618271271940193</v>
      </c>
      <c r="AA9" s="977">
        <f>_xlfn.XLOOKUP($K9,'[2]Comps Table'!$C:$C,'[2]Comps Table'!CZ:CZ)</f>
        <v>1.7323357554044589</v>
      </c>
      <c r="AB9" s="977">
        <f>_xlfn.XLOOKUP($K9,'[2]Comps Table'!$C:$C,'[2]Comps Table'!DA:DA)</f>
        <v>0.97285464316354198</v>
      </c>
      <c r="AC9" s="978">
        <f>_xlfn.XLOOKUP($K9,'[2]Comps Table'!$C:$C,'[2]Comps Table'!DB:DB)</f>
        <v>0.54075960059716</v>
      </c>
    </row>
    <row r="10" spans="2:30">
      <c r="C10" s="924" t="s">
        <v>552</v>
      </c>
      <c r="E10" s="926">
        <f>E6*E8</f>
        <v>97793.861862406833</v>
      </c>
      <c r="G10" s="924" t="s">
        <v>552</v>
      </c>
      <c r="I10" s="986">
        <f>I11*I5</f>
        <v>128848.06453575738</v>
      </c>
      <c r="J10" s="986"/>
      <c r="K10" s="970" t="s">
        <v>371</v>
      </c>
      <c r="L10" s="976">
        <f>_xlfn.XLOOKUP($K10,'[2]Comps Table'!$C:$C,'[2]Comps Table'!P:P)</f>
        <v>9.101885857868619E-2</v>
      </c>
      <c r="M10" s="976">
        <f>_xlfn.XLOOKUP($K10,'[2]Comps Table'!$C:$C,'[2]Comps Table'!Q:Q)</f>
        <v>0.10508618005696047</v>
      </c>
      <c r="N10" s="1033">
        <f>_xlfn.XLOOKUP($K10,'[2]Comps Table'!$C:$C,'[2]Comps Table'!R:R)</f>
        <v>9.8267226270507324E-2</v>
      </c>
      <c r="O10" s="1076">
        <f>_xlfn.XLOOKUP($K10,'[2]Comps Table'!$C:$C,'[2]Comps Table'!AF:AF)</f>
        <v>0.11542328992925975</v>
      </c>
      <c r="P10" s="1076">
        <f>_xlfn.XLOOKUP($K10,'[2]Comps Table'!$C:$C,'[2]Comps Table'!AG:AG)</f>
        <v>0.12730502001942515</v>
      </c>
      <c r="Q10" s="1035">
        <f>_xlfn.XLOOKUP($K10,'[2]Comps Table'!$C:$C,'[2]Comps Table'!AH:AH)</f>
        <v>0.14324669085696329</v>
      </c>
      <c r="R10" s="1077">
        <f>_xlfn.XLOOKUP($K10,'[2]Comps Table'!$C:$C,'[2]Comps Table'!CF:CF)</f>
        <v>2.9095124415736033</v>
      </c>
      <c r="S10" s="1077">
        <f>_xlfn.XLOOKUP($K10,'[2]Comps Table'!$C:$C,'[2]Comps Table'!CG:CG)</f>
        <v>2.6328375959091588</v>
      </c>
      <c r="T10" s="1036">
        <f>_xlfn.XLOOKUP($K10,'[2]Comps Table'!$C:$C,'[2]Comps Table'!CH:CH)</f>
        <v>2.3972650124958577</v>
      </c>
      <c r="U10" s="1077">
        <f>_xlfn.XLOOKUP($K10,'[2]Comps Table'!$C:$C,'[2]Comps Table'!CJ:CJ)</f>
        <v>0.31966039642853983</v>
      </c>
      <c r="V10" s="1077">
        <f>_xlfn.XLOOKUP($K10,'[2]Comps Table'!$C:$C,'[2]Comps Table'!CK:CK)</f>
        <v>0.25054080322284689</v>
      </c>
      <c r="W10" s="1036">
        <f>_xlfn.XLOOKUP($K10,'[2]Comps Table'!$C:$C,'[2]Comps Table'!CL:CL)</f>
        <v>0.24395366629121415</v>
      </c>
      <c r="X10" s="1077">
        <f>_xlfn.XLOOKUP($K10,'[2]Comps Table'!$C:$C,'[2]Comps Table'!CV:CV)</f>
        <v>25.207325517725028</v>
      </c>
      <c r="Y10" s="1077">
        <f>_xlfn.XLOOKUP($K10,'[2]Comps Table'!$C:$C,'[2]Comps Table'!CW:CW)</f>
        <v>20.68133366231293</v>
      </c>
      <c r="Z10" s="1036">
        <f>_xlfn.XLOOKUP($K10,'[2]Comps Table'!$C:$C,'[2]Comps Table'!CX:CX)</f>
        <v>16.735220884715645</v>
      </c>
      <c r="AA10" s="977">
        <f>_xlfn.XLOOKUP($K10,'[2]Comps Table'!$C:$C,'[2]Comps Table'!CZ:CZ)</f>
        <v>2.7694618358604428</v>
      </c>
      <c r="AB10" s="977">
        <f>_xlfn.XLOOKUP($K10,'[2]Comps Table'!$C:$C,'[2]Comps Table'!DA:DA)</f>
        <v>1.9680355353199543</v>
      </c>
      <c r="AC10" s="978">
        <f>_xlfn.XLOOKUP($K10,'[2]Comps Table'!$C:$C,'[2]Comps Table'!DB:DB)</f>
        <v>1.7030317756855566</v>
      </c>
      <c r="AD10" s="522"/>
    </row>
    <row r="11" spans="2:30">
      <c r="C11" s="930" t="s">
        <v>559</v>
      </c>
      <c r="E11" s="938">
        <f>E10/E5</f>
        <v>45.978443644319285</v>
      </c>
      <c r="G11" s="924" t="s">
        <v>559</v>
      </c>
      <c r="I11" s="938">
        <f>I8*(100*I6)</f>
        <v>33.273523140858359</v>
      </c>
      <c r="J11" s="938"/>
      <c r="K11" s="970" t="s">
        <v>357</v>
      </c>
      <c r="L11" s="976">
        <f>_xlfn.XLOOKUP($K11,'[2]Comps Table'!$C:$C,'[2]Comps Table'!P:P)</f>
        <v>0.10246455896553885</v>
      </c>
      <c r="M11" s="976">
        <f>_xlfn.XLOOKUP($K11,'[2]Comps Table'!$C:$C,'[2]Comps Table'!Q:Q)</f>
        <v>0.1152505410715241</v>
      </c>
      <c r="N11" s="1033">
        <f>_xlfn.XLOOKUP($K11,'[2]Comps Table'!$C:$C,'[2]Comps Table'!R:R)</f>
        <v>0.10024207887616665</v>
      </c>
      <c r="O11" s="1076">
        <f>_xlfn.XLOOKUP($K11,'[2]Comps Table'!$C:$C,'[2]Comps Table'!AF:AF)</f>
        <v>0.32689930124832839</v>
      </c>
      <c r="P11" s="1076">
        <f>_xlfn.XLOOKUP($K11,'[2]Comps Table'!$C:$C,'[2]Comps Table'!AG:AG)</f>
        <v>0.32551613131094381</v>
      </c>
      <c r="Q11" s="1035">
        <f>_xlfn.XLOOKUP($K11,'[2]Comps Table'!$C:$C,'[2]Comps Table'!AH:AH)</f>
        <v>0.33840307699754762</v>
      </c>
      <c r="R11" s="1077">
        <f>_xlfn.XLOOKUP($K11,'[2]Comps Table'!$C:$C,'[2]Comps Table'!CF:CF)</f>
        <v>4.8937225026357769</v>
      </c>
      <c r="S11" s="1077">
        <f>_xlfn.XLOOKUP($K11,'[2]Comps Table'!$C:$C,'[2]Comps Table'!CG:CG)</f>
        <v>4.3880028051220901</v>
      </c>
      <c r="T11" s="1036">
        <f>_xlfn.XLOOKUP($K11,'[2]Comps Table'!$C:$C,'[2]Comps Table'!CH:CH)</f>
        <v>3.9882157657560051</v>
      </c>
      <c r="U11" s="1077">
        <f>_xlfn.XLOOKUP($K11,'[2]Comps Table'!$C:$C,'[2]Comps Table'!CJ:CJ)</f>
        <v>0.47760148016463388</v>
      </c>
      <c r="V11" s="1077">
        <f>_xlfn.XLOOKUP($K11,'[2]Comps Table'!$C:$C,'[2]Comps Table'!CK:CK)</f>
        <v>0.38073598304401102</v>
      </c>
      <c r="W11" s="1036">
        <f>_xlfn.XLOOKUP($K11,'[2]Comps Table'!$C:$C,'[2]Comps Table'!CL:CL)</f>
        <v>0.39785844532242981</v>
      </c>
      <c r="X11" s="1077">
        <f>_xlfn.XLOOKUP($K11,'[2]Comps Table'!$C:$C,'[2]Comps Table'!CV:CV)</f>
        <v>14.970122248497164</v>
      </c>
      <c r="Y11" s="1077">
        <f>_xlfn.XLOOKUP($K11,'[2]Comps Table'!$C:$C,'[2]Comps Table'!CW:CW)</f>
        <v>13.480139332727951</v>
      </c>
      <c r="Z11" s="1036">
        <f>_xlfn.XLOOKUP($K11,'[2]Comps Table'!$C:$C,'[2]Comps Table'!CX:CX)</f>
        <v>11.785400419940352</v>
      </c>
      <c r="AA11" s="977">
        <f>_xlfn.XLOOKUP($K11,'[2]Comps Table'!$C:$C,'[2]Comps Table'!CZ:CZ)</f>
        <v>1.4610048976575358</v>
      </c>
      <c r="AB11" s="977">
        <f>_xlfn.XLOOKUP($K11,'[2]Comps Table'!$C:$C,'[2]Comps Table'!DA:DA)</f>
        <v>1.1696378348768204</v>
      </c>
      <c r="AC11" s="978">
        <f>_xlfn.XLOOKUP($K11,'[2]Comps Table'!$C:$C,'[2]Comps Table'!DB:DB)</f>
        <v>1.1756939353282332</v>
      </c>
    </row>
    <row r="12" spans="2:30" ht="13.5" thickBot="1">
      <c r="C12" s="924"/>
      <c r="E12" s="829"/>
      <c r="G12" s="924"/>
      <c r="I12" s="829"/>
      <c r="J12" s="829"/>
      <c r="K12" s="1083" t="s">
        <v>372</v>
      </c>
      <c r="L12" s="979">
        <f>_xlfn.XLOOKUP($K12,'[2]Comps Table'!$C:$C,'[2]Comps Table'!P:P)</f>
        <v>0.13205490542713116</v>
      </c>
      <c r="M12" s="979">
        <f>_xlfn.XLOOKUP($K12,'[2]Comps Table'!$C:$C,'[2]Comps Table'!Q:Q)</f>
        <v>0.13796190159944066</v>
      </c>
      <c r="N12" s="1034">
        <f>_xlfn.XLOOKUP($K12,'[2]Comps Table'!$C:$C,'[2]Comps Table'!R:R)</f>
        <v>0.16371406798842769</v>
      </c>
      <c r="O12" s="979">
        <f>_xlfn.XLOOKUP($K12,'[2]Comps Table'!$C:$C,'[2]Comps Table'!AF:AF)</f>
        <v>0.26384868540764739</v>
      </c>
      <c r="P12" s="979">
        <f>_xlfn.XLOOKUP($K12,'[2]Comps Table'!$C:$C,'[2]Comps Table'!AG:AG)</f>
        <v>0.28577926934802461</v>
      </c>
      <c r="Q12" s="1034">
        <f>_xlfn.XLOOKUP($K12,'[2]Comps Table'!$C:$C,'[2]Comps Table'!AH:AH)</f>
        <v>0.27262370505156464</v>
      </c>
      <c r="R12" s="980">
        <f>_xlfn.XLOOKUP($K12,'[2]Comps Table'!$C:$C,'[2]Comps Table'!CF:CF)</f>
        <v>4.2994838604781105</v>
      </c>
      <c r="S12" s="980">
        <f>_xlfn.XLOOKUP($K12,'[2]Comps Table'!$C:$C,'[2]Comps Table'!CG:CG)</f>
        <v>3.7782318146460381</v>
      </c>
      <c r="T12" s="1037">
        <f>_xlfn.XLOOKUP($K12,'[2]Comps Table'!$C:$C,'[2]Comps Table'!CH:CH)</f>
        <v>3.2467011601715976</v>
      </c>
      <c r="U12" s="980">
        <f>_xlfn.XLOOKUP($K12,'[2]Comps Table'!$C:$C,'[2]Comps Table'!CJ:CJ)</f>
        <v>0.32558304794293286</v>
      </c>
      <c r="V12" s="980">
        <f>_xlfn.XLOOKUP($K12,'[2]Comps Table'!$C:$C,'[2]Comps Table'!CK:CK)</f>
        <v>0.27386052024824775</v>
      </c>
      <c r="W12" s="1037">
        <f>_xlfn.XLOOKUP($K12,'[2]Comps Table'!$C:$C,'[2]Comps Table'!CL:CL)</f>
        <v>0.1983153433339091</v>
      </c>
      <c r="X12" s="980">
        <f>_xlfn.XLOOKUP($K12,'[2]Comps Table'!$C:$C,'[2]Comps Table'!CV:CV)</f>
        <v>16.295263528925258</v>
      </c>
      <c r="Y12" s="980">
        <f>_xlfn.XLOOKUP($K12,'[2]Comps Table'!$C:$C,'[2]Comps Table'!CW:CW)</f>
        <v>13.220804375578668</v>
      </c>
      <c r="Z12" s="1037">
        <f>_xlfn.XLOOKUP($K12,'[2]Comps Table'!$C:$C,'[2]Comps Table'!CX:CX)</f>
        <v>11.909093376738863</v>
      </c>
      <c r="AA12" s="980">
        <f>_xlfn.XLOOKUP($K12,'[2]Comps Table'!$C:$C,'[2]Comps Table'!CZ:CZ)</f>
        <v>1.2339763885497688</v>
      </c>
      <c r="AB12" s="980">
        <f>_xlfn.XLOOKUP($K12,'[2]Comps Table'!$C:$C,'[2]Comps Table'!DA:DA)</f>
        <v>0.95829386390773474</v>
      </c>
      <c r="AC12" s="981">
        <f>_xlfn.XLOOKUP($K12,'[2]Comps Table'!$C:$C,'[2]Comps Table'!DB:DB)</f>
        <v>0.72743250003296411</v>
      </c>
    </row>
    <row r="13" spans="2:30" ht="13.5" thickBot="1">
      <c r="B13" s="522"/>
      <c r="C13" s="924" t="s">
        <v>550</v>
      </c>
      <c r="E13" s="986">
        <f>N41</f>
        <v>23139.913424831444</v>
      </c>
      <c r="F13" s="522"/>
      <c r="G13" s="924" t="str">
        <f>C13</f>
        <v>Net Debt (1Q26)</v>
      </c>
      <c r="I13" s="986">
        <f>E13</f>
        <v>23139.913424831444</v>
      </c>
      <c r="J13" s="986"/>
      <c r="K13" s="376"/>
      <c r="L13" s="976"/>
      <c r="M13" s="976"/>
      <c r="N13" s="976"/>
      <c r="O13" s="976"/>
      <c r="P13" s="976"/>
      <c r="Q13" s="976"/>
      <c r="R13" s="977"/>
      <c r="S13" s="977"/>
      <c r="T13" s="977"/>
      <c r="U13" s="977"/>
      <c r="V13" s="977"/>
      <c r="W13" s="977"/>
      <c r="X13" s="977"/>
      <c r="Y13" s="977"/>
      <c r="Z13" s="977"/>
      <c r="AA13" s="977"/>
      <c r="AB13" s="977"/>
      <c r="AC13" s="977"/>
    </row>
    <row r="14" spans="2:30" ht="13.5" thickBot="1">
      <c r="C14" s="1087" t="s">
        <v>565</v>
      </c>
      <c r="D14" s="1085"/>
      <c r="E14" s="1086">
        <f>E10-E13</f>
        <v>74653.948437575396</v>
      </c>
      <c r="G14" s="1087" t="s">
        <v>565</v>
      </c>
      <c r="H14" s="1085"/>
      <c r="I14" s="1086">
        <f>I10-I13</f>
        <v>105708.15111092594</v>
      </c>
      <c r="J14" s="986"/>
      <c r="K14" s="988" t="s">
        <v>362</v>
      </c>
      <c r="L14" s="989">
        <f t="shared" ref="L14:AC14" si="1">AVERAGE(L4:L12)</f>
        <v>0.13719643445635382</v>
      </c>
      <c r="M14" s="989">
        <f t="shared" si="1"/>
        <v>0.12065855911662153</v>
      </c>
      <c r="N14" s="1166">
        <f t="shared" si="1"/>
        <v>0.13223850270128412</v>
      </c>
      <c r="O14" s="989">
        <f t="shared" si="1"/>
        <v>0.30928622042052845</v>
      </c>
      <c r="P14" s="989">
        <f t="shared" si="1"/>
        <v>0.31648311727026651</v>
      </c>
      <c r="Q14" s="1166">
        <f t="shared" si="1"/>
        <v>0.32462672874233434</v>
      </c>
      <c r="R14" s="990">
        <f t="shared" si="1"/>
        <v>7.5889114678933964</v>
      </c>
      <c r="S14" s="990">
        <f t="shared" si="1"/>
        <v>6.7208931045562919</v>
      </c>
      <c r="T14" s="1167">
        <f t="shared" si="1"/>
        <v>5.9050975931387244</v>
      </c>
      <c r="U14" s="990">
        <f>AVERAGE(U4:U12)</f>
        <v>0.92307730481290384</v>
      </c>
      <c r="V14" s="990">
        <f>AVERAGE(V4:V12)</f>
        <v>0.63023814798154865</v>
      </c>
      <c r="W14" s="1167">
        <f>AVERAGE(W4:W12)</f>
        <v>0.49723603359017532</v>
      </c>
      <c r="X14" s="990">
        <f t="shared" si="1"/>
        <v>28.568020486089456</v>
      </c>
      <c r="Y14" s="990">
        <f t="shared" si="1"/>
        <v>25.25413429714094</v>
      </c>
      <c r="Z14" s="1167">
        <f t="shared" si="1"/>
        <v>20.664616175841321</v>
      </c>
      <c r="AA14" s="990">
        <f t="shared" si="1"/>
        <v>4.2877858247084664</v>
      </c>
      <c r="AB14" s="990">
        <f t="shared" si="1"/>
        <v>2.7375760581780635</v>
      </c>
      <c r="AC14" s="991">
        <f t="shared" si="1"/>
        <v>1.9320037426202366</v>
      </c>
    </row>
    <row r="15" spans="2:30" ht="13.5" thickBot="1">
      <c r="C15" s="831"/>
      <c r="D15" s="832"/>
      <c r="E15" s="833"/>
      <c r="G15" s="831"/>
      <c r="H15" s="832"/>
      <c r="I15" s="833"/>
      <c r="J15" s="986"/>
    </row>
    <row r="16" spans="2:30" ht="13.5" thickBot="1">
      <c r="K16" s="988" t="s">
        <v>558</v>
      </c>
      <c r="L16" s="989">
        <f>AVERAGE(L4,L9,L10,L11)</f>
        <v>0.10347118683770401</v>
      </c>
      <c r="M16" s="989">
        <f t="shared" ref="M16:AC16" si="2">AVERAGE(M4,M9,M10,M11)</f>
        <v>0.12757884103089395</v>
      </c>
      <c r="N16" s="1166">
        <f t="shared" si="2"/>
        <v>0.14620743149529697</v>
      </c>
      <c r="O16" s="989">
        <f t="shared" si="2"/>
        <v>0.32943960362645874</v>
      </c>
      <c r="P16" s="989">
        <f t="shared" si="2"/>
        <v>0.33356295011972709</v>
      </c>
      <c r="Q16" s="1166">
        <f t="shared" si="2"/>
        <v>0.34778544235212366</v>
      </c>
      <c r="R16" s="990">
        <f t="shared" si="2"/>
        <v>6.3517426179840868</v>
      </c>
      <c r="S16" s="990">
        <f t="shared" si="2"/>
        <v>5.6053877605037776</v>
      </c>
      <c r="T16" s="1167">
        <f t="shared" si="2"/>
        <v>4.83307512449292</v>
      </c>
      <c r="U16" s="990">
        <f>AVERAGE(U4,U9,U10,U11)</f>
        <v>0.5967555212042015</v>
      </c>
      <c r="V16" s="990">
        <f>AVERAGE(V4,V9,V10,V11)</f>
        <v>0.4291084323299279</v>
      </c>
      <c r="W16" s="1167">
        <f>AVERAGE(W4,W9,W10,W11)</f>
        <v>0.33334280294733404</v>
      </c>
      <c r="X16" s="990">
        <f t="shared" si="2"/>
        <v>20.071613664503534</v>
      </c>
      <c r="Y16" s="990">
        <f t="shared" si="2"/>
        <v>17.242966774896072</v>
      </c>
      <c r="Z16" s="1167">
        <f t="shared" si="2"/>
        <v>14.27519808682459</v>
      </c>
      <c r="AA16" s="990">
        <f t="shared" si="2"/>
        <v>1.9646432891683145</v>
      </c>
      <c r="AB16" s="990">
        <f>AVERAGE(AB4,AB9,AB10,AB11)</f>
        <v>1.3958548860312918</v>
      </c>
      <c r="AC16" s="991">
        <f t="shared" si="2"/>
        <v>1.1021733617629137</v>
      </c>
    </row>
    <row r="17" spans="1:30" ht="13.5" thickBot="1">
      <c r="C17" s="1175" t="s">
        <v>576</v>
      </c>
      <c r="D17" s="1176"/>
      <c r="E17" s="1177">
        <f>E14/566.6</f>
        <v>131.75776286194034</v>
      </c>
      <c r="G17" s="1175" t="s">
        <v>576</v>
      </c>
      <c r="H17" s="1176"/>
      <c r="I17" s="1177">
        <f>I14/566.6</f>
        <v>186.56574498927981</v>
      </c>
    </row>
    <row r="18" spans="1:30" ht="13.5" thickBot="1">
      <c r="C18" s="828" t="s">
        <v>577</v>
      </c>
      <c r="E18" s="829">
        <v>47</v>
      </c>
      <c r="G18" s="828" t="s">
        <v>577</v>
      </c>
      <c r="I18" s="829">
        <v>47</v>
      </c>
      <c r="K18" s="1162" t="s">
        <v>503</v>
      </c>
      <c r="L18" s="1163">
        <f>M25</f>
        <v>1.4055864042988535</v>
      </c>
      <c r="M18" s="1163">
        <f>N25</f>
        <v>1.3512013129692546</v>
      </c>
      <c r="N18" s="1168">
        <f>O25</f>
        <v>0.42798153029150732</v>
      </c>
      <c r="O18" s="1163">
        <f>M29/M24</f>
        <v>0.11072817534610377</v>
      </c>
      <c r="P18" s="1163">
        <f>N29/N24</f>
        <v>0.19632751782262484</v>
      </c>
      <c r="Q18" s="1168">
        <f>O29/O24</f>
        <v>0.25031124848762265</v>
      </c>
      <c r="R18" s="1164"/>
      <c r="S18" s="1164"/>
      <c r="T18" s="1164"/>
      <c r="U18" s="1164"/>
      <c r="V18" s="1164"/>
      <c r="W18" s="1164"/>
      <c r="X18" s="1164"/>
      <c r="Y18" s="1164"/>
      <c r="Z18" s="1164"/>
      <c r="AA18" s="1164"/>
      <c r="AB18" s="1164"/>
      <c r="AC18" s="1165"/>
    </row>
    <row r="19" spans="1:30" ht="13.5" thickBot="1">
      <c r="C19" s="1178" t="s">
        <v>578</v>
      </c>
      <c r="D19" s="1179"/>
      <c r="E19" s="1180">
        <f>E17/E18-1</f>
        <v>1.8033566566370283</v>
      </c>
      <c r="G19" s="1178" t="s">
        <v>578</v>
      </c>
      <c r="H19" s="1179"/>
      <c r="I19" s="1180">
        <f>I17/I18-1</f>
        <v>2.9694839359421237</v>
      </c>
      <c r="T19" s="414"/>
      <c r="U19" s="414"/>
      <c r="V19" s="414"/>
      <c r="W19" s="414"/>
      <c r="X19" s="1145"/>
      <c r="AA19" s="1147"/>
      <c r="AB19" s="1145"/>
      <c r="AC19" s="375"/>
      <c r="AD19" s="1145"/>
    </row>
    <row r="20" spans="1:30" ht="13.5" thickBot="1">
      <c r="T20" s="522"/>
      <c r="U20" s="522"/>
      <c r="V20" s="522"/>
      <c r="W20" s="522"/>
      <c r="X20" s="1145"/>
      <c r="AA20" s="1153"/>
      <c r="AB20" s="1149"/>
      <c r="AC20" s="1158"/>
      <c r="AD20" s="1149"/>
    </row>
    <row r="21" spans="1:30">
      <c r="K21" s="985" t="s">
        <v>528</v>
      </c>
      <c r="L21" s="1038"/>
      <c r="M21" s="1038"/>
      <c r="N21" s="1038"/>
      <c r="O21" s="1038"/>
      <c r="P21" s="1038"/>
      <c r="Q21" s="1038"/>
      <c r="R21" s="972"/>
      <c r="S21" s="522"/>
      <c r="T21" s="1155"/>
      <c r="U21" s="1155"/>
      <c r="V21" s="1155"/>
      <c r="W21" s="1155"/>
      <c r="X21" s="1145"/>
      <c r="AA21" s="1147"/>
      <c r="AB21" s="1145"/>
      <c r="AC21" s="375"/>
      <c r="AD21" s="1145"/>
    </row>
    <row r="22" spans="1:30" ht="13.5" thickBot="1">
      <c r="K22" s="1084"/>
      <c r="L22" s="973" t="s">
        <v>492</v>
      </c>
      <c r="M22" s="973" t="s">
        <v>493</v>
      </c>
      <c r="N22" s="973" t="s">
        <v>494</v>
      </c>
      <c r="O22" s="973" t="s">
        <v>495</v>
      </c>
      <c r="P22" s="973" t="s">
        <v>562</v>
      </c>
      <c r="Q22" s="973" t="s">
        <v>563</v>
      </c>
      <c r="R22" s="974" t="s">
        <v>564</v>
      </c>
      <c r="S22" s="414"/>
      <c r="T22" s="1154"/>
      <c r="U22" s="1154"/>
      <c r="V22" s="1154"/>
      <c r="W22" s="1154"/>
      <c r="AA22" s="1147"/>
      <c r="AB22" s="1145"/>
      <c r="AC22" s="375"/>
      <c r="AD22" s="1145"/>
    </row>
    <row r="23" spans="1:30">
      <c r="K23" s="924"/>
      <c r="L23" s="95"/>
      <c r="M23" s="95"/>
      <c r="N23" s="95"/>
      <c r="O23" s="95"/>
      <c r="P23" s="95"/>
      <c r="Q23" s="95"/>
      <c r="R23" s="925"/>
      <c r="S23" s="522"/>
      <c r="T23" s="522"/>
      <c r="U23" s="522"/>
      <c r="V23" s="522"/>
      <c r="W23" s="522"/>
      <c r="X23" s="1145"/>
      <c r="AA23" s="1147"/>
      <c r="AB23" s="1145"/>
      <c r="AC23" s="375"/>
      <c r="AD23" s="1145"/>
    </row>
    <row r="24" spans="1:30" ht="13.5" thickBot="1">
      <c r="E24" s="1146"/>
      <c r="K24" s="924" t="s">
        <v>358</v>
      </c>
      <c r="L24" s="830">
        <f>'[2]KPI Summary'!$Q$10</f>
        <v>1915.4259999999999</v>
      </c>
      <c r="M24" s="830">
        <f>'[2]KPI Summary'!$V$10</f>
        <v>4607.7227440405359</v>
      </c>
      <c r="N24" s="830">
        <f>'[2]KPI Summary'!$AA$10</f>
        <v>10833.683765586404</v>
      </c>
      <c r="O24" s="830">
        <f>'[2]KPI Summary'!$AF$10</f>
        <v>15470.300322276333</v>
      </c>
      <c r="P24" s="830">
        <f>O24+P26</f>
        <v>20106.916878966262</v>
      </c>
      <c r="Q24" s="830">
        <f>P24+Q26</f>
        <v>24743.533435656191</v>
      </c>
      <c r="R24" s="926">
        <f>Q24+R26</f>
        <v>29380.14999234612</v>
      </c>
      <c r="S24" s="522"/>
      <c r="T24" s="1148"/>
      <c r="U24" s="1148"/>
      <c r="V24" s="1148"/>
      <c r="W24" s="1148"/>
      <c r="AB24" s="933"/>
    </row>
    <row r="25" spans="1:30" ht="13.5" thickBot="1">
      <c r="G25" s="843" t="s">
        <v>555</v>
      </c>
      <c r="H25" s="842"/>
      <c r="I25" s="845"/>
      <c r="K25" s="927" t="s">
        <v>359</v>
      </c>
      <c r="M25" s="375">
        <f t="shared" ref="M25:R25" si="3">M24/L24-1</f>
        <v>1.4055864042988535</v>
      </c>
      <c r="N25" s="375">
        <f t="shared" si="3"/>
        <v>1.3512013129692546</v>
      </c>
      <c r="O25" s="375">
        <f t="shared" si="3"/>
        <v>0.42798153029150732</v>
      </c>
      <c r="P25" s="375">
        <f t="shared" si="3"/>
        <v>0.2997108304363989</v>
      </c>
      <c r="Q25" s="375">
        <f t="shared" si="3"/>
        <v>0.23059808644955759</v>
      </c>
      <c r="R25" s="928">
        <f t="shared" si="3"/>
        <v>0.18738700229484695</v>
      </c>
      <c r="S25" s="522"/>
      <c r="T25" s="522"/>
      <c r="U25" s="522"/>
      <c r="V25" s="522"/>
      <c r="W25" s="522"/>
      <c r="X25" s="95"/>
      <c r="AB25" s="933"/>
      <c r="AD25" s="1145"/>
    </row>
    <row r="26" spans="1:30">
      <c r="G26" s="828"/>
      <c r="I26" s="829"/>
      <c r="K26" s="927" t="s">
        <v>553</v>
      </c>
      <c r="M26" s="939">
        <f>M24-L24</f>
        <v>2692.2967440405359</v>
      </c>
      <c r="N26" s="939">
        <f>N24-M24</f>
        <v>6225.9610215458679</v>
      </c>
      <c r="O26" s="939">
        <f>O24-N24</f>
        <v>4636.616556689929</v>
      </c>
      <c r="P26" s="1159">
        <f>O26</f>
        <v>4636.616556689929</v>
      </c>
      <c r="Q26" s="1159">
        <f>P26</f>
        <v>4636.616556689929</v>
      </c>
      <c r="R26" s="1160">
        <f>Q26</f>
        <v>4636.616556689929</v>
      </c>
      <c r="S26" s="522"/>
      <c r="T26" s="1154"/>
      <c r="U26" s="1154"/>
      <c r="V26" s="1154"/>
      <c r="W26" s="1154"/>
      <c r="AD26" s="1145"/>
    </row>
    <row r="27" spans="1:30">
      <c r="G27" s="1087" t="s">
        <v>556</v>
      </c>
      <c r="H27" s="1085"/>
      <c r="I27" s="1086">
        <f>E14</f>
        <v>74653.948437575396</v>
      </c>
      <c r="K27" s="927" t="s">
        <v>554</v>
      </c>
      <c r="R27" s="1161">
        <f>(R24/O24)^(1/3)-1</f>
        <v>0.23837379855052099</v>
      </c>
      <c r="S27" s="522"/>
      <c r="T27" s="522"/>
      <c r="U27" s="522"/>
      <c r="V27" s="522"/>
      <c r="W27" s="522"/>
      <c r="Z27" s="1146"/>
      <c r="AD27" s="1145"/>
    </row>
    <row r="28" spans="1:30">
      <c r="C28" s="522"/>
      <c r="D28" s="522"/>
      <c r="E28" s="522"/>
      <c r="G28" s="828"/>
      <c r="I28" s="829"/>
      <c r="K28" s="924"/>
      <c r="R28" s="829"/>
      <c r="S28" s="522"/>
      <c r="T28" s="414"/>
      <c r="U28" s="414"/>
      <c r="V28" s="414"/>
      <c r="W28" s="414"/>
      <c r="X28" s="1146"/>
      <c r="AD28" s="1145"/>
    </row>
    <row r="29" spans="1:30">
      <c r="G29" s="1087" t="s">
        <v>557</v>
      </c>
      <c r="H29" s="1085"/>
      <c r="I29" s="1086">
        <f>I14</f>
        <v>105708.15111092594</v>
      </c>
      <c r="K29" s="969" t="s">
        <v>424</v>
      </c>
      <c r="L29" s="837">
        <f>'[2]IS (GAAP)'!$Q$47</f>
        <v>324.35799999999995</v>
      </c>
      <c r="M29" s="837">
        <f>'[2]IS (GAAP)'!$V$47</f>
        <v>510.20473194835085</v>
      </c>
      <c r="N29" s="837">
        <f>'[2]IS (GAAP)'!$AA$47</f>
        <v>2126.950242572846</v>
      </c>
      <c r="O29" s="837">
        <f>'[2]IS (GAAP)'!$AF$47</f>
        <v>3872.3901881474603</v>
      </c>
      <c r="P29" s="837">
        <f>'[2]IS (GAAP)'!$AF$47</f>
        <v>3872.3901881474603</v>
      </c>
      <c r="Q29" s="837">
        <f>'[2]IS (GAAP)'!$AF$47</f>
        <v>3872.3901881474603</v>
      </c>
      <c r="R29" s="929">
        <f>'[2]IS (GAAP)'!$AF$47</f>
        <v>3872.3901881474603</v>
      </c>
      <c r="S29" s="522"/>
      <c r="T29" s="522"/>
      <c r="U29" s="522"/>
      <c r="V29" s="522"/>
      <c r="W29" s="522"/>
      <c r="X29" s="582"/>
      <c r="AD29" s="1145"/>
    </row>
    <row r="30" spans="1:30">
      <c r="A30" s="522"/>
      <c r="G30" s="927" t="s">
        <v>579</v>
      </c>
      <c r="I30" s="986">
        <f>AVERAGE(I27:I29)</f>
        <v>90181.04977425067</v>
      </c>
      <c r="K30" s="924" t="s">
        <v>425</v>
      </c>
      <c r="L30" s="837">
        <f>'[2]IS (Non-GAAP)'!$Q$55</f>
        <v>355.84599999999978</v>
      </c>
      <c r="M30" s="837">
        <f>'[2]IS (Non-GAAP)'!$V$55</f>
        <v>813.72095159516266</v>
      </c>
      <c r="N30" s="837">
        <f>'[2]IS (Non-GAAP)'!$AA$55</f>
        <v>2554.8113560251531</v>
      </c>
      <c r="O30" s="837">
        <f>'[2]IS (Non-GAAP)'!$AF$55</f>
        <v>4289.4755468216426</v>
      </c>
      <c r="P30" s="837">
        <f>'[2]IS (Non-GAAP)'!$AF$55</f>
        <v>4289.4755468216426</v>
      </c>
      <c r="Q30" s="837">
        <f>'[2]IS (Non-GAAP)'!$AF$55</f>
        <v>4289.4755468216426</v>
      </c>
      <c r="R30" s="929">
        <f>'[2]IS (Non-GAAP)'!$AF$55</f>
        <v>4289.4755468216426</v>
      </c>
      <c r="S30" s="522"/>
      <c r="T30" s="522"/>
      <c r="U30" s="522"/>
      <c r="V30" s="522"/>
      <c r="W30" s="522"/>
      <c r="X30" s="1146"/>
      <c r="Y30" s="1147"/>
    </row>
    <row r="31" spans="1:30" s="522" customFormat="1">
      <c r="A31"/>
      <c r="C31"/>
      <c r="D31"/>
      <c r="E31"/>
      <c r="G31" s="1181" t="s">
        <v>580</v>
      </c>
      <c r="H31" s="233"/>
      <c r="I31" s="1182">
        <f>AVERAGE(E17,I17)</f>
        <v>159.16175392561007</v>
      </c>
      <c r="K31" s="924"/>
      <c r="L31"/>
      <c r="M31"/>
      <c r="N31"/>
      <c r="O31"/>
      <c r="P31"/>
      <c r="Q31"/>
      <c r="R31" s="829"/>
      <c r="T31" s="1155"/>
      <c r="U31" s="1155"/>
      <c r="V31" s="1155"/>
      <c r="W31" s="1155"/>
      <c r="X31"/>
      <c r="Y31"/>
      <c r="Z31"/>
      <c r="AA31"/>
      <c r="AB31"/>
      <c r="AC31"/>
      <c r="AD31"/>
    </row>
    <row r="32" spans="1:30" ht="13.5" thickBot="1">
      <c r="G32" s="831"/>
      <c r="H32" s="832"/>
      <c r="I32" s="833"/>
      <c r="K32" s="924" t="s">
        <v>426</v>
      </c>
      <c r="L32" s="830">
        <f>'[2]IS (Non-GAAP)'!$Q$103</f>
        <v>1187.7710000000002</v>
      </c>
      <c r="M32" s="830">
        <f>'[2]IS (Non-GAAP)'!$V$103</f>
        <v>2846.3958332786087</v>
      </c>
      <c r="N32" s="830">
        <f>'[2]IS (Non-GAAP)'!$AA$103</f>
        <v>7736.7589660233343</v>
      </c>
      <c r="O32" s="830">
        <f>'[2]IS (Non-GAAP)'!$AF$103</f>
        <v>11960.794111860596</v>
      </c>
      <c r="P32" s="830">
        <f>'[2]IS (Non-GAAP)'!$AF$103</f>
        <v>11960.794111860596</v>
      </c>
      <c r="Q32" s="830">
        <f>'[2]IS (Non-GAAP)'!$AF$103</f>
        <v>11960.794111860596</v>
      </c>
      <c r="R32" s="926">
        <f>'[2]IS (Non-GAAP)'!$AF$103</f>
        <v>11960.794111860596</v>
      </c>
      <c r="S32" s="414"/>
      <c r="T32" s="1154"/>
      <c r="U32" s="1154"/>
      <c r="V32" s="1154"/>
      <c r="W32" s="1154"/>
      <c r="X32" s="1148"/>
    </row>
    <row r="33" spans="11:26">
      <c r="K33" s="924" t="s">
        <v>429</v>
      </c>
      <c r="L33" s="830">
        <f>'[2]IS (Non-GAAP)'!$Q$105</f>
        <v>1219.2590000000002</v>
      </c>
      <c r="M33" s="830">
        <f>'[2]IS (Non-GAAP)'!$V$105</f>
        <v>3149.9120529254205</v>
      </c>
      <c r="N33" s="830">
        <f>'[2]IS (Non-GAAP)'!$AA$105</f>
        <v>8164.6200794756423</v>
      </c>
      <c r="O33" s="830">
        <f>'[2]IS (Non-GAAP)'!$AF$105</f>
        <v>12377.879470534779</v>
      </c>
      <c r="P33" s="830">
        <f>'[2]IS (Non-GAAP)'!$AF$105</f>
        <v>12377.879470534779</v>
      </c>
      <c r="Q33" s="830">
        <f>'[2]IS (Non-GAAP)'!$AF$105</f>
        <v>12377.879470534779</v>
      </c>
      <c r="R33" s="926">
        <f>'[2]IS (Non-GAAP)'!$AF$105</f>
        <v>12377.879470534779</v>
      </c>
      <c r="S33" s="522"/>
      <c r="T33" s="522"/>
      <c r="U33" s="522"/>
      <c r="V33" s="522"/>
      <c r="W33" s="522"/>
      <c r="X33" s="375"/>
    </row>
    <row r="34" spans="11:26">
      <c r="K34" s="924"/>
      <c r="L34" s="830"/>
      <c r="M34" s="830"/>
      <c r="N34" s="830"/>
      <c r="O34" s="830"/>
      <c r="P34" s="830"/>
      <c r="Q34" s="830"/>
      <c r="R34" s="926"/>
      <c r="S34" s="522"/>
      <c r="T34" s="1148"/>
      <c r="U34" s="1148"/>
      <c r="V34" s="1148"/>
      <c r="W34" s="1148"/>
    </row>
    <row r="35" spans="11:26">
      <c r="K35" s="924" t="s">
        <v>427</v>
      </c>
      <c r="L35" s="830">
        <f>'[2]IS (GAAP)'!$Q$76</f>
        <v>-863.44800000000009</v>
      </c>
      <c r="M35" s="830">
        <f>'[2]IS (GAAP)'!$V$76</f>
        <v>-518.61733062871065</v>
      </c>
      <c r="N35" s="830">
        <f>'[2]IS (GAAP)'!$AA$76</f>
        <v>-581.83710663491559</v>
      </c>
      <c r="O35" s="830">
        <f>'[2]IS (GAAP)'!$AF$76</f>
        <v>1005.0619646867356</v>
      </c>
      <c r="P35" s="830">
        <f>'[2]IS (GAAP)'!$AF$76</f>
        <v>1005.0619646867356</v>
      </c>
      <c r="Q35" s="830">
        <f>'[2]IS (GAAP)'!$AF$76</f>
        <v>1005.0619646867356</v>
      </c>
      <c r="R35" s="926">
        <f>'[2]IS (GAAP)'!$AF$76</f>
        <v>1005.0619646867356</v>
      </c>
      <c r="S35" s="522"/>
      <c r="T35" s="1154"/>
      <c r="U35" s="1154"/>
      <c r="V35" s="1154"/>
      <c r="W35" s="1154"/>
      <c r="Z35" s="1146"/>
    </row>
    <row r="36" spans="11:26">
      <c r="K36" s="927" t="s">
        <v>496</v>
      </c>
      <c r="M36" s="375">
        <f t="shared" ref="M36:R36" si="4">M35/L35-1</f>
        <v>-0.39936472071426354</v>
      </c>
      <c r="N36" s="375">
        <f t="shared" si="4"/>
        <v>0.12190062358611264</v>
      </c>
      <c r="O36" s="375">
        <f t="shared" si="4"/>
        <v>-2.727394064808899</v>
      </c>
      <c r="P36" s="375">
        <f t="shared" si="4"/>
        <v>0</v>
      </c>
      <c r="Q36" s="375">
        <f t="shared" si="4"/>
        <v>0</v>
      </c>
      <c r="R36" s="928">
        <f t="shared" si="4"/>
        <v>0</v>
      </c>
      <c r="S36" s="522"/>
      <c r="T36" s="522"/>
      <c r="U36" s="522"/>
      <c r="V36" s="522"/>
      <c r="W36" s="522"/>
      <c r="X36" s="1149"/>
      <c r="Y36" s="1147"/>
    </row>
    <row r="37" spans="11:26">
      <c r="K37" s="924" t="s">
        <v>428</v>
      </c>
      <c r="L37" s="830">
        <f>'[2]IS (Non-GAAP)'!$Q$84</f>
        <v>-64.907000000000195</v>
      </c>
      <c r="M37" s="830">
        <f>'[2]IS (Non-GAAP)'!$V$84</f>
        <v>-208.0361109818989</v>
      </c>
      <c r="N37" s="830">
        <f>'[2]IS (Non-GAAP)'!$AA$84</f>
        <v>-153.97599318260848</v>
      </c>
      <c r="O37" s="830">
        <f>'[2]IS (Non-GAAP)'!$AF$84</f>
        <v>1422.1473233609183</v>
      </c>
      <c r="P37" s="830">
        <f>'[2]IS (Non-GAAP)'!$AF$84</f>
        <v>1422.1473233609183</v>
      </c>
      <c r="Q37" s="830">
        <f>'[2]IS (Non-GAAP)'!$AF$84</f>
        <v>1422.1473233609183</v>
      </c>
      <c r="R37" s="926">
        <f>'[2]IS (Non-GAAP)'!$AF$84</f>
        <v>1422.1473233609183</v>
      </c>
      <c r="S37" s="522"/>
      <c r="T37" s="522"/>
      <c r="U37" s="522"/>
      <c r="V37" s="522"/>
      <c r="W37" s="522"/>
    </row>
    <row r="38" spans="11:26">
      <c r="K38" s="927" t="s">
        <v>496</v>
      </c>
      <c r="M38" s="375">
        <f t="shared" ref="M38:R38" si="5">M37/L37-1</f>
        <v>2.2051413712218757</v>
      </c>
      <c r="N38" s="375">
        <f t="shared" si="5"/>
        <v>-0.25985929819652398</v>
      </c>
      <c r="O38" s="375">
        <f t="shared" si="5"/>
        <v>-10.236162689818254</v>
      </c>
      <c r="P38" s="375">
        <f t="shared" si="5"/>
        <v>0</v>
      </c>
      <c r="Q38" s="375">
        <f t="shared" si="5"/>
        <v>0</v>
      </c>
      <c r="R38" s="928">
        <f t="shared" si="5"/>
        <v>0</v>
      </c>
      <c r="S38" s="522"/>
      <c r="T38" s="522"/>
      <c r="U38" s="522"/>
      <c r="V38" s="522"/>
      <c r="W38" s="522"/>
      <c r="X38" s="375"/>
    </row>
    <row r="39" spans="11:26">
      <c r="K39" s="924"/>
      <c r="R39" s="829"/>
      <c r="S39" s="522"/>
      <c r="T39" s="522"/>
      <c r="U39" s="522"/>
      <c r="V39" s="522"/>
      <c r="W39" s="522"/>
      <c r="X39" s="582"/>
    </row>
    <row r="40" spans="11:26">
      <c r="K40" s="930" t="s">
        <v>88</v>
      </c>
      <c r="L40" s="830">
        <f>[2]BS!$Q$68</f>
        <v>5890.5069999999996</v>
      </c>
      <c r="M40" s="830">
        <f>[2]BS!$V$68</f>
        <v>20209.981118518601</v>
      </c>
      <c r="N40" s="830">
        <f>[2]BS!$AA$68</f>
        <v>30224.182754422163</v>
      </c>
      <c r="O40" s="830">
        <f>[2]BS!$AF$68</f>
        <v>11811.265003121747</v>
      </c>
      <c r="P40" s="830">
        <f>[2]BS!$AF$68</f>
        <v>11811.265003121747</v>
      </c>
      <c r="Q40" s="830">
        <f>[2]BS!$AF$68</f>
        <v>11811.265003121747</v>
      </c>
      <c r="R40" s="926">
        <f>[2]BS!$AF$68</f>
        <v>11811.265003121747</v>
      </c>
      <c r="S40" s="522"/>
      <c r="T40" s="1155"/>
      <c r="U40" s="1155"/>
      <c r="V40" s="1155"/>
      <c r="W40" s="1155"/>
      <c r="X40" s="375"/>
    </row>
    <row r="41" spans="11:26">
      <c r="K41" s="1144" t="s">
        <v>549</v>
      </c>
      <c r="L41" s="830">
        <f>[2]BS!M68</f>
        <v>790.71655580820925</v>
      </c>
      <c r="M41" s="830">
        <f>[2]BS!R68</f>
        <v>8011.3834352653685</v>
      </c>
      <c r="N41" s="830">
        <f>[2]BS!W68</f>
        <v>23139.913424831444</v>
      </c>
      <c r="O41" s="830">
        <f>[2]BS!AB68</f>
        <v>29365.423072220361</v>
      </c>
      <c r="P41" s="830">
        <f>[2]BS!AC68</f>
        <v>30854.287053177592</v>
      </c>
      <c r="Q41" s="830">
        <f>[2]BS!AD68</f>
        <v>32369.911962546546</v>
      </c>
      <c r="R41" s="926">
        <f>[2]BS!AE68</f>
        <v>33561.265003121742</v>
      </c>
      <c r="S41" s="414"/>
      <c r="T41" s="1154"/>
      <c r="U41" s="1154"/>
      <c r="V41" s="1154"/>
      <c r="W41" s="1154"/>
    </row>
    <row r="42" spans="11:26" ht="13.5" thickBot="1">
      <c r="K42" s="931"/>
      <c r="L42" s="832"/>
      <c r="M42" s="832"/>
      <c r="N42" s="832"/>
      <c r="O42" s="832"/>
      <c r="P42" s="832"/>
      <c r="Q42" s="832"/>
      <c r="R42" s="833"/>
      <c r="S42" s="522"/>
      <c r="T42" s="522"/>
      <c r="U42" s="522"/>
      <c r="V42" s="522"/>
      <c r="W42" s="522"/>
      <c r="X42" s="1148"/>
      <c r="Y42" s="1147"/>
    </row>
    <row r="43" spans="11:26">
      <c r="S43" s="522"/>
      <c r="T43" s="1148"/>
      <c r="U43" s="1148"/>
      <c r="V43" s="1148"/>
      <c r="W43" s="1148"/>
      <c r="X43" s="375"/>
      <c r="Z43" s="1146"/>
    </row>
    <row r="44" spans="11:26">
      <c r="S44" s="522"/>
      <c r="T44" s="1154"/>
      <c r="U44" s="1154"/>
      <c r="V44" s="1154"/>
      <c r="W44" s="1154"/>
    </row>
    <row r="45" spans="11:26">
      <c r="S45" s="522"/>
      <c r="T45" s="522"/>
      <c r="U45" s="522"/>
      <c r="V45" s="522"/>
      <c r="W45" s="522"/>
    </row>
    <row r="46" spans="11:26">
      <c r="S46" s="522"/>
      <c r="T46" s="522"/>
      <c r="U46" s="522"/>
      <c r="V46" s="522"/>
      <c r="W46" s="522"/>
    </row>
    <row r="47" spans="11:26">
      <c r="S47" s="522"/>
      <c r="T47" s="522"/>
      <c r="U47" s="522"/>
      <c r="V47" s="522"/>
      <c r="W47" s="522"/>
      <c r="X47" s="1146"/>
    </row>
    <row r="48" spans="11:26">
      <c r="S48" s="522"/>
      <c r="T48" s="522"/>
      <c r="U48" s="522"/>
      <c r="V48" s="522"/>
      <c r="W48" s="522"/>
      <c r="X48" s="582"/>
      <c r="Y48" s="1147"/>
    </row>
    <row r="49" spans="19:26">
      <c r="S49" s="522"/>
      <c r="T49" s="522"/>
      <c r="U49" s="522"/>
      <c r="V49" s="522"/>
      <c r="W49" s="522"/>
      <c r="X49" s="375"/>
    </row>
    <row r="50" spans="19:26">
      <c r="S50" s="522"/>
      <c r="T50" s="1155"/>
      <c r="U50" s="1155"/>
      <c r="V50" s="1155"/>
      <c r="W50" s="1155"/>
    </row>
    <row r="51" spans="19:26">
      <c r="S51" s="522"/>
      <c r="T51" s="1156"/>
      <c r="U51" s="1156"/>
      <c r="V51" s="1156"/>
      <c r="W51" s="1156"/>
      <c r="X51" s="1148"/>
      <c r="Z51" s="1146"/>
    </row>
    <row r="52" spans="19:26">
      <c r="S52" s="522"/>
      <c r="T52" s="522"/>
      <c r="U52" s="522"/>
      <c r="V52" s="522"/>
      <c r="W52" s="522"/>
      <c r="X52" s="375"/>
    </row>
    <row r="53" spans="19:26">
      <c r="S53" s="522"/>
      <c r="T53" s="1148"/>
      <c r="U53" s="1148"/>
      <c r="V53" s="1148"/>
      <c r="W53" s="1148"/>
    </row>
    <row r="54" spans="19:26">
      <c r="S54" s="522"/>
      <c r="T54" s="1154"/>
      <c r="U54" s="1154"/>
      <c r="V54" s="1154"/>
      <c r="W54" s="1154"/>
    </row>
    <row r="55" spans="19:26">
      <c r="S55" s="522"/>
      <c r="T55" s="522"/>
      <c r="U55" s="522"/>
      <c r="V55" s="522"/>
      <c r="W55" s="522"/>
    </row>
    <row r="56" spans="19:26">
      <c r="S56" s="522"/>
      <c r="T56" s="522"/>
      <c r="U56" s="522"/>
      <c r="V56" s="522"/>
      <c r="W56" s="522"/>
    </row>
    <row r="57" spans="19:26">
      <c r="S57" s="414"/>
      <c r="T57" s="522"/>
      <c r="U57" s="522"/>
      <c r="V57" s="522"/>
      <c r="W57" s="522"/>
      <c r="X57" s="1146"/>
    </row>
    <row r="58" spans="19:26">
      <c r="S58" s="522"/>
      <c r="T58" s="1157"/>
      <c r="U58" s="1157"/>
      <c r="V58" s="1157"/>
      <c r="W58" s="1157"/>
      <c r="X58" s="582"/>
    </row>
    <row r="59" spans="19:26">
      <c r="S59" s="522"/>
      <c r="T59" s="1157"/>
      <c r="U59" s="1157"/>
      <c r="V59" s="1157"/>
      <c r="W59" s="1157"/>
      <c r="X59" s="1150"/>
    </row>
    <row r="60" spans="19:26">
      <c r="S60" s="1156"/>
      <c r="T60" s="1156"/>
      <c r="U60" s="1156"/>
      <c r="V60" s="1156"/>
      <c r="W60" s="1156"/>
    </row>
    <row r="61" spans="19:26">
      <c r="S61" s="522"/>
      <c r="T61" s="1157"/>
      <c r="U61" s="1157"/>
      <c r="V61" s="1157"/>
      <c r="W61" s="1157"/>
      <c r="X61" s="1148"/>
    </row>
    <row r="62" spans="19:26">
      <c r="S62" s="522"/>
      <c r="T62" s="1148"/>
      <c r="U62" s="1148"/>
      <c r="V62" s="1148"/>
      <c r="W62" s="1148"/>
      <c r="X62" s="375"/>
    </row>
    <row r="63" spans="19:26">
      <c r="S63" s="522"/>
      <c r="T63" s="1154"/>
      <c r="U63" s="1154"/>
      <c r="V63" s="1154"/>
      <c r="W63" s="1154"/>
    </row>
    <row r="64" spans="19:26">
      <c r="S64" s="522"/>
      <c r="T64" s="522"/>
      <c r="U64" s="522"/>
      <c r="V64" s="522"/>
      <c r="W64" s="522"/>
    </row>
    <row r="65" spans="19:30">
      <c r="S65" s="414"/>
      <c r="T65" s="522"/>
      <c r="U65" s="522"/>
      <c r="V65" s="522"/>
      <c r="W65" s="522"/>
    </row>
    <row r="66" spans="19:30">
      <c r="S66" s="522"/>
      <c r="T66" s="522"/>
      <c r="U66" s="522"/>
      <c r="V66" s="522"/>
      <c r="W66" s="522"/>
      <c r="X66" s="1151"/>
      <c r="Y66" s="1151"/>
      <c r="Z66" s="1151"/>
    </row>
    <row r="67" spans="19:30">
      <c r="S67" s="522"/>
      <c r="T67" s="1154"/>
      <c r="U67" s="1154"/>
      <c r="V67" s="1154"/>
      <c r="W67" s="1154"/>
      <c r="X67" s="1151"/>
      <c r="Z67" s="1147"/>
    </row>
    <row r="68" spans="19:30">
      <c r="S68" s="522"/>
      <c r="T68" s="522"/>
      <c r="U68" s="522"/>
      <c r="V68" s="522"/>
      <c r="W68" s="522"/>
      <c r="X68" s="1150"/>
    </row>
    <row r="69" spans="19:30">
      <c r="S69" s="522"/>
      <c r="T69" s="1148"/>
      <c r="U69" s="1148"/>
      <c r="V69" s="1148"/>
      <c r="W69" s="1148"/>
      <c r="X69" s="1151"/>
    </row>
    <row r="70" spans="19:30">
      <c r="S70" s="522"/>
      <c r="T70" s="522"/>
      <c r="U70" s="522"/>
      <c r="V70" s="522"/>
      <c r="W70" s="522"/>
      <c r="X70" s="1148"/>
    </row>
    <row r="71" spans="19:30">
      <c r="S71" s="522"/>
      <c r="T71" s="522"/>
      <c r="U71" s="522"/>
      <c r="V71" s="522"/>
      <c r="W71" s="522"/>
      <c r="X71" s="375"/>
      <c r="Y71" s="1147"/>
    </row>
    <row r="72" spans="19:30">
      <c r="S72" s="522"/>
      <c r="T72" s="522"/>
      <c r="U72" s="522"/>
      <c r="V72" s="522"/>
      <c r="W72" s="522"/>
      <c r="X72" s="1152"/>
      <c r="Z72" s="1147"/>
    </row>
    <row r="73" spans="19:30">
      <c r="S73" s="522"/>
      <c r="T73" s="522"/>
      <c r="U73" s="522"/>
      <c r="V73" s="522"/>
      <c r="W73" s="522"/>
      <c r="X73" s="522"/>
      <c r="Y73" s="522"/>
      <c r="Z73" s="522"/>
    </row>
    <row r="74" spans="19:30">
      <c r="S74" s="522"/>
      <c r="T74" s="522"/>
      <c r="U74" s="522"/>
      <c r="V74" s="522"/>
      <c r="W74" s="522"/>
      <c r="X74" s="522"/>
      <c r="Y74" s="1148"/>
      <c r="Z74" s="522"/>
    </row>
    <row r="75" spans="19:30">
      <c r="S75" s="522"/>
      <c r="T75" s="522"/>
      <c r="U75" s="522"/>
      <c r="V75" s="522"/>
      <c r="W75" s="522"/>
      <c r="X75" s="1154"/>
      <c r="Y75" s="1148"/>
      <c r="Z75" s="1154"/>
    </row>
    <row r="76" spans="19:30">
      <c r="S76" s="522"/>
      <c r="T76" s="522"/>
      <c r="U76" s="522"/>
      <c r="V76" s="522"/>
      <c r="W76" s="522"/>
      <c r="X76" s="522"/>
      <c r="Y76" s="380"/>
      <c r="Z76" s="522"/>
      <c r="AC76" s="1153"/>
      <c r="AD76" s="933"/>
    </row>
    <row r="77" spans="19:30">
      <c r="S77" s="522"/>
      <c r="T77" s="522"/>
      <c r="U77" s="522"/>
      <c r="V77" s="522"/>
      <c r="W77" s="522"/>
      <c r="X77" s="1148"/>
      <c r="Y77" s="1148"/>
      <c r="Z77" s="1148"/>
    </row>
    <row r="78" spans="19:30">
      <c r="S78" s="522"/>
      <c r="T78" s="522"/>
      <c r="U78" s="522"/>
      <c r="V78" s="522"/>
      <c r="W78" s="522"/>
      <c r="X78" s="522"/>
      <c r="Y78" s="522"/>
      <c r="Z78" s="522"/>
      <c r="AC78" s="1153"/>
      <c r="AD78" s="933"/>
    </row>
    <row r="79" spans="19:30">
      <c r="S79" s="522"/>
      <c r="T79" s="522"/>
      <c r="U79" s="522"/>
      <c r="V79" s="522"/>
      <c r="W79" s="522"/>
      <c r="X79" s="522"/>
      <c r="Y79" s="522"/>
      <c r="Z79" s="522"/>
      <c r="AC79" s="1147"/>
    </row>
    <row r="80" spans="19:30">
      <c r="S80" s="522"/>
      <c r="T80" s="522"/>
      <c r="U80" s="522"/>
      <c r="V80" s="522"/>
      <c r="W80" s="522"/>
      <c r="X80" s="1147"/>
      <c r="Y80" s="1147"/>
      <c r="Z80" s="1147"/>
      <c r="AA80" s="1147"/>
      <c r="AB80" s="1147"/>
      <c r="AC80" s="1147"/>
    </row>
    <row r="81" spans="19:29">
      <c r="S81" s="522"/>
      <c r="T81" s="522"/>
      <c r="U81" s="522"/>
      <c r="V81" s="522"/>
      <c r="W81" s="522"/>
      <c r="X81" s="1147"/>
      <c r="Y81" s="1147"/>
      <c r="Z81" s="1147"/>
      <c r="AC81" s="1147"/>
    </row>
    <row r="82" spans="19:29">
      <c r="S82" s="522"/>
      <c r="T82" s="522"/>
      <c r="U82" s="522"/>
      <c r="V82" s="522"/>
      <c r="W82" s="522"/>
      <c r="X82" s="1147"/>
      <c r="AA82" s="1147"/>
      <c r="AC82" s="1147"/>
    </row>
    <row r="83" spans="19:29">
      <c r="S83" s="522"/>
      <c r="T83" s="522"/>
      <c r="U83" s="522"/>
      <c r="V83" s="522"/>
      <c r="W83" s="522"/>
    </row>
    <row r="84" spans="19:29">
      <c r="S84" s="522"/>
      <c r="T84" s="522"/>
      <c r="U84" s="522"/>
      <c r="V84" s="522"/>
      <c r="W84" s="522"/>
      <c r="Y84" s="1153"/>
    </row>
    <row r="85" spans="19:29">
      <c r="Y85" s="1153"/>
    </row>
    <row r="86" spans="19:29">
      <c r="Y86" s="1153"/>
    </row>
    <row r="87" spans="19:29">
      <c r="Y87" s="1029"/>
    </row>
    <row r="88" spans="19:29">
      <c r="Y88" s="1153"/>
    </row>
    <row r="89" spans="19:29">
      <c r="Y89" s="1153"/>
    </row>
  </sheetData>
  <pageMargins left="0.7" right="0.7" top="0.75" bottom="0.75" header="0.3" footer="0.3"/>
  <pageSetup orientation="portrait" r:id="rId1"/>
  <customProperties>
    <customPr name="Qube.Worksheet.Visibility" r:id="rId2"/>
  </customPropertie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670E6-C70A-41CD-892D-E565417412AF}">
  <sheetPr codeName="Sheet30">
    <tabColor theme="5"/>
  </sheetPr>
  <dimension ref="B2:AA67"/>
  <sheetViews>
    <sheetView showGridLines="0" zoomScale="130" zoomScaleNormal="130" workbookViewId="0">
      <selection activeCell="F6" sqref="F6"/>
    </sheetView>
  </sheetViews>
  <sheetFormatPr defaultRowHeight="12.75"/>
  <cols>
    <col min="1" max="2" width="3.7109375" customWidth="1"/>
    <col min="3" max="3" width="19.42578125" style="376" bestFit="1" customWidth="1"/>
    <col min="4" max="6" width="9.28515625" bestFit="1" customWidth="1"/>
    <col min="7" max="7" width="10.28515625" bestFit="1" customWidth="1"/>
    <col min="8" max="8" width="3.7109375" customWidth="1"/>
    <col min="10" max="10" width="3.7109375" customWidth="1"/>
    <col min="11" max="11" width="35.28515625" style="376" bestFit="1" customWidth="1"/>
    <col min="12" max="12" width="8" bestFit="1" customWidth="1"/>
    <col min="13" max="13" width="10.42578125" bestFit="1" customWidth="1"/>
    <col min="14" max="14" width="8" bestFit="1" customWidth="1"/>
    <col min="15" max="15" width="8.7109375" bestFit="1" customWidth="1"/>
    <col min="16" max="19" width="8.85546875" bestFit="1" customWidth="1"/>
    <col min="20" max="20" width="3.7109375" customWidth="1"/>
    <col min="24" max="24" width="10.42578125" bestFit="1" customWidth="1"/>
  </cols>
  <sheetData>
    <row r="2" spans="2:27" ht="13.5" thickBot="1"/>
    <row r="3" spans="2:27" ht="13.5" thickBot="1">
      <c r="B3" s="834"/>
      <c r="C3" s="838"/>
      <c r="D3" s="835" t="s">
        <v>504</v>
      </c>
      <c r="E3" s="835" t="s">
        <v>493</v>
      </c>
      <c r="F3" s="835" t="s">
        <v>494</v>
      </c>
      <c r="G3" s="835" t="s">
        <v>495</v>
      </c>
      <c r="H3" s="836"/>
      <c r="J3" s="843" t="s">
        <v>433</v>
      </c>
      <c r="K3" s="844"/>
      <c r="L3" s="842"/>
      <c r="M3" s="842"/>
      <c r="N3" s="842"/>
      <c r="O3" s="842"/>
      <c r="P3" s="842"/>
      <c r="Q3" s="842"/>
      <c r="R3" s="842"/>
      <c r="S3" s="842"/>
      <c r="T3" s="845"/>
    </row>
    <row r="4" spans="2:27">
      <c r="B4" s="828"/>
      <c r="C4" s="839"/>
      <c r="D4" s="95"/>
      <c r="E4" s="95"/>
      <c r="F4" s="95"/>
      <c r="G4" s="95"/>
      <c r="H4" s="829"/>
      <c r="J4" s="828"/>
      <c r="K4" s="839"/>
      <c r="T4" s="829"/>
    </row>
    <row r="5" spans="2:27">
      <c r="B5" s="828"/>
      <c r="C5" s="839" t="s">
        <v>358</v>
      </c>
      <c r="D5" s="830">
        <f>'KPI Summary'!$Q$10</f>
        <v>1915.4259999999999</v>
      </c>
      <c r="E5" s="830">
        <f>'KPI Summary'!$V$10</f>
        <v>5101.9758383352846</v>
      </c>
      <c r="F5" s="830">
        <f>'KPI Summary'!$AA$10</f>
        <v>12001.639467638406</v>
      </c>
      <c r="G5" s="830">
        <f>'KPI Summary'!$AF$10</f>
        <v>17210.889869048326</v>
      </c>
      <c r="H5" s="829"/>
      <c r="J5" s="828"/>
      <c r="K5" s="839" t="s">
        <v>498</v>
      </c>
      <c r="L5" s="932" t="e">
        <f>#REF!</f>
        <v>#REF!</v>
      </c>
      <c r="T5" s="829"/>
    </row>
    <row r="6" spans="2:27">
      <c r="B6" s="828"/>
      <c r="C6" s="910" t="s">
        <v>359</v>
      </c>
      <c r="E6" s="375">
        <f>E5/D5-1</f>
        <v>1.663624613185414</v>
      </c>
      <c r="F6" s="375">
        <f>F5/E5-1</f>
        <v>1.3523512944652443</v>
      </c>
      <c r="G6" s="375">
        <f>G5/F5-1</f>
        <v>0.43404489990357598</v>
      </c>
      <c r="H6" s="829"/>
      <c r="J6" s="828"/>
      <c r="K6" s="839"/>
      <c r="T6" s="829"/>
    </row>
    <row r="7" spans="2:27">
      <c r="B7" s="828"/>
      <c r="C7" s="839"/>
      <c r="H7" s="829"/>
      <c r="J7" s="828"/>
      <c r="K7" s="839" t="s">
        <v>430</v>
      </c>
      <c r="L7" s="847">
        <v>15</v>
      </c>
      <c r="M7" s="847">
        <f t="shared" ref="M7:S7" si="0">L7+5</f>
        <v>20</v>
      </c>
      <c r="N7" s="847">
        <v>28</v>
      </c>
      <c r="O7" s="847">
        <f t="shared" si="0"/>
        <v>33</v>
      </c>
      <c r="P7" s="847">
        <f t="shared" si="0"/>
        <v>38</v>
      </c>
      <c r="Q7" s="847">
        <f t="shared" si="0"/>
        <v>43</v>
      </c>
      <c r="R7" s="847">
        <f t="shared" si="0"/>
        <v>48</v>
      </c>
      <c r="S7" s="847">
        <f t="shared" si="0"/>
        <v>53</v>
      </c>
      <c r="T7" s="846"/>
    </row>
    <row r="8" spans="2:27">
      <c r="B8" s="828"/>
      <c r="C8" s="839" t="s">
        <v>424</v>
      </c>
      <c r="D8" s="830">
        <f>'IS (GAAP)'!$Q$49</f>
        <v>324.35799999999995</v>
      </c>
      <c r="E8" s="830">
        <f>'IS (GAAP)'!$V$49</f>
        <v>110.85992002164267</v>
      </c>
      <c r="F8" s="830">
        <f>'IS (GAAP)'!$AA$49</f>
        <v>1668.3147070403202</v>
      </c>
      <c r="G8" s="830">
        <f>'IS (GAAP)'!$AF$49</f>
        <v>2769.3170600429203</v>
      </c>
      <c r="H8" s="829"/>
      <c r="J8" s="828"/>
      <c r="K8" s="839"/>
      <c r="T8" s="829"/>
    </row>
    <row r="9" spans="2:27">
      <c r="B9" s="828"/>
      <c r="C9" s="839" t="s">
        <v>425</v>
      </c>
      <c r="D9" s="837">
        <f>'IS (Non-GAAP)'!$Q$47</f>
        <v>355.84599999999978</v>
      </c>
      <c r="E9" s="837">
        <f>'IS (Non-GAAP)'!$V$47</f>
        <v>716.27551274673078</v>
      </c>
      <c r="F9" s="837">
        <f>'IS (Non-GAAP)'!$AA$47</f>
        <v>2132.2968655229397</v>
      </c>
      <c r="G9" s="837">
        <f>'IS (Non-GAAP)'!$AF$47</f>
        <v>3225.7135441114715</v>
      </c>
      <c r="H9" s="829"/>
      <c r="J9" s="828"/>
      <c r="K9" s="839" t="s">
        <v>431</v>
      </c>
      <c r="L9" s="939">
        <f t="shared" ref="L9:S9" si="1">L7*$F$14</f>
        <v>-8281.9713792701532</v>
      </c>
      <c r="M9" s="939">
        <f t="shared" si="1"/>
        <v>-11042.628505693538</v>
      </c>
      <c r="N9" s="939">
        <f t="shared" si="1"/>
        <v>-15459.679907970953</v>
      </c>
      <c r="O9" s="939">
        <f t="shared" si="1"/>
        <v>-18220.337034394339</v>
      </c>
      <c r="P9" s="939">
        <f t="shared" si="1"/>
        <v>-20980.994160817721</v>
      </c>
      <c r="Q9" s="939">
        <f t="shared" si="1"/>
        <v>-23741.651287241104</v>
      </c>
      <c r="R9" s="939">
        <f t="shared" si="1"/>
        <v>-26502.30841366449</v>
      </c>
      <c r="S9" s="939">
        <f t="shared" si="1"/>
        <v>-29262.965540087876</v>
      </c>
      <c r="T9" s="829"/>
    </row>
    <row r="10" spans="2:27">
      <c r="B10" s="828"/>
      <c r="C10" s="839"/>
      <c r="D10" s="830"/>
      <c r="E10" s="830"/>
      <c r="F10" s="830"/>
      <c r="G10" s="830"/>
      <c r="H10" s="829"/>
      <c r="J10" s="828"/>
      <c r="K10" s="839" t="s">
        <v>432</v>
      </c>
      <c r="L10" s="939">
        <f t="shared" ref="L10:S10" si="2">L7*$F$16</f>
        <v>-2047.8790020308609</v>
      </c>
      <c r="M10" s="939">
        <f t="shared" si="2"/>
        <v>-2730.5053360411475</v>
      </c>
      <c r="N10" s="939">
        <f t="shared" si="2"/>
        <v>-3822.7074704576071</v>
      </c>
      <c r="O10" s="939">
        <f t="shared" si="2"/>
        <v>-4505.333804467894</v>
      </c>
      <c r="P10" s="939">
        <f t="shared" si="2"/>
        <v>-5187.9601384781809</v>
      </c>
      <c r="Q10" s="939">
        <f t="shared" si="2"/>
        <v>-5870.5864724884677</v>
      </c>
      <c r="R10" s="939">
        <f t="shared" si="2"/>
        <v>-6553.2128064987546</v>
      </c>
      <c r="S10" s="939">
        <f t="shared" si="2"/>
        <v>-7235.8391405090415</v>
      </c>
      <c r="T10" s="829"/>
    </row>
    <row r="11" spans="2:27">
      <c r="B11" s="828"/>
      <c r="C11" s="839" t="s">
        <v>426</v>
      </c>
      <c r="D11" s="830">
        <f>'IS (Non-GAAP)'!$Q$95</f>
        <v>1187.771</v>
      </c>
      <c r="E11" s="830">
        <f>'IS (Non-GAAP)'!$V$95</f>
        <v>2234.7142815302304</v>
      </c>
      <c r="F11" s="830">
        <f>'IS (Non-GAAP)'!$AA$95</f>
        <v>7384.0203687570274</v>
      </c>
      <c r="G11" s="830">
        <f>'IS (Non-GAAP)'!$AF$95</f>
        <v>11531.789814378553</v>
      </c>
      <c r="H11" s="829"/>
      <c r="J11" s="828"/>
      <c r="K11" s="839"/>
      <c r="T11" s="829"/>
    </row>
    <row r="12" spans="2:27">
      <c r="B12" s="828"/>
      <c r="C12" s="839" t="s">
        <v>429</v>
      </c>
      <c r="D12" s="830">
        <f>'IS (Non-GAAP)'!$Q$97</f>
        <v>1219.259</v>
      </c>
      <c r="E12" s="830">
        <f>'IS (Non-GAAP)'!$V$97</f>
        <v>2777.5528742553183</v>
      </c>
      <c r="F12" s="830">
        <f>'IS (Non-GAAP)'!$AA$97</f>
        <v>7848.0025272396479</v>
      </c>
      <c r="G12" s="830">
        <f>'IS (Non-GAAP)'!$AF$97</f>
        <v>11988.186298447104</v>
      </c>
      <c r="H12" s="829"/>
      <c r="J12" s="828"/>
      <c r="K12" s="839"/>
      <c r="T12" s="829"/>
    </row>
    <row r="13" spans="2:27">
      <c r="B13" s="828"/>
      <c r="C13" s="839"/>
      <c r="D13" s="830"/>
      <c r="E13" s="830"/>
      <c r="F13" s="830"/>
      <c r="G13" s="830"/>
      <c r="H13" s="829"/>
      <c r="J13" s="828"/>
      <c r="K13" s="839"/>
      <c r="M13" s="830">
        <f>+N13*0.9</f>
        <v>8210.4834764337029</v>
      </c>
      <c r="N13" s="939">
        <f>N7*$G$16</f>
        <v>9122.7594182596695</v>
      </c>
      <c r="P13" s="939">
        <f>N7*$F$16</f>
        <v>-3822.7074704576071</v>
      </c>
      <c r="T13" s="829"/>
      <c r="V13" t="s">
        <v>360</v>
      </c>
      <c r="W13" s="375">
        <v>0.5</v>
      </c>
      <c r="X13" s="940">
        <f>M51*W13</f>
        <v>36660.156743206739</v>
      </c>
      <c r="Z13" s="375">
        <v>0.33</v>
      </c>
      <c r="AA13" s="940">
        <f>M51*Z13</f>
        <v>24195.703450516448</v>
      </c>
    </row>
    <row r="14" spans="2:27" ht="13.5" thickBot="1">
      <c r="B14" s="828"/>
      <c r="C14" s="839" t="s">
        <v>427</v>
      </c>
      <c r="D14" s="830">
        <f>'IS (GAAP)'!$Q$78</f>
        <v>-863.44800000000009</v>
      </c>
      <c r="E14" s="830">
        <f>'IS (GAAP)'!$V$78</f>
        <v>-957.35072060546463</v>
      </c>
      <c r="F14" s="830">
        <f>'IS (GAAP)'!$AA$78</f>
        <v>-552.13142528467688</v>
      </c>
      <c r="G14" s="830">
        <f>'IS (GAAP)'!$AF$78</f>
        <v>-82.207647702134707</v>
      </c>
      <c r="H14" s="829"/>
      <c r="J14" s="831"/>
      <c r="K14" s="841"/>
      <c r="L14" s="832"/>
      <c r="M14" s="832"/>
      <c r="N14" s="832"/>
      <c r="O14" s="832"/>
      <c r="P14" s="832"/>
      <c r="Q14" s="832"/>
      <c r="R14" s="832"/>
      <c r="S14" s="832"/>
      <c r="T14" s="833"/>
      <c r="V14" t="s">
        <v>423</v>
      </c>
      <c r="W14" s="375">
        <v>0.25</v>
      </c>
      <c r="X14" s="940">
        <f>M39*W14</f>
        <v>10788.080226756903</v>
      </c>
      <c r="Z14" s="375">
        <v>0.33</v>
      </c>
      <c r="AA14" s="940">
        <f>M39*Z14</f>
        <v>14240.265899319113</v>
      </c>
    </row>
    <row r="15" spans="2:27">
      <c r="B15" s="828"/>
      <c r="C15" s="910" t="s">
        <v>496</v>
      </c>
      <c r="E15" s="375">
        <f>E14/D14-1</f>
        <v>0.10875318560638791</v>
      </c>
      <c r="F15" s="375">
        <f>F14/E14-1</f>
        <v>-0.42327152066539608</v>
      </c>
      <c r="G15" s="375">
        <f>G14/F14-1</f>
        <v>-0.8511085514472414</v>
      </c>
      <c r="H15" s="829"/>
      <c r="V15" t="s">
        <v>505</v>
      </c>
      <c r="W15" s="375">
        <v>0.25</v>
      </c>
      <c r="X15" s="940">
        <f>M13*W15</f>
        <v>2052.6208691084257</v>
      </c>
      <c r="Z15" s="375">
        <v>0.33</v>
      </c>
      <c r="AA15" s="940">
        <f>M13*Z15</f>
        <v>2709.4595472231222</v>
      </c>
    </row>
    <row r="16" spans="2:27" ht="13.5" thickBot="1">
      <c r="B16" s="828"/>
      <c r="C16" s="839" t="s">
        <v>428</v>
      </c>
      <c r="D16" s="830">
        <f>'IS (Non-GAAP)'!$Q$75</f>
        <v>-64.907000000000195</v>
      </c>
      <c r="E16" s="830">
        <f>'IS (Non-GAAP)'!$V$75</f>
        <v>-506.07312788037655</v>
      </c>
      <c r="F16" s="830">
        <f>'IS (Non-GAAP)'!$AA$75</f>
        <v>-136.52526680205739</v>
      </c>
      <c r="G16" s="830">
        <f>'IS (Non-GAAP)'!$AF$75</f>
        <v>325.81283636641678</v>
      </c>
      <c r="H16" s="829"/>
      <c r="X16" s="940"/>
      <c r="AA16" s="940"/>
    </row>
    <row r="17" spans="2:27" ht="13.5" thickBot="1">
      <c r="B17" s="828"/>
      <c r="C17" s="910" t="s">
        <v>496</v>
      </c>
      <c r="E17" s="375">
        <f>E16/D16-1</f>
        <v>6.7968959878037039</v>
      </c>
      <c r="F17" s="375">
        <f>F16/E16-1</f>
        <v>-0.73022620787261272</v>
      </c>
      <c r="G17" s="375">
        <f>G16/F16-1</f>
        <v>-3.3864654799671623</v>
      </c>
      <c r="H17" s="829"/>
      <c r="J17" s="843" t="s">
        <v>434</v>
      </c>
      <c r="K17" s="844"/>
      <c r="L17" s="842"/>
      <c r="M17" s="842"/>
      <c r="N17" s="842"/>
      <c r="O17" s="842"/>
      <c r="P17" s="842"/>
      <c r="Q17" s="842"/>
      <c r="R17" s="842"/>
      <c r="S17" s="842"/>
      <c r="T17" s="845"/>
      <c r="X17" s="940">
        <f>SUM(X13:X15)</f>
        <v>49500.857839072065</v>
      </c>
      <c r="AA17" s="940">
        <f>SUM(AA13:AA15)</f>
        <v>41145.428897058686</v>
      </c>
    </row>
    <row r="18" spans="2:27">
      <c r="B18" s="828"/>
      <c r="C18" s="839"/>
      <c r="H18" s="829"/>
      <c r="J18" s="828"/>
      <c r="K18" s="839"/>
      <c r="T18" s="829"/>
    </row>
    <row r="19" spans="2:27">
      <c r="B19" s="828"/>
      <c r="C19" s="840" t="s">
        <v>88</v>
      </c>
      <c r="D19" s="830">
        <f>BS!$Q$71</f>
        <v>5890.5069999999996</v>
      </c>
      <c r="E19" s="830">
        <f>BS!$V$71</f>
        <v>17172.87523840111</v>
      </c>
      <c r="F19" s="830">
        <f>BS!$AA$71</f>
        <v>32491.322656843939</v>
      </c>
      <c r="G19" s="830">
        <f>BS!$AF$71</f>
        <v>44639.447940755927</v>
      </c>
      <c r="H19" s="829"/>
      <c r="J19" s="828"/>
      <c r="K19" s="839" t="s">
        <v>499</v>
      </c>
      <c r="L19" s="932" t="e">
        <f>#REF!</f>
        <v>#REF!</v>
      </c>
      <c r="T19" s="829"/>
    </row>
    <row r="20" spans="2:27" ht="13.5" thickBot="1">
      <c r="B20" s="831"/>
      <c r="C20" s="841"/>
      <c r="D20" s="832"/>
      <c r="E20" s="832"/>
      <c r="F20" s="832"/>
      <c r="G20" s="832"/>
      <c r="H20" s="833"/>
      <c r="J20" s="828"/>
      <c r="K20" s="839"/>
      <c r="T20" s="829"/>
    </row>
    <row r="21" spans="2:27">
      <c r="J21" s="828"/>
      <c r="K21" s="839" t="s">
        <v>421</v>
      </c>
      <c r="L21" s="847">
        <v>10</v>
      </c>
      <c r="M21" s="847">
        <f t="shared" ref="M21:S21" si="3">L21+2.5</f>
        <v>12.5</v>
      </c>
      <c r="N21" s="847">
        <v>16</v>
      </c>
      <c r="O21" s="847">
        <f t="shared" si="3"/>
        <v>18.5</v>
      </c>
      <c r="P21" s="847">
        <f t="shared" si="3"/>
        <v>21</v>
      </c>
      <c r="Q21" s="847">
        <f t="shared" si="3"/>
        <v>23.5</v>
      </c>
      <c r="R21" s="847">
        <f t="shared" si="3"/>
        <v>26</v>
      </c>
      <c r="S21" s="847">
        <f t="shared" si="3"/>
        <v>28.5</v>
      </c>
      <c r="T21" s="846"/>
    </row>
    <row r="22" spans="2:27">
      <c r="J22" s="828"/>
      <c r="K22" s="839"/>
      <c r="T22" s="829"/>
    </row>
    <row r="23" spans="2:27">
      <c r="J23" s="828"/>
      <c r="K23" s="839" t="s">
        <v>431</v>
      </c>
      <c r="L23" s="830">
        <f t="shared" ref="L23:S23" si="4">L21*$F$11-$E$19</f>
        <v>56667.328449169167</v>
      </c>
      <c r="M23" s="830">
        <f t="shared" si="4"/>
        <v>75127.379371061746</v>
      </c>
      <c r="N23" s="830">
        <f t="shared" si="4"/>
        <v>100971.45066171134</v>
      </c>
      <c r="O23" s="830">
        <f t="shared" si="4"/>
        <v>119431.50158360388</v>
      </c>
      <c r="P23" s="830">
        <f t="shared" si="4"/>
        <v>137891.55250549645</v>
      </c>
      <c r="Q23" s="830">
        <f t="shared" si="4"/>
        <v>156351.60342738903</v>
      </c>
      <c r="R23" s="830">
        <f t="shared" si="4"/>
        <v>174811.6543492816</v>
      </c>
      <c r="S23" s="830">
        <f t="shared" si="4"/>
        <v>193271.70527117417</v>
      </c>
      <c r="T23" s="829"/>
    </row>
    <row r="24" spans="2:27">
      <c r="J24" s="828"/>
      <c r="K24" s="839" t="s">
        <v>432</v>
      </c>
      <c r="L24" s="830">
        <f t="shared" ref="L24:S24" si="5">L21*$F$12-$E$19</f>
        <v>61307.150033995371</v>
      </c>
      <c r="M24" s="830">
        <f t="shared" si="5"/>
        <v>80927.156352094491</v>
      </c>
      <c r="N24" s="830">
        <f t="shared" si="5"/>
        <v>108395.16519743326</v>
      </c>
      <c r="O24" s="830">
        <f t="shared" si="5"/>
        <v>128015.17151553236</v>
      </c>
      <c r="P24" s="830">
        <f t="shared" si="5"/>
        <v>147635.17783363149</v>
      </c>
      <c r="Q24" s="830">
        <f t="shared" si="5"/>
        <v>167255.18415173062</v>
      </c>
      <c r="R24" s="830">
        <f t="shared" si="5"/>
        <v>186875.19046982971</v>
      </c>
      <c r="S24" s="830">
        <f t="shared" si="5"/>
        <v>206495.19678792884</v>
      </c>
      <c r="T24" s="829"/>
    </row>
    <row r="25" spans="2:27">
      <c r="J25" s="828"/>
      <c r="K25" s="839"/>
      <c r="L25" s="830"/>
      <c r="M25" s="830"/>
      <c r="N25" s="830"/>
      <c r="O25" s="830"/>
      <c r="P25" s="830"/>
      <c r="Q25" s="830"/>
      <c r="R25" s="830"/>
      <c r="S25" s="830"/>
      <c r="T25" s="829"/>
    </row>
    <row r="26" spans="2:27">
      <c r="J26" s="828"/>
      <c r="K26" s="839"/>
      <c r="L26" s="830"/>
      <c r="M26" s="830"/>
      <c r="N26" s="830">
        <f>N21*$F$12-$D$19</f>
        <v>119677.53343583437</v>
      </c>
      <c r="O26" s="830"/>
      <c r="P26" s="830"/>
      <c r="Q26" s="830"/>
      <c r="R26" s="830"/>
      <c r="S26" s="830"/>
      <c r="T26" s="829"/>
    </row>
    <row r="27" spans="2:27" ht="13.5" thickBot="1">
      <c r="J27" s="831"/>
      <c r="K27" s="841"/>
      <c r="L27" s="832"/>
      <c r="M27" s="832"/>
      <c r="N27" s="832"/>
      <c r="O27" s="832"/>
      <c r="P27" s="832"/>
      <c r="Q27" s="832"/>
      <c r="R27" s="832"/>
      <c r="S27" s="832"/>
      <c r="T27" s="833"/>
    </row>
    <row r="29" spans="2:27" ht="13.5" thickBot="1"/>
    <row r="30" spans="2:27" ht="13.5" thickBot="1">
      <c r="J30" s="843" t="s">
        <v>435</v>
      </c>
      <c r="K30" s="844"/>
      <c r="L30" s="842"/>
      <c r="M30" s="842"/>
      <c r="N30" s="842"/>
      <c r="O30" s="842"/>
      <c r="P30" s="842"/>
      <c r="Q30" s="842"/>
      <c r="R30" s="842"/>
      <c r="S30" s="842"/>
      <c r="T30" s="845"/>
    </row>
    <row r="31" spans="2:27">
      <c r="J31" s="828"/>
      <c r="K31" s="839"/>
      <c r="T31" s="829"/>
    </row>
    <row r="32" spans="2:27">
      <c r="J32" s="828"/>
      <c r="K32" s="839" t="s">
        <v>500</v>
      </c>
      <c r="L32" s="932" t="e">
        <f>#REF!</f>
        <v>#REF!</v>
      </c>
      <c r="T32" s="829"/>
    </row>
    <row r="33" spans="3:20">
      <c r="J33" s="828"/>
      <c r="K33" s="839"/>
      <c r="T33" s="829"/>
    </row>
    <row r="34" spans="3:20">
      <c r="J34" s="828"/>
      <c r="K34" s="839" t="s">
        <v>423</v>
      </c>
      <c r="L34" s="847">
        <v>15</v>
      </c>
      <c r="M34" s="847">
        <v>23</v>
      </c>
      <c r="N34" s="847">
        <f t="shared" ref="N34:S34" si="6">M34+5</f>
        <v>28</v>
      </c>
      <c r="O34" s="847">
        <v>30</v>
      </c>
      <c r="P34" s="847">
        <f t="shared" si="6"/>
        <v>35</v>
      </c>
      <c r="Q34" s="847">
        <f t="shared" si="6"/>
        <v>40</v>
      </c>
      <c r="R34" s="847">
        <f t="shared" si="6"/>
        <v>45</v>
      </c>
      <c r="S34" s="847">
        <f t="shared" si="6"/>
        <v>50</v>
      </c>
      <c r="T34" s="846"/>
    </row>
    <row r="35" spans="3:20">
      <c r="J35" s="828"/>
      <c r="K35" s="839"/>
      <c r="T35" s="829"/>
    </row>
    <row r="36" spans="3:20">
      <c r="J36" s="828"/>
      <c r="K36" s="839" t="s">
        <v>431</v>
      </c>
      <c r="L36" s="830">
        <f t="shared" ref="L36:S37" si="7">L$34*$F8-$E$19</f>
        <v>7851.8453672036921</v>
      </c>
      <c r="M36" s="830">
        <f t="shared" si="7"/>
        <v>21198.363023526254</v>
      </c>
      <c r="N36" s="830">
        <f t="shared" si="7"/>
        <v>29539.936558727852</v>
      </c>
      <c r="O36" s="830">
        <f t="shared" si="7"/>
        <v>32876.565972808494</v>
      </c>
      <c r="P36" s="830">
        <f t="shared" si="7"/>
        <v>41218.139508010099</v>
      </c>
      <c r="Q36" s="830">
        <f t="shared" si="7"/>
        <v>49559.713043211705</v>
      </c>
      <c r="R36" s="830">
        <f t="shared" si="7"/>
        <v>57901.286578413296</v>
      </c>
      <c r="S36" s="830">
        <f t="shared" si="7"/>
        <v>66242.860113614908</v>
      </c>
      <c r="T36" s="829"/>
    </row>
    <row r="37" spans="3:20">
      <c r="J37" s="828"/>
      <c r="K37" s="839" t="s">
        <v>432</v>
      </c>
      <c r="L37" s="830">
        <f t="shared" si="7"/>
        <v>14811.577744442984</v>
      </c>
      <c r="M37" s="830">
        <f t="shared" si="7"/>
        <v>31869.952668626502</v>
      </c>
      <c r="N37" s="830">
        <f t="shared" si="7"/>
        <v>42531.436996241202</v>
      </c>
      <c r="O37" s="830">
        <f t="shared" si="7"/>
        <v>46796.030727287078</v>
      </c>
      <c r="P37" s="830">
        <f t="shared" si="7"/>
        <v>57457.515054901778</v>
      </c>
      <c r="Q37" s="830">
        <f t="shared" si="7"/>
        <v>68118.999382516486</v>
      </c>
      <c r="R37" s="830">
        <f t="shared" si="7"/>
        <v>78780.483710131171</v>
      </c>
      <c r="S37" s="830">
        <f t="shared" si="7"/>
        <v>89441.968037745886</v>
      </c>
      <c r="T37" s="829"/>
    </row>
    <row r="38" spans="3:20">
      <c r="J38" s="828"/>
      <c r="K38" s="839"/>
      <c r="L38" s="830"/>
      <c r="M38" s="830"/>
      <c r="N38" s="830"/>
      <c r="O38" s="830"/>
      <c r="P38" s="830"/>
      <c r="Q38" s="830"/>
      <c r="R38" s="830"/>
      <c r="S38" s="830"/>
      <c r="T38" s="829"/>
    </row>
    <row r="39" spans="3:20">
      <c r="J39" s="828"/>
      <c r="K39" s="839"/>
      <c r="L39" s="830"/>
      <c r="M39" s="830">
        <f>M$34*$F9-D19</f>
        <v>43152.320907027613</v>
      </c>
      <c r="N39" s="830"/>
      <c r="O39" s="830"/>
      <c r="P39" s="830"/>
      <c r="Q39" s="830"/>
      <c r="R39" s="830"/>
      <c r="S39" s="830"/>
      <c r="T39" s="829"/>
    </row>
    <row r="40" spans="3:20" ht="13.5" thickBot="1">
      <c r="J40" s="831"/>
      <c r="K40" s="841"/>
      <c r="L40" s="832"/>
      <c r="M40" s="832"/>
      <c r="N40" s="832"/>
      <c r="O40" s="832"/>
      <c r="P40" s="832"/>
      <c r="Q40" s="832"/>
      <c r="R40" s="832"/>
      <c r="S40" s="832"/>
      <c r="T40" s="833"/>
    </row>
    <row r="42" spans="3:20" ht="13.5" thickBot="1"/>
    <row r="43" spans="3:20" ht="13.5" thickBot="1">
      <c r="J43" s="843" t="s">
        <v>360</v>
      </c>
      <c r="K43" s="844"/>
      <c r="L43" s="842"/>
      <c r="M43" s="842"/>
      <c r="N43" s="842"/>
      <c r="O43" s="842"/>
      <c r="P43" s="842"/>
      <c r="Q43" s="842"/>
      <c r="R43" s="842"/>
      <c r="S43" s="842"/>
      <c r="T43" s="845"/>
    </row>
    <row r="44" spans="3:20" s="933" customFormat="1">
      <c r="C44" s="934"/>
      <c r="J44" s="828"/>
      <c r="K44" s="839"/>
      <c r="L44"/>
      <c r="M44"/>
      <c r="N44"/>
      <c r="O44"/>
      <c r="P44"/>
      <c r="Q44"/>
      <c r="R44"/>
      <c r="S44"/>
      <c r="T44" s="829"/>
    </row>
    <row r="45" spans="3:20">
      <c r="J45" s="828"/>
      <c r="K45" s="839" t="s">
        <v>501</v>
      </c>
      <c r="L45" s="932" t="e">
        <f>#REF!</f>
        <v>#REF!</v>
      </c>
      <c r="T45" s="829"/>
    </row>
    <row r="46" spans="3:20">
      <c r="J46" s="828"/>
      <c r="K46" s="839"/>
      <c r="T46" s="829"/>
    </row>
    <row r="47" spans="3:20">
      <c r="J47" s="935"/>
      <c r="K47" s="936" t="s">
        <v>360</v>
      </c>
      <c r="L47" s="937">
        <v>5</v>
      </c>
      <c r="M47" s="937">
        <v>6.6</v>
      </c>
      <c r="N47" s="937">
        <v>8</v>
      </c>
      <c r="O47" s="937">
        <f>N47+2.5</f>
        <v>10.5</v>
      </c>
      <c r="P47" s="937">
        <f>O47+2.5</f>
        <v>13</v>
      </c>
      <c r="Q47" s="937">
        <f>P47+2.5</f>
        <v>15.5</v>
      </c>
      <c r="R47" s="937">
        <f>Q47+2.5</f>
        <v>18</v>
      </c>
      <c r="S47" s="937">
        <f>R47+2.5</f>
        <v>20.5</v>
      </c>
      <c r="T47" s="938"/>
    </row>
    <row r="48" spans="3:20">
      <c r="J48" s="828"/>
      <c r="K48" s="839"/>
      <c r="T48" s="829"/>
    </row>
    <row r="49" spans="10:20">
      <c r="J49" s="828"/>
      <c r="K49" s="839" t="s">
        <v>436</v>
      </c>
      <c r="L49" s="830">
        <f t="shared" ref="L49:S49" si="8">L$47*$F5-$E$19</f>
        <v>42835.322099790923</v>
      </c>
      <c r="M49" s="830">
        <f t="shared" si="8"/>
        <v>62037.945248012365</v>
      </c>
      <c r="N49" s="830">
        <f t="shared" si="8"/>
        <v>78840.240502706147</v>
      </c>
      <c r="O49" s="830">
        <f t="shared" si="8"/>
        <v>108844.33917180216</v>
      </c>
      <c r="P49" s="830">
        <f t="shared" si="8"/>
        <v>138848.43784089817</v>
      </c>
      <c r="Q49" s="830">
        <f t="shared" si="8"/>
        <v>168852.53650999418</v>
      </c>
      <c r="R49" s="830">
        <f t="shared" si="8"/>
        <v>198856.6351790902</v>
      </c>
      <c r="S49" s="830">
        <f t="shared" si="8"/>
        <v>228860.73384818621</v>
      </c>
      <c r="T49" s="829"/>
    </row>
    <row r="50" spans="10:20">
      <c r="J50" s="828"/>
      <c r="K50" s="839"/>
      <c r="L50" s="830"/>
      <c r="M50" s="830"/>
      <c r="N50" s="830"/>
      <c r="O50" s="830"/>
      <c r="P50" s="830"/>
      <c r="Q50" s="830"/>
      <c r="R50" s="830"/>
      <c r="S50" s="830"/>
      <c r="T50" s="829"/>
    </row>
    <row r="51" spans="10:20">
      <c r="J51" s="828"/>
      <c r="K51" s="839"/>
      <c r="L51" s="830"/>
      <c r="M51" s="830">
        <f>M$47*$F5-$D$19</f>
        <v>73320.313486413477</v>
      </c>
      <c r="N51" s="830"/>
      <c r="O51" s="830"/>
      <c r="P51" s="830"/>
      <c r="Q51" s="830"/>
      <c r="R51" s="830"/>
      <c r="S51" s="830"/>
      <c r="T51" s="829"/>
    </row>
    <row r="52" spans="10:20" ht="13.5" thickBot="1">
      <c r="J52" s="831"/>
      <c r="K52" s="841"/>
      <c r="L52" s="832"/>
      <c r="M52" s="832"/>
      <c r="N52" s="832"/>
      <c r="O52" s="832"/>
      <c r="P52" s="832"/>
      <c r="Q52" s="832"/>
      <c r="R52" s="832"/>
      <c r="S52" s="832"/>
      <c r="T52" s="833"/>
    </row>
    <row r="54" spans="10:20" ht="13.5" thickBot="1"/>
    <row r="55" spans="10:20" ht="13.5" thickBot="1">
      <c r="J55" s="843" t="s">
        <v>438</v>
      </c>
      <c r="K55" s="844"/>
      <c r="L55" s="842"/>
      <c r="M55" s="842"/>
      <c r="N55" s="842"/>
      <c r="O55" s="842"/>
      <c r="P55" s="842"/>
      <c r="Q55" s="842"/>
      <c r="R55" s="842"/>
      <c r="S55" s="842"/>
      <c r="T55" s="845"/>
    </row>
    <row r="56" spans="10:20">
      <c r="J56" s="828"/>
      <c r="K56" s="839"/>
      <c r="T56" s="829"/>
    </row>
    <row r="57" spans="10:20">
      <c r="J57" s="828"/>
      <c r="K57" s="839" t="s">
        <v>502</v>
      </c>
      <c r="L57" s="932" t="e">
        <f>#REF!</f>
        <v>#REF!</v>
      </c>
      <c r="T57" s="829"/>
    </row>
    <row r="58" spans="10:20">
      <c r="J58" s="828"/>
      <c r="K58" s="839"/>
      <c r="T58" s="829"/>
    </row>
    <row r="59" spans="10:20">
      <c r="J59" s="828"/>
      <c r="K59" s="839" t="s">
        <v>422</v>
      </c>
      <c r="L59" s="848">
        <v>1</v>
      </c>
      <c r="M59" s="848">
        <f t="shared" ref="M59:S59" si="9">L59+0.25</f>
        <v>1.25</v>
      </c>
      <c r="N59" s="848">
        <f t="shared" si="9"/>
        <v>1.5</v>
      </c>
      <c r="O59" s="848">
        <f t="shared" si="9"/>
        <v>1.75</v>
      </c>
      <c r="P59" s="848">
        <f t="shared" si="9"/>
        <v>2</v>
      </c>
      <c r="Q59" s="848">
        <v>2.4</v>
      </c>
      <c r="R59" s="848">
        <f t="shared" si="9"/>
        <v>2.65</v>
      </c>
      <c r="S59" s="848">
        <f t="shared" si="9"/>
        <v>2.9</v>
      </c>
      <c r="T59" s="846"/>
    </row>
    <row r="60" spans="10:20">
      <c r="J60" s="828"/>
      <c r="K60" s="839"/>
      <c r="T60" s="829"/>
    </row>
    <row r="61" spans="10:20">
      <c r="J61" s="828"/>
      <c r="K61" s="839" t="s">
        <v>431</v>
      </c>
      <c r="L61" s="830">
        <f t="shared" ref="L61:S61" si="10">L59*($F$14*100)/$F$6</f>
        <v>-40827.514828756408</v>
      </c>
      <c r="M61" s="830">
        <f t="shared" si="10"/>
        <v>-51034.393535945506</v>
      </c>
      <c r="N61" s="830">
        <f t="shared" si="10"/>
        <v>-61241.272243134612</v>
      </c>
      <c r="O61" s="830">
        <f t="shared" si="10"/>
        <v>-71448.150950323718</v>
      </c>
      <c r="P61" s="830">
        <f t="shared" si="10"/>
        <v>-81655.029657512816</v>
      </c>
      <c r="Q61" s="830">
        <f t="shared" si="10"/>
        <v>-97986.035589015388</v>
      </c>
      <c r="R61" s="830">
        <f t="shared" si="10"/>
        <v>-108192.91429620449</v>
      </c>
      <c r="S61" s="830">
        <f t="shared" si="10"/>
        <v>-118399.7930033936</v>
      </c>
      <c r="T61" s="829"/>
    </row>
    <row r="62" spans="10:20">
      <c r="J62" s="828"/>
      <c r="K62" s="839" t="s">
        <v>432</v>
      </c>
      <c r="L62" s="830">
        <f t="shared" ref="L62:S62" si="11">L59*($F$16*100)/$F$6</f>
        <v>-10095.399572641598</v>
      </c>
      <c r="M62" s="830">
        <f t="shared" si="11"/>
        <v>-12619.249465801997</v>
      </c>
      <c r="N62" s="830">
        <f t="shared" si="11"/>
        <v>-15143.099358962398</v>
      </c>
      <c r="O62" s="830">
        <f t="shared" si="11"/>
        <v>-17666.949252122795</v>
      </c>
      <c r="P62" s="830">
        <f t="shared" si="11"/>
        <v>-20190.799145283196</v>
      </c>
      <c r="Q62" s="830">
        <f t="shared" si="11"/>
        <v>-24228.958974339836</v>
      </c>
      <c r="R62" s="830">
        <f t="shared" si="11"/>
        <v>-26752.808867500233</v>
      </c>
      <c r="S62" s="830">
        <f t="shared" si="11"/>
        <v>-29276.658760660634</v>
      </c>
      <c r="T62" s="829"/>
    </row>
    <row r="63" spans="10:20">
      <c r="J63" s="828"/>
      <c r="K63" s="839"/>
      <c r="L63" s="830"/>
      <c r="M63" s="830"/>
      <c r="N63" s="830"/>
      <c r="O63" s="830"/>
      <c r="P63" s="830"/>
      <c r="Q63" s="830"/>
      <c r="R63" s="830"/>
      <c r="S63" s="830"/>
      <c r="T63" s="829"/>
    </row>
    <row r="64" spans="10:20">
      <c r="J64" s="828"/>
      <c r="K64" s="839"/>
      <c r="L64" s="830"/>
      <c r="M64" s="830"/>
      <c r="N64" s="830"/>
      <c r="O64" s="830"/>
      <c r="P64" s="830"/>
      <c r="Q64" s="830">
        <f>Q59*($G$16*100)/$G$6</f>
        <v>180154.35901979549</v>
      </c>
      <c r="R64" s="830"/>
      <c r="S64" s="830"/>
      <c r="T64" s="829"/>
    </row>
    <row r="65" spans="10:20" ht="13.5" thickBot="1">
      <c r="J65" s="831"/>
      <c r="K65" s="841"/>
      <c r="L65" s="832"/>
      <c r="M65" s="832"/>
      <c r="N65" s="832"/>
      <c r="O65" s="832"/>
      <c r="P65" s="832"/>
      <c r="Q65" s="832"/>
      <c r="R65" s="832"/>
      <c r="S65" s="832"/>
      <c r="T65" s="833"/>
    </row>
    <row r="67" spans="10:20">
      <c r="J67" t="s">
        <v>437</v>
      </c>
    </row>
  </sheetData>
  <pageMargins left="0.7" right="0.7" top="0.75" bottom="0.75" header="0.3" footer="0.3"/>
  <pageSetup paperSize="0" orientation="portrait" r:id="rId1"/>
  <customProperties>
    <customPr name="Qube.Worksheet.Visibility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FdsFormulaCache xmlns="urn:fdsformulacache" version="2" timestamp="1763141335"><![CDATA[{"AVT^FE_ESTIMATE(UFCF,MEAN,CALA_ROLL,2027,45768,,,'')":null,"AVT^FE_ESTIMATE(UFCF,MEAN,CALA_ROLL,2024,45768,,,'')":null,"AVT^FE_ESTIMATE(UFCF,MEAN,LTM4,,45768,,,'')":null,"ARW^FE_ESTIMATE(UFCF,MEAN,CALA_ROLL,2025,45768,,,'')":null,"ARW^FE_ESTIMATE(UFCF,MEAN,NTM4,,45768,,,'')":null,"SNX^FE_ESTIMATE(UFCF,MEAN,CALA_ROLL,2026,45768,,,'')":null,"SNX^FE_ESTIMATE(UFCF,MEAN,CALA_ROLL,2023,45768,,,'')":null,"CDW^FE_ESTIMATE(UFCF,MEAN,CALA_ROLL,2027,45768,,,'')":null,"CDW^FE_ESTIMATE(UFCF,MEAN,CALA_ROLL,2024,45768,,,'')":null,"CDW^FE_ESTIMATE(UFCF,MEAN,LTM4,,45768,,,'')":null,"INGM^FE_ESTIMATE(UFCF,MEAN,CALA_ROLL,2025,45768,,,'')":null,"INGM^FE_ESTIMATE(UFCF,MEAN,NTM4,,45768,,,'')":null,"DOCN^FE_ESTIMATE(UFCF,MEAN,CALA_ROLL,2026,45768,,,'')":null,"DOCN^FE_ESTIMATE(UFCF,MEAN,CALA_ROLL,2023,45768,,,'')":null,"GOOG^FE_ESTIMATE(UFCF,MEAN,CALA_ROLL,2027,45768,,,'')":null,"GOOG^FE_ESTIMATE(UFCF,MEAN,CALA_ROLL,2024,45768,,,'')":null,"AVT^FE_ESTIMATE(UFCF,MEAN,CALA_ROLL,2026,45768,,,'')":null,"AVT^FE_ESTIMATE(UFCF,MEAN,CALA_ROLL,2023,45768,,,'')":null,"ARW^FE_ESTIMATE(UFCF,MEAN,CALA_ROLL,2027,45768,,,'')":null,"ARW^FE_ESTIMATE(UFCF,MEAN,CALA_ROLL,2024,45768,,,'')":null,"ARW^FE_ESTIMATE(UFCF,MEAN,LTM4,,45768,,,'')":null,"SNX^FE_ESTIMATE(UFCF,MEAN,CALA_ROLL,2025,45768,,,'')":null,"SNX^FE_ESTIMATE(UFCF,MEAN,NTM4,,45768,,,'')":null,"CDW^FE_ESTIMATE(UFCF,MEAN,CALA_ROLL,2026,45768,,,'')":null,"CDW^FE_ESTIMATE(UFCF,MEAN,CALA_ROLL,2023,45768,,,'')":null,"INGM^FE_ESTIMATE(UFCF,MEAN,CALA_ROLL,2027,45768,,,'')":null,"INGM^FE_ESTIMATE(UFCF,MEAN,CALA_ROLL,2024,45768,,,'')":null,"INGM^FE_ESTIMATE(UFCF,MEAN,LTM4,,45768,,,'')":null,"AVT^FE_ESTIMATE(UFCF,MEAN,CALA_ROLL,2025,45768,,,'')":null,"SNX^FE_ESTIMATE(UFCF,MEAN,LTM4,,45768,,,'')":null,"DOCN^FE_ESTIMATE(UFCF,MEAN,CALA_ROLL,2025,45768,,,'')":null,"GOOG^FE_ESTIMATE(UFCF,MEAN,CALA_ROLL,2023,45768,,,'')":null,"AMZN^FE_ESTIMATE(UFCF,MEAN,CALA_ROLL,2024,45768,,,'')":null,"ORCL^FE_ESTIMATE(UFCF,MEAN,CALA_ROLL,2025,45768,,,'')":null,"IBM^FE_ESTIMATE(UFCF,MEAN,CALA_ROLL,2026,45768,,,'')":null,"EQIX^FE_ESTIMATE(UFCF,MEAN,CALA_ROLL,2027,45768,,,'')":1939.7,"EQIX^FE_ESTIMATE(UFCF,MEAN,LTM4,,45768,,,'')":null,"DLR^FE_ESTIMATE(UFCF,MEAN,NTM4,,45768,,,'')":-767.2,"NVDA^FE_ESTIMATE(UFCF,MEAN,CALA_ROLL,2023,45768,,,'')":null,"MSFT^FE_ESTIMATE(UFCF,MEAN,CALA_ROLL,2024,45768,,,'')":null,"AVT^FE_ESTIMATE(FCF,MEAN,CAL4,2025,45768,,,'')":null,"ARW^FE_ESTIMATE(FCF,MEAN,CAL4,2026,45768,,,'')":null,"SNX^FE_ESTIMATE(FCF,MEAN,CAL4,2027,45768,,,'')":null,"SNX^FE_ESTIMATE(FCF,MEAN,LTM4,,45768,,,'')":-90.531,"CDW^FE_ESTIMATE(FCF,MEAN,NTM4,,45768,,,'')":null,"INGM^FE_ESTIMATE(FCF,MEAN,CAL4,2023,45768,,,'')":null,"DOCN^FE_ESTIMATE(FCF,MEAN,CAL4,2024,45768,,,'')":134.283,"GOOG^FE_ESTIMATE(FCF,MEAN,CAL4,2025,45768,,,'')":74011.04,"AMZN^FE_ESTIMATE(FCF,MEAN,CAL4,2026,45768,,,'')":56435.3,"ORCL^FE_ESTIMATE(FCF,MEAN,CALA_ROLL,2027,45768,,,'')":21013.885,"ORCL^FE_ESTIMATE(FCF,MEAN,LTM4,,45768,,,'')":5869.091,"IBM^FE_ESTIMATE(FCF,MEAN,NTM4,,45768,,,'')":13474.25,"EQIX^FE_ESTIMATE(FCF,MEAN,CAL4,2023,45768,,,'')":1506.067,"DLR^FE_ESTIMATE(FCF,MEAN,CALA_ROLL,2024,45768,,,'')":772.316,"NVDA^FE_ESTIMATE(FCF,MEAN,CAL4,2025,45768,,,'')":97336.16,"MSFT^FE_ESTIMATE(FCF,MEAN,CALA_ROLL,2026,45768,,,'')":86291.08,"AVT^FE_ESTIMATE(EPS_GAAP,MEAN,CAL4,2027,45768,,,'')":null,"AVT^FE_ESTIMATE(EPS_GAAP,MEAN,LTM4,,45768,,,'')":3.53,"ARW^FE_ESTIMATE(EPS_GAAP,MEAN,NTM4,,45768,,,'')":8.47,"SNX^FE_ESTIMATE(EPS_GAAP,MEAN,CAL4,2023,45768,,,'')":6.71,"CDW^FE_ESTIMATE(EPS_GAAP,MEAN,CAL4,2024,45768,,,'')":7.97,"INGM^FE_ESTIMATE(EPS_GAAP,MEAN,CAL4,2025,45768,,,'')":2.3541336,"DOCN^FE_ESTIMATE(EPS_GAAP,MEAN,CALA_ROLL,2027,45768,,,'')":1.506618,"DOCN^FE_ESTIMATE(EPS_GAAP,MEAN,CAL4,2023,45768,,,'')":0.013333334,"AVT^FE_ESTIMATE(UFCF,MEAN,NTM4,,45768,,,'')":null,"CDW^FE_ESTIMATE(UFCF,MEAN,CALA_ROLL,2025,45768,,,'')":null,"DOCN^FE_ESTIMATE(UFCF,MEAN,CALA_ROLL,2024,45768,,,'')":null,"GOOG^FE_ESTIMATE(UFCF,MEAN,NTM4,,45768,,,'')":null,"AMZN^FE_ESTIMATE(UFCF,MEAN,CALA_ROLL,2023,45768,,,'')":null,"ORCL^FE_ESTIMATE(UFCF,MEAN,CALA_ROLL,2024,45768,,,'')":null,"IBM^FE_ESTIMATE(UFCF,MEAN,CALA_ROLL,2025,45768,,,'')":null,"EQIX^FE_ESTIMATE(UFCF,MEAN,CALA_ROLL,2026,45768,,,'')":1550.1,"DLR^FE_ESTIMATE(UFCF,MEAN,CALA_ROLL,2027,45768,,,'')":31.7,"DLR^FE_ESTIMATE(UFCF,MEAN,LTM4,,45768,,,'')":null,"NVDA^FE_ESTIMATE(UFCF,MEAN,NTM4,,45768,,,'')":null,"MSFT^FE_ESTIMATE(UFCF,MEAN,CALA_ROLL,2023,45768,,,'')":null,"AVT^FE_ESTIMATE(FCF,MEAN,CAL4,2024,45768,,,'')":null,"ARW^FE_ESTIMATE(FCF,MEAN,CAL4,2025,45768,,,'')":null,"SNX^FE_ESTIMATE(FCF,MEAN,CAL4,2026,45768,,,'')":1054.8,"CDW^FE_ESTIMATE(FCF,MEAN,CAL4,2027,45768,,,'')":null,"CDW^FE_ESTIMATE(FCF,MEAN,LTM4,,45768,,,'')":null,"INGM^FE_ESTIMATE(FCF,MEAN,NTM4,,45768,,,'')":331.5,"DOCN^FE_ESTIMATE(FCF,MEAN,CAL4,2023,45768,,,'')":155.752,"GOOG^FE_ESTIMATE(FCF,MEAN,CAL4,2024,45768,,,'')":73062.0,"AMZN^FE_ESTIMATE(FCF,MEAN,CAL4,2025,45768,,,'')":44501.56,"ORCL^FE_ESTIMATE(FCF,MEAN,CAL4,2026,45768,,,'')":11210.53,"IBM^FE_ESTIMATE(FCF,MEAN,CALA_ROLL,2027,45768,,,'')":15550.75,"IBM^FE_ESTIMATE(FCF,MEAN,LTM4,,45768,,,'')":12749.0,"EQIX^FE_ESTIMATE(FCF,MEAN,NTM4,,45768,,,'')":545.22064,"DLR^FE_ESTIMATE(FCF,MEAN,CALA_ROLL,2023,45768,,,'')":-1867.194,"NVDA^FE_ESTIMATE(FCF,MEAN,CAL4,2024,45768,,,'')":62019.04,"MSFT^FE_ESTIMATE(FCF,MEAN,CAL4,2025,45768,,,'')":79667.38,"AVT^FE_ESTIMATE(EPS_GAAP,MEAN,CAL4,2026,45768,,,'')":null,"ARW^FE_ESTIMATE(EPS_GAAP,MEAN,CALA_ROLL,2027,45768,,,'')":null,"ARW^FE_ESTIMATE(EPS_GAAP,MEAN,LTM4,,45768,,,'')":7.28,"SNX^FE_ESTIMATE(EPS_GAAP,MEAN,NTM4,,45768,,,'')":8.93605,"CDW^FE_ESTIMATE(EPS_GAAP,MEAN,CAL4,2023,45768,,,'')":8.1,"INGM^FE_ESTIMATE(EPS_GAAP,MEAN,CAL4,2024,45768,,,'')":null,"DOCN^FE_ESTIMATE(EPS_GAAP,MEAN,NTM4,,45768,,,'')":0.86657476,"AMZN^FE_ESTIMATE(EPS_GAAP,MEAN,CALA_ROLL,2027,45768,,,'')":9.318919,"ORCL^FE_ESTIMATE(EPS_GAAP,MEAN,CAL4,2025,45768,,,'')":4.409199,"ORCL^FE_ESTIMATE(EPS_GAAP,MEAN,NTM4,,45768,,,'')":4.5917344,"IBM^FE_ESTIMATE(EPS_GAAP,MEAN,CALA_ROLL,2026,45768,,,'')":9.77,"IBM^FE_ESTIMATE(EPS_GAAP,MEAN,CAL4,2023,45768,,,'')":8.14,"EQIX^FE_ESTIMATE(EPS_GAAP,MEAN,CALA_ROLL,2027,45768,,,'')":16.402773,"EQIX^FE_ESTIMATE(EPS_GAAP,MEAN,CAL4,2024,45768,,,'')":8.55,"EQIX^FE_ESTIMATE(EPS_GAAP,MEAN,LTM4,,45768,,,'')":8.55,"DLR^FE_ESTIMATE(EPS_GAAP,MEAN,CAL4,2025,45768,,,'')":1.3446112,"DLR^FE_ESTIMATE(EPS_GAAP,MEAN,NTM4,,45768,,,'')":1.3446112,"NVDA^FE_ESTIMATE(EPS_GAAP,MEAN,CAL4,2026,45768,,,'')":5.500566,"NVDA^FE_ESTIMATE(EPS_GAAP,MEAN,CAL4,2023,45768,,,'')":1.194,"MSFT^FE_ESTIMATE(EPS_GAAP,MEAN,CALA_ROLL,2027,45768,,,'')":18.852585,"MSFT^FE_ESTIMATE(EPS_GAAP,MEAN,CAL4,2024,45768,,,'')":12.42,"MSFT^FE_ESTIMATE(EPS_GAAP,MEAN,LTM4,,45768,,,'')":12.42,"DOCN^FE_ESTIMATE(EBITDA,MEAN,CAL4,2025,45768,,,'')":347.00195,"DOCN^FE_ESTIMATE(EBITDA,MEAN,NTM4,,45768,,,'')":347.00195,"GOOG^FE_ESTIMATE(EBITDA,MEAN,CAL4,2026,45768,,,'')":193525.34,"GOOG^FE_ESTIMATE(EBITDA,MEAN,CAL4,2023,45768,,,'')":122063.59,"AMZN^FE_ESTIMATE(EBITDA,MEAN,CALA_ROLL,2027,45768,,,'')":233091.52,"AMZN^FE_ESTIMATE(EBITDA,MEAN,CAL4,2024,45768,,,'')":143499.7,"AMZN^FE_ESTIMATE(EBITDA,MEAN,LTM4,,45768,,,'')":143499.7,"ARW^FE_ESTIMATE(UFCF,MEAN,CALA_ROLL,2026,45768,,,'')":null,"CDW^FE_ESTIMATE(UFCF,MEAN,NTM4,,45768,,,'')":null,"DOCN^FE_ESTIMATE(UFCF,MEAN,NTM4,,45768,,,'')":null,"GOOG^FE_ESTIMATE(UFCF,MEAN,LTM4,,45768,,,'')":null,"AMZN^FE_ESTIMATE(UFCF,MEAN,NTM4,,45768,,,'')":null,"ORCL^FE_ESTIMATE(UFCF,MEAN,CALA_ROLL,2023,45768,,,'')":13482.341,"IBM^FE_ESTIMATE(UFCF,MEAN,CALA_ROLL,2024,45768,,,'')":null,"EQIX^FE_ESTIMATE(UFCF,MEAN,CALA_ROLL,2025,45768,,,'')":1379.2,"DLR^FE_ESTIMATE(UFCF,MEAN,CALA_ROLL,2026,45768,,,'')":-548.2,"NVDA^FE_ESTIMATE(UFCF,MEAN,CALA_ROLL,2027,45768,,,'')":null,"NVDA^FE_ESTIMATE(UFCF,MEAN,LTM4,,45768,,,'')":null,"MSFT^FE_ESTIMATE(UFCF,MEAN,NTM4,,45768,,,'')":null,"AVT^FE_ESTIMATE(FCF,MEAN,CAL4,2023,45768,,,'')":null,"ARW^FE_ESTIMATE(FCF,MEAN,CAL4,2024,45768,,,'')":null,"SNX^FE_ESTIMATE(FCF,MEAN,CAL4,2025,45768,,,'')":1097.378,"CDW^FE_ESTIMATE(FCF,MEAN,CAL4,2026,45768,,,'')":null,"INGM^FE_ESTIMATE(FCF,MEAN,CAL4,2027,45768,,,'')":null,"INGM^FE_ESTIMATE(FCF,MEAN,LTM4,,45768,,,'')":null,"DOCN^FE_ESTIMATE(FCF,MEAN,NTM4,,45768,,,'')":146.19283,"GOOG^FE_ESTIMATE(FCF,MEAN,CAL4,2023,45768,,,'')":69970.21,"AMZN^FE_ESTIMATE(FCF,MEAN,CAL4,2024,45768,,,'')":37569.48,"ORCL^FE_ESTIMATE(FCF,MEAN,CAL4,2025,45768,,,'')":6081.7944,"IBM^FE_ESTIMATE(FCF,MEAN,CAL4,2026,45768,,,'')":13915.0,"EQIX^FE_ESTIMATE(FCF,MEAN,CALA_ROLL,2027,45768,,,'')":1458.7,"EQIX^FE_ESTIMATE(FCF,MEAN,LTM4,,45768,,,'')":151.449,"DLR^FE_ESTIMATE(FCF,MEAN,NTM4,,45768,,,'')":-1374.447,"NVDA^FE_ESTIMATE(FCF,MEAN,CAL4,2023,45768,,,'')":26297.904,"MSFT^FE_ESTIMATE(FCF,MEAN,CAL4,2024,45768,,,'')":68357.12,"AVT^FE_ESTIMATE(EPS_GAAP,MEAN,CAL4,2025,45768,,,'')":3.5533333,"ARW^FE_ESTIMATE(EPS_GAAP,MEAN,CAL4,2026,45768,,,'')":11.85,"SNX^FE_ESTIMATE(EPS_GAAP,MEAN,CAL4,2027,45768,,,'')":11.222478,"SNX^FE_ESTIMATE(EPS_GAAP,MEAN,LTM4,,45768,,,'')":8.01,"CDW^FE_ESTIMATE(EPS_GAAP,MEAN,NTM4,,45768,,,'')":8.29758,"INGM^FE_ESTIMATE(EPS_GAAP,MEAN,CAL4,2023,45768,,,'')":null,"DOCN^FE_ESTIMATE(EPS_GAAP,MEAN,CAL4,2026,45768,,,'')":1.229724,"DOCN^FE_ESTIMATE(EPS_GAAP,MEAN,LTM4,,45768,,,'')":0.87,"GOOG^FE_ESTIMATE(EPS_GAAP,MEAN,CAL4,2024,45768,,,'')":8.05,"AMZN^FE_ESTIMATE(EPS_GAAP,MEAN,CAL4,2026,45768,,,'')":7.3100553,"AMZN^FE_ESTIMATE(EPS_GAAP,MEAN,NTM4,,45768,,,'')":6.1896443,"ARW^FE_ESTIMATE(UFCF,MEAN,CALA_ROLL,2023,45768,,,'')":null,"INGM^FE_ESTIMATE(UFCF,MEAN,CALA_ROLL,2026,45768,,,'')":null,"DOCN^FE_ESTIMATE(UFCF,MEAN,LTM4,,45768,,,'')":null,"AMZN^FE_ESTIMATE(UFCF,MEAN,CALA_ROLL,2027,45768,,,'')":null,"AMZN^FE_ESTIMATE(UFCF,MEAN,LTM4,,45768,,,'')":null,"ORCL^FE_ESTIMATE(UFCF,MEAN,NTM4,,45768,,,'')":null,"IBM^FE_ESTIMATE(UFCF,MEAN,CALA_ROLL,2023,45768,,,'')":null,"EQIX^FE_ESTIMATE(UFCF,MEAN,CALA_ROLL,2024,45768,,,'')":null,"DLR^FE_ESTIMATE(UFCF,MEAN,CALA_ROLL,2025,45768,,,'')":-767.2,"NVDA^FE_ESTIMATE(UFCF,MEAN,CALA_ROLL,2026,45768,,,'')":null,"MSFT^FE_ESTIMATE(UFCF,MEAN,CALA_ROLL,2027,45768,,,'')":null,"MSFT^FE_ESTIMATE(UFCF,MEAN,LTM4,,45768,,,'')":null,"AVT^FE_ESTIMATE(FCF,MEAN,NTM4,,45768,,,'')":null,"ARW^FE_ESTIMATE(FCF,MEAN,CAL4,2023,45768,,,'')":null,"SNX^FE_ESTIMATE(FCF,MEAN,CAL4,2024,45768,,,'')":1042.612,"CDW^FE_ESTIMATE(FCF,MEAN,CAL4,2025,45768,,,'')":null,"INGM^FE_ESTIMATE(FCF,MEAN,CAL4,2026,45768,,,'')":607.0,"DOCN^FE_ESTIMATE(FCF,MEAN,CALA_ROLL,2027,45768,,,'')":208.223,"DOCN^FE_ESTIMATE(FCF,MEAN,LTM4,,45768,,,'')":134.283,"GOOG^FE_ESTIMATE(FCF,MEAN,NTM4,,45768,,,'')":74011.04,"AMZN^FE_ESTIMATE(FCF,MEAN,CAL4,2023,45768,,,'')":38765.21,"ORCL^FE_ESTIMATE(FCF,MEAN,CAL4,2024,45768,,,'')":9550.706,"IBM^FE_ESTIMATE(FCF,MEAN,CAL4,2025,45768,,,'')":13474.25,"EQIX^FE_ESTIMATE(FCF,MEAN,CAL4,2026,45768,,,'')":897.908,"DLR^FE_ESTIMATE(FCF,MEAN,CALA_ROLL,2027,45768,,,'')":523.58,"DLR^FE_ESTIMATE(FCF,MEAN,LTM4,,45768,,,'')":null,"NVDA^FE_ESTIMATE(FCF,MEAN,NTM4,,45768,,,'')":97336.16,"MSFT^FE_ESTIMATE(FCF,MEAN,CAL4,2023,45768,,,'')":64571.887,"AVT^FE_ESTIMATE(EPS_GAAP,MEAN,CAL4,2024,45768,,,'')":3.53,"ARW^FE_ESTIMATE(EPS_GAAP,MEAN,CAL4,2025,45768,,,'')":8.47,"SNX^FE_ESTIMATE(EPS_GAAP,MEAN,CAL4,2026,45768,,,'')":9.970744,"CDW^FE_ESTIMATE(EPS_GAAP,MEAN,CALA_ROLL,2027,45768,,,'')":10.054112,"CDW^FE_ESTIMATE(EPS_GAAP,MEAN,LTM4,,45768,,,'')":7.97,"DOCN^FE_ESTIMATE(EPS_GAAP,MEAN,CAL4,2025,45768,,,'')":0.86657476,"GOOG^FE_ESTIMATE(EPS_GAAP,MEAN,CAL4,2023,45768,,,'')":5.8,"AMZN^FE_ESTIMATE(EPS_GAAP,MEAN,LTM4,,45768,,,'')":5.53,"ORCL^FE_ESTIMATE(EPS_GAAP,MEAN,CAL4,2024,45768,,,'')":4.09,"ORCL^FE_ESTIMATE(EPS_GAAP,MEAN,LTM4,,45768,,,'')":4.26,"SNX^FE_ESTIMATE(UFCF,MEAN,CALA_ROLL,2027,45768,,,'')":null,"AMZN^FE_ESTIMATE(UFCF,MEAN,CALA_ROLL,2026,45768,,,'')":null,"IBM^FE_ESTIMATE(UFCF,MEAN,NTM4,,45768,,,'')":null,"NVDA^FE_ESTIMATE(UFCF,MEAN,CALA_ROLL,2025,45768,,,'')":null,"AVT^FE_ESTIMATE(FCF,MEAN,LTM4,,45768,,,'')":null,"CDW^FE_ESTIMATE(FCF,MEAN,CAL4,2024,45768,,,'')":null,"GOOG^FE_ESTIMATE(FCF,MEAN,CALA_ROLL,2027,45768,,,'')":117298.79,"ORCL^FE_ESTIMATE(FCF,MEAN,CAL4,2023,45768,,,'')":10035.492,"DLR^FE_ESTIMATE(FCF,MEAN,CALA_ROLL,2026,45768,,,'')":-100.95167,"MSFT^FE_ESTIMATE(FCF,MEAN,NTM4,,45768,,,'')":79667.38,"SNX^FE_ESTIMATE(EPS_GAAP,MEAN,CAL4,2025,45768,,,'')":8.590072,"INGM^FE_ESTIMATE(EPS_GAAP,MEAN,NTM4,,45768,,,'')":2.3541336,"GOOG^FE_ESTIMATE(EPS_GAAP,MEAN,CAL4,2025,45768,,,'')":8.776225,"AMZN^FE_ESTIMATE(EPS_GAAP,MEAN,CAL4,2023,45768,,,'')":2.9,"IBM^FE_ESTIMATE(EPS_GAAP,MEAN,CAL4,2024,45768,,,'')":6.42,"EQIX^FE_ESTIMATE(EPS_GAAP,MEAN,CAL4,2026,45768,,,'')":15.477858,"EQIX^FE_ESTIMATE(EPS_GAAP,MEAN,NTM4,,45768,,,'')":13.220971,"DLR^FE_ESTIMATE(EPS_GAAP,MEAN,CAL4,2024,45768,,,'')":1.649787,"NVDA^FE_ESTIMATE(EPS_GAAP,MEAN,CALA_ROLL,2027,45768,,,'')":6.434529,"NVDA^FE_ESTIMATE(EPS_GAAP,MEAN,NTM4,,45768,,,'')":4.254923,"MSFT^FE_ESTIMATE(EPS_GAAP,MEAN,CAL4,2025,45768,,,'')":13.722855,"DOCN^FE_ESTIMATE(EBITDA,MEAN,CALA_ROLL,2027,45768,,,'')":483.40805,"DOCN^FE_ESTIMATE(EBITDA,MEAN,CAL4,2023,45768,,,'')":277.703,"GOOG^FE_ESTIMATE(EBITDA,MEAN,CAL4,2025,45768,,,'')":170426.6,"SNX^FE_ESTIMATE(UFCF,MEAN,CALA_ROLL,2024,45768,,,'')":null,"AMZN^FE_ESTIMATE(UFCF,MEAN,CALA_ROLL,2025,45768,,,'')":null,"IBM^FE_ESTIMATE(UFCF,MEAN,LTM4,,45768,,,'')":null,"NVDA^FE_ESTIMATE(UFCF,MEAN,CALA_ROLL,2024,45768,,,'')":null,"ARW^FE_ESTIMATE(FCF,MEAN,CAL4,2027,45768,,,'')":null,"CDW^FE_ESTIMATE(FCF,MEAN,CAL4,2023,45768,,,'')":null,"GOOG^FE_ESTIMATE(FCF,MEAN,CAL4,2026,45768,,,'')":86649.164,"ORCL^FE_ESTIMATE(FCF,MEAN,NTM4,,45768,,,'')":7588.5444,"DLR^FE_ESTIMATE(FCF,MEAN,CAL4,2025,45768,,,'')":-1374.447,"MSFT^FE_ESTIMATE(FCF,MEAN,LTM4,,45768,,,'')":68357.12,"SNX^FE_ESTIMATE(EPS_GAAP,MEAN,CAL4,2024,45768,,,'')":7.96,"INGM^FE_ESTIMATE(EPS_GAAP,MEAN,LTM4,,45768,,,'')":null,"GOOG^FE_ESTIMATE(EPS_GAAP,MEAN,NTM4,,45768,,,'')":8.776225,"ORCL^FE_ESTIMATE(EPS_GAAP,MEAN,CALA_ROLL,2027,45768,,,'')":null,"ORCL^FE_ESTIMATE(EBITDA,MEAN,NTM4,,45768,,,'')":32945.83,"IBM^FE_ESTIMATE(EBITDA,MEAN,CAL4,2025,45768,,,'')":17031.37,"EQIX^FE_ESTIMATE(EBITDA,MEAN,CAL4,2025,45768,,,'')":4442.692,"DLR^FE_ESTIMATE(EBITDA,MEAN,CAL4,2025,45768,,,'')":3139.0596,"DLR^FE_ESTIMATE(EBITDA,MEAN,LTM4,,45768,,,'')":2947.002,"NVDA^FE_ESTIMATE(EBITDA,MEAN,LTM4,,45768,,,'')":87955.49,"MSFT^FE_ESTIMATE(EBITDA,MEAN,LTM4,,45768,,,'')":145930.94,"AVT^FE_ESTIMATE(EBITDA,MEAN,CAL4,2024,45768,,,'')":813.0833,"ARW^FE_ESTIMATE(EBITDA,MEAN,CAL4,2024,45768,,,'')":1151.0667,"SNX^FE_ESTIMATE(EBITDA,MEAN,CAL4,2024,45768,,,'')":1739.1866,"CDW^FE_ESTIMATE(EBITDA,MEAN,CALA_ROLL,2027,45768,,,'')":2317.5366,"INGM^FE_ESTIMATE(EBITDA,MEAN,CALA_ROLL,2027,45768,,,'')":1523.6659,"AVT^FE_ESTIMATE(EBIT,MEAN,CAL4,2027,45768,,,'')":948.0,"AVT^FE_ESTIMATE(EBIT,MEAN,CAL4,2023,45768,,,'')":1131.8362,"ARW^FE_ESTIMATE(EBIT,MEAN,CAL4,2023,45768,,,'')":1584.7036,"SNX^FE_ESTIMATE(EBIT,MEAN,CAL4,2023,45768,,,'')":1636.843,"CDW^FE_ESTIMATE(EBIT,MEAN,CAL4,2026,45768,,,'')":2085.087,"INGM^FE_ESTIMATE(EBIT,MEAN,CAL4,2026,45768,,,'')":1235.1,"DOCN^FE_ESTIMATE(EBIT,MEAN,CAL4,2026,45768,,,'')":287.38416,"INGM^FE_ESTIMATE(UFCF,MEAN,CALA_ROLL,2023,45768,,,'')":null,"ORCL^FE_ESTIMATE(UFCF,MEAN,CALA_ROLL,2027,45768,,,'')":null,"EQIX^FE_ESTIMATE(UFCF,MEAN,CALA_ROLL,2023,45768,,,'')":null,"MSFT^FE_ESTIMATE(UFCF,MEAN,CALA_ROLL,2026,45768,,,'')":null,"ARW^FE_ESTIMATE(FCF,MEAN,NTM4,,45768,,,'')":null,"INGM^FE_ESTIMATE(FCF,MEAN,CAL4,2025,45768,,,'')":331.5,"GOOG^FE_ESTIMATE(FCF,MEAN,LTM4,,45768,,,'')":73062.0,"IBM^FE_ESTIMATE(FCF,MEAN,CAL4,2024,45768,,,'')":12749.0,"NVDA^FE_ESTIMATE(FCF,MEAN,CALA_ROLL,2027,45768,,,'')":147631.06,"AVT^FE_ESTIMATE(EPS_GAAP,MEAN,CAL4,2023,45768,,,'')":7.24,"CDW^FE_ESTIMATE(EPS_GAAP,MEAN,CAL4,2026,45768,,,'')":9.096194,"DOCN^FE_ESTIMATE(EPS_GAAP,MEAN,CAL4,2024,45768,,,'')":0.87,"IBM^FE_ESTIMATE(EPS_GAAP,MEAN,CALA_ROLL,2027,45768,,,'')":10.72,"IBM^FE_ESTIMATE(EPS_GAAP,MEAN,NTM4,,45768,,,'')":9.347035,"EQIX^FE_ESTIMATE(EPS_GAAP,MEAN,CAL4,2025,45768,,,'')":13.220971,"DLR^FE_ESTIMATE(EPS_GAAP,MEAN,CALA_ROLL,2027,45768,,,'')":1.9592832,"DLR^FE_ESTIMATE(EPS_GAAP,MEAN,CAL4,2023,45768,,,'')":2.97,"NVDA^FE_ESTIMATE(EPS_GAAP,MEAN,CAL4,2025,45768,,,'')":4.254923,"NVDA^FE_ESTIMATE(EPS_GAAP,MEAN,LTM4,,45768,,,'')":2.938,"MSFT^FE_ESTIMATE(EPS_GAAP,MEAN,CAL4,2023,45768,,,'')":11.060136,"DOCN^FE_ESTIMATE(EBITDA,MEAN,CAL4,2026,45768,,,'')":401.96646,"DOCN^FE_ESTIMATE(EBITDA,MEAN,LTM4,,45768,,,'')":328.5,"GOOG^FE_ESTIMATE(EBITDA,MEAN,CAL4,2024,45768,,,'')":150905.94,"AMZN^FE_ESTIMATE(EBITDA,MEAN,CAL4,2026,45768,,,'')":190523.3,"AMZN^FE_ESTIMATE(EBITDA,MEAN,NTM4,,45768,,,'')":165379.06,"ORCL^FE_ESTIMATE(EBITDA,MEAN,CAL4,2025,45768,,,'')":32108.611,"ORCL^FE_ESTIMATE(EBITDA,MEAN,LTM4,,45768,,,'')":29877.475,"IBM^FE_ESTIMATE(EBITDA,MEAN,LTM4,,45768,,,'')":15966.0,"EQIX^FE_ESTIMATE(EBITDA,MEAN,LTM4,,45768,,,'')":4097.0,"DLR^FE_ESTIMATE(EBITDA,MEAN,CAL4,2024,45768,,,'')":2947.002,"NVDA^FE_ESTIMATE(EBITDA,MEAN,CAL4,2024,45768,,,'')":87955.49,"MSFT^FE_ESTIMATE(EBITDA,MEAN,CAL4,2024,45768,,,'')":145930.94,"AVT^FE_ESTIMATE(EBITDA,MEAN,CAL4,2027,45768,,,'')":1047.0,"ARW^FE_ESTIMATE(EBITDA,MEAN,CALA_ROLL,2027,45768,,,'')":1631.0,"SNX^FE_ESTIMATE(EBITDA,MEAN,CAL4,2027,45768,,,'')":1957.8336,"SNX^FE_ESTIMATE(EBITDA,MEAN,CAL4,2023,45768,,,'')":1753.0847,"CDW^FE_ESTIMATE(EBITDA,MEAN,CAL4,2023,45768,,,'')":2175.6484,"DOCN^FE_ESTIMATE(UFCF,MEAN,CALA_ROLL,2027,45768,,,'')":null,"ORCL^FE_ESTIMATE(UFCF,MEAN,CALA_ROLL,2026,45768,,,'')":null,"EQIX^FE_ESTIMATE(UFCF,MEAN,NTM4,,45768,,,'')":1379.2,"MSFT^FE_ESTIMATE(UFCF,MEAN,CALA_ROLL,2025,45768,,,'')":null,"ARW^FE_ESTIMATE(FCF,MEAN,LTM4,,45768,,,'')":null,"INGM^FE_ESTIMATE(FCF,MEAN,CAL4,2024,45768,,,'')":null,"AMZN^FE_ESTIMATE(FCF,MEAN,CALA_ROLL,2027,45768,,,'')":107814.164,"IBM^FE_ESTIMATE(FCF,MEAN,CAL4,2023,45768,,,'')":11210.0,"NVDA^FE_ESTIMATE(FCF,MEAN,CAL4,2026,45768,,,'')":129759.445,"AVT^FE_ESTIMATE(EPS_GAAP,MEAN,NTM4,,45768,,,'')":3.5533333,"CDW^FE_ESTIMATE(EPS_GAAP,MEAN,CAL4,2025,45768,,,'')":8.29758,"GOOG^FE_ESTIMATE(EPS_GAAP,MEAN,LTM4,,45768,,,'')":8.05,"ORCL^FE_ESTIMATE(EPS_GAAP,MEAN,CAL4,2026,45768,,,'')":5.5178604,"ORCL^FE_ESTIMATE(EBITDA,MEAN,CAL4,2024,45768,,,'')":29480.475,"IBM^FE_ESTIMATE(EBITDA,MEAN,CAL4,2024,45768,,,'')":15966.0,"EQIX^FE_ESTIMATE(EBITDA,MEAN,CAL4,2024,45768,,,'')":4097.0,"DLR^FE_ESTIMATE(EBITDA,MEAN,CALA_ROLL,2027,45768,,,'')":3997.4087,"NVDA^FE_ESTIMATE(EBITDA,MEAN,CALA_ROLL,2027,45768,,,'')":181943.33,"MSFT^FE_ESTIMATE(EBITDA,MEAN,CALA_ROLL,2027,45768,,,'')":216661.86,"MSFT^FE_ESTIMATE(EBITDA,MEAN,CAL4,2023,45768,,,'')":119708.5,"AVT^FE_ESTIMATE(EBITDA,MEAN,CAL4,2023,45768,,,'')":1230.6333,"ARW^FE_ESTIMATE(EBITDA,MEAN,CAL4,2023,45768,,,'')":1749.7667,"SNX^FE_ESTIMATE(EBITDA,MEAN,CAL4,2026,45768,,,'')":1824.969,"CDW^FE_ESTIMATE(EBITDA,MEAN,CAL4,2026,45768,,,'')":2373.5034,"INGM^FE_ESTIMATE(EBITDA,MEAN,CAL4,2026,45768,,,'')":1429.35,"INGM^FE_ESTIMATE(EBITDA,MEAN,NTM4,,45768,,,'')":1297.6563,"AVT^FE_ESTIMATE(EBIT,MEAN,NTM4,,45768,,,'')":726.545,"ARW^FE_ESTIMATE(EBIT,MEAN,NTM4,,45768,,,'')":948.91473,"SNX^FE_ESTIMATE(EBIT,MEAN,CAL4,2025,45768,,,'')":1632.6938,"CDW^FE_ESTIMATE(EBIT,MEAN,CAL4,2025,45768,,,'')":1964.7653,"INGM^FE_ESTIMATE(EBIT,MEAN,CAL4,2025,45768,,,'')":1071.0847,"INGM^FE_ESTIMATE(EBIT,MEAN,LTM4,,45768,,,'')":null,"GOOG^FE_ESTIMATE(UFCF,MEAN,CALA_ROLL,2026,45768,,,'')":null,"AVT^FE_ESTIMATE(FCF,MEAN,CAL4,2027,45768,,,'')":null,"AMZN^FE_ESTIMATE(FCF,MEAN,NTM4,,45768,,,'')":44501.56,"ARW^FE_ESTIMATE(EPS_GAAP,MEAN,CAL4,2024,45768,,,'')":7.28,"AMZN^FE_ESTIMATE(EPS_GAAP,MEAN,CAL4,2025,45768,,,'')":6.1896443,"IBM^FE_ESTIMATE(EPS_GAAP,MEAN,LTM4,,45768,,,'')":6.42,"DLR^FE_ESTIMATE(EPS_GAAP,MEAN,LTM4,,45768,,,'')":1.649787,"MSFT^FE_ESTIMATE(EPS_GAAP,MEAN,NTM4,,45768,,,'')":13.722855,"GOOG^FE_ESTIMATE(EBITDA,MEAN,NTM4,,45768,,,'')":170426.6,"ORCL^FE_ESTIMATE(EBITDA,MEAN,CALA_ROLL,2027,45768,,,'')":48005.266,"IBM^FE_ESTIMATE(EBITDA,MEAN,CALA_ROLL,2027,45768,,,'')":18356.889,"EQIX^FE_ESTIMATE(EBITDA,MEAN,CALA_ROLL,2027,45768,,,'')":5371.0283,"MSFT^FE_ESTIMATE(EBITDA,MEAN,CAL4,2026,45768,,,'')":187518.63,"AVT^FE_ESTIMATE(EBITDA,MEAN,CAL4,2026,45768,,,'')":1010.3,"ARW^FE_ESTIMATE(EBITDA,MEAN,CAL4,2026,45768,,,'')":1451.9,"INGM^FE_ESTIMATE(EBITDA,MEAN,LTM4,,45768,,,'')":null,"ARW^FE_ESTIMATE(EBIT,MEAN,CAL4,2024,45768,,,'')":1001.7478,"SNX^FE_ESTIMATE(EBIT,MEAN,CAL4,2026,45768,,,'')":1701.1986,"CDW^FE_ESTIMATE(EBIT,MEAN,NTM4,,45768,,,'')":1964.7653,"DOCN^FE_ESTIMATE(EBIT,MEAN,CAL4,2025,45768,,,'')":233.16283,"GOOG^FE_ESTIMATE(EBIT,MEAN,CAL4,2023,45768,,,'')":84280.03,"AMZN^FE_ESTIMATE(EBIT,MEAN,LTM4,,45768,,,'')":68593.0,"IBM^FE_ESTIMATE(EBIT,MEAN,CAL4,2026,45768,,,'')":12953.552,"EQIX^FE_ESTIMATE(EBIT,MEAN,CAL4,2024,45768,,,'')":1682.2444,"DLR^FE_ESTIMATE(EBIT,MEAN,NTM4,,45768,,,'')":937.85345,"MSFT^FE_ESTIMATE(EBIT,MEAN,CALA_ROLL,2027,45768,,,'')":172412.28,"AVT^FE_ESTIMATE(SALES,MEAN,CAL4,2025,45768,,,'')":22259.436,"ARW^FE_ESTIMATE(SALES,MEAN,CAL4,2026,45768,,,'')":29683.566,"SNX^FE_ESTIMATE(SALES,MEAN,CALA_ROLL,2027,45768,,,'')":null,"SNX^FREF_MARKET_VALUE_COMPANY(45768,,,,,0,,\"LEGACY\")":8648.1015625,"CDW^FF_ENTRPR_VAL_DAILY(45768,,,,,\"DIL\")":25727.984,"INGM^FG_PRICE(45768)":15.88,"DOCN^FE_ESTIMATE(SALES,MEAN,CAL4,2026,45768,,,'')":1005.61584,"DOCN^FE_ESTIMATE(SALES,MEAN,CAL4,2023,45768,,,'')":692.884,"DOCN^FG_PRICE(45768)":25.91,"GOOG^FE_ESTIMATE(SALES,MEAN,CALA_ROLL,2027,45768,,,'')":474068.22,"GOOG^FE_ESTIMATE(SALES,MEAN,CAL4,2024,45768,,,'')":350018.0,"GOOG^FE_ESTIMATE(SALES,MEAN,LTM4,,45768,,,'')":350018.0,"GOOG^FREF_MARKET_VALUE_COMPANY(45768,,,,,0,,\"LEGACY\")":1685139.5625,"AMZN^FE_ESTIMATE(SALES,MEAN,CAL4,2025,45768,,,'')":693712.06,"AMZN^FE_ESTIMATE(SALES,MEAN,NTM4,,45768,,,'')":693712.06,"AMZN^FF_ENTRPR_VAL_DAILY(45768,,,,,\"DIL\")":1836940.72,"ORCL^FE_ESTIMATE(SALES,MEAN,CAL4,2026,45768,,,'')":70087.484,"ORCL^FE_ESTIMATE(SALES,MEAN,CAL4,2023,45768,,,'')":51629.0,"ORCL^FG_PRICE(45768)":122.82,"GOOG^FE_ESTIMATE(UFCF,MEAN,CALA_ROLL,2025,45768,,,'')":null,"AVT^FE_ESTIMATE(FCF,MEAN,CAL4,2026,45768,,,'')":null,"AMZN^FE_ESTIMATE(FCF,MEAN,LTM4,,45768,,,'')":37569.48,"ARW^FE_ESTIMATE(EPS_GAAP,MEAN,CAL4,2023,45768,,,'')":15.79,"AMZN^FE_ESTIMATE(EPS_GAAP,MEAN,CAL4,2024,45768,,,'')":5.53,"EQIX^FE_ESTIMATE(EBITDA,MEAN,CAL4,2026,45768,,,'')":4922.059,"DLR^FE_ESTIMATE(EBITDA,MEAN,CAL4,2026,45768,,,'')":3418.6929,"NVDA^FE_ESTIMATE(EBITDA,MEAN,CAL4,2026,45768,,,'')":173844.36,"ARW^FE_ESTIMATE(EBITDA,MEAN,CAL4,2025,45768,,,'')":1101.1499,"SNX^FE_ESTIMATE(EBITDA,MEAN,CAL4,2025,45768,,,'')":1744.052,"CDW^FE_ESTIMATE(EBITDA,MEAN,CAL4,2025,45768,,,'')":2133.597,"INGM^FE_ESTIMATE(EBITDA,MEAN,CAL4,2025,45768,,,'')":1297.6563,"CDW^FE_ESTIMATE(EBIT,MEAN,CALA_ROLL,2027,45768,,,'')":2184.776,"CDW^FE_ESTIMATE(EBIT,MEAN,LTM4,,45768,,,'')":1952.63,"INGM^FE_ESTIMATE(EBIT,MEAN,CAL4,2023,45768,,,'')":null,"DOCN^FE_ESTIMATE(EBIT,MEAN,CAL4,2024,45768,,,'')":183.9113,"GOOG^FE_ESTIMATE(EBIT,MEAN,CALA_ROLL,2027,45768,,,'')":159309.39,"GOOG^FE_ESTIMATE(EBIT,MEAN,NTM4,,45768,,,'')":125423.96,"AMZN^FE_ESTIMATE(EBIT,MEAN,CAL4,2025,45768,,,'')":79543.57,"ORCL^FE_ESTIMATE(EBIT,MEAN,CALA_ROLL,2027,45768,,,'')":39527.996,"ORCL^FE_ESTIMATE(EBIT,MEAN,CAL4,2023,45768,,,'')":21846.732,"IBM^FE_ESTIMATE(EBIT,MEAN,CAL4,2025,45768,,,'')":12221.485,"IBM^FE_ESTIMATE(EBIT,MEAN,LTM4,,45768,,,'')":11312.172,"EQIX^FE_ESTIMATE(EBIT,MEAN,CAL4,2023,45768,,,'')":1442.8859,"DLR^FE_ESTIMATE(EBIT,MEAN,CAL4,2026,45768,,,'')":1026.7224,"DLR^FE_ESTIMATE(EBIT,MEAN,LTM4,,45768,,,'')":484.7739,"NVDA^FE_ESTIMATE(EBIT,MEAN,CAL4,2024,45768,,,'')":86539.64,"MSFT^FE_ESTIMATE(EBIT,MEAN,CAL4,2026,45768,,,'')":150666.55,"MSFT^FE_ESTIMATE(EBIT,MEAN,NTM4,,45768,,,'')":130990.54,"AVT^FE_ESTIMATE(SALES,MEAN,CAL4,2024,45768,,,'')":22484.129,"AVT^FG_PRICE(45768)":46.94,"ARW^FE_ESTIMATE(SALES,MEAN,CAL4,2025,45768,,,'')":27614.453,"ARW^FE_ESTIMATE(SALES,MEAN,LTM4,,45768,,,'')":27923.324,"SNX^FE_ESTIMATE(SALES,MEAN,CAL4,2026,45768,,,'')":62491.555,"SNX^FE_ESTIMATE(SALES,MEAN,NTM4,,45768,,,'')":60514.668,"CDW^FE_ESTIMATE(SALES,MEAN,CALA_ROLL,2027,45768,,,'')":23590.383,"CDW^FE_ESTIMATE(SALES,MEAN,CAL4,2023,45768,,,'')":21376.0,"CDW^FREF_MARKET_VALUE_COMPANY(45768,,,,,0,,\"LEGACY\")":19556.814453125,"INGM^FE_ESTIMATE(SALES,MEAN,CAL4,2024,45768,,,'')":null,"INGM^FF_ENTRPR_VAL_DAILY(45768,,,,,\"DIL\")":6455.41493415,"DOCN^FE_ESTIMATE(SALES,MEAN,CAL4,2025,45768,,,'')":883.69904,"GOOG^FE_ESTIMATE(SALES,MEAN,CAL4,2026,45768,,,'')":426032.7,"GOOG^FG_PRICE(45768)":149.86,"AMZN^FE_ESTIMATE(SALES,MEAN,LTM4,,45768,,,'')":637959.0,"AMZN^FREF_MARKET_VALUE_COMPANY(45768,,,,,0,,\"LEGACY\")":1775660.875,"ORCL^FE_ESTIMATE(SALES,MEAN,NTM4,,45768,,,'')":62688.887,"IBM^FE_ESTIMATE(SALES,MEAN,CAL4,2026,45768,,,'')":67398.89,"IBM^FG_PRICE(45768)":236.22,"EQIX^FE_ESTIMATE(SALES,MEAN,CAL4,2024,45768,,,'')":8748.0,"EQIX^FREF_MARKET_VALUE_COMPANY(45768,,,,,0,,\"LEGACY\")":75633.078125,"DLR^FE_ESTIMATE(SALES,MEAN,CAL4,2025,45768,,,'')":5889.648,"DLR^FF_ENTRPR_VAL_DAILY(45768,,,,,\"DIL\")":66836.86798,"NVDA^FE_ESTIMATE(SALES,MEAN,CAL4,2026,45768,,,'')":242708.02,"NVDA^FE_ESTIMATE(SALES,MEAN,CAL4,2023,45768,,,'')":60922.0,"MSFT^FE_ESTIMATE(SALES,MEAN,CALA_ROLL,2027,45768,,,'')":386805.03,"MSFT^FE_ESTIMATE(SALES,MEAN,LTM4,,45768,,,'')":261802.0,"GOOG^FE_ESTIMATE(EBITDA,MEAN,CALA_ROLL,2027,45768,,,'')":221274.97,"AVT^FE_ESTIMATE(EBITDA,MEAN,NTM4,,45768,,,'')":823.0271,"ARW^FE_ESTIMATE(EBIT,MEAN,CAL4,2026,45768,,,'')":1265.4667,"DOCN^FE_ESTIMATE(EBIT,MEAN,NTM4,,45768,,,'')":233.16283,"ORCL^FE_ESTIMATE(EBIT,MEAN,CAL4,2025,45768,,,'')":25868.36,"ORCL^FE_ESTIMATE(UFCF,MEAN,LTM4,,45768,,,'')":null,"SNX^FE_ESTIMATE(FCF,MEAN,CAL4,2023,45768,,,'')":1257.366,"EQIX^FE_ESTIMATE(FCF,MEAN,CAL4,2025,45768,,,'')":545.22064,"INGM^FE_ESTIMATE(EPS_GAAP,MEAN,CALA_ROLL,2027,45768,,,'')":2.74,"EQIX^FE_ESTIMATE(EPS_GAAP,MEAN,CAL4,2023,45768,,,'')":10.31,"NVDA^FE_ESTIMATE(EPS_GAAP,MEAN,CAL4,2024,45768,,,'')":2.938,"DOCN^FE_ESTIMATE(EBITDA,MEAN,CAL4,2024,45768,,,'')":328.5,"GOOG^FE_ESTIMATE(EBITDA,MEAN,LTM4,,45768,,,'')":150905.94,"ORCL^FE_ESTIMATE(EBITDA,MEAN,CAL4,2026,45768,,,'')":37318.008,"IBM^FE_ESTIMATE(EBITDA,MEAN,CAL4,2026,45768,,,'')":17581.55,"NVDA^FE_ESTIMATE(EBITDA,MEAN,CAL4,2025,45768,,,'')":132468.86,"MSFT^FE_ESTIMATE(EBITDA,MEAN,CAL4,2025,45768,,,'')":164920.83,"AVT^FE_ESTIMATE(EBITDA,MEAN,CAL4,2025,45768,,,'')":823.0271,"CDW^FE_ESTIMATE(EBITDA,MEAN,CAL4,2024,45768,,,'')":2115.8083,"AVT^FE_ESTIMATE(EBIT,MEAN,CAL4,2026,45768,,,'')":907.25,"AVT^FE_ESTIMATE(EBIT,MEAN,LTM4,,45768,,,'')":724.5228,"SNX^FE_ESTIMATE(EBIT,MEAN,CAL4,2024,45768,,,'')":1621.3727,"INGM^FE_ESTIMATE(EBIT,MEAN,CALA_ROLL,2027,45768,,,'')":1339.2299,"INGM^FE_ESTIMATE(EBIT,MEAN,NTM4,,45768,,,'')":1071.0847,"GOOG^FE_ESTIMATE(EBIT,MEAN,CAL4,2026,45768,,,'')":139411.89,"AMZN^FE_ESTIMATE(EBIT,MEAN,CAL4,2024,45768,,,'')":68593.0,"ORCL^FE_ESTIMATE(EBIT,MEAN,NTM4,,45768,,,'')":26557.885,"EQIX^FE_ESTIMATE(EBIT,MEAN,CALA_ROLL,2027,45768,,,'')":2515.365,"DLR^FE_ESTIMATE(EBIT,MEAN,CAL4,2025,45768,,,'')":937.85345,"NVDA^FE_ESTIMATE(EBIT,MEAN,CAL4,2023,45768,,,'')":37133.996,"MSFT^FE_ESTIMATE(EBIT,MEAN,LTM4,,45768,,,'')":117698.625,"AVT^FF_ENTRPR_VAL_DAILY(45768,,,,,\"DIL\")":6763.22438,"ARW^FG_PRICE(45768)":102.21,"SNX^FE_ESTIMATE(SALES,MEAN,LTM4,,45768,,,'')":59008.89,"CDW^FE_ESTIMATE(SALES,MEAN,NTM4,,45768,,,'')":21460.67,"INGM^FE_ESTIMATE(SALES,MEAN,CAL4,2023,45768,,,'')":null,"DOCN^FE_ESTIMATE(SALES,MEAN,NTM4,,45768,,,'')":883.69904,"DOCN^FF_ENTRPR_VAL_DAILY(45768,,,,,\"DIL\")":3640.92294,"GOOG^FE_ESTIMATE(SALES,MEAN,CAL4,2023,45768,,,'')":307394.0,"AMZN^FE_ESTIMATE(SALES,MEAN,CALA_ROLL,2027,45768,,,'')":841741.9,"AMZN^FE_ESTIMATE(SALES,MEAN,CAL4,2024,45768,,,'')":637959.0,"ORCL^FE_ESTIMATE(SALES,MEAN,CAL4,2025,45768,,,'')":60519.277,"ORCL^FF_ENTRPR_VAL_DAILY(45768,,,,,\"DIL\")":431968.68,"IBM^FE_ESTIMATE(SALES,MEAN,CAL4,2023,45768,,,'')":61860.0,"EQIX^FE_ESTIMATE(SALES,MEAN,CALA_ROLL,2027,45768,,,'')":10707.005,"EQIX^FE_ESTIMATE(SALES,MEAN,LTM4,,45768,,,'')":8748.0,"DLR^FE_ESTIMATE(SALES,MEAN,NTM4,,45768,,,'')":5889.648,"NVDA^FG_PRICE(45768)":96.91,"MSFT^FE_ESTIMATE(SALES,MEAN,CAL4,2024,45768,,,'')":261802.0,"MSFT^FREF_MARKET_VALUE_COMPANY(45768,,,,,0,,\"LEGACY\")":2669691.75,"NVDA^FE_ESTIMATE(EBITDA,MEAN,NTM4,,45768,,,'')":132468.86,"INGM^FE_ESTIMATE(EBITDA,MEAN,CAL4,2023,45768,,,'')":null,"CDW^FE_ESTIMATE(EBIT,MEAN,CAL4,2024,45768,,,'')":1952.63,"AMZN^FE_ESTIMATE(EBIT,MEAN,CALA_ROLL,2027,45768,,,'')":119838.5,"EQIX^FE_ESTIMATE(EBIT,MEAN,LTM4,,45768,,,'')":1682.2444,"MSFT^FE_ESTIMATE(EBIT,MEAN,CAL4,2024,45768,,,'')":117698.625,"ARW^FE_ESTIMATE(SALES,MEAN,CAL4,2023,45768,,,'')":33107.12,"IBM^FE_ESTIMATE(UFCF,MEAN,CALA_ROLL,2027,45768,,,'')":null,"SNX^FE_ESTIMATE(FCF,MEAN,NTM4,,45768,,,'')":1935.9,"EQIX^FE_ESTIMATE(FCF,MEAN,CAL4,2024,45768,,,'')":151.449,"INGM^FE_ESTIMATE(EPS_GAAP,MEAN,CAL4,2026,45768,,,'')":3.0916667,"ORCL^FE_ESTIMATE(EPS_GAAP,MEAN,CAL4,2023,45768,,,'')":3.62,"AMZN^FE_ESTIMATE(EBITDA,MEAN,CAL4,2025,45768,,,'')":165379.06,"EQIX^FE_ESTIMATE(EBITDA,MEAN,CAL4,2023,45768,,,'')":3701.841,"DLR^FE_ESTIMATE(EBITDA,MEAN,CAL4,2023,45768,,,'')":2750.256,"NVDA^FE_ESTIMATE(EBITDA,MEAN,CAL4,2023,45768,,,'')":37642.035,"ARW^FE_ESTIMATE(EBITDA,MEAN,NTM4,,45768,,,'')":1101.1499,"SNX^FE_ESTIMATE(EBITDA,MEAN,NTM4,,45768,,,'')":1759.4127,"CDW^FE_ESTIMATE(EBITDA,MEAN,NTM4,,45768,,,'')":2133.597,"INGM^FE_ESTIMATE(EBITDA,MEAN,CAL4,2024,45768,,,'')":null,"AVT^FE_ESTIMATE(EBIT,MEAN,CAL4,2025,45768,,,'')":726.545,"ARW^FE_ESTIMATE(EBIT,MEAN,CALA_ROLL,2027,45768,,,'')":1486.0,"ARW^FE_ESTIMATE(EBIT,MEAN,LTM4,,45768,,,'')":1001.7478,"DOCN^FE_ESTIMATE(EBIT,MEAN,CAL4,2023,45768,,,'')":159.31778,"GOOG^FE_ESTIMATE(EBIT,MEAN,CAL4,2025,45768,,,'')":125423.96,"GOOG^FE_ESTIMATE(EBIT,MEAN,LTM4,,45768,,,'')":112401.02,"AMZN^FE_ESTIMATE(EBIT,MEAN,CAL4,2023,45768,,,'')":36852.0,"ORCL^FE_ESTIMATE(EBIT,MEAN,CAL4,2026,45768,,,'')":29857.213,"ORCL^FE_ESTIMATE(EBIT,MEAN,LTM4,,45768,,,'')":24667.912,"IBM^FE_ESTIMATE(EBIT,MEAN,CAL4,2024,45768,,,'')":11312.172,"EQIX^FE_ESTIMATE(EBIT,MEAN,CAL4,2026,45768,,,'')":2050.0112,"EQIX^FE_ESTIMATE(EBIT,MEAN,NTM4,,45768,,,'')":1896.0947,"DLR^FE_ESTIMATE(EBIT,MEAN,CAL4,2024,45768,,,'')":484.7739,"NVDA^FE_ESTIMATE(EBIT,MEAN,CALA_ROLL,2027,45768,,,'')":183231.52,"NVDA^FE_ESTIMATE(EBIT,MEAN,NTM4,,45768,,,'')":128082.22,"MSFT^FE_ESTIMATE(EBIT,MEAN,CAL4,2025,45768,,,'')":130990.54,"AVT^FE_ESTIMATE(SALES,MEAN,CALA_ROLL,2027,45768,,,'')":null,"AVT^FE_ESTIMATE(SALES,MEAN,CAL4,2023,45768,,,'')":25609.723,"AVT^FREF_MARKET_VALUE_COMPANY(45768,,,,,0,,\"LEGACY\")":4060.52392578125,"ARW^FE_ESTIMATE(SALES,MEAN,CAL4,2024,45768,,,'')":27923.324,"ARW^FF_ENTRPR_VAL_DAILY(45768,,,,,\"DIL\")":8771.32937,"SNX^FE_ESTIMATE(SALES,MEAN,CAL4,2025,45768,,,'')":59970.652,"SNX^FG_PRICE(45768)":103.05,"CDW^FE_ESTIMATE(SALES,MEAN,CAL4,2026,45768,,,'')":22579.291,"CDW^FE_ESTIMATE(SALES,MEAN,LTM4,,45768,,,'')":20998.7,"INGM^FE_ESTIMATE(SALES,MEAN,CALA_ROLL,2027,45768,,,'')":52895.71,"INGM^FE_ESTIMATE(SALES,MEAN,NTM4,,45768,,,'')":49405.39,"INGM^FREF_MARKET_VALUE_COMPANY(45768,,,,,0,,\"LEGACY\")":3729.0302734375,"DLR^FE_ESTIMATE(UFCF,MEAN,CALA_ROLL,2024,45768,,,'')":null,"DOCN^FE_ESTIMATE(FCF,MEAN,CAL4,2026,45768,,,'')":171.30737,"NVDA^FE_ESTIMATE(FCF,MEAN,LTM4,,45768,,,'')":62019.04,"GOOG^FE_ESTIMATE(EPS_GAAP,MEAN,CALA_ROLL,2027,45768,,,'')":11.5611315,"IBM^FE_ESTIMATE(EPS_GAAP,MEAN,CAL4,2025,45768,,,'')":9.347035,"DLR^FE_ESTIMATE(EPS_GAAP,MEAN,CAL4,2026,45768,,,'')":1.4928571,"MSFT^FE_ESTIMATE(EPS_GAAP,MEAN,CAL4,2026,45768,,,'')":15.863868,"ORCL^FE_ESTIMATE(EBITDA,MEAN,CAL4,2023,45768,,,'')":27439.04,"IBM^FE_ESTIMATE(EBITDA,MEAN,CAL4,2023,45768,,,'')":14568.502,"MSFT^FE_ESTIMATE(EBITDA,MEAN,NTM4,,45768,,,'')":164920.83,"CDW^FE_ESTIMATE(EBITDA,MEAN,LTM4,,45768,,,'')":2115.8083,"SNX^FE_ESTIMATE(EBIT,MEAN,NTM4,,45768,,,'')":1646.8707,"DOCN^FE_ESTIMATE(EBIT,MEAN,CALA_ROLL,2027,45768,,,'')":318.5193,"IBM^FE_ESTIMATE(EBIT,MEAN,CAL4,2023,45768,,,'')":10434.986,"NVDA^FE_ESTIMATE(EBIT,MEAN,CAL4,2026,45768,,,'')":161858.05,"AVT^FE_ESTIMATE(SALES,MEAN,NTM4,,45768,,,'')":22259.436,"DLR^FE_ESTIMATE(UFCF,MEAN,CALA_ROLL,2023,45768,,,'')":-1479.6,"DLR^FE_ESTIMATE(EBITDA,MEAN,NTM4,,45768,,,'')":3139.0596,"CDW^FE_ESTIMATE(EBIT,MEAN,CAL4,2023,45768,,,'')":2025.8167,"AMZN^FE_ESTIMATE(EBIT,MEAN,NTM4,,45768,,,'')":79543.57,"DLR^FE_ESTIMATE(EBIT,MEAN,CAL4,2023,45768,,,'')":524.37494,"ARW^FE_ESTIMATE(SALES,MEAN,CALA_ROLL,2027,45768,,,'')":33408.0,"INGM^FE_ESTIMATE(SALES,MEAN,CAL4,2026,45768,,,'')":51387.07,"DOCN^FE_ESTIMATE(SALES,MEAN,CAL4,2024,45768,,,'')":780.615,"GOOG^FE_ESTIMATE(SALES,MEAN,CAL4,2025,45768,,,'')":385662.0,"AMZN^FE_ESTIMATE(SALES,MEAN,CAL4,2026,45768,,,'')":759786.7,"ORCL^FE_ESTIMATE(SALES,MEAN,CALA_ROLL,2027,45768,,,'')":85168.66,"ORCL^FREF_MARKET_VALUE_COMPANY(45768,,,,,0,,\"LEGACY\")":344416.0,"IBM^FE_ESTIMATE(SALES,MEAN,NTM4,,45768,,,'')":65129.566,"EQIX^FE_ESTIMATE(SALES,MEAN,CAL4,2026,45768,,,'')":9902.828,"EQIX^FG_PRICE(45768)":773.2,"DLR^FE_ESTIMATE(SALES,MEAN,CAL4,2024,45768,,,'')":5554.968,"DLR^FREF_MARKET_VALUE_COMPANY(45768,,,,,0,,\"LEGACY\")":49279.8046875,"NVDA^FE_ESTIMATE(SALES,MEAN,NTM4,,45768,,,'')":199630.06,"MSFT^FE_ESTIMATE(SALES,MEAN,CAL4,2026,45768,,,'')":330771.4,"MSFT^FG_PRICE(45768)":359.12,"DOCN^FE_ESTIMATE(FCF,MEAN,CAL4,2025,45768,,,'')":146.19283,"INGM^FE_ESTIMATE(EBIT,MEAN,CAL4,2024,45768,,,'')":null,"ORCL^FE_ESTIMATE(EBIT,MEAN,CAL4,2024,45768,,,'')":24264.9,"NVDA^FE_ESTIMATE(EBIT,MEAN,CAL4,2025,45768,,,'')":128082.22,"ARW^FE_ESTIMATE(SALES,MEAN,NTM4,,45768,,,'')":27614.453,"SNX^FF_ENTRPR_VAL_DAILY(45768,,,,,\"DIL\")":12439.2105,"INGM^FE_ESTIMATE(SALES,MEAN,CAL4,2025,45768,,,'')":49405.39,"MSFT^FE_ESTIMATE(FCF,MEAN,CALA_ROLL,2027,45768,,,'')":107211.67,"AMZN^FE_ESTIMATE(EBITDA,MEAN,CAL4,2023,45768,,,'')":109513.47,"AVT^FE_ESTIMATE(EBIT,MEAN,CAL4,2024,45768,,,'')":724.5228,"IBM^FE_ESTIMATE(EBIT,MEAN,CALA_ROLL,2027,45768,,,'')":14022.767,"NVDA^FE_ESTIMATE(EBIT,MEAN,LTM4,,45768,,,'')":86539.64,"CDW^FE_ESTIMATE(SALES,MEAN,CAL4,2025,45768,,,'')":21460.67,"DOCN^FE_ESTIMATE(SALES,MEAN,LTM4,,45768,,,'')":780.615,"GOOG^FE_ESTIMATE(SALES,MEAN,NTM4,,45768,,,'')":385662.0,"AMZN^FE_ESTIMATE(SALES,MEAN,CAL4,2023,45768,,,'')":574785.0,"ORCL^FE_ESTIMATE(SALES,MEAN,CAL4,2024,45768,,,'')":54933.0,"IBM^FE_ESTIMATE(SALES,MEAN,CALA_ROLL,2027,45768,,,'')":70797.0,"IBM^FE_ESTIMATE(SALES,MEAN,LTM4,,45768,,,'')":62753.0,"EQIX^FE_ESTIMATE(SALES,MEAN,CAL4,2025,45768,,,'')":9125.028,"DLR^FE_ESTIMATE(SALES,MEAN,CAL4,2023,45768,,,'')":5477.061,"NVDA^FE_ESTIMATE(SALES,MEAN,LTM4,,45768,,,'')":130497.0,"MSFT^FE_ESTIMATE(SALES,MEAN,CAL4,2025,45768,,,'')":292212.03,"GOOG^FE_ESTIMATE(EPS_GAAP,MEAN,CAL4,2026,45768,,,'')":10.063921,"ARW^FE_ESTIMATE(EBIT,MEAN,CAL4,2025,45768,,,'')":948.91473,"MSFT^FE_ESTIMATE(EBIT,MEAN,CAL4,2023,45768,,,'')":100451.96,"INGM^FE_ESTIMATE(SALES,MEAN,LTM4,,45768,,,'')":null,"IBM^FE_ESTIMATE(SALES,MEAN,CAL4,2025,45768,,,'')":65129.566,"DLR^FE_ESTIMATE(SALES,MEAN,CALA_ROLL,2027,45768,,,'')":7322.82,"NVDA^FF_ENTRPR_VAL_DAILY(45768,,,,,\"DIL\")":2370815.64,"IBM^FE_ESTIMATE(EBITDA,MEAN,NTM4,,45768,,,'')":17031.37,"GOOG^FE_ESTIMATE(EBIT,MEAN,CAL4,2024,45768,,,'')":112401.02,"AVT^FE_ESTIMATE(SALES,MEAN,CAL4,2026,45768,,,'')":23789.533,"DOCN^FREF_MARKET_VALUE_COMPANY(45768,,,,,0,,\"LEGACY\")":2378.9052734375,"GOOG^FF_ENTRPR_VAL_DAILY(45768,,,,,\"DIL\")":1763807.11,"SNX^FE_ESTIMATE(SALES,MEAN,CAL4,2023,45768,,,'')":57555.414,"IBM^FREF_MARKET_VALUE_COMPANY(45768,,,,,0,,\"LEGACY\")":219038.390625,"DLR^FG_PRICE(45768)":146.34,"NVDA^FREF_MARKET_VALUE_COMPANY(45768,,,,,0,,\"LEGACY\")":2364604.0,"EQIX^FF_ENTRPR_VAL_DAILY(45768,,,,,\"DIL\")":89174.4364,"MSFT^FF_ENTRPR_VAL_DAILY(45768,,,,,\"DIL\")":2713262.16,"AVT^FE_ESTIMATE(EBITDA,MEAN,LTM4,,45768,,,'')":813.0833,"DOCN^FE_ESTIMATE(EBIT,MEAN,LTM4,,45768,,,'')":183.9113,"ARW^FREF_MARKET_VALUE_COMPANY(45768,,,,,0,,\"LEGACY\")":5301.35205078125,"IBM^FF_ENTRPR_VAL_DAILY(45768,,,,,\"DIL\")":265053.22433328,"DLR^FE_ESTIMATE(SALES,MEAN,LTM4,,45768,,,'')":5554.968,"CRWV^FG_PRICE(45768)":35.415,"SNX^FE_ESTIMATE(EBIT,MEAN,CAL4,2027,45768,,,'')":1803.3328,"SNX^FE_ESTIMATE(SALES,MEAN,CAL4,2024,45768,,,'')":58452.438,"AMZN^FG_PRICE(45768)":167.32,"SNX^FE_ESTIMATE(EBITDA,MEAN,LTM4,,45768,,,'')":1713.641,"DLR^FE_ESTIMATE(EBIT,MEAN,CALA_ROLL,2027,45768,,,'')":1396.0302,"CDW^FG_PRICE(45768)":148.42,"EQIX^FE_ESTIMATE(SALES,MEAN,NTM4,,45768,,,'')":9125.028,"NVDA^FE_ESTIMATE(SALES,MEAN,CAL4,2024,45768,,,'')":130497.0,"NVDA^FE_ESTIMATE(SALES,MEAN,CALA_ROLL,2027,45768,,,'')":286397.72,"IBM^FE_ESTIMATE(EBIT,MEAN,NTM4,,45768,,,'')":12221.485,"CDW^FE_ESTIMATE(SALES,MEAN,CAL4,2024,45768,,,'')":20998.7,"EQIX^FE_ESTIMATE(SALES,MEAN,CAL4,2023,45768,,,'')":8188.136,"NVDA^FE_ESTIMATE(SALES,MEAN,CAL4,2025,45768,,,'')":199630.06,"MSFT^FE_ESTIMATE(SALES,MEAN,CAL4,2023,45768,,,'')":227583.0,"ARW^FE_ESTIMATE(EBITDA,MEAN,LTM4,,45768,,,'')":1151.0667,"EQIX^FE_ESTIMATE(EBIT,MEAN,CAL4,2025,45768,,,'')":1896.0947,"DOCN^FE_ESTIMATE(SALES,MEAN,CALA_ROLL,2027,45768,,,'')":1167.2197,"ORCL^FE_ESTIMATE(SALES,MEAN,LTM4,,45768,,,'')":55783.0,"EQIX^FE_ESTIMATE(EBITDA,MEAN,NTM4,,45768,,,'')":4442.692,"SNX^FE_ESTIMATE(EBIT,MEAN,LTM4,,45768,,,'')":1597.6228,"AMZN^FE_ESTIMATE(EBIT,MEAN,CAL4,2026,45768,,,'')":94986.36,"AVT^FE_ESTIMATE(SALES,MEAN,LTM4,,45768,,,'')":22484.129,"IBM^FE_ESTIMATE(SALES,MEAN,CAL4,2024,45768,,,'')":62753.0,"DLR^FE_ESTIMATE(SALES,MEAN,CAL4,2026,45768,,,'')":6420.411,"CRWV^FE_ESTIMATE(ARR,MEAN,QUARTERLY_ROLL,2029/3F,45689,,,'')":null,"CRWV^FE_ESTIMATE(ARR,MEAN,ANNUAL_ROLL,2028,45689,,,'')":null,"CRWV^FE_ESTIMATE(ARR,MEAN,QUARTERLY_ROLL,2028/2F,45689,,,'')":null,"CRWV^FE_ESTIMATE(ARR,MEAN,QUARTERLY_ROLL,2027/4F,45689,,,'')":null,"CRWV^FE_ESTIMATE(ARR,MEAN,QUARTERLY_ROLL,2027/1F,45689,,,'')":null,"CRWV^FE_ESTIMATE(ARR,MEAN,QUARTERLY_ROLL,2026/3F,45689,,,'')":null,"CRWV^FE_ESTIMATE(ARR,MEAN,ANNUAL_ROLL,2025,45689,,,'')":null,"CRWV^FE_ESTIMATE(ARR,MEAN,QUARTERLY_ROLL,2025/2F,45689,,,'')":null,"CRWV^FE_ESTIMATE(ARR,MEAN,QUARTERLY_ROLL,2024/4F,45689,,,'')":null,"CRWV^FE_ESTIMATE(ARR,MEAN,ANNUAL_ROLL,2029,45689,,,'')":null,"CRWV^FE_ESTIMATE(ARR,MEAN,QUARTERLY_ROLL,2029/4F,45689,,,'')":null,"CRWV^FE_ESTIMATE(ARR,MEAN,ANNUAL_ROLL,2027,45689,,,'')":null,"CRWV^FE_ESTIMATE(ARR,MEAN,QUARTERLY_ROLL,2026/1F,45689,,,'')":null,"CRWV^FE_ESTIMATE(ARR,MEAN,QUARTERLY_ROLL,2024/2F,45689,,,'')":null,"CRWV^FE_ESTIMATE(ARR,MEAN,QUARTERLY_ROLL,2023/1F,45689,,,'')":null,"CRWV^FE_ESTIMATE(NEW_ORDERS_VALUE,MEAN,QUARTERLY_ROLL,2029/2F,45689,,,'')":null,"CRWV^FE_ESTIMATE(NEW_ORDERS_VALUE,MEAN,QUARTERLY_ROLL,2027/2F,45689,,,'')":null,"CRWV^FE_ESTIMATE(NEW_ORDERS_VALUE,MEAN,QUARTERLY_ROLL,2025/3F,45689,,,'')":null,"CRWV^FE_ESTIMATE(NEW_ORDERS_VALUE,MEAN,QUARTERLY_ROLL,2023/4F,45689,,,'')":null,"CRWV^FE_ESTIMATE(DEFREVENUE,MEAN,QUARTERLY_ROLL,2029/2F,45689,,,'')":null,"CRWV^FE_ESTIMATE(DEFREVENUE,MEAN,QUARTERLY_ROLL,2027/3F,45689,,,'')":null,"CRWV^FE_ESTIMATE(DEFREVENUE,MEAN,QUARTERLY_ROLL,2025/4F,45689,,,'')":null,"CRWV^FE_ESTIMATE(DEFREVENUE,MEAN,ANNUAL_ROLL,2023,45689,,,'')":null,"CRWV^FE_ESTIMATE(DEFREVENUE,MEAN,QUARTERLY_ROLL,2022/1F,45689,,,'')":null,"CRWV^FE_ESTIMATE(DEFREVENUE_LT,MEAN,QUARTERLY_ROLL,2029/3F,45689,,,'')":null,"CRWV^FE_ESTIMATE(DEFREVENUE_LT,MEAN,QUARTERLY_ROLL,2027/4F,45689,,,'')":null,"CRWV^FE_ESTIMATE(DEFREVENUE_LT,MEAN,QUARTERLY_ROLL,2025/2F,45689,,,'')":null,"CRWV^FE_ESTIMATE(DEFREVENUE_LT,MEAN,QUARTERLY_ROLL,2024/3F,45689,,,'')":null,"CRWV^FE_ESTIMATE(DEFREVENUE_LT,MEAN,QUARTERLY_ROLL,2023/1F,45689,,,'')":null,"CRWV^FE_ESTIMATE(DEFREVENUE_ST,MEAN,QUARTERLY_ROLL,2029/1F,45689,,,'')":null,"CRWV^FE_ESTIMATE(DEFREVENUE_ST,MEAN,QUARTERLY_ROLL,2028/2F,45689,,,'')":null,"CRWV^FE_ESTIMATE(DEFREVENUE_ST,MEAN,ANNUAL_ROLL,2026,45689,,,'')":null,"CRWV^FE_ESTIMATE(DEFREVENUE_ST,MEAN,QUARTERLY_ROLL,2025/3F,45689,,,'')":null,"CRWV^FE_ESTIMATE(DEFREVENUE_ST,MEAN,QUARTERLY_ROLL,2024/4F,45689,,,'')":null,"CRWV^FE_ESTIMATE(DEFREVENUE_ST,MEAN,QUARTERLY_ROLL,2023/2F,45689,,,'')":null,"CRWV^FE_ESTIMATE(DEFREVENUE_ST,MEAN,QUARTERLY_ROLL,2022/4F,45689,,,'')":null,"CRWV^FE_ESTIMATE(DEFREVENUE_ST,MEAN,QUARTERLY_ROLL,2022/1F,45689,,,'')":null,"CRWV^FE_ESTIMATE(FCF,MEAN,QUARTERLY_ROLL,2029/3F,45689,,,'')":null,"CRWV^FE_ESTIMATE(FCF,MEAN,ANNUAL_ROLL,2028,45689,,,'')":null,"CRWV^FE_ESTIMATE(FCF,MEAN,QUARTERLY_ROLL,2028/2F,45689,,,'')":null,"CRWV^FE_ESTIMATE(FCF,MEAN,QUARTERLY_ROLL,2027/4F,45689,,,'')":null,"CRWV^FE_ESTIMATE(FCF,MEAN,QUARTERLY_ROLL,2027/1F,45689,,,'')":null,"CRWV^FE_ESTIMATE(FCF,MEAN,QUARTERLY_ROLL,2026/3F,45689,,,'')":null,"CRWV^FE_ESTIMATE(FCF,MEAN,ANNUAL_ROLL,2025,45689,,,'')":null,"CRWV^FE_ESTIMATE(FCF,MEAN,QUARTERLY_ROLL,2025/2F,45689,,,'')":null,"CRWV^FE_ESTIMATE(FCF,MEAN,QUARTERLY_ROLL,2024/4F,45689,,,'')":null,"CRWV^FE_ESTIMATE(FCF,MEAN,QUARTERLY_ROLL,2024/1F,45689,,,'')":null,"CRWV^FE_ESTIMATE(FCF,MEAN,QUARTERLY_ROLL,2023/3F,45689,,,'')":null,"CRWV^FE_ESTIMATE(FCF,MEAN,ANNUAL_ROLL,2022,45689,,,'')":null,"CRWV^FE_ESTIMATE(FCF,MEAN,QUARTERLY_ROLL,2022/2F,45689,,,'')":null,"CRWV^FE_ESTIMATE(CAPEX,MEAN,QUARTERLY_ROLL,2029/4F,45689,,,'')":null,"CRWV^FE_ESTIMATE(CAPEX,MEAN,QUARTERLY_ROLL,2029/1F,45689,,,'')":null,"CRWV^FE_ESTIMATE(ARR,MEAN,QUARTERLY_ROLL,2029/2F,45689,,,'')":null,"CRWV^FE_ESTIMATE(ARR,MEAN,QUARTERLY_ROLL,2027/3F,45689,,,'')":null,"CRWV^FE_ESTIMATE(ARR,MEAN,QUARTERLY_ROLL,2025/4F,45689,,,'')":null,"CRWV^FE_ESTIMATE(ARR,MEAN,QUARTERLY_ROLL,2024/1F,45689,,,'')":null,"CRWV^FE_ESTIMATE(ARR,MEAN,ANNUAL_ROLL,2022,45689,,,'')":null,"CRWV^FE_ESTIMATE(NEW_ORDERS_VALUE,MEAN,QUARTERLY_ROLL,2029/1F,45689,,,'')":null,"CRWV^FE_ESTIMATE(NEW_ORDERS_VALUE,MEAN,QUARTERLY_ROLL,2028/1F,45689,,,'')":null,"CRWV^FE_ESTIMATE(NEW_ORDERS_VALUE,MEAN,QUARTERLY_ROLL,2027/1F,45689,,,'')":null,"CRWV^FE_ESTIMATE(NEW_ORDERS_VALUE,MEAN,QUARTERLY_ROLL,2026/2F,45689,,,'')":null,"CRWV^FE_ESTIMATE(NEW_ORDERS_VALUE,MEAN,QUARTERLY_ROLL,2025/2F,45689,,,'')":null,"CRWV^FE_ESTIMATE(NEW_ORDERS_VALUE,MEAN,QUARTERLY_ROLL,2024/3F,45689,,,'')":null,"CRWV^FE_ESTIMATE(NEW_ORDERS_VALUE,MEAN,QUARTERLY_ROLL,2023/3F,45689,,,'')":null,"CRWV^FE_ESTIMATE(NEW_ORDERS_VALUE,MEAN,QUARTERLY_ROLL,2022/4F,45689,,,'')":null,"CRWV^FE_ESTIMATE(DEFREVENUE,MEAN,QUARTERLY_ROLL,2029/1F,45689,,,'')":null,"CRWV^FE_ESTIMATE(DEFREVENUE,MEAN,QUARTERLY_ROLL,2028/2F,45689,,,'')":null,"CRWV^FE_ESTIMATE(DEFREVENUE,MEAN,QUARTERLY_ROLL,2027/2F,45689,,,'')":null,"CRWV^FE_ESTIMATE(DEFREVENUE,MEAN,QUARTERLY_ROLL,2026/3F,45689,,,'')":null,"CRWV^FE_ESTIMATE(DEFREVENUE,MEAN,QUARTERLY_ROLL,2025/3F,45689,,,'')":null,"CRWV^FE_ESTIMATE(DEFREVENUE,MEAN,QUARTERLY_ROLL,2024/4F,45689,,,'')":null,"CRWV^FE_ESTIMATE(DEFREVENUE,MEAN,QUARTERLY_ROLL,2023/4F,45689,,,'')":null,"CRWV^FE_ESTIMATE(DEFREVENUE,MEAN,ANNUAL_ROLL,2022,45689,,,'')":null,"CRWV^FE_ESTIMATE(DEFREVENUE_LT,MEAN,QUARTERLY_ROLL,2029/2F,45689,,,'')":null,"CRWV^FE_ESTIMATE(DEFREVENUE_LT,MEAN,QUARTERLY_ROLL,2028/3F,45689,,,'')":null,"CRWV^FE_ESTIMATE(DEFREVENUE_LT,MEAN,QUARTERLY_ROLL,2027/3F,45689,,,'')":null,"CRWV^FE_ESTIMATE(DEFREVENUE_LT,MEAN,QUARTERLY_ROLL,2026/4F,45689,,,'')":null,"CRWV^FE_ESTIMATE(DEFREVENUE_LT,MEAN,ANNUAL_ROLL,2025,45689,,,'')":null,"CRWV^FE_ESTIMATE(DEFREVENUE_LT,MEAN,QUARTERLY_ROLL,2025/1F,45689,,,'')":null,"CRWV^FE_ESTIMATE(DEFREVENUE_LT,MEAN,QUARTERLY_ROLL,2023/4F,45689,,,'')":null,"CRWV^FE_ESTIMATE(DEFREVENUE_LT,MEAN,QUARTERLY_ROLL,2022/2F,45689,,,'')":null,"CRWV^FE_ESTIMATE(DEFREVENUE_ST,MEAN,QUARTERLY_ROLL,2029/4F,45689,,,'')":null,"CRWV^FE_ESTIMATE(ARR,MEAN,QUARTERLY_ROLL,2029/1F,45689,,,'')":null,"CRWV^FE_ESTIMATE(ARR,MEAN,QUARTERLY_ROLL,2027/2F,45689,,,'')":null,"CRWV^FE_ESTIMATE(ARR,MEAN,QUARTERLY_ROLL,2025/3F,45689,,,'')":null,"CRWV^FE_ESTIMATE(ARR,MEAN,ANNUAL_ROLL,2023,45689,,,'')":null,"CRWV^FE_ESTIMATE(ARR,MEAN,QUARTERLY_ROLL,2022/4F,45689,,,'')":null,"CRWV^FE_ESTIMATE(NEW_ORDERS_VALUE,MEAN,ANNUAL_ROLL,2028,45689,,,'')":null,"CRWV^FE_ESTIMATE(NEW_ORDERS_VALUE,MEAN,ANNUAL_ROLL,2027,45689,,,'')":null,"CRWV^FE_ESTIMATE(NEW_ORDERS_VALUE,MEAN,QUARTERLY_ROLL,2026/1F,45689,,,'')":null,"CRWV^FE_ESTIMATE(NEW_ORDERS_VALUE,MEAN,QUARTERLY_ROLL,2024/2F,45689,,,'')":null,"CRWV^FE_ESTIMATE(NEW_ORDERS_VALUE,MEAN,QUARTERLY_ROLL,2022/3F,45689,,,'')":null,"CRWV^FE_ESTIMATE(DEFREVENUE,MEAN,ANNUAL_ROLL,2029,45689,,,'')":null,"CRWV^FE_ESTIMATE(DEFREVENUE,MEAN,QUARTERLY_ROLL,2028/1F,45689,,,'')":null,"CRWV^FE_ESTIMATE(DEFREVENUE,MEAN,QUARTERLY_ROLL,2026/2F,45689,,,'')":null,"CRWV^FE_ESTIMATE(DEFREVENUE,MEAN,QUARTERLY_ROLL,2024/3F,45689,,,'')":null,"CRWV^FE_ESTIMATE(DEFREVENUE,MEAN,QUARTERLY_ROLL,2022/4F,45689,,,'')":null,"CRWV^FE_ESTIMATE(DEFREVENUE_LT,MEAN,QUARTERLY_ROLL,2028/2F,45689,,,'')":null,"CRWV^FE_ESTIMATE(DEFREVENUE_LT,MEAN,QUARTERLY_ROLL,2026/3F,45689,,,'')":null,"CRWV^FE_ESTIMATE(DEFREVENUE_LT,MEAN,QUARTERLY_ROLL,2025/4F,45689,,,'')":null,"CRWV^FE_ESTIMATE(DEFREVENUE_LT,MEAN,QUARTERLY_ROLL,2024/2F,45689,,,'')":null,"CRWV^FE_ESTIMATE(DEFREVENUE_LT,MEAN,ANNUAL_ROLL,2022,45689,,,'')":null,"CRWV^FE_ESTIMATE(DEFREVENUE_LT,MEAN,QUARTERLY_ROLL,2022/1F,45689,,,'')":null,"CRWV^FE_ESTIMATE(DEFREVENUE_ST,MEAN,QUARTERLY_ROLL,2029/3F,45689,,,'')":null,"CRWV^FE_ESTIMATE(DEFREVENUE_ST,MEAN,QUARTERLY_ROLL,2028/1F,45689,,,'')":null,"CRWV^FE_ESTIMATE(DEFREVENUE_ST,MEAN,QUARTERLY_ROLL,2026/4F,45689,,,'')":null,"CRWV^FE_ESTIMATE(DEFREVENUE_ST,MEAN,ANNUAL_ROLL,2025,45689,,,'')":null,"CRWV^FE_ESTIMATE(DEFREVENUE_ST,MEAN,QUARTERLY_ROLL,2024/3F,45689,,,'')":null,"CRWV^FE_ESTIMATE(ARR,MEAN,QUARTERLY_ROLL,2028/4F,45689,,,'')":null,"CRWV^FE_ESTIMATE(ARR,MEAN,ANNUAL_ROLL,2026,45689,,,'')":null,"CRWV^FE_ESTIMATE(ARR,MEAN,QUARTERLY_ROLL,2025/1F,45689,,,'')":null,"CRWV^FE_ESTIMATE(ARR,MEAN,QUARTERLY_ROLL,2023/4F,45689,,,'')":null,"CRWV^FE_ESTIMATE(ARR,MEAN,QUARTERLY_ROLL,2022/3F,45689,,,'')":null,"CRWV^FE_ESTIMATE(NEW_ORDERS_VALUE,MEAN,ANNUAL_ROLL,2029,45689,,,'')":null,"CRWV^FE_ESTIMATE(NEW_ORDERS_VALUE,MEAN,QUARTERLY_ROLL,2028/4F,45689,,,'')":null,"CRWV^FE_ESTIMATE(NEW_ORDERS_VALUE,MEAN,QUARTERLY_ROLL,2027/4F,45689,,,'')":null,"CRWV^FE_ESTIMATE(NEW_ORDERS_VALUE,MEAN,ANNUAL_ROLL,2026,45689,,,'')":null,"CRWV^FE_ESTIMATE(NEW_ORDERS_VALUE,MEAN,ANNUAL_ROLL,2025,45689,,,'')":null,"CRWV^FE_ESTIMATE(NEW_ORDERS_VALUE,MEAN,QUARTERLY_ROLL,2025/1F,45689,,,'')":null,"CRWV^FE_ESTIMATE(NEW_ORDERS_VALUE,MEAN,QUARTERLY_ROLL,2024/1F,45689,,,'')":null,"CRWV^FE_ESTIMATE(NEW_ORDERS_VALUE,MEAN,QUARTERLY_ROLL,2023/2F,45689,,,'')":null,"CRWV^FE_ESTIMATE(NEW_ORDERS_VALUE,MEAN,QUARTERLY_ROLL,2022/2F,45689,,,'')":null,"CRWV^FE_ESTIMATE(DEFREVENUE,MEAN,QUARTERLY_ROLL,2029/4F,45689,,,'')":null,"CRWV^FE_ESTIMATE(DEFREVENUE,MEAN,ANNUAL_ROLL,2028,45689,,,'')":null,"CRWV^FE_ESTIMATE(DEFREVENUE,MEAN,ANNUAL_ROLL,2027,45689,,,'')":null,"CRWV^FE_ESTIMATE(DEFREVENUE,MEAN,QUARTERLY_ROLL,2027/1F,45689,,,'')":null,"CRWV^FE_ESTIMATE(DEFREVENUE,MEAN,QUARTERLY_ROLL,2026/1F,45689,,,'')":null,"CRWV^FE_ESTIMATE(DEFREVENUE,MEAN,QUARTERLY_ROLL,2025/2F,45689,,,'')":null,"CRWV^FE_ESTIMATE(DEFREVENUE,MEAN,QUARTERLY_ROLL,2024/2F,45689,,,'')":null,"CRWV^FE_ESTIMATE(DEFREVENUE,MEAN,QUARTERLY_ROLL,2023/3F,45689,,,'')":null,"CRWV^FE_ESTIMATE(DEFREVENUE,MEAN,QUARTERLY_ROLL,2022/3F,45689,,,'')":null,"CRWV^FE_ESTIMATE(DEFREVENUE_LT,MEAN,ANNUAL_ROLL,2029,45689,,,'')":null,"CRWV^FE_ESTIMATE(DEFREVENUE_LT,MEAN,QUARTERLY_ROLL,2029/1F,45689,,,'')":null,"CRWV^FE_ESTIMATE(DEFREVENUE_LT,MEAN,QUARTERLY_ROLL,2028/1F,45689,,,'')":null,"CRWV^FE_ESTIMATE(DEFREVENUE_LT,MEAN,QUARTERLY_ROLL,2027/2F,45689,,,'')":null,"CRWV^FE_ESTIMATE(DEFREVENUE_LT,MEAN,QUARTERLY_ROLL,2026/2F,45689,,,'')":null,"CRWV^FE_ESTIMATE(ARR,MEAN,QUARTERLY_ROLL,2028/3F,45689,,,'')":null,"CRWV^FE_ESTIMATE(ARR,MEAN,QUARTERLY_ROLL,2026/4F,45689,,,'')":null,"CRWV^FE_ESTIMATE(ARR,MEAN,ANNUAL_ROLL,2024,45689,,,'')":null,"CRWV^FE_ESTIMATE(ARR,MEAN,QUARTERLY_ROLL,2023/3F,45689,,,'')":null,"CRWV^FE_ESTIMATE(ARR,MEAN,QUARTERLY_ROLL,2022/2F,45689,,,'')":null,"CRWV^FE_ESTIMATE(NEW_ORDERS_VALUE,MEAN,QUARTERLY_ROLL,2029/4F,45689,,,'')":null,"CRWV^FE_ESTIMATE(NEW_ORDERS_VALUE,MEAN,QUARTERLY_ROLL,2028/3F,45689,,,'')":null,"CRWV^FE_ESTIMATE(NEW_ORDERS_VALUE,MEAN,QUARTERLY_ROLL,2026/4F,45689,,,'')":null,"CRWV^FE_ESTIMATE(NEW_ORDERS_VALUE,MEAN,ANNUAL_ROLL,2024,45689,,,'')":null,"CRWV^FE_ESTIMATE(NEW_ORDERS_VALUE,MEAN,QUARTERLY_ROLL,2023/1F,45689,,,'')":null,"CRWV^FE_ESTIMATE(DEFREVENUE,MEAN,QUARTERLY_ROLL,2028/4F,45689,,,'')":null,"CRWV^FE_ESTIMATE(DEFREVENUE,MEAN,ANNUAL_ROLL,2026,45689,,,'')":null,"CRWV^FE_ESTIMATE(DEFREVENUE,MEAN,QUARTERLY_ROLL,2025/1F,45689,,,'')":null,"CRWV^FE_ESTIMATE(DEFREVENUE,MEAN,QUARTERLY_ROLL,2023/2F,45689,,,'')":null,"CRWV^FE_ESTIMATE(DEFREVENUE_LT,MEAN,ANNUAL_ROLL,2028,45689,,,'')":null,"CRWV^FE_ESTIMATE(DEFREVENUE_LT,MEAN,QUARTERLY_ROLL,2027/1F,45689,,,'')":null,"CRWV^FE_ESTIMATE(DEFREVENUE_LT,MEAN,QUARTERLY_ROLL,2025/3F,45689,,,'')":null,"CRWV^FE_ESTIMATE(DEFREVENUE_LT,MEAN,QUARTERLY_ROLL,2024/1F,45689,,,'')":null,"CRWV^FE_ESTIMATE(DEFREVENUE_LT,MEAN,QUARTERLY_ROLL,2023/2F,45689,,,'')":null,"CRWV^FE_ESTIMATE(DEFREVENUE_ST,MEAN,QUARTERLY_ROLL,2029/2F,45689,,,'')":null,"CRWV^FE_ESTIMATE(DEFREVENUE_ST,MEAN,ANNUAL_ROLL,2027,45689,,,'')":null,"CRWV^FE_ESTIMATE(DEFREVENUE_ST,MEAN,QUARTERLY_ROLL,2027/1F,45689,,,'')":null,"CRWV^FE_ESTIMATE(DEFREVENUE_ST,MEAN,QUARTERLY_ROLL,2025/4F,45689,,,'')":null,"CRWV^FE_ESTIMATE(DEFREVENUE_ST,MEAN,QUARTERLY_ROLL,2024/2F,45689,,,'')":null,"CRWV^FE_ESTIMATE(DEFREVENUE_ST,MEAN,QUARTERLY_ROLL,2023/3F,45689,,,'')":null,"CRWV^FE_ESTIMATE(DEFREVENUE_ST,MEAN,ANNUAL_ROLL,2022,45689,,,'')":null,"CRWV^FE_ESTIMATE(DEFREVENUE_ST,MEAN,QUARTERLY_ROLL,2022/2F,45689,,,'')":null,"CRWV^FE_ESTIMATE(FCF,MEAN,QUARTERLY_ROLL,2029/4F,45689,,,'')":null,"CRWV^FE_ESTIMATE(FCF,MEAN,QUARTERLY_ROLL,2029/1F,45689,,,'')":null,"CRWV^FE_ESTIMATE(ARR,MEAN,QUARTERLY_ROLL,2028/1F,45689,,,'')":null,"CRWV^FE_ESTIMATE(ARR,MEAN,QUARTERLY_ROLL,2026/2F,45689,,,'')":null,"CRWV^FE_ESTIMATE(ARR,MEAN,QUARTERLY_ROLL,2024/3F,45689,,,'')":null,"CRWV^FE_ESTIMATE(ARR,MEAN,QUARTERLY_ROLL,2023/2F,45689,,,'')":null,"CRWV^FE_ESTIMATE(ARR,MEAN,QUARTERLY_ROLL,2022/1F,45689,,,'')":null,"CRWV^FE_ESTIMATE(NEW_ORDERS_VALUE,MEAN,QUARTERLY_ROLL,2029/3F,45689,,,'')":null,"CRWV^FE_ESTIMATE(NEW_ORDERS_VALUE,MEAN,QUARTERLY_ROLL,2028/2F,45689,,,'')":null,"CRWV^FE_ESTIMATE(NEW_ORDERS_VALUE,MEAN,QUARTERLY_ROLL,2027/3F,45689,,,'')":null,"CRWV^FE_ESTIMATE(NEW_ORDERS_VALUE,MEAN,QUARTERLY_ROLL,2026/3F,45689,,,'')":null,"CRWV^FE_ESTIMATE(NEW_ORDERS_VALUE,MEAN,QUARTERLY_ROLL,2025/4F,45689,,,'')":null,"CRWV^FE_ESTIMATE(NEW_ORDERS_VALUE,MEAN,QUARTERLY_ROLL,2024/4F,45689,,,'')":null,"CRWV^FE_ESTIMATE(NEW_ORDERS_VALUE,MEAN,ANNUAL_ROLL,2023,45689,,,'')":null,"CRWV^FE_ESTIMATE(NEW_ORDERS_VALUE,MEAN,ANNUAL_ROLL,2022,45689,,,'')":null,"CRWV^FE_ESTIMATE(NEW_ORDERS_VALUE,MEAN,QUARTERLY_ROLL,2022/1F,45689,,,'')":null,"CRWV^FE_ESTIMATE(DEFREVENUE,MEAN,QUARTERLY_ROLL,2029/3F,45689,,,'')":null,"CRWV^FE_ESTIMATE(DEFREVENUE,MEAN,QUARTERLY_ROLL,2028/3F,45689,,,'')":null,"CRWV^FE_ESTIMATE(DEFREVENUE,MEAN,QUARTERLY_ROLL,2027/4F,45689,,,'')":null,"CRWV^FE_ESTIMATE(DEFREVENUE,MEAN,QUARTERLY_ROLL,2026/4F,45689,,,'')":null,"CRWV^FE_ESTIMATE(DEFREVENUE,MEAN,ANNUAL_ROLL,2025,45689,,,'')":null,"CRWV^FE_ESTIMATE(DEFREVENUE,MEAN,ANNUAL_ROLL,2024,45689,,,'')":null,"CRWV^FE_ESTIMATE(DEFREVENUE,MEAN,QUARTERLY_ROLL,2024/1F,45689,,,'')":null,"CRWV^FE_ESTIMATE(DEFREVENUE,MEAN,QUARTERLY_ROLL,2023/1F,45689,,,'')":null,"CRWV^FE_ESTIMATE(DEFREVENUE,MEAN,QUARTERLY_ROLL,2022/2F,45689,,,'')":null,"CRWV^FE_ESTIMATE(DEFREVENUE_LT,MEAN,QUARTERLY_ROLL,2029/4F,45689,,,'')":null,"CRWV^FE_ESTIMATE(DEFREVENUE_LT,MEAN,QUARTERLY_ROLL,2028/4F,45689,,,'')":null,"CRWV^FE_ESTIMATE(DEFREVENUE_LT,MEAN,ANNUAL_ROLL,2027,45689,,,'')":null,"CRWV^FE_ESTIMATE(DEFREVENUE_LT,MEAN,ANNUAL_ROLL,2026,45689,,,'')":null,"CRWV^FE_ESTIMATE(DEFREVENUE_LT,MEAN,QUARTERLY_ROLL,2026/1F,45689,,,'')":null,"CRWV^FE_ESTIMATE(DEFREVENUE_LT,MEAN,QUARTERLY_ROLL,2024/4F,45689,,,'')":null,"CRWV^FE_ESTIMATE(DEFREVENUE_LT,MEAN,ANNUAL_ROLL,2023,45689,,,'')":null,"CRWV^FE_ESTIMATE(DEFREVENUE_LT,MEAN,QUARTERLY_ROLL,2022/3F,45689,,,'')":null,"CRWV^FE_ESTIMATE(DEFREVENUE_ST,MEAN,ANNUAL_ROLL,2029,45689,,,'')":null,"CRWV^FE_ESTIMATE(DEFREVENUE_ST,MEAN,QUARTERLY_ROLL,2028/3F,45689,,,'')":null,"CRWV^FE_ESTIMATE(DEFREVENUE_ST,MEAN,QUARTERLY_ROLL,2027/4F,45689,,,'')":null,"CRWV^FE_ESTIMATE(DEFREVENUE_ST,MEAN,QUARTERLY_ROLL,2026/2F,45689,,,'')":null,"CRWV^FE_ESTIMATE(DEFREVENUE_ST,MEAN,ANNUAL_ROLL,2024,45689,,,'')":null,"CRWV^FE_ESTIMATE(DEFREVENUE_ST,MEAN,QUARTERLY_ROLL,2024/1F,45689,,,'')":null,"CRWV^FE_ESTIMATE(DEFREVENUE_ST,MEAN,ANNUAL_ROLL,2028,45689,,,'')":null,"CRWV^FE_ESTIMATE(DEFREVENUE_ST,MEAN,QUARTERLY_ROLL,2023/1F,45689,,,'')":null,"CRWV^FE_ESTIMATE(FCF,MEAN,QUARTERLY_ROLL,2029/2F,45689,,,'')":null,"CRWV^FE_ESTIMATE(CAPEX,MEAN,QUARTERLY_ROLL,2028/3F,45689,,,'')":null,"CRWV^FE_ESTIMATE(CAPEX,MEAN,QUARTERLY_ROLL,2027/1F,45689,,,'')":null,"CRWV^FE_ESTIMATE(CAPEX,MEAN,QUARTERLY_ROLL,2025/4F,45689,,,'')":null,"CRWV^FE_ESTIMATE(CAPEX,MEAN,ANNUAL_ROLL,2024,45689,,,'')":null,"CRWV^FE_ESTIMATE(CAPEX,MEAN,QUARTERLY_ROLL,2023/3F,45689,,,'')":null,"CRWV^FE_ESTIMATE(CAPEX,MEAN,QUARTERLY_ROLL,2022/1F,45689,,,'')":null,"CRWV^FE_ESTIMATE(CFO,MEAN,QUARTERLY_ROLL,2029/3F,45689,,,'')":null,"CRWV^FE_ESTIMATE(CFO,MEAN,QUARTERLY_ROLL,2028/4F,45689,,,'')":null,"CRWV^FE_ESTIMATE(CFO,MEAN,QUARTERLY_ROLL,2028/1F,45689,,,'')":null,"CRWV^FE_ESTIMATE(CFO,MEAN,QUARTERLY_ROLL,2027/3F,45689,,,'')":null,"CRWV^FE_ESTIMATE(CFO,MEAN,ANNUAL_ROLL,2026,45689,,,'')":null,"CRWV^FE_ESTIMATE(CFO,MEAN,QUARTERLY_ROLL,2026/2F,45689,,,'')":null,"CRWV^FE_ESTIMATE(CFO,MEAN,QUARTERLY_ROLL,2025/4F,45689,,,'')":null,"CRWV^FE_ESTIMATE(CFO,MEAN,QUARTERLY_ROLL,2025/1F,45689,,,'')":null,"CRWV^FE_ESTIMATE(CFO,MEAN,QUARTERLY_ROLL,2024/3F,45689,,,'')":null,"CRWV^FE_ESTIMATE(CFO,MEAN,ANNUAL_ROLL,2023,45689,,,'')":null,"CRWV^FE_ESTIMATE(CFO,MEAN,QUARTERLY_ROLL,2023/2F,45689,,,'')":null,"CRWV^FE_ESTIMATE(CFO,MEAN,QUARTERLY_ROLL,2022/4F,45689,,,'')":null,"CRWV^FE_ESTIMATE(CFO,MEAN,QUARTERLY_ROLL,2022/1F,45689,,,'')":null,"CRWV^FE_ESTIMATE(EPS,MEAN,QUARTERLY_ROLL,2029/3F,45689,,,'')":null,"CRWV^FE_ESTIMATE(DEFREVENUE_ST,MEAN,QUARTERLY_ROLL,2028/4F,45689,,,'')":null,"CRWV^FE_ESTIMATE(DEFREVENUE_ST,MEAN,QUARTERLY_ROLL,2026/3F,45689,,,'')":null,"CRWV^FE_ESTIMATE(FCF,MEAN,QUARTERLY_ROLL,2028/1F,45689,,,'')":null,"CRWV^FE_ESTIMATE(FCF,MEAN,QUARTERLY_ROLL,2027/2F,45689,,,'')":null,"CRWV^FE_ESTIMATE(FCF,MEAN,QUARTERLY_ROLL,2026/2F,45689,,,'')":null,"CRWV^FE_ESTIMATE(FCF,MEAN,QUARTERLY_ROLL,2025/3F,45689,,,'')":null,"CRWV^FE_ESTIMATE(FCF,MEAN,QUARTERLY_ROLL,2024/3F,45689,,,'')":null,"CRWV^FE_ESTIMATE(FCF,MEAN,QUARTERLY_ROLL,2023/4F,45689,,,'')":null,"CRWV^FE_ESTIMATE(FCF,MEAN,QUARTERLY_ROLL,2022/4F,45689,,,'')":null,"CRWV^FE_ESTIMATE(CAPEX,MEAN,QUARTERLY_ROLL,2029/2F,45689,,,'')":null,"CRWV^FE_ESTIMATE(CAPEX,MEAN,QUARTERLY_ROLL,2027/4F,45689,,,'')":null,"CRWV^FE_ESTIMATE(CAPEX,MEAN,QUARTERLY_ROLL,2026/2F,45689,,,'')":null,"CRWV^FE_ESTIMATE(CAPEX,MEAN,QUARTERLY_ROLL,2025/3F,45689,,,'')":null,"CRWV^FE_ESTIMATE(CAPEX,MEAN,QUARTERLY_ROLL,2024/1F,45689,,,'')":null,"CRWV^FE_ESTIMATE(CAPEX,MEAN,QUARTERLY_ROLL,2022/4F,45689,,,'')":null,"CRWV^FE_ESTIMATE(CFO,MEAN,QUARTERLY_ROLL,2029/2F,45689,,,'')":null,"CRWV^FE_ESTIMATE(EPS,MEAN,QUARTERLY_ROLL,2029/2F,45689,,,'')":null,"CRWV^FE_ESTIMATE(EPS,MEAN,QUARTERLY_ROLL,2028/1F,45689,,,'')":null,"CRWV^FE_ESTIMATE(EPS,MEAN,QUARTERLY_ROLL,2026/2F,45689,,,'')":null,"CRWV^FE_ESTIMATE(EPS,MEAN,QUARTERLY_ROLL,2025/1F,45689,,,'')":null,"CRWV^FE_ESTIMATE(DEFREVENUE_LT,MEAN,ANNUAL_ROLL,2024,45689,,,'')":null,"CRWV^FE_ESTIMATE(DEFREVENUE_ST,MEAN,QUARTERLY_ROLL,2026/1F,45689,,,'')":null,"CRWV^FE_ESTIMATE(DEFREVENUE_ST,MEAN,ANNUAL_ROLL,2023,45689,,,'')":null,"CRWV^FE_ESTIMATE(CAPEX,MEAN,QUARTERLY_ROLL,2028/2F,45689,,,'')":null,"CRWV^FE_ESTIMATE(CAPEX,MEAN,ANNUAL_ROLL,2026,45689,,,'')":null,"CRWV^FE_ESTIMATE(CAPEX,MEAN,QUARTERLY_ROLL,2026/1F,45689,,,'')":null,"CRWV^FE_ESTIMATE(CAPEX,MEAN,QUARTERLY_ROLL,2024/4F,45689,,,'')":null,"CRWV^FE_ESTIMATE(CAPEX,MEAN,QUARTERLY_ROLL,2023/2F,45689,,,'')":null,"CRWV^FE_ESTIMATE(CAPEX,MEAN,QUARTERLY_ROLL,2022/3F,45689,,,'')":null,"CRWV^FE_ESTIMATE(CFO,MEAN,ANNUAL_ROLL,2029,45689,,,'')":null,"CRWV^FE_ESTIMATE(CFO,MEAN,QUARTERLY_ROLL,2028/3F,45689,,,'')":null,"CRWV^FE_ESTIMATE(CFO,MEAN,ANNUAL_ROLL,2027,45689,,,'')":null,"CRWV^FE_ESTIMATE(CFO,MEAN,QUARTERLY_ROLL,2027/2F,45689,,,'')":null,"CRWV^FE_ESTIMATE(CFO,MEAN,QUARTERLY_ROLL,2026/4F,45689,,,'')":null,"CRWV^FE_ESTIMATE(CFO,MEAN,QUARTERLY_ROLL,2026/1F,45689,,,'')":null,"CRWV^FE_ESTIMATE(CFO,MEAN,QUARTERLY_ROLL,2025/3F,45689,,,'')":null,"CRWV^FE_ESTIMATE(CFO,MEAN,ANNUAL_ROLL,2024,45689,,,'')":null,"CRWV^FE_ESTIMATE(CFO,MEAN,QUARTERLY_ROLL,2024/2F,45689,,,'')":null,"CRWV^FE_ESTIMATE(CFO,MEAN,QUARTERLY_ROLL,2023/4F,45689,,,'')":null,"CRWV^FE_ESTIMATE(CFO,MEAN,QUARTERLY_ROLL,2023/1F,45689,,,'')":null,"CRWV^FE_ESTIMATE(CFO,MEAN,QUARTERLY_ROLL,2022/3F,45689,,,'')":null,"CRWV^FE_ESTIMATE(EPS,MEAN,ANNUAL_ROLL,2029,45689,,,'')":null,"CRWV^FE_ESTIMATE(EPS,MEAN,QUARTERLY_ROLL,2028/4F,45689,,,'')":null,"CRWV^FE_ESTIMATE(EPS,MEAN,QUARTERLY_ROLL,2027/3F,45689,,,'')":null,"CRWV^FE_ESTIMATE(EPS,MEAN,ANNUAL_ROLL,2026,45689,,,'')":null,"CRWV^FE_ESTIMATE(EPS,MEAN,QUARTERLY_ROLL,2025/4F,45689,,,'')":null,"CRWV^FE_ESTIMATE(EPS,MEAN,QUARTERLY_ROLL,2024/3F,45689,,,'')":null,"CRWV^FE_ESTIMATE(DEFREVENUE_ST,MEAN,QUARTERLY_ROLL,2022/3F,45689,,,'')":null,"CRWV^FE_ESTIMATE(FCF,MEAN,ANNUAL_ROLL,2029,45689,,,'')":null,"CRWV^FE_ESTIMATE(FCF,MEAN,QUARTERLY_ROLL,2028/4F,45689,,,'')":null,"CRWV^FE_ESTIMATE(FCF,MEAN,ANNUAL_ROLL,2027,45689,,,'')":null,"CRWV^FE_ESTIMATE(FCF,MEAN,ANNUAL_ROLL,2026,45689,,,'')":null,"CRWV^FE_ESTIMATE(FCF,MEAN,QUARTERLY_ROLL,2026/1F,45689,,,'')":null,"CRWV^FE_ESTIMATE(FCF,MEAN,QUARTERLY_ROLL,2025/1F,45689,,,'')":null,"CRWV^FE_ESTIMATE(FCF,MEAN,QUARTERLY_ROLL,2024/2F,45689,,,'')":null,"CRWV^FE_ESTIMATE(FCF,MEAN,QUARTERLY_ROLL,2023/2F,45689,,,'')":null,"CRWV^FE_ESTIMATE(FCF,MEAN,QUARTERLY_ROLL,2022/3F,45689,,,'')":null,"CRWV^FE_ESTIMATE(CAPEX,MEAN,ANNUAL_ROLL,2029,45689,,,'')":null,"CRWV^FE_ESTIMATE(CAPEX,MEAN,ANNUAL_ROLL,2028,45689,,,'')":null,"CRWV^FE_ESTIMATE(CAPEX,MEAN,QUARTERLY_ROLL,2027/3F,45689,,,'')":null,"CRWV^FE_ESTIMATE(CAPEX,MEAN,QUARTERLY_ROLL,2026/4F,45689,,,'')":null,"CRWV^FE_ESTIMATE(CAPEX,MEAN,QUARTERLY_ROLL,2025/2F,45689,,,'')":null,"CRWV^FE_ESTIMATE(CAPEX,MEAN,ANNUAL_ROLL,2023,45689,,,'')":null,"CRWV^FE_ESTIMATE(CAPEX,MEAN,QUARTERLY_ROLL,2023/1F,45689,,,'')":null,"CRWV^FE_ESTIMATE(CFO,MEAN,QUARTERLY_ROLL,2029/1F,45689,,,'')":null,"CRWV^FE_ESTIMATE(DEFREVENUE_LT,MEAN,QUARTERLY_ROLL,2023/3F,45689,,,'')":null,"CRWV^FE_ESTIMATE(DEFREVENUE_ST,MEAN,QUARTERLY_ROLL,2027/3F,45689,,,'')":null,"CRWV^FE_ESTIMATE(DEFREVENUE_ST,MEAN,QUARTERLY_ROLL,2025/2F,45689,,,'')":null,"CRWV^FE_ESTIMATE(DEFREVENUE_ST,MEAN,QUARTERLY_ROLL,2023/4F,45689,,,'')":null,"CRWV^FE_ESTIMATE(CAPEX,MEAN,QUARTERLY_ROLL,2028/1F,45689,,,'')":null,"CRWV^FE_ESTIMATE(CAPEX,MEAN,QUARTERLY_ROLL,2027/2F,45689,,,'')":null,"CRWV^FE_ESTIMATE(CAPEX,MEAN,ANNUAL_ROLL,2025,45689,,,'')":null,"CRWV^FE_ESTIMATE(CAPEX,MEAN,QUARTERLY_ROLL,2024/3F,45689,,,'')":null,"CRWV^FE_ESTIMATE(CAPEX,MEAN,QUARTERLY_ROLL,2023/4F,45689,,,'')":null,"CRWV^FE_ESTIMATE(CAPEX,MEAN,QUARTERLY_ROLL,2022/2F,45689,,,'')":null,"CRWV^FE_ESTIMATE(CFO,MEAN,QUARTERLY_ROLL,2029/4F,45689,,,'')":null,"CRWV^FE_ESTIMATE(CFO,MEAN,QUARTERLY_ROLL,2028/2F,45689,,,'')":null,"CRWV^FE_ESTIMATE(CFO,MEAN,QUARTERLY_ROLL,2027/4F,45689,,,'')":null,"CRWV^FE_ESTIMATE(CFO,MEAN,QUARTERLY_ROLL,2027/1F,45689,,,'')":null,"CRWV^FE_ESTIMATE(CFO,MEAN,QUARTERLY_ROLL,2026/3F,45689,,,'')":null,"CRWV^FE_ESTIMATE(CFO,MEAN,ANNUAL_ROLL,2025,45689,,,'')":null,"CRWV^FE_ESTIMATE(CFO,MEAN,QUARTERLY_ROLL,2025/2F,45689,,,'')":null,"CRWV^FE_ESTIMATE(CFO,MEAN,QUARTERLY_ROLL,2024/4F,45689,,,'')":null,"CRWV^FE_ESTIMATE(CFO,MEAN,QUARTERLY_ROLL,2024/1F,45689,,,'')":null,"CRWV^FE_ESTIMATE(DEFREVENUE_LT,MEAN,QUARTERLY_ROLL,2022/4F,45689,,,'')":null,"CRWV^FE_ESTIMATE(DEFREVENUE_ST,MEAN,QUARTERLY_ROLL,2027/2F,45689,,,'')":null,"CRWV^FE_ESTIMATE(DEFREVENUE_ST,MEAN,QUARTERLY_ROLL,2025/1F,45689,,,'')":null,"CRWV^FE_ESTIMATE(FCF,MEAN,QUARTERLY_ROLL,2028/3F,45689,,,'')":null,"CRWV^FE_ESTIMATE(FCF,MEAN,QUARTERLY_ROLL,2027/3F,45689,,,'')":null,"CRWV^FE_ESTIMATE(FCF,MEAN,QUARTERLY_ROLL,2026/4F,45689,,,'')":null,"CRWV^FE_ESTIMATE(FCF,MEAN,QUARTERLY_ROLL,2025/4F,45689,,,'')":null,"CRWV^FE_ESTIMATE(FCF,MEAN,ANNUAL_ROLL,2024,45689,,,'')":null,"CRWV^FE_ESTIMATE(FCF,MEAN,ANNUAL_ROLL,2023,45689,,,'')":null,"CRWV^FE_ESTIMATE(FCF,MEAN,QUARTERLY_ROLL,2023/1F,45689,,,'')":null,"CRWV^FE_ESTIMATE(FCF,MEAN,QUARTERLY_ROLL,2022/1F,45689,,,'')":null,"CRWV^FE_ESTIMATE(CAPEX,MEAN,QUARTERLY_ROLL,2029/3F,45689,,,'')":null,"CRWV^FE_ESTIMATE(CAPEX,MEAN,QUARTERLY_ROLL,2028/4F,45689,,,'')":null,"CRWV^FE_ESTIMATE(CAPEX,MEAN,ANNUAL_ROLL,2027,45689,,,'')":null,"CRWV^FE_ESTIMATE(CAPEX,MEAN,QUARTERLY_ROLL,2026/3F,45689,,,'')":null,"CRWV^FE_ESTIMATE(CFO,MEAN,ANNUAL_ROLL,2028,45689,,,'')":null,"CRWV^FE_ESTIMATE(EPS,MEAN,QUARTERLY_ROLL,2028/3F,45689,,,'')":null,"CRWV^FE_ESTIMATE(EPS,MEAN,QUARTERLY_ROLL,2027/2F,45689,,,'')":null,"CRWV^FE_ESTIMATE(EPS,MEAN,QUARTERLY_ROLL,2026/1F,45689,,,'')":null,"CRWV^FE_ESTIMATE(EPS,MEAN,ANNUAL_ROLL,2024,45689,,,'')":null,"CRWV^FE_ESTIMATE(EPS,MEAN,ANNUAL_ROLL,2023,45689,,,'')":null,"CRWV^FE_ESTIMATE(EPS,MEAN,QUARTERLY_ROLL,2022/1F,45689,,,'')":null,"CRWV^FE_ESTIMATE(EAG,MEAN,QUARTERLY_ROLL,2029/3F,45689,,,'')":null,"CRWV^FE_ESTIMATE(EAG,MEAN,QUARTERLY_ROLL,2027/4F,45689,,,'')":null,"CRWV^FE_ESTIMATE(EAG,MEAN,ANNUAL_ROLL,2025,45689,,,'')":null,"CRWV^FE_ESTIMATE(EAG,MEAN,QUARTERLY_ROLL,2024/1F,45689,,,'')":null,"CRWV^FE_ESTIMATE(EAG,MEAN,QUARTERLY_ROLL,2022/2F,45689,,,'')":null,"CRWV^FE_ESTIMATE(EBIT,MEAN,QUARTERLY_ROLL,2029/4F,45689,,,'')":null,"CRWV^FE_ESTIMATE(EBIT,MEAN,ANNUAL_ROLL,2027,45689,,,'')":null,"CRWV^FE_ESTIMATE(EBIT,MEAN,QUARTERLY_ROLL,2027/1F,45689,,,'')":null,"CRWV^FE_ESTIMATE(EBIT,MEAN,QUARTERLY_ROLL,2025/4F,45689,,,'')":null,"CRWV^FE_ESTIMATE(EBIT,MEAN,ANNUAL_ROLL,2024,45689,,,'')":null,"CRWV^FE_ESTIMATE(EBIT,MEAN,QUARTERLY_ROLL,2023/3F,45689,,,'')":null,"CRWV^FE_ESTIMATE(EBIT,MEAN,QUARTERLY_ROLL,2022/1F,45689,,,'')":null,"CRWV^FE_ESTIMATE(GROSSINCOME,MEAN,QUARTERLY_ROLL,2029/3F,45689,,,'')":null,"CRWV^FE_ESTIMATE(GROSSINCOME,MEAN,QUARTERLY_ROLL,2028/4F,45689,,,'')":null,"CRWV^FE_ESTIMATE(GROSSINCOME,MEAN,QUARTERLY_ROLL,2027/2F,45689,,,'')":null,"CRWV^FE_ESTIMATE(GROSSINCOME,MEAN,ANNUAL_ROLL,2025,45689,,,'')":null,"CRWV^FE_ESTIMATE(GROSSINCOME,MEAN,QUARTERLY_ROLL,2025/1F,45689,,,'')":null,"CRWV^FE_ESTIMATE(GROSSINCOME,MEAN,QUARTERLY_ROLL,2023/4F,45689,,,'')":null,"CRWV^FE_ESTIMATE(GROSSINCOME,MEAN,QUARTERLY_ROLL,2022/2F,45689,,,'')":null,"CRWV^FE_ESTIMATE(SALES,MEAN,QUARTERLY_ROLL,2029/4F,45689,,,'')":null,"CRWV^FE_ESTIMATE(SALES,MEAN,ANNUAL_ROLL,2028,45689,,,'')":null,"CRWV^FE_ESTIMATE(SALES,MEAN,QUARTERLY_ROLL,2027/3F,45689,,,'')":null,"CRWV^FE_ESTIMATE(SALES,MEAN,QUARTERLY_ROLL,2026/1F,45689,,,'')":null,"CRWV^FE_ESTIMATE(CFO,MEAN,QUARTERLY_ROLL,2022/2F,45689,,,'')":null,"CRWV^FE_ESTIMATE(EPS,MEAN,QUARTERLY_ROLL,2029/4F,45689,,,'')":null,"CRWV^FE_ESTIMATE(EPS,MEAN,QUARTERLY_ROLL,2023/4F,45689,,,'')":null,"CRWV^FE_ESTIMATE(EPS,MEAN,ANNUAL_ROLL,2022,45689,,,'')":null,"CRWV^FE_ESTIMATE(EAG,MEAN,QUARTERLY_ROLL,2029/2F,45689,,,'')":null,"CRWV^FE_ESTIMATE(EAG,MEAN,QUARTERLY_ROLL,2028/3F,45689,,,'')":null,"CRWV^FE_ESTIMATE(EAG,MEAN,QUARTERLY_ROLL,2027/3F,45689,,,'')":null,"CRWV^FE_ESTIMATE(EAG,MEAN,QUARTERLY_ROLL,2026/4F,45689,,,'')":null,"CRWV^FE_ESTIMATE(EAG,MEAN,QUARTERLY_ROLL,2025/4F,45689,,,'')":null,"CRWV^FE_ESTIMATE(EAG,MEAN,ANNUAL_ROLL,2024,45689,,,'')":null,"CRWV^FE_ESTIMATE(EAG,MEAN,ANNUAL_ROLL,2023,45689,,,'')":null,"CRWV^FE_ESTIMATE(EAG,MEAN,QUARTERLY_ROLL,2023/1F,45689,,,'')":null,"CRWV^FE_ESTIMATE(EAG,MEAN,QUARTERLY_ROLL,2022/1F,45689,,,'')":null,"CRWV^FE_ESTIMATE(EBIT,MEAN,QUARTERLY_ROLL,2029/3F,45689,,,'')":null,"CRWV^FE_ESTIMATE(EBIT,MEAN,QUARTERLY_ROLL,2028/4F,45689,,,'')":null,"CRWV^FE_ESTIMATE(EBIT,MEAN,QUARTERLY_ROLL,2027/4F,45689,,,'')":null,"CRWV^FE_ESTIMATE(EBIT,MEAN,QUARTERLY_ROLL,2026/2F,45689,,,'')":null,"CRWV^FE_ESTIMATE(EBIT,MEAN,QUARTERLY_ROLL,2025/3F,45689,,,'')":null,"CRWV^FE_ESTIMATE(EBIT,MEAN,QUARTERLY_ROLL,2024/1F,45689,,,'')":null,"CRWV^FE_ESTIMATE(EBIT,MEAN,QUARTERLY_ROLL,2022/4F,45689,,,'')":null,"CRWV^FE_ESTIMATE(GROSSINCOME,MEAN,QUARTERLY_ROLL,2029/2F,45689,,,'')":null,"CRWV^FE_ESTIMATE(GROSSINCOME,MEAN,ANNUAL_ROLL,2027,45689,,,'')":null,"CRWV^FE_ESTIMATE(GROSSINCOME,MEAN,QUARTERLY_ROLL,2026/3F,45689,,,'')":null,"CRWV^FE_ESTIMATE(GROSSINCOME,MEAN,QUARTERLY_ROLL,2025/4F,45689,,,'')":null,"CRWV^FE_ESTIMATE(GROSSINCOME,MEAN,QUARTERLY_ROLL,2024/2F,45689,,,'')":null,"CRWV^FE_ESTIMATE(GROSSINCOME,MEAN,ANNUAL_ROLL,2022,45689,,,'')":null,"CRWV^FE_ESTIMATE(GROSSINCOME,MEAN,QUARTERLY_ROLL,2022/1F,45689,,,'')":null,"CRWV^FE_ESTIMATE(SALES,MEAN,QUARTERLY_ROLL,2029/3F,45689,,,'')":null,"CRWV^FE_ESTIMATE(SALES,MEAN,QUARTERLY_ROLL,2028/1F,45689,,,'')":null,"CRWV^FE_ESTIMATE(SALES,MEAN,QUARTERLY_ROLL,2026/4F,45689,,,'')":null,"CRWV^FE_ESTIMATE(SALES,MEAN,ANNUAL_ROLL,2025,45689,,,'')":null,"CRWV^FE_ESTIMATE(SALES,MEAN,QUARTERLY_ROLL,2024/3F,45689,,,'')":null,"CRWV^FE_ESTIMATE(SALES,MEAN,QUARTERLY_ROLL,2023/1F,45689,,,'')":null,"CRWV^FE_ESTIMATE(SALES,MEAN,QUARTERLY_ROLL,2022/2F,45689,,,'')":null,"CRWV^FE_ESTIMATE(SALES,MEAN,QUARTERLY_ROLL,2026/3F,45689,,,'')":null,"CRWV^FE_ESTIMATE(SALES,MEAN,QUARTERLY_ROLL,2025/1F,45689,,,'')":null,"CRWV^FE_ESTIMATE(SALES,MEAN,QUARTERLY_ROLL,2023/4F,45689,,,'')":null,"CRWV^FE_ESTIMATE(SALES,MEAN,ANNUAL_ROLL,2022,45689,,,'')":null,"CRWV^FE_ESTIMATE(SALES,MEAN,QUARTERLY_ROLL,2027/1F,45689,,,'')":null,"CRWV^FE_ESTIMATE(SALES,MEAN,QUARTERLY_ROLL,2024/2F,45689,,,'')":null,"CRWV^FE_ESTIMATE(GROSSINCOME,MEAN,QUARTERLY_ROLL,2027/3F,45689,,,'')":null,"CRWV^FE_ESTIMATE(GROSSINCOME,MEAN,ANNUAL_ROLL,2023,45689,,,'')":null,"CRWV^FE_ESTIMATE(SALES,MEAN,QUARTERLY_ROLL,2028/3F,45689,,,'')":null,"CRWV^FE_ESTIMATE(SALES,MEAN,QUARTERLY_ROLL,2026/2F,45689,,,'')":null,"CRWV^FE_ESTIMATE(SALES,MEAN,QUARTERLY_ROLL,2022/4F,45689,,,'')":null,"CRWV^FE_ESTIMATE(SALES,MEAN,QUARTERLY_ROLL,2023/2F,45689,,,'')":null,"CRWV^FE_ESTIMATE(SALES,MEAN,QUARTERLY_ROLL,2025/2F,45689,,,'')":null,"CRWV^FE_ESTIMATE(CAPEX,MEAN,QUARTERLY_ROLL,2025/1F,45689,,,'')":null,"CRWV^FE_ESTIMATE(EPS,MEAN,QUARTERLY_ROLL,2028/2F,45689,,,'')":null,"CRWV^FE_ESTIMATE(EPS,MEAN,QUARTERLY_ROLL,2027/1F,45689,,,'')":null,"CRWV^FE_ESTIMATE(EPS,MEAN,ANNUAL_ROLL,2025,45689,,,'')":null,"CRWV^FE_ESTIMATE(EPS,MEAN,QUARTERLY_ROLL,2024/4F,45689,,,'')":null,"CRWV^FE_ESTIMATE(EPS,MEAN,QUARTERLY_ROLL,2022/4F,45689,,,'')":null,"CRWV^FE_ESTIMATE(EAG,MEAN,QUARTERLY_ROLL,2028/2F,45689,,,'')":null,"CRWV^FE_ESTIMATE(EAG,MEAN,QUARTERLY_ROLL,2026/3F,45689,,,'')":null,"CRWV^FE_ESTIMATE(EAG,MEAN,QUARTERLY_ROLL,2024/4F,45689,,,'')":null,"CRWV^FE_ESTIMATE(EAG,MEAN,ANNUAL_ROLL,2022,45689,,,'')":null,"CRWV^FE_ESTIMATE(EBIT,MEAN,QUARTERLY_ROLL,2028/3F,45689,,,'')":null,"CRWV^FE_ESTIMATE(EBIT,MEAN,ANNUAL_ROLL,2026,45689,,,'')":null,"CRWV^FE_ESTIMATE(EBIT,MEAN,QUARTERLY_ROLL,2026/1F,45689,,,'')":null,"CRWV^FE_ESTIMATE(EBIT,MEAN,QUARTERLY_ROLL,2024/4F,45689,,,'')":null,"CRWV^FE_ESTIMATE(EBIT,MEAN,QUARTERLY_ROLL,2023/2F,45689,,,'')":null,"CRWV^FE_ESTIMATE(EBIT,MEAN,QUARTERLY_ROLL,2022/3F,45689,,,'')":null,"CRWV^FE_ESTIMATE(GROSSINCOME,MEAN,ANNUAL_ROLL,2029,45689,,,'')":null,"CRWV^FE_ESTIMATE(GROSSINCOME,MEAN,QUARTERLY_ROLL,2028/3F,45689,,,'')":null,"CRWV^FE_ESTIMATE(GROSSINCOME,MEAN,QUARTERLY_ROLL,2027/1F,45689,,,'')":null,"CRWV^FE_ESTIMATE(GROSSINCOME,MEAN,QUARTERLY_ROLL,2026/2F,45689,,,'')":null,"CRWV^FE_ESTIMATE(GROSSINCOME,MEAN,ANNUAL_ROLL,2024,45689,,,'')":null,"CRWV^FE_ESTIMATE(GROSSINCOME,MEAN,QUARTERLY_ROLL,2023/3F,45689,,,'')":null,"CRWV^FE_ESTIMATE(GROSSINCOME,MEAN,QUARTERLY_ROLL,2022/4F,45689,,,'')":null,"CRWV^FE_ESTIMATE(SALES,MEAN,QUARTERLY_ROLL,2028/4F,45689,,,'')":null,"CRWV^FE_ESTIMATE(SALES,MEAN,QUARTERLY_ROLL,2027/2F,45689,,,'')":null,"CRWV^FE_ESTIMATE(SALES,MEAN,QUARTERLY_ROLL,2023/3F,45689,,,'')":null,"CRWV^FE_ESTIMATE(GROSSINCOME,MEAN,QUARTERLY_ROLL,2029/4F,45689,,,'')":null,"CRWV^FE_ESTIMATE(GROSSINCOME,MEAN,QUARTERLY_ROLL,2024/4F,45689,,,'')":null,"CRWV^FE_ESTIMATE(SALES,MEAN,QUARTERLY_ROLL,2027/4F,45689,,,'')":null,"CRWV^FE_ESTIMATE(SALES,MEAN,ANNUAL_ROLL,2024,45689,,,'')":null,"CRWV^FE_ESTIMATE(CAPEX,MEAN,QUARTERLY_ROLL,2024/2F,45689,,,'')":null,"CRWV^FE_ESTIMATE(CFO,MEAN,QUARTERLY_ROLL,2023/3F,45689,,,'')":null,"CRWV^FE_ESTIMATE(EPS,MEAN,QUARTERLY_ROLL,2029/1F,45689,,,'')":null,"CRWV^FE_ESTIMATE(EPS,MEAN,ANNUAL_ROLL,2027,45689,,,'')":null,"CRWV^FE_ESTIMATE(EPS,MEAN,QUARTERLY_ROLL,2026/4F,45689,,,'')":null,"CRWV^FE_ESTIMATE(EPS,MEAN,QUARTERLY_ROLL,2025/3F,45689,,,'')":null,"CRWV^FE_ESTIMATE(EPS,MEAN,QUARTERLY_ROLL,2024/2F,45689,,,'')":null,"CRWV^FE_ESTIMATE(EPS,MEAN,QUARTERLY_ROLL,2023/3F,45689,,,'')":null,"CRWV^FE_ESTIMATE(EPS,MEAN,QUARTERLY_ROLL,2022/3F,45689,,,'')":null,"CRWV^FE_ESTIMATE(EAG,MEAN,ANNUAL_ROLL,2029,45689,,,'')":null,"CRWV^FE_ESTIMATE(EAG,MEAN,QUARTERLY_ROLL,2029/1F,45689,,,'')":null,"CRWV^FE_ESTIMATE(EAG,MEAN,QUARTERLY_ROLL,2028/1F,45689,,,'')":null,"CRWV^FE_ESTIMATE(EAG,MEAN,QUARTERLY_ROLL,2027/2F,45689,,,'')":null,"CRWV^FE_ESTIMATE(EAG,MEAN,QUARTERLY_ROLL,2026/2F,45689,,,'')":null,"CRWV^FE_ESTIMATE(EAG,MEAN,QUARTERLY_ROLL,2025/3F,45689,,,'')":null,"CRWV^FE_ESTIMATE(EAG,MEAN,QUARTERLY_ROLL,2024/3F,45689,,,'')":null,"CRWV^FE_ESTIMATE(EAG,MEAN,QUARTERLY_ROLL,2023/4F,45689,,,'')":null,"CRWV^FE_ESTIMATE(EAG,MEAN,QUARTERLY_ROLL,2022/4F,45689,,,'')":null,"CRWV^FE_ESTIMATE(EBIT,MEAN,QUARTERLY_ROLL,2029/2F,45689,,,'')":null,"CRWV^FE_ESTIMATE(EBIT,MEAN,QUARTERLY_ROLL,2028/2F,45689,,,'')":null,"CRWV^FE_ESTIMATE(EBIT,MEAN,QUARTERLY_ROLL,2027/3F,45689,,,'')":null,"CRWV^FE_ESTIMATE(EBIT,MEAN,QUARTERLY_ROLL,2026/4F,45689,,,'')":null,"CRWV^FE_ESTIMATE(EBIT,MEAN,QUARTERLY_ROLL,2025/2F,45689,,,'')":null,"CRWV^FE_ESTIMATE(EBIT,MEAN,ANNUAL_ROLL,2023,45689,,,'')":null,"CRWV^FE_ESTIMATE(EBIT,MEAN,QUARTERLY_ROLL,2023/1F,45689,,,'')":null,"CRWV^FE_ESTIMATE(GROSSINCOME,MEAN,QUARTERLY_ROLL,2029/1F,45689,,,'')":null,"CRWV^FE_ESTIMATE(GROSSINCOME,MEAN,QUARTERLY_ROLL,2027/4F,45689,,,'')":null,"CRWV^FE_ESTIMATE(GROSSINCOME,MEAN,ANNUAL_ROLL,2026,45689,,,'')":null,"CRWV^FE_ESTIMATE(GROSSINCOME,MEAN,QUARTERLY_ROLL,2025/3F,45689,,,'')":null,"CRWV^FE_ESTIMATE(GROSSINCOME,MEAN,QUARTERLY_ROLL,2024/1F,45689,,,'')":null,"CRWV^FE_ESTIMATE(GROSSINCOME,MEAN,QUARTERLY_ROLL,2023/2F,45689,,,'')":null,"CRWV^FE_ESTIMATE(SALES,MEAN,QUARTERLY_ROLL,2029/2F,45689,,,'')":null,"CRWV^FE_ESTIMATE(SALES,MEAN,ANNUAL_ROLL,2027,45689,,,'')":null,"CRWV^FE_ESTIMATE(SALES,MEAN,QUARTERLY_ROLL,2025/4F,45689,,,'')":null,"CRWV^FE_ESTIMATE(SALES,MEAN,QUARTERLY_ROLL,2022/1F,45689,,,'')":null,"CRWV^FE_ESTIMATE(GROSSINCOME,MEAN,QUARTERLY_ROLL,2028/2F,45689,,,'')":null,"CRWV^FE_ESTIMATE(GROSSINCOME,MEAN,QUARTERLY_ROLL,2026/1F,45689,,,'')":null,"CRWV^FE_ESTIMATE(GROSSINCOME,MEAN,QUARTERLY_ROLL,2022/3F,45689,,,'')":null,"CRWV^FE_ESTIMATE(SALES,MEAN,ANNUAL_ROLL,2029,45689,,,'')":null,"CRWV^FE_ESTIMATE(SALES,MEAN,QUARTERLY_ROLL,2024/1F,45689,,,'')":null,"CRWV^FE_ESTIMATE(SALES,MEAN,QUARTERLY_ROLL,2022/3F,45689,,,'')":null,"CRWV^FE_ESTIMATE(EPS,MEAN,QUARTERLY_ROLL,2023/2F,45689,,,'')":null,"CRWV^FE_ESTIMATE(EAG,MEAN,ANNUAL_ROLL,2028,45689,,,'')":null,"CRWV^FE_ESTIMATE(EAG,MEAN,QUARTERLY_ROLL,2027/1F,45689,,,'')":null,"CRWV^FE_ESTIMATE(EAG,MEAN,QUARTERLY_ROLL,2025/2F,45689,,,'')":null,"CRWV^FE_ESTIMATE(EAG,MEAN,QUARTERLY_ROLL,2023/3F,45689,,,'')":null,"CRWV^FE_ESTIMATE(EBIT,MEAN,QUARTERLY_ROLL,2029/1F,45689,,,'')":null,"CRWV^FE_ESTIMATE(EBIT,MEAN,QUARTERLY_ROLL,2027/2F,45689,,,'')":null,"CRWV^FE_ESTIMATE(EBIT,MEAN,ANNUAL_ROLL,2025,45689,,,'')":null,"CRWV^FE_ESTIMATE(EBIT,MEAN,QUARTERLY_ROLL,2024/3F,45689,,,'')":null,"CRWV^FE_ESTIMATE(EBIT,MEAN,QUARTERLY_ROLL,2023/4F,45689,,,'')":null,"CRWV^FE_ESTIMATE(EBIT,MEAN,QUARTERLY_ROLL,2022/2F,45689,,,'')":null,"CRWV^FE_ESTIMATE(SALES,MEAN,ANNUAL_ROLL,2023,45689,,,'')":null,"CRWV^FE_ESTIMATE(CAPEX,MEAN,ANNUAL_ROLL,2022,45689,,,'')":null,"CRWV^FE_ESTIMATE(CFO,MEAN,ANNUAL_ROLL,2022,45689,,,'')":null,"CRWV^FE_ESTIMATE(EPS,MEAN,ANNUAL_ROLL,2028,45689,,,'')":null,"CRWV^FE_ESTIMATE(EPS,MEAN,QUARTERLY_ROLL,2027/4F,45689,,,'')":null,"CRWV^FE_ESTIMATE(EPS,MEAN,QUARTERLY_ROLL,2026/3F,45689,,,'')":null,"CRWV^FE_ESTIMATE(EPS,MEAN,QUARTERLY_ROLL,2025/2F,45689,,,'')":null,"CRWV^FE_ESTIMATE(EPS,MEAN,QUARTERLY_ROLL,2024/1F,45689,,,'')":null,"CRWV^FE_ESTIMATE(EPS,MEAN,QUARTERLY_ROLL,2023/1F,45689,,,'')":null,"CRWV^FE_ESTIMATE(EPS,MEAN,QUARTERLY_ROLL,2022/2F,45689,,,'')":null,"CRWV^FE_ESTIMATE(EAG,MEAN,QUARTERLY_ROLL,2029/4F,45689,,,'')":null,"CRWV^FE_ESTIMATE(EAG,MEAN,QUARTERLY_ROLL,2028/4F,45689,,,'')":null,"CRWV^FE_ESTIMATE(EAG,MEAN,ANNUAL_ROLL,2027,45689,,,'')":null,"CRWV^FE_ESTIMATE(EAG,MEAN,ANNUAL_ROLL,2026,45689,,,'')":null,"CRWV^FE_ESTIMATE(EAG,MEAN,QUARTERLY_ROLL,2026/1F,45689,,,'')":null,"CRWV^FE_ESTIMATE(EAG,MEAN,QUARTERLY_ROLL,2025/1F,45689,,,'')":null,"CRWV^FE_ESTIMATE(EAG,MEAN,QUARTERLY_ROLL,2024/2F,45689,,,'')":null,"CRWV^FE_ESTIMATE(EAG,MEAN,QUARTERLY_ROLL,2023/2F,45689,,,'')":null,"CRWV^FE_ESTIMATE(EAG,MEAN,QUARTERLY_ROLL,2022/3F,45689,,,'')":null,"CRWV^FE_ESTIMATE(EBIT,MEAN,ANNUAL_ROLL,2029,45689,,,'')":null,"CRWV^FE_ESTIMATE(EBIT,MEAN,ANNUAL_ROLL,2028,45689,,,'')":null,"CRWV^FE_ESTIMATE(EBIT,MEAN,QUARTERLY_ROLL,2028/1F,45689,,,'')":null,"CRWV^FE_ESTIMATE(EBIT,MEAN,QUARTERLY_ROLL,2026/3F,45689,,,'')":null,"CRWV^FE_ESTIMATE(EBIT,MEAN,QUARTERLY_ROLL,2025/1F,45689,,,'')":null,"CRWV^FE_ESTIMATE(EBIT,MEAN,QUARTERLY_ROLL,2024/2F,45689,,,'')":null,"CRWV^FE_ESTIMATE(EBIT,MEAN,ANNUAL_ROLL,2022,45689,,,'')":null,"CRWV^FE_ESTIMATE(GROSSINCOME,MEAN,ANNUAL_ROLL,2028,45689,,,'')":null,"CRWV^FE_ESTIMATE(GROSSINCOME,MEAN,QUARTERLY_ROLL,2028/1F,45689,,,'')":null,"CRWV^FE_ESTIMATE(GROSSINCOME,MEAN,QUARTERLY_ROLL,2026/4F,45689,,,'')":null,"CRWV^FE_ESTIMATE(GROSSINCOME,MEAN,QUARTERLY_ROLL,2025/2F,45689,,,'')":null,"CRWV^FE_ESTIMATE(GROSSINCOME,MEAN,QUARTERLY_ROLL,2024/3F,45689,,,'')":null,"CRWV^FE_ESTIMATE(GROSSINCOME,MEAN,QUARTERLY_ROLL,2023/1F,45689,,,'')":null,"CRWV^FE_ESTIMATE(SALES,MEAN,QUARTERLY_ROLL,2029/1F,45689,,,'')":null,"CRWV^FE_ESTIMATE(SALES,MEAN,QUARTERLY_ROLL,2028/2F,45689,,,'')":null,"CRWV^FE_ESTIMATE(SALES,MEAN,ANNUAL_ROLL,2026,45689,,,'')":null,"CRWV^FE_ESTIMATE(SALES,MEAN,QUARTERLY_ROLL,2025/3F,45689,,,'')":null,"CRWV^FE_ESTIMATE(SALES,MEAN,QUARTERLY_ROLL,2024/4F,45689,,,'')":null,"MSFT^FE_ESTIMATE(SALES,MEAN,NTM4,,45768,,,'')":292212.03,"CRWV^FE_ESTIMATE(TOTAL_RPO,MEAN,ANNUAL_ROLL,2029,45790,,,'')":46554.8,"CRWV^FE_ESTIMATE(TOTAL_RPO,MEAN,QUARTERLY_ROLL,2029/4F,45790,,,'')":null,"CRWV^FE_ESTIMATE(TOTAL_RPO,MEAN,QUARTERLY_ROLL,2029/3F,45790,,,'')":null,"CRWV^FE_ESTIMATE(TOTAL_RPO,MEAN,QUARTERLY_ROLL,2029/2F,45790,,,'')":null,"CRWV^FE_ESTIMATE(TOTAL_RPO,MEAN,QUARTERLY_ROLL,2029/1F,45790,,,'')":null,"CRWV^FE_ESTIMATE(TOTAL_RPO,MEAN,ANNUAL_ROLL,2028,45790,,,'')":47055.9,"CRWV^FE_ESTIMATE(TOTAL_RPO,MEAN,QUARTERLY_ROLL,2028/4F,45790,,,'')":null,"CRWV^FE_ESTIMATE(TOTAL_RPO,MEAN,QUARTERLY_ROLL,2028/3F,45790,,,'')":null,"CRWV^FE_ESTIMATE(TOTAL_RPO,MEAN,QUARTERLY_ROLL,2028/2F,45790,,,'')":null,"CRWV^FE_ESTIMATE(TOTAL_RPO,MEAN,QUARTERLY_ROLL,2028/1F,45790,,,'')":null,"CRWV^FE_ESTIMATE(TOTAL_RPO,MEAN,ANNUAL_ROLL,2027,45790,,,'')":45135.8,"CRWV^FE_ESTIMATE(TOTAL_RPO,MEAN,QUARTERLY_ROLL,2027/4F,45790,,,'')":null,"CRWV^FE_ESTIMATE(TOTAL_RPO,MEAN,QUARTERLY_ROLL,2027/3F,45790,,,'')":null,"CRWV^FE_ESTIMATE(TOTAL_RPO,MEAN,QUARTERLY_ROLL,2027/2F,45790,,,'')":null,"CRWV^FE_ESTIMATE(TOTAL_RPO,MEAN,QUARTERLY_ROLL,2027/1F,45790,,,'')":null,"CRWV^FE_ESTIMATE(TOTAL_RPO,MEAN,ANNUAL_ROLL,2026,45790,,,'')":39440.8,"CRWV^FE_ESTIMATE(TOTAL_RPO,MEAN,QUARTERLY_ROLL,2026/4F,45790,,,'')":null,"CRWV^FE_ESTIMATE(TOTAL_RPO,MEAN,QUARTERLY_ROLL,2026/3F,45790,,,'')":null,"CRWV^FE_ESTIMATE(TOTAL_RPO,MEAN,QUARTERLY_ROLL,2026/2F,45790,,,'')":null,"CRWV^FE_ESTIMATE(TOTAL_RPO,MEAN,QUARTERLY_ROLL,2026/1F,45790,,,'')":null,"CRWV^FE_ESTIMATE(TOTAL_RPO,MEAN,ANNUAL_ROLL,2025,45790,,,'')":31373.9,"CRWV^FE_ESTIMATE(TOTAL_RPO,MEAN,QUARTERLY_ROLL,2025/4F,45790,,,'')":31373.9,"CRWV^FE_ESTIMATE(TOTAL_RPO,MEAN,QUARTERLY_ROLL,2025/3F,45790,,,'')":29775.2,"CRWV^FE_ESTIMATE(TOTAL_RPO,MEAN,QUARTERLY_ROLL,2025/2F,45790,,,'')":28199.9,"CRWV^FE_ESTIMATE(TOTAL_RPO,MEAN,QUARTERLY_ROLL,2025/1F,45790,,,'')":26205.9,"CRWV^FE_ESTIMATE(TOTAL_RPO,MEAN,ANNUAL_ROLL,2024,45790,,,'')":15100.0,"CRWV^FE_ESTIMATE(TOTAL_RPO,MEAN,QUARTERLY_ROLL,2024/4F,45790,,,'')":15100.0,"CRWV^FE_ESTIMATE(TOTAL_RPO,MEAN,QUARTERLY_ROLL,2024/3F,45790,,,'')":null,"CRWV^FE_ESTIMATE(TOTAL_RPO,MEAN,QUARTERLY_ROLL,2024/2F,45790,,,'')":null,"CRWV^FE_ESTIMATE(TOTAL_RPO,MEAN,QUARTERLY_ROLL,2024/1F,45790,,,'')":null,"CRWV^FE_ESTIMATE(TOTAL_RPO,MEAN,ANNUAL_ROLL,2023,45790,,,'')":null,"CRWV^FE_ESTIMATE(TOTAL_RPO,MEAN,QUARTERLY_ROLL,2023/4F,45790,,,'')":null,"CRWV^FE_ESTIMATE(TOTAL_RPO,MEAN,QUARTERLY_ROLL,2023/3F,45790,,,'')":null,"CRWV^FE_ESTIMATE(TOTAL_RPO,MEAN,QUARTERLY_ROLL,2023/2F,45790,,,'')":null,"CRWV^FE_ESTIMATE(TOTAL_RPO,MEAN,QUARTERLY_ROLL,2023/1F,45790,,,'')":null,"CRWV^FE_ESTIMATE(TOTAL_RPO,MEAN,ANNUAL_ROLL,2022,45790,,,'')":null,"CRWV^FE_ESTIMATE(TOTAL_RPO,MEAN,QUARTERLY_ROLL,2022/4F,45790,,,'')":null,"CRWV^FE_ESTIMATE(TOTAL_RPO,MEAN,QUARTERLY_ROLL,2022/3F,45790,,,'')":null,"CRWV^FE_ESTIMATE(TOTAL_RPO,MEAN,QUARTERLY_ROLL,2022/2F,45790,,,'')":null,"CRWV^FE_ESTIMATE(TOTAL_RPO,MEAN,QUARTERLY_ROLL,2022/1F,45790,,,'')":null,"CRWV^FE_ESTIMATE(ARR,MEAN,ANNUAL_ROLL,2029,45790,,,'')":null,"CRWV^FE_ESTIMATE(ARR,MEAN,QUARTERLY_ROLL,2029/4F,45790,,,'')":null,"CRWV^FE_ESTIMATE(ARR,MEAN,QUARTERLY_ROLL,2029/3F,45790,,,'')":null,"CRWV^FE_ESTIMATE(ARR,MEAN,QUARTERLY_ROLL,2029/2F,45790,,,'')":null,"CRWV^FE_ESTIMATE(ARR,MEAN,QUARTERLY_ROLL,2029/1F,45790,,,'')":null,"CRWV^FE_ESTIMATE(ARR,MEAN,ANNUAL_ROLL,2028,45790,,,'')":null,"CRWV^FE_ESTIMATE(ARR,MEAN,QUARTERLY_ROLL,2028/4F,45790,,,'')":null,"CRWV^FE_ESTIMATE(ARR,MEAN,QUARTERLY_ROLL,2028/3F,45790,,,'')":null,"CRWV^FE_ESTIMATE(ARR,MEAN,QUARTERLY_ROLL,2028/2F,45790,,,'')":null,"CRWV^FE_ESTIMATE(ARR,MEAN,QUARTERLY_ROLL,2028/1F,45790,,,'')":null,"CRWV^FE_ESTIMATE(ARR,MEAN,ANNUAL_ROLL,2027,45790,,,'')":16800.0,"CRWV^FE_ESTIMATE(ARR,MEAN,QUARTERLY_ROLL,2027/4F,45790,,,'')":null,"CRWV^FE_ESTIMATE(ARR,MEAN,QUARTERLY_ROLL,2027/3F,45790,,,'')":null,"CRWV^FE_ESTIMATE(ARR,MEAN,QUARTERLY_ROLL,2027/2F,45790,,,'')":null,"CRWV^FE_ESTIMATE(ARR,MEAN,QUARTERLY_ROLL,2027/1F,45790,,,'')":null,"CRWV^FE_ESTIMATE(ARR,MEAN,ANNUAL_ROLL,2026,45790,,,'')":12400.0,"CRWV^FE_ESTIMATE(ARR,MEAN,QUARTERLY_ROLL,2026/4F,45790,,,'')":null,"CRWV^FE_ESTIMATE(ARR,MEAN,QUARTERLY_ROLL,2026/3F,45790,,,'')":null,"CRWV^FE_ESTIMATE(ARR,MEAN,QUARTERLY_ROLL,2026/2F,45790,,,'')":null,"CRWV^FE_ESTIMATE(ARR,MEAN,QUARTERLY_ROLL,2026/1F,45790,,,'')":null,"CRWV^FE_ESTIMATE(ARR,MEAN,ANNUAL_ROLL,2025,45790,,,'')":6800.0,"CRWV^FE_ESTIMATE(ARR,MEAN,QUARTERLY_ROLL,2025/4F,45790,,,'')":null,"CRWV^FE_ESTIMATE(ARR,MEAN,QUARTERLY_ROLL,2025/3F,45790,,,'')":null,"CRWV^FE_ESTIMATE(ARR,MEAN,QUARTERLY_ROLL,2025/2F,45790,,,'')":null,"CRWV^FE_ESTIMATE(ARR,MEAN,QUARTERLY_ROLL,2025/1F,45790,,,'')":null,"CRWV^FE_ESTIMATE(ARR,MEAN,ANNUAL_ROLL,2024,45790,,,'')":3000.0,"CRWV^FE_ESTIMATE(ARR,MEAN,QUARTERLY_ROLL,2024/4F,45790,,,'')":null,"CRWV^FE_ESTIMATE(ARR,MEAN,QUARTERLY_ROLL,2024/3F,45790,,,'')":null,"CRWV^FE_ESTIMATE(ARR,MEAN,QUARTERLY_ROLL,2024/2F,45790,,,'')":null,"CRWV^FE_ESTIMATE(ARR,MEAN,QUARTERLY_ROLL,2024/1F,45790,,,'')":null,"CRWV^FE_ESTIMATE(ARR,MEAN,ANNUAL_ROLL,2023,45790,,,'')":null,"CRWV^FE_ESTIMATE(ARR,MEAN,QUARTERLY_ROLL,2023/4F,45790,,,'')":null,"CRWV^FE_ESTIMATE(ARR,MEAN,QUARTERLY_ROLL,2023/3F,45790,,,'')":null,"CRWV^FE_ESTIMATE(ARR,MEAN,QUARTERLY_ROLL,2023/2F,45790,,,'')":null,"CRWV^FE_ESTIMATE(ARR,MEAN,QUARTERLY_ROLL,2023/1F,45790,,,'')":null,"CRWV^FE_ESTIMATE(ARR,MEAN,ANNUAL_ROLL,2022,45790,,,'')":null,"CRWV^FE_ESTIMATE(ARR,MEAN,QUARTERLY_ROLL,2022/4F,45790,,,'')":null,"CRWV^FE_ESTIMATE(ARR,MEAN,QUARTERLY_ROLL,2022/3F,45790,,,'')":null,"CRWV^FE_ESTIMATE(ARR,MEAN,QUARTERLY_ROLL,2022/2F,45790,,,'')":null,"CRWV^FE_ESTIMATE(ARR,MEAN,QUARTERLY_ROLL,2022/1F,45790,,,'')":null,"CRWV^FE_ESTIMATE(NEW_ORDERS_VALUE,MEAN,ANNUAL_ROLL,2029,45790,,,'')":null,"CRWV^FE_ESTIMATE(NEW_ORDERS_VALUE,MEAN,QUARTERLY_ROLL,2029/4F,45790,,,'')":null,"CRWV^FE_ESTIMATE(NEW_ORDERS_VALUE,MEAN,QUARTERLY_ROLL,2029/3F,45790,,,'')":null,"CRWV^FE_ESTIMATE(NEW_ORDERS_VALUE,MEAN,QUARTERLY_ROLL,2029/2F,45790,,,'')":null,"CRWV^FE_ESTIMATE(NEW_ORDERS_VALUE,MEAN,QUARTERLY_ROLL,2029/1F,45790,,,'')":null,"CRWV^FE_ESTIMATE(NEW_ORDERS_VALUE,MEAN,ANNUAL_ROLL,2028,45790,,,'')":null,"CRWV^FE_ESTIMATE(NEW_ORDERS_VALUE,MEAN,QUARTERLY_ROLL,2028/4F,45790,,,'')":null,"CRWV^FE_ESTIMATE(NEW_ORDERS_VALUE,MEAN,QUARTERLY_ROLL,2028/3F,45790,,,'')":null,"CRWV^FE_ESTIMATE(NEW_ORDERS_VALUE,MEAN,QUARTERLY_ROLL,2028/2F,45790,,,'')":null,"CRWV^FE_ESTIMATE(NEW_ORDERS_VALUE,MEAN,QUARTERLY_ROLL,2028/1F,45790,,,'')":null,"CRWV^FE_ESTIMATE(NEW_ORDERS_VALUE,MEAN,ANNUAL_ROLL,2027,45790,,,'')":null,"CRWV^FE_ESTIMATE(NEW_ORDERS_VALUE,MEAN,QUARTERLY_ROLL,2027/4F,45790,,,'')":4563.0,"CRWV^FE_ESTIMATE(NEW_ORDERS_VALUE,MEAN,QUARTERLY_ROLL,2027/3F,45790,,,'')":4452.0,"CRWV^FE_ESTIMATE(NEW_ORDERS_VALUE,MEAN,QUARTERLY_ROLL,2027/2F,45790,,,'')":4260.0,"CRWV^FE_ESTIMATE(NEW_ORDERS_VALUE,MEAN,QUARTERLY_ROLL,2027/1F,45790,,,'')":4019.0,"CRWV^FE_ESTIMATE(NEW_ORDERS_VALUE,MEAN,ANNUAL_ROLL,2026,45790,,,'')":null,"CRWV^FE_ESTIMATE(NEW_ORDERS_VALUE,MEAN,QUARTERLY_ROLL,2026/4F,45790,,,'')":3588.0,"CRWV^FE_ESTIMATE(NEW_ORDERS_VALUE,MEAN,QUARTERLY_ROLL,2026/3F,45790,,,'')":3268.0,"CRWV^FE_ESTIMATE(NEW_ORDERS_VALUE,MEAN,QUARTERLY_ROLL,2026/2F,45790,,,'')":2961.0,"CRWV^FE_ESTIMATE(NEW_ORDERS_VALUE,MEAN,QUARTERLY_ROLL,2026/1F,45790,,,'')":2906.0,"CRWV^FE_ESTIMATE(NEW_ORDERS_VALUE,MEAN,ANNUAL_ROLL,2025,45790,,,'')":null,"CRWV^FE_ESTIMATE(NEW_ORDERS_VALUE,MEAN,QUARTERLY_ROLL,2025/4F,45790,,,'')":1851.0,"CRWV^FE_ESTIMATE(NEW_ORDERS_VALUE,MEAN,QUARTERLY_ROLL,2025/3F,45790,,,'')":1413.0,"CRWV^FE_ESTIMATE(NEW_ORDERS_VALUE,MEAN,QUARTERLY_ROLL,2025/2F,45790,,,'')":1221.0,"CRWV^FE_ESTIMATE(NEW_ORDERS_VALUE,MEAN,QUARTERLY_ROLL,2025/1F,45790,,,'')":936.0,"CRWV^FE_ESTIMATE(NEW_ORDERS_VALUE,MEAN,ANNUAL_ROLL,2024,45790,,,'')":null,"CRWV^FE_ESTIMATE(NEW_ORDERS_VALUE,MEAN,QUARTERLY_ROLL,2024/4F,45790,,,'')":382.0,"CRWV^FE_ESTIMATE(NEW_ORDERS_VALUE,MEAN,QUARTERLY_ROLL,2024/3F,45790,,,'')":null,"CRWV^FE_ESTIMATE(NEW_ORDERS_VALUE,MEAN,QUARTERLY_ROLL,2024/2F,45790,,,'')":null,"CRWV^FE_ESTIMATE(NEW_ORDERS_VALUE,MEAN,QUARTERLY_ROLL,2024/1F,45790,,,'')":null,"CRWV^FE_ESTIMATE(NEW_ORDERS_VALUE,MEAN,ANNUAL_ROLL,2023,45790,,,'')":null,"CRWV^FE_ESTIMATE(NEW_ORDERS_VALUE,MEAN,QUARTERLY_ROLL,2023/4F,45790,,,'')":null,"CRWV^FE_ESTIMATE(NEW_ORDERS_VALUE,MEAN,QUARTERLY_ROLL,2023/3F,45790,,,'')":null,"CRWV^FE_ESTIMATE(NEW_ORDERS_VALUE,MEAN,QUARTERLY_ROLL,2023/2F,45790,,,'')":null,"CRWV^FE_ESTIMATE(NEW_ORDERS_VALUE,MEAN,QUARTERLY_ROLL,2023/1F,45790,,,'')":null,"CRWV^FE_ESTIMATE(NEW_ORDERS_VALUE,MEAN,ANNUAL_ROLL,2022,45790,,,'')":null,"CRWV^FE_ESTIMATE(NEW_ORDERS_VALUE,MEAN,QUARTERLY_ROLL,2022/4F,45790,,,'')":null,"CRWV^FE_ESTIMATE(NEW_ORDERS_VALUE,MEAN,QUARTERLY_ROLL,2022/3F,45790,,,'')":null,"CRWV^FE_ESTIMATE(NEW_ORDERS_VALUE,MEAN,QUARTERLY_ROLL,2022/2F,45790,,,'')":null,"CRWV^FE_ESTIMATE(NEW_ORDERS_VALUE,MEAN,QUARTERLY_ROLL,2022/1F,45790,,,'')":null,"CRWV^FE_ESTIMATE(TOTALDEBT,MEAN,ANNUAL_ROLL,2029,45790,,,'')":29399.7,"CRWV^FE_ESTIMATE(TOTALDEBT,MEAN,QUARTERLY_ROLL,2029/4F,45790,,,'')":null,"CRWV^FE_ESTIMATE(TOTALDEBT,MEAN,QUARTERLY_ROLL,2029/3F,45790,,,'')":null,"CRWV^FE_ESTIMATE(TOTALDEBT,MEAN,QUARTERLY_ROLL,2029/2F,45790,,,'')":null,"CRWV^FE_ESTIMATE(TOTALDEBT,MEAN,QUARTERLY_ROLL,2029/1F,45790,,,'')":null,"CRWV^FE_ESTIMATE(TOTALDEBT,MEAN,ANNUAL_ROLL,2028,45790,,,'')":29330.2,"CRWV^FE_ESTIMATE(TOTALDEBT,MEAN,QUARTERLY_ROLL,2028/4F,45790,,,'')":null,"CRWV^FE_ESTIMATE(TOTALDEBT,MEAN,QUARTERLY_ROLL,2028/3F,45790,,,'')":null,"CRWV^FE_ESTIMATE(TOTALDEBT,MEAN,QUARTERLY_ROLL,2028/2F,45790,,,'')":null,"CRWV^FE_ESTIMATE(TOTALDEBT,MEAN,QUARTERLY_ROLL,2028/1F,45790,,,'')":null,"CRWV^FE_ESTIMATE(TOTALDEBT,MEAN,ANNUAL_ROLL,2027,45790,,,'')":32753.871,"CRWV^FE_ESTIMATE(TOTALDEBT,MEAN,QUARTERLY_ROLL,2027/4F,45790,,,'')":32127.0,"CRWV^FE_ESTIMATE(TOTALDEBT,MEAN,QUARTERLY_ROLL,2027/3F,45790,,,'')":32873.0,"CRWV^FE_ESTIMATE(TOTALDEBT,MEAN,QUARTERLY_ROLL,2027/2F,45790,,,'')":32974.0,"CRWV^FE_ESTIMATE(TOTALDEBT,MEAN,QUARTERLY_ROLL,2027/1F,45790,,,'')":32421.0,"CRWV^FE_ESTIMATE(TOTALDEBT,MEAN,ANNUAL_ROLL,2026,45790,,,'')":28912.479,"CRWV^FE_ESTIMATE(TOTALDEBT,MEAN,QUARTERLY_ROLL,2026/4F,45790,,,'')":30389.0,"CRWV^FE_ESTIMATE(TOTALDEBT,MEAN,QUARTERLY_ROLL,2026/3F,45790,,,'')":29448.0,"CRWV^FE_ESTIMATE(TOTALDEBT,MEAN,QUARTERLY_ROLL,2026/2F,45790,,,'')":27163.0,"CRWV^FE_ESTIMATE(TOTALDEBT,MEAN,QUARTERLY_ROLL,2026/1F,45790,,,'')":24580.0,"CRWV^FE_ESTIMATE(TOTALDEBT,MEAN,ANNUAL_ROLL,2025,45790,,,'')":20852.191,"CRWV^FE_ESTIMATE(TOTALDEBT,MEAN,QUARTERLY_ROLL,2025/4F,45790,,,'')":20810.268,"CRWV^FE_ESTIMATE(TOTALDEBT,MEAN,QUARTERLY_ROLL,2025/3F,45790,,,'')":16989.533,"CRWV^FE_ESTIMATE(TOTALDEBT,MEAN,QUARTERLY_ROLL,2025/2F,45790,,,'')":12574.134,"CRWV^FE_ESTIMATE(TOTALDEBT,MEAN,QUARTERLY_ROLL,2025/1F,45790,,,'')":9152.434,"CRWV^FE_ESTIMATE(TOTALDEBT,MEAN,ANNUAL_ROLL,2024,45790,,,'')":7949.16,"CRWV^FE_ESTIMATE(TOTALDEBT,MEAN,QUARTERLY_ROLL,2024/4F,45790,,,'')":7956.7666,"CRWV^FE_ESTIMATE(TOTALDEBT,MEAN,QUARTERLY_ROLL,2024/3F,45790,,,'')":null,"CRWV^FE_ESTIMATE(TOTALDEBT,MEAN,QUARTERLY_ROLL,2024/2F,45790,,,'')":null,"CRWV^FE_ESTIMATE(TOTALDEBT,MEAN,QUARTERLY_ROLL,2024/1F,45790,,,'')":null,"CRWV^FE_ESTIMATE(TOTALDEBT,MEAN,ANNUAL_ROLL,2023,45790,,,'')":null,"CRWV^FE_ESTIMATE(TOTALDEBT,MEAN,QUARTERLY_ROLL,2023/4F,45790,,,'')":null,"CRWV^FE_ESTIMATE(TOTALDEBT,MEAN,QUARTERLY_ROLL,2023/3F,45790,,,'')":null,"CRWV^FE_ESTIMATE(TOTALDEBT,MEAN,QUARTERLY_ROLL,2023/2F,45790,,,'')":null,"CRWV^FE_ESTIMATE(TOTALDEBT,MEAN,QUARTERLY_ROLL,2023/1F,45790,,,'')":null,"CRWV^FE_ESTIMATE(TOTALDEBT,MEAN,ANNUAL_ROLL,2022,45790,,,'')":null,"CRWV^FE_ESTIMATE(TOTALDEBT,MEAN,QUARTERLY_ROLL,2022/4F,45790,,,'')":null,"CRWV^FE_ESTIMATE(TOTALDEBT,MEAN,QUARTERLY_ROLL,2022/3F,45790,,,'')":null,"CRWV^FE_ESTIMATE(TOTALDEBT,MEAN,QUARTERLY_ROLL,2022/2F,45790,,,'')":null,"CRWV^FE_ESTIMATE(TOTALDEBT,MEAN,QUARTERLY_ROLL,2022/1F,45790,,,'')":null,"CRWV^FE_ESTIMATE(DEFREVENUE,MEAN,ANNUAL_ROLL,2029,45790,,,'')":null,"CRWV^FE_ESTIMATE(DEFREVENUE,MEAN,QUARTERLY_ROLL,2029/4F,45790,,,'')":null,"CRWV^FE_ESTIMATE(DEFREVENUE,MEAN,QUARTERLY_ROLL,2029/3F,45790,,,'')":null,"CRWV^FE_ESTIMATE(DEFREVENUE,MEAN,QUARTERLY_ROLL,2029/2F,45790,,,'')":null,"CRWV^FE_ESTIMATE(DEFREVENUE,MEAN,QUARTERLY_ROLL,2029/1F,45790,,,'')":null,"CRWV^FE_ESTIMATE(DEFREVENUE,MEAN,ANNUAL_ROLL,2028,45790,,,'')":null,"CRWV^FE_ESTIMATE(DEFREVENUE,MEAN,QUARTERLY_ROLL,2028/4F,45790,,,'')":null,"CRWV^FE_ESTIMATE(DEFREVENUE,MEAN,QUARTERLY_ROLL,2028/3F,45790,,,'')":null,"CRWV^FE_ESTIMATE(DEFREVENUE,MEAN,QUARTERLY_ROLL,2028/2F,45790,,,'')":null,"CRWV^FE_ESTIMATE(DEFREVENUE,MEAN,QUARTERLY_ROLL,2028/1F,45790,,,'')":null,"CRWV^FE_ESTIMATE(DEFREVENUE,MEAN,ANNUAL_ROLL,2027,45790,,,'')":null,"CRWV^FE_ESTIMATE(DEFREVENUE,MEAN,QUARTERLY_ROLL,2027/4F,45790,,,'')":null,"CRWV^FE_ESTIMATE(DEFREVENUE,MEAN,QUARTERLY_ROLL,2027/3F,45790,,,'')":null,"CRWV^FE_ESTIMATE(DEFREVENUE,MEAN,QUARTERLY_ROLL,2027/2F,45790,,,'')":null,"CRWV^FE_ESTIMATE(DEFREVENUE,MEAN,QUARTERLY_ROLL,2027/1F,45790,,,'')":null,"CRWV^FE_ESTIMATE(DEFREVENUE,MEAN,ANNUAL_ROLL,2026,45790,,,'')":null,"CRWV^FE_ESTIMATE(DEFREVENUE,MEAN,QUARTERLY_ROLL,2026/4F,45790,,,'')":null,"CRWV^FE_ESTIMATE(DEFREVENUE,MEAN,QUARTERLY_ROLL,2026/3F,45790,,,'')":null,"CRWV^FE_ESTIMATE(DEFREVENUE,MEAN,QUARTERLY_ROLL,2026/2F,45790,,,'')":null,"CRWV^FE_ESTIMATE(DEFREVENUE,MEAN,QUARTERLY_ROLL,2026/1F,45790,,,'')":null,"CRWV^FE_ESTIMATE(DEFREVENUE,MEAN,ANNUAL_ROLL,2025,45790,,,'')":null,"CRWV^FE_ESTIMATE(DEFREVENUE,MEAN,QUARTERLY_ROLL,2025/4F,45790,,,'')":null,"CRWV^FE_ESTIMATE(DEFREVENUE,MEAN,QUARTERLY_ROLL,2025/3F,45790,,,'')":null,"CRWV^FE_ESTIMATE(DEFREVENUE,MEAN,QUARTERLY_ROLL,2025/2F,45790,,,'')":null,"CRWV^FE_ESTIMATE(DEFREVENUE,MEAN,QUARTERLY_ROLL,2025/1F,45790,,,'')":null,"CRWV^FE_ESTIMATE(DEFREVENUE,MEAN,ANNUAL_ROLL,2024,45790,,,'')":null,"CRWV^FE_ESTIMATE(DEFREVENUE,MEAN,QUARTERLY_ROLL,2024/4F,45790,,,'')":null,"CRWV^FE_ESTIMATE(DEFREVENUE,MEAN,QUARTERLY_ROLL,2024/3F,45790,,,'')":null,"CRWV^FE_ESTIMATE(DEFREVENUE,MEAN,QUARTERLY_ROLL,2024/2F,45790,,,'')":null,"CRWV^FE_ESTIMATE(DEFREVENUE,MEAN,QUARTERLY_ROLL,2024/1F,45790,,,'')":null,"CRWV^FE_ESTIMATE(DEFREVENUE,MEAN,ANNUAL_ROLL,2023,45790,,,'')":null,"CRWV^FE_ESTIMATE(DEFREVENUE,MEAN,QUARTERLY_ROLL,2023/4F,45790,,,'')":null,"CRWV^FE_ESTIMATE(DEFREVENUE,MEAN,QUARTERLY_ROLL,2023/3F,45790,,,'')":null,"CRWV^FE_ESTIMATE(DEFREVENUE,MEAN,QUARTERLY_ROLL,2023/2F,45790,,,'')":null,"CRWV^FE_ESTIMATE(DEFREVENUE,MEAN,QUARTERLY_ROLL,2023/1F,45790,,,'')":null,"CRWV^FE_ESTIMATE(DEFREVENUE,MEAN,ANNUAL_ROLL,2022,45790,,,'')":null,"CRWV^FE_ESTIMATE(DEFREVENUE,MEAN,QUARTERLY_ROLL,2022/4F,45790,,,'')":null,"CRWV^FE_ESTIMATE(DEFREVENUE,MEAN,QUARTERLY_ROLL,2022/3F,45790,,,'')":null,"CRWV^FE_ESTIMATE(DEFREVENUE,MEAN,QUARTERLY_ROLL,2022/2F,45790,,,'')":null,"CRWV^FE_ESTIMATE(DEFREVENUE,MEAN,QUARTERLY_ROLL,2022/1F,45790,,,'')":null,"CRWV^FE_ESTIMATE(DEFREVENUE_LT,MEAN,ANNUAL_ROLL,2029,45790,,,'')":null,"CRWV^FE_ESTIMATE(DEFREVENUE_LT,MEAN,QUARTERLY_ROLL,2029/4F,45790,,,'')":null,"CRWV^FE_ESTIMATE(DEFREVENUE_LT,MEAN,QUARTERLY_ROLL,2029/3F,45790,,,'')":null,"CRWV^FE_ESTIMATE(DEFREVENUE_LT,MEAN,QUARTERLY_ROLL,2029/2F,45790,,,'')":null,"CRWV^FE_ESTIMATE(DEFREVENUE_LT,MEAN,QUARTERLY_ROLL,2029/1F,45790,,,'')":null,"CRWV^FE_ESTIMATE(DEFREVENUE_LT,MEAN,ANNUAL_ROLL,2028,45790,,,'')":null,"CRWV^FE_ESTIMATE(DEFREVENUE_LT,MEAN,QUARTERLY_ROLL,2028/4F,45790,,,'')":null,"CRWV^FE_ESTIMATE(DEFREVENUE_LT,MEAN,QUARTERLY_ROLL,2028/3F,45790,,,'')":null,"CRWV^FE_ESTIMATE(DEFREVENUE_LT,MEAN,QUARTERLY_ROLL,2028/2F,45790,,,'')":null,"CRWV^FE_ESTIMATE(DEFREVENUE_LT,MEAN,QUARTERLY_ROLL,2028/1F,45790,,,'')":null,"CRWV^FE_ESTIMATE(DEFREVENUE_LT,MEAN,ANNUAL_ROLL,2027,45790,,,'')":null,"CRWV^FE_ESTIMATE(DEFREVENUE_LT,MEAN,QUARTERLY_ROLL,2027/4F,45790,,,'')":null,"CRWV^FE_ESTIMATE(DEFREVENUE_LT,MEAN,QUARTERLY_ROLL,2027/3F,45790,,,'')":null,"CRWV^FE_ESTIMATE(DEFREVENUE_LT,MEAN,QUARTERLY_ROLL,2027/2F,45790,,,'')":null,"CRWV^FE_ESTIMATE(DEFREVENUE_LT,MEAN,QUARTERLY_ROLL,2027/1F,45790,,,'')":null,"CRWV^FE_ESTIMATE(DEFREVENUE_LT,MEAN,ANNUAL_ROLL,2026,45790,,,'')":null,"CRWV^FE_ESTIMATE(DEFREVENUE_LT,MEAN,QUARTERLY_ROLL,2026/4F,45790,,,'')":null,"CRWV^FE_ESTIMATE(DEFREVENUE_LT,MEAN,QUARTERLY_ROLL,2026/3F,45790,,,'')":null,"CRWV^FE_ESTIMATE(DEFREVENUE_LT,MEAN,QUARTERLY_ROLL,2026/2F,45790,,,'')":null,"CRWV^FE_ESTIMATE(DEFREVENUE_LT,MEAN,QUARTERLY_ROLL,2026/1F,45790,,,'')":null,"CRWV^FE_ESTIMATE(DEFREVENUE_LT,MEAN,ANNUAL_ROLL,2025,45790,,,'')":null,"CRWV^FE_ESTIMATE(DEFREVENUE_LT,MEAN,QUARTERLY_ROLL,2025/4F,45790,,,'')":null,"CRWV^FE_ESTIMATE(DEFREVENUE_LT,MEAN,QUARTERLY_ROLL,2025/3F,45790,,,'')":null,"CRWV^FE_ESTIMATE(DEFREVENUE_LT,MEAN,QUARTERLY_ROLL,2025/2F,45790,,,'')":null,"CRWV^FE_ESTIMATE(DEFREVENUE_LT,MEAN,QUARTERLY_ROLL,2025/1F,45790,,,'')":null,"CRWV^FE_ESTIMATE(DEFREVENUE_LT,MEAN,ANNUAL_ROLL,2024,45790,,,'')":null,"CRWV^FE_ESTIMATE(DEFREVENUE_LT,MEAN,QUARTERLY_ROLL,2024/4F,45790,,,'')":null,"CRWV^FE_ESTIMATE(DEFREVENUE_LT,MEAN,QUARTERLY_ROLL,2024/3F,45790,,,'')":null,"CRWV^FE_ESTIMATE(DEFREVENUE_LT,MEAN,QUARTERLY_ROLL,2024/2F,45790,,,'')":null,"CRWV^FE_ESTIMATE(DEFREVENUE_LT,MEAN,QUARTERLY_ROLL,2024/1F,45790,,,'')":null,"CRWV^FE_ESTIMATE(DEFREVENUE_LT,MEAN,ANNUAL_ROLL,2023,45790,,,'')":null,"CRWV^FE_ESTIMATE(DEFREVENUE_LT,MEAN,QUARTERLY_ROLL,2023/4F,45790,,,'')":null,"CRWV^FE_ESTIMATE(DEFREVENUE_LT,MEAN,QUARTERLY_ROLL,2023/3F,45790,,,'')":null,"CRWV^FE_ESTIMATE(DEFREVENUE_LT,MEAN,QUARTERLY_ROLL,2023/2F,45790,,,'')":null,"CRWV^FE_ESTIMATE(DEFREVENUE_LT,MEAN,QUARTERLY_ROLL,2023/1F,45790,,,'')":null,"CRWV^FE_ESTIMATE(DEFREVENUE_LT,MEAN,ANNUAL_ROLL,2022,45790,,,'')":null,"CRWV^FE_ESTIMATE(DEFREVENUE_LT,MEAN,QUARTERLY_ROLL,2022/4F,45790,,,'')":null,"CRWV^FE_ESTIMATE(DEFREVENUE_LT,MEAN,QUARTERLY_ROLL,2022/3F,45790,,,'')":null,"CRWV^FE_ESTIMATE(DEFREVENUE_LT,MEAN,QUARTERLY_ROLL,2022/2F,45790,,,'')":null,"CRWV^FE_ESTIMATE(DEFREVENUE_LT,MEAN,QUARTERLY_ROLL,2022/1F,45790,,,'')":null,"CRWV^FE_ESTIMATE(DEFREVENUE_ST,MEAN,ANNUAL_ROLL,2029,45790,,,'')":null,"CRWV^FE_ESTIMATE(DEFREVENUE_ST,MEAN,QUARTERLY_ROLL,2029/4F,45790,,,'')":null,"CRWV^FE_ESTIMATE(DEFREVENUE_ST,MEAN,QUARTERLY_ROLL,2029/3F,45790,,,'')":null,"CRWV^FE_ESTIMATE(DEFREVENUE_ST,MEAN,QUARTERLY_ROLL,2029/2F,45790,,,'')":null,"CRWV^FE_ESTIMATE(DEFREVENUE_ST,MEAN,QUARTERLY_ROLL,2029/1F,45790,,,'')":null,"CRWV^FE_ESTIMATE(DEFREVENUE_ST,MEAN,ANNUAL_ROLL,2028,45790,,,'')":null,"CRWV^FE_ESTIMATE(DEFREVENUE_ST,MEAN,QUARTERLY_ROLL,2028/4F,45790,,,'')":null,"CRWV^FE_ESTIMATE(DEFREVENUE_ST,MEAN,QUARTERLY_ROLL,2028/3F,45790,,,'')":null,"CRWV^FE_ESTIMATE(DEFREVENUE_ST,MEAN,QUARTERLY_ROLL,2028/2F,45790,,,'')":null,"CRWV^FE_ESTIMATE(DEFREVENUE_ST,MEAN,QUARTERLY_ROLL,2028/1F,45790,,,'')":null,"CRWV^FE_ESTIMATE(DEFREVENUE_ST,MEAN,ANNUAL_ROLL,2027,45790,,,'')":null,"CRWV^FE_ESTIMATE(DEFREVENUE_ST,MEAN,QUARTERLY_ROLL,2027/4F,45790,,,'')":null,"CRWV^FE_ESTIMATE(DEFREVENUE_ST,MEAN,QUARTERLY_ROLL,2027/3F,45790,,,'')":null,"CRWV^FE_ESTIMATE(DEFREVENUE_ST,MEAN,QUARTERLY_ROLL,2027/2F,45790,,,'')":null,"CRWV^FE_ESTIMATE(DEFREVENUE_ST,MEAN,QUARTERLY_ROLL,2027/1F,45790,,,'')":null,"CRWV^FE_ESTIMATE(DEFREVENUE_ST,MEAN,ANNUAL_ROLL,2026,45790,,,'')":null,"CRWV^FE_ESTIMATE(DEFREVENUE_ST,MEAN,QUARTERLY_ROLL,2026/4F,45790,,,'')":null,"CRWV^FE_ESTIMATE(DEFREVENUE_ST,MEAN,QUARTERLY_ROLL,2026/3F,45790,,,'')":null,"CRWV^FE_ESTIMATE(DEFREVENUE_ST,MEAN,QUARTERLY_ROLL,2026/2F,45790,,,'')":null,"CRWV^FE_ESTIMATE(DEFREVENUE_ST,MEAN,QUARTERLY_ROLL,2026/1F,45790,,,'')":null,"CRWV^FE_ESTIMATE(DEFREVENUE_ST,MEAN,ANNUAL_ROLL,2025,45790,,,'')":null,"CRWV^FE_ESTIMATE(DEFREVENUE_ST,MEAN,QUARTERLY_ROLL,2025/4F,45790,,,'')":null,"CRWV^FE_ESTIMATE(DEFREVENUE_ST,MEAN,QUARTERLY_ROLL,2025/3F,45790,,,'')":null,"CRWV^FE_ESTIMATE(DEFREVENUE_ST,MEAN,QUARTERLY_ROLL,2025/2F,45790,,,'')":null,"CRWV^FE_ESTIMATE(DEFREVENUE_ST,MEAN,QUARTERLY_ROLL,2025/1F,45790,,,'')":null,"CRWV^FE_ESTIMATE(DEFREVENUE_ST,MEAN,ANNUAL_ROLL,2024,45790,,,'')":null,"CRWV^FE_ESTIMATE(DEFREVENUE_ST,MEAN,QUARTERLY_ROLL,2024/4F,45790,,,'')":null,"CRWV^FE_ESTIMATE(DEFREVENUE_ST,MEAN,QUARTERLY_ROLL,2024/3F,45790,,,'')":null,"CRWV^FE_ESTIMATE(DEFREVENUE_ST,MEAN,QUARTERLY_ROLL,2024/2F,45790,,,'')":null,"CRWV^FE_ESTIMATE(DEFREVENUE_ST,MEAN,QUARTERLY_ROLL,2024/1F,45790,,,'')":null,"CRWV^FE_ESTIMATE(DEFREVENUE_ST,MEAN,ANNUAL_ROLL,2023,45790,,,'')":null,"CRWV^FE_ESTIMATE(DEFREVENUE_ST,MEAN,QUARTERLY_ROLL,2023/4F,45790,,,'')":null,"CRWV^FE_ESTIMATE(DEFREVENUE_ST,MEAN,QUARTERLY_ROLL,2023/3F,45790,,,'')":null,"CRWV^FE_ESTIMATE(DEFREVENUE_ST,MEAN,QUARTERLY_ROLL,2023/2F,45790,,,'')":null,"CRWV^FE_ESTIMATE(DEFREVENUE_ST,MEAN,QUARTERLY_ROLL,2023/1F,45790,,,'')":null,"CRWV^FE_ESTIMATE(DEFREVENUE_ST,MEAN,ANNUAL_ROLL,2022,45790,,,'')":null,"CRWV^FE_ESTIMATE(DEFREVENUE_ST,MEAN,QUARTERLY_ROLL,2022/4F,45790,,,'')":null,"CRWV^FE_ESTIMATE(DEFREVENUE_ST,MEAN,QUARTERLY_ROLL,2022/3F,45790,,,'')":null,"CRWV^FE_ESTIMATE(DEFREVENUE_ST,MEAN,QUARTERLY_ROLL,2022/2F,45790,,,'')":null,"CRWV^FE_ESTIMATE(DEFREVENUE_ST,MEAN,QUARTERLY_ROLL,2022/1F,45790,,,'')":null,"CRWV^FE_ESTIMATE(FCF,MEAN,ANNUAL_ROLL,2029,45790,,,'')":979.5,"CRWV^FE_ESTIMATE(FCF,MEAN,QUARTERLY_ROLL,2029/4F,45790,,,'')":null,"CRWV^FE_ESTIMATE(FCF,MEAN,QUARTERLY_ROLL,2029/3F,45790,,,'')":null,"CRWV^FE_ESTIMATE(FCF,MEAN,QUARTERLY_ROLL,2029/2F,45790,,,'')":null,"CRWV^FE_ESTIMATE(FCF,MEAN,QUARTERLY_ROLL,2029/1F,45790,,,'')":null,"CRWV^FE_ESTIMATE(FCF,MEAN,ANNUAL_ROLL,2028,45790,,,'')":-730.5,"CRWV^FE_ESTIMATE(FCF,MEAN,QUARTERLY_ROLL,2028/4F,45790,,,'')":null,"CRWV^FE_ESTIMATE(FCF,MEAN,QUARTERLY_ROLL,2028/3F,45790,,,'')":null,"CRWV^FE_ESTIMATE(FCF,MEAN,QUARTERLY_ROLL,2028/2F,45790,,,'')":null,"CRWV^FE_ESTIMATE(FCF,MEAN,QUARTERLY_ROLL,2028/1F,45790,,,'')":null,"CRWV^FE_ESTIMATE(FCF,MEAN,ANNUAL_ROLL,2027,45790,,,'')":-2053.0916,"CRWV^FE_ESTIMATE(FCF,MEAN,QUARTERLY_ROLL,2027/4F,45790,,,'')":null,"CRWV^FE_ESTIMATE(FCF,MEAN,QUARTERLY_ROLL,2027/3F,45790,,,'')":null,"CRWV^FE_ESTIMATE(FCF,MEAN,QUARTERLY_ROLL,2027/2F,45790,,,'')":null,"CRWV^FE_ESTIMATE(FCF,MEAN,QUARTERLY_ROLL,2027/1F,45790,,,'')":null,"CRWV^FE_ESTIMATE(FCF,MEAN,ANNUAL_ROLL,2026,45790,,,'')":-7685.9307,"CRWV^FE_ESTIMATE(FCF,MEAN,QUARTERLY_ROLL,2026/4F,45790,,,'')":-1093.3334,"CRWV^FE_ESTIMATE(FCF,MEAN,QUARTERLY_ROLL,2026/3F,45790,,,'')":-2040.6666,"CRWV^FE_ESTIMATE(FCF,MEAN,QUARTERLY_ROLL,2026/2F,45790,,,'')":-2533.0,"CRWV^FE_ESTIMATE(FCF,MEAN,QUARTERLY_ROLL,2026/1F,45790,,,'')":-2645.3333,"CRWV^FE_ESTIMATE(FCF,MEAN,ANNUAL_ROLL,2025,45790,,,'')":-14563.199,"CRWV^FE_ESTIMATE(FCF,MEAN,QUARTERLY_ROLL,2025/4F,45790,,,'')":-4111.2856,"CRWV^FE_ESTIMATE(FCF,MEAN,QUARTERLY_ROLL,2025/3F,45790,,,'')":-4772.3286,"CRWV^FE_ESTIMATE(FCF,MEAN,QUARTERLY_ROLL,2025/2F,45790,,,'')":-3743.243,"CRWV^FE_ESTIMATE(FCF,MEAN,QUARTERLY_ROLL,2025/1F,45790,,,'')":-1809.5857,"CRWV^FE_ESTIMATE(FCF,MEAN,ANNUAL_ROLL,2024,45790,,,'')":-5596.9443,"CRWV^FE_ESTIMATE(FCF,MEAN,QUARTERLY_ROLL,2024/4F,45790,,,'')":-3476.0,"CRWV^FE_ESTIMATE(FCF,MEAN,QUARTERLY_ROLL,2024/3F,45790,,,'')":null,"CRWV^FE_ESTIMATE(FCF,MEAN,QUARTERLY_ROLL,2024/2F,45790,,,'')":null,"CRWV^FE_ESTIMATE(FCF,MEAN,QUARTERLY_ROLL,2024/1F,45790,,,'')":null,"CRWV^FE_ESTIMATE(FCF,MEAN,ANNUAL_ROLL,2023,45790,,,'')":null,"CRWV^FE_ESTIMATE(FCF,MEAN,QUARTERLY_ROLL,2023/4F,45790,,,'')":null,"CRWV^FE_ESTIMATE(FCF,MEAN,QUARTERLY_ROLL,2023/3F,45790,,,'')":null,"CRWV^FE_ESTIMATE(FCF,MEAN,QUARTERLY_ROLL,2023/2F,45790,,,'')":null,"CRWV^FE_ESTIMATE(FCF,MEAN,QUARTERLY_ROLL,2023/1F,45790,,,'')":null,"CRWV^FE_ESTIMATE(FCF,MEAN,ANNUAL_ROLL,2022,45790,,,'')":null,"CRWV^FE_ESTIMATE(FCF,MEAN,QUARTERLY_ROLL,2022/4F,45790,,,'')":null,"CRWV^FE_ESTIMATE(FCF,MEAN,QUARTERLY_ROLL,2022/3F,45790,,,'')":null,"CRWV^FE_ESTIMATE(FCF,MEAN,QUARTERLY_ROLL,2022/2F,45790,,,'')":null,"CRWV^FE_ESTIMATE(FCF,MEAN,QUARTERLY_ROLL,2022/1F,45790,,,'')":null,"CRWV^FE_ESTIMATE(CAPEX,MEAN,ANNUAL_ROLL,2029,45790,,,'')":14068.4,"CRWV^FE_ESTIMATE(CAPEX,MEAN,QUARTERLY_ROLL,2029/4F,45790,,,'')":null,"CRWV^FE_ESTIMATE(CAPEX,MEAN,QUARTERLY_ROLL,2029/3F,45790,,,'')":null,"CRWV^FE_ESTIMATE(CAPEX,MEAN,QUARTERLY_ROLL,2029/2F,45790,,,'')":null,"CRWV^FE_ESTIMATE(CAPEX,MEAN,QUARTERLY_ROLL,2029/1F,45790,,,'')":null,"CRWV^FE_ESTIMATE(CAPEX,MEAN,ANNUAL_ROLL,2028,45790,,,'')":14261.5,"CRWV^FE_ESTIMATE(CAPEX,MEAN,QUARTERLY_ROLL,2028/4F,45790,,,'')":null,"CRWV^FE_ESTIMATE(CAPEX,MEAN,QUARTERLY_ROLL,2028/3F,45790,,,'')":null,"CRWV^FE_ESTIMATE(CAPEX,MEAN,QUARTERLY_ROLL,2028/2F,45790,,,'')":null,"CRWV^FE_ESTIMATE(CAPEX,MEAN,QUARTERLY_ROLL,2028/1F,45790,,,'')":null,"CRWV^FE_ESTIMATE(CAPEX,MEAN,ANNUAL_ROLL,2027,45790,,,'')":12634.77,"CRWV^FE_ESTIMATE(CAPEX,MEAN,QUARTERLY_ROLL,2027/4F,45790,,,'')":2642.2654,"CRWV^FE_ESTIMATE(CAPEX,MEAN,QUARTERLY_ROLL,2027/3F,45790,,,'')":2826.4375,"CRWV^FE_ESTIMATE(CAPEX,MEAN,QUARTERLY_ROLL,2027/2F,45790,,,'')":3593.939,"CRWV^FE_ESTIMATE(CAPEX,MEAN,QUARTERLY_ROLL,2027/1F,45790,,,'')":3329.506,"CRWV^FE_ESTIMATE(CAPEX,MEAN,ANNUAL_ROLL,2026,45790,,,'')":13984.13,"CRWV^FE_ESTIMATE(CAPEX,MEAN,QUARTERLY_ROLL,2026/4F,45790,,,'')":2653.6992,"CRWV^FE_ESTIMATE(CAPEX,MEAN,QUARTERLY_ROLL,2026/3F,45790,,,'')":3638.7546,"CRWV^FE_ESTIMATE(CAPEX,MEAN,QUARTERLY_ROLL,2026/2F,45790,,,'')":3434.1477,"CRWV^FE_ESTIMATE(CAPEX,MEAN,QUARTERLY_ROLL,2026/1F,45790,,,'')":4220.504,"CRWV^FE_ESTIMATE(CAPEX,MEAN,ANNUAL_ROLL,2025,45790,,,'')":18354.805,"CRWV^FE_ESTIMATE(CAPEX,MEAN,QUARTERLY_ROLL,2025/4F,45790,,,'')":5363.463,"CRWV^FE_ESTIMATE(CAPEX,MEAN,QUARTERLY_ROLL,2025/3F,45790,,,'')":6165.9067,"CRWV^FE_ESTIMATE(CAPEX,MEAN,QUARTERLY_ROLL,2025/2F,45790,,,'')":3936.4087,"CRWV^FE_ESTIMATE(CAPEX,MEAN,QUARTERLY_ROLL,2025/1F,45790,,,'')":2882.3726,"CRWV^FE_ESTIMATE(CAPEX,MEAN,ANNUAL_ROLL,2024,45790,,,'')":8779.171,"CRWV^FE_ESTIMATE(CAPEX,MEAN,QUARTERLY_ROLL,2024/4F,45790,,,'')":3151.0667,"CRWV^FE_ESTIMATE(CAPEX,MEAN,QUARTERLY_ROLL,2024/3F,45790,,,'')":null,"CRWV^FE_ESTIMATE(CAPEX,MEAN,QUARTERLY_ROLL,2024/2F,45790,,,'')":null,"CRWV^FE_ESTIMATE(CAPEX,MEAN,QUARTERLY_ROLL,2024/1F,45790,,,'')":null,"CRWV^FE_ESTIMATE(CAPEX,MEAN,ANNUAL_ROLL,2023,45790,,,'')":null,"CRWV^FE_ESTIMATE(CAPEX,MEAN,QUARTERLY_ROLL,2023/4F,45790,,,'')":null,"CRWV^FE_ESTIMATE(CAPEX,MEAN,QUARTERLY_ROLL,2023/3F,45790,,,'')":null,"CRWV^FE_ESTIMATE(CAPEX,MEAN,QUARTERLY_ROLL,2023/2F,45790,,,'')":null,"CRWV^FE_ESTIMATE(CAPEX,MEAN,QUARTERLY_ROLL,2023/1F,45790,,,'')":null,"CRWV^FE_ESTIMATE(CAPEX,MEAN,ANNUAL_ROLL,2022,45790,,,'')":null,"CRWV^FE_ESTIMATE(CAPEX,MEAN,QUARTERLY_ROLL,2022/4F,45790,,,'')":null,"CRWV^FE_ESTIMATE(CAPEX,MEAN,QUARTERLY_ROLL,2022/3F,45790,,,'')":null,"CRWV^FE_ESTIMATE(CAPEX,MEAN,QUARTERLY_ROLL,2022/2F,45790,,,'')":null,"CRWV^FE_ESTIMATE(CAPEX,MEAN,QUARTERLY_ROLL,2022/1F,45790,,,'')":null,"CRWV^FE_ESTIMATE(CFO,MEAN,ANNUAL_ROLL,2029,45790,,,'')":null,"CRWV^FE_ESTIMATE(CFO,MEAN,QUARTERLY_ROLL,2029/4F,45790,,,'')":null,"CRWV^FE_ESTIMATE(CFO,MEAN,QUARTERLY_ROLL,2029/3F,45790,,,'')":null,"CRWV^FE_ESTIMATE(CFO,MEAN,QUARTERLY_ROLL,2029/2F,45790,,,'')":null,"CRWV^FE_ESTIMATE(CFO,MEAN,QUARTERLY_ROLL,2029/1F,45790,,,'')":null,"CRWV^FE_ESTIMATE(CFO,MEAN,ANNUAL_ROLL,2028,45790,,,'')":null,"CRWV^FE_ESTIMATE(CFO,MEAN,QUARTERLY_ROLL,2028/4F,45790,,,'')":null,"CRWV^FE_ESTIMATE(CFO,MEAN,QUARTERLY_ROLL,2028/3F,45790,,,'')":null,"CRWV^FE_ESTIMATE(CFO,MEAN,QUARTERLY_ROLL,2028/2F,45790,,,'')":null,"CRWV^FE_ESTIMATE(CFO,MEAN,QUARTERLY_ROLL,2028/1F,45790,,,'')":null,"CRWV^FE_ESTIMATE(CFO,MEAN,ANNUAL_ROLL,2027,45790,,,'')":10607.057,"CRWV^FE_ESTIMATE(CFO,MEAN,QUARTERLY_ROLL,2027/4F,45790,,,'')":3011.507,"CRWV^FE_ESTIMATE(CFO,MEAN,QUARTERLY_ROLL,2027/3F,45790,,,'')":2135.7385,"CRWV^FE_ESTIMATE(CFO,MEAN,QUARTERLY_ROLL,2027/2F,45790,,,'')":2998.324,"CRWV^FE_ESTIMATE(CFO,MEAN,QUARTERLY_ROLL,2027/1F,45790,,,'')":2527.6316,"CRWV^FE_ESTIMATE(CFO,MEAN,ANNUAL_ROLL,2026,45790,,,'')":5891.131,"CRWV^FE_ESTIMATE(CFO,MEAN,QUARTERLY_ROLL,2026/4F,45790,,,'')":1590.128,"CRWV^FE_ESTIMATE(CFO,MEAN,QUARTERLY_ROLL,2026/3F,45790,,,'')":1526.4492,"CRWV^FE_ESTIMATE(CFO,MEAN,QUARTERLY_ROLL,2026/2F,45790,,,'')":897.1958,"CRWV^FE_ESTIMATE(CFO,MEAN,QUARTERLY_ROLL,2026/1F,45790,,,'')":1560.2146,"CRWV^FE_ESTIMATE(CFO,MEAN,ANNUAL_ROLL,2025,45790,,,'')":3303.737,"CRWV^FE_ESTIMATE(CFO,MEAN,QUARTERLY_ROLL,2025/4F,45790,,,'')":1090.5162,"CRWV^FE_ESTIMATE(CFO,MEAN,QUARTERLY_ROLL,2025/3F,45790,,,'')":1472.465,"CRWV^FE_ESTIMATE(CFO,MEAN,QUARTERLY_ROLL,2025/2F,45790,,,'')":-2.295,"CRWV^FE_ESTIMATE(CFO,MEAN,QUARTERLY_ROLL,2025/1F,45790,,,'')":785.29,"CRWV^FE_ESTIMATE(CFO,MEAN,ANNUAL_ROLL,2024,45790,,,'')":3147.367,"CRWV^FE_ESTIMATE(CFO,MEAN,QUARTERLY_ROLL,2024/4F,45790,,,'')":-323.43332,"CRWV^FE_ESTIMATE(CFO,MEAN,QUARTERLY_ROLL,2024/3F,45790,,,'')":null,"CRWV^FE_ESTIMATE(CFO,MEAN,QUARTERLY_ROLL,2024/2F,45790,,,'')":null,"CRWV^FE_ESTIMATE(CFO,MEAN,QUARTERLY_ROLL,2024/1F,45790,,,'')":null,"CRWV^FE_ESTIMATE(CFO,MEAN,ANNUAL_ROLL,2023,45790,,,'')":null,"CRWV^FE_ESTIMATE(CFO,MEAN,QUARTERLY_ROLL,2023/4F,45790,,,'')":null,"CRWV^FE_ESTIMATE(CFO,MEAN,QUARTERLY_ROLL,2023/3F,45790,,,'')":null,"CRWV^FE_ESTIMATE(CFO,MEAN,QUARTERLY_ROLL,2023/2F,45790,,,'')":null,"CRWV^FE_ESTIMATE(CFO,MEAN,QUARTERLY_ROLL,2023/1F,45790,,,'')":null,"CRWV^FE_ESTIMATE(CFO,MEAN,ANNUAL_ROLL,2022,45790,,,'')":null,"CRWV^FE_ESTIMATE(CFO,MEAN,QUARTERLY_ROLL,2022/4F,45790,,,'')":null,"CRWV^FE_ESTIMATE(CFO,MEAN,QUARTERLY_ROLL,2022/3F,45790,,,'')":null,"CRWV^FE_ESTIMATE(CFO,MEAN,QUARTERLY_ROLL,2022/2F,45790,,,'')":null,"CRWV^FE_ESTIMATE(CFO,MEAN,QUARTERLY_ROLL,2022/1F,45790,,,'')":null,"CRWV^FE_ESTIMATE(EPS,MEAN,ANNUAL_ROLL,2029,45790,,,'')":3.96,"CRWV^FE_ESTIMATE(EPS,MEAN,QUARTERLY_ROLL,2029/4F,45790,,,'')":null,"CRWV^FE_ESTIMATE(EPS,MEAN,QUARTERLY_ROLL,2029/3F,45790,,,'')":null,"CRWV^FE_ESTIMATE(EPS,MEAN,QUARTERLY_ROLL,2029/2F,45790,,,'')":null,"CRWV^FE_ESTIMATE(EPS,MEAN,QUARTERLY_ROLL,2029/1F,45790,,,'')":null,"CRWV^FE_ESTIMATE(EPS,MEAN,ANNUAL_ROLL,2028,45790,,,'')":2.81,"CRWV^FE_ESTIMATE(EPS,MEAN,QUARTERLY_ROLL,2028/4F,45790,,,'')":null,"CRWV^FE_ESTIMATE(EPS,MEAN,QUARTERLY_ROLL,2028/3F,45790,,,'')":null,"CRWV^FE_ESTIMATE(EPS,MEAN,QUARTERLY_ROLL,2028/2F,45790,,,'')":null,"CRWV^FE_ESTIMATE(EPS,MEAN,QUARTERLY_ROLL,2028/1F,45790,,,'')":null,"CRWV^FE_ESTIMATE(EPS,MEAN,ANNUAL_ROLL,2027,45790,,,'')":2.4001043,"CRWV^FE_ESTIMATE(EPS,MEAN,QUARTERLY_ROLL,2027/4F,45790,,,'')":0.80221766,"CRWV^FE_ESTIMATE(EPS,MEAN,QUARTERLY_ROLL,2027/3F,45790,,,'')":0.68073887,"CRWV^FE_ESTIMATE(EPS,MEAN,QUARTERLY_ROLL,2027/2F,45790,,,'')":0.5428391,"CRWV^FE_ESTIMATE(EPS,MEAN,QUARTERLY_ROLL,2027/1F,45790,,,'')":0.40177566,"CRWV^FE_ESTIMATE(EPS,MEAN,ANNUAL_ROLL,2026,45790,,,'')":0.12921192,"CRWV^FE_ESTIMATE(EPS,MEAN,QUARTERLY_ROLL,2026/4F,45790,,,'')":0.19658852,"CRWV^FE_ESTIMATE(EPS,MEAN,QUARTERLY_ROLL,2026/3F,45790,,,'')":0.091315724,"CRWV^FE_ESTIMATE(EPS,MEAN,QUARTERLY_ROLL,2026/2F,45790,,,'')":0.020624222,"CRWV^FE_ESTIMATE(EPS,MEAN,QUARTERLY_ROLL,2026/1F,45790,,,'')":-0.16782874,"CRWV^FE_ESTIMATE(EPS,MEAN,ANNUAL_ROLL,2025,45790,,,'')":-0.2704717,"CRWV^FE_ESTIMATE(EPS,MEAN,QUARTERLY_ROLL,2025/4F,45790,,,'')":-0.19465002,"CRWV^FE_ESTIMATE(EPS,MEAN,QUARTERLY_ROLL,2025/3F,45790,,,'')":0.0015073082,"CRWV^FE_ESTIMATE(EPS,MEAN,QUARTERLY_ROLL,2025/2F,45790,,,'')":0.010668168,"CRWV^FE_ESTIMATE(EPS,MEAN,QUARTERLY_ROLL,2025/1F,45790,,,'')":-0.11554697,"CRWV^FE_ESTIMATE(EPS,MEAN,ANNUAL_ROLL,2024,45790,,,'')":-0.19859342,"CRWV^FE_ESTIMATE(EPS,MEAN,QUARTERLY_ROLL,2024/4F,45790,,,'')":-0.08,"CRWV^FE_ESTIMATE(EPS,MEAN,QUARTERLY_ROLL,2024/3F,45790,,,'')":null,"CRWV^FE_ESTIMATE(EPS,MEAN,QUARTERLY_ROLL,2024/2F,45790,,,'')":null,"CRWV^FE_ESTIMATE(EPS,MEAN,QUARTERLY_ROLL,2024/1F,45790,,,'')":null,"CRWV^FE_ESTIMATE(EPS,MEAN,ANNUAL_ROLL,2023,45790,,,'')":null,"CRWV^FE_ESTIMATE(EPS,MEAN,QUARTERLY_ROLL,2023/4F,45790,,,'')":null,"CRWV^FE_ESTIMATE(EPS,MEAN,QUARTERLY_ROLL,2023/3F,45790,,,'')":null,"CRWV^FE_ESTIMATE(EPS,MEAN,QUARTERLY_ROLL,2023/2F,45790,,,'')":null,"CRWV^FE_ESTIMATE(EPS,MEAN,QUARTERLY_ROLL,2023/1F,45790,,,'')":null,"CRWV^FE_ESTIMATE(EPS,MEAN,ANNUAL_ROLL,2022,45790,,,'')":null,"CRWV^FE_ESTIMATE(EPS,MEAN,QUARTERLY_ROLL,2022/4F,45790,,,'')":null,"CRWV^FE_ESTIMATE(EPS,MEAN,QUARTERLY_ROLL,2022/3F,45790,,,'')":null,"CRWV^FE_ESTIMATE(EPS,MEAN,QUARTERLY_ROLL,2022/2F,45790,,,'')":null,"CRWV^FE_ESTIMATE(EPS,MEAN,QUARTERLY_ROLL,2022/1F,45790,,,'')":null,"CRWV^FE_ESTIMATE(EAG,MEAN,ANNUAL_ROLL,2029,45790,,,'')":null,"CRWV^FE_ESTIMATE(EAG,MEAN,QUARTERLY_ROLL,2029/4F,45790,,,'')":null,"CRWV^FE_ESTIMATE(EAG,MEAN,QUARTERLY_ROLL,2029/3F,45790,,,'')":null,"CRWV^FE_ESTIMATE(EAG,MEAN,QUARTERLY_ROLL,2029/2F,45790,,,'')":null,"CRWV^FE_ESTIMATE(EAG,MEAN,QUARTERLY_ROLL,2029/1F,45790,,,'')":null,"CRWV^FE_ESTIMATE(EAG,MEAN,ANNUAL_ROLL,2028,45790,,,'')":null,"CRWV^FE_ESTIMATE(EAG,MEAN,QUARTERLY_ROLL,2028/4F,45790,,,'')":null,"CRWV^FE_ESTIMATE(EAG,MEAN,QUARTERLY_ROLL,2028/3F,45790,,,'')":null,"CRWV^FE_ESTIMATE(EAG,MEAN,QUARTERLY_ROLL,2028/2F,45790,,,'')":null,"CRWV^FE_ESTIMATE(EAG,MEAN,QUARTERLY_ROLL,2028/1F,45790,,,'')":null,"CRWV^FE_ESTIMATE(EAG,MEAN,ANNUAL_ROLL,2027,45790,,,'')":1.6792374,"CRWV^FE_ESTIMATE(EAG,MEAN,QUARTERLY_ROLL,2027/4F,45790,,,'')":0.62368464,"CRWV^FE_ESTIMATE(EAG,MEAN,QUARTERLY_ROLL,2027/3F,45790,,,'')":0.49818167,"CRWV^FE_ESTIMATE(EAG,MEAN,QUARTERLY_ROLL,2027/2F,45790,,,'')":0.37911433,"CRWV^FE_ESTIMATE(EAG,MEAN,QUARTERLY_ROLL,2027/1F,45790,,,'')":0.21234934,"CRWV^FE_ESTIMATE(EAG,MEAN,ANNUAL_ROLL,2026,45790,,,'')":-0.6167333,"CRWV^FE_ESTIMATE(EAG,MEAN,QUARTERLY_ROLL,2026/4F,45790,,,'')":0.0287584,"CRWV^FE_ESTIMATE(EAG,MEAN,QUARTERLY_ROLL,2026/3F,45790,,,'')":-0.0873144,"CRWV^FE_ESTIMATE(EAG,MEAN,QUARTERLY_ROLL,2026/2F,45790,,,'')":-0.1597512,"CRWV^FE_ESTIMATE(EAG,MEAN,QUARTERLY_ROLL,2026/1F,45790,,,'')":-0.435121,"CRWV^FE_ESTIMATE(EAG,MEAN,ANNUAL_ROLL,2025,45790,,,'')":-0.9248078,"CRWV^FE_ESTIMATE(EAG,MEAN,QUARTERLY_ROLL,2025/4F,45790,,,'')":-0.33232212,"CRWV^FE_ESTIMATE(EAG,MEAN,QUARTERLY_ROLL,2025/3F,45790,,,'')":-0.121896744,"CRWV^FE_ESTIMATE(EAG,MEAN,QUARTERLY_ROLL,2025/2F,45790,,,'')":-0.27641627,"CRWV^FE_ESTIMATE(EAG,MEAN,QUARTERLY_ROLL,2025/1F,45790,,,'')":-0.1840012,"CRWV^FE_ESTIMATE(EAG,MEAN,ANNUAL_ROLL,2024,45790,,,'')":-2.8676476,"CRWV^FE_ESTIMATE(EAG,MEAN,QUARTERLY_ROLL,2024/4F,45790,,,'')":-0.21,"CRWV^FE_ESTIMATE(EAG,MEAN,QUARTERLY_ROLL,2024/3F,45790,,,'')":null,"CRWV^FE_ESTIMATE(EAG,MEAN,QUARTERLY_ROLL,2024/2F,45790,,,'')":null,"CRWV^FE_ESTIMATE(EAG,MEAN,QUARTERLY_ROLL,2024/1F,45790,,,'')":null,"CRWV^FE_ESTIMATE(EAG,MEAN,ANNUAL_ROLL,2023,45790,,,'')":null,"CRWV^FE_ESTIMATE(EAG,MEAN,QUARTERLY_ROLL,2023/4F,45790,,,'')":null,"CRWV^FE_ESTIMATE(EAG,MEAN,QUARTERLY_ROLL,2023/3F,45790,,,'')":null,"CRWV^FE_ESTIMATE(EAG,MEAN,QUARTERLY_ROLL,2023/2F,45790,,,'')":null,"CRWV^FE_ESTIMATE(EAG,MEAN,QUARTERLY_ROLL,2023/1F,45790,,,'')":null,"CRWV^FE_ESTIMATE(EAG,MEAN,ANNUAL_ROLL,2022,45790,,,'')":null,"CRWV^FE_ESTIMATE(EAG,MEAN,QUARTERLY_ROLL,2022/4F,45790,,,'')":null,"CRWV^FE_ESTIMATE(EAG,MEAN,QUARTERLY_ROLL,2022/3F,45790,,,'')":null,"CRWV^FE_ESTIMATE(EAG,MEAN,QUARTERLY_ROLL,2022/2F,45790,,,'')":null,"CRWV^FE_ESTIMATE(EAG,MEAN,QUARTERLY_ROLL,2022/1F,45790,,,'')":null,"CRWV^FE_ESTIMATE(EBIT,MEAN,ANNUAL_ROLL,2029,45790,,,'')":6304.7,"CRWV^FE_ESTIMATE(EBIT,MEAN,QUARTERLY_ROLL,2029/4F,45790,,,'')":null,"CRWV^FE_ESTIMATE(EBIT,MEAN,QUARTERLY_ROLL,2029/3F,45790,,,'')":null,"CRWV^FE_ESTIMATE(EBIT,MEAN,QUARTERLY_ROLL,2029/2F,45790,,,'')":null,"CRWV^FE_ESTIMATE(EBIT,MEAN,QUARTERLY_ROLL,2029/1F,45790,,,'')":null,"CRWV^FE_ESTIMATE(EBIT,MEAN,ANNUAL_ROLL,2028,45790,,,'')":5333.3,"CRWV^FE_ESTIMATE(EBIT,MEAN,QUARTERLY_ROLL,2028/4F,45790,,,'')":null,"CRWV^FE_ESTIMATE(EBIT,MEAN,QUARTERLY_ROLL,2028/3F,45790,,,'')":null,"CRWV^FE_ESTIMATE(EBIT,MEAN,QUARTERLY_ROLL,2028/2F,45790,,,'')":null,"CRWV^FE_ESTIMATE(EBIT,MEAN,QUARTERLY_ROLL,2028/1F,45790,,,'')":null,"CRWV^FE_ESTIMATE(EBIT,MEAN,ANNUAL_ROLL,2027,45790,,,'')":4184.7607,"CRWV^FE_ESTIMATE(EBIT,MEAN,QUARTERLY_ROLL,2027/4F,45790,,,'')":1204.1678,"CRWV^FE_ESTIMATE(EBIT,MEAN,QUARTERLY_ROLL,2027/3F,45790,,,'')":1124.1986,"CRWV^FE_ESTIMATE(EBIT,MEAN,QUARTERLY_ROLL,2027/2F,45790,,,'')":1009.0805,"CRWV^FE_ESTIMATE(EBIT,MEAN,QUARTERLY_ROLL,2027/1F,45790,,,'')":897.3159,"CRWV^FE_ESTIMATE(EBIT,MEAN,ANNUAL_ROLL,2026,45790,,,'')":2518.054,"CRWV^FE_ESTIMATE(EBIT,MEAN,QUARTERLY_ROLL,2026/4F,45790,,,'')":814.01935,"CRWV^FE_ESTIMATE(EBIT,MEAN,QUARTERLY_ROLL,2026/3F,45790,,,'')":697.69604,"CRWV^FE_ESTIMATE(EBIT,MEAN,QUARTERLY_ROLL,2026/2F,45790,,,'')":594.5824,"CRWV^FE_ESTIMATE(EBIT,MEAN,QUARTERLY_ROLL,2026/1F,45790,,,'')":427.9372,"CRWV^FE_ESTIMATE(EBIT,MEAN,ANNUAL_ROLL,2025,45790,,,'')":834.44385,"CRWV^FE_ESTIMATE(EBIT,MEAN,QUARTERLY_ROLL,2025/4F,45790,,,'')":286.50125,"CRWV^FE_ESTIMATE(EBIT,MEAN,QUARTERLY_ROLL,2025/3F,45790,,,'')":211.40536,"CRWV^FE_ESTIMATE(EBIT,MEAN,QUARTERLY_ROLL,2025/2F,45790,,,'')":190.49614,"CRWV^FE_ESTIMATE(EBIT,MEAN,QUARTERLY_ROLL,2025/1F,45790,,,'')":151.03418,"CRWV^FE_ESTIMATE(EBIT,MEAN,ANNUAL_ROLL,2024,45790,,,'')":355.88022,"CRWV^FE_ESTIMATE(EBIT,MEAN,QUARTERLY_ROLL,2024/4F,45790,,,'')":120.79806,"CRWV^FE_ESTIMATE(EBIT,MEAN,QUARTERLY_ROLL,2024/3F,45790,,,'')":null,"CRWV^FE_ESTIMATE(EBIT,MEAN,QUARTERLY_ROLL,2024/2F,45790,,,'')":null,"CRWV^FE_ESTIMATE(EBIT,MEAN,QUARTERLY_ROLL,2024/1F,45790,,,'')":null,"CRWV^FE_ESTIMATE(EBIT,MEAN,ANNUAL_ROLL,2023,45790,,,'')":null,"CRWV^FE_ESTIMATE(EBIT,MEAN,QUARTERLY_ROLL,2023/4F,45790,,,'')":null,"CRWV^FE_ESTIMATE(EBIT,MEAN,QUARTERLY_ROLL,2023/3F,45790,,,'')":null,"CRWV^FE_ESTIMATE(EBIT,MEAN,QUARTERLY_ROLL,2023/2F,45790,,,'')":null,"CRWV^FE_ESTIMATE(EBIT,MEAN,QUARTERLY_ROLL,2023/1F,45790,,,'')":null,"CRWV^FE_ESTIMATE(EBIT,MEAN,ANNUAL_ROLL,2022,45790,,,'')":null,"CRWV^FE_ESTIMATE(EBIT,MEAN,QUARTERLY_ROLL,2022/4F,45790,,,'')":null,"CRWV^FE_ESTIMATE(EBIT,MEAN,QUARTERLY_ROLL,2022/3F,45790,,,'')":null,"CRWV^FE_ESTIMATE(EBIT,MEAN,QUARTERLY_ROLL,2022/2F,45790,,,'')":null,"CRWV^FE_ESTIMATE(EBIT,MEAN,QUARTERLY_ROLL,2022/1F,45790,,,'')":null,"CRWV^FE_ESTIMATE(GROSSINCOME,MEAN,ANNUAL_ROLL,2029,45790,,,'')":null,"CRWV^FE_ESTIMATE(GROSSINCOME,MEAN,QUARTERLY_ROLL,2029/4F,45790,,,'')":null,"CRWV^FE_ESTIMATE(GROSSINCOME,MEAN,QUARTERLY_ROLL,2029/3F,45790,,,'')":null,"CRWV^FE_ESTIMATE(GROSSINCOME,MEAN,QUARTERLY_ROLL,2029/2F,45790,,,'')":null,"CRWV^FE_ESTIMATE(GROSSINCOME,MEAN,QUARTERLY_ROLL,2029/1F,45790,,,'')":null,"CRWV^FE_ESTIMATE(GROSSINCOME,MEAN,ANNUAL_ROLL,2028,45790,,,'')":null,"CRWV^FE_ESTIMATE(GROSSINCOME,MEAN,QUARTERLY_ROLL,2028/4F,45790,,,'')":null,"CRWV^FE_ESTIMATE(GROSSINCOME,MEAN,QUARTERLY_ROLL,2028/3F,45790,,,'')":null,"CRWV^FE_ESTIMATE(GROSSINCOME,MEAN,QUARTERLY_ROLL,2028/2F,45790,,,'')":null,"CRWV^FE_ESTIMATE(GROSSINCOME,MEAN,QUARTERLY_ROLL,2028/1F,45790,,,'')":null,"CRWV^FE_ESTIMATE(GROSSINCOME,MEAN,ANNUAL_ROLL,2027,45790,,,'')":11834.712,"CRWV^FE_ESTIMATE(GROSSINCOME,MEAN,QUARTERLY_ROLL,2027/4F,45790,,,'')":3340.696,"CRWV^FE_ESTIMATE(GROSSINCOME,MEAN,QUARTERLY_ROLL,2027/3F,45790,,,'')":3140.8274,"CRWV^FE_ESTIMATE(GROSSINCOME,MEAN,QUARTERLY_ROLL,2027/2F,45790,,,'')":2872.757,"CRWV^FE_ESTIMATE(GROSSINCOME,MEAN,QUARTERLY_ROLL,2027/1F,45790,,,'')":2597.1646,"CRWV^FE_ESTIMATE(GROSSINCOME,MEAN,ANNUAL_ROLL,2026,45790,,,'')":8178.3765,"CRWV^FE_ESTIMATE(GROSSINCOME,MEAN,QUARTERLY_ROLL,2026/4F,45790,,,'')":2373.6504,"CRWV^FE_ESTIMATE(GROSSINCOME,MEAN,QUARTERLY_ROLL,2026/3F,45790,,,'')":2152.7285,"CRWV^FE_ESTIMATE(GROSSINCOME,MEAN,QUARTERLY_ROLL,2026/2F,45790,,,'')":1938.5612,"CRWV^FE_ESTIMATE(GROSSINCOME,MEAN,QUARTERLY_ROLL,2026/1F,45790,,,'')":1674.2397,"CRWV^FE_ESTIMATE(GROSSINCOME,MEAN,ANNUAL_ROLL,2025,45790,,,'')":3457.5864,"CRWV^FE_ESTIMATE(GROSSINCOME,MEAN,QUARTERLY_ROLL,2025/4F,45790,,,'')":1192.7222,"CRWV^FE_ESTIMATE(GROSSINCOME,MEAN,QUARTERLY_ROLL,2025/3F,45790,,,'')":865.99146,"CRWV^FE_ESTIMATE(GROSSINCOME,MEAN,QUARTERLY_ROLL,2025/2F,45790,,,'')":750.8264,"CRWV^FE_ESTIMATE(GROSSINCOME,MEAN,QUARTERLY_ROLL,2025/1F,45790,,,'')":648.1911,"CRWV^FE_ESTIMATE(GROSSINCOME,MEAN,ANNUAL_ROLL,2024,45790,,,'')":1423.235,"CRWV^FE_ESTIMATE(GROSSINCOME,MEAN,QUARTERLY_ROLL,2024/4F,45790,,,'')":565.79,"CRWV^FE_ESTIMATE(GROSSINCOME,MEAN,QUARTERLY_ROLL,2024/3F,45790,,,'')":null,"CRWV^FE_ESTIMATE(GROSSINCOME,MEAN,QUARTERLY_ROLL,2024/2F,45790,,,'')":null,"CRWV^FE_ESTIMATE(GROSSINCOME,MEAN,QUARTERLY_ROLL,2024/1F,45790,,,'')":null,"CRWV^FE_ESTIMATE(GROSSINCOME,MEAN,ANNUAL_ROLL,2023,45790,,,'')":null,"CRWV^FE_ESTIMATE(GROSSINCOME,MEAN,QUARTERLY_ROLL,2023/4F,45790,,,'')":null,"CRWV^FE_ESTIMATE(GROSSINCOME,MEAN,QUARTERLY_ROLL,2023/3F,45790,,,'')":null,"CRWV^FE_ESTIMATE(GROSSINCOME,MEAN,QUARTERLY_ROLL,2023/2F,45790,,,'')":null,"CRWV^FE_ESTIMATE(GROSSINCOME,MEAN,QUARTERLY_ROLL,2023/1F,45790,,,'')":null,"CRWV^FE_ESTIMATE(GROSSINCOME,MEAN,ANNUAL_ROLL,2022,45790,,,'')":null,"CRWV^FE_ESTIMATE(GROSSINCOME,MEAN,QUARTERLY_ROLL,2022/4F,45790,,,'')":null,"CRWV^FE_ESTIMATE(GROSSINCOME,MEAN,QUARTERLY_ROLL,2022/3F,45790,,,'')":null,"CRWV^FE_ESTIMATE(GROSSINCOME,MEAN,QUARTERLY_ROLL,2022/2F,45790,,,'')":null,"CRWV^FE_ESTIMATE(GROSSINCOME,MEAN,QUARTERLY_ROLL,2022/1F,45790,,,'')":null,"CRWV^FE_ESTIMATE(SALES,MEAN,ANNUAL_ROLL,2029,45790,,,'')":22018.3,"CRWV^FE_ESTIMATE(SALES,MEAN,QUARTERLY_ROLL,2029/4F,45790,,,'')":null,"CRWV^FE_ESTIMATE(SALES,MEAN,QUARTERLY_ROLL,2029/3F,45790,,,'')":null,"CRWV^FE_ESTIMATE(SALES,MEAN,QUARTERLY_ROLL,2029/2F,45790,,,'')":null,"CRWV^FE_ESTIMATE(SALES,MEAN,QUARTERLY_ROLL,2029/1F,45790,,,'')":null,"CRWV^FE_ESTIMATE(SALES,MEAN,ANNUAL_ROLL,2028,45790,,,'')":17966.95,"CRWV^FE_ESTIMATE(SALES,MEAN,QUARTERLY_ROLL,2028/4F,45790,,,'')":null,"CRWV^FE_ESTIMATE(SALES,MEAN,QUARTERLY_ROLL,2028/3F,45790,,,'')":null,"CRWV^FE_ESTIMATE(SALES,MEAN,QUARTERLY_ROLL,2028/2F,45790,,,'')":null,"CRWV^FE_ESTIMATE(SALES,MEAN,QUARTERLY_ROLL,2028/1F,45790,,,'')":null,"CRWV^FE_ESTIMATE(SALES,MEAN,ANNUAL_ROLL,2027,45790,,,'')":15314.821,"CRWV^FE_ESTIMATE(SALES,MEAN,QUARTERLY_ROLL,2027/4F,45790,,,'')":4212.5117,"CRWV^FE_ESTIMATE(SALES,MEAN,QUARTERLY_ROLL,2027/3F,45790,,,'')":3999.423,"CRWV^FE_ESTIMATE(SALES,MEAN,QUARTERLY_ROLL,2027/2F,45790,,,'')":3725.3794,"CRWV^FE_ESTIMATE(SALES,MEAN,QUARTERLY_ROLL,2027/1F,45790,,,'')":3461.1362,"CRWV^FE_ESTIMATE(SALES,MEAN,ANNUAL_ROLL,2026,45790,,,'')":10730.022,"CRWV^FE_ESTIMATE(SALES,MEAN,QUARTERLY_ROLL,2026/4F,45790,,,'')":3085.3494,"CRWV^FE_ESTIMATE(SALES,MEAN,QUARTERLY_ROLL,2026/3F,45790,,,'')":2826.4397,"CRWV^FE_ESTIMATE(SALES,MEAN,QUARTERLY_ROLL,2026/2F,45790,,,'')":2554.3835,"CRWV^FE_ESTIMATE(SALES,MEAN,QUARTERLY_ROLL,2026/1F,45790,,,'')":2294.766,"CRWV^FE_ESTIMATE(SALES,MEAN,ANNUAL_ROLL,2025,45790,,,'')":4656.2266,"CRWV^FE_ESTIMATE(SALES,MEAN,QUARTERLY_ROLL,2025/4F,45790,,,'')":1642.2964,"CRWV^FE_ESTIMATE(SALES,MEAN,QUARTERLY_ROLL,2025/3F,45790,,,'')":1176.363,"CRWV^FE_ESTIMATE(SALES,MEAN,QUARTERLY_ROLL,2025/2F,45790,,,'')":988.4806,"CRWV^FE_ESTIMATE(SALES,MEAN,QUARTERLY_ROLL,2025/1F,45790,,,'')":857.1028,"CRWV^FE_ESTIMATE(SALES,MEAN,ANNUAL_ROLL,2024,45790,,,'')":1915.6385,"CRWV^FE_ESTIMATE(SALES,MEAN,QUARTERLY_ROLL,2024/4F,45790,,,'')":747.2767,"CRWV^FE_ESTIMATE(SALES,MEAN,QUARTERLY_ROLL,2024/3F,45790,,,'')":null,"CRWV^FE_ESTIMATE(SALES,MEAN,QUARTERLY_ROLL,2024/2F,45790,,,'')":null,"CRWV^FE_ESTIMATE(SALES,MEAN,QUARTERLY_ROLL,2024/1F,45790,,,'')":null,"CRWV^FE_ESTIMATE(SALES,MEAN,ANNUAL_ROLL,2023,45790,,,'')":null,"CRWV^FE_ESTIMATE(SALES,MEAN,QUARTERLY_ROLL,2023/4F,45790,,,'')":null,"CRWV^FE_ESTIMATE(SALES,MEAN,QUARTERLY_ROLL,2023/3F,45790,,,'')":null,"CRWV^FE_ESTIMATE(SALES,MEAN,QUARTERLY_ROLL,2023/2F,45790,,,'')":null,"CRWV^FE_ESTIMATE(SALES,MEAN,QUARTERLY_ROLL,2023/1F,45790,,,'')":null,"CRWV^FE_ESTIMATE(SALES,MEAN,ANNUAL_ROLL,2022,45790,,,'')":null,"CRWV^FE_ESTIMATE(SALES,MEAN,QUARTERLY_ROLL,2022/4F,45790,,,'')":null,"CRWV^FE_ESTIMATE(SALES,MEAN,QUARTERLY_ROLL,2022/3F,45790,,,'')":null,"CRWV^FE_ESTIMATE(SALES,MEAN,QUARTERLY_ROLL,2022/2F,45790,,,'')":null,"CRWV^FE_ESTIMATE(SALES,MEAN,QUARTERLY_ROLL,2022/1F,45790,,,'')":null,"AVT^FE_ESTIMATE(UFCF,MEAN,CALA_ROLL,2027,45792,,,'')":null,"AVT^FE_ESTIMATE(UFCF,MEAN,CALA_ROLL,2026,45792,,,'')":null,"AVT^FE_ESTIMATE(UFCF,MEAN,CALA_ROLL,2025,45792,,,'')":null,"AVT^FE_ESTIMATE(UFCF,MEAN,CALA_ROLL,2024,45792,,,'')":null,"AVT^FE_ESTIMATE(UFCF,MEAN,CALA_ROLL,2023,45792,,,'')":null,"AVT^FE_ESTIMATE(UFCF,MEAN,NTM4,,45792,,,'')":null,"AVT^FE_ESTIMATE(UFCF,MEAN,LTM4,,45792,,,'')":null,"ARW^FE_ESTIMATE(UFCF,MEAN,CALA_ROLL,2027,45792,,,'')":null,"ARW^FE_ESTIMATE(UFCF,MEAN,CALA_ROLL,2026,45792,,,'')":null,"ARW^FE_ESTIMATE(UFCF,MEAN,CALA_ROLL,2025,45792,,,'')":null,"ARW^FE_ESTIMATE(UFCF,MEAN,CALA_ROLL,2024,45792,,,'')":null,"ARW^FE_ESTIMATE(UFCF,MEAN,CALA_ROLL,2023,45792,,,'')":null,"ARW^FE_ESTIMATE(UFCF,MEAN,NTM4,,45792,,,'')":null,"ARW^FE_ESTIMATE(UFCF,MEAN,LTM4,,45792,,,'')":null,"SNX^FE_ESTIMATE(UFCF,MEAN,CALA_ROLL,2027,45792,,,'')":null,"SNX^FE_ESTIMATE(UFCF,MEAN,CALA_ROLL,2026,45792,,,'')":null,"SNX^FE_ESTIMATE(UFCF,MEAN,CALA_ROLL,2025,45792,,,'')":null,"SNX^FE_ESTIMATE(UFCF,MEAN,CALA_ROLL,2024,45792,,,'')":null,"SNX^FE_ESTIMATE(UFCF,MEAN,CALA_ROLL,2023,45792,,,'')":null,"SNX^FE_ESTIMATE(UFCF,MEAN,NTM4,,45792,,,'')":null,"SNX^FE_ESTIMATE(UFCF,MEAN,LTM4,,45792,,,'')":null,"CDW^FE_ESTIMATE(UFCF,MEAN,CALA_ROLL,2027,45792,,,'')":null,"CDW^FE_ESTIMATE(UFCF,MEAN,CALA_ROLL,2026,45792,,,'')":null,"CDW^FE_ESTIMATE(UFCF,MEAN,CALA_ROLL,2025,45792,,,'')":null,"CDW^FE_ESTIMATE(UFCF,MEAN,CALA_ROLL,2024,45792,,,'')":null,"CDW^FE_ESTIMATE(UFCF,MEAN,CALA_ROLL,2023,45792,,,'')":null,"CDW^FE_ESTIMATE(UFCF,MEAN,NTM4,,45792,,,'')":null,"CDW^FE_ESTIMATE(UFCF,MEAN,LTM4,,45792,,,'')":null,"INGM^FE_ESTIMATE(UFCF,MEAN,CALA_ROLL,2027,45792,,,'')":null,"INGM^FE_ESTIMATE(UFCF,MEAN,CALA_ROLL,2026,45792,,,'')":null,"INGM^FE_ESTIMATE(UFCF,MEAN,CALA_ROLL,2025,45792,,,'')":null,"INGM^FE_ESTIMATE(UFCF,MEAN,CALA_ROLL,2024,45792,,,'')":null,"INGM^FE_ESTIMATE(UFCF,MEAN,CALA_ROLL,2023,45792,,,'')":null,"INGM^FE_ESTIMATE(UFCF,MEAN,NTM4,,45792,,,'')":null,"INGM^FE_ESTIMATE(UFCF,MEAN,LTM4,,45792,,,'')":null,"DOCN^FE_ESTIMATE(UFCF,MEAN,CALA_ROLL,2027,45792,,,'')":null,"DOCN^FE_ESTIMATE(UFCF,MEAN,CALA_ROLL,2026,45792,,,'')":null,"DOCN^FE_ESTIMATE(UFCF,MEAN,CALA_ROLL,2025,45792,,,'')":null,"DOCN^FE_ESTIMATE(UFCF,MEAN,CALA_ROLL,2024,45792,,,'')":null,"DOCN^FE_ESTIMATE(UFCF,MEAN,CALA_ROLL,2023,45792,,,'')":null,"DOCN^FE_ESTIMATE(UFCF,MEAN,NTM4,,45792,,,'')":null,"DOCN^FE_ESTIMATE(UFCF,MEAN,LTM4,,45792,,,'')":null,"GOOG^FE_ESTIMATE(UFCF,MEAN,CALA_ROLL,2027,45792,,,'')":null,"GOOG^FE_ESTIMATE(UFCF,MEAN,CALA_ROLL,2026,45792,,,'')":null,"GOOG^FE_ESTIMATE(UFCF,MEAN,CALA_ROLL,2025,45792,,,'')":null,"GOOG^FE_ESTIMATE(UFCF,MEAN,CALA_ROLL,2024,45792,,,'')":null,"GOOG^FE_ESTIMATE(UFCF,MEAN,CALA_ROLL,2023,45792,,,'')":null,"GOOG^FE_ESTIMATE(UFCF,MEAN,NTM4,,45792,,,'')":null,"GOOG^FE_ESTIMATE(UFCF,MEAN,LTM4,,45792,,,'')":null,"AMZN^FE_ESTIMATE(UFCF,MEAN,CALA_ROLL,2027,45792,,,'')":null,"AMZN^FE_ESTIMATE(UFCF,MEAN,CALA_ROLL,2026,45792,,,'')":null,"AMZN^FE_ESTIMATE(UFCF,MEAN,CALA_ROLL,2025,45792,,,'')":null,"AMZN^FE_ESTIMATE(UFCF,MEAN,CALA_ROLL,2024,45792,,,'')":null,"AMZN^FE_ESTIMATE(UFCF,MEAN,CALA_ROLL,2023,45792,,,'')":null,"AMZN^FE_ESTIMATE(UFCF,MEAN,NTM4,,45792,,,'')":null,"AMZN^FE_ESTIMATE(UFCF,MEAN,LTM4,,45792,,,'')":null,"ORCL^FE_ESTIMATE(UFCF,MEAN,CALA_ROLL,2027,45792,,,'')":null,"ORCL^FE_ESTIMATE(UFCF,MEAN,CALA_ROLL,2026,45792,,,'')":null,"ORCL^FE_ESTIMATE(UFCF,MEAN,CALA_ROLL,2025,45792,,,'')":null,"ORCL^FE_ESTIMATE(UFCF,MEAN,CALA_ROLL,2024,45792,,,'')":null,"ORCL^FE_ESTIMATE(UFCF,MEAN,CALA_ROLL,2023,45792,,,'')":13482.341,"ORCL^FE_ESTIMATE(UFCF,MEAN,NTM4,,45792,,,'')":null,"ORCL^FE_ESTIMATE(UFCF,MEAN,LTM4,,45792,,,'')":null,"IBM^FE_ESTIMATE(UFCF,MEAN,CALA_ROLL,2027,45792,,,'')":null,"IBM^FE_ESTIMATE(UFCF,MEAN,CALA_ROLL,2026,45792,,,'')":null,"IBM^FE_ESTIMATE(UFCF,MEAN,CALA_ROLL,2025,45792,,,'')":null,"IBM^FE_ESTIMATE(UFCF,MEAN,CALA_ROLL,2024,45792,,,'')":null,"IBM^FE_ESTIMATE(UFCF,MEAN,CALA_ROLL,2023,45792,,,'')":null,"IBM^FE_ESTIMATE(UFCF,MEAN,NTM4,,45792,,,'')":null,"IBM^FE_ESTIMATE(UFCF,MEAN,LTM4,,45792,,,'')":null,"EQIX^FE_ESTIMATE(UFCF,MEAN,CALA_ROLL,2027,45792,,,'')":1939.7,"EQIX^FE_ESTIMATE(UFCF,MEAN,CALA_ROLL,2026,45792,,,'')":1550.1,"EQIX^FE_ESTIMATE(UFCF,MEAN,CALA_ROLL,2025,45792,,,'')":1379.2,"EQIX^FE_ESTIMATE(UFCF,MEAN,CALA_ROLL,2024,45792,,,'')":null,"EQIX^FE_ESTIMATE(UFCF,MEAN,CALA_ROLL,2023,45792,,,'')":null,"EQIX^FE_ESTIMATE(UFCF,MEAN,NTM4,,45792,,,'')":null,"EQIX^FE_ESTIMATE(UFCF,MEAN,LTM4,,45792,,,'')":null,"DLR^FE_ESTIMATE(UFCF,MEAN,CALA_ROLL,2027,45792,,,'')":31.7,"DLR^FE_ESTIMATE(UFCF,MEAN,CALA_ROLL,2026,45792,,,'')":-548.2,"DLR^FE_ESTIMATE(UFCF,MEAN,CALA_ROLL,2025,45792,,,'')":-767.2,"DLR^FE_ESTIMATE(UFCF,MEAN,CALA_ROLL,2024,45792,,,'')":null,"DLR^FE_ESTIMATE(UFCF,MEAN,CALA_ROLL,2023,45792,,,'')":-1479.6,"DLR^FE_ESTIMATE(UFCF,MEAN,NTM4,,45792,,,'')":null,"DLR^FE_ESTIMATE(UFCF,MEAN,LTM4,,45792,,,'')":null,"NVDA^FE_ESTIMATE(UFCF,MEAN,CALA_ROLL,2027,45792,,,'')":null,"NVDA^FE_ESTIMATE(UFCF,MEAN,CALA_ROLL,2026,45792,,,'')":null,"NVDA^FE_ESTIMATE(UFCF,MEAN,CALA_ROLL,2025,45792,,,'')":null,"NVDA^FE_ESTIMATE(UFCF,MEAN,CALA_ROLL,2024,45792,,,'')":null,"NVDA^FE_ESTIMATE(UFCF,MEAN,CALA_ROLL,2023,45792,,,'')":null,"NVDA^FE_ESTIMATE(UFCF,MEAN,NTM4,,45792,,,'')":null,"NVDA^FE_ESTIMATE(UFCF,MEAN,LTM4,,45792,,,'')":null,"MSFT^FE_ESTIMATE(UFCF,MEAN,CALA_ROLL,2027,45792,,,'')":null,"MSFT^FE_ESTIMATE(UFCF,MEAN,CALA_ROLL,2026,45792,,,'')":null,"MSFT^FE_ESTIMATE(UFCF,MEAN,CALA_ROLL,2025,45792,,,'')":null,"MSFT^FE_ESTIMATE(UFCF,MEAN,CALA_ROLL,2024,45792,,,'')":null,"MSFT^FE_ESTIMATE(UFCF,MEAN,CALA_ROLL,2023,45792,,,'')":null,"MSFT^FE_ESTIMATE(UFCF,MEAN,NTM4,,45792,,,'')":null,"MSFT^FE_ESTIMATE(UFCF,MEAN,LTM4,,45792,,,'')":null,"AVT^FE_ESTIMATE(FCF,MEAN,CAL4,2027,45792,,,'')":null,"AVT^FE_ESTIMATE(FCF,MEAN,CAL4,2026,45792,,,'')":null,"AVT^FE_ESTIMATE(FCF,MEAN,CAL4,2025,45792,,,'')":null,"AVT^FE_ESTIMATE(FCF,MEAN,CAL4,2024,45792,,,'')":null,"AVT^FE_ESTIMATE(FCF,MEAN,CAL4,2023,45792,,,'')":null,"AVT^FE_ESTIMATE(FCF,MEAN,NTM4,,45792,,,'')":null,"AVT^FE_ESTIMATE(FCF,MEAN,LTM4,,45792,,,'')":null,"ARW^FE_ESTIMATE(FCF,MEAN,CAL4,2027,45792,,,'')":null,"ARW^FE_ESTIMATE(FCF,MEAN,CAL4,2026,45792,,,'')":null,"ARW^FE_ESTIMATE(FCF,MEAN,CAL4,2025,45792,,,'')":null,"ARW^FE_ESTIMATE(FCF,MEAN,CAL4,2024,45792,,,'')":null,"ARW^FE_ESTIMATE(FCF,MEAN,CAL4,2023,45792,,,'')":null,"ARW^FE_ESTIMATE(FCF,MEAN,NTM4,,45792,,,'')":null,"ARW^FE_ESTIMATE(FCF,MEAN,LTM4,,45792,,,'')":null,"SNX^FE_ESTIMATE(FCF,MEAN,CAL4,2027,45792,,,'')":null,"SNX^FE_ESTIMATE(FCF,MEAN,CAL4,2026,45792,,,'')":1054.8,"SNX^FE_ESTIMATE(FCF,MEAN,CAL4,2025,45792,,,'')":1097.378,"SNX^FE_ESTIMATE(FCF,MEAN,CAL4,2024,45792,,,'')":1042.612,"SNX^FE_ESTIMATE(FCF,MEAN,CAL4,2023,45792,,,'')":1257.366,"SNX^FE_ESTIMATE(FCF,MEAN,NTM4,,45792,,,'')":1935.9,"SNX^FE_ESTIMATE(FCF,MEAN,LTM4,,45792,,,'')":-90.531,"CDW^FE_ESTIMATE(FCF,MEAN,CAL4,2027,45792,,,'')":null,"CDW^FE_ESTIMATE(FCF,MEAN,CAL4,2026,45792,,,'')":null,"CDW^FE_ESTIMATE(FCF,MEAN,CAL4,2025,45792,,,'')":null,"CDW^FE_ESTIMATE(FCF,MEAN,CAL4,2024,45792,,,'')":null,"CDW^FE_ESTIMATE(FCF,MEAN,CAL4,2023,45792,,,'')":null,"CDW^FE_ESTIMATE(FCF,MEAN,NTM4,,45792,,,'')":null,"CDW^FE_ESTIMATE(FCF,MEAN,LTM4,,45792,,,'')":null,"INGM^FE_ESTIMATE(FCF,MEAN,CAL4,2027,45792,,,'')":null,"INGM^FE_ESTIMATE(FCF,MEAN,CAL4,2026,45792,,,'')":433.5,"INGM^FE_ESTIMATE(FCF,MEAN,CAL4,2025,45792,,,'')":349.5,"INGM^FE_ESTIMATE(FCF,MEAN,CAL4,2024,45792,,,'')":null,"INGM^FE_ESTIMATE(FCF,MEAN,CAL4,2023,45792,,,'')":null,"INGM^FE_ESTIMATE(FCF,MEAN,NTM4,,45792,,,'')":691.5,"INGM^FE_ESTIMATE(FCF,MEAN,LTM4,,45792,,,'')":288.225,"DOCN^FE_ESTIMATE(FCF,MEAN,CALA_ROLL,2027,45792,,,'')":201.08434,"DOCN^FE_ESTIMATE(FCF,MEAN,CAL4,2026,45792,,,'')":166.2633,"DOCN^FE_ESTIMATE(FCF,MEAN,CAL4,2025,45792,,,'')":143.37175,"DOCN^FE_ESTIMATE(FCF,MEAN,CAL4,2024,45792,,,'')":134.283,"DOCN^FE_ESTIMATE(FCF,MEAN,CAL4,2023,45792,,,'')":155.752,"DOCN^FE_ESTIMATE(FCF,MEAN,NTM4,,45792,,,'')":169.24135,"DOCN^FE_ESTIMATE(FCF,MEAN,LTM4,,45792,,,'')":100.761,"GOOG^FE_ESTIMATE(FCF,MEAN,CALA_ROLL,2027,45792,,,'')":116854.69,"GOOG^FE_ESTIMATE(FCF,MEAN,CAL4,2026,45792,,,'')":88364.6,"GOOG^FE_ESTIMATE(FCF,MEAN,CAL4,2025,45792,,,'')":74054.516,"GOOG^FE_ESTIMATE(FCF,MEAN,CAL4,2024,45792,,,'')":73062.0,"GOOG^FE_ESTIMATE(FCF,MEAN,CAL4,2023,45792,,,'')":69970.21,"GOOG^FE_ESTIMATE(FCF,MEAN,NTM4,,45792,,,'')":76545.46,"GOOG^FE_ESTIMATE(FCF,MEAN,LTM4,,45792,,,'')":74881.46,"AMZN^FE_ESTIMATE(FCF,MEAN,CALA_ROLL,2027,45792,,,'')":100458.19,"AMZN^FE_ESTIMATE(FCF,MEAN,CAL4,2026,45792,,,'')":51120.04,"AMZN^FE_ESTIMATE(FCF,MEAN,CAL4,2025,45792,,,'')":34186.027,"AMZN^FE_ESTIMATE(FCF,MEAN,CAL4,2024,45792,,,'')":37569.48,"AMZN^FE_ESTIMATE(FCF,MEAN,CAL4,2023,45792,,,'')":38765.21,"AMZN^FE_ESTIMATE(FCF,MEAN,NTM4,,45792,,,'')":38340.324,"AMZN^FE_ESTIMATE(FCF,MEAN,LTM4,,45792,,,'')":26235.98,"ORCL^FE_ESTIMATE(FCF,MEAN,CALA_ROLL,2027,45792,,,'')":20584.762,"ORCL^FE_ESTIMATE(FCF,MEAN,CAL4,2026,45792,,,'')":10748.23,"ORCL^FE_ESTIMATE(FCF,MEAN,CAL4,2025,45792,,,'')":6312.889,"ORCL^FE_ESTIMATE(FCF,MEAN,CAL4,2024,45792,,,'')":9550.706,"ORCL^FE_ESTIMATE(FCF,MEAN,CAL4,2023,45792,,,'')":10035.492,"ORCL^FE_ESTIMATE(FCF,MEAN,NTM4,,45792,,,'')":7418.4395,"ORCL^FE_ESTIMATE(FCF,MEAN,LTM4,,45792,,,'')":5869.091,"IBM^FE_ESTIMATE(FCF,MEAN,CALA_ROLL,2027,45792,,,'')":15435.5,"IBM^FE_ESTIMATE(FCF,MEAN,CAL4,2026,45792,,,'')":14529.5,"IBM^FE_ESTIMATE(FCF,MEAN,CAL4,2025,45792,,,'')":13748.533,"IBM^FE_ESTIMATE(FCF,MEAN,CAL4,2024,45792,,,'')":12749.0,"IBM^FE_ESTIMATE(FCF,MEAN,CAL4,2023,45792,,,'')":11210.0,"IBM^FE_ESTIMATE(FCF,MEAN,NTM4,,45792,,,'')":14588.033,"IBM^FE_ESTIMATE(FCF,MEAN,LTM4,,45792,,,'')":12801.0,"EQIX^FE_ESTIMATE(FCF,MEAN,CALA_ROLL,2027,45792,,,'')":1526.2,"EQIX^FE_ESTIMATE(FCF,MEAN,CAL4,2026,45792,,,'')":1303.278,"EQIX^FE_ESTIMATE(FCF,MEAN,CAL4,2025,45792,,,'')":995.50635,"EQIX^FE_ESTIMATE(FCF,MEAN,CAL4,2024,45792,,,'')":151.449,"EQIX^FE_ESTIMATE(FCF,MEAN,CAL4,2023,45792,,,'')":1506.067,"EQIX^FE_ESTIMATE(FCF,MEAN,NTM4,,45792,,,'')":1048.3024,"EQIX^FE_ESTIMATE(FCF,MEAN,LTM4,,45792,,,'')":589.88336,"DLR^FE_ESTIMATE(FCF,MEAN,CALA_ROLL,2027,45792,,,'')":528.465,"DLR^FE_ESTIMATE(FCF,MEAN,CALA_ROLL,2026,45792,,,'')":-128.29802,"DLR^FE_ESTIMATE(FCF,MEAN,CAL4,2025,45792,,,'')":null,"DLR^FE_ESTIMATE(FCF,MEAN,CALA_ROLL,2024,45792,,,'')":772.316,"DLR^FE_ESTIMATE(FCF,MEAN,CALA_ROLL,2023,45792,,,'')":-1867.194,"DLR^FE_ESTIMATE(FCF,MEAN,NTM4,,45792,,,'')":null,"DLR^FE_ESTIMATE(FCF,MEAN,LTM4,,45792,,,'')":null,"NVDA^FE_ESTIMATE(FCF,MEAN,CALA_ROLL,2027,45792,,,'')":147707.2,"NVDA^FE_ESTIMATE(FCF,MEAN,CAL4,2026,45792,,,'')":129759.445,"NVDA^FE_ESTIMATE(FCF,MEAN,CAL4,2025,45792,,,'')":97336.16,"NVDA^FE_ESTIMATE(FCF,MEAN,CAL4,2024,45792,,,'')":62019.04,"NVDA^FE_ESTIMATE(FCF,MEAN,CAL4,2023,45792,,,'')":26297.904,"NVDA^FE_ESTIMATE(FCF,MEAN,NTM4,,45792,,,'')":97336.16,"NVDA^FE_ESTIMATE(FCF,MEAN,LTM4,,45792,,,'')":62019.04,"MSFT^FE_ESTIMATE(FCF,MEAN,CALA_ROLL,2027,45792,,,'')":115185.5,"MSFT^FE_ESTIMATE(FCF,MEAN,CALA_ROLL,2026,45792,,,'')":87115.29,"MSFT^FE_ESTIMATE(FCF,MEAN,CAL4,2025,45792,,,'')":75803.04,"MSFT^FE_ESTIMATE(FCF,MEAN,CAL4,2024,45792,,,'')":68042.71,"MSFT^FE_ESTIMATE(FCF,MEAN,CAL4,2023,45792,,,'')":64571.887,"MSFT^FE_ESTIMATE(FCF,MEAN,NTM4,,45792,,,'')":75487.01,"MSFT^FE_ESTIMATE(FCF,MEAN,LTM4,,45792,,,'')":67645.7,"AVT^FE_ESTIMATE(EPS_GAAP,MEAN,CAL4,2027,45792,,,'')":null,"AVT^FE_ESTIMATE(EPS_GAAP,MEAN,CAL4,2026,45792,,,'')":null,"AVT^FE_ESTIMATE(EPS_GAAP,MEAN,CAL4,2025,45792,,,'')":3.4733334,"AVT^FE_ESTIMATE(EPS_GAAP,MEAN,CAL4,2024,45792,,,'')":3.53,"AVT^FE_ESTIMATE(EPS_GAAP,MEAN,CAL4,2023,45792,,,'')":7.24,"AVT^FE_ESTIMATE(EPS_GAAP,MEAN,NTM4,,45792,,,'')":3.6966667,"AVT^FE_ESTIMATE(EPS_GAAP,MEAN,LTM4,,45792,,,'')":3.57,"ARW^FE_ESTIMATE(EPS_GAAP,MEAN,CALA_ROLL,2027,45792,,,'')":null,"ARW^FE_ESTIMATE(EPS_GAAP,MEAN,CAL4,2026,45792,,,'')":12.07,"ARW^FE_ESTIMATE(EPS_GAAP,MEAN,CAL4,2025,45792,,,'')":9.743333,"ARW^FE_ESTIMATE(EPS_GAAP,MEAN,CAL4,2024,45792,,,'')":7.28,"ARW^FE_ESTIMATE(EPS_GAAP,MEAN,CAL4,2023,45792,,,'')":15.79,"ARW^FE_ESTIMATE(EPS_GAAP,MEAN,NTM4,,45792,,,'')":10.773334,"ARW^FE_ESTIMATE(EPS_GAAP,MEAN,LTM4,,45792,,,'')":7.26,"SNX^FE_ESTIMATE(EPS_GAAP,MEAN,CAL4,2027,45792,,,'')":11.222478,"SNX^FE_ESTIMATE(EPS_GAAP,MEAN,CAL4,2026,45792,,,'')":9.970744,"SNX^FE_ESTIMATE(EPS_GAAP,MEAN,CAL4,2025,45792,,,'')":8.590072,"SNX^FE_ESTIMATE(EPS_GAAP,MEAN,CAL4,2024,45792,,,'')":7.96,"SNX^FE_ESTIMATE(EPS_GAAP,MEAN,CAL4,2023,45792,,,'')":6.71,"SNX^FE_ESTIMATE(EPS_GAAP,MEAN,NTM4,,45792,,,'')":8.93605,"SNX^FE_ESTIMATE(EPS_GAAP,MEAN,LTM4,,45792,,,'')":8.01,"CDW^FE_ESTIMATE(EPS_GAAP,MEAN,CALA_ROLL,2027,45792,,,'')":10.090966,"CDW^FE_ESTIMATE(EPS_GAAP,MEAN,CAL4,2026,45792,,,'')":9.006077,"CDW^FE_ESTIMATE(EPS_GAAP,MEAN,CAL4,2025,45792,,,'')":8.175543,"CDW^FE_ESTIMATE(EPS_GAAP,MEAN,CAL4,2024,45792,,,'')":7.97,"CDW^FE_ESTIMATE(EPS_GAAP,MEAN,CAL4,2023,45792,,,'')":8.1,"CDW^FE_ESTIMATE(EPS_GAAP,MEAN,NTM4,,45792,,,'')":8.369062,"CDW^FE_ESTIMATE(EPS_GAAP,MEAN,LTM4,,45792,,,'')":8.07,"INGM^FE_ESTIMATE(EPS_GAAP,MEAN,CALA_ROLL,2027,45792,,,'')":2.7294426,"INGM^FE_ESTIMATE(EPS_GAAP,MEAN,CAL4,2026,45792,,,'')":2.8285,"INGM^FE_ESTIMATE(EPS_GAAP,MEAN,CAL4,2025,45792,,,'')":2.1853092,"INGM^FE_ESTIMATE(EPS_GAAP,MEAN,CAL4,2024,45792,,,'')":null,"INGM^FE_ESTIMATE(EPS_GAAP,MEAN,CAL4,2023,45792,,,'')":null,"INGM^FE_ESTIMATE(EPS_GAAP,MEAN,NTM4,,45792,,,'')":2.4413092,"INGM^FE_ESTIMATE(EPS_GAAP,MEAN,LTM4,,45792,,,'')":1.3451453,"DOCN^FE_ESTIMATE(EPS_GAAP,MEAN,CALA_ROLL,2027,45792,,,'')":1.2453405,"DOCN^FE_ESTIMATE(EPS_GAAP,MEAN,CAL4,2026,45792,,,'')":0.812169,"DOCN^FE_ESTIMATE(EPS_GAAP,MEAN,CAL4,2025,45792,,,'')":1.0700026,"DOCN^FE_ESTIMATE(EPS_GAAP,MEAN,CAL4,2024,45792,,,'')":0.87,"DOCN^FE_ESTIMATE(EPS_GAAP,MEAN,CAL4,2023,45792,,,'')":0.013333334,"DOCN^FE_ESTIMATE(EPS_GAAP,MEAN,NTM4,,45792,,,'')":0.9000595,"DOCN^FE_ESTIMATE(EPS_GAAP,MEAN,LTM4,,45792,,,'')":1.11,"GOOG^FE_ESTIMATE(EPS_GAAP,MEAN,CALA_ROLL,2027,45792,,,'')":11.717794,"GOOG^FE_ESTIMATE(EPS_GAAP,MEAN,CAL4,2026,45792,,,'')":10.08544,"GOOG^FE_ESTIMATE(EPS_GAAP,MEAN,CAL4,2025,45792,,,'')":9.641753,"GOOG^FE_ESTIMATE(EPS_GAAP,MEAN,CAL4,2024,45792,,,'')":8.05,"GOOG^FE_ESTIMATE(EPS_GAAP,MEAN,CAL4,2023,45792,,,'')":5.8,"GOOG^FE_ESTIMATE(EPS_GAAP,MEAN,NTM4,,45792,,,'')":9.174473,"GOOG^FE_ESTIMATE(EPS_GAAP,MEAN,LTM4,,45792,,,'')":8.97,"AMZN^FE_ESTIMATE(EPS_GAAP,MEAN,CALA_ROLL,2027,45792,,,'')":8.946364,"AMZN^FE_ESTIMATE(EPS_GAAP,MEAN,CAL4,2026,45792,,,'')":7.2761545,"AMZN^FE_ESTIMATE(EPS_GAAP,MEAN,CAL4,2025,45792,,,'')":6.1970367,"AMZN^FE_ESTIMATE(EPS_GAAP,MEAN,CAL4,2024,45792,,,'')":5.53,"AMZN^FE_ESTIMATE(EPS_GAAP,MEAN,CAL4,2023,45792,,,'')":2.9,"AMZN^FE_ESTIMATE(EPS_GAAP,MEAN,NTM4,,45792,,,'')":6.278169,"AMZN^FE_ESTIMATE(EPS_GAAP,MEAN,LTM4,,45792,,,'')":6.14,"ORCL^FE_ESTIMATE(EPS_GAAP,MEAN,CALA_ROLL,2027,45792,,,'')":null,"ORCL^FE_ESTIMATE(EPS_GAAP,MEAN,CAL4,2026,45792,,,'')":5.518178,"ORCL^FE_ESTIMATE(EPS_GAAP,MEAN,CAL4,2025,45792,,,'')":4.4093103,"ORCL^FE_ESTIMATE(EPS_GAAP,MEAN,CAL4,2024,45792,,,'')":4.09,"ORCL^FE_ESTIMATE(EPS_GAAP,MEAN,CAL4,2023,45792,,,'')":3.62,"ORCL^FE_ESTIMATE(EPS_GAAP,MEAN,NTM4,,45792,,,'')":4.5907345,"ORCL^FE_ESTIMATE(EPS_GAAP,MEAN,LTM4,,45792,,,'')":4.26,"IBM^FE_ESTIMATE(EPS_GAAP,MEAN,CALA_ROLL,2027,45792,,,'')":10.465,"IBM^FE_ESTIMATE(EPS_GAAP,MEAN,CALA_ROLL,2026,45792,,,'')":9.95,"IBM^FE_ESTIMATE(EPS_GAAP,MEAN,CAL4,2025,45792,,,'')":9.356667,"IBM^FE_ESTIMATE(EPS_GAAP,MEAN,CAL4,2024,45792,,,'')":6.42,"IBM^FE_ESTIMATE(EPS_GAAP,MEAN,CAL4,2023,45792,,,'')":8.14,"IBM^FE_ESTIMATE(EPS_GAAP,MEAN,NTM4,,45792,,,'')":9.456667,"IBM^FE_ESTIMATE(EPS_GAAP,MEAN,LTM4,,45792,,,'')":5.85,"EQIX^FE_ESTIMATE(EPS_GAAP,MEAN,CALA_ROLL,2027,45792,,,'')":16.983265,"EQIX^FE_ESTIMATE(EPS_GAAP,MEAN,CAL4,2026,45792,,,'')":16.116066,"EQIX^FE_ESTIMATE(EPS_GAAP,MEAN,CAL4,2025,45792,,,'')":14.370107,"EQIX^FE_ESTIMATE(EPS_GAAP,MEAN,CAL4,2024,45792,,,'')":8.55,"EQIX^FE_ESTIMATE(EPS_GAAP,MEAN,CAL4,2023,45792,,,'')":10.31,"EQIX^FE_ESTIMATE(EPS_GAAP,MEAN,NTM4,,45792,,,'')":14.687273,"EQIX^FE_ESTIMATE(EPS_GAAP,MEAN,LTM4,,45792,,,'')":9.62,"DLR^FE_ESTIMATE(EPS_GAAP,MEAN,CALA_ROLL,2027,45792,,,'')":2.0623124,"DLR^FE_ESTIMATE(EPS_GAAP,MEAN,CAL4,2026,45792,,,'')":1.5949495,"DLR^FE_ESTIMATE(EPS_GAAP,MEAN,CAL4,2025,45792,,,'')":1.4052153,"DLR^FE_ESTIMATE(EPS_GAAP,MEAN,CAL4,2024,45792,,,'')":1.649787,"DLR^FE_ESTIMATE(EPS_GAAP,MEAN,CAL4,2023,45792,,,'')":2.97,"DLR^FE_ESTIMATE(EPS_GAAP,MEAN,NTM4,,45792,,,'')":1.4979426,"DLR^FE_ESTIMATE(EPS_GAAP,MEAN,LTM4,,45792,,,'')":1.099787,"NVDA^FE_ESTIMATE(EPS_GAAP,MEAN,CALA_ROLL,2027,45792,,,'')":6.24813,"NVDA^FE_ESTIMATE(EPS_GAAP,MEAN,CAL4,2026,45792,,,'')":5.4410605,"NVDA^FE_ESTIMATE(EPS_GAAP,MEAN,CAL4,2025,45792,,,'')":4.178228,"NVDA^FE_ESTIMATE(EPS_GAAP,MEAN,CAL4,2024,45792,,,'')":2.938,"NVDA^FE_ESTIMATE(EPS_GAAP,MEAN,CAL4,2023,45792,,,'')":1.194,"NVDA^FE_ESTIMATE(EPS_GAAP,MEAN,NTM4,,45792,,,'')":4.178228,"NVDA^FE_ESTIMATE(EPS_GAAP,MEAN,LTM4,,45792,,,'')":2.938,"MSFT^FE_ESTIMATE(EPS_GAAP,MEAN,CALA_ROLL,2027,45792,,,'')":19.472876,"MSFT^FE_ESTIMATE(EPS_GAAP,MEAN,CAL4,2026,45792,,,'')":16.110157,"MSFT^FE_ESTIMATE(EPS_GAAP,MEAN,CAL4,2025,45792,,,'')":14.120187,"MSFT^FE_ESTIMATE(EPS_GAAP,MEAN,CAL4,2024,45792,,,'')":12.42,"MSFT^FE_ESTIMATE(EPS_GAAP,MEAN,CAL4,2023,45792,,,'')":11.060136,"MSFT^FE_ESTIMATE(EPS_GAAP,MEAN,NTM4,,45792,,,'')":14.452646,"MSFT^FE_ESTIMATE(EPS_GAAP,MEAN,LTM4,,45792,,,'')":12.94,"DOCN^FE_ESTIMATE(EBITDA,MEAN,CALA_ROLL,2027,45792,,,'')":480.60452,"DOCN^FE_ESTIMATE(EBITDA,MEAN,CAL4,2026,45792,,,'')":382.34726,"DOCN^FE_ESTIMATE(EBITDA,MEAN,CAL4,2025,45792,,,'')":348.36282,"DOCN^FE_ESTIMATE(EBITDA,MEAN,CAL4,2024,45792,,,'')":328.5,"DOCN^FE_ESTIMATE(EBITDA,MEAN,CAL4,2023,45792,,,'')":277.703,"DOCN^FE_ESTIMATE(EBITDA,MEAN,NTM4,,45792,,,'')":352.92377,"DOCN^FE_ESTIMATE(EBITDA,MEAN,LTM4,,45792,,,'')":340.46,"GOOG^FE_ESTIMATE(EBITDA,MEAN,CALA_ROLL,2027,45792,,,'')":221697.14,"GOOG^FE_ESTIMATE(EBITDA,MEAN,CAL4,2026,45792,,,'')":193755.86,"GOOG^FE_ESTIMATE(EBITDA,MEAN,CAL4,2025,45792,,,'')":172835.92,"GOOG^FE_ESTIMATE(EBITDA,MEAN,CAL4,2024,45792,,,'')":150907.6,"GOOG^FE_ESTIMATE(EBITDA,MEAN,CAL4,2023,45792,,,'')":122063.59,"GOOG^FE_ESTIMATE(EBITDA,MEAN,NTM4,,45792,,,'')":177119.2,"GOOG^FE_ESTIMATE(EBITDA,MEAN,LTM4,,45792,,,'')":157125.11,"AMZN^FE_ESTIMATE(EBITDA,MEAN,CALA_ROLL,2027,45792,,,'')":228128.61,"AMZN^FE_ESTIMATE(EBITDA,MEAN,CAL4,2026,45792,,,'')":191004.83,"AMZN^FE_ESTIMATE(EBITDA,MEAN,CAL4,2025,45792,,,'')":160752.16,"AMZN^FE_ESTIMATE(EBITDA,MEAN,CAL4,2024,45792,,,'')":143476.78,"AMZN^FE_ESTIMATE(EBITDA,MEAN,CAL4,2023,45792,,,'')":109513.47,"AMZN^FE_ESTIMATE(EBITDA,MEAN,NTM4,,45792,,,'')":167440.28,"AMZN^FE_ESTIMATE(EBITDA,MEAN,LTM4,,45792,,,'')":147798.55,"ORCL^FE_ESTIMATE(EBITDA,MEAN,CALA_ROLL,2027,45792,,,'')":48005.266,"ORCL^FE_ESTIMATE(EBITDA,MEAN,CAL4,2026,45792,,,'')":37318.008,"ORCL^FE_ESTIMATE(EBITDA,MEAN,CAL4,2025,45792,,,'')":32108.611,"ORCL^FE_ESTIMATE(EBITDA,MEAN,CAL4,2024,45792,,,'')":29480.475,"ORCL^FE_ESTIMATE(EBITDA,MEAN,CAL4,2023,45792,,,'')":27439.04,"ORCL^FE_ESTIMATE(EBITDA,MEAN,NTM4,,45792,,,'')":32945.83,"ORCL^FE_ESTIMATE(EBITDA,MEAN,LTM4,,45792,,,'')":29877.475,"IBM^FE_ESTIMATE(EBITDA,MEAN,CALA_ROLL,2027,45792,,,'')":19032.281,"IBM^FE_ESTIMATE(EBITDA,MEAN,CAL4,2026,45792,,,'')":18751.89,"IBM^FE_ESTIMATE(EBITDA,MEAN,CAL4,2025,45792,,,'')":17721.059,"IBM^FE_ESTIMATE(EBITDA,MEAN,CAL4,2024,45792,,,'')":15966.0,"IBM^FE_ESTIMATE(EBITDA,MEAN,CAL4,2023,45792,,,'')":14568.502,"IBM^FE_ESTIMATE(EBITDA,MEAN,NTM4,,45792,,,'')":17931.662,"IBM^FE_ESTIMATE(EBITDA,MEAN,LTM4,,45792,,,'')":16594.8,"EQIX^FE_ESTIMATE(EBITDA,MEAN,CALA_ROLL,2027,45792,,,'')":5462.2153,"EQIX^FE_ESTIMATE(EBITDA,MEAN,CAL4,2026,45792,,,'')":5007.6963,"EQIX^FE_ESTIMATE(EBITDA,MEAN,CAL4,2025,45792,,,'')":4505.5454,"EQIX^FE_ESTIMATE(EBITDA,MEAN,CAL4,2024,45792,,,'')":4097.0,"EQIX^FE_ESTIMATE(EBITDA,MEAN,CAL4,2023,45792,,,'')":3701.841,"EQIX^FE_ESTIMATE(EBITDA,MEAN,NTM4,,45792,,,'')":4627.6694,"EQIX^FE_ESTIMATE(EBITDA,MEAN,LTM4,,45792,,,'')":4172.0,"DLR^FE_ESTIMATE(EBITDA,MEAN,CALA_ROLL,2027,45792,,,'')":3954.5789,"DLR^FE_ESTIMATE(EBITDA,MEAN,CAL4,2026,45792,,,'')":3450.4812,"DLR^FE_ESTIMATE(EBITDA,MEAN,CAL4,2025,45792,,,'')":3179.8728,"DLR^FE_ESTIMATE(EBITDA,MEAN,CAL4,2024,45792,,,'')":2947.002,"DLR^FE_ESTIMATE(EBITDA,MEAN,CAL4,2023,45792,,,'')":2750.256,"DLR^FE_ESTIMATE(EBITDA,MEAN,NTM4,,45792,,,'')":3221.5059,"DLR^FE_ESTIMATE(EBITDA,MEAN,LTM4,,45792,,,'')":3027.602,"NVDA^FE_ESTIMATE(EBITDA,MEAN,CALA_ROLL,2027,45792,,,'')":182068.92,"NVDA^FE_ESTIMATE(EBITDA,MEAN,CAL4,2026,45792,,,'')":170011.64,"NVDA^FE_ESTIMATE(EBITDA,MEAN,CAL4,2025,45792,,,'')":128115.09,"NVDA^FE_ESTIMATE(EBITDA,MEAN,CAL4,2024,45792,,,'')":87908.51,"NVDA^FE_ESTIMATE(EBITDA,MEAN,CAL4,2023,45792,,,'')":37642.035,"NVDA^FE_ESTIMATE(EBITDA,MEAN,NTM4,,45792,,,'')":128115.09,"NVDA^FE_ESTIMATE(EBITDA,MEAN,LTM4,,45792,,,'')":87908.51,"MSFT^FE_ESTIMATE(EBITDA,MEAN,CALA_ROLL,2027,45792,,,'')":218369.03,"MSFT^FE_ESTIMATE(EBITDA,MEAN,CAL4,2026,45792,,,'')":192507.92,"MSFT^FE_ESTIMATE(EBITDA,MEAN,CAL4,2025,45792,,,'')":168470.17,"MSFT^FE_ESTIMATE(EBITDA,MEAN,CAL4,2024,45792,,,'')":145924.3,"MSFT^FE_ESTIMATE(EBITDA,MEAN,CAL4,2023,45792,,,'')":119708.5,"MSFT^FE_ESTIMATE(EBITDA,MEAN,NTM4,,45792,,,'')":173144.64,"MSFT^FE_ESTIMATE(EBITDA,MEAN,LTM4,,45792,,,'')":152954.55,"AVT^FE_ESTIMATE(EBITDA,MEAN,CAL4,2027,45792,,,'')":1037.0,"AVT^FE_ESTIMATE(EBITDA,MEAN,CAL4,2026,45792,,,'')":968.0013,"AVT^FE_ESTIMATE(EBITDA,MEAN,CAL4,2025,45792,,,'')":739.7664,"AVT^FE_ESTIMATE(EBITDA,MEAN,CAL4,2024,45792,,,'')":813.0833,"AVT^FE_ESTIMATE(EBITDA,MEAN,CAL4,2023,45792,,,'')":1230.6333,"AVT^FE_ESTIMATE(EBITDA,MEAN,NTM4,,45792,,,'')":809.6677,"AVT^FE_ESTIMATE(EBITDA,MEAN,LTM4,,45792,,,'')":753.13336,"ARW^FE_ESTIMATE(EBITDA,MEAN,CALA_ROLL,2027,45792,,,'')":1654.0,"ARW^FE_ESTIMATE(EBITDA,MEAN,CAL4,2026,45792,,,'')":1430.3,"ARW^FE_ESTIMATE(EBITDA,MEAN,CAL4,2025,45792,,,'')":1107.3228,"ARW^FE_ESTIMATE(EBITDA,MEAN,CAL4,2024,45792,,,'')":1151.0667,"ARW^FE_ESTIMATE(EBITDA,MEAN,CAL4,2023,45792,,,'')":1749.7667,"ARW^FE_ESTIMATE(EBITDA,MEAN,NTM4,,45792,,,'')":1205.5228,"ARW^FE_ESTIMATE(EBITDA,MEAN,LTM4,,45792,,,'')":1074.1167,"SNX^FE_ESTIMATE(EBITDA,MEAN,CAL4,2027,45792,,,'')":1957.8336,"SNX^FE_ESTIMATE(EBITDA,MEAN,CAL4,2026,45792,,,'')":1824.969,"SNX^FE_ESTIMATE(EBITDA,MEAN,CAL4,2025,45792,,,'')":1744.052,"SNX^FE_ESTIMATE(EBITDA,MEAN,CAL4,2024,45792,,,'')":1739.1866,"SNX^FE_ESTIMATE(EBITDA,MEAN,CAL4,2023,45792,,,'')":1753.0847,"SNX^FE_ESTIMATE(EBITDA,MEAN,NTM4,,45792,,,'')":1759.4127,"SNX^FE_ESTIMATE(EBITDA,MEAN,LTM4,,45792,,,'')":1713.641,"CDW^FE_ESTIMATE(EBITDA,MEAN,CALA_ROLL,2027,45792,,,'')":2355.6655,"CDW^FE_ESTIMATE(EBITDA,MEAN,CAL4,2026,45792,,,'')":2326.8574,"CDW^FE_ESTIMATE(EBITDA,MEAN,CAL4,2025,45792,,,'')":2135.229,"CDW^FE_ESTIMATE(EBITDA,MEAN,CAL4,2024,45792,,,'')":2122.4346,"CDW^FE_ESTIMATE(EBITDA,MEAN,CAL4,2023,45792,,,'')":2175.6484,"CDW^FE_ESTIMATE(EBITDA,MEAN,NTM4,,45792,,,'')":2152.9358,"CDW^FE_ESTIMATE(EBITDA,MEAN,LTM4,,45792,,,'')":2172.3796,"INGM^FE_ESTIMATE(EBITDA,MEAN,CALA_ROLL,2027,45792,,,'')":1530.7545,"INGM^FE_ESTIMATE(EBITDA,MEAN,CAL4,2026,45792,,,'')":1434.6821,"INGM^FE_ESTIMATE(EBITDA,MEAN,CAL4,2025,45792,,,'')":1307.9941,"INGM^FE_ESTIMATE(EBITDA,MEAN,CAL4,2024,45792,,,'')":null,"INGM^FE_ESTIMATE(EBITDA,MEAN,CAL4,2023,45792,,,'')":null,"INGM^FE_ESTIMATE(EBITDA,MEAN,NTM4,,45792,,,'')":1330.6033,"INGM^FE_ESTIMATE(EBITDA,MEAN,LTM4,,45792,,,'')":1310.949,"AVT^FE_ESTIMATE(EBIT,MEAN,CAL4,2027,45792,,,'')":960.0,"AVT^FE_ESTIMATE(EBIT,MEAN,CAL4,2026,45792,,,'')":837.5791,"AVT^FE_ESTIMATE(EBIT,MEAN,CAL4,2025,45792,,,'')":655.9686,"AVT^FE_ESTIMATE(EBIT,MEAN,CAL4,2024,45792,,,'')":724.5228,"AVT^FE_ESTIMATE(EBIT,MEAN,CAL4,2023,45792,,,'')":1131.8362,"AVT^FE_ESTIMATE(EBIT,MEAN,NTM4,,45792,,,'')":714.9727,"AVT^FE_ESTIMATE(EBIT,MEAN,LTM4,,45792,,,'')":674.5711,"ARW^FE_ESTIMATE(EBIT,MEAN,CALA_ROLL,2027,45792,,,'')":1510.0,"ARW^FE_ESTIMATE(EBIT,MEAN,CAL4,2026,45792,,,'')":1232.2,"ARW^FE_ESTIMATE(EBIT,MEAN,CAL4,2025,45792,,,'')":948.80365,"ARW^FE_ESTIMATE(EBIT,MEAN,CAL4,2024,45792,,,'')":1001.7478,"ARW^FE_ESTIMATE(EBIT,MEAN,CAL4,2023,45792,,,'')":1584.7036,"ARW^FE_ESTIMATE(EBIT,MEAN,NTM4,,45792,,,'')":1029.3704,"ARW^FE_ESTIMATE(EBIT,MEAN,LTM4,,45792,,,'')":929.7848,"SNX^FE_ESTIMATE(EBIT,MEAN,CAL4,2027,45792,,,'')":1803.3328,"SNX^FE_ESTIMATE(EBIT,MEAN,CAL4,2026,45792,,,'')":1701.1714,"SNX^FE_ESTIMATE(EBIT,MEAN,CAL4,2025,45792,,,'')":1626.6837,"SNX^FE_ESTIMATE(EBIT,MEAN,CAL4,2024,45792,,,'')":1621.3727,"SNX^FE_ESTIMATE(EBIT,MEAN,CAL4,2023,45792,,,'')":1636.843,"SNX^FE_ESTIMATE(EBIT,MEAN,NTM4,,45792,,,'')":1640.8334,"SNX^FE_ESTIMATE(EBIT,MEAN,LTM4,,45792,,,'')":1597.6228,"CDW^FE_ESTIMATE(EBIT,MEAN,CALA_ROLL,2027,45792,,,'')":2241.289,"CDW^FE_ESTIMATE(EBIT,MEAN,CAL4,2026,45792,,,'')":2064.8567,"CDW^FE_ESTIMATE(EBIT,MEAN,CAL4,2025,45792,,,'')":1972.8344,"CDW^FE_ESTIMATE(EBIT,MEAN,CAL4,2024,45792,,,'')":1952.63,"CDW^FE_ESTIMATE(EBIT,MEAN,CAL4,2023,45792,,,'')":2025.8167,"CDW^FE_ESTIMATE(EBIT,MEAN,NTM4,,45792,,,'')":1973.6393,"CDW^FE_ESTIMATE(EBIT,MEAN,LTM4,,45792,,,'')":1987.45,"INGM^FE_ESTIMATE(EBIT,MEAN,CALA_ROLL,2027,45792,,,'')":1318.9088,"INGM^FE_ESTIMATE(EBIT,MEAN,CAL4,2026,45792,,,'')":1185.6525,"INGM^FE_ESTIMATE(EBIT,MEAN,CAL4,2025,45792,,,'')":1029.8007,"INGM^FE_ESTIMATE(EBIT,MEAN,CAL4,2024,45792,,,'')":null,"INGM^FE_ESTIMATE(EBIT,MEAN,CAL4,2023,45792,,,'')":null,"INGM^FE_ESTIMATE(EBIT,MEAN,NTM4,,45792,,,'')":1066.6002,"INGM^FE_ESTIMATE(EBIT,MEAN,LTM4,,45792,,,'')":999.8683,"DOCN^FE_ESTIMATE(EBIT,MEAN,CALA_ROLL,2027,45792,,,'')":345.8445,"DOCN^FE_ESTIMATE(EBIT,MEAN,CAL4,2026,45792,,,'')":279.2518,"DOCN^FE_ESTIMATE(EBIT,MEAN,CAL4,2025,45792,,,'')":238.89233,"DOCN^FE_ESTIMATE(EBIT,MEAN,CAL4,2024,45792,,,'')":183.90977,"DOCN^FE_ESTIMATE(EBIT,MEAN,CAL4,2023,45792,,,'')":159.31778,"DOCN^FE_ESTIMATE(EBIT,MEAN,NTM4,,45792,,,'')":242.44157,"DOCN^FE_ESTIMATE(EBIT,MEAN,LTM4,,45792,,,'')":234.63228,"GOOG^FE_ESTIMATE(EBIT,MEAN,CALA_ROLL,2027,45792,,,'')":158884.05,"GOOG^FE_ESTIMATE(EBIT,MEAN,CAL4,2026,45792,,,'')":141208.98,"GOOG^FE_ESTIMATE(EBIT,MEAN,CAL4,2025,45792,,,'')":127696.36,"GOOG^FE_ESTIMATE(EBIT,MEAN,CAL4,2024,45792,,,'')":112401.06,"GOOG^FE_ESTIMATE(EBIT,MEAN,CAL4,2023,45792,,,'')":84280.03,"GOOG^FE_ESTIMATE(EBIT,MEAN,NTM4,,45792,,,'')":130239.9,"GOOG^FE_ESTIMATE(EBIT,MEAN,LTM4,,45792,,,'')":117541.336,"AMZN^FE_ESTIMATE(EBIT,MEAN,CALA_ROLL,2027,45792,,,'')":117535.17,"AMZN^FE_ESTIMATE(EBIT,MEAN,CAL4,2026,45792,,,'')":93898.2,"AMZN^FE_ESTIMATE(EBIT,MEAN,CAL4,2025,45792,,,'')":77787.086,"AMZN^FE_ESTIMATE(EBIT,MEAN,CAL4,2024,45792,,,'')":68593.0,"AMZN^FE_ESTIMATE(EBIT,MEAN,CAL4,2023,45792,,,'')":36852.0,"AMZN^FE_ESTIMATE(EBIT,MEAN,NTM4,,45792,,,'')":80923.914,"AMZN^FE_ESTIMATE(EBIT,MEAN,LTM4,,45792,,,'')":71691.0,"ORCL^FE_ESTIMATE(EBIT,MEAN,CALA_ROLL,2027,45792,,,'')":38548.934,"ORCL^FE_ESTIMATE(EBIT,MEAN,CAL4,2026,45792,,,'')":29855.717,"ORCL^FE_ESTIMATE(EBIT,MEAN,CAL4,2025,45792,,,'')":25860.418,"ORCL^FE_ESTIMATE(EBIT,MEAN,CAL4,2024,45792,,,'')":24264.9,"ORCL^FE_ESTIMATE(EBIT,MEAN,CAL4,2023,45792,,,'')":21846.732,"ORCL^FE_ESTIMATE(EBIT,MEAN,NTM4,,45792,,,'')":26531.547,"ORCL^FE_ESTIMATE(EBIT,MEAN,LTM4,,45792,,,'')":24667.912,"IBM^FE_ESTIMATE(EBIT,MEAN,CALA_ROLL,2027,45792,,,'')":14651.625,"IBM^FE_ESTIMATE(EBIT,MEAN,CAL4,2026,45792,,,'')":13518.99,"IBM^FE_ESTIMATE(EBIT,MEAN,CAL4,2025,45792,,,'')":12490.616,"IBM^FE_ESTIMATE(EBIT,MEAN,CAL4,2024,45792,,,'')":11312.172,"IBM^FE_ESTIMATE(EBIT,MEAN,CAL4,2023,45792,,,'')":10434.986,"IBM^FE_ESTIMATE(EBIT,MEAN,NTM4,,45792,,,'')":12941.918,"IBM^FE_ESTIMATE(EBIT,MEAN,LTM4,,45792,,,'')":11561.45,"EQIX^FE_ESTIMATE(EBIT,MEAN,CALA_ROLL,2027,45792,,,'')":2599.6619,"EQIX^FE_ESTIMATE(EBIT,MEAN,CAL4,2026,45792,,,'')":2295.4004,"EQIX^FE_ESTIMATE(EBIT,MEAN,CAL4,2025,45792,,,'')":2005.615,"EQIX^FE_ESTIMATE(EBIT,MEAN,CAL4,2024,45792,,,'')":1699.9778,"EQIX^FE_ESTIMATE(EBIT,MEAN,CAL4,2023,45792,,,'')":1442.8859,"EQIX^FE_ESTIMATE(EBIT,MEAN,NTM4,,45792,,,'')":2098.413,"EQIX^FE_ESTIMATE(EBIT,MEAN,LTM4,,45792,,,'')":1797.3516,"DLR^FE_ESTIMATE(EBIT,MEAN,CALA_ROLL,2027,45792,,,'')":1386.1025,"DLR^FE_ESTIMATE(EBIT,MEAN,CAL4,2026,45792,,,'')":1099.8975,"DLR^FE_ESTIMATE(EBIT,MEAN,CAL4,2025,45792,,,'')":926.58453,"DLR^FE_ESTIMATE(EBIT,MEAN,CAL4,2024,45792,,,'')":484.77356,"DLR^FE_ESTIMATE(EBIT,MEAN,CAL4,2023,45792,,,'')":524.37494,"DLR^FE_ESTIMATE(EBIT,MEAN,NTM4,,45792,,,'')":1008.72504,"DLR^FE_ESTIMATE(EBIT,MEAN,LTM4,,45792,,,'')":518.2276,"NVDA^FE_ESTIMATE(EBIT,MEAN,CALA_ROLL,2027,45792,,,'')":181698.83,"NVDA^FE_ESTIMATE(EBIT,MEAN,CAL4,2026,45792,,,'')":160785.72,"NVDA^FE_ESTIMATE(EBIT,MEAN,CAL4,2025,45792,,,'')":126681.086,"NVDA^FE_ESTIMATE(EBIT,MEAN,CAL4,2024,45792,,,'')":86543.16,"NVDA^FE_ESTIMATE(EBIT,MEAN,CAL4,2023,45792,,,'')":37133.996,"NVDA^FE_ESTIMATE(EBIT,MEAN,NTM4,,45792,,,'')":126681.086,"NVDA^FE_ESTIMATE(EBIT,MEAN,LTM4,,45792,,,'')":86543.16,"MSFT^FE_ESTIMATE(EBIT,MEAN,CALA_ROLL,2027,45792,,,'')":175862.34,"MSFT^FE_ESTIMATE(EBIT,MEAN,CAL4,2026,45792,,,'')":151112.78,"MSFT^FE_ESTIMATE(EBIT,MEAN,CAL4,2025,45792,,,'')":133347.2,"MSFT^FE_ESTIMATE(EBIT,MEAN,CAL4,2024,45792,,,'')":117698.59,"MSFT^FE_ESTIMATE(EBIT,MEAN,CAL4,2023,45792,,,'')":100451.96,"MSFT^FE_ESTIMATE(EBIT,MEAN,NTM4,,45792,,,'')":137267.69,"MSFT^FE_ESTIMATE(EBIT,MEAN,LTM4,,45792,,,'')":122116.195,"AVT^FE_ESTIMATE(SALES,MEAN,CALA_ROLL,2027,45792,,,'')":null,"AVT^FE_ESTIMATE(SALES,MEAN,CAL4,2026,45792,,,'')":23480.87,"AVT^FE_ESTIMATE(SALES,MEAN,CAL4,2025,45792,,,'')":21882.285,"AVT^FE_ESTIMATE(SALES,MEAN,CAL4,2024,45792,,,'')":22484.129,"AVT^FE_ESTIMATE(SALES,MEAN,CAL4,2023,45792,,,'')":25609.723,"AVT^FE_ESTIMATE(SALES,MEAN,NTM4,,45792,,,'')":22213.582,"AVT^FE_ESTIMATE(SALES,MEAN,LTM4,,45792,,,'')":22145.951,"AVT^FG_PRICE(45792)":51.555,"AVT^FF_ENTRPR_VAL_DAILY(45792,,,,,\"DIL\")":7123.9897,"AVT^FREF_MARKET_VALUE_COMPANY(45792,,,,,0,,\"LEGACY\")":4323.263671875,"ARW^FE_ESTIMATE(SALES,MEAN,CALA_ROLL,2027,45792,,,'')":34074.0,"ARW^FE_ESTIMATE(SALES,MEAN,CAL4,2026,45792,,,'')":30970.732,"ARW^FE_ESTIMATE(SALES,MEAN,CAL4,2025,45792,,,'')":29129.664,"ARW^FE_ESTIMATE(SALES,MEAN,CAL4,2024,45792,,,'')":27923.324,"ARW^FE_ESTIMATE(SALES,MEAN,CAL4,2023,45792,,,'')":33107.12,"ARW^FE_ESTIMATE(SALES,MEAN,NTM4,,45792,,,'')":29606.248,"ARW^FE_ESTIMATE(SALES,MEAN,LTM4,,45792,,,'')":27813.08,"ARW^FG_PRICE(45792)":119.87,"ARW^FF_ENTRPR_VAL_DAILY(45792,,,,,\"DIL\")":8996.9969,"ARW^FREF_MARKET_VALUE_COMPANY(45792,,,,,0,,\"LEGACY\")":6218.134765625,"SNX^FE_ESTIMATE(SALES,MEAN,CALA_ROLL,2027,45792,,,'')":null,"SNX^FE_ESTIMATE(SALES,MEAN,CAL4,2026,45792,,,'')":62556.25,"SNX^FE_ESTIMATE(SALES,MEAN,CAL4,2025,45792,,,'')":59902.367,"SNX^FE_ESTIMATE(SALES,MEAN,CAL4,2024,45792,,,'')":58452.438,"SNX^FE_ESTIMATE(SALES,MEAN,CAL4,2023,45792,,,'')":57555.414,"SNX^FE_ESTIMATE(SALES,MEAN,NTM4,,45792,,,'')":60511.074,"SNX^FE_ESTIMATE(SALES,MEAN,LTM4,,45792,,,'')":59008.89,"SNX^FG_PRICE(45792)":124.0,"SNX^FF_ENTRPR_VAL_DAILY(45792,,,,,\"DIL\")":14198.382,"SNX^FREF_MARKET_VALUE_COMPANY(45792,,,,,0,,\"LEGACY\")":10406.2548828125,"CDW^FE_ESTIMATE(SALES,MEAN,CALA_ROLL,2027,45792,,,'')":24113.113,"CDW^FE_ESTIMATE(SALES,MEAN,CAL4,2026,45792,,,'')":22481.027,"CDW^FE_ESTIMATE(SALES,MEAN,CAL4,2025,45792,,,'')":21605.623,"CDW^FE_ESTIMATE(SALES,MEAN,CAL4,2024,45792,,,'')":20998.7,"CDW^FE_ESTIMATE(SALES,MEAN,CAL4,2023,45792,,,'')":21376.0,"CDW^FE_ESTIMATE(SALES,MEAN,NTM4,,45792,,,'')":21698.688,"CDW^FE_ESTIMATE(SALES,MEAN,LTM4,,45792,,,'')":21325.1,"CDW^FG_PRICE(45792)":188.725,"CDW^FF_ENTRPR_VAL_DAILY(45792,,,,,\"DIL\")":30843.9875,"CDW^FREF_MARKET_VALUE_COMPANY(45792,,,,,0,,\"LEGACY\")":24852.28125,"INGM^FE_ESTIMATE(SALES,MEAN,CALA_ROLL,2027,45792,,,'')":53415.633,"INGM^FE_ESTIMATE(SALES,MEAN,CAL4,2026,45792,,,'')":51576.68,"INGM^FE_ESTIMATE(SALES,MEAN,CAL4,2025,45792,,,'')":50058.883,"INGM^FE_ESTIMATE(SALES,MEAN,CAL4,2024,45792,,,'')":null,"INGM^FE_ESTIMATE(SALES,MEAN,CAL4,2023,45792,,,'')":null,"INGM^FE_ESTIMATE(SALES,MEAN,NTM4,,45792,,,'')":50180.37,"INGM^FE_ESTIMATE(SALES,MEAN,LTM4,,45792,,,'')":48929.313,"INGM^FG_PRICE(45792)":20.7,"INGM^FF_ENTRPR_VAL_DAILY(45792,,,,,\"DIL\")":7943.2576906,"INGM^FREF_MARKET_VALUE_COMPANY(45792,,,,,0,,\"LEGACY\")":4861.1259765625,"DOCN^FE_ESTIMATE(SALES,MEAN,CALA_ROLL,2027,45792,,,'')":1167.132,"DOCN^FE_ESTIMATE(SALES,MEAN,CAL4,2026,45792,,,'')":1006.4655,"DOCN^FE_ESTIMATE(SALES,MEAN,CAL4,2025,45792,,,'')":882.3798,"DOCN^FE_ESTIMATE(SALES,MEAN,CAL4,2024,45792,,,'')":780.615,"DOCN^FE_ESTIMATE(SALES,MEAN,CAL4,2023,45792,,,'')":692.884,"DOCN^FE_ESTIMATE(SALES,MEAN,NTM4,,45792,,,'')":911.5137,"DOCN^FE_ESTIMATE(SALES,MEAN,LTM4,,45792,,,'')":806.588,"DOCN^FG_PRICE(45792)":30.9,"DOCN^FF_ENTRPR_VAL_DAILY(45792,,,,,\"DIL\")":4575.89984,"DOCN^FREF_MARKET_VALUE_COMPANY(45792,,,,,0,,\"LEGACY\")":2812.93603515625,"GOOG^FE_ESTIMATE(SALES,MEAN,CALA_ROLL,2027,45792,,,'')":471408.8,"GOOG^FE_ESTIMATE(SALES,MEAN,CAL4,2026,45792,,,'')":426159.9,"GOOG^FE_ESTIMATE(SALES,MEAN,CAL4,2025,45792,,,'')":387601.1,"GOOG^FE_ESTIMATE(SALES,MEAN,CAL4,2024,45792,,,'')":350018.0,"GOOG^FE_ESTIMATE(SALES,MEAN,CAL4,2023,45792,,,'')":307394.0,"GOOG^FE_ESTIMATE(SALES,MEAN,NTM4,,45792,,,'')":396478.53,"GOOG^FE_ESTIMATE(SALES,MEAN,LTM4,,45792,,,'')":359713.0,"GOOG^FG_PRICE(45792)":166.34,"GOOG^FF_ENTRPR_VAL_DAILY(45792,,,,,\"DIL\")":1958726.8,"GOOG^FREF_MARKET_VALUE_COMPANY(45792,,,,,0,,\"LEGACY\")":1867186.0625,"AMZN^FE_ESTIMATE(SALES,MEAN,CALA_ROLL,2027,45792,,,'')":837598.56,"AMZN^FE_ESTIMATE(SALES,MEAN,CAL4,2026,45792,,,'')":758862.8,"AMZN^FE_ESTIMATE(SALES,MEAN,CAL4,2025,45792,,,'')":694113.56,"AMZN^FE_ESTIMATE(SALES,MEAN,CAL4,2024,45792,,,'')":637959.0,"AMZN^FE_ESTIMATE(SALES,MEAN,CAL4,2023,45792,,,'')":574785.0,"AMZN^FE_ESTIMATE(SALES,MEAN,NTM4,,45792,,,'')":709198.06,"AMZN^FE_ESTIMATE(SALES,MEAN,LTM4,,45792,,,'')":650313.0,"AMZN^FG_PRICE(45792)":205.49,"AMZN^FF_ENTRPR_VAL_DAILY(45792,,,,,\"DIL\")":2270104.57,"AMZN^FREF_MARKET_VALUE_COMPANY(45792,,,,,0,,\"LEGACY\")":2181554.25,"ORCL^FE_ESTIMATE(SALES,MEAN,CALA_ROLL,2027,45792,,,'')":85510.92,"ORCL^FE_ESTIMATE(SALES,MEAN,CAL4,2026,45792,,,'')":70487.44,"ORCL^FE_ESTIMATE(SALES,MEAN,CAL4,2025,45792,,,'')":60551.387,"ORCL^FE_ESTIMATE(SALES,MEAN,CAL4,2024,45792,,,'')":54933.0,"ORCL^FE_ESTIMATE(SALES,MEAN,CAL4,2023,45792,,,'')":51629.0,"ORCL^FE_ESTIMATE(SALES,MEAN,NTM4,,45792,,,'')":62721.25,"ORCL^FE_ESTIMATE(SALES,MEAN,LTM4,,45792,,,'')":55783.0,"ORCL^FG_PRICE(45792)":160.695,"ORCL^FF_ENTRPR_VAL_DAILY(45792,,,,,\"DIL\")":547302.3,"ORCL^FREF_MARKET_VALUE_COMPANY(45792,,,,,0,,\"LEGACY\")":450626.375,"IBM^FE_ESTIMATE(SALES,MEAN,CALA_ROLL,2027,45792,,,'')":72072.62,"IBM^FE_ESTIMATE(SALES,MEAN,CAL4,2026,45792,,,'')":68758.86,"IBM^FE_ESTIMATE(SALES,MEAN,CAL4,2025,45792,,,'')":66175.36,"IBM^FE_ESTIMATE(SALES,MEAN,CAL4,2024,45792,,,'')":62753.0,"IBM^FE_ESTIMATE(SALES,MEAN,CAL4,2023,45792,,,'')":61860.0,"IBM^FE_ESTIMATE(SALES,MEAN,NTM4,,45792,,,'')":66970.266,"IBM^FE_ESTIMATE(SALES,MEAN,LTM4,,45792,,,'')":62832.0,"IBM^FG_PRICE(45792)":265.8105,"IBM^FF_ENTRPR_VAL_DAILY(45792,,,,,\"DIL\")":293050.83680078,"IBM^FREF_MARKET_VALUE_COMPANY(45792,,,,,0,,\"LEGACY\")":247043.34375,"EQIX^FE_ESTIMATE(SALES,MEAN,CALA_ROLL,2027,45792,,,'')":10811.23,"EQIX^FE_ESTIMATE(SALES,MEAN,CAL4,2026,45792,,,'')":9996.276,"EQIX^FE_ESTIMATE(SALES,MEAN,CAL4,2025,45792,,,'')":9196.761,"EQIX^FE_ESTIMATE(SALES,MEAN,CAL4,2024,45792,,,'')":8748.0,"EQIX^FE_ESTIMATE(SALES,MEAN,CAL4,2023,45792,,,'')":8188.136,"EQIX^FE_ESTIMATE(SALES,MEAN,NTM4,,45792,,,'')":9392.024,"EQIX^FE_ESTIMATE(SALES,MEAN,LTM4,,45792,,,'')":8846.0,"EQIX^FG_PRICE(45792)":863.65,"EQIX^FF_ENTRPR_VAL_DAILY(45792,,,,,\"DIL\")":100529.10755,"EQIX^FREF_MARKET_VALUE_COMPANY(45792,,,,,0,,\"LEGACY\")":84481.375,"DLR^FE_ESTIMATE(SALES,MEAN,CALA_ROLL,2027,45792,,,'')":7284.918,"DLR^FE_ESTIMATE(SALES,MEAN,CAL4,2026,45792,,,'')":6460.398,"DLR^FE_ESTIMATE(SALES,MEAN,CAL4,2025,45792,,,'')":5884.1816,"DLR^FE_ESTIMATE(SALES,MEAN,CAL4,2024,45792,,,'')":5554.968,"DLR^FE_ESTIMATE(SALES,MEAN,CAL4,2023,45792,,,'')":5477.061,"DLR^FE_ESTIMATE(SALES,MEAN,NTM4,,45792,,,'')":6023.264,"DLR^FE_ESTIMATE(SALES,MEAN,LTM4,,45792,,,'')":5631.462,"DLR^FG_PRICE(45792)":167.08,"DLR^FF_ENTRPR_VAL_DAILY(45792,,,,,\"DIL\")":76186.19868,"DLR^FREF_MARKET_VALUE_COMPANY(45792,,,,,0,,\"LEGACY\")":56271.125,"NVDA^FE_ESTIMATE(SALES,MEAN,CALA_ROLL,2027,45792,,,'')":284911.16,"NVDA^FE_ESTIMATE(SALES,MEAN,CAL4,2026,45792,,,'')":241635.83,"NVDA^FE_ESTIMATE(SALES,MEAN,CAL4,2025,45792,,,'')":198178.03,"NVDA^FE_ESTIMATE(SALES,MEAN,CAL4,2024,45792,,,'')":130497.0,"NVDA^FE_ESTIMATE(SALES,MEAN,CAL4,2023,45792,,,'')":60922.0,"NVDA^FE_ESTIMATE(SALES,MEAN,NTM4,,45792,,,'')":198178.03,"NVDA^FE_ESTIMATE(SALES,MEAN,LTM4,,45792,,,'')":130497.0,"NVDA^FG_PRICE(45792)":136.145,"NVDA^FF_ENTRPR_VAL_DAILY(45792,,,,,\"DIL\")":3344000.58,"NVDA^FREF_MARKET_VALUE_COMPANY(45792,,,,,0,,\"LEGACY\")":3320244.0,"MSFT^FE_ESTIMATE(SALES,MEAN,CALA_ROLL,2027,45792,,,'')":391444.0,"MSFT^FE_ESTIMATE(SALES,MEAN,CAL4,2026,45792,,,'')":335749.97,"MSFT^FE_ESTIMATE(SALES,MEAN,CAL4,2025,45792,,,'')":296335.28,"MSFT^FE_ESTIMATE(SALES,MEAN,CAL4,2024,45792,,,'')":261802.0,"MSFT^FE_ESTIMATE(SALES,MEAN,CAL4,2023,45792,,,'')":227583.0,"MSFT^FE_ESTIMATE(SALES,MEAN,NTM4,,45792,,,'')":305507.34,"MSFT^FE_ESTIMATE(SALES,MEAN,LTM4,,45792,,,'')":270010.0,"MSFT^FG_PRICE(45792)":456.05,"MSFT^FF_ENTRPR_VAL_DAILY(45792,,,,,\"DIL\")":3398595.2022,"MSFT^FREF_MARKET_VALUE_COMPANY(45792,,,,,0,,\"LEGACY\")":3389611.5,"CRWV^FG_PRICE(45792)":68.77,"CRWV^FE_ESTIMATE(TOTAL_RPO,MEAN,ANNUAL_ROLL,2029,45856,,,'')":46954.9,"CRWV^FE_ESTIMATE(TOTAL_RPO,MEAN,QUARTERLY_ROLL,2029/4F,45856,,,'')":null,"CRWV^FE_ESTIMATE(TOTAL_RPO,MEAN,QUARTERLY_ROLL,2029/3F,45856,,,'')":null,"CRWV^FE_ESTIMATE(TOTAL_RPO,MEAN,QUARTERLY_ROLL,2029/2F,45856,,,'')":null,"CRWV^FE_ESTIMATE(TOTAL_RPO,MEAN,QUARTERLY_ROLL,2029/1F,45856,,,'')":null,"CRWV^FE_ESTIMATE(TOTAL_RPO,MEAN,ANNUAL_ROLL,2028,45856,,,'')":47970.9,"CRWV^FE_ESTIMATE(TOTAL_RPO,MEAN,QUARTERLY_ROLL,2028/4F,45856,,,'')":null,"CRWV^FE_ESTIMATE(TOTAL_RPO,MEAN,QUARTERLY_ROLL,2028/3F,45856,,,'')":null,"CRWV^FE_ESTIMATE(TOTAL_RPO,MEAN,QUARTERLY_ROLL,2028/2F,45856,,,'')":null,"CRWV^FE_ESTIMATE(TOTAL_RPO,MEAN,QUARTERLY_ROLL,2028/1F,45856,,,'')":null,"CRWV^FE_ESTIMATE(TOTAL_RPO,MEAN,ANNUAL_ROLL,2027,45856,,,'')":46228.1,"CRWV^FE_ESTIMATE(TOTAL_RPO,MEAN,QUARTERLY_ROLL,2027/4F,45856,,,'')":null,"CRWV^FE_ESTIMATE(TOTAL_RPO,MEAN,QUARTERLY_ROLL,2027/3F,45856,,,'')":null,"CRWV^FE_ESTIMATE(TOTAL_RPO,MEAN,QUARTERLY_ROLL,2027/2F,45856,,,'')":null,"CRWV^FE_ESTIMATE(TOTAL_RPO,MEAN,QUARTERLY_ROLL,2027/1F,45856,,,'')":null,"CRWV^FE_ESTIMATE(TOTAL_RPO,MEAN,ANNUAL_ROLL,2026,45856,,,'')":40635.5,"CRWV^FE_ESTIMATE(TOTAL_RPO,MEAN,QUARTERLY_ROLL,2026/4F,45856,,,'')":null,"CRWV^FE_ESTIMATE(TOTAL_RPO,MEAN,QUARTERLY_ROLL,2026/3F,45856,,,'')":null,"CRWV^FE_ESTIMATE(TOTAL_RPO,MEAN,QUARTERLY_ROLL,2026/2F,45856,,,'')":null,"CRWV^FE_ESTIMATE(TOTAL_RPO,MEAN,QUARTERLY_ROLL,2026/1F,45856,,,'')":null,"CRWV^FE_ESTIMATE(TOTAL_RPO,MEAN,ANNUAL_ROLL,2025,45856,,,'')":31824.8,"CRWV^FE_ESTIMATE(TOTAL_RPO,MEAN,QUARTERLY_ROLL,2025/4F,45856,,,'')":31824.8,"CRWV^FE_ESTIMATE(TOTAL_RPO,MEAN,QUARTERLY_ROLL,2025/3F,45856,,,'')":30020.4,"CRWV^FE_ESTIMATE(TOTAL_RPO,MEAN,QUARTERLY_ROLL,2025/2F,45856,,,'')":29341.0,"CRWV^FE_ESTIMATE(TOTAL_RPO,MEAN,QUARTERLY_ROLL,2025/1F,45856,,,'')":null,"CRWV^FE_ESTIMATE(TOTAL_RPO,MEAN,ANNUAL_ROLL,2024,45856,,,'')":15100.0,"CRWV^FE_ESTIMATE(TOTAL_RPO,MEAN,QUARTERLY_ROLL,2024/4F,45856,,,'')":15100.0,"CRWV^FE_ESTIMATE(TOTAL_RPO,MEAN,QUARTERLY_ROLL,2024/3F,45856,,,'')":null,"CRWV^FE_ESTIMATE(TOTAL_RPO,MEAN,QUARTERLY_ROLL,2024/2F,45856,,,'')":null,"CRWV^FE_ESTIMATE(TOTAL_RPO,MEAN,QUARTERLY_ROLL,2024/1F,45856,,,'')":null,"CRWV^FE_ESTIMATE(TOTAL_RPO,MEAN,ANNUAL_ROLL,2023,45856,,,'')":null,"CRWV^FE_ESTIMATE(TOTAL_RPO,MEAN,QUARTERLY_ROLL,2023/4F,45856,,,'')":null,"CRWV^FE_ESTIMATE(TOTAL_RPO,MEAN,QUARTERLY_ROLL,2023/3F,45856,,,'')":null,"CRWV^FE_ESTIMATE(TOTAL_RPO,MEAN,QUARTERLY_ROLL,2023/2F,45856,,,'')":null,"CRWV^FE_ESTIMATE(TOTAL_RPO,MEAN,QUARTERLY_ROLL,2023/1F,45856,,,'')":null,"CRWV^FE_ESTIMATE(TOTAL_RPO,MEAN,ANNUAL_ROLL,2022,45856,,,'')":null,"CRWV^FE_ESTIMATE(TOTAL_RPO,MEAN,QUARTERLY_ROLL,2022/4F,45856,,,'')":null,"CRWV^FE_ESTIMATE(TOTAL_RPO,MEAN,QUARTERLY_ROLL,2022/3F,45856,,,'')":null,"CRWV^FE_ESTIMATE(TOTAL_RPO,MEAN,QUARTERLY_ROLL,2022/2F,45856,,,'')":null,"CRWV^FE_ESTIMATE(TOTAL_RPO,MEAN,QUARTERLY_ROLL,2022/1F,45856,,,'')":null,"CRWV^FE_ESTIMATE(ARR,MEAN,ANNUAL_ROLL,2029,45856,,,'')":null,"CRWV^FE_ESTIMATE(ARR,MEAN,QUARTERLY_ROLL,2029/4F,45856,,,'')":null,"CRWV^FE_ESTIMATE(ARR,MEAN,QUARTERLY_ROLL,2029/3F,45856,,,'')":null,"CRWV^FE_ESTIMATE(ARR,MEAN,QUARTERLY_ROLL,2029/2F,45856,,,'')":null,"CRWV^FE_ESTIMATE(ARR,MEAN,QUARTERLY_ROLL,2029/1F,45856,,,'')":null,"CRWV^FE_ESTIMATE(ARR,MEAN,ANNUAL_ROLL,2028,45856,,,'')":null,"CRWV^FE_ESTIMATE(ARR,MEAN,QUARTERLY_ROLL,2028/4F,45856,,,'')":null,"CRWV^FE_ESTIMATE(ARR,MEAN,QUARTERLY_ROLL,2028/3F,45856,,,'')":null,"CRWV^FE_ESTIMATE(ARR,MEAN,QUARTERLY_ROLL,2028/2F,45856,,,'')":null,"CRWV^FE_ESTIMATE(ARR,MEAN,QUARTERLY_ROLL,2028/1F,45856,,,'')":null,"CRWV^FE_ESTIMATE(ARR,MEAN,ANNUAL_ROLL,2027,45856,,,'')":16800.0,"CRWV^FE_ESTIMATE(ARR,MEAN,QUARTERLY_ROLL,2027/4F,45856,,,'')":null,"CRWV^FE_ESTIMATE(ARR,MEAN,QUARTERLY_ROLL,2027/3F,45856,,,'')":null,"CRWV^FE_ESTIMATE(ARR,MEAN,QUARTERLY_ROLL,2027/2F,45856,,,'')":null,"CRWV^FE_ESTIMATE(ARR,MEAN,QUARTERLY_ROLL,2027/1F,45856,,,'')":null,"CRWV^FE_ESTIMATE(ARR,MEAN,ANNUAL_ROLL,2026,45856,,,'')":12400.0,"CRWV^FE_ESTIMATE(ARR,MEAN,QUARTERLY_ROLL,2026/4F,45856,,,'')":null,"CRWV^FE_ESTIMATE(ARR,MEAN,QUARTERLY_ROLL,2026/3F,45856,,,'')":null,"CRWV^FE_ESTIMATE(ARR,MEAN,QUARTERLY_ROLL,2026/2F,45856,,,'')":null,"CRWV^FE_ESTIMATE(ARR,MEAN,QUARTERLY_ROLL,2026/1F,45856,,,'')":null,"CRWV^FE_ESTIMATE(ARR,MEAN,ANNUAL_ROLL,2025,45856,,,'')":6800.0,"CRWV^FE_ESTIMATE(ARR,MEAN,QUARTERLY_ROLL,2025/4F,45856,,,'')":null,"CRWV^FE_ESTIMATE(ARR,MEAN,QUARTERLY_ROLL,2025/3F,45856,,,'')":null,"CRWV^FE_ESTIMATE(ARR,MEAN,QUARTERLY_ROLL,2025/2F,45856,,,'')":null,"CRWV^FE_ESTIMATE(ARR,MEAN,QUARTERLY_ROLL,2025/1F,45856,,,'')":null,"CRWV^FE_ESTIMATE(ARR,MEAN,ANNUAL_ROLL,2024,45856,,,'')":3000.0,"CRWV^FE_ESTIMATE(ARR,MEAN,QUARTERLY_ROLL,2024/4F,45856,,,'')":null,"CRWV^FE_ESTIMATE(ARR,MEAN,QUARTERLY_ROLL,2024/3F,45856,,,'')":null,"CRWV^FE_ESTIMATE(ARR,MEAN,QUARTERLY_ROLL,2024/2F,45856,,,'')":null,"CRWV^FE_ESTIMATE(ARR,MEAN,QUARTERLY_ROLL,2024/1F,45856,,,'')":null,"CRWV^FE_ESTIMATE(ARR,MEAN,ANNUAL_ROLL,2023,45856,,,'')":null,"CRWV^FE_ESTIMATE(ARR,MEAN,QUARTERLY_ROLL,2023/4F,45856,,,'')":null,"CRWV^FE_ESTIMATE(ARR,MEAN,QUARTERLY_ROLL,2023/3F,45856,,,'')":null,"CRWV^FE_ESTIMATE(ARR,MEAN,QUARTERLY_ROLL,2023/2F,45856,,,'')":null,"CRWV^FE_ESTIMATE(ARR,MEAN,QUARTERLY_ROLL,2023/1F,45856,,,'')":null,"CRWV^FE_ESTIMATE(ARR,MEAN,ANNUAL_ROLL,2022,45856,,,'')":null,"CRWV^FE_ESTIMATE(ARR,MEAN,QUARTERLY_ROLL,2022/4F,45856,,,'')":null,"CRWV^FE_ESTIMATE(ARR,MEAN,QUARTERLY_ROLL,2022/3F,45856,,,'')":null,"CRWV^FE_ESTIMATE(ARR,MEAN,QUARTERLY_ROLL,2022/2F,45856,,,'')":null,"CRWV^FE_ESTIMATE(ARR,MEAN,QUARTERLY_ROLL,2022/1F,45856,,,'')":null,"CRWV^FE_ESTIMATE(NEW_ORDERS_VALUE,MEAN,ANNUAL_ROLL,2029,45856,,,'')":null,"CRWV^FE_ESTIMATE(NEW_ORDERS_VALUE,MEAN,QUARTERLY_ROLL,2029/4F,45856,,,'')":null,"CRWV^FE_ESTIMATE(NEW_ORDERS_VALUE,MEAN,QUARTERLY_ROLL,2029/3F,45856,,,'')":null,"CRWV^FE_ESTIMATE(NEW_ORDERS_VALUE,MEAN,QUARTERLY_ROLL,2029/2F,45856,,,'')":null,"CRWV^FE_ESTIMATE(NEW_ORDERS_VALUE,MEAN,QUARTERLY_ROLL,2029/1F,45856,,,'')":null,"CRWV^FE_ESTIMATE(NEW_ORDERS_VALUE,MEAN,ANNUAL_ROLL,2028,45856,,,'')":null,"CRWV^FE_ESTIMATE(NEW_ORDERS_VALUE,MEAN,QUARTERLY_ROLL,2028/4F,45856,,,'')":null,"CRWV^FE_ESTIMATE(NEW_ORDERS_VALUE,MEAN,QUARTERLY_ROLL,2028/3F,45856,,,'')":null,"CRWV^FE_ESTIMATE(NEW_ORDERS_VALUE,MEAN,QUARTERLY_ROLL,2028/2F,45856,,,'')":null,"CRWV^FE_ESTIMATE(NEW_ORDERS_VALUE,MEAN,QUARTERLY_ROLL,2028/1F,45856,,,'')":null,"CRWV^FE_ESTIMATE(NEW_ORDERS_VALUE,MEAN,ANNUAL_ROLL,2027,45856,,,'')":null,"CRWV^FE_ESTIMATE(NEW_ORDERS_VALUE,MEAN,QUARTERLY_ROLL,2027/4F,45856,,,'')":4563.0,"CRWV^FE_ESTIMATE(NEW_ORDERS_VALUE,MEAN,QUARTERLY_ROLL,2027/3F,45856,,,'')":4452.0,"CRWV^FE_ESTIMATE(NEW_ORDERS_VALUE,MEAN,QUARTERLY_ROLL,2027/2F,45856,,,'')":4260.0,"CRWV^FE_ESTIMATE(NEW_ORDERS_VALUE,MEAN,QUARTERLY_ROLL,2027/1F,45856,,,'')":4019.0,"CRWV^FE_ESTIMATE(NEW_ORDERS_VALUE,MEAN,ANNUAL_ROLL,2026,45856,,,'')":null,"CRWV^FE_ESTIMATE(NEW_ORDERS_VALUE,MEAN,QUARTERLY_ROLL,2026/4F,45856,,,'')":3588.0,"CRWV^FE_ESTIMATE(NEW_ORDERS_VALUE,MEAN,QUARTERLY_ROLL,2026/3F,45856,,,'')":3268.0,"CRWV^FE_ESTIMATE(NEW_ORDERS_VALUE,MEAN,QUARTERLY_ROLL,2026/2F,45856,,,'')":2961.0,"CRWV^FE_ESTIMATE(NEW_ORDERS_VALUE,MEAN,QUARTERLY_ROLL,2026/1F,45856,,,'')":2906.0,"CRWV^FE_ESTIMATE(NEW_ORDERS_VALUE,MEAN,ANNUAL_ROLL,2025,45856,,,'')":null,"CRWV^FE_ESTIMATE(NEW_ORDERS_VALUE,MEAN,QUARTERLY_ROLL,2025/4F,45856,,,'')":1851.0,"CRWV^FE_ESTIMATE(NEW_ORDERS_VALUE,MEAN,QUARTERLY_ROLL,2025/3F,45856,,,'')":1413.0,"CRWV^FE_ESTIMATE(NEW_ORDERS_VALUE,MEAN,QUARTERLY_ROLL,2025/2F,45856,,,'')":1221.0,"CRWV^FE_ESTIMATE(NEW_ORDERS_VALUE,MEAN,QUARTERLY_ROLL,2025/1F,45856,,,'')":null,"CRWV^FE_ESTIMATE(NEW_ORDERS_VALUE,MEAN,ANNUAL_ROLL,2024,45856,,,'')":null,"CRWV^FE_ESTIMATE(NEW_ORDERS_VALUE,MEAN,QUARTERLY_ROLL,2024/4F,45856,,,'')":382.0,"CRWV^FE_ESTIMATE(NEW_ORDERS_VALUE,MEAN,QUARTERLY_ROLL,2024/3F,45856,,,'')":null,"CRWV^FE_ESTIMATE(NEW_ORDERS_VALUE,MEAN,QUARTERLY_ROLL,2024/2F,45856,,,'')":null,"CRWV^FE_ESTIMATE(NEW_ORDERS_VALUE,MEAN,QUARTERLY_ROLL,2024/1F,45856,,,'')":null,"CRWV^FE_ESTIMATE(NEW_ORDERS_VALUE,MEAN,ANNUAL_ROLL,2023,45856,,,'')":null,"CRWV^FE_ESTIMATE(NEW_ORDERS_VALUE,MEAN,QUARTERLY_ROLL,2023/4F,45856,,,'')":null,"CRWV^FE_ESTIMATE(NEW_ORDERS_VALUE,MEAN,QUARTERLY_ROLL,2023/3F,45856,,,'')":null,"CRWV^FE_ESTIMATE(NEW_ORDERS_VALUE,MEAN,QUARTERLY_ROLL,2023/2F,45856,,,'')":null,"CRWV^FE_ESTIMATE(NEW_ORDERS_VALUE,MEAN,QUARTERLY_ROLL,2023/1F,45856,,,'')":null,"CRWV^FE_ESTIMATE(NEW_ORDERS_VALUE,MEAN,ANNUAL_ROLL,2022,45856,,,'')":null,"CRWV^FE_ESTIMATE(NEW_ORDERS_VALUE,MEAN,QUARTERLY_ROLL,2022/4F,45856,,,'')":null,"CRWV^FE_ESTIMATE(NEW_ORDERS_VALUE,MEAN,QUARTERLY_ROLL,2022/3F,45856,,,'')":null,"CRWV^FE_ESTIMATE(NEW_ORDERS_VALUE,MEAN,QUARTERLY_ROLL,2022/2F,45856,,,'')":null,"CRWV^FE_ESTIMATE(NEW_ORDERS_VALUE,MEAN,QUARTERLY_ROLL,2022/1F,45856,,,'')":null,"CRWV^FE_ESTIMATE(TOTALDEBT,MEAN,ANNUAL_ROLL,2029,45856,,,'')":35657.7,"CRWV^FE_ESTIMATE(TOTALDEBT,MEAN,QUARTERLY_ROLL,2029/4F,45856,,,'')":null,"CRWV^FE_ESTIMATE(TOTALDEBT,MEAN,QUARTERLY_ROLL,2029/3F,45856,,,'')":null,"CRWV^FE_ESTIMATE(TOTALDEBT,MEAN,QUARTERLY_ROLL,2029/2F,45856,,,'')":null,"CRWV^FE_ESTIMATE(TOTALDEBT,MEAN,QUARTERLY_ROLL,2029/1F,45856,,,'')":null,"CRWV^FE_ESTIMATE(TOTALDEBT,MEAN,ANNUAL_ROLL,2028,45856,,,'')":35584.7,"CRWV^FE_ESTIMATE(TOTALDEBT,MEAN,QUARTERLY_ROLL,2028/4F,45856,,,'')":null,"CRWV^FE_ESTIMATE(TOTALDEBT,MEAN,QUARTERLY_ROLL,2028/3F,45856,,,'')":null,"CRWV^FE_ESTIMATE(TOTALDEBT,MEAN,QUARTERLY_ROLL,2028/2F,45856,,,'')":null,"CRWV^FE_ESTIMATE(TOTALDEBT,MEAN,QUARTERLY_ROLL,2028/1F,45856,,,'')":null,"CRWV^FE_ESTIMATE(TOTALDEBT,MEAN,ANNUAL_ROLL,2027,45856,,,'')":34202.99,"CRWV^FE_ESTIMATE(TOTALDEBT,MEAN,QUARTERLY_ROLL,2027/4F,45856,,,'')":32127.0,"CRWV^FE_ESTIMATE(TOTALDEBT,MEAN,QUARTERLY_ROLL,2027/3F,45856,,,'')":32873.0,"CRWV^FE_ESTIMATE(TOTALDEBT,MEAN,QUARTERLY_ROLL,2027/2F,45856,,,'')":32974.0,"CRWV^FE_ESTIMATE(TOTALDEBT,MEAN,QUARTERLY_ROLL,2027/1F,45856,,,'')":32421.0,"CRWV^FE_ESTIMATE(TOTALDEBT,MEAN,ANNUAL_ROLL,2026,45856,,,'')":31491.791,"CRWV^FE_ESTIMATE(TOTALDEBT,MEAN,QUARTERLY_ROLL,2026/4F,45856,,,'')":31565.566,"CRWV^FE_ESTIMATE(TOTALDEBT,MEAN,QUARTERLY_ROLL,2026/3F,45856,,,'')":30484.566,"CRWV^FE_ESTIMATE(TOTALDEBT,MEAN,QUARTERLY_ROLL,2026/2F,45856,,,'')":28553.232,"CRWV^FE_ESTIMATE(TOTALDEBT,MEAN,QUARTERLY_ROLL,2026/1F,45856,,,'')":26601.9,"CRWV^FE_ESTIMATE(TOTALDEBT,MEAN,ANNUAL_ROLL,2025,45856,,,'')":23211.773,"CRWV^FE_ESTIMATE(TOTALDEBT,MEAN,QUARTERLY_ROLL,2025/4F,45856,,,'')":23095.225,"CRWV^FE_ESTIMATE(TOTALDEBT,MEAN,QUARTERLY_ROLL,2025/3F,45856,,,'')":17506.0,"CRWV^FE_ESTIMATE(TOTALDEBT,MEAN,QUARTERLY_ROLL,2025/2F,45856,,,'')":11394.15,"CRWV^FE_ESTIMATE(TOTALDEBT,MEAN,QUARTERLY_ROLL,2025/1F,45856,,,'')":8711.85,"CRWV^FE_ESTIMATE(TOTALDEBT,MEAN,ANNUAL_ROLL,2024,45856,,,'')":7944.588,"CRWV^FE_ESTIMATE(TOTALDEBT,MEAN,QUARTERLY_ROLL,2024/4F,45856,,,'')":7949.15,"CRWV^FE_ESTIMATE(TOTALDEBT,MEAN,QUARTERLY_ROLL,2024/3F,45856,,,'')":null,"CRWV^FE_ESTIMATE(TOTALDEBT,MEAN,QUARTERLY_ROLL,2024/2F,45856,,,'')":null,"CRWV^FE_ESTIMATE(TOTALDEBT,MEAN,QUARTERLY_ROLL,2024/1F,45856,,,'')":null,"CRWV^FE_ESTIMATE(TOTALDEBT,MEAN,ANNUAL_ROLL,2023,45856,,,'')":null,"CRWV^FE_ESTIMATE(TOTALDEBT,MEAN,QUARTERLY_ROLL,2023/4F,45856,,,'')":null,"CRWV^FE_ESTIMATE(TOTALDEBT,MEAN,QUARTERLY_ROLL,2023/3F,45856,,,'')":null,"CRWV^FE_ESTIMATE(TOTALDEBT,MEAN,QUARTERLY_ROLL,2023/2F,45856,,,'')":null,"CRWV^FE_ESTIMATE(TOTALDEBT,MEAN,QUARTERLY_ROLL,2023/1F,45856,,,'')":null,"CRWV^FE_ESTIMATE(TOTALDEBT,MEAN,ANNUAL_ROLL,2022,45856,,,'')":null,"CRWV^FE_ESTIMATE(TOTALDEBT,MEAN,QUARTERLY_ROLL,2022/4F,45856,,,'')":null,"CRWV^FE_ESTIMATE(TOTALDEBT,MEAN,QUARTERLY_ROLL,2022/3F,45856,,,'')":null,"CRWV^FE_ESTIMATE(TOTALDEBT,MEAN,QUARTERLY_ROLL,2022/2F,45856,,,'')":null,"CRWV^FE_ESTIMATE(TOTALDEBT,MEAN,QUARTERLY_ROLL,2022/1F,45856,,,'')":null,"CRWV^FE_ESTIMATE(DEFREVENUE,MEAN,ANNUAL_ROLL,2029,45856,,,'')":18857.5,"CRWV^FE_ESTIMATE(DEFREVENUE,MEAN,QUARTERLY_ROLL,2029/4F,45856,,,'')":null,"CRWV^FE_ESTIMATE(DEFREVENUE,MEAN,QUARTERLY_ROLL,2029/3F,45856,,,'')":null,"CRWV^FE_ESTIMATE(DEFREVENUE,MEAN,QUARTERLY_ROLL,2029/2F,45856,,,'')":null,"CRWV^FE_ESTIMATE(DEFREVENUE,MEAN,QUARTERLY_ROLL,2029/1F,45856,,,'')":null,"CRWV^FE_ESTIMATE(DEFREVENUE,MEAN,ANNUAL_ROLL,2028,45856,,,'')":16126.3,"CRWV^FE_ESTIMATE(DEFREVENUE,MEAN,QUARTERLY_ROLL,2028/4F,45856,,,'')":null,"CRWV^FE_ESTIMATE(DEFREVENUE,MEAN,QUARTERLY_ROLL,2028/3F,45856,,,'')":null,"CRWV^FE_ESTIMATE(DEFREVENUE,MEAN,QUARTERLY_ROLL,2028/2F,45856,,,'')":null,"CRWV^FE_ESTIMATE(DEFREVENUE,MEAN,QUARTERLY_ROLL,2028/1F,45856,,,'')":null,"CRWV^FE_ESTIMATE(DEFREVENUE,MEAN,ANNUAL_ROLL,2027,45856,,,'')":10503.972,"CRWV^FE_ESTIMATE(DEFREVENUE,MEAN,QUARTERLY_ROLL,2027/4F,45856,,,'')":8775.801,"CRWV^FE_ESTIMATE(DEFREVENUE,MEAN,QUARTERLY_ROLL,2027/3F,45856,,,'')":8366.499,"CRWV^FE_ESTIMATE(DEFREVENUE,MEAN,QUARTERLY_ROLL,2027/2F,45856,,,'')":8046.496,"CRWV^FE_ESTIMATE(DEFREVENUE,MEAN,QUARTERLY_ROLL,2027/1F,45856,,,'')":7445.43,"CRWV^FE_ESTIMATE(DEFREVENUE,MEAN,ANNUAL_ROLL,2026,45856,,,'')":8636.348,"CRWV^FE_ESTIMATE(DEFREVENUE,MEAN,QUARTERLY_ROLL,2026/4F,45856,,,'')":8564.063,"CRWV^FE_ESTIMATE(DEFREVENUE,MEAN,QUARTERLY_ROLL,2026/3F,45856,,,'')":7908.0234,"CRWV^FE_ESTIMATE(DEFREVENUE,MEAN,QUARTERLY_ROLL,2026/2F,45856,,,'')":7271.0654,"CRWV^FE_ESTIMATE(DEFREVENUE,MEAN,QUARTERLY_ROLL,2026/1F,45856,,,'')":6317.748,"CRWV^FE_ESTIMATE(DEFREVENUE,MEAN,ANNUAL_ROLL,2025,45856,,,'')":5821.4155,"CRWV^FE_ESTIMATE(DEFREVENUE,MEAN,QUARTERLY_ROLL,2025/4F,45856,,,'')":5821.4155,"CRWV^FE_ESTIMATE(DEFREVENUE,MEAN,QUARTERLY_ROLL,2025/3F,45856,,,'')":5227.1714,"CRWV^FE_ESTIMATE(DEFREVENUE,MEAN,QUARTERLY_ROLL,2025/2F,45856,,,'')":4958.471,"CRWV^FE_ESTIMATE(DEFREVENUE,MEAN,QUARTERLY_ROLL,2025/1F,45856,,,'')":4047.9998,"CRWV^FE_ESTIMATE(DEFREVENUE,MEAN,ANNUAL_ROLL,2024,45856,,,'')":4063.9565,"CRWV^FE_ESTIMATE(DEFREVENUE,MEAN,QUARTERLY_ROLL,2024/4F,45856,,,'')":4063.9565,"CRWV^FE_ESTIMATE(DEFREVENUE,MEAN,QUARTERLY_ROLL,2024/3F,45856,,,'')":null,"CRWV^FE_ESTIMATE(DEFREVENUE,MEAN,QUARTERLY_ROLL,2024/2F,45856,,,'')":null,"CRWV^FE_ESTIMATE(DEFREVENUE,MEAN,QUARTERLY_ROLL,2024/1F,45856,,,'')":null,"CRWV^FE_ESTIMATE(DEFREVENUE,MEAN,ANNUAL_ROLL,2023,45856,,,'')":null,"CRWV^FE_ESTIMATE(DEFREVENUE,MEAN,QUARTERLY_ROLL,2023/4F,45856,,,'')":null,"CRWV^FE_ESTIMATE(DEFREVENUE,MEAN,QUARTERLY_ROLL,2023/3F,45856,,,'')":null,"CRWV^FE_ESTIMATE(DEFREVENUE,MEAN,QUARTERLY_ROLL,2023/2F,45856,,,'')":null,"CRWV^FE_ESTIMATE(DEFREVENUE,MEAN,QUARTERLY_ROLL,2023/1F,45856,,,'')":null,"CRWV^FE_ESTIMATE(DEFREVENUE,MEAN,ANNUAL_ROLL,2022,45856,,,'')":null,"CRWV^FE_ESTIMATE(DEFREVENUE,MEAN,QUARTERLY_ROLL,2022/4F,45856,,,'')":null,"CRWV^FE_ESTIMATE(DEFREVENUE,MEAN,QUARTERLY_ROLL,2022/3F,45856,,,'')":null,"CRWV^FE_ESTIMATE(DEFREVENUE,MEAN,QUARTERLY_ROLL,2022/2F,45856,,,'')":null,"CRWV^FE_ESTIMATE(DEFREVENUE,MEAN,QUARTERLY_ROLL,2022/1F,45856,,,'')":null,"CRWV^FE_ESTIMATE(DEFREVENUE_LT,MEAN,ANNUAL_ROLL,2029,45856,,,'')":null,"CRWV^FE_ESTIMATE(DEFREVENUE_LT,MEAN,QUARTERLY_ROLL,2029/4F,45856,,,'')":null,"CRWV^FE_ESTIMATE(DEFREVENUE_LT,MEAN,QUARTERLY_ROLL,2029/3F,45856,,,'')":null,"CRWV^FE_ESTIMATE(DEFREVENUE_LT,MEAN,QUARTERLY_ROLL,2029/2F,45856,,,'')":null,"CRWV^FE_ESTIMATE(DEFREVENUE_LT,MEAN,QUARTERLY_ROLL,2029/1F,45856,,,'')":null,"CRWV^FE_ESTIMATE(DEFREVENUE_LT,MEAN,ANNUAL_ROLL,2028,45856,,,'')":null,"CRWV^FE_ESTIMATE(DEFREVENUE_LT,MEAN,QUARTERLY_ROLL,2028/4F,45856,,,'')":null,"CRWV^FE_ESTIMATE(DEFREVENUE_LT,MEAN,QUARTERLY_ROLL,2028/3F,45856,,,'')":null,"CRWV^FE_ESTIMATE(DEFREVENUE_LT,MEAN,QUARTERLY_ROLL,2028/2F,45856,,,'')":null,"CRWV^FE_ESTIMATE(DEFREVENUE_LT,MEAN,QUARTERLY_ROLL,2028/1F,45856,,,'')":null,"CRWV^FE_ESTIMATE(DEFREVENUE_LT,MEAN,ANNUAL_ROLL,2027,45856,,,'')":8273.462,"CRWV^FE_ESTIMATE(DEFREVENUE_LT,MEAN,QUARTERLY_ROLL,2027/4F,45856,,,'')":7612.665,"CRWV^FE_ESTIMATE(DEFREVENUE_LT,MEAN,QUARTERLY_ROLL,2027/3F,45856,,,'')":7266.367,"CRWV^FE_ESTIMATE(DEFREVENUE_LT,MEAN,QUARTERLY_ROLL,2027/2F,45856,,,'')":6980.5083,"CRWV^FE_ESTIMATE(DEFREVENUE_LT,MEAN,QUARTERLY_ROLL,2027/1F,45856,,,'')":6473.8374,"CRWV^FE_ESTIMATE(DEFREVENUE_LT,MEAN,ANNUAL_ROLL,2026,45856,,,'')":6823.2275,"CRWV^FE_ESTIMATE(DEFREVENUE_LT,MEAN,QUARTERLY_ROLL,2026/4F,45856,,,'')":6592.0205,"CRWV^FE_ESTIMATE(DEFREVENUE_LT,MEAN,QUARTERLY_ROLL,2026/3F,45856,,,'')":6083.7686,"CRWV^FE_ESTIMATE(DEFREVENUE_LT,MEAN,QUARTERLY_ROLL,2026/2F,45856,,,'')":5621.2827,"CRWV^FE_ESTIMATE(DEFREVENUE_LT,MEAN,QUARTERLY_ROLL,2026/1F,45856,,,'')":4865.1816,"CRWV^FE_ESTIMATE(DEFREVENUE_LT,MEAN,ANNUAL_ROLL,2025,45856,,,'')":4728.4204,"CRWV^FE_ESTIMATE(DEFREVENUE_LT,MEAN,QUARTERLY_ROLL,2025/4F,45856,,,'')":4728.4204,"CRWV^FE_ESTIMATE(DEFREVENUE_LT,MEAN,QUARTERLY_ROLL,2025/3F,45856,,,'')":4293.0737,"CRWV^FE_ESTIMATE(DEFREVENUE_LT,MEAN,QUARTERLY_ROLL,2025/2F,45856,,,'')":4074.308,"CRWV^FE_ESTIMATE(DEFREVENUE_LT,MEAN,QUARTERLY_ROLL,2025/1F,45856,,,'')":3611.2346,"CRWV^FE_ESTIMATE(DEFREVENUE_LT,MEAN,ANNUAL_ROLL,2024,45856,,,'')":3294.9941,"CRWV^FE_ESTIMATE(DEFREVENUE_LT,MEAN,QUARTERLY_ROLL,2024/4F,45856,,,'')":3294.9941,"CRWV^FE_ESTIMATE(DEFREVENUE_LT,MEAN,QUARTERLY_ROLL,2024/3F,45856,,,'')":null,"CRWV^FE_ESTIMATE(DEFREVENUE_LT,MEAN,QUARTERLY_ROLL,2024/2F,45856,,,'')":null,"CRWV^FE_ESTIMATE(DEFREVENUE_LT,MEAN,QUARTERLY_ROLL,2024/1F,45856,,,'')":null,"CRWV^FE_ESTIMATE(DEFREVENUE_LT,MEAN,ANNUAL_ROLL,2023,45856,,,'')":null,"CRWV^FE_ESTIMATE(DEFREVENUE_LT,MEAN,QUARTERLY_ROLL,2023/4F,45856,,,'')":null,"CRWV^FE_ESTIMATE(DEFREVENUE_LT,MEAN,QUARTERLY_ROLL,2023/3F,45856,,,'')":null,"CRWV^FE_ESTIMATE(DEFREVENUE_LT,MEAN,QUARTERLY_ROLL,2023/2F,45856,,,'')":null,"CRWV^FE_ESTIMATE(DEFREVENUE_LT,MEAN,QUARTERLY_ROLL,2023/1F,45856,,,'')":null,"CRWV^FE_ESTIMATE(DEFREVENUE_LT,MEAN,ANNUAL_ROLL,2022,45856,,,'')":null,"CRWV^FE_ESTIMATE(DEFREVENUE_LT,MEAN,QUARTERLY_ROLL,2022/4F,45856,,,'')":null,"CRWV^FE_ESTIMATE(DEFREVENUE_LT,MEAN,QUARTERLY_ROLL,2022/3F,45856,,,'')":null,"CRWV^FE_ESTIMATE(DEFREVENUE_LT,MEAN,QUARTERLY_ROLL,2022/2F,45856,,,'')":null,"CRWV^FE_ESTIMATE(DEFREVENUE_LT,MEAN,QUARTERLY_ROLL,2022/1F,45856,,,'')":null,"CRWV^FE_ESTIMATE(DEFREVENUE_ST,MEAN,ANNUAL_ROLL,2029,45856,,,'')":null,"CRWV^FE_ESTIMATE(DEFREVENUE_ST,MEAN,QUARTERLY_ROLL,2029/4F,45856,,,'')":null,"CRWV^FE_ESTIMATE(DEFREVENUE_ST,MEAN,QUARTERLY_ROLL,2029/3F,45856,,,'')":null,"CRWV^FE_ESTIMATE(DEFREVENUE_ST,MEAN,QUARTERLY_ROLL,2029/2F,45856,,,'')":null,"CRWV^FE_ESTIMATE(DEFREVENUE_ST,MEAN,QUARTERLY_ROLL,2029/1F,45856,,,'')":null,"CRWV^FE_ESTIMATE(DEFREVENUE_ST,MEAN,ANNUAL_ROLL,2028,45856,,,'')":null,"CRWV^FE_ESTIMATE(DEFREVENUE_ST,MEAN,QUARTERLY_ROLL,2028/4F,45856,,,'')":null,"CRWV^FE_ESTIMATE(DEFREVENUE_ST,MEAN,QUARTERLY_ROLL,2028/3F,45856,,,'')":null,"CRWV^FE_ESTIMATE(DEFREVENUE_ST,MEAN,QUARTERLY_ROLL,2028/2F,45856,,,'')":null,"CRWV^FE_ESTIMATE(DEFREVENUE_ST,MEAN,QUARTERLY_ROLL,2028/1F,45856,,,'')":null,"CRWV^FE_ESTIMATE(DEFREVENUE_ST,MEAN,ANNUAL_ROLL,2027,45856,,,'')":1549.1672,"CRWV^FE_ESTIMATE(DEFREVENUE_ST,MEAN,QUARTERLY_ROLL,2027/4F,45856,,,'')":1163.1855,"CRWV^FE_ESTIMATE(DEFREVENUE_ST,MEAN,QUARTERLY_ROLL,2027/3F,45856,,,'')":1100.2325,"CRWV^FE_ESTIMATE(DEFREVENUE_ST,MEAN,QUARTERLY_ROLL,2027/2F,45856,,,'')":1066.0875,"CRWV^FE_ESTIMATE(DEFREVENUE_ST,MEAN,QUARTERLY_ROLL,2027/1F,45856,,,'')":971.7425,"CRWV^FE_ESTIMATE(DEFREVENUE_ST,MEAN,ANNUAL_ROLL,2026,45856,,,'')":1259.6322,"CRWV^FE_ESTIMATE(DEFREVENUE_ST,MEAN,QUARTERLY_ROLL,2026/4F,45856,,,'')":1019.57635,"CRWV^FE_ESTIMATE(DEFREVENUE_ST,MEAN,QUARTERLY_ROLL,2026/3F,45856,,,'')":940.6882,"CRWV^FE_ESTIMATE(DEFREVENUE_ST,MEAN,QUARTERLY_ROLL,2026/2F,45856,,,'')":868.89984,"CRWV^FE_ESTIMATE(DEFREVENUE_ST,MEAN,QUARTERLY_ROLL,2026/1F,45856,,,'')":749.69965,"CRWV^FE_ESTIMATE(DEFREVENUE_ST,MEAN,ANNUAL_ROLL,2025,45856,,,'')":822.70776,"CRWV^FE_ESTIMATE(DEFREVENUE_ST,MEAN,QUARTERLY_ROLL,2025/4F,45856,,,'')":822.70776,"CRWV^FE_ESTIMATE(DEFREVENUE_ST,MEAN,QUARTERLY_ROLL,2025/3F,45856,,,'')":722.5476,"CRWV^FE_ESTIMATE(DEFREVENUE_ST,MEAN,QUARTERLY_ROLL,2025/2F,45856,,,'')":671.213,"CRWV^FE_ESTIMATE(DEFREVENUE_ST,MEAN,QUARTERLY_ROLL,2025/1F,45856,,,'')":436.765,"CRWV^FE_ESTIMATE(DEFREVENUE_ST,MEAN,ANNUAL_ROLL,2024,45856,,,'')":768.9443,"CRWV^FE_ESTIMATE(DEFREVENUE_ST,MEAN,QUARTERLY_ROLL,2024/4F,45856,,,'')":768.9443,"CRWV^FE_ESTIMATE(DEFREVENUE_ST,MEAN,QUARTERLY_ROLL,2024/3F,45856,,,'')":null,"CRWV^FE_ESTIMATE(DEFREVENUE_ST,MEAN,QUARTERLY_ROLL,2024/2F,45856,,,'')":null,"CRWV^FE_ESTIMATE(DEFREVENUE_ST,MEAN,QUARTERLY_ROLL,2024/1F,45856,,,'')":null,"CRWV^FE_ESTIMATE(DEFREVENUE_ST,MEAN,ANNUAL_ROLL,2023,45856,,,'')":null,"CRWV^FE_ESTIMATE(DEFREVENUE_ST,MEAN,QUARTERLY_ROLL,2023/4F,45856,,,'')":null,"CRWV^FE_ESTIMATE(DEFREVENUE_ST,MEAN,QUARTERLY_ROLL,2023/3F,45856,,,'')":null,"CRWV^FE_ESTIMATE(DEFREVENUE_ST,MEAN,QUARTERLY_ROLL,2023/2F,45856,,,'')":null,"CRWV^FE_ESTIMATE(DEFREVENUE_ST,MEAN,QUARTERLY_ROLL,2023/1F,45856,,,'')":null,"CRWV^FE_ESTIMATE(DEFREVENUE_ST,MEAN,ANNUAL_ROLL,2022,45856,,,'')":null,"CRWV^FE_ESTIMATE(DEFREVENUE_ST,MEAN,QUARTERLY_ROLL,2022/4F,45856,,,'')":null,"CRWV^FE_ESTIMATE(DEFREVENUE_ST,MEAN,QUARTERLY_ROLL,2022/3F,45856,,,'')":null,"CRWV^FE_ESTIMATE(DEFREVENUE_ST,MEAN,QUARTERLY_ROLL,2022/2F,45856,,,'')":null,"CRWV^FE_ESTIMATE(DEFREVENUE_ST,MEAN,QUARTERLY_ROLL,2022/1F,45856,,,'')":null,"CRWV^FE_ESTIMATE(FCF,MEAN,ANNUAL_ROLL,2029,45856,,,'')":827.3,"CRWV^FE_ESTIMATE(FCF,MEAN,QUARTERLY_ROLL,2029/4F,45856,,,'')":null,"CRWV^FE_ESTIMATE(FCF,MEAN,QUARTERLY_ROLL,2029/3F,45856,,,'')":null,"CRWV^FE_ESTIMATE(FCF,MEAN,QUARTERLY_ROLL,2029/2F,45856,,,'')":null,"CRWV^FE_ESTIMATE(FCF,MEAN,QUARTERLY_ROLL,2029/1F,45856,,,'')":null,"CRWV^FE_ESTIMATE(FCF,MEAN,ANNUAL_ROLL,2028,45856,,,'')":-575.25,"CRWV^FE_ESTIMATE(FCF,MEAN,QUARTERLY_ROLL,2028/4F,45856,,,'')":null,"CRWV^FE_ESTIMATE(FCF,MEAN,QUARTERLY_ROLL,2028/3F,45856,,,'')":null,"CRWV^FE_ESTIMATE(FCF,MEAN,QUARTERLY_ROLL,2028/2F,45856,,,'')":null,"CRWV^FE_ESTIMATE(FCF,MEAN,QUARTERLY_ROLL,2028/1F,45856,,,'')":null,"CRWV^FE_ESTIMATE(FCF,MEAN,ANNUAL_ROLL,2027,45856,,,'')":-3029.782,"CRWV^FE_ESTIMATE(FCF,MEAN,QUARTERLY_ROLL,2027/4F,45856,,,'')":null,"CRWV^FE_ESTIMATE(FCF,MEAN,QUARTERLY_ROLL,2027/3F,45856,,,'')":null,"CRWV^FE_ESTIMATE(FCF,MEAN,QUARTERLY_ROLL,2027/2F,45856,,,'')":null,"CRWV^FE_ESTIMATE(FCF,MEAN,QUARTERLY_ROLL,2027/1F,45856,,,'')":null,"CRWV^FE_ESTIMATE(FCF,MEAN,ANNUAL_ROLL,2026,45856,,,'')":-7994.3433,"CRWV^FE_ESTIMATE(FCF,MEAN,QUARTERLY_ROLL,2026/4F,45856,,,'')":-1054.4,"CRWV^FE_ESTIMATE(FCF,MEAN,QUARTERLY_ROLL,2026/3F,45856,,,'')":-1850.2,"CRWV^FE_ESTIMATE(FCF,MEAN,QUARTERLY_ROLL,2026/2F,45856,,,'')":-2066.6,"CRWV^FE_ESTIMATE(FCF,MEAN,QUARTERLY_ROLL,2026/1F,45856,,,'')":-2197.0,"CRWV^FE_ESTIMATE(FCF,MEAN,ANNUAL_ROLL,2025,45856,,,'')":-16858.438,"CRWV^FE_ESTIMATE(FCF,MEAN,QUARTERLY_ROLL,2025/4F,45856,,,'')":-5861.05,"CRWV^FE_ESTIMATE(FCF,MEAN,QUARTERLY_ROLL,2025/3F,45856,,,'')":-5685.35,"CRWV^FE_ESTIMATE(FCF,MEAN,QUARTERLY_ROLL,2025/2F,45856,,,'')":-3131.5,"CRWV^FE_ESTIMATE(FCF,MEAN,QUARTERLY_ROLL,2025/1F,45856,,,'')":-1346.0,"CRWV^FE_ESTIMATE(FCF,MEAN,ANNUAL_ROLL,2024,45856,,,'')":-5952.9443,"CRWV^FE_ESTIMATE(FCF,MEAN,QUARTERLY_ROLL,2024/4F,45856,,,'')":-3476.0,"CRWV^FE_ESTIMATE(FCF,MEAN,QUARTERLY_ROLL,2024/3F,45856,,,'')":null,"CRWV^FE_ESTIMATE(FCF,MEAN,QUARTERLY_ROLL,2024/2F,45856,,,'')":null,"CRWV^FE_ESTIMATE(FCF,MEAN,QUARTERLY_ROLL,2024/1F,45856,,,'')":null,"CRWV^FE_ESTIMATE(FCF,MEAN,ANNUAL_ROLL,2023,45856,,,'')":null,"CRWV^FE_ESTIMATE(FCF,MEAN,QUARTERLY_ROLL,2023/4F,45856,,,'')":null,"CRWV^FE_ESTIMATE(FCF,MEAN,QUARTERLY_ROLL,2023/3F,45856,,,'')":null,"CRWV^FE_ESTIMATE(FCF,MEAN,QUARTERLY_ROLL,2023/2F,45856,,,'')":null,"CRWV^FE_ESTIMATE(FCF,MEAN,QUARTERLY_ROLL,2023/1F,45856,,,'')":null,"CRWV^FE_ESTIMATE(FCF,MEAN,ANNUAL_ROLL,2022,45856,,,'')":null,"CRWV^FE_ESTIMATE(FCF,MEAN,QUARTERLY_ROLL,2022/4F,45856,,,'')":null,"CRWV^FE_ESTIMATE(FCF,MEAN,QUARTERLY_ROLL,2022/3F,45856,,,'')":null,"CRWV^FE_ESTIMATE(FCF,MEAN,QUARTERLY_ROLL,2022/2F,45856,,,'')":null,"CRWV^FE_ESTIMATE(FCF,MEAN,QUARTERLY_ROLL,2022/1F,45856,,,'')":null,"CRWV^FE_ESTIMATE(CAPEX,MEAN,ANNUAL_ROLL,2029,45856,,,'')":16146.65,"CRWV^FE_ESTIMATE(CAPEX,MEAN,QUARTERLY_ROLL,2029/4F,45856,,,'')":null,"CRWV^FE_ESTIMATE(CAPEX,MEAN,QUARTERLY_ROLL,2029/3F,45856,,,'')":null,"CRWV^FE_ESTIMATE(CAPEX,MEAN,QUARTERLY_ROLL,2029/2F,45856,,,'')":null,"CRWV^FE_ESTIMATE(CAPEX,MEAN,QUARTERLY_ROLL,2029/1F,45856,,,'')":null,"CRWV^FE_ESTIMATE(CAPEX,MEAN,ANNUAL_ROLL,2028,45856,,,'')":14532.0,"CRWV^FE_ESTIMATE(CAPEX,MEAN,QUARTERLY_ROLL,2028/4F,45856,,,'')":null,"CRWV^FE_ESTIMATE(CAPEX,MEAN,QUARTERLY_ROLL,2028/3F,45856,,,'')":null,"CRWV^FE_ESTIMATE(CAPEX,MEAN,QUARTERLY_ROLL,2028/2F,45856,,,'')":null,"CRWV^FE_ESTIMATE(CAPEX,MEAN,QUARTERLY_ROLL,2028/1F,45856,,,'')":null,"CRWV^FE_ESTIMATE(CAPEX,MEAN,ANNUAL_ROLL,2027,45856,,,'')":13315.315,"CRWV^FE_ESTIMATE(CAPEX,MEAN,QUARTERLY_ROLL,2027/4F,45856,,,'')":2642.2654,"CRWV^FE_ESTIMATE(CAPEX,MEAN,QUARTERLY_ROLL,2027/3F,45856,,,'')":2826.4375,"CRWV^FE_ESTIMATE(CAPEX,MEAN,QUARTERLY_ROLL,2027/2F,45856,,,'')":3593.939,"CRWV^FE_ESTIMATE(CAPEX,MEAN,QUARTERLY_ROLL,2027/1F,45856,,,'')":3329.506,"CRWV^FE_ESTIMATE(CAPEX,MEAN,ANNUAL_ROLL,2026,45856,,,'')":15146.047,"CRWV^FE_ESTIMATE(CAPEX,MEAN,QUARTERLY_ROLL,2026/4F,45856,,,'')":2876.4995,"CRWV^FE_ESTIMATE(CAPEX,MEAN,QUARTERLY_ROLL,2026/3F,45856,,,'')":3605.9675,"CRWV^FE_ESTIMATE(CAPEX,MEAN,QUARTERLY_ROLL,2026/2F,45856,,,'')":3457.1055,"CRWV^FE_ESTIMATE(CAPEX,MEAN,QUARTERLY_ROLL,2026/1F,45856,,,'')":3810.7886,"CRWV^FE_ESTIMATE(CAPEX,MEAN,ANNUAL_ROLL,2025,45856,,,'')":20246.24,"CRWV^FE_ESTIMATE(CAPEX,MEAN,QUARTERLY_ROLL,2025/4F,45856,,,'')":7014.3164,"CRWV^FE_ESTIMATE(CAPEX,MEAN,QUARTERLY_ROLL,2025/3F,45856,,,'')":6698.636,"CRWV^FE_ESTIMATE(CAPEX,MEAN,QUARTERLY_ROLL,2025/2F,45856,,,'')":3670.6277,"CRWV^FE_ESTIMATE(CAPEX,MEAN,QUARTERLY_ROLL,2025/1F,45856,,,'')":1407.359,"CRWV^FE_ESTIMATE(CAPEX,MEAN,ANNUAL_ROLL,2024,45856,,,'')":8770.176,"CRWV^FE_ESTIMATE(CAPEX,MEAN,QUARTERLY_ROLL,2024/4F,45856,,,'')":3151.0667,"CRWV^FE_ESTIMATE(CAPEX,MEAN,QUARTERLY_ROLL,2024/3F,45856,,,'')":null,"CRWV^FE_ESTIMATE(CAPEX,MEAN,QUARTERLY_ROLL,2024/2F,45856,,,'')":null,"CRWV^FE_ESTIMATE(CAPEX,MEAN,QUARTERLY_ROLL,2024/1F,45856,,,'')":null,"CRWV^FE_ESTIMATE(CAPEX,MEAN,ANNUAL_ROLL,2023,45856,,,'')":null,"CRWV^FE_ESTIMATE(CAPEX,MEAN,QUARTERLY_ROLL,2023/4F,45856,,,'')":null,"CRWV^FE_ESTIMATE(CAPEX,MEAN,QUARTERLY_ROLL,2023/3F,45856,,,'')":null,"CRWV^FE_ESTIMATE(CAPEX,MEAN,QUARTERLY_ROLL,2023/2F,45856,,,'')":null,"CRWV^FE_ESTIMATE(CAPEX,MEAN,QUARTERLY_ROLL,2023/1F,45856,,,'')":null,"CRWV^FE_ESTIMATE(CAPEX,MEAN,ANNUAL_ROLL,2022,45856,,,'')":null,"CRWV^FE_ESTIMATE(CAPEX,MEAN,QUARTERLY_ROLL,2022/4F,45856,,,'')":null,"CRWV^FE_ESTIMATE(CAPEX,MEAN,QUARTERLY_ROLL,2022/3F,45856,,,'')":null,"CRWV^FE_ESTIMATE(CAPEX,MEAN,QUARTERLY_ROLL,2022/2F,45856,,,'')":null,"CRWV^FE_ESTIMATE(CAPEX,MEAN,QUARTERLY_ROLL,2022/1F,45856,,,'')":null,"CRWV^FE_ESTIMATE(CFO,MEAN,ANNUAL_ROLL,2029,45856,,,'')":null,"CRWV^FE_ESTIMATE(CFO,MEAN,QUARTERLY_ROLL,2029/4F,45856,,,'')":null,"CRWV^FE_ESTIMATE(CFO,MEAN,QUARTERLY_ROLL,2029/3F,45856,,,'')":null,"CRWV^FE_ESTIMATE(CFO,MEAN,QUARTERLY_ROLL,2029/2F,45856,,,'')":null,"CRWV^FE_ESTIMATE(CFO,MEAN,QUARTERLY_ROLL,2029/1F,45856,,,'')":null,"CRWV^FE_ESTIMATE(CFO,MEAN,ANNUAL_ROLL,2028,45856,,,'')":null,"CRWV^FE_ESTIMATE(CFO,MEAN,QUARTERLY_ROLL,2028/4F,45856,,,'')":null,"CRWV^FE_ESTIMATE(CFO,MEAN,QUARTERLY_ROLL,2028/3F,45856,,,'')":null,"CRWV^FE_ESTIMATE(CFO,MEAN,QUARTERLY_ROLL,2028/2F,45856,,,'')":null,"CRWV^FE_ESTIMATE(CFO,MEAN,QUARTERLY_ROLL,2028/1F,45856,,,'')":null,"CRWV^FE_ESTIMATE(CFO,MEAN,ANNUAL_ROLL,2027,45856,,,'')":10705.21,"CRWV^FE_ESTIMATE(CFO,MEAN,QUARTERLY_ROLL,2027/4F,45856,,,'')":3011.507,"CRWV^FE_ESTIMATE(CFO,MEAN,QUARTERLY_ROLL,2027/3F,45856,,,'')":2135.7385,"CRWV^FE_ESTIMATE(CFO,MEAN,QUARTERLY_ROLL,2027/2F,45856,,,'')":2998.324,"CRWV^FE_ESTIMATE(CFO,MEAN,QUARTERLY_ROLL,2027/1F,45856,,,'')":2527.6316,"CRWV^FE_ESTIMATE(CFO,MEAN,ANNUAL_ROLL,2026,45856,,,'')":7484.9814,"CRWV^FE_ESTIMATE(CFO,MEAN,QUARTERLY_ROLL,2026/4F,45856,,,'')":1832.0914,"CRWV^FE_ESTIMATE(CFO,MEAN,QUARTERLY_ROLL,2026/3F,45856,,,'')":1650.1351,"CRWV^FE_ESTIMATE(CFO,MEAN,QUARTERLY_ROLL,2026/2F,45856,,,'')":1254.4827,"CRWV^FE_ESTIMATE(CFO,MEAN,QUARTERLY_ROLL,2026/1F,45856,,,'')":1474.8676,"CRWV^FE_ESTIMATE(CFO,MEAN,ANNUAL_ROLL,2025,45856,,,'')":3206.4697,"CRWV^FE_ESTIMATE(CFO,MEAN,QUARTERLY_ROLL,2025/4F,45856,,,'')":1381.17,"CRWV^FE_ESTIMATE(CFO,MEAN,QUARTERLY_ROLL,2025/3F,45856,,,'')":1212.0577,"CRWV^FE_ESTIMATE(CFO,MEAN,QUARTERLY_ROLL,2025/2F,45856,,,'')":118.615555,"CRWV^FE_ESTIMATE(CFO,MEAN,QUARTERLY_ROLL,2025/1F,45856,,,'')":61.04,"CRWV^FE_ESTIMATE(CFO,MEAN,ANNUAL_ROLL,2024,45856,,,'')":2749.104,"CRWV^FE_ESTIMATE(CFO,MEAN,QUARTERLY_ROLL,2024/4F,45856,,,'')":-323.43332,"CRWV^FE_ESTIMATE(CFO,MEAN,QUARTERLY_ROLL,2024/3F,45856,,,'')":null,"CRWV^FE_ESTIMATE(CFO,MEAN,QUARTERLY_ROLL,2024/2F,45856,,,'')":null,"CRWV^FE_ESTIMATE(CFO,MEAN,QUARTERLY_ROLL,2024/1F,45856,,,'')":null,"CRWV^FE_ESTIMATE(CFO,MEAN,ANNUAL_ROLL,2023,45856,,,'')":null,"CRWV^FE_ESTIMATE(CFO,MEAN,QUARTERLY_ROLL,2023/4F,45856,,,'')":null,"CRWV^FE_ESTIMATE(CFO,MEAN,QUARTERLY_ROLL,2023/3F,45856,,,'')":null,"CRWV^FE_ESTIMATE(CFO,MEAN,QUARTERLY_ROLL,2023/2F,45856,,,'')":null,"CRWV^FE_ESTIMATE(CFO,MEAN,QUARTERLY_ROLL,2023/1F,45856,,,'')":null,"CRWV^FE_ESTIMATE(CFO,MEAN,ANNUAL_ROLL,2022,45856,,,'')":null,"CRWV^FE_ESTIMATE(CFO,MEAN,QUARTERLY_ROLL,2022/4F,45856,,,'')":null,"CRWV^FE_ESTIMATE(CFO,MEAN,QUARTERLY_ROLL,2022/3F,45856,,,'')":null,"CRWV^FE_ESTIMATE(CFO,MEAN,QUARTERLY_ROLL,2022/2F,45856,,,'')":null,"CRWV^FE_ESTIMATE(CFO,MEAN,QUARTERLY_ROLL,2022/1F,45856,,,'')":null,"CRWV^FE_ESTIMATE(EPS,MEAN,ANNUAL_ROLL,2029,45856,,,'')":5.965,"CRWV^FE_ESTIMATE(EPS,MEAN,QUARTERLY_ROLL,2029/4F,45856,,,'')":null,"CRWV^FE_ESTIMATE(EPS,MEAN,QUARTERLY_ROLL,2029/3F,45856,,,'')":null,"CRWV^FE_ESTIMATE(EPS,MEAN,QUARTERLY_ROLL,2029/2F,45856,,,'')":null,"CRWV^FE_ESTIMATE(EPS,MEAN,QUARTERLY_ROLL,2029/1F,45856,,,'')":null,"CRWV^FE_ESTIMATE(EPS,MEAN,ANNUAL_ROLL,2028,45856,,,'')":3.44,"CRWV^FE_ESTIMATE(EPS,MEAN,QUARTERLY_ROLL,2028/4F,45856,,,'')":null,"CRWV^FE_ESTIMATE(EPS,MEAN,QUARTERLY_ROLL,2028/3F,45856,,,'')":null,"CRWV^FE_ESTIMATE(EPS,MEAN,QUARTERLY_ROLL,2028/2F,45856,,,'')":null,"CRWV^FE_ESTIMATE(EPS,MEAN,QUARTERLY_ROLL,2028/1F,45856,,,'')":null,"CRWV^FE_ESTIMATE(EPS,MEAN,ANNUAL_ROLL,2027,45856,,,'')":2.299851,"CRWV^FE_ESTIMATE(EPS,MEAN,QUARTERLY_ROLL,2027/4F,45856,,,'')":0.68088454,"CRWV^FE_ESTIMATE(EPS,MEAN,QUARTERLY_ROLL,2027/3F,45856,,,'')":0.5177665,"CRWV^FE_ESTIMATE(EPS,MEAN,QUARTERLY_ROLL,2027/2F,45856,,,'')":0.36866057,"CRWV^FE_ESTIMATE(EPS,MEAN,QUARTERLY_ROLL,2027/1F,45856,,,'')":0.3104559,"CRWV^FE_ESTIMATE(EPS,MEAN,ANNUAL_ROLL,2026,45856,,,'')":-0.20419207,"CRWV^FE_ESTIMATE(EPS,MEAN,QUARTERLY_ROLL,2026/4F,45856,,,'')":0.07086163,"CRWV^FE_ESTIMATE(EPS,MEAN,QUARTERLY_ROLL,2026/3F,45856,,,'')":-0.042986594,"CRWV^FE_ESTIMATE(EPS,MEAN,QUARTERLY_ROLL,2026/2F,45856,,,'')":-0.032300353,"CRWV^FE_ESTIMATE(EPS,MEAN,QUARTERLY_ROLL,2026/1F,45856,,,'')":-0.30804422,"CRWV^FE_ESTIMATE(EPS,MEAN,ANNUAL_ROLL,2025,45856,,,'')":-1.3456051,"CRWV^FE_ESTIMATE(EPS,MEAN,QUARTERLY_ROLL,2025/4F,45856,,,'')":-0.3392497,"CRWV^FE_ESTIMATE(EPS,MEAN,QUARTERLY_ROLL,2025/3F,45856,,,'')":-0.2368858,"CRWV^FE_ESTIMATE(EPS,MEAN,QUARTERLY_ROLL,2025/2F,45856,,,'')":-0.2314586,"CRWV^FE_ESTIMATE(EPS,MEAN,QUARTERLY_ROLL,2025/1F,45856,,,'')":-0.827782,"CRWV^FE_ESTIMATE(EPS,MEAN,ANNUAL_ROLL,2024,45856,,,'')":-0.281601,"CRWV^FE_ESTIMATE(EPS,MEAN,QUARTERLY_ROLL,2024/4F,45856,,,'')":-0.101733334,"CRWV^FE_ESTIMATE(EPS,MEAN,QUARTERLY_ROLL,2024/3F,45856,,,'')":null,"CRWV^FE_ESTIMATE(EPS,MEAN,QUARTERLY_ROLL,2024/2F,45856,,,'')":null,"CRWV^FE_ESTIMATE(EPS,MEAN,QUARTERLY_ROLL,2024/1F,45856,,,'')":null,"CRWV^FE_ESTIMATE(EPS,MEAN,ANNUAL_ROLL,2023,45856,,,'')":null,"CRWV^FE_ESTIMATE(EPS,MEAN,QUARTERLY_ROLL,2023/4F,45856,,,'')":null,"CRWV^FE_ESTIMATE(EPS,MEAN,QUARTERLY_ROLL,2023/3F,45856,,,'')":null,"CRWV^FE_ESTIMATE(EPS,MEAN,QUARTERLY_ROLL,2023/2F,45856,,,'')":null,"CRWV^FE_ESTIMATE(EPS,MEAN,QUARTERLY_ROLL,2023/1F,45856,,,'')":null,"CRWV^FE_ESTIMATE(EPS,MEAN,ANNUAL_ROLL,2022,45856,,,'')":null,"CRWV^FE_ESTIMATE(EPS,MEAN,QUARTERLY_ROLL,2022/4F,45856,,,'')":null,"CRWV^FE_ESTIMATE(EPS,MEAN,QUARTERLY_ROLL,2022/3F,45856,,,'')":null,"CRWV^FE_ESTIMATE(EPS,MEAN,QUARTERLY_ROLL,2022/2F,45856,,,'')":null,"CRWV^FE_ESTIMATE(EPS,MEAN,QUARTERLY_ROLL,2022/1F,45856,,,'')":null,"CRWV^FE_ESTIMATE(EAG,MEAN,ANNUAL_ROLL,2029,45856,,,'')":null,"CRWV^FE_ESTIMATE(EAG,MEAN,QUARTERLY_ROLL,2029/4F,45856,,,'')":null,"CRWV^FE_ESTIMATE(EAG,MEAN,QUARTERLY_ROLL,2029/3F,45856,,,'')":null,"CRWV^FE_ESTIMATE(EAG,MEAN,QUARTERLY_ROLL,2029/2F,45856,,,'')":null,"CRWV^FE_ESTIMATE(EAG,MEAN,QUARTERLY_ROLL,2029/1F,45856,,,'')":null,"CRWV^FE_ESTIMATE(EAG,MEAN,ANNUAL_ROLL,2028,45856,,,'')":null,"CRWV^FE_ESTIMATE(EAG,MEAN,QUARTERLY_ROLL,2028/4F,45856,,,'')":null,"CRWV^FE_ESTIMATE(EAG,MEAN,QUARTERLY_ROLL,2028/3F,45856,,,'')":null,"CRWV^FE_ESTIMATE(EAG,MEAN,QUARTERLY_ROLL,2028/2F,45856,,,'')":null,"CRWV^FE_ESTIMATE(EAG,MEAN,QUARTERLY_ROLL,2028/1F,45856,,,'')":null,"CRWV^FE_ESTIMATE(EAG,MEAN,ANNUAL_ROLL,2027,45856,,,'')":1.2848771,"CRWV^FE_ESTIMATE(EAG,MEAN,QUARTERLY_ROLL,2027/4F,45856,,,'')":0.53989434,"CRWV^FE_ESTIMATE(EAG,MEAN,QUARTERLY_ROLL,2027/3F,45856,,,'')":0.409344,"CRWV^FE_ESTIMATE(EAG,MEAN,QUARTERLY_ROLL,2027/2F,45856,,,'')":0.27224734,"CRWV^FE_ESTIMATE(EAG,MEAN,QUARTERLY_ROLL,2027/1F,45856,,,'')":0.159816,"CRWV^FE_ESTIMATE(EAG,MEAN,ANNUAL_ROLL,2026,45856,,,'')":-0.7156891,"CRWV^FE_ESTIMATE(EAG,MEAN,QUARTERLY_ROLL,2026/4F,45856,,,'')":-0.0599425,"CRWV^FE_ESTIMATE(EAG,MEAN,QUARTERLY_ROLL,2026/3F,45856,,,'')":-0.167668,"CRWV^FE_ESTIMATE(EAG,MEAN,QUARTERLY_ROLL,2026/2F,45856,,,'')":-0.25173268,"CRWV^FE_ESTIMATE(EAG,MEAN,QUARTERLY_ROLL,2026/1F,45856,,,'')":-0.51221687,"CRWV^FE_ESTIMATE(EAG,MEAN,ANNUAL_ROLL,2025,45856,,,'')":-1.9698802,"CRWV^FE_ESTIMATE(EAG,MEAN,QUARTERLY_ROLL,2025/4F,45856,,,'')":-0.4110309,"CRWV^FE_ESTIMATE(EAG,MEAN,QUARTERLY_ROLL,2025/3F,45856,,,'')":-0.28170466,"CRWV^FE_ESTIMATE(EAG,MEAN,QUARTERLY_ROLL,2025/2F,45856,,,'')":-0.48793325,"CRWV^FE_ESTIMATE(EAG,MEAN,QUARTERLY_ROLL,2025/1F,45856,,,'')":-1.49,"CRWV^FE_ESTIMATE(EAG,MEAN,ANNUAL_ROLL,2024,45856,,,'')":-2.8925,"CRWV^FE_ESTIMATE(EAG,MEAN,QUARTERLY_ROLL,2024/4F,45856,,,'')":-0.21,"CRWV^FE_ESTIMATE(EAG,MEAN,QUARTERLY_ROLL,2024/3F,45856,,,'')":null,"CRWV^FE_ESTIMATE(EAG,MEAN,QUARTERLY_ROLL,2024/2F,45856,,,'')":null,"CRWV^FE_ESTIMATE(EAG,MEAN,QUARTERLY_ROLL,2024/1F,45856,,,'')":null,"CRWV^FE_ESTIMATE(EAG,MEAN,ANNUAL_ROLL,2023,45856,,,'')":null,"CRWV^FE_ESTIMATE(EAG,MEAN,QUARTERLY_ROLL,2023/4F,45856,,,'')":null,"CRWV^FE_ESTIMATE(EAG,MEAN,QUARTERLY_ROLL,2023/3F,45856,,,'')":null,"CRWV^FE_ESTIMATE(EAG,MEAN,QUARTERLY_ROLL,2023/2F,45856,,,'')":null,"CRWV^FE_ESTIMATE(EAG,MEAN,QUARTERLY_ROLL,2023/1F,45856,,,'')":null,"CRWV^FE_ESTIMATE(EAG,MEAN,ANNUAL_ROLL,2022,45856,,,'')":null,"CRWV^FE_ESTIMATE(EAG,MEAN,QUARTERLY_ROLL,2022/4F,45856,,,'')":null,"CRWV^FE_ESTIMATE(EAG,MEAN,QUARTERLY_ROLL,2022/3F,45856,,,'')":null,"CRWV^FE_ESTIMATE(EAG,MEAN,QUARTERLY_ROLL,2022/2F,45856,,,'')":null,"CRWV^FE_ESTIMATE(EAG,MEAN,QUARTERLY_ROLL,2022/1F,45856,,,'')":null,"CRWV^FE_ESTIMATE(EBIT,MEAN,ANNUAL_ROLL,2029,45856,,,'')":7855.25,"CRWV^FE_ESTIMATE(EBIT,MEAN,QUARTERLY_ROLL,2029/4F,45856,,,'')":null,"CRWV^FE_ESTIMATE(EBIT,MEAN,QUARTERLY_ROLL,2029/3F,45856,,,'')":null,"CRWV^FE_ESTIMATE(EBIT,MEAN,QUARTERLY_ROLL,2029/2F,45856,,,'')":null,"CRWV^FE_ESTIMATE(EBIT,MEAN,QUARTERLY_ROLL,2029/1F,45856,,,'')":null,"CRWV^FE_ESTIMATE(EBIT,MEAN,ANNUAL_ROLL,2028,45856,,,'')":6086.65,"CRWV^FE_ESTIMATE(EBIT,MEAN,QUARTERLY_ROLL,2028/4F,45856,,,'')":null,"CRWV^FE_ESTIMATE(EBIT,MEAN,QUARTERLY_ROLL,2028/3F,45856,,,'')":null,"CRWV^FE_ESTIMATE(EBIT,MEAN,QUARTERLY_ROLL,2028/2F,45856,,,'')":null,"CRWV^FE_ESTIMATE(EBIT,MEAN,QUARTERLY_ROLL,2028/1F,45856,,,'')":null,"CRWV^FE_ESTIMATE(EBIT,MEAN,ANNUAL_ROLL,2027,45856,,,'')":4411.0186,"CRWV^FE_ESTIMATE(EBIT,MEAN,QUARTERLY_ROLL,2027/4F,45856,,,'')":1246.9547,"CRWV^FE_ESTIMATE(EBIT,MEAN,QUARTERLY_ROLL,2027/3F,45856,,,'')":1159.2375,"CRWV^FE_ESTIMATE(EBIT,MEAN,QUARTERLY_ROLL,2027/2F,45856,,,'')":1041.3024,"CRWV^FE_ESTIMATE(EBIT,MEAN,QUARTERLY_ROLL,2027/1F,45856,,,'')":988.7472,"CRWV^FE_ESTIMATE(EBIT,MEAN,ANNUAL_ROLL,2026,45856,,,'')":2663.0857,"CRWV^FE_ESTIMATE(EBIT,MEAN,QUARTERLY_ROLL,2026/4F,45856,,,'')":817.40137,"CRWV^FE_ESTIMATE(EBIT,MEAN,QUARTERLY_ROLL,2026/3F,45856,,,'')":717.45807,"CRWV^FE_ESTIMATE(EBIT,MEAN,QUARTERLY_ROLL,2026/2F,45856,,,'')":622.9186,"CRWV^FE_ESTIMATE(EBIT,MEAN,QUARTERLY_ROLL,2026/1F,45856,,,'')":480.64734,"CRWV^FE_ESTIMATE(EBIT,MEAN,ANNUAL_ROLL,2025,45856,,,'')":818.9695,"CRWV^FE_ESTIMATE(EBIT,MEAN,QUARTERLY_ROLL,2025/4F,45856,,,'')":297.477,"CRWV^FE_ESTIMATE(EBIT,MEAN,QUARTERLY_ROLL,2025/3F,45856,,,'')":199.4843,"CRWV^FE_ESTIMATE(EBIT,MEAN,QUARTERLY_ROLL,2025/2F,45856,,,'')":159.47635,"CRWV^FE_ESTIMATE(EBIT,MEAN,QUARTERLY_ROLL,2025/1F,45856,,,'')":163.0,"CRWV^FE_ESTIMATE(EBIT,MEAN,ANNUAL_ROLL,2024,45856,,,'')":355.90543,"CRWV^FE_ESTIMATE(EBIT,MEAN,QUARTERLY_ROLL,2024/4F,45856,,,'')":119.87622,"CRWV^FE_ESTIMATE(EBIT,MEAN,QUARTERLY_ROLL,2024/3F,45856,,,'')":null,"CRWV^FE_ESTIMATE(EBIT,MEAN,QUARTERLY_ROLL,2024/2F,45856,,,'')":null,"CRWV^FE_ESTIMATE(EBIT,MEAN,QUARTERLY_ROLL,2024/1F,45856,,,'')":null,"CRWV^FE_ESTIMATE(EBIT,MEAN,ANNUAL_ROLL,2023,45856,,,'')":null,"CRWV^FE_ESTIMATE(EBIT,MEAN,QUARTERLY_ROLL,2023/4F,45856,,,'')":null,"CRWV^FE_ESTIMATE(EBIT,MEAN,QUARTERLY_ROLL,2023/3F,45856,,,'')":null,"CRWV^FE_ESTIMATE(EBIT,MEAN,QUARTERLY_ROLL,2023/2F,45856,,,'')":null,"CRWV^FE_ESTIMATE(EBIT,MEAN,QUARTERLY_ROLL,2023/1F,45856,,,'')":null,"CRWV^FE_ESTIMATE(EBIT,MEAN,ANNUAL_ROLL,2022,45856,,,'')":null,"CRWV^FE_ESTIMATE(EBIT,MEAN,QUARTERLY_ROLL,2022/4F,45856,,,'')":null,"CRWV^FE_ESTIMATE(EBIT,MEAN,QUARTERLY_ROLL,2022/3F,45856,,,'')":null,"CRWV^FE_ESTIMATE(EBIT,MEAN,QUARTERLY_ROLL,2022/2F,45856,,,'')":null,"CRWV^FE_ESTIMATE(EBIT,MEAN,QUARTERLY_ROLL,2022/1F,45856,,,'')":null,"CRWV^FE_ESTIMATE(GROSSINCOME,MEAN,ANNUAL_ROLL,2029,45856,,,'')":null,"CRWV^FE_ESTIMATE(GROSSINCOME,MEAN,QUARTERLY_ROLL,2029/4F,45856,,,'')":null,"CRWV^FE_ESTIMATE(GROSSINCOME,MEAN,QUARTERLY_ROLL,2029/3F,45856,,,'')":null,"CRWV^FE_ESTIMATE(GROSSINCOME,MEAN,QUARTERLY_ROLL,2029/2F,45856,,,'')":null,"CRWV^FE_ESTIMATE(GROSSINCOME,MEAN,QUARTERLY_ROLL,2029/1F,45856,,,'')":null,"CRWV^FE_ESTIMATE(GROSSINCOME,MEAN,ANNUAL_ROLL,2028,45856,,,'')":null,"CRWV^FE_ESTIMATE(GROSSINCOME,MEAN,QUARTERLY_ROLL,2028/4F,45856,,,'')":null,"CRWV^FE_ESTIMATE(GROSSINCOME,MEAN,QUARTERLY_ROLL,2028/3F,45856,,,'')":null,"CRWV^FE_ESTIMATE(GROSSINCOME,MEAN,QUARTERLY_ROLL,2028/2F,45856,,,'')":null,"CRWV^FE_ESTIMATE(GROSSINCOME,MEAN,QUARTERLY_ROLL,2028/1F,45856,,,'')":null,"CRWV^FE_ESTIMATE(GROSSINCOME,MEAN,ANNUAL_ROLL,2027,45856,,,'')":12381.689,"CRWV^FE_ESTIMATE(GROSSINCOME,MEAN,QUARTERLY_ROLL,2027/4F,45856,,,'')":3320.697,"CRWV^FE_ESTIMATE(GROSSINCOME,MEAN,QUARTERLY_ROLL,2027/3F,45856,,,'')":3120.215,"CRWV^FE_ESTIMATE(GROSSINCOME,MEAN,QUARTERLY_ROLL,2027/2F,45856,,,'')":2875.4885,"CRWV^FE_ESTIMATE(GROSSINCOME,MEAN,QUARTERLY_ROLL,2027/1F,45856,,,'')":2623.3516,"CRWV^FE_ESTIMATE(GROSSINCOME,MEAN,ANNUAL_ROLL,2026,45856,,,'')":8533.327,"CRWV^FE_ESTIMATE(GROSSINCOME,MEAN,QUARTERLY_ROLL,2026/4F,45856,,,'')":2474.5364,"CRWV^FE_ESTIMATE(GROSSINCOME,MEAN,QUARTERLY_ROLL,2026/3F,45856,,,'')":2227.496,"CRWV^FE_ESTIMATE(GROSSINCOME,MEAN,QUARTERLY_ROLL,2026/2F,45856,,,'')":2003.0178,"CRWV^FE_ESTIMATE(GROSSINCOME,MEAN,QUARTERLY_ROLL,2026/1F,45856,,,'')":1728.0353,"CRWV^FE_ESTIMATE(GROSSINCOME,MEAN,ANNUAL_ROLL,2025,45856,,,'')":3723.7268,"CRWV^FE_ESTIMATE(GROSSINCOME,MEAN,QUARTERLY_ROLL,2025/4F,45856,,,'')":1271.9935,"CRWV^FE_ESTIMATE(GROSSINCOME,MEAN,QUARTERLY_ROLL,2025/3F,45856,,,'')":918.4253,"CRWV^FE_ESTIMATE(GROSSINCOME,MEAN,QUARTERLY_ROLL,2025/2F,45856,,,'')":794.383,"CRWV^FE_ESTIMATE(GROSSINCOME,MEAN,QUARTERLY_ROLL,2025/1F,45856,,,'')":726.7069,"CRWV^FE_ESTIMATE(GROSSINCOME,MEAN,ANNUAL_ROLL,2024,45856,,,'')":1422.8593,"CRWV^FE_ESTIMATE(GROSSINCOME,MEAN,QUARTERLY_ROLL,2024/4F,45856,,,'')":565.6203,"CRWV^FE_ESTIMATE(GROSSINCOME,MEAN,QUARTERLY_ROLL,2024/3F,45856,,,'')":null,"CRWV^FE_ESTIMATE(GROSSINCOME,MEAN,QUARTERLY_ROLL,2024/2F,45856,,,'')":null,"CRWV^FE_ESTIMATE(GROSSINCOME,MEAN,QUARTERLY_ROLL,2024/1F,45856,,,'')":null,"CRWV^FE_ESTIMATE(GROSSINCOME,MEAN,ANNUAL_ROLL,2023,45856,,,'')":null,"CRWV^FE_ESTIMATE(GROSSINCOME,MEAN,QUARTERLY_ROLL,2023/4F,45856,,,'')":null,"CRWV^FE_ESTIMATE(GROSSINCOME,MEAN,QUARTERLY_ROLL,2023/3F,45856,,,'')":null,"CRWV^FE_ESTIMATE(GROSSINCOME,MEAN,QUARTERLY_ROLL,2023/2F,45856,,,'')":null,"CRWV^FE_ESTIMATE(GROSSINCOME,MEAN,QUARTERLY_ROLL,2023/1F,45856,,,'')":null,"CRWV^FE_ESTIMATE(GROSSINCOME,MEAN,ANNUAL_ROLL,2022,45856,,,'')":null,"CRWV^FE_ESTIMATE(GROSSINCOME,MEAN,QUARTERLY_ROLL,2022/4F,45856,,,'')":null,"CRWV^FE_ESTIMATE(GROSSINCOME,MEAN,QUARTERLY_ROLL,2022/3F,45856,,,'')":null,"CRWV^FE_ESTIMATE(GROSSINCOME,MEAN,QUARTERLY_ROLL,2022/2F,45856,,,'')":null,"CRWV^FE_ESTIMATE(GROSSINCOME,MEAN,QUARTERLY_ROLL,2022/1F,45856,,,'')":null,"CRWV^FE_ESTIMATE(SALES,MEAN,ANNUAL_ROLL,2029,45856,,,'')":26454.25,"CRWV^FE_ESTIMATE(SALES,MEAN,QUARTERLY_ROLL,2029/4F,45856,,,'')":null,"CRWV^FE_ESTIMATE(SALES,MEAN,QUARTERLY_ROLL,2029/3F,45856,,,'')":null,"CRWV^FE_ESTIMATE(SALES,MEAN,QUARTERLY_ROLL,2029/2F,45856,,,'')":null,"CRWV^FE_ESTIMATE(SALES,MEAN,QUARTERLY_ROLL,2029/1F,45856,,,'')":null,"CRWV^FE_ESTIMATE(SALES,MEAN,ANNUAL_ROLL,2028,45856,,,'')":21183.0,"CRWV^FE_ESTIMATE(SALES,MEAN,QUARTERLY_ROLL,2028/4F,45856,,,'')":null,"CRWV^FE_ESTIMATE(SALES,MEAN,QUARTERLY_ROLL,2028/3F,45856,,,'')":null,"CRWV^FE_ESTIMATE(SALES,MEAN,QUARTERLY_ROLL,2028/2F,45856,,,'')":null,"CRWV^FE_ESTIMATE(SALES,MEAN,QUARTERLY_ROLL,2028/1F,45856,,,'')":null,"CRWV^FE_ESTIMATE(SALES,MEAN,ANNUAL_ROLL,2027,45856,,,'')":16577.201,"CRWV^FE_ESTIMATE(SALES,MEAN,QUARTERLY_ROLL,2027/4F,45856,,,'')":4452.827,"CRWV^FE_ESTIMATE(SALES,MEAN,QUARTERLY_ROLL,2027/3F,45856,,,'')":4151.545,"CRWV^FE_ESTIMATE(SALES,MEAN,QUARTERLY_ROLL,2027/2F,45856,,,'')":3824.2808,"CRWV^FE_ESTIMATE(SALES,MEAN,QUARTERLY_ROLL,2027/1F,45856,,,'')":3553.7107,"CRWV^FE_ESTIMATE(SALES,MEAN,ANNUAL_ROLL,2026,45856,,,'')":11561.646,"CRWV^FE_ESTIMATE(SALES,MEAN,QUARTERLY_ROLL,2026/4F,45856,,,'')":3284.0342,"CRWV^FE_ESTIMATE(SALES,MEAN,QUARTERLY_ROLL,2026/3F,45856,,,'')":2995.2332,"CRWV^FE_ESTIMATE(SALES,MEAN,QUARTERLY_ROLL,2026/2F,45856,,,'')":2701.6953,"CRWV^FE_ESTIMATE(SALES,MEAN,QUARTERLY_ROLL,2026/1F,45856,,,'')":2438.0996,"CRWV^FE_ESTIMATE(SALES,MEAN,ANNUAL_ROLL,2025,45856,,,'')":5046.4663,"CRWV^FE_ESTIMATE(SALES,MEAN,QUARTERLY_ROLL,2025/4F,45856,,,'')":1725.9857,"CRWV^FE_ESTIMATE(SALES,MEAN,QUARTERLY_ROLL,2025/3F,45856,,,'')":1251.1481,"CRWV^FE_ESTIMATE(SALES,MEAN,QUARTERLY_ROLL,2025/2F,45856,,,'')":1081.806,"CRWV^FE_ESTIMATE(SALES,MEAN,QUARTERLY_ROLL,2025/1F,45856,,,'')":981.632,"CRWV^FE_ESTIMATE(SALES,MEAN,ANNUAL_ROLL,2024,45856,,,'')":1915.2697,"CRWV^FE_ESTIMATE(SALES,MEAN,QUARTERLY_ROLL,2024/4F,45856,,,'')":747.2792,"CRWV^FE_ESTIMATE(SALES,MEAN,QUARTERLY_ROLL,2024/3F,45856,,,'')":null,"CRWV^FE_ESTIMATE(SALES,MEAN,QUARTERLY_ROLL,2024/2F,45856,,,'')":null,"CRWV^FE_ESTIMATE(SALES,MEAN,QUARTERLY_ROLL,2024/1F,45856,,,'')":null,"CRWV^FE_ESTIMATE(SALES,MEAN,ANNUAL_ROLL,2023,45856,,,'')":null,"CRWV^FE_ESTIMATE(SALES,MEAN,QUARTERLY_ROLL,2023/4F,45856,,,'')":null,"CRWV^FE_ESTIMATE(SALES,MEAN,QUARTERLY_ROLL,2023/3F,45856,,,'')":null,"CRWV^FE_ESTIMATE(SALES,MEAN,QUARTERLY_ROLL,2023/2F,45856,,,'')":null,"CRWV^FE_ESTIMATE(SALES,MEAN,QUARTERLY_ROLL,2023/1F,45856,,,'')":null,"CRWV^FE_ESTIMATE(SALES,MEAN,ANNUAL_ROLL,2022,45856,,,'')":null,"CRWV^FE_ESTIMATE(SALES,MEAN,QUARTERLY_ROLL,2022/4F,45856,,,'')":null,"CRWV^FE_ESTIMATE(SALES,MEAN,QUARTERLY_ROLL,2022/3F,45856,,,'')":null,"CRWV^FE_ESTIMATE(SALES,MEAN,QUARTERLY_ROLL,2022/2F,45856,,,'')":null,"CRWV^FE_ESTIMATE(SALES,MEAN,QUARTERLY_ROLL,2022/1F,45856,,,'')":null,"AVT^FE_ESTIMATE(UFCF,MEAN,CALA_ROLL,2027,45866,,,'')":null,"AVT^FE_ESTIMATE(UFCF,MEAN,CALA_ROLL,2026,45866,,,'')":null,"AVT^FE_ESTIMATE(UFCF,MEAN,CALA_ROLL,2025,45866,,,'')":null,"AVT^FE_ESTIMATE(UFCF,MEAN,CALA_ROLL,2024,45866,,,'')":null,"AVT^FE_ESTIMATE(UFCF,MEAN,CALA_ROLL,2023,45866,,,'')":null,"AVT^FE_ESTIMATE(UFCF,MEAN,NTM4,,45866,,,'')":null,"AVT^FE_ESTIMATE(UFCF,MEAN,LTM4,,45866,,,'')":null,"ARW^FE_ESTIMATE(UFCF,MEAN,CALA_ROLL,2027,45866,,,'')":null,"ARW^FE_ESTIMATE(UFCF,MEAN,CALA_ROLL,2026,45866,,,'')":null,"ARW^FE_ESTIMATE(UFCF,MEAN,CALA_ROLL,2025,45866,,,'')":null,"ARW^FE_ESTIMATE(UFCF,MEAN,CALA_ROLL,2024,45866,,,'')":null,"ARW^FE_ESTIMATE(UFCF,MEAN,CALA_ROLL,2023,45866,,,'')":null,"ARW^FE_ESTIMATE(UFCF,MEAN,NTM4,,45866,,,'')":null,"ARW^FE_ESTIMATE(UFCF,MEAN,LTM4,,45866,,,'')":null,"SNX^FE_ESTIMATE(UFCF,MEAN,CALA_ROLL,2027,45866,,,'')":null,"SNX^FE_ESTIMATE(UFCF,MEAN,CALA_ROLL,2026,45866,,,'')":null,"SNX^FE_ESTIMATE(UFCF,MEAN,CALA_ROLL,2025,45866,,,'')":null,"SNX^FE_ESTIMATE(UFCF,MEAN,CALA_ROLL,2024,45866,,,'')":null,"SNX^FE_ESTIMATE(UFCF,MEAN,CALA_ROLL,2023,45866,,,'')":null,"SNX^FE_ESTIMATE(UFCF,MEAN,NTM4,,45866,,,'')":null,"SNX^FE_ESTIMATE(UFCF,MEAN,LTM4,,45866,,,'')":null,"CDW^FE_ESTIMATE(UFCF,MEAN,CALA_ROLL,2027,45866,,,'')":null,"CDW^FE_ESTIMATE(UFCF,MEAN,CALA_ROLL,2026,45866,,,'')":null,"CDW^FE_ESTIMATE(UFCF,MEAN,CALA_ROLL,2025,45866,,,'')":null,"CDW^FE_ESTIMATE(UFCF,MEAN,CALA_ROLL,2024,45866,,,'')":null,"CDW^FE_ESTIMATE(UFCF,MEAN,CALA_ROLL,2023,45866,,,'')":null,"CDW^FE_ESTIMATE(UFCF,MEAN,NTM4,,45866,,,'')":null,"CDW^FE_ESTIMATE(UFCF,MEAN,LTM4,,45866,,,'')":null,"INGM^FE_ESTIMATE(UFCF,MEAN,CALA_ROLL,2027,45866,,,'')":null,"INGM^FE_ESTIMATE(UFCF,MEAN,CALA_ROLL,2026,45866,,,'')":null,"INGM^FE_ESTIMATE(UFCF,MEAN,CALA_ROLL,2025,45866,,,'')":null,"INGM^FE_ESTIMATE(UFCF,MEAN,CALA_ROLL,2024,45866,,,'')":null,"INGM^FE_ESTIMATE(UFCF,MEAN,CALA_ROLL,2023,45866,,,'')":null,"INGM^FE_ESTIMATE(UFCF,MEAN,NTM4,,45866,,,'')":null,"INGM^FE_ESTIMATE(UFCF,MEAN,LTM4,,45866,,,'')":null,"NBIS^FE_ESTIMATE(UFCF,MEAN,CALA_ROLL,2027,45866,,,'')":null,"NBIS^FE_ESTIMATE(UFCF,MEAN,CALA_ROLL,2026,45866,,,'')":null,"NBIS^FE_ESTIMATE(UFCF,MEAN,CALA_ROLL,2025,45866,,,'')":null,"NBIS^FE_ESTIMATE(UFCF,MEAN,CALA_ROLL,2024,45866,,,'')":null,"NBIS^FE_ESTIMATE(UFCF,MEAN,CALA_ROLL,2023,45866,,,'')":null,"NBIS^FE_ESTIMATE(UFCF,MEAN,NTM4,,45866,,,'')":null,"NBIS^FE_ESTIMATE(UFCF,MEAN,LTM4,,45866,,,'')":null,"DOCN^FE_ESTIMATE(UFCF,MEAN,CALA_ROLL,2027,45866,,,'')":null,"DOCN^FE_ESTIMATE(UFCF,MEAN,CALA_ROLL,2026,45866,,,'')":null,"DOCN^FE_ESTIMATE(UFCF,MEAN,CALA_ROLL,2025,45866,,,'')":null,"DOCN^FE_ESTIMATE(UFCF,MEAN,CALA_ROLL,2024,45866,,,'')":null,"DOCN^FE_ESTIMATE(UFCF,MEAN,CALA_ROLL,2023,45866,,,'')":null,"DOCN^FE_ESTIMATE(UFCF,MEAN,NTM4,,45866,,,'')":null,"DOCN^FE_ESTIMATE(UFCF,MEAN,LTM4,,45866,,,'')":null,"GOOG^FE_ESTIMATE(UFCF,MEAN,CALA_ROLL,2027,45866,,,'')":null,"GOOG^FE_ESTIMATE(UFCF,MEAN,CALA_ROLL,2026,45866,,,'')":null,"GOOG^FE_ESTIMATE(UFCF,MEAN,CALA_ROLL,2025,45866,,,'')":null,"GOOG^FE_ESTIMATE(UFCF,MEAN,CALA_ROLL,2024,45866,,,'')":null,"GOOG^FE_ESTIMATE(UFCF,MEAN,CALA_ROLL,2023,45866,,,'')":null,"GOOG^FE_ESTIMATE(UFCF,MEAN,NTM4,,45866,,,'')":null,"GOOG^FE_ESTIMATE(UFCF,MEAN,LTM4,,45866,,,'')":null,"AMZN^FE_ESTIMATE(UFCF,MEAN,CALA_ROLL,2027,45866,,,'')":null,"AMZN^FE_ESTIMATE(UFCF,MEAN,CALA_ROLL,2026,45866,,,'')":null,"AMZN^FE_ESTIMATE(UFCF,MEAN,CALA_ROLL,2025,45866,,,'')":null,"AMZN^FE_ESTIMATE(UFCF,MEAN,CALA_ROLL,2024,45866,,,'')":null,"AMZN^FE_ESTIMATE(UFCF,MEAN,CALA_ROLL,2023,45866,,,'')":null,"AMZN^FE_ESTIMATE(UFCF,MEAN,NTM4,,45866,,,'')":null,"AMZN^FE_ESTIMATE(UFCF,MEAN,LTM4,,45866,,,'')":null,"ORCL^FE_ESTIMATE(UFCF,MEAN,CALA_ROLL,2027,45866,,,'')":null,"ORCL^FE_ESTIMATE(UFCF,MEAN,CALA_ROLL,2026,45866,,,'')":null,"ORCL^FE_ESTIMATE(UFCF,MEAN,CALA_ROLL,2025,45866,,,'')":null,"ORCL^FE_ESTIMATE(UFCF,MEAN,CALA_ROLL,2024,45866,,,'')":null,"ORCL^FE_ESTIMATE(UFCF,MEAN,CALA_ROLL,2023,45866,,,'')":13482.341,"ORCL^FE_ESTIMATE(UFCF,MEAN,NTM4,,45866,,,'')":null,"ORCL^FE_ESTIMATE(UFCF,MEAN,LTM4,,45866,,,'')":null,"IBM^FE_ESTIMATE(UFCF,MEAN,CALA_ROLL,2027,45866,,,'')":null,"IBM^FE_ESTIMATE(UFCF,MEAN,CALA_ROLL,2026,45866,,,'')":null,"IBM^FE_ESTIMATE(UFCF,MEAN,CALA_ROLL,2025,45866,,,'')":null,"IBM^FE_ESTIMATE(UFCF,MEAN,CALA_ROLL,2024,45866,,,'')":null,"IBM^FE_ESTIMATE(UFCF,MEAN,CALA_ROLL,2023,45866,,,'')":null,"IBM^FE_ESTIMATE(UFCF,MEAN,NTM4,,45866,,,'')":null,"IBM^FE_ESTIMATE(UFCF,MEAN,LTM4,,45866,,,'')":null,"EQIX^FE_ESTIMATE(UFCF,MEAN,CALA_ROLL,2027,45866,,,'')":733.9,"EQIX^FE_ESTIMATE(UFCF,MEAN,CALA_ROLL,2026,45866,,,'')":209.9,"EQIX^FE_ESTIMATE(UFCF,MEAN,CALA_ROLL,2025,45866,,,'')":1268.2,"EQIX^FE_ESTIMATE(UFCF,MEAN,CALA_ROLL,2024,45866,,,'')":null,"EQIX^FE_ESTIMATE(UFCF,MEAN,CALA_ROLL,2023,45866,,,'')":null,"EQIX^FE_ESTIMATE(UFCF,MEAN,NTM4,,45866,,,'')":null,"EQIX^FE_ESTIMATE(UFCF,MEAN,LTM4,,45866,,,'')":null,"DLR^FE_ESTIMATE(UFCF,MEAN,CALA_ROLL,2027,45866,,,'')":9.2,"DLR^FE_ESTIMATE(UFCF,MEAN,CALA_ROLL,2026,45866,,,'')":-549.7,"DLR^FE_ESTIMATE(UFCF,MEAN,CALA_ROLL,2025,45866,,,'')":-554.2,"DLR^FE_ESTIMATE(UFCF,MEAN,CALA_ROLL,2024,45866,,,'')":null,"DLR^FE_ESTIMATE(UFCF,MEAN,CALA_ROLL,2023,45866,,,'')":-1479.6,"DLR^FE_ESTIMATE(UFCF,MEAN,NTM4,,45866,,,'')":null,"DLR^FE_ESTIMATE(UFCF,MEAN,LTM4,,45866,,,'')":null,"NVDA^FE_ESTIMATE(UFCF,MEAN,CALA_ROLL,2027,45866,,,'')":null,"NVDA^FE_ESTIMATE(UFCF,MEAN,CALA_ROLL,2026,45866,,,'')":null,"NVDA^FE_ESTIMATE(UFCF,MEAN,CALA_ROLL,2025,45866,,,'')":null,"NVDA^FE_ESTIMATE(UFCF,MEAN,CALA_ROLL,2024,45866,,,'')":null,"NVDA^FE_ESTIMATE(UFCF,MEAN,CALA_ROLL,2023,45866,,,'')":null,"NVDA^FE_ESTIMATE(UFCF,MEAN,NTM4,,45866,,,'')":null,"NVDA^FE_ESTIMATE(UFCF,MEAN,LTM4,,45866,,,'')":null,"NVDA^FE_ESTIMATE(FCF,MEAN,CALA_ROLL,2027,45866,,,'')":149694.13,"NVDA^FE_ESTIMATE(FCF,MEAN,CAL4,2026,45866,,,'')":136387.16,"NVDA^FE_ESTIMATE(FCF,MEAN,CAL4,2025,45866,,,'')":104983.04,"NVDA^FE_ESTIMATE(FCF,MEAN,CAL4,2024,45866,,,'')":62019.04,"NVDA^FE_ESTIMATE(FCF,MEAN,CAL4,2023,45866,,,'')":26297.904,"NVDA^FE_ESTIMATE(FCF,MEAN,NTM4,,45866,,,'')":110938.766,"NVDA^FE_ESTIMATE(FCF,MEAN,LTM4,,45866,,,'')":72319.914,"MSFT^FE_ESTIMATE(FCF,MEAN,CALA_ROLL,2027,45866,,,'')":116311.58,"MSFT^FE_ESTIMATE(FCF,MEAN,CALA_ROLL,2026,45866,,,'')":86920.23,"MSFT^FE_ESTIMATE(FCF,MEAN,CAL4,2025,45866,,,'')":74893.02,"MSFT^FE_ESTIMATE(FCF,MEAN,CAL4,2024,45866,,,'')":68042.71,"MSFT^FE_ESTIMATE(FCF,MEAN,CAL4,2023,45866,,,'')":64571.887,"MSFT^FE_ESTIMATE(FCF,MEAN,NTM4,,45866,,,'')":74301.5,"MSFT^FE_ESTIMATE(FCF,MEAN,LTM4,,45866,,,'')":67645.7,"AVT^FE_ESTIMATE(FCF,MEAN,CAL4,2027,45866,,,'')":null,"AVT^FE_ESTIMATE(FCF,MEAN,CAL4,2026,45866,,,'')":null,"AVT^FE_ESTIMATE(FCF,MEAN,CAL4,2025,45866,,,'')":null,"AVT^FE_ESTIMATE(FCF,MEAN,CAL4,2024,45866,,,'')":null,"AVT^FE_ESTIMATE(FCF,MEAN,CAL4,2023,45866,,,'')":null,"AVT^FE_ESTIMATE(FCF,MEAN,NTM4,,45866,,,'')":null,"AVT^FE_ESTIMATE(FCF,MEAN,LTM4,,45866,,,'')":null,"ARW^FE_ESTIMATE(FCF,MEAN,CAL4,2027,45866,,,'')":null,"ARW^FE_ESTIMATE(FCF,MEAN,CAL4,2026,45866,,,'')":null,"ARW^FE_ESTIMATE(FCF,MEAN,CAL4,2025,45866,,,'')":null,"ARW^FE_ESTIMATE(FCF,MEAN,CAL4,2024,45866,,,'')":null,"ARW^FE_ESTIMATE(FCF,MEAN,CAL4,2023,45866,,,'')":null,"ARW^FE_ESTIMATE(FCF,MEAN,NTM4,,45866,,,'')":null,"ARW^FE_ESTIMATE(FCF,MEAN,LTM4,,45866,,,'')":null,"SNX^FE_ESTIMATE(FCF,MEAN,CAL4,2027,45866,,,'')":null,"SNX^FE_ESTIMATE(FCF,MEAN,CAL4,2026,45866,,,'')":1236.9,"SNX^FE_ESTIMATE(FCF,MEAN,CAL4,2025,45866,,,'')":1098.517,"SNX^FE_ESTIMATE(FCF,MEAN,CAL4,2024,45866,,,'')":1042.612,"SNX^FE_ESTIMATE(FCF,MEAN,CAL4,2023,45866,,,'')":1257.366,"SNX^FE_ESTIMATE(FCF,MEAN,NTM4,,45866,,,'')":1682.7,"SNX^FE_ESTIMATE(FCF,MEAN,LTM4,,45866,,,'')":604.938,"MSFT^FE_ESTIMATE(UFCF,MEAN,CALA_ROLL,2027,45866,,,'')":null,"MSFT^FE_ESTIMATE(UFCF,MEAN,CALA_ROLL,2026,45866,,,'')":null,"MSFT^FE_ESTIMATE(UFCF,MEAN,CALA_ROLL,2025,45866,,,'')":null,"MSFT^FE_ESTIMATE(UFCF,MEAN,CALA_ROLL,2024,45866,,,'')":null,"MSFT^FE_ESTIMATE(UFCF,MEAN,CALA_ROLL,2023,45866,,,'')":null,"MSFT^FE_ESTIMATE(UFCF,MEAN,NTM4,,45866,,,'')":null,"MSFT^FE_ESTIMATE(UFCF,MEAN,LTM4,,45866,,,'')":null,"NBIS^FE_ESTIMATE(FCF,MEAN,CAL4,2027,45866,,,'')":null,"NBIS^FE_ESTIMATE(FCF,MEAN,CAL4,2026,45866,,,'')":null,"NBIS^FE_ESTIMATE(FCF,MEAN,CAL4,2025,45866,,,'')":-1806.0,"NBIS^FE_ESTIMATE(FCF,MEAN,CAL4,2024,45866,,,'')":null,"NBIS^FE_ESTIMATE(FCF,MEAN,CAL4,2023,45866,,,'')":null,"NBIS^FE_ESTIMATE(FCF,MEAN,NTM4,,45866,,,'')":null,"NBIS^FE_ESTIMATE(FCF,MEAN,LTM4,,45866,,,'')":null,"DOCN^FE_ESTIMATE(FCF,MEAN,CALA_ROLL,2027,45866,,,'')":213.58667,"DOCN^FE_ESTIMATE(FCF,MEAN,CAL4,2026,45866,,,'')":166.2633,"DOCN^FE_ESTIMATE(FCF,MEAN,CAL4,2025,45866,,,'')":147.48741,"DOCN^FE_ESTIMATE(FCF,MEAN,CAL4,2024,45866,,,'')":134.283,"DOCN^FE_ESTIMATE(FCF,MEAN,CAL4,2023,45866,,,'')":155.752,"DOCN^FE_ESTIMATE(FCF,MEAN,NTM4,,45866,,,'')":173.35701,"DOCN^FE_ESTIMATE(FCF,MEAN,LTM4,,45866,,,'')":100.761,"GOOG^FE_ESTIMATE(FCF,MEAN,CALA_ROLL,2027,45866,,,'')":104076.26,"GOOG^FE_ESTIMATE(FCF,MEAN,CAL4,2026,45866,,,'')":79035.414,"GOOG^FE_ESTIMATE(FCF,MEAN,CAL4,2025,45866,,,'')":62967.242,"GOOG^FE_ESTIMATE(FCF,MEAN,CAL4,2024,45866,,,'')":73062.0,"GOOG^FE_ESTIMATE(FCF,MEAN,CAL4,2023,45866,,,'')":69970.21,"GOOG^FE_ESTIMATE(FCF,MEAN,NTM4,,45866,,,'')":76384.65,"GOOG^FE_ESTIMATE(FCF,MEAN,LTM4,,45866,,,'')":66766.18,"AMZN^FE_ESTIMATE(FCF,MEAN,CALA_ROLL,2027,45866,,,'')":97949.234,"AMZN^FE_ESTIMATE(FCF,MEAN,CAL4,2026,45866,,,'')":41815.977,"AMZN^FE_ESTIMATE(FCF,MEAN,CAL4,2025,45866,,,'')":33951.24,"AMZN^FE_ESTIMATE(FCF,MEAN,CAL4,2024,45866,,,'')":37569.48,"AMZN^FE_ESTIMATE(FCF,MEAN,CAL4,2023,45866,,,'')":38765.21,"AMZN^FE_ESTIMATE(FCF,MEAN,NTM4,,45866,,,'')":37916.76,"AMZN^FE_ESTIMATE(FCF,MEAN,LTM4,,45866,,,'')":26185.16,"ORCL^FE_ESTIMATE(FCF,MEAN,CALA_ROLL,2027,45866,,,'')":4958.21,"ORCL^FE_ESTIMATE(FCF,MEAN,CAL4,2026,45866,,,'')":364.14505,"ORCL^FE_ESTIMATE(FCF,MEAN,CAL4,2025,45866,,,'')":-3742.365,"ORCL^FE_ESTIMATE(FCF,MEAN,CAL4,2024,45866,,,'')":9550.706,"ORCL^FE_ESTIMATE(FCF,MEAN,CAL4,2023,45866,,,'')":10035.492,"ORCL^FE_ESTIMATE(FCF,MEAN,NTM4,,45866,,,'')":-1168.7218,"ORCL^FE_ESTIMATE(FCF,MEAN,LTM4,,45866,,,'')":-394.0,"IBM^FE_ESTIMATE(FCF,MEAN,CALA_ROLL,2027,45866,,,'')":15430.75,"IBM^FE_ESTIMATE(FCF,MEAN,CAL4,2026,45866,,,'')":14573.5,"IBM^FE_ESTIMATE(FCF,MEAN,CAL4,2025,45866,,,'')":14010.417,"IBM^FE_ESTIMATE(FCF,MEAN,CAL4,2024,45866,,,'')":12749.0,"IBM^FE_ESTIMATE(FCF,MEAN,CAL4,2023,45866,,,'')":11210.0,"IBM^FE_ESTIMATE(FCF,MEAN,NTM4,,45866,,,'')":14838.917,"IBM^FE_ESTIMATE(FCF,MEAN,LTM4,,45866,,,'')":13034.0,"EQIX^FE_ESTIMATE(FCF,MEAN,CALA_ROLL,2027,45866,,,'')":48.975,"EQIX^FE_ESTIMATE(FCF,MEAN,CAL4,2026,45866,,,'')":50.951,"EQIX^FE_ESTIMATE(FCF,MEAN,CAL4,2025,45866,,,'')":626.3745,"EQIX^FE_ESTIMATE(FCF,MEAN,CAL4,2024,45866,,,'')":151.449,"EQIX^FE_ESTIMATE(FCF,MEAN,CAL4,2023,45866,,,'')":1506.067,"EQIX^FE_ESTIMATE(FCF,MEAN,NTM4,,45866,,,'')":549.081,"EQIX^FE_ESTIMATE(FCF,MEAN,LTM4,,45866,,,'')":493.98334,"DLR^FE_ESTIMATE(FCF,MEAN,CALA_ROLL,2027,45866,,,'')":-68.778,"DLR^FE_ESTIMATE(FCF,MEAN,CALA_ROLL,2026,45866,,,'')":-748.8734,"DLR^FE_ESTIMATE(FCF,MEAN,CAL4,2025,45866,,,'')":-889.1597,"DLR^FE_ESTIMATE(FCF,MEAN,CALA_ROLL,2024,45866,,,'')":772.316,"DLR^FE_ESTIMATE(FCF,MEAN,CALA_ROLL,2023,45866,,,'')":-1867.194,"DLR^FE_ESTIMATE(FCF,MEAN,NTM4,,45866,,,'')":-1288.6847,"DLR^FE_ESTIMATE(FCF,MEAN,LTM4,,45866,,,'')":-336.1245,"CDW^FE_ESTIMATE(FCF,MEAN,CAL4,2027,45866,,,'')":null,"CDW^FE_ESTIMATE(FCF,MEAN,CAL4,2026,45866,,,'')":null,"CDW^FE_ESTIMATE(FCF,MEAN,CAL4,2025,45866,,,'')":null,"CDW^FE_ESTIMATE(FCF,MEAN,CAL4,2024,45866,,,'')":null,"CDW^FE_ESTIMATE(FCF,MEAN,CAL4,2023,45866,,,'')":null,"CDW^FE_ESTIMATE(FCF,MEAN,NTM4,,45866,,,'')":null,"CDW^FE_ESTIMATE(FCF,MEAN,LTM4,,45866,,,'')":null,"INGM^FE_ESTIMATE(FCF,MEAN,CAL4,2027,45866,,,'')":null,"INGM^FE_ESTIMATE(FCF,MEAN,CAL4,2026,45866,,,'')":467.5,"INGM^FE_ESTIMATE(FCF,MEAN,CAL4,2025,45866,,,'')":282.0,"INGM^FE_ESTIMATE(FCF,MEAN,CAL4,2024,45866,,,'')":null,"INGM^FE_ESTIMATE(FCF,MEAN,CAL4,2023,45866,,,'')":null,"INGM^FE_ESTIMATE(FCF,MEAN,NTM4,,45866,,,'')":626.5,"INGM^FE_ESTIMATE(FCF,MEAN,LTM4,,45866,,,'')":288.225,"AVT^FE_ESTIMATE(EPS_GAAP,MEAN,CAL4,2027,45866,,,'')":null,"AVT^FE_ESTIMATE(EPS_GAAP,MEAN,CAL4,2026,45866,,,'')":null,"AVT^FE_ESTIMATE(EPS_GAAP,MEAN,CAL4,2025,45866,,,'')":3.4033334,"AVT^FE_ESTIMATE(EPS_GAAP,MEAN,CAL4,2024,45866,,,'')":3.53,"AVT^FE_ESTIMATE(EPS_GAAP,MEAN,CAL4,2023,45866,,,'')":7.24,"AVT^FE_ESTIMATE(EPS_GAAP,MEAN,NTM4,,45866,,,'')":3.6166666,"AVT^FE_ESTIMATE(EPS_GAAP,MEAN,LTM4,,45866,,,'')":3.57,"ARW^FE_ESTIMATE(EPS_GAAP,MEAN,CALA_ROLL,2027,45866,,,'')":null,"ARW^FE_ESTIMATE(EPS_GAAP,MEAN,CAL4,2026,45866,,,'')":12.07,"ARW^FE_ESTIMATE(EPS_GAAP,MEAN,CAL4,2025,45866,,,'')":9.676666,"ARW^FE_ESTIMATE(EPS_GAAP,MEAN,CAL4,2024,45866,,,'')":7.28,"ARW^FE_ESTIMATE(EPS_GAAP,MEAN,CAL4,2023,45866,,,'')":15.79,"ARW^FE_ESTIMATE(EPS_GAAP,MEAN,NTM4,,45866,,,'')":10.706667,"ARW^FE_ESTIMATE(EPS_GAAP,MEAN,LTM4,,45866,,,'')":7.26,"SNX^FE_ESTIMATE(EPS_GAAP,MEAN,CAL4,2027,45866,,,'')":11.180102,"SNX^FE_ESTIMATE(EPS_GAAP,MEAN,CAL4,2026,45866,,,'')":10.078528,"SNX^FE_ESTIMATE(EPS_GAAP,MEAN,CAL4,2025,45866,,,'')":8.895647,"SNX^FE_ESTIMATE(EPS_GAAP,MEAN,CAL4,2024,45866,,,'')":7.96,"SNX^FE_ESTIMATE(EPS_GAAP,MEAN,CAL4,2023,45866,,,'')":6.71,"SNX^FE_ESTIMATE(EPS_GAAP,MEAN,NTM4,,45866,,,'')":9.428537,"SNX^FE_ESTIMATE(EPS_GAAP,MEAN,LTM4,,45866,,,'')":8.56,"CDW^FE_ESTIMATE(EPS_GAAP,MEAN,CALA_ROLL,2027,45866,,,'')":10.737014,"CDW^FE_ESTIMATE(EPS_GAAP,MEAN,CAL4,2026,45866,,,'')":9.006077,"CDW^FE_ESTIMATE(EPS_GAAP,MEAN,CAL4,2025,45866,,,'')":8.194067,"CDW^FE_ESTIMATE(EPS_GAAP,MEAN,CAL4,2024,45866,,,'')":7.97,"CDW^FE_ESTIMATE(EPS_GAAP,MEAN,CAL4,2023,45866,,,'')":8.1,"CDW^FE_ESTIMATE(EPS_GAAP,MEAN,NTM4,,45866,,,'')":8.387588,"CDW^FE_ESTIMATE(EPS_GAAP,MEAN,LTM4,,45866,,,'')":8.07,"INGM^FE_ESTIMATE(EPS_GAAP,MEAN,CALA_ROLL,2027,45866,,,'')":2.8198502,"INGM^FE_ESTIMATE(EPS_GAAP,MEAN,CAL4,2026,45866,,,'')":2.7113333,"INGM^FE_ESTIMATE(EPS_GAAP,MEAN,CAL4,2025,45866,,,'')":2.1725361,"INGM^FE_ESTIMATE(EPS_GAAP,MEAN,CAL4,2024,45866,,,'')":null,"INGM^FE_ESTIMATE(EPS_GAAP,MEAN,CAL4,2023,45866,,,'')":null,"INGM^FE_ESTIMATE(EPS_GAAP,MEAN,NTM4,,45866,,,'')":2.4205363,"INGM^FE_ESTIMATE(EPS_GAAP,MEAN,LTM4,,45866,,,'')":1.3451453,"NBIS^FE_ESTIMATE(EPS_GAAP,MEAN,CALA_ROLL,2027,45866,,,'')":null,"NBIS^FE_ESTIMATE(EPS_GAAP,MEAN,CAL4,2026,45866,,,'')":-0.115,"NBIS^FE_ESTIMATE(EPS_GAAP,MEAN,CAL4,2025,45866,,,'')":-1.26,"NBIS^FE_ESTIMATE(EPS_GAAP,MEAN,CAL4,2024,45866,,,'')":null,"NBIS^FE_ESTIMATE(EPS_GAAP,MEAN,CAL4,2023,45866,,,'')":null,"NBIS^FE_ESTIMATE(EPS_GAAP,MEAN,NTM4,,45866,,,'')":-0.86,"NBIS^FE_ESTIMATE(EPS_GAAP,MEAN,LTM4,,45866,,,'')":null,"DOCN^FE_ESTIMATE(EPS_GAAP,MEAN,CALA_ROLL,2027,45866,,,'')":1.38,"DOCN^FE_ESTIMATE(EPS_GAAP,MEAN,CAL4,2026,45866,,,'')":null,"DOCN^FE_ESTIMATE(EPS_GAAP,MEAN,CAL4,2025,45866,,,'')":1.0,"DOCN^FE_ESTIMATE(EPS_GAAP,MEAN,CAL4,2024,45866,,,'')":0.87,"DOCN^FE_ESTIMATE(EPS_GAAP,MEAN,CAL4,2023,45866,,,'')":0.013333334,"DOCN^FE_ESTIMATE(EPS_GAAP,MEAN,NTM4,,45866,,,'')":null,"DOCN^FE_ESTIMATE(EPS_GAAP,MEAN,LTM4,,45866,,,'')":1.11,"GOOG^FE_ESTIMATE(EPS_GAAP,MEAN,CALA_ROLL,2027,45866,,,'')":11.938481,"GOOG^FE_ESTIMATE(EPS_GAAP,MEAN,CAL4,2026,45866,,,'')":10.55045,"GOOG^FE_ESTIMATE(EPS_GAAP,MEAN,CAL4,2025,45866,,,'')":9.9862795,"GOOG^FE_ESTIMATE(EPS_GAAP,MEAN,CAL4,2024,45866,,,'')":8.05,"GOOG^FE_ESTIMATE(EPS_GAAP,MEAN,CAL4,2023,45866,,,'')":5.8,"GOOG^FE_ESTIMATE(EPS_GAAP,MEAN,NTM4,,45866,,,'')":9.874495,"GOOG^FE_ESTIMATE(EPS_GAAP,MEAN,LTM4,,45866,,,'')":9.39,"AMZN^FE_ESTIMATE(EPS_GAAP,MEAN,CALA_ROLL,2027,45866,,,'')":9.027406,"AMZN^FE_ESTIMATE(EPS_GAAP,MEAN,CAL4,2026,45866,,,'')":7.333449,"AMZN^FE_ESTIMATE(EPS_GAAP,MEAN,CAL4,2025,45866,,,'')":6.240521,"AMZN^FE_ESTIMATE(EPS_GAAP,MEAN,CAL4,2024,45866,,,'')":5.53,"AMZN^FE_ESTIMATE(EPS_GAAP,MEAN,CAL4,2023,45866,,,'')":2.9,"AMZN^FE_ESTIMATE(EPS_GAAP,MEAN,NTM4,,45866,,,'')":6.3375134,"AMZN^FE_ESTIMATE(EPS_GAAP,MEAN,LTM4,,45866,,,'')":6.14,"ORCL^FE_ESTIMATE(EPS_GAAP,MEAN,CALA_ROLL,2027,45866,,,'')":7.139203,"ORCL^FE_ESTIMATE(EPS_GAAP,MEAN,CAL4,2026,45866,,,'')":5.6569524,"ORCL^FE_ESTIMATE(EPS_GAAP,MEAN,CAL4,2025,45866,,,'')":4.430102,"ORCL^FE_ESTIMATE(EPS_GAAP,MEAN,CAL4,2024,45866,,,'')":4.09,"ORCL^FE_ESTIMATE(EPS_GAAP,MEAN,CAL4,2023,45866,,,'')":3.62,"ORCL^FE_ESTIMATE(EPS_GAAP,MEAN,NTM4,,45866,,,'')":4.9593353,"ORCL^FE_ESTIMATE(EPS_GAAP,MEAN,LTM4,,45866,,,'')":4.34,"IBM^FE_ESTIMATE(EPS_GAAP,MEAN,CALA_ROLL,2027,45866,,,'')":10.958709,"IBM^FE_ESTIMATE(EPS_GAAP,MEAN,CALA_ROLL,2026,45866,,,'')":10.344925,"IBM^FE_ESTIMATE(EPS_GAAP,MEAN,CAL4,2025,45866,,,'')":9.393333,"IBM^FE_ESTIMATE(EPS_GAAP,MEAN,CAL4,2024,45866,,,'')":6.42,"IBM^FE_ESTIMATE(EPS_GAAP,MEAN,CAL4,2023,45866,,,'')":8.14,"IBM^FE_ESTIMATE(EPS_GAAP,MEAN,NTM4,,45866,,,'')":9.83,"IBM^FE_ESTIMATE(EPS_GAAP,MEAN,LTM4,,45866,,,'')":6.2,"EQIX^FE_ESTIMATE(EPS_GAAP,MEAN,CALA_ROLL,2027,45866,,,'')":15.635382,"EQIX^FE_ESTIMATE(EPS_GAAP,MEAN,CAL4,2026,45866,,,'')":15.784667,"EQIX^FE_ESTIMATE(EPS_GAAP,MEAN,CAL4,2025,45866,,,'')":14.569813,"EQIX^FE_ESTIMATE(EPS_GAAP,MEAN,CAL4,2024,45866,,,'')":8.55,"EQIX^FE_ESTIMATE(EPS_GAAP,MEAN,CAL4,2023,45866,,,'')":10.31,"EQIX^FE_ESTIMATE(EPS_GAAP,MEAN,NTM4,,45866,,,'')":14.846479,"EQIX^FE_ESTIMATE(EPS_GAAP,MEAN,LTM4,,45866,,,'')":9.62,"SNX^FE_ESTIMATE(EBITDA,MEAN,CAL4,2027,45866,,,'')":1956.4778,"SNX^FE_ESTIMATE(EBITDA,MEAN,CAL4,2026,45866,,,'')":1851.6523,"SNX^FE_ESTIMATE(EBITDA,MEAN,CAL4,2025,45866,,,'')":1783.9556,"SNX^FE_ESTIMATE(EBITDA,MEAN,CAL4,2024,45866,,,'')":1739.1866,"SNX^FE_ESTIMATE(EBITDA,MEAN,CAL4,2023,45866,,,'')":1753.0847,"SNX^FE_ESTIMATE(EBITDA,MEAN,NTM4,,45866,,,'')":1811.9269,"SNX^FE_ESTIMATE(EBITDA,MEAN,LTM4,,45866,,,'')":1740.8976,"CDW^FE_ESTIMATE(EBITDA,MEAN,CALA_ROLL,2027,45866,,,'')":2319.6973,"CDW^FE_ESTIMATE(EBITDA,MEAN,CAL4,2026,45866,,,'')":2326.862,"CDW^FE_ESTIMATE(EBITDA,MEAN,CAL4,2025,45866,,,'')":2138.7087,"CDW^FE_ESTIMATE(EBITDA,MEAN,CAL4,2024,45866,,,'')":2122.4346,"CDW^FE_ESTIMATE(EBITDA,MEAN,CAL4,2023,45866,,,'')":2175.6484,"CDW^FE_ESTIMATE(EBITDA,MEAN,NTM4,,45866,,,'')":2156.4204,"CDW^FE_ESTIMATE(EBITDA,MEAN,LTM4,,45866,,,'')":2172.3796,"INGM^FE_ESTIMATE(EBITDA,MEAN,CALA_ROLL,2027,45866,,,'')":1552.1091,"INGM^FE_ESTIMATE(EBITDA,MEAN,CAL4,2026,45866,,,'')":1410.5713,"INGM^FE_ESTIMATE(EBITDA,MEAN,CAL4,2025,45866,,,'')":1302.9095,"INGM^FE_ESTIMATE(EBITDA,MEAN,CAL4,2024,45866,,,'')":null,"INGM^FE_ESTIMATE(EBITDA,MEAN,CAL4,2023,45866,,,'')":null,"INGM^FE_ESTIMATE(EBITDA,MEAN,NTM4,,45866,,,'')":1328.6653,"INGM^FE_ESTIMATE(EBITDA,MEAN,LTM4,,45866,,,'')":1310.5848,"NBIS^FE_ESTIMATE(EBITDA,MEAN,CALA_ROLL,2027,45866,,,'')":1071.8126,"NBIS^FE_ESTIMATE(EBITDA,MEAN,CAL4,2026,45866,,,'')":200.7,"NBIS^FE_ESTIMATE(EBITDA,MEAN,CAL4,2025,45866,,,'')":-113.166664,"NBIS^FE_ESTIMATE(EBITDA,MEAN,CAL4,2024,45866,,,'')":null,"NBIS^FE_ESTIMATE(EBITDA,MEAN,CAL4,2023,45866,,,'')":null,"NBIS^FE_ESTIMATE(EBITDA,MEAN,NTM4,,45866,,,'')":-24.7,"NBIS^FE_ESTIMATE(EBITDA,MEAN,LTM4,,45866,,,'')":null,"DOCN^FE_ESTIMATE(EBITDA,MEAN,CALA_ROLL,2027,45866,,,'')":477.94974,"DOCN^FE_ESTIMATE(EBITDA,MEAN,CAL4,2026,45866,,,'')":376.0869,"DOCN^FE_ESTIMATE(EBITDA,MEAN,CAL4,2025,45866,,,'')":346.75366,"DOCN^FE_ESTIMATE(EBITDA,MEAN,CAL4,2024,45866,,,'')":328.5,"DOCN^FE_ESTIMATE(EBITDA,MEAN,CAL4,2023,45866,,,'')":277.703,"DOCN^FE_ESTIMATE(EBITDA,MEAN,NTM4,,45866,,,'')":350.2006,"DOCN^FE_ESTIMATE(EBITDA,MEAN,LTM4,,45866,,,'')":340.46,"GOOG^FE_ESTIMATE(EBITDA,MEAN,CALA_ROLL,2027,45866,,,'')":229457.22,"GOOG^FE_ESTIMATE(EBITDA,MEAN,CAL4,2026,45866,,,'')":204315.77,"GOOG^FE_ESTIMATE(EBITDA,MEAN,CAL4,2025,45866,,,'')":176380.78,"GOOG^FE_ESTIMATE(EBITDA,MEAN,CAL4,2024,45866,,,'')":150907.6,"GOOG^FE_ESTIMATE(EBITDA,MEAN,CAL4,2023,45866,,,'')":122063.59,"GOOG^FE_ESTIMATE(EBITDA,MEAN,NTM4,,45866,,,'')":189974.2,"GOOG^FE_ESTIMATE(EBITDA,MEAN,LTM4,,45866,,,'')":162606.33,"AMZN^FE_ESTIMATE(EBITDA,MEAN,CALA_ROLL,2027,45866,,,'')":228179.17,"AMZN^FE_ESTIMATE(EBITDA,MEAN,CAL4,2026,45866,,,'')":190371.42,"AMZN^FE_ESTIMATE(EBITDA,MEAN,CAL4,2025,45866,,,'')":161881.02,"AMZN^FE_ESTIMATE(EBITDA,MEAN,CAL4,2024,45866,,,'')":143476.78,"AMZN^FE_ESTIMATE(EBITDA,MEAN,CAL4,2023,45866,,,'')":109513.47,"AMZN^FE_ESTIMATE(EBITDA,MEAN,NTM4,,45866,,,'')":168488.83,"AMZN^FE_ESTIMATE(EBITDA,MEAN,LTM4,,45866,,,'')":147794.33,"ORCL^FE_ESTIMATE(EBITDA,MEAN,CALA_ROLL,2027,45866,,,'')":46338.605,"ORCL^FE_ESTIMATE(EBITDA,MEAN,CAL4,2026,45866,,,'')":38832.34,"ORCL^FE_ESTIMATE(EBITDA,MEAN,CAL4,2025,45866,,,'')":32368.682,"ORCL^FE_ESTIMATE(EBITDA,MEAN,CAL4,2024,45866,,,'')":29480.475,"ORCL^FE_ESTIMATE(EBITDA,MEAN,CAL4,2023,45866,,,'')":27439.04,"ORCL^FE_ESTIMATE(EBITDA,MEAN,NTM4,,45866,,,'')":35006.88,"ORCL^FE_ESTIMATE(EBITDA,MEAN,LTM4,,45866,,,'')":30598.133,"IBM^FE_ESTIMATE(EBITDA,MEAN,CALA_ROLL,2027,45866,,,'')":19673.346,"IBM^FE_ESTIMATE(EBITDA,MEAN,CAL4,2026,45866,,,'')":19278.828,"IBM^FE_ESTIMATE(EBITDA,MEAN,CAL4,2025,45866,,,'')":18318.035,"IBM^FE_ESTIMATE(EBITDA,MEAN,CAL4,2024,45866,,,'')":15966.0,"IBM^FE_ESTIMATE(EBITDA,MEAN,CAL4,2023,45866,,,'')":14568.502,"IBM^FE_ESTIMATE(EBITDA,MEAN,NTM4,,45866,,,'')":18670.447,"IBM^FE_ESTIMATE(EBITDA,MEAN,LTM4,,45866,,,'')":17540.8,"DLR^FE_ESTIMATE(EPS_GAAP,MEAN,CALA_ROLL,2027,45866,,,'')":2.208815,"DLR^FE_ESTIMATE(EPS_GAAP,MEAN,CAL4,2026,45866,,,'')":1.5264647,"DLR^FE_ESTIMATE(EPS_GAAP,MEAN,CAL4,2025,45866,,,'')":3.9306657,"DLR^FE_ESTIMATE(EPS_GAAP,MEAN,CAL4,2024,45866,,,'')":1.649787,"DLR^FE_ESTIMATE(EPS_GAAP,MEAN,CAL4,2023,45866,,,'')":2.97,"DLR^FE_ESTIMATE(EPS_GAAP,MEAN,NTM4,,45866,,,'')":1.4415748,"DLR^FE_ESTIMATE(EPS_GAAP,MEAN,LTM4,,45866,,,'')":3.839787,"NVDA^FE_ESTIMATE(EPS_GAAP,MEAN,CALA_ROLL,2027,45866,,,'')":6.4503517,"NVDA^FE_ESTIMATE(EPS_GAAP,MEAN,CAL4,2026,45866,,,'')":5.596036,"NVDA^FE_ESTIMATE(EPS_GAAP,MEAN,CAL4,2025,45866,,,'')":4.0904083,"NVDA^FE_ESTIMATE(EPS_GAAP,MEAN,CAL4,2024,45866,,,'')":2.938,"NVDA^FE_ESTIMATE(EPS_GAAP,MEAN,CAL4,2023,45866,,,'')":1.194,"NVDA^FE_ESTIMATE(EPS_GAAP,MEAN,NTM4,,45866,,,'')":4.6518703,"NVDA^FE_ESTIMATE(EPS_GAAP,MEAN,LTM4,,45866,,,'')":3.1,"MSFT^FE_ESTIMATE(EPS_GAAP,MEAN,CALA_ROLL,2027,45866,,,'')":19.572454,"MSFT^FE_ESTIMATE(EPS_GAAP,MEAN,CAL4,2026,45866,,,'')":16.19257,"MSFT^FE_ESTIMATE(EPS_GAAP,MEAN,CAL4,2025,45866,,,'')":14.175657,"MSFT^FE_ESTIMATE(EPS_GAAP,MEAN,CAL4,2024,45866,,,'')":12.42,"MSFT^FE_ESTIMATE(EPS_GAAP,MEAN,CAL4,2023,45866,,,'')":11.060136,"MSFT^FE_ESTIMATE(EPS_GAAP,MEAN,NTM4,,45866,,,'')":14.52673,"MSFT^FE_ESTIMATE(EPS_GAAP,MEAN,LTM4,,45866,,,'')":12.94,"AVT^FE_ESTIMATE(EBITDA,MEAN,CAL4,2027,45866,,,'')":1037.0,"AVT^FE_ESTIMATE(EBITDA,MEAN,CAL4,2026,45866,,,'')":968.0013,"AVT^FE_ESTIMATE(EBITDA,MEAN,CAL4,2025,45866,,,'')":739.7664,"AVT^FE_ESTIMATE(EBITDA,MEAN,CAL4,2024,45866,,,'')":813.0833,"AVT^FE_ESTIMATE(EBITDA,MEAN,CAL4,2023,45866,,,'')":1230.6333,"AVT^FE_ESTIMATE(EBITDA,MEAN,NTM4,,45866,,,'')":809.6677,"AVT^FE_ESTIMATE(EBITDA,MEAN,LTM4,,45866,,,'')":753.13336,"ARW^FE_ESTIMATE(EBITDA,MEAN,CALA_ROLL,2027,45866,,,'')":1654.2404,"ARW^FE_ESTIMATE(EBITDA,MEAN,CAL4,2026,45866,,,'')":1430.3,"ARW^FE_ESTIMATE(EBITDA,MEAN,CAL4,2025,45866,,,'')":1107.3228,"ARW^FE_ESTIMATE(EBITDA,MEAN,CAL4,2024,45866,,,'')":1151.0667,"ARW^FE_ESTIMATE(EBITDA,MEAN,CAL4,2023,45866,,,'')":1749.7667,"ARW^FE_ESTIMATE(EBITDA,MEAN,NTM4,,45866,,,'')":1205.5228,"ARW^FE_ESTIMATE(EBITDA,MEAN,LTM4,,45866,,,'')":1074.1167,"EQIX^FE_ESTIMATE(EBITDA,MEAN,CALA_ROLL,2027,45866,,,'')":5421.8296,"EQIX^FE_ESTIMATE(EBITDA,MEAN,CAL4,2026,45866,,,'')":4972.4165,"EQIX^FE_ESTIMATE(EBITDA,MEAN,CAL4,2025,45866,,,'')":4513.002,"EQIX^FE_ESTIMATE(EBITDA,MEAN,CAL4,2024,45866,,,'')":4097.0,"EQIX^FE_ESTIMATE(EBITDA,MEAN,CAL4,2023,45866,,,'')":3701.841,"EQIX^FE_ESTIMATE(EBITDA,MEAN,NTM4,,45866,,,'')":4632.2686,"EQIX^FE_ESTIMATE(EBITDA,MEAN,LTM4,,45866,,,'')":4172.0,"DLR^FE_ESTIMATE(EBITDA,MEAN,CALA_ROLL,2027,45866,,,'')":4036.362,"DLR^FE_ESTIMATE(EBITDA,MEAN,CAL4,2026,45866,,,'')":3514.9702,"DLR^FE_ESTIMATE(EBITDA,MEAN,CAL4,2025,45866,,,'')":3244.4949,"DLR^FE_ESTIMATE(EBITDA,MEAN,CAL4,2024,45866,,,'')":2947.002,"DLR^FE_ESTIMATE(EBITDA,MEAN,CAL4,2023,45866,,,'')":2750.256,"DLR^FE_ESTIMATE(EBITDA,MEAN,NTM4,,45866,,,'')":3351.468,"DLR^FE_ESTIMATE(EBITDA,MEAN,LTM4,,45866,,,'')":3124.047,"NVDA^FE_ESTIMATE(EBITDA,MEAN,CALA_ROLL,2027,45866,,,'')":194163.73,"NVDA^FE_ESTIMATE(EBITDA,MEAN,CAL4,2026,45866,,,'')":177466.08,"NVDA^FE_ESTIMATE(EBITDA,MEAN,CAL4,2025,45866,,,'')":128138.72,"NVDA^FE_ESTIMATE(EBITDA,MEAN,CAL4,2024,45866,,,'')":88417.375,"NVDA^FE_ESTIMATE(EBITDA,MEAN,CAL4,2023,45866,,,'')":37642.035,"NVDA^FE_ESTIMATE(EBITDA,MEAN,NTM4,,45866,,,'')":146623.5,"NVDA^FE_ESTIMATE(EBITDA,MEAN,LTM4,,45866,,,'')":93953.47,"MSFT^FE_ESTIMATE(EBITDA,MEAN,CALA_ROLL,2027,45866,,,'')":225442.39,"MSFT^FE_ESTIMATE(EBITDA,MEAN,CAL4,2026,45866,,,'')":197318.42,"MSFT^FE_ESTIMATE(EBITDA,MEAN,CAL4,2025,45866,,,'')":168389.86,"MSFT^FE_ESTIMATE(EBITDA,MEAN,CAL4,2024,45866,,,'')":145924.3,"MSFT^FE_ESTIMATE(EBITDA,MEAN,CAL4,2023,45866,,,'')":119708.5,"MSFT^FE_ESTIMATE(EBITDA,MEAN,NTM4,,45866,,,'')":173238.28,"MSFT^FE_ESTIMATE(EBITDA,MEAN,LTM4,,45866,,,'')":152954.55,"NBIS^FE_ESTIMATE(EBIT,MEAN,CALA_ROLL,2027,45866,,,'')":-514.1325,"NBIS^FE_ESTIMATE(EBIT,MEAN,CAL4,2026,45866,,,'')":-104.46,"NBIS^FE_ESTIMATE(EBIT,MEAN,CAL4,2025,45866,,,'')":-457.121,"NBIS^FE_ESTIMATE(EBIT,MEAN,CAL4,2024,45866,,,'')":null,"NBIS^FE_ESTIMATE(EBIT,MEAN,CAL4,2023,45866,,,'')":null,"NBIS^FE_ESTIMATE(EBIT,MEAN,NTM4,,45866,,,'')":-400.806,"NBIS^FE_ESTIMATE(EBIT,MEAN,LTM4,,45866,,,'')":null,"AVT^FE_ESTIMATE(EBIT,MEAN,CAL4,2027,45866,,,'')":960.0,"AVT^FE_ESTIMATE(EBIT,MEAN,CAL4,2026,45866,,,'')":836.22906,"AVT^FE_ESTIMATE(EBIT,MEAN,CAL4,2025,45866,,,'')":651.36865,"AVT^FE_ESTIMATE(EBIT,MEAN,CAL4,2024,45866,,,'')":724.5228,"AVT^FE_ESTIMATE(EBIT,MEAN,CAL4,2023,45866,,,'')":1131.8362,"AVT^FE_ESTIMATE(EBIT,MEAN,NTM4,,45866,,,'')":709.7727,"AVT^FE_ESTIMATE(EBIT,MEAN,LTM4,,45866,,,'')":674.5711,"ARW^FE_ESTIMATE(EBIT,MEAN,CALA_ROLL,2027,45866,,,'')":1510.3021,"ARW^FE_ESTIMATE(EBIT,MEAN,CAL4,2026,45866,,,'')":1232.2,"ARW^FE_ESTIMATE(EBIT,MEAN,CAL4,2025,45866,,,'')":951.60364,"ARW^FE_ESTIMATE(EBIT,MEAN,CAL4,2024,45866,,,'')":1001.7478,"ARW^FE_ESTIMATE(EBIT,MEAN,CAL4,2023,45866,,,'')":1584.7036,"ARW^FE_ESTIMATE(EBIT,MEAN,NTM4,,45866,,,'')":1032.1703,"ARW^FE_ESTIMATE(EBIT,MEAN,LTM4,,45866,,,'')":929.7848,"SNX^FE_ESTIMATE(EBIT,MEAN,CAL4,2027,45866,,,'')":1822.8379,"SNX^FE_ESTIMATE(EBIT,MEAN,CAL4,2026,45866,,,'')":1731.9514,"SNX^FE_ESTIMATE(EBIT,MEAN,CAL4,2025,45866,,,'')":1654.2377,"SNX^FE_ESTIMATE(EBIT,MEAN,CAL4,2024,45866,,,'')":1621.3727,"SNX^FE_ESTIMATE(EBIT,MEAN,CAL4,2023,45866,,,'')":1636.843,"SNX^FE_ESTIMATE(EBIT,MEAN,NTM4,,45866,,,'')":1683.1808,"SNX^FE_ESTIMATE(EBIT,MEAN,LTM4,,45866,,,'')":1619.8843,"CDW^FE_ESTIMATE(EBIT,MEAN,CALA_ROLL,2027,45866,,,'')":2257.8752,"CDW^FE_ESTIMATE(EBIT,MEAN,CAL4,2026,45866,,,'')":2064.8616,"CDW^FE_ESTIMATE(EBIT,MEAN,CAL4,2025,45866,,,'')":1975.6772,"CDW^FE_ESTIMATE(EBIT,MEAN,CAL4,2024,45866,,,'')":1952.63,"CDW^FE_ESTIMATE(EBIT,MEAN,CAL4,2023,45866,,,'')":2025.8167,"CDW^FE_ESTIMATE(EBIT,MEAN,NTM4,,45866,,,'')":1976.4869,"CDW^FE_ESTIMATE(EBIT,MEAN,LTM4,,45866,,,'')":1987.45,"INGM^FE_ESTIMATE(EBIT,MEAN,CALA_ROLL,2027,45866,,,'')":1304.3807,"INGM^FE_ESTIMATE(EBIT,MEAN,CAL4,2026,45866,,,'')":1178.2355,"INGM^FE_ESTIMATE(EBIT,MEAN,CAL4,2025,45866,,,'')":1030.2626,"INGM^FE_ESTIMATE(EBIT,MEAN,CAL4,2024,45866,,,'')":null,"INGM^FE_ESTIMATE(EBIT,MEAN,CAL4,2023,45866,,,'')":null,"INGM^FE_ESTIMATE(EBIT,MEAN,NTM4,,45866,,,'')":1067.5538,"INGM^FE_ESTIMATE(EBIT,MEAN,LTM4,,45866,,,'')":1000.0097,"DOCN^FE_ESTIMATE(EBIT,MEAN,CALA_ROLL,2027,45866,,,'')":347.16965,"DOCN^FE_ESTIMATE(EBIT,MEAN,CAL4,2026,45866,,,'')":279.7376,"DOCN^FE_ESTIMATE(EBIT,MEAN,CAL4,2025,45866,,,'')":238.11806,"DOCN^FE_ESTIMATE(EBIT,MEAN,CAL4,2024,45866,,,'')":183.90977,"DOCN^FE_ESTIMATE(EBIT,MEAN,CAL4,2023,45866,,,'')":159.31778,"DOCN^FE_ESTIMATE(EBIT,MEAN,NTM4,,45866,,,'')":240.99915,"DOCN^FE_ESTIMATE(EBIT,MEAN,LTM4,,45866,,,'')":234.65727,"GOOG^FE_ESTIMATE(EBIT,MEAN,CALA_ROLL,2027,45866,,,'')":163022.5,"GOOG^FE_ESTIMATE(EBIT,MEAN,CAL4,2026,45866,,,'')":146128.05,"GOOG^FE_ESTIMATE(EBIT,MEAN,CAL4,2025,45866,,,'')":130301.12,"GOOG^FE_ESTIMATE(EBIT,MEAN,CAL4,2024,45866,,,'')":112401.06,"GOOG^FE_ESTIMATE(EBIT,MEAN,CAL4,2023,45866,,,'')":84280.03,"GOOG^FE_ESTIMATE(EBIT,MEAN,NTM4,,45866,,,'')":138186.72,"GOOG^FE_ESTIMATE(EBIT,MEAN,LTM4,,45866,,,'')":121391.4,"AMZN^FE_ESTIMATE(EBIT,MEAN,CALA_ROLL,2027,45866,,,'')":117238.45,"AMZN^FE_ESTIMATE(EBIT,MEAN,CAL4,2026,45866,,,'')":93612.22,"AMZN^FE_ESTIMATE(EBIT,MEAN,CAL4,2025,45866,,,'')":78260.18,"AMZN^FE_ESTIMATE(EBIT,MEAN,CAL4,2024,45866,,,'')":68593.0,"AMZN^FE_ESTIMATE(EBIT,MEAN,CAL4,2023,45866,,,'')":36852.0,"AMZN^FE_ESTIMATE(EBIT,MEAN,NTM4,,45866,,,'')":81446.836,"AMZN^FE_ESTIMATE(EBIT,MEAN,LTM4,,45866,,,'')":71691.0,"ORCL^FE_ESTIMATE(EBIT,MEAN,CALA_ROLL,2027,45866,,,'')":37273.56,"ORCL^FE_ESTIMATE(EBIT,MEAN,CAL4,2026,45866,,,'')":30577.176,"ORCL^FE_ESTIMATE(EBIT,MEAN,CAL4,2025,45866,,,'')":26143.893,"ORCL^FE_ESTIMATE(EBIT,MEAN,CAL4,2024,45866,,,'')":24264.9,"ORCL^FE_ESTIMATE(EBIT,MEAN,CAL4,2023,45866,,,'')":21846.732,"ORCL^FE_ESTIMATE(EBIT,MEAN,NTM4,,45866,,,'')":28002.295,"ORCL^FE_ESTIMATE(EBIT,MEAN,LTM4,,45866,,,'')":25033.926,"IBM^FE_ESTIMATE(EBIT,MEAN,CALA_ROLL,2027,45866,,,'')":14981.076,"IBM^FE_ESTIMATE(EBIT,MEAN,CAL4,2026,45866,,,'')":13981.202,"IBM^FE_ESTIMATE(EBIT,MEAN,CAL4,2025,45866,,,'')":12921.503,"IBM^FE_ESTIMATE(EBIT,MEAN,CAL4,2024,45866,,,'')":11312.172,"IBM^FE_ESTIMATE(EBIT,MEAN,CAL4,2023,45866,,,'')":10434.986,"IBM^FE_ESTIMATE(EBIT,MEAN,NTM4,,45866,,,'')":13522.903,"IBM^FE_ESTIMATE(EBIT,MEAN,LTM4,,45866,,,'')":12063.65,"EQIX^FE_ESTIMATE(EBIT,MEAN,CALA_ROLL,2027,45866,,,'')":2458.523,"EQIX^FE_ESTIMATE(EBIT,MEAN,CAL4,2026,45866,,,'')":2254.692,"EQIX^FE_ESTIMATE(EBIT,MEAN,CAL4,2025,45866,,,'')":1988.9249,"EQIX^FE_ESTIMATE(EBIT,MEAN,CAL4,2024,45866,,,'')":1688.5778,"EQIX^FE_ESTIMATE(EBIT,MEAN,CAL4,2023,45866,,,'')":1442.8859,"EQIX^FE_ESTIMATE(EBIT,MEAN,NTM4,,45866,,,'')":2077.8447,"EQIX^FE_ESTIMATE(EBIT,MEAN,LTM4,,45866,,,'')":1785.6333,"DLR^FE_ESTIMATE(EBIT,MEAN,CALA_ROLL,2027,45866,,,'')":1384.1514,"DLR^FE_ESTIMATE(EBIT,MEAN,CAL4,2026,45866,,,'')":1092.7994,"DLR^FE_ESTIMATE(EBIT,MEAN,CAL4,2025,45866,,,'')":854.7524,"DLR^FE_ESTIMATE(EBIT,MEAN,CAL4,2024,45866,,,'')":484.77356,"DLR^FE_ESTIMATE(EBIT,MEAN,CAL4,2023,45866,,,'')":524.37494,"DLR^FE_ESTIMATE(EBIT,MEAN,NTM4,,45866,,,'')":973.10767,"DLR^FE_ESTIMATE(EBIT,MEAN,LTM4,,45866,,,'')":722.31494,"NVDA^FE_ESTIMATE(EBIT,MEAN,CALA_ROLL,2027,45866,,,'')":190397.16,"NVDA^FE_ESTIMATE(EBIT,MEAN,CAL4,2026,45866,,,'')":169036.13,"NVDA^FE_ESTIMATE(EBIT,MEAN,CAL4,2025,45866,,,'')":124943.11,"NVDA^FE_ESTIMATE(EBIT,MEAN,CAL4,2024,45866,,,'')":86538.56,"NVDA^FE_ESTIMATE(EBIT,MEAN,CAL4,2023,45866,,,'')":37133.996,"NVDA^FE_ESTIMATE(EBIT,MEAN,NTM4,,45866,,,'')":141423.77,"NVDA^FE_ESTIMATE(EBIT,MEAN,LTM4,,45866,,,'')":91720.18,"MSFT^FE_ESTIMATE(EBIT,MEAN,CALA_ROLL,2027,45866,,,'')":178025.03,"MSFT^FE_ESTIMATE(EBIT,MEAN,CAL4,2026,45866,,,'')":152008.81,"MSFT^FE_ESTIMATE(EBIT,MEAN,CAL4,2025,45866,,,'')":133620.73,"MSFT^FE_ESTIMATE(EBIT,MEAN,CAL4,2024,45866,,,'')":117698.59,"MSFT^FE_ESTIMATE(EBIT,MEAN,CAL4,2023,45866,,,'')":100451.96,"MSFT^FE_ESTIMATE(EBIT,MEAN,NTM4,,45866,,,'')":137667.25,"MSFT^FE_ESTIMATE(EBIT,MEAN,LTM4,,45866,,,'')":122116.195,"AVT^FE_ESTIMATE(SALES,MEAN,CALA_ROLL,2027,45866,,,'')":null,"AVT^FE_ESTIMATE(SALES,MEAN,CAL4,2026,45866,,,'')":23477.775,"AVT^FE_ESTIMATE(SALES,MEAN,CAL4,2025,45866,,,'')":21905.229,"AVT^FE_ESTIMATE(SALES,MEAN,CAL4,2024,45866,,,'')":22484.129,"AVT^FE_ESTIMATE(SALES,MEAN,CAL4,2023,45866,,,'')":25609.723,"AVT^FE_ESTIMATE(SALES,MEAN,NTM4,,45866,,,'')":22235.248,"AVT^FE_ESTIMATE(SALES,MEAN,LTM4,,45866,,,'')":22145.951,"AVT^FG_PRICE(45866)":54.12,"AVT^FF_ENTRPR_VAL_DAILY(45866,,,,,\"DIL\")":7345.08912,"AVT^FREF_MARKET_VALUE_COMPANY(45866,,,,,0,,\"LEGACY\")":4538.35791015625,"ARW^FE_ESTIMATE(SALES,MEAN,CALA_ROLL,2027,45866,,,'')":34074.42,"ARW^FE_ESTIMATE(SALES,MEAN,CAL4,2026,45866,,,'')":30970.732,"ARW^FE_ESTIMATE(SALES,MEAN,CAL4,2025,45866,,,'')":29308.266,"ARW^FE_ESTIMATE(SALES,MEAN,CAL4,2024,45866,,,'')":27923.324,"ARW^FE_ESTIMATE(SALES,MEAN,CAL4,2023,45866,,,'')":33107.12,"ARW^FE_ESTIMATE(SALES,MEAN,NTM4,,45866,,,'')":29784.848,"ARW^FE_ESTIMATE(SALES,MEAN,LTM4,,45866,,,'')":27813.08,"ARW^FG_PRICE(45866)":128.71,"ARW^FF_ENTRPR_VAL_DAILY(45866,,,,,\"DIL\")":9463.68854,"ARW^FREF_MARKET_VALUE_COMPANY(45866,,,,,0,,\"LEGACY\")":6676.701171875,"SNX^FE_ESTIMATE(SALES,MEAN,CALA_ROLL,2027,45866,,,'')":null,"SNX^FE_ESTIMATE(SALES,MEAN,CAL4,2026,45866,,,'')":62998.043,"SNX^FE_ESTIMATE(SALES,MEAN,CAL4,2025,45866,,,'')":60601.17,"SNX^FE_ESTIMATE(SALES,MEAN,CAL4,2024,45866,,,'')":58452.438,"SNX^FE_ESTIMATE(SALES,MEAN,CAL4,2023,45866,,,'')":57555.414,"SNX^FE_ESTIMATE(SALES,MEAN,NTM4,,45866,,,'')":61677.785,"SNX^FE_ESTIMATE(SALES,MEAN,LTM4,,45866,,,'')":60007.28,"SNX^FG_PRICE(45866)":148.15,"SNX^FF_ENTRPR_VAL_DAILY(45866,,,,,\"DIL\")":15625.42625,"SNX^FREF_MARKET_VALUE_COMPANY(45866,,,,,0,,\"LEGACY\")":12217.4970703125,"CDW^FE_ESTIMATE(SALES,MEAN,CALA_ROLL,2027,45866,,,'')":23734.23,"CDW^FE_ESTIMATE(SALES,MEAN,CAL4,2026,45866,,,'')":22481.066,"CDW^FE_ESTIMATE(SALES,MEAN,CAL4,2025,45866,,,'')":21618.578,"CDW^FE_ESTIMATE(SALES,MEAN,CAL4,2024,45866,,,'')":20998.7,"CDW^FE_ESTIMATE(SALES,MEAN,CAL4,2023,45866,,,'')":21376.0,"CDW^FE_ESTIMATE(SALES,MEAN,NTM4,,45866,,,'')":21711.68,"CDW^FE_ESTIMATE(SALES,MEAN,LTM4,,45866,,,'')":21325.1,"CDW^FG_PRICE(45866)":181.78,"CDW^FF_ENTRPR_VAL_DAILY(45866,,,,,\"DIL\")":29916.83,"CDW^FREF_MARKET_VALUE_COMPANY(45866,,,,,0,,\"LEGACY\")":23937.7265625,"INGM^FE_ESTIMATE(SALES,MEAN,CALA_ROLL,2027,45866,,,'')":53455.813,"INGM^FE_ESTIMATE(SALES,MEAN,CAL4,2026,45866,,,'')":51714.504,"INGM^FE_ESTIMATE(SALES,MEAN,CAL4,2025,45866,,,'')":50084.223,"INGM^FE_ESTIMATE(SALES,MEAN,CAL4,2024,45866,,,'')":null,"INGM^FE_ESTIMATE(SALES,MEAN,CAL4,2023,45866,,,'')":null,"INGM^FE_ESTIMATE(SALES,MEAN,NTM4,,45866,,,'')":50253.367,"INGM^FE_ESTIMATE(SALES,MEAN,LTM4,,45866,,,'')":48929.313,"INGM^FG_PRICE(45866)":21.0,"INGM^FF_ENTRPR_VAL_DAILY(45866,,,,,\"DIL\")":8013.739918,"INGM^FREF_MARKET_VALUE_COMPANY(45866,,,,,0,,\"LEGACY\")":4931.5771484375,"NBIS^FE_ESTIMATE(SALES,MEAN,CALA_ROLL,2027,45866,,,'')":2474.2197,"NBIS^FE_ESTIMATE(SALES,MEAN,CAL4,2026,45866,,,'')":1387.8977,"NBIS^FE_ESTIMATE(SALES,MEAN,CAL4,2025,45866,,,'')":583.3625,"NBIS^FE_ESTIMATE(SALES,MEAN,CAL4,2024,45866,,,'')":2559.1375,"NBIS^FE_ESTIMATE(SALES,MEAN,CAL4,2023,45866,,,'')":8777.168,"NBIS^FE_ESTIMATE(SALES,MEAN,NTM4,,45866,,,'')":795.56024,"NBIS^FE_ESTIMATE(SALES,MEAN,LTM4,,45866,,,'')":161.4,"NBIS^FG_PRICE(45866)":52.75,"NBIS^FF_ENTRPR_VAL_DAILY(45866,,,,,\"DIL\")":11220.44083525,"NBIS^FREF_MARKET_VALUE_COMPANY(45866,,,,,0,,\"LEGACY\")":10688.466796875,"DOCN^FE_ESTIMATE(SALES,MEAN,CALA_ROLL,2027,45866,,,'')":1161.9253,"DOCN^FE_ESTIMATE(SALES,MEAN,CAL4,2026,45866,,,'')":1006.8868,"DOCN^FE_ESTIMATE(SALES,MEAN,CAL4,2025,45866,,,'')":882.4221,"DOCN^FE_ESTIMATE(SALES,MEAN,CAL4,2024,45866,,,'')":780.615,"DOCN^FE_ESTIMATE(SALES,MEAN,CAL4,2023,45866,,,'')":692.884,"DOCN^FE_ESTIMATE(SALES,MEAN,NTM4,,45866,,,'')":912.18604,"DOCN^FE_ESTIMATE(SALES,MEAN,LTM4,,45866,,,'')":806.588,"DOCN^FG_PRICE(45866)":29.15,"DOCN^FF_ENTRPR_VAL_DAILY(45866,,,,,\"DIL\")":4364.0933,"DOCN^FREF_MARKET_VALUE_COMPANY(45866,,,,,0,,\"LEGACY\")":2653.62744140625,"GOOG^FE_ESTIMATE(SALES,MEAN,CALA_ROLL,2027,45866,,,'')":483991.6,"GOOG^FE_ESTIMATE(SALES,MEAN,CAL4,2026,45866,,,'')":439161.34,"GOOG^FE_ESTIMATE(SALES,MEAN,CAL4,2025,45866,,,'')":394421.75,"GOOG^FE_ESTIMATE(SALES,MEAN,CAL4,2024,45866,,,'')":350018.0,"GOOG^FE_ESTIMATE(SALES,MEAN,CAL4,2023,45866,,,'')":307394.0,"GOOG^FE_ESTIMATE(SALES,MEAN,NTM4,,45866,,,'')":415834.7,"GOOG^FE_ESTIMATE(SALES,MEAN,LTM4,,45866,,,'')":371399.0,"GOOG^FG_PRICE(45866)":193.42,"GOOG^FF_ENTRPR_VAL_DAILY(45866,,,,,\"DIL\")":2295610.84,"GOOG^FREF_MARKET_VALUE_COMPANY(45866,,,,,0,,\"LEGACY\")":2170508.5,"AMZN^FE_ESTIMATE(SALES,MEAN,CALA_ROLL,2027,45866,,,'')":840713.3,"AMZN^FE_ESTIMATE(SALES,MEAN,CAL4,2026,45866,,,'')":762353.06,"AMZN^FE_ESTIMATE(SALES,MEAN,CAL4,2025,45866,,,'')":695881.75,"AMZN^FE_ESTIMATE(SALES,MEAN,CAL4,2024,45866,,,'')":637959.0,"AMZN^FE_ESTIMATE(SALES,MEAN,CAL4,2023,45866,,,'')":574785.0,"AMZN^FE_ESTIMATE(SALES,MEAN,NTM4,,45866,,,'')":711580.6,"AMZN^FE_ESTIMATE(SALES,MEAN,LTM4,,45866,,,'')":650313.0,"AMZN^FG_PRICE(45866)":232.79,"AMZN^FF_ENTRPR_VAL_DAILY(45866,,,,,\"DIL\")":2564753.47,"AMZN^FREF_MARKET_VALUE_COMPANY(45866,,,,,0,,\"LEGACY\")":2471380.75,"ORCL^FE_ESTIMATE(SALES,MEAN,CALA_ROLL,2027,45866,,,'')":88131.07,"ORCL^FE_ESTIMATE(SALES,MEAN,CAL4,2026,45866,,,'')":73069.58,"ORCL^FE_ESTIMATE(SALES,MEAN,CAL4,2025,45866,,,'')":61273.92,"ORCL^FE_ESTIMATE(SALES,MEAN,CAL4,2024,45866,,,'')":54933.0,"ORCL^FE_ESTIMATE(SALES,MEAN,CAL4,2023,45866,,,'')":51629.0,"ORCL^FE_ESTIMATE(SALES,MEAN,NTM4,,45866,,,'')":66822.875,"ORCL^FE_ESTIMATE(SALES,MEAN,LTM4,,45866,,,'')":57399.0,"ORCL^FG_PRICE(45866)":247.71,"ORCL^FF_ENTRPR_VAL_DAILY(45866,,,,,\"DIL\")":808203.86,"ORCL^FREF_MARKET_VALUE_COMPANY(45866,,,,,0,,\"LEGACY\")":695776.0625,"IBM^FE_ESTIMATE(SALES,MEAN,CALA_ROLL,2027,45866,,,'')":72605.57,"IBM^FE_ESTIMATE(SALES,MEAN,CAL4,2026,45866,,,'')":69211.35,"IBM^FE_ESTIMATE(SALES,MEAN,CAL4,2025,45866,,,'')":66790.56,"IBM^FE_ESTIMATE(SALES,MEAN,CAL4,2024,45866,,,'')":62753.0,"IBM^FE_ESTIMATE(SALES,MEAN,CAL4,2023,45866,,,'')":61860.0,"IBM^FE_ESTIMATE(SALES,MEAN,NTM4,,45866,,,'')":68122.79,"IBM^FE_ESTIMATE(SALES,MEAN,LTM4,,45866,,,'')":64039.0,"IBM^FG_PRICE(45866)":263.21,"IBM^FF_ENTRPR_VAL_DAILY(45866,,,,,\"DIL\")":301781.05617357,"IBM^FREF_MARKET_VALUE_COMPANY(45866,,,,,0,,\"LEGACY\")":245185.171875,"EQIX^FE_ESTIMATE(SALES,MEAN,CALA_ROLL,2027,45866,,,'')":10778.426,"EQIX^FE_ESTIMATE(SALES,MEAN,CAL4,2026,45866,,,'')":9971.194,"EQIX^FE_ESTIMATE(SALES,MEAN,CAL4,2025,45866,,,'')":9225.388,"EQIX^FE_ESTIMATE(SALES,MEAN,CAL4,2024,45866,,,'')":8748.0,"EQIX^FE_ESTIMATE(SALES,MEAN,CAL4,2023,45866,,,'')":8188.136,"EQIX^FE_ESTIMATE(SALES,MEAN,NTM4,,45866,,,'')":9421.926,"EQIX^FE_ESTIMATE(SALES,MEAN,LTM4,,45866,,,'')":8846.0,"EQIX^FG_PRICE(45866)":793.62,"EQIX^FF_ENTRPR_VAL_DAILY(45866,,,,,\"DIL\")":93674.08094,"EQIX^FREF_MARKET_VALUE_COMPANY(45866,,,,,0,,\"LEGACY\")":77631.109375,"DLR^FE_ESTIMATE(SALES,MEAN,CALA_ROLL,2027,45866,,,'')":7414.7495,"DLR^FE_ESTIMATE(SALES,MEAN,CAL4,2026,45866,,,'')":6547.423,"DLR^FE_ESTIMATE(SALES,MEAN,CAL4,2025,45866,,,'')":5969.978,"DLR^FE_ESTIMATE(SALES,MEAN,CAL4,2024,45866,,,'')":5554.968,"DLR^FE_ESTIMATE(SALES,MEAN,CAL4,2023,45866,,,'')":5477.061,"DLR^FE_ESTIMATE(SALES,MEAN,NTM4,,45866,,,'')":6252.5464,"DLR^FE_ESTIMATE(SALES,MEAN,LTM4,,45866,,,'')":5767.863,"DLR^FG_PRICE(45866)":175.72,"DLR^FF_ENTRPR_VAL_DAILY(45866,,,,,\"DIL\")":79627.49448,"DLR^FREF_MARKET_VALUE_COMPANY(45866,,,,,0,,\"LEGACY\")":59181.00390625,"NVDA^FE_ESTIMATE(SALES,MEAN,CALA_ROLL,2027,45866,,,'')":293302.28,"NVDA^FE_ESTIMATE(SALES,MEAN,CAL4,2026,45866,,,'')":256051.3,"NVDA^FE_ESTIMATE(SALES,MEAN,CAL4,2025,45866,,,'')":200088.86,"NVDA^FE_ESTIMATE(SALES,MEAN,CAL4,2024,45866,,,'')":130497.0,"NVDA^FE_ESTIMATE(SALES,MEAN,CAL4,2023,45866,,,'')":60922.0,"NVDA^FE_ESTIMATE(SALES,MEAN,NTM4,,45866,,,'')":216333.17,"NVDA^FE_ESTIMATE(SALES,MEAN,LTM4,,45866,,,'')":148515.0,"NVDA^FG_PRICE(45866)":176.75,"NVDA^FF_ENTRPR_VAL_DAILY(45866,,,,,\"DIL\")":4306588.25,"NVDA^FREF_MARKET_VALUE_COMPANY(45866,,,,,0,,\"LEGACY\")":4312700.0,"MSFT^FE_ESTIMATE(SALES,MEAN,CALA_ROLL,2027,45866,,,'')":390983.94,"MSFT^FE_ESTIMATE(SALES,MEAN,CAL4,2026,45866,,,'')":336849.3,"MSFT^FE_ESTIMATE(SALES,MEAN,CAL4,2025,45866,,,'')":296743.16,"MSFT^FE_ESTIMATE(SALES,MEAN,CAL4,2024,45866,,,'')":261802.0,"MSFT^FE_ESTIMATE(SALES,MEAN,CAL4,2023,45866,,,'')":227583.0,"MSFT^FE_ESTIMATE(SALES,MEAN,NTM4,,45866,,,'')":306072.6,"MSFT^FE_ESTIMATE(SALES,MEAN,LTM4,,45866,,,'')":270010.0,"MSFT^FG_PRICE(45866)":512.5,"MSFT^FF_ENTRPR_VAL_DAILY(45866,,,,,\"DIL\")":3849163.5,"MSFT^FREF_MARKET_VALUE_COMPANY(45866,,,,,0,,\"LEGACY\")":3809178.75,"CRWV^FG_PRICE(45866)":110.28,"CRWV^FE_ESTIMATE(TOTAL_RPO,MEAN,ANNUAL_ROLL,2029,45881,,,'')":46954.9,"CRWV^FE_ESTIMATE(TOTAL_RPO,MEAN,QUARTERLY_ROLL,2029/4F,45881,,,'')":null,"CRWV^FE_ESTIMATE(TOTAL_RPO,MEAN,QUARTERLY_ROLL,2029/3F,45881,,,'')":null,"CRWV^FE_ESTIMATE(TOTAL_RPO,MEAN,QUARTERLY_ROLL,2029/2F,45881,,,'')":null,"CRWV^FE_ESTIMATE(TOTAL_RPO,MEAN,QUARTERLY_ROLL,2029/1F,45881,,,'')":null,"CRWV^FE_ESTIMATE(TOTAL_RPO,MEAN,ANNUAL_ROLL,2028,45881,,,'')":47970.9,"CRWV^FE_ESTIMATE(TOTAL_RPO,MEAN,QUARTERLY_ROLL,2028/4F,45881,,,'')":null,"CRWV^FE_ESTIMATE(TOTAL_RPO,MEAN,QUARTERLY_ROLL,2028/3F,45881,,,'')":null,"CRWV^FE_ESTIMATE(TOTAL_RPO,MEAN,QUARTERLY_ROLL,2028/2F,45881,,,'')":null,"CRWV^FE_ESTIMATE(TOTAL_RPO,MEAN,QUARTERLY_ROLL,2028/1F,45881,,,'')":null,"CRWV^FE_ESTIMATE(TOTAL_RPO,MEAN,ANNUAL_ROLL,2027,45881,,,'')":46228.1,"CRWV^FE_ESTIMATE(TOTAL_RPO,MEAN,QUARTERLY_ROLL,2027/4F,45881,,,'')":null,"CRWV^FE_ESTIMATE(TOTAL_RPO,MEAN,QUARTERLY_ROLL,2027/3F,45881,,,'')":null,"CRWV^FE_ESTIMATE(TOTAL_RPO,MEAN,QUARTERLY_ROLL,2027/2F,45881,,,'')":null,"CRWV^FE_ESTIMATE(TOTAL_RPO,MEAN,QUARTERLY_ROLL,2027/1F,45881,,,'')":null,"CRWV^FE_ESTIMATE(TOTAL_RPO,MEAN,ANNUAL_ROLL,2026,45881,,,'')":40635.5,"CRWV^FE_ESTIMATE(TOTAL_RPO,MEAN,QUARTERLY_ROLL,2026/4F,45881,,,'')":null,"CRWV^FE_ESTIMATE(TOTAL_RPO,MEAN,QUARTERLY_ROLL,2026/3F,45881,,,'')":null,"CRWV^FE_ESTIMATE(TOTAL_RPO,MEAN,QUARTERLY_ROLL,2026/2F,45881,,,'')":null,"CRWV^FE_ESTIMATE(TOTAL_RPO,MEAN,QUARTERLY_ROLL,2026/1F,45881,,,'')":null,"CRWV^FE_ESTIMATE(TOTAL_RPO,MEAN,ANNUAL_ROLL,2025,45881,,,'')":31824.8,"CRWV^FE_ESTIMATE(TOTAL_RPO,MEAN,QUARTERLY_ROLL,2025/4F,45881,,,'')":31824.8,"CRWV^FE_ESTIMATE(TOTAL_RPO,MEAN,QUARTERLY_ROLL,2025/3F,45881,,,'')":30020.4,"CRWV^FE_ESTIMATE(TOTAL_RPO,MEAN,QUARTERLY_ROLL,2025/2F,45881,,,'')":29341.0,"CRWV^FE_ESTIMATE(TOTAL_RPO,MEAN,QUARTERLY_ROLL,2025/1F,45881,,,'')":null,"CRWV^FE_ESTIMATE(TOTAL_RPO,MEAN,ANNUAL_ROLL,2024,45881,,,'')":15100.0,"CRWV^FE_ESTIMATE(TOTAL_RPO,MEAN,QUARTERLY_ROLL,2024/4F,45881,,,'')":15100.0,"CRWV^FE_ESTIMATE(TOTAL_RPO,MEAN,QUARTERLY_ROLL,2024/3F,45881,,,'')":null,"CRWV^FE_ESTIMATE(TOTAL_RPO,MEAN,QUARTERLY_ROLL,2024/2F,45881,,,'')":null,"CRWV^FE_ESTIMATE(TOTAL_RPO,MEAN,QUARTERLY_ROLL,2024/1F,45881,,,'')":null,"CRWV^FE_ESTIMATE(TOTAL_RPO,MEAN,ANNUAL_ROLL,2023,45881,,,'')":null,"CRWV^FE_ESTIMATE(TOTAL_RPO,MEAN,QUARTERLY_ROLL,2023/4F,45881,,,'')":null,"CRWV^FE_ESTIMATE(TOTAL_RPO,MEAN,QUARTERLY_ROLL,2023/3F,45881,,,'')":null,"CRWV^FE_ESTIMATE(TOTAL_RPO,MEAN,QUARTERLY_ROLL,2023/2F,45881,,,'')":null,"CRWV^FE_ESTIMATE(TOTAL_RPO,MEAN,QUARTERLY_ROLL,2023/1F,45881,,,'')":null,"CRWV^FE_ESTIMATE(TOTAL_RPO,MEAN,ANNUAL_ROLL,2022,45881,,,'')":null,"CRWV^FE_ESTIMATE(TOTAL_RPO,MEAN,QUARTERLY_ROLL,2022/4F,45881,,,'')":null,"CRWV^FE_ESTIMATE(TOTAL_RPO,MEAN,QUARTERLY_ROLL,2022/3F,45881,,,'')":null,"CRWV^FE_ESTIMATE(TOTAL_RPO,MEAN,QUARTERLY_ROLL,2022/2F,45881,,,'')":null,"CRWV^FE_ESTIMATE(TOTAL_RPO,MEAN,QUARTERLY_ROLL,2022/1F,45881,,,'')":null,"CRWV^FE_ESTIMATE(ARR,MEAN,ANNUAL_ROLL,2029,45881,,,'')":null,"CRWV^FE_ESTIMATE(ARR,MEAN,QUARTERLY_ROLL,2029/4F,45881,,,'')":null,"CRWV^FE_ESTIMATE(ARR,MEAN,QUARTERLY_ROLL,2029/3F,45881,,,'')":null,"CRWV^FE_ESTIMATE(ARR,MEAN,QUARTERLY_ROLL,2029/2F,45881,,,'')":null,"CRWV^FE_ESTIMATE(ARR,MEAN,QUARTERLY_ROLL,2029/1F,45881,,,'')":null,"CRWV^FE_ESTIMATE(ARR,MEAN,ANNUAL_ROLL,2028,45881,,,'')":null,"CRWV^FE_ESTIMATE(ARR,MEAN,QUARTERLY_ROLL,2028/4F,45881,,,'')":null,"CRWV^FE_ESTIMATE(ARR,MEAN,QUARTERLY_ROLL,2028/3F,45881,,,'')":null,"CRWV^FE_ESTIMATE(ARR,MEAN,QUARTERLY_ROLL,2028/2F,45881,,,'')":null,"CRWV^FE_ESTIMATE(ARR,MEAN,QUARTERLY_ROLL,2028/1F,45881,,,'')":null,"CRWV^FE_ESTIMATE(ARR,MEAN,ANNUAL_ROLL,2027,45881,,,'')":16800.0,"CRWV^FE_ESTIMATE(ARR,MEAN,QUARTERLY_ROLL,2027/4F,45881,,,'')":null,"CRWV^FE_ESTIMATE(ARR,MEAN,QUARTERLY_ROLL,2027/3F,45881,,,'')":null,"CRWV^FE_ESTIMATE(ARR,MEAN,QUARTERLY_ROLL,2027/2F,45881,,,'')":null,"CRWV^FE_ESTIMATE(ARR,MEAN,QUARTERLY_ROLL,2027/1F,45881,,,'')":null,"CRWV^FE_ESTIMATE(ARR,MEAN,ANNUAL_ROLL,2026,45881,,,'')":12400.0,"CRWV^FE_ESTIMATE(ARR,MEAN,QUARTERLY_ROLL,2026/4F,45881,,,'')":null,"CRWV^FE_ESTIMATE(ARR,MEAN,QUARTERLY_ROLL,2026/3F,45881,,,'')":null,"CRWV^FE_ESTIMATE(ARR,MEAN,QUARTERLY_ROLL,2026/2F,45881,,,'')":null,"CRWV^FE_ESTIMATE(ARR,MEAN,QUARTERLY_ROLL,2026/1F,45881,,,'')":null,"CRWV^FE_ESTIMATE(ARR,MEAN,ANNUAL_ROLL,2025,45881,,,'')":6800.0,"CRWV^FE_ESTIMATE(ARR,MEAN,QUARTERLY_ROLL,2025/4F,45881,,,'')":null,"CRWV^FE_ESTIMATE(ARR,MEAN,QUARTERLY_ROLL,2025/3F,45881,,,'')":null,"CRWV^FE_ESTIMATE(ARR,MEAN,QUARTERLY_ROLL,2025/2F,45881,,,'')":null,"CRWV^FE_ESTIMATE(ARR,MEAN,QUARTERLY_ROLL,2025/1F,45881,,,'')":null,"CRWV^FE_ESTIMATE(ARR,MEAN,ANNUAL_ROLL,2024,45881,,,'')":3000.0,"CRWV^FE_ESTIMATE(ARR,MEAN,QUARTERLY_ROLL,2024/4F,45881,,,'')":null,"CRWV^FE_ESTIMATE(ARR,MEAN,QUARTERLY_ROLL,2024/3F,45881,,,'')":null,"CRWV^FE_ESTIMATE(ARR,MEAN,QUARTERLY_ROLL,2024/2F,45881,,,'')":null,"CRWV^FE_ESTIMATE(ARR,MEAN,QUARTERLY_ROLL,2024/1F,45881,,,'')":null,"CRWV^FE_ESTIMATE(ARR,MEAN,ANNUAL_ROLL,2023,45881,,,'')":null,"CRWV^FE_ESTIMATE(ARR,MEAN,QUARTERLY_ROLL,2023/4F,45881,,,'')":null,"CRWV^FE_ESTIMATE(ARR,MEAN,QUARTERLY_ROLL,2023/3F,45881,,,'')":null,"CRWV^FE_ESTIMATE(ARR,MEAN,QUARTERLY_ROLL,2023/2F,45881,,,'')":null,"CRWV^FE_ESTIMATE(ARR,MEAN,QUARTERLY_ROLL,2023/1F,45881,,,'')":null,"CRWV^FE_ESTIMATE(ARR,MEAN,ANNUAL_ROLL,2022,45881,,,'')":null,"CRWV^FE_ESTIMATE(ARR,MEAN,QUARTERLY_ROLL,2022/4F,45881,,,'')":null,"CRWV^FE_ESTIMATE(ARR,MEAN,QUARTERLY_ROLL,2022/3F,45881,,,'')":null,"CRWV^FE_ESTIMATE(ARR,MEAN,QUARTERLY_ROLL,2022/2F,45881,,,'')":null,"CRWV^FE_ESTIMATE(ARR,MEAN,QUARTERLY_ROLL,2022/1F,45881,,,'')":null,"CRWV^FE_ESTIMATE(NEW_ORDERS_VALUE,MEAN,ANNUAL_ROLL,2029,45881,,,'')":null,"CRWV^FE_ESTIMATE(NEW_ORDERS_VALUE,MEAN,QUARTERLY_ROLL,2029/4F,45881,,,'')":null,"CRWV^FE_ESTIMATE(NEW_ORDERS_VALUE,MEAN,QUARTERLY_ROLL,2029/3F,45881,,,'')":null,"CRWV^FE_ESTIMATE(NEW_ORDERS_VALUE,MEAN,QUARTERLY_ROLL,2029/2F,45881,,,'')":null,"CRWV^FE_ESTIMATE(NEW_ORDERS_VALUE,MEAN,QUARTERLY_ROLL,2029/1F,45881,,,'')":null,"CRWV^FE_ESTIMATE(NEW_ORDERS_VALUE,MEAN,ANNUAL_ROLL,2028,45881,,,'')":null,"CRWV^FE_ESTIMATE(NEW_ORDERS_VALUE,MEAN,QUARTERLY_ROLL,2028/4F,45881,,,'')":null,"CRWV^FE_ESTIMATE(NEW_ORDERS_VALUE,MEAN,QUARTERLY_ROLL,2028/3F,45881,,,'')":null,"CRWV^FE_ESTIMATE(NEW_ORDERS_VALUE,MEAN,QUARTERLY_ROLL,2028/2F,45881,,,'')":null,"CRWV^FE_ESTIMATE(NEW_ORDERS_VALUE,MEAN,QUARTERLY_ROLL,2028/1F,45881,,,'')":null,"CRWV^FE_ESTIMATE(NEW_ORDERS_VALUE,MEAN,ANNUAL_ROLL,2027,45881,,,'')":null,"CRWV^FE_ESTIMATE(NEW_ORDERS_VALUE,MEAN,QUARTERLY_ROLL,2027/4F,45881,,,'')":null,"CRWV^FE_ESTIMATE(NEW_ORDERS_VALUE,MEAN,QUARTERLY_ROLL,2027/3F,45881,,,'')":null,"CRWV^FE_ESTIMATE(NEW_ORDERS_VALUE,MEAN,QUARTERLY_ROLL,2027/2F,45881,,,'')":null,"CRWV^FE_ESTIMATE(NEW_ORDERS_VALUE,MEAN,QUARTERLY_ROLL,2027/1F,45881,,,'')":null,"CRWV^FE_ESTIMATE(NEW_ORDERS_VALUE,MEAN,ANNUAL_ROLL,2026,45881,,,'')":null,"CRWV^FE_ESTIMATE(NEW_ORDERS_VALUE,MEAN,QUARTERLY_ROLL,2026/4F,45881,,,'')":null,"CRWV^FE_ESTIMATE(NEW_ORDERS_VALUE,MEAN,QUARTERLY_ROLL,2026/3F,45881,,,'')":null,"CRWV^FE_ESTIMATE(NEW_ORDERS_VALUE,MEAN,QUARTERLY_ROLL,2026/2F,45881,,,'')":null,"CRWV^FE_ESTIMATE(NEW_ORDERS_VALUE,MEAN,QUARTERLY_ROLL,2026/1F,45881,,,'')":null,"CRWV^FE_ESTIMATE(NEW_ORDERS_VALUE,MEAN,ANNUAL_ROLL,2025,45881,,,'')":null,"CRWV^FE_ESTIMATE(NEW_ORDERS_VALUE,MEAN,QUARTERLY_ROLL,2025/4F,45881,,,'')":null,"CRWV^FE_ESTIMATE(NEW_ORDERS_VALUE,MEAN,QUARTERLY_ROLL,2025/3F,45881,,,'')":null,"CRWV^FE_ESTIMATE(NEW_ORDERS_VALUE,MEAN,QUARTERLY_ROLL,2025/2F,45881,,,'')":null,"CRWV^FE_ESTIMATE(NEW_ORDERS_VALUE,MEAN,QUARTERLY_ROLL,2025/1F,45881,,,'')":null,"CRWV^FE_ESTIMATE(NEW_ORDERS_VALUE,MEAN,ANNUAL_ROLL,2024,45881,,,'')":null,"CRWV^FE_ESTIMATE(NEW_ORDERS_VALUE,MEAN,QUARTERLY_ROLL,2024/4F,45881,,,'')":382.0,"CRWV^FE_ESTIMATE(NEW_ORDERS_VALUE,MEAN,QUARTERLY_ROLL,2024/3F,45881,,,'')":null,"CRWV^FE_ESTIMATE(NEW_ORDERS_VALUE,MEAN,QUARTERLY_ROLL,2024/2F,45881,,,'')":null,"CRWV^FE_ESTIMATE(NEW_ORDERS_VALUE,MEAN,QUARTERLY_ROLL,2024/1F,45881,,,'')":null,"CRWV^FE_ESTIMATE(NEW_ORDERS_VALUE,MEAN,ANNUAL_ROLL,2023,45881,,,'')":null,"CRWV^FE_ESTIMATE(NEW_ORDERS_VALUE,MEAN,QUARTERLY_ROLL,2023/4F,45881,,,'')":null,"CRWV^FE_ESTIMATE(NEW_ORDERS_VALUE,MEAN,QUARTERLY_ROLL,2023/3F,45881,,,'')":null,"CRWV^FE_ESTIMATE(NEW_ORDERS_VALUE,MEAN,QUARTERLY_ROLL,2023/2F,45881,,,'')":null,"CRWV^FE_ESTIMATE(NEW_ORDERS_VALUE,MEAN,QUARTERLY_ROLL,2023/1F,45881,,,'')":null,"CRWV^FE_ESTIMATE(NEW_ORDERS_VALUE,MEAN,ANNUAL_ROLL,2022,45881,,,'')":null,"CRWV^FE_ESTIMATE(NEW_ORDERS_VALUE,MEAN,QUARTERLY_ROLL,2022/4F,45881,,,'')":null,"CRWV^FE_ESTIMATE(NEW_ORDERS_VALUE,MEAN,QUARTERLY_ROLL,2022/3F,45881,,,'')":null,"CRWV^FE_ESTIMATE(NEW_ORDERS_VALUE,MEAN,QUARTERLY_ROLL,2022/2F,45881,,,'')":null,"CRWV^FE_ESTIMATE(NEW_ORDERS_VALUE,MEAN,QUARTERLY_ROLL,2022/1F,45881,,,'')":null,"CRWV^FE_ESTIMATE(TOTALDEBT,MEAN,ANNUAL_ROLL,2029,45881,,,'')":35657.7,"CRWV^FE_ESTIMATE(TOTALDEBT,MEAN,QUARTERLY_ROLL,2029/4F,45881,,,'')":null,"CRWV^FE_ESTIMATE(TOTALDEBT,MEAN,QUARTERLY_ROLL,2029/3F,45881,,,'')":null,"CRWV^FE_ESTIMATE(TOTALDEBT,MEAN,QUARTERLY_ROLL,2029/2F,45881,,,'')":null,"CRWV^FE_ESTIMATE(TOTALDEBT,MEAN,QUARTERLY_ROLL,2029/1F,45881,,,'')":null,"CRWV^FE_ESTIMATE(TOTALDEBT,MEAN,ANNUAL_ROLL,2028,45881,,,'')":35584.7,"CRWV^FE_ESTIMATE(TOTALDEBT,MEAN,QUARTERLY_ROLL,2028/4F,45881,,,'')":null,"CRWV^FE_ESTIMATE(TOTALDEBT,MEAN,QUARTERLY_ROLL,2028/3F,45881,,,'')":null,"CRWV^FE_ESTIMATE(TOTALDEBT,MEAN,QUARTERLY_ROLL,2028/2F,45881,,,'')":null,"CRWV^FE_ESTIMATE(TOTALDEBT,MEAN,QUARTERLY_ROLL,2028/1F,45881,,,'')":null,"CRWV^FE_ESTIMATE(TOTALDEBT,MEAN,ANNUAL_ROLL,2027,45881,,,'')":34721.984,"CRWV^FE_ESTIMATE(TOTALDEBT,MEAN,QUARTERLY_ROLL,2027/4F,45881,,,'')":null,"CRWV^FE_ESTIMATE(TOTALDEBT,MEAN,QUARTERLY_ROLL,2027/3F,45881,,,'')":null,"CRWV^FE_ESTIMATE(TOTALDEBT,MEAN,QUARTERLY_ROLL,2027/2F,45881,,,'')":null,"CRWV^FE_ESTIMATE(TOTALDEBT,MEAN,QUARTERLY_ROLL,2027/1F,45881,,,'')":null,"CRWV^FE_ESTIMATE(TOTALDEBT,MEAN,ANNUAL_ROLL,2026,45881,,,'')":31767.49,"CRWV^FE_ESTIMATE(TOTALDEBT,MEAN,QUARTERLY_ROLL,2026/4F,45881,,,'')":32153.85,"CRWV^FE_ESTIMATE(TOTALDEBT,MEAN,QUARTERLY_ROLL,2026/3F,45881,,,'')":31002.85,"CRWV^FE_ESTIMATE(TOTALDEBT,MEAN,QUARTERLY_ROLL,2026/2F,45881,,,'')":29248.35,"CRWV^FE_ESTIMATE(TOTALDEBT,MEAN,QUARTERLY_ROLL,2026/1F,45881,,,'')":27612.85,"CRWV^FE_ESTIMATE(TOTALDEBT,MEAN,ANNUAL_ROLL,2025,45881,,,'')":23564.967,"CRWV^FE_ESTIMATE(TOTALDEBT,MEAN,QUARTERLY_ROLL,2025/4F,45881,,,'')":23527.3,"CRWV^FE_ESTIMATE(TOTALDEBT,MEAN,QUARTERLY_ROLL,2025/3F,45881,,,'')":17654.0,"CRWV^FE_ESTIMATE(TOTALDEBT,MEAN,QUARTERLY_ROLL,2025/2F,45881,,,'')":11054.533,"CRWV^FE_ESTIMATE(TOTALDEBT,MEAN,QUARTERLY_ROLL,2025/1F,45881,,,'')":8711.85,"CRWV^FE_ESTIMATE(TOTALDEBT,MEAN,ANNUAL_ROLL,2024,45881,,,'')":7944.588,"CRWV^FE_ESTIMATE(TOTALDEBT,MEAN,QUARTERLY_ROLL,2024/4F,45881,,,'')":7949.15,"CRWV^FE_ESTIMATE(TOTALDEBT,MEAN,QUARTERLY_ROLL,2024/3F,45881,,,'')":null,"CRWV^FE_ESTIMATE(TOTALDEBT,MEAN,QUARTERLY_ROLL,2024/2F,45881,,,'')":null,"CRWV^FE_ESTIMATE(TOTALDEBT,MEAN,QUARTERLY_ROLL,2024/1F,45881,,,'')":null,"CRWV^FE_ESTIMATE(TOTALDEBT,MEAN,ANNUAL_ROLL,2023,45881,,,'')":null,"CRWV^FE_ESTIMATE(TOTALDEBT,MEAN,QUARTERLY_ROLL,2023/4F,45881,,,'')":null,"CRWV^FE_ESTIMATE(TOTALDEBT,MEAN,QUARTERLY_ROLL,2023/3F,45881,,,'')":null,"CRWV^FE_ESTIMATE(TOTALDEBT,MEAN,QUARTERLY_ROLL,2023/2F,45881,,,'')":null,"CRWV^FE_ESTIMATE(TOTALDEBT,MEAN,QUARTERLY_ROLL,2023/1F,45881,,,'')":null,"CRWV^FE_ESTIMATE(TOTALDEBT,MEAN,ANNUAL_ROLL,2022,45881,,,'')":null,"CRWV^FE_ESTIMATE(TOTALDEBT,MEAN,QUARTERLY_ROLL,2022/4F,45881,,,'')":null,"CRWV^FE_ESTIMATE(TOTALDEBT,MEAN,QUARTERLY_ROLL,2022/3F,45881,,,'')":null,"CRWV^FE_ESTIMATE(TOTALDEBT,MEAN,QUARTERLY_ROLL,2022/2F,45881,,,'')":null,"CRWV^FE_ESTIMATE(TOTALDEBT,MEAN,QUARTERLY_ROLL,2022/1F,45881,,,'')":null,"CRWV^FE_ESTIMATE(DEFREVENUE,MEAN,ANNUAL_ROLL,2029,45881,,,'')":18857.5,"CRWV^FE_ESTIMATE(DEFREVENUE,MEAN,QUARTERLY_ROLL,2029/4F,45881,,,'')":null,"CRWV^FE_ESTIMATE(DEFREVENUE,MEAN,QUARTERLY_ROLL,2029/3F,45881,,,'')":null,"CRWV^FE_ESTIMATE(DEFREVENUE,MEAN,QUARTERLY_ROLL,2029/2F,45881,,,'')":null,"CRWV^FE_ESTIMATE(DEFREVENUE,MEAN,QUARTERLY_ROLL,2029/1F,45881,,,'')":null,"CRWV^FE_ESTIMATE(DEFREVENUE,MEAN,ANNUAL_ROLL,2028,45881,,,'')":16126.3,"CRWV^FE_ESTIMATE(DEFREVENUE,MEAN,QUARTERLY_ROLL,2028/4F,45881,,,'')":null,"CRWV^FE_ESTIMATE(DEFREVENUE,MEAN,QUARTERLY_ROLL,2028/3F,45881,,,'')":null,"CRWV^FE_ESTIMATE(DEFREVENUE,MEAN,QUARTERLY_ROLL,2028/2F,45881,,,'')":null,"CRWV^FE_ESTIMATE(DEFREVENUE,MEAN,QUARTERLY_ROLL,2028/1F,45881,,,'')":null,"CRWV^FE_ESTIMATE(DEFREVENUE,MEAN,ANNUAL_ROLL,2027,45881,,,'')":12871.033,"CRWV^FE_ESTIMATE(DEFREVENUE,MEAN,QUARTERLY_ROLL,2027/4F,45881,,,'')":null,"CRWV^FE_ESTIMATE(DEFREVENUE,MEAN,QUARTERLY_ROLL,2027/3F,45881,,,'')":null,"CRWV^FE_ESTIMATE(DEFREVENUE,MEAN,QUARTERLY_ROLL,2027/2F,45881,,,'')":null,"CRWV^FE_ESTIMATE(DEFREVENUE,MEAN,QUARTERLY_ROLL,2027/1F,45881,,,'')":null,"CRWV^FE_ESTIMATE(DEFREVENUE,MEAN,ANNUAL_ROLL,2026,45881,,,'')":10412.056,"CRWV^FE_ESTIMATE(DEFREVENUE,MEAN,QUARTERLY_ROLL,2026/4F,45881,,,'')":10266.741,"CRWV^FE_ESTIMATE(DEFREVENUE,MEAN,QUARTERLY_ROLL,2026/3F,45881,,,'')":9451.919,"CRWV^FE_ESTIMATE(DEFREVENUE,MEAN,QUARTERLY_ROLL,2026/2F,45881,,,'')":8620.621,"CRWV^FE_ESTIMATE(DEFREVENUE,MEAN,QUARTERLY_ROLL,2026/1F,45881,,,'')":7112.471,"CRWV^FE_ESTIMATE(DEFREVENUE,MEAN,ANNUAL_ROLL,2025,45881,,,'')":6734.8174,"CRWV^FE_ESTIMATE(DEFREVENUE,MEAN,QUARTERLY_ROLL,2025/4F,45881,,,'')":6734.8174,"CRWV^FE_ESTIMATE(DEFREVENUE,MEAN,QUARTERLY_ROLL,2025/3F,45881,,,'')":5787.299,"CRWV^FE_ESTIMATE(DEFREVENUE,MEAN,QUARTERLY_ROLL,2025/2F,45881,,,'')":5517.349,"CRWV^FE_ESTIMATE(DEFREVENUE,MEAN,QUARTERLY_ROLL,2025/1F,45881,,,'')":4047.9998,"CRWV^FE_ESTIMATE(DEFREVENUE,MEAN,ANNUAL_ROLL,2024,45881,,,'')":4063.9565,"CRWV^FE_ESTIMATE(DEFREVENUE,MEAN,QUARTERLY_ROLL,2024/4F,45881,,,'')":4063.9565,"CRWV^FE_ESTIMATE(DEFREVENUE,MEAN,QUARTERLY_ROLL,2024/3F,45881,,,'')":null,"CRWV^FE_ESTIMATE(DEFREVENUE,MEAN,QUARTERLY_ROLL,2024/2F,45881,,,'')":null,"CRWV^FE_ESTIMATE(DEFREVENUE,MEAN,QUARTERLY_ROLL,2024/1F,45881,,,'')":null,"CRWV^FE_ESTIMATE(DEFREVENUE,MEAN,ANNUAL_ROLL,2023,45881,,,'')":null,"CRWV^FE_ESTIMATE(DEFREVENUE,MEAN,QUARTERLY_ROLL,2023/4F,45881,,,'')":null,"CRWV^FE_ESTIMATE(DEFREVENUE,MEAN,QUARTERLY_ROLL,2023/3F,45881,,,'')":null,"CRWV^FE_ESTIMATE(DEFREVENUE,MEAN,QUARTERLY_ROLL,2023/2F,45881,,,'')":null,"CRWV^FE_ESTIMATE(DEFREVENUE,MEAN,QUARTERLY_ROLL,2023/1F,45881,,,'')":null,"CRWV^FE_ESTIMATE(DEFREVENUE,MEAN,ANNUAL_ROLL,2022,45881,,,'')":null,"CRWV^FE_ESTIMATE(DEFREVENUE,MEAN,QUARTERLY_ROLL,2022/4F,45881,,,'')":null,"CRWV^FE_ESTIMATE(DEFREVENUE,MEAN,QUARTERLY_ROLL,2022/3F,45881,,,'')":null,"CRWV^FE_ESTIMATE(DEFREVENUE,MEAN,QUARTERLY_ROLL,2022/2F,45881,,,'')":null,"CRWV^FE_ESTIMATE(DEFREVENUE,MEAN,QUARTERLY_ROLL,2022/1F,45881,,,'')":null,"CRWV^FE_ESTIMATE(DEFREVENUE_LT,MEAN,ANNUAL_ROLL,2029,45881,,,'')":null,"CRWV^FE_ESTIMATE(DEFREVENUE_LT,MEAN,QUARTERLY_ROLL,2029/4F,45881,,,'')":null,"CRWV^FE_ESTIMATE(DEFREVENUE_LT,MEAN,QUARTERLY_ROLL,2029/3F,45881,,,'')":null,"CRWV^FE_ESTIMATE(DEFREVENUE_LT,MEAN,QUARTERLY_ROLL,2029/2F,45881,,,'')":null,"CRWV^FE_ESTIMATE(DEFREVENUE_LT,MEAN,QUARTERLY_ROLL,2029/1F,45881,,,'')":null,"CRWV^FE_ESTIMATE(DEFREVENUE_LT,MEAN,ANNUAL_ROLL,2028,45881,,,'')":null,"CRWV^FE_ESTIMATE(DEFREVENUE_LT,MEAN,QUARTERLY_ROLL,2028/4F,45881,,,'')":null,"CRWV^FE_ESTIMATE(DEFREVENUE_LT,MEAN,QUARTERLY_ROLL,2028/3F,45881,,,'')":null,"CRWV^FE_ESTIMATE(DEFREVENUE_LT,MEAN,QUARTERLY_ROLL,2028/2F,45881,,,'')":null,"CRWV^FE_ESTIMATE(DEFREVENUE_LT,MEAN,QUARTERLY_ROLL,2028/1F,45881,,,'')":null,"CRWV^FE_ESTIMATE(DEFREVENUE_LT,MEAN,ANNUAL_ROLL,2027,45881,,,'')":9787.1,"CRWV^FE_ESTIMATE(DEFREVENUE_LT,MEAN,QUARTERLY_ROLL,2027/4F,45881,,,'')":null,"CRWV^FE_ESTIMATE(DEFREVENUE_LT,MEAN,QUARTERLY_ROLL,2027/3F,45881,,,'')":null,"CRWV^FE_ESTIMATE(DEFREVENUE_LT,MEAN,QUARTERLY_ROLL,2027/2F,45881,,,'')":null,"CRWV^FE_ESTIMATE(DEFREVENUE_LT,MEAN,QUARTERLY_ROLL,2027/1F,45881,,,'')":null,"CRWV^FE_ESTIMATE(DEFREVENUE_LT,MEAN,ANNUAL_ROLL,2026,45881,,,'')":8295.097,"CRWV^FE_ESTIMATE(DEFREVENUE_LT,MEAN,QUARTERLY_ROLL,2026/4F,45881,,,'')":7892.045,"CRWV^FE_ESTIMATE(DEFREVENUE_LT,MEAN,QUARTERLY_ROLL,2026/3F,45881,,,'')":7244.585,"CRWV^FE_ESTIMATE(DEFREVENUE_LT,MEAN,QUARTERLY_ROLL,2026/2F,45881,,,'')":6648.769,"CRWV^FE_ESTIMATE(DEFREVENUE_LT,MEAN,QUARTERLY_ROLL,2026/1F,45881,,,'')":5054.9023,"CRWV^FE_ESTIMATE(DEFREVENUE_LT,MEAN,ANNUAL_ROLL,2025,45881,,,'')":5526.4805,"CRWV^FE_ESTIMATE(DEFREVENUE_LT,MEAN,QUARTERLY_ROLL,2025/4F,45881,,,'')":5526.4805,"CRWV^FE_ESTIMATE(DEFREVENUE_LT,MEAN,QUARTERLY_ROLL,2025/3F,45881,,,'')":4705.6753,"CRWV^FE_ESTIMATE(DEFREVENUE_LT,MEAN,QUARTERLY_ROLL,2025/2F,45881,,,'')":4506.0957,"CRWV^FE_ESTIMATE(DEFREVENUE_LT,MEAN,QUARTERLY_ROLL,2025/1F,45881,,,'')":3611.2346,"CRWV^FE_ESTIMATE(DEFREVENUE_LT,MEAN,ANNUAL_ROLL,2024,45881,,,'')":3294.9941,"CRWV^FE_ESTIMATE(DEFREVENUE_LT,MEAN,QUARTERLY_ROLL,2024/4F,45881,,,'')":3294.9941,"CRWV^FE_ESTIMATE(DEFREVENUE_LT,MEAN,QUARTERLY_ROLL,2024/3F,45881,,,'')":null,"CRWV^FE_ESTIMATE(DEFREVENUE_LT,MEAN,QUARTERLY_ROLL,2024/2F,45881,,,'')":null,"CRWV^FE_ESTIMATE(DEFREVENUE_LT,MEAN,QUARTERLY_ROLL,2024/1F,45881,,,'')":null,"CRWV^FE_ESTIMATE(DEFREVENUE_LT,MEAN,ANNUAL_ROLL,2023,45881,,,'')":null,"CRWV^FE_ESTIMATE(DEFREVENUE_LT,MEAN,QUARTERLY_ROLL,2023/4F,45881,,,'')":null,"CRWV^FE_ESTIMATE(DEFREVENUE_LT,MEAN,QUARTERLY_ROLL,2023/3F,45881,,,'')":null,"CRWV^FE_ESTIMATE(DEFREVENUE_LT,MEAN,QUARTERLY_ROLL,2023/2F,45881,,,'')":null,"CRWV^FE_ESTIMATE(DEFREVENUE_LT,MEAN,QUARTERLY_ROLL,2023/1F,45881,,,'')":null,"CRWV^FE_ESTIMATE(DEFREVENUE_LT,MEAN,ANNUAL_ROLL,2022,45881,,,'')":null,"CRWV^FE_ESTIMATE(DEFREVENUE_LT,MEAN,QUARTERLY_ROLL,2022/4F,45881,,,'')":null,"CRWV^FE_ESTIMATE(DEFREVENUE_LT,MEAN,QUARTERLY_ROLL,2022/3F,45881,,,'')":null,"CRWV^FE_ESTIMATE(DEFREVENUE_LT,MEAN,QUARTERLY_ROLL,2022/2F,45881,,,'')":null,"CRWV^FE_ESTIMATE(DEFREVENUE_LT,MEAN,QUARTERLY_ROLL,2022/1F,45881,,,'')":null,"CRWV^FE_ESTIMATE(DEFREVENUE_ST,MEAN,ANNUAL_ROLL,2029,45881,,,'')":null,"CRWV^FE_ESTIMATE(DEFREVENUE_ST,MEAN,QUARTERLY_ROLL,2029/4F,45881,,,'')":null,"CRWV^FE_ESTIMATE(DEFREVENUE_ST,MEAN,QUARTERLY_ROLL,2029/3F,45881,,,'')":null,"CRWV^FE_ESTIMATE(DEFREVENUE_ST,MEAN,QUARTERLY_ROLL,2029/2F,45881,,,'')":null,"CRWV^FE_ESTIMATE(DEFREVENUE_ST,MEAN,QUARTERLY_ROLL,2029/1F,45881,,,'')":null,"CRWV^FE_ESTIMATE(DEFREVENUE_ST,MEAN,ANNUAL_ROLL,2028,45881,,,'')":null,"CRWV^FE_ESTIMATE(DEFREVENUE_ST,MEAN,QUARTERLY_ROLL,2028/4F,45881,,,'')":null,"CRWV^FE_ESTIMATE(DEFREVENUE_ST,MEAN,QUARTERLY_ROLL,2028/3F,45881,,,'')":null,"CRWV^FE_ESTIMATE(DEFREVENUE_ST,MEAN,QUARTERLY_ROLL,2028/2F,45881,,,'')":null,"CRWV^FE_ESTIMATE(DEFREVENUE_ST,MEAN,QUARTERLY_ROLL,2028/1F,45881,,,'')":null,"CRWV^FE_ESTIMATE(DEFREVENUE_ST,MEAN,ANNUAL_ROLL,2027,45881,,,'')":2554.7,"CRWV^FE_ESTIMATE(DEFREVENUE_ST,MEAN,QUARTERLY_ROLL,2027/4F,45881,,,'')":null,"CRWV^FE_ESTIMATE(DEFREVENUE_ST,MEAN,QUARTERLY_ROLL,2027/3F,45881,,,'')":null,"CRWV^FE_ESTIMATE(DEFREVENUE_ST,MEAN,QUARTERLY_ROLL,2027/2F,45881,,,'')":null,"CRWV^FE_ESTIMATE(DEFREVENUE_ST,MEAN,QUARTERLY_ROLL,2027/1F,45881,,,'')":null,"CRWV^FE_ESTIMATE(DEFREVENUE_ST,MEAN,ANNUAL_ROLL,2026,45881,,,'')":1839.6113,"CRWV^FE_ESTIMATE(DEFREVENUE_ST,MEAN,QUARTERLY_ROLL,2026/4F,45881,,,'')":1242.567,"CRWV^FE_ESTIMATE(DEFREVENUE_ST,MEAN,QUARTERLY_ROLL,2026/3F,45881,,,'')":1140.2935,"CRWV^FE_ESTIMATE(DEFREVENUE_ST,MEAN,QUARTERLY_ROLL,2026/2F,45881,,,'')":1045.663,"CRWV^FE_ESTIMATE(DEFREVENUE_ST,MEAN,QUARTERLY_ROLL,2026/1F,45881,,,'')":790.8045,"CRWV^FE_ESTIMATE(DEFREVENUE_ST,MEAN,ANNUAL_ROLL,2025,45881,,,'')":1110.676,"CRWV^FE_ESTIMATE(DEFREVENUE_ST,MEAN,QUARTERLY_ROLL,2025/4F,45881,,,'')":1110.676,"CRWV^FE_ESTIMATE(DEFREVENUE_ST,MEAN,QUARTERLY_ROLL,2025/3F,45881,,,'')":895.49,"CRWV^FE_ESTIMATE(DEFREVENUE_ST,MEAN,QUARTERLY_ROLL,2025/2F,45881,,,'')":817.17,"CRWV^FE_ESTIMATE(DEFREVENUE_ST,MEAN,QUARTERLY_ROLL,2025/1F,45881,,,'')":436.765,"CRWV^FE_ESTIMATE(DEFREVENUE_ST,MEAN,ANNUAL_ROLL,2024,45881,,,'')":768.9443,"CRWV^FE_ESTIMATE(DEFREVENUE_ST,MEAN,QUARTERLY_ROLL,2024/4F,45881,,,'')":768.9443,"CRWV^FE_ESTIMATE(DEFREVENUE_ST,MEAN,QUARTERLY_ROLL,2024/3F,45881,,,'')":null,"CRWV^FE_ESTIMATE(DEFREVENUE_ST,MEAN,QUARTERLY_ROLL,2024/2F,45881,,,'')":null,"CRWV^FE_ESTIMATE(DEFREVENUE_ST,MEAN,QUARTERLY_ROLL,2024/1F,45881,,,'')":null,"CRWV^FE_ESTIMATE(DEFREVENUE_ST,MEAN,ANNUAL_ROLL,2023,45881,,,'')":null,"CRWV^FE_ESTIMATE(DEFREVENUE_ST,MEAN,QUARTERLY_ROLL,2023/4F,45881,,,'')":null,"CRWV^FE_ESTIMATE(DEFREVENUE_ST,MEAN,QUARTERLY_ROLL,2023/3F,45881,,,'')":null,"CRWV^FE_ESTIMATE(DEFREVENUE_ST,MEAN,QUARTERLY_ROLL,2023/2F,45881,,,'')":null,"CRWV^FE_ESTIMATE(DEFREVENUE_ST,MEAN,QUARTERLY_ROLL,2023/1F,45881,,,'')":null,"CRWV^FE_ESTIMATE(DEFREVENUE_ST,MEAN,ANNUAL_ROLL,2022,45881,,,'')":null,"CRWV^FE_ESTIMATE(DEFREVENUE_ST,MEAN,QUARTERLY_ROLL,2022/4F,45881,,,'')":null,"CRWV^FE_ESTIMATE(DEFREVENUE_ST,MEAN,QUARTERLY_ROLL,2022/3F,45881,,,'')":null,"CRWV^FE_ESTIMATE(DEFREVENUE_ST,MEAN,QUARTERLY_ROLL,2022/2F,45881,,,'')":null,"CRWV^FE_ESTIMATE(DEFREVENUE_ST,MEAN,QUARTERLY_ROLL,2022/1F,45881,,,'')":null,"CRWV^FE_ESTIMATE(FCF,MEAN,ANNUAL_ROLL,2029,45881,,,'')":3622.35,"CRWV^FE_ESTIMATE(FCF,MEAN,QUARTERLY_ROLL,2029/4F,45881,,,'')":null,"CRWV^FE_ESTIMATE(FCF,MEAN,QUARTERLY_ROLL,2029/3F,45881,,,'')":null,"CRWV^FE_ESTIMATE(FCF,MEAN,QUARTERLY_ROLL,2029/2F,45881,,,'')":null,"CRWV^FE_ESTIMATE(FCF,MEAN,QUARTERLY_ROLL,2029/1F,45881,,,'')":null,"CRWV^FE_ESTIMATE(FCF,MEAN,ANNUAL_ROLL,2028,45881,,,'')":-775.75,"CRWV^FE_ESTIMATE(FCF,MEAN,QUARTERLY_ROLL,2028/4F,45881,,,'')":null,"CRWV^FE_ESTIMATE(FCF,MEAN,QUARTERLY_ROLL,2028/3F,45881,,,'')":null,"CRWV^FE_ESTIMATE(FCF,MEAN,QUARTERLY_ROLL,2028/2F,45881,,,'')":null,"CRWV^FE_ESTIMATE(FCF,MEAN,QUARTERLY_ROLL,2028/1F,45881,,,'')":null,"CRWV^FE_ESTIMATE(FCF,MEAN,ANNUAL_ROLL,2027,45881,,,'')":-3212.8774,"CRWV^FE_ESTIMATE(FCF,MEAN,QUARTERLY_ROLL,2027/4F,45881,,,'')":null,"CRWV^FE_ESTIMATE(FCF,MEAN,QUARTERLY_ROLL,2027/3F,45881,,,'')":null,"CRWV^FE_ESTIMATE(FCF,MEAN,QUARTERLY_ROLL,2027/2F,45881,,,'')":null,"CRWV^FE_ESTIMATE(FCF,MEAN,QUARTERLY_ROLL,2027/1F,45881,,,'')":null,"CRWV^FE_ESTIMATE(FCF,MEAN,ANNUAL_ROLL,2026,45881,,,'')":-7948.3145,"CRWV^FE_ESTIMATE(FCF,MEAN,QUARTERLY_ROLL,2026/4F,45881,,,'')":-1019.6667,"CRWV^FE_ESTIMATE(FCF,MEAN,QUARTERLY_ROLL,2026/3F,45881,,,'')":-1797.6666,"CRWV^FE_ESTIMATE(FCF,MEAN,QUARTERLY_ROLL,2026/2F,45881,,,'')":-1771.3334,"CRWV^FE_ESTIMATE(FCF,MEAN,QUARTERLY_ROLL,2026/1F,45881,,,'')":-1908.6666,"CRWV^FE_ESTIMATE(FCF,MEAN,ANNUAL_ROLL,2025,45881,,,'')":-17045.752,"CRWV^FE_ESTIMATE(FCF,MEAN,QUARTERLY_ROLL,2025/4F,45881,,,'')":-6562.94,"CRWV^FE_ESTIMATE(FCF,MEAN,QUARTERLY_ROLL,2025/3F,45881,,,'')":-6484.45,"CRWV^FE_ESTIMATE(FCF,MEAN,QUARTERLY_ROLL,2025/2F,45881,,,'')":-3091.3333,"CRWV^FE_ESTIMATE(FCF,MEAN,QUARTERLY_ROLL,2025/1F,45881,,,'')":-1346.0,"CRWV^FE_ESTIMATE(FCF,MEAN,ANNUAL_ROLL,2024,45881,,,'')":-5952.9443,"CRWV^FE_ESTIMATE(FCF,MEAN,QUARTERLY_ROLL,2024/4F,45881,,,'')":-3476.0,"CRWV^FE_ESTIMATE(FCF,MEAN,QUARTERLY_ROLL,2024/3F,45881,,,'')":null,"CRWV^FE_ESTIMATE(FCF,MEAN,QUARTERLY_ROLL,2024/2F,45881,,,'')":null,"CRWV^FE_ESTIMATE(FCF,MEAN,QUARTERLY_ROLL,2024/1F,45881,,,'')":null,"CRWV^FE_ESTIMATE(FCF,MEAN,ANNUAL_ROLL,2023,45881,,,'')":null,"CRWV^FE_ESTIMATE(FCF,MEAN,QUARTERLY_ROLL,2023/4F,45881,,,'')":null,"CRWV^FE_ESTIMATE(FCF,MEAN,QUARTERLY_ROLL,2023/3F,45881,,,'')":null,"CRWV^FE_ESTIMATE(FCF,MEAN,QUARTERLY_ROLL,2023/2F,45881,,,'')":null,"CRWV^FE_ESTIMATE(FCF,MEAN,QUARTERLY_ROLL,2023/1F,45881,,,'')":null,"CRWV^FE_ESTIMATE(FCF,MEAN,ANNUAL_ROLL,2022,45881,,,'')":null,"CRWV^FE_ESTIMATE(FCF,MEAN,QUARTERLY_ROLL,2022/4F,45881,,,'')":null,"CRWV^FE_ESTIMATE(FCF,MEAN,QUARTERLY_ROLL,2022/3F,45881,,,'')":null,"CRWV^FE_ESTIMATE(FCF,MEAN,QUARTERLY_ROLL,2022/2F,45881,,,'')":null,"CRWV^FE_ESTIMATE(FCF,MEAN,QUARTERLY_ROLL,2022/1F,45881,,,'')":null,"CRWV^FE_ESTIMATE(CAPEX,MEAN,ANNUAL_ROLL,2029,45881,,,'')":13776.65,"CRWV^FE_ESTIMATE(CAPEX,MEAN,QUARTERLY_ROLL,2029/4F,45881,,,'')":null,"CRWV^FE_ESTIMATE(CAPEX,MEAN,QUARTERLY_ROLL,2029/3F,45881,,,'')":null,"CRWV^FE_ESTIMATE(CAPEX,MEAN,QUARTERLY_ROLL,2029/2F,45881,,,'')":null,"CRWV^FE_ESTIMATE(CAPEX,MEAN,QUARTERLY_ROLL,2029/1F,45881,,,'')":null,"CRWV^FE_ESTIMATE(CAPEX,MEAN,ANNUAL_ROLL,2028,45881,,,'')":15142.0,"CRWV^FE_ESTIMATE(CAPEX,MEAN,QUARTERLY_ROLL,2028/4F,45881,,,'')":null,"CRWV^FE_ESTIMATE(CAPEX,MEAN,QUARTERLY_ROLL,2028/3F,45881,,,'')":null,"CRWV^FE_ESTIMATE(CAPEX,MEAN,QUARTERLY_ROLL,2028/2F,45881,,,'')":null,"CRWV^FE_ESTIMATE(CAPEX,MEAN,QUARTERLY_ROLL,2028/1F,45881,,,'')":null,"CRWV^FE_ESTIMATE(CAPEX,MEAN,ANNUAL_ROLL,2027,45881,,,'')":13688.744,"CRWV^FE_ESTIMATE(CAPEX,MEAN,QUARTERLY_ROLL,2027/4F,45881,,,'')":null,"CRWV^FE_ESTIMATE(CAPEX,MEAN,QUARTERLY_ROLL,2027/3F,45881,,,'')":null,"CRWV^FE_ESTIMATE(CAPEX,MEAN,QUARTERLY_ROLL,2027/2F,45881,,,'')":null,"CRWV^FE_ESTIMATE(CAPEX,MEAN,QUARTERLY_ROLL,2027/1F,45881,,,'')":null,"CRWV^FE_ESTIMATE(CAPEX,MEAN,ANNUAL_ROLL,2026,45881,,,'')":15563.123,"CRWV^FE_ESTIMATE(CAPEX,MEAN,QUARTERLY_ROLL,2026/4F,45881,,,'')":3142.3333,"CRWV^FE_ESTIMATE(CAPEX,MEAN,QUARTERLY_ROLL,2026/3F,45881,,,'')":3574.3333,"CRWV^FE_ESTIMATE(CAPEX,MEAN,QUARTERLY_ROLL,2026/2F,45881,,,'')":3488.0,"CRWV^FE_ESTIMATE(CAPEX,MEAN,QUARTERLY_ROLL,2026/1F,45881,,,'')":3291.6667,"CRWV^FE_ESTIMATE(CAPEX,MEAN,ANNUAL_ROLL,2025,45881,,,'')":21018.68,"CRWV^FE_ESTIMATE(CAPEX,MEAN,QUARTERLY_ROLL,2025/4F,45881,,,'')":8555.2,"CRWV^FE_ESTIMATE(CAPEX,MEAN,QUARTERLY_ROLL,2025/3F,45881,,,'')":7041.3335,"CRWV^FE_ESTIMATE(CAPEX,MEAN,QUARTERLY_ROLL,2025/2F,45881,,,'')":3363.4333,"CRWV^FE_ESTIMATE(CAPEX,MEAN,QUARTERLY_ROLL,2025/1F,45881,,,'')":1407.359,"CRWV^FE_ESTIMATE(CAPEX,MEAN,ANNUAL_ROLL,2024,45881,,,'')":8770.176,"CRWV^FE_ESTIMATE(CAPEX,MEAN,QUARTERLY_ROLL,2024/4F,45881,,,'')":3151.0667,"CRWV^FE_ESTIMATE(CAPEX,MEAN,QUARTERLY_ROLL,2024/3F,45881,,,'')":null,"CRWV^FE_ESTIMATE(CAPEX,MEAN,QUARTERLY_ROLL,2024/2F,45881,,,'')":null,"CRWV^FE_ESTIMATE(CAPEX,MEAN,QUARTERLY_ROLL,2024/1F,45881,,,'')":null,"CRWV^FE_ESTIMATE(CAPEX,MEAN,ANNUAL_ROLL,2023,45881,,,'')":null,"CRWV^FE_ESTIMATE(CAPEX,MEAN,QUARTERLY_ROLL,2023/4F,45881,,,'')":null,"CRWV^FE_ESTIMATE(CAPEX,MEAN,QUARTERLY_ROLL,2023/3F,45881,,,'')":null,"CRWV^FE_ESTIMATE(CAPEX,MEAN,QUARTERLY_ROLL,2023/2F,45881,,,'')":null,"CRWV^FE_ESTIMATE(CAPEX,MEAN,QUARTERLY_ROLL,2023/1F,45881,,,'')":null,"CRWV^FE_ESTIMATE(CAPEX,MEAN,ANNUAL_ROLL,2022,45881,,,'')":null,"CRWV^FE_ESTIMATE(CAPEX,MEAN,QUARTERLY_ROLL,2022/4F,45881,,,'')":null,"CRWV^FE_ESTIMATE(CAPEX,MEAN,QUARTERLY_ROLL,2022/3F,45881,,,'')":null,"CRWV^FE_ESTIMATE(CAPEX,MEAN,QUARTERLY_ROLL,2022/2F,45881,,,'')":null,"CRWV^FE_ESTIMATE(CAPEX,MEAN,QUARTERLY_ROLL,2022/1F,45881,,,'')":null,"CRWV^FE_ESTIMATE(CFO,MEAN,ANNUAL_ROLL,2029,45881,,,'')":null,"CRWV^FE_ESTIMATE(CFO,MEAN,QUARTERLY_ROLL,2029/4F,45881,,,'')":null,"CRWV^FE_ESTIMATE(CFO,MEAN,QUARTERLY_ROLL,2029/3F,45881,,,'')":null,"CRWV^FE_ESTIMATE(CFO,MEAN,QUARTERLY_ROLL,2029/2F,45881,,,'')":null,"CRWV^FE_ESTIMATE(CFO,MEAN,QUARTERLY_ROLL,2029/1F,45881,,,'')":null,"CRWV^FE_ESTIMATE(CFO,MEAN,ANNUAL_ROLL,2028,45881,,,'')":null,"CRWV^FE_ESTIMATE(CFO,MEAN,QUARTERLY_ROLL,2028/4F,45881,,,'')":null,"CRWV^FE_ESTIMATE(CFO,MEAN,QUARTERLY_ROLL,2028/3F,45881,,,'')":null,"CRWV^FE_ESTIMATE(CFO,MEAN,QUARTERLY_ROLL,2028/2F,45881,,,'')":null,"CRWV^FE_ESTIMATE(CFO,MEAN,QUARTERLY_ROLL,2028/1F,45881,,,'')":null,"CRWV^FE_ESTIMATE(CFO,MEAN,ANNUAL_ROLL,2027,45881,,,'')":10855.04,"CRWV^FE_ESTIMATE(CFO,MEAN,QUARTERLY_ROLL,2027/4F,45881,,,'')":null,"CRWV^FE_ESTIMATE(CFO,MEAN,QUARTERLY_ROLL,2027/3F,45881,,,'')":null,"CRWV^FE_ESTIMATE(CFO,MEAN,QUARTERLY_ROLL,2027/2F,45881,,,'')":null,"CRWV^FE_ESTIMATE(CFO,MEAN,QUARTERLY_ROLL,2027/1F,45881,,,'')":null,"CRWV^FE_ESTIMATE(CFO,MEAN,ANNUAL_ROLL,2026,45881,,,'')":8549.251,"CRWV^FE_ESTIMATE(CFO,MEAN,QUARTERLY_ROLL,2026/4F,45881,,,'')":2122.3333,"CRWV^FE_ESTIMATE(CFO,MEAN,QUARTERLY_ROLL,2026/3F,45881,,,'')":1776.2333,"CRWV^FE_ESTIMATE(CFO,MEAN,QUARTERLY_ROLL,2026/2F,45881,,,'')":1716.8,"CRWV^FE_ESTIMATE(CFO,MEAN,QUARTERLY_ROLL,2026/1F,45881,,,'')":1382.6666,"CRWV^FE_ESTIMATE(CFO,MEAN,ANNUAL_ROLL,2025,45881,,,'')":3361.0508,"CRWV^FE_ESTIMATE(CFO,MEAN,QUARTERLY_ROLL,2025/4F,45881,,,'')":2117.95,"CRWV^FE_ESTIMATE(CFO,MEAN,QUARTERLY_ROLL,2025/3F,45881,,,'')":1004.18,"CRWV^FE_ESTIMATE(CFO,MEAN,QUARTERLY_ROLL,2025/2F,45881,,,'')":399.3,"CRWV^FE_ESTIMATE(CFO,MEAN,QUARTERLY_ROLL,2025/1F,45881,,,'')":61.04,"CRWV^FE_ESTIMATE(CFO,MEAN,ANNUAL_ROLL,2024,45881,,,'')":2749.104,"CRWV^FE_ESTIMATE(CFO,MEAN,QUARTERLY_ROLL,2024/4F,45881,,,'')":-323.43332,"CRWV^FE_ESTIMATE(CFO,MEAN,QUARTERLY_ROLL,2024/3F,45881,,,'')":null,"CRWV^FE_ESTIMATE(CFO,MEAN,QUARTERLY_ROLL,2024/2F,45881,,,'')":null,"CRWV^FE_ESTIMATE(CFO,MEAN,QUARTERLY_ROLL,2024/1F,45881,,,'')":null,"CRWV^FE_ESTIMATE(CFO,MEAN,ANNUAL_ROLL,2023,45881,,,'')":null,"CRWV^FE_ESTIMATE(CFO,MEAN,QUARTERLY_ROLL,2023/4F,45881,,,'')":null,"CRWV^FE_ESTIMATE(CFO,MEAN,QUARTERLY_ROLL,2023/3F,45881,,,'')":null,"CRWV^FE_ESTIMATE(CFO,MEAN,QUARTERLY_ROLL,2023/2F,45881,,,'')":null,"CRWV^FE_ESTIMATE(CFO,MEAN,QUARTERLY_ROLL,2023/1F,45881,,,'')":null,"CRWV^FE_ESTIMATE(CFO,MEAN,ANNUAL_ROLL,2022,45881,,,'')":null,"CRWV^FE_ESTIMATE(CFO,MEAN,QUARTERLY_ROLL,2022/4F,45881,,,'')":null,"CRWV^FE_ESTIMATE(CFO,MEAN,QUARTERLY_ROLL,2022/3F,45881,,,'')":null,"CRWV^FE_ESTIMATE(CFO,MEAN,QUARTERLY_ROLL,2022/2F,45881,,,'')":null,"CRWV^FE_ESTIMATE(CFO,MEAN,QUARTERLY_ROLL,2022/1F,45881,,,'')":null,"CRWV^FE_ESTIMATE(EPS,MEAN,ANNUAL_ROLL,2029,45881,,,'')":5.965,"CRWV^FE_ESTIMATE(EPS,MEAN,QUARTERLY_ROLL,2029/4F,45881,,,'')":null,"CRWV^FE_ESTIMATE(EPS,MEAN,QUARTERLY_ROLL,2029/3F,45881,,,'')":null,"CRWV^FE_ESTIMATE(EPS,MEAN,QUARTERLY_ROLL,2029/2F,45881,,,'')":null,"CRWV^FE_ESTIMATE(EPS,MEAN,QUARTERLY_ROLL,2029/1F,45881,,,'')":null,"CRWV^FE_ESTIMATE(EPS,MEAN,ANNUAL_ROLL,2028,45881,,,'')":3.44,"CRWV^FE_ESTIMATE(EPS,MEAN,QUARTERLY_ROLL,2028/4F,45881,,,'')":null,"CRWV^FE_ESTIMATE(EPS,MEAN,QUARTERLY_ROLL,2028/3F,45881,,,'')":null,"CRWV^FE_ESTIMATE(EPS,MEAN,QUARTERLY_ROLL,2028/2F,45881,,,'')":null,"CRWV^FE_ESTIMATE(EPS,MEAN,QUARTERLY_ROLL,2028/1F,45881,,,'')":null,"CRWV^FE_ESTIMATE(EPS,MEAN,ANNUAL_ROLL,2027,45881,,,'')":2.299851,"CRWV^FE_ESTIMATE(EPS,MEAN,QUARTERLY_ROLL,2027/4F,45881,,,'')":0.68088454,"CRWV^FE_ESTIMATE(EPS,MEAN,QUARTERLY_ROLL,2027/3F,45881,,,'')":0.5177665,"CRWV^FE_ESTIMATE(EPS,MEAN,QUARTERLY_ROLL,2027/2F,45881,,,'')":0.36866057,"CRWV^FE_ESTIMATE(EPS,MEAN,QUARTERLY_ROLL,2027/1F,45881,,,'')":0.3104559,"CRWV^FE_ESTIMATE(EPS,MEAN,ANNUAL_ROLL,2026,45881,,,'')":-0.18636598,"CRWV^FE_ESTIMATE(EPS,MEAN,QUARTERLY_ROLL,2026/4F,45881,,,'')":0.07086163,"CRWV^FE_ESTIMATE(EPS,MEAN,QUARTERLY_ROLL,2026/3F,45881,,,'')":-0.042986594,"CRWV^FE_ESTIMATE(EPS,MEAN,QUARTERLY_ROLL,2026/2F,45881,,,'')":-0.032300353,"CRWV^FE_ESTIMATE(EPS,MEAN,QUARTERLY_ROLL,2026/1F,45881,,,'')":-0.27929422,"CRWV^FE_ESTIMATE(EPS,MEAN,ANNUAL_ROLL,2025,45881,,,'')":-1.349696,"CRWV^FE_ESTIMATE(EPS,MEAN,QUARTERLY_ROLL,2025/4F,45881,,,'')":-0.3424076,"CRWV^FE_ESTIMATE(EPS,MEAN,QUARTERLY_ROLL,2025/3F,45881,,,'')":-0.2382608,"CRWV^FE_ESTIMATE(EPS,MEAN,QUARTERLY_ROLL,2025/2F,45881,,,'')":-0.23196198,"CRWV^FE_ESTIMATE(EPS,MEAN,QUARTERLY_ROLL,2025/1F,45881,,,'')":-0.827782,"CRWV^FE_ESTIMATE(EPS,MEAN,ANNUAL_ROLL,2024,45881,,,'')":-0.281601,"CRWV^FE_ESTIMATE(EPS,MEAN,QUARTERLY_ROLL,2024/4F,45881,,,'')":-0.101733334,"CRWV^FE_ESTIMATE(EPS,MEAN,QUARTERLY_ROLL,2024/3F,45881,,,'')":null,"CRWV^FE_ESTIMATE(EPS,MEAN,QUARTERLY_ROLL,2024/2F,45881,,,'')":null,"CRWV^FE_ESTIMATE(EPS,MEAN,QUARTERLY_ROLL,2024/1F,45881,,,'')":null,"CRWV^FE_ESTIMATE(EPS,MEAN,ANNUAL_ROLL,2023,45881,,,'')":null,"CRWV^FE_ESTIMATE(EPS,MEAN,QUARTERLY_ROLL,2023/4F,45881,,,'')":null,"CRWV^FE_ESTIMATE(EPS,MEAN,QUARTERLY_ROLL,2023/3F,45881,,,'')":null,"CRWV^FE_ESTIMATE(EPS,MEAN,QUARTERLY_ROLL,2023/2F,45881,,,'')":null,"CRWV^FE_ESTIMATE(EPS,MEAN,QUARTERLY_ROLL,2023/1F,45881,,,'')":null,"CRWV^FE_ESTIMATE(EPS,MEAN,ANNUAL_ROLL,2022,45881,,,'')":null,"CRWV^FE_ESTIMATE(EPS,MEAN,QUARTERLY_ROLL,2022/4F,45881,,,'')":null,"CRWV^FE_ESTIMATE(EPS,MEAN,QUARTERLY_ROLL,2022/3F,45881,,,'')":null,"CRWV^FE_ESTIMATE(EPS,MEAN,QUARTERLY_ROLL,2022/2F,45881,,,'')":null,"CRWV^FE_ESTIMATE(EPS,MEAN,QUARTERLY_ROLL,2022/1F,45881,,,'')":null,"CRWV^FE_ESTIMATE(EAG,MEAN,ANNUAL_ROLL,2029,45881,,,'')":null,"CRWV^FE_ESTIMATE(EAG,MEAN,QUARTERLY_ROLL,2029/4F,45881,,,'')":null,"CRWV^FE_ESTIMATE(EAG,MEAN,QUARTERLY_ROLL,2029/3F,45881,,,'')":null,"CRWV^FE_ESTIMATE(EAG,MEAN,QUARTERLY_ROLL,2029/2F,45881,,,'')":null,"CRWV^FE_ESTIMATE(EAG,MEAN,QUARTERLY_ROLL,2029/1F,45881,,,'')":null,"CRWV^FE_ESTIMATE(EAG,MEAN,ANNUAL_ROLL,2028,45881,,,'')":null,"CRWV^FE_ESTIMATE(EAG,MEAN,QUARTERLY_ROLL,2028/4F,45881,,,'')":null,"CRWV^FE_ESTIMATE(EAG,MEAN,QUARTERLY_ROLL,2028/3F,45881,,,'')":null,"CRWV^FE_ESTIMATE(EAG,MEAN,QUARTERLY_ROLL,2028/2F,45881,,,'')":null,"CRWV^FE_ESTIMATE(EAG,MEAN,QUARTERLY_ROLL,2028/1F,45881,,,'')":null,"CRWV^FE_ESTIMATE(EAG,MEAN,ANNUAL_ROLL,2027,45881,,,'')":1.2123566,"CRWV^FE_ESTIMATE(EAG,MEAN,QUARTERLY_ROLL,2027/4F,45881,,,'')":0.4898415,"CRWV^FE_ESTIMATE(EAG,MEAN,QUARTERLY_ROLL,2027/3F,45881,,,'')":0.374016,"CRWV^FE_ESTIMATE(EAG,MEAN,QUARTERLY_ROLL,2027/2F,45881,,,'')":0.238371,"CRWV^FE_ESTIMATE(EAG,MEAN,QUARTERLY_ROLL,2027/1F,45881,,,'')":0.104724,"CRWV^FE_ESTIMATE(EAG,MEAN,ANNUAL_ROLL,2026,45881,,,'')":-0.7352101,"CRWV^FE_ESTIMATE(EAG,MEAN,QUARTERLY_ROLL,2026/4F,45881,,,'')":-0.079931,"CRWV^FE_ESTIMATE(EAG,MEAN,QUARTERLY_ROLL,2026/3F,45881,,,'')":-0.1872016,"CRWV^FE_ESTIMATE(EAG,MEAN,QUARTERLY_ROLL,2026/2F,45881,,,'')":-0.2760792,"CRWV^FE_ESTIMATE(EAG,MEAN,QUARTERLY_ROLL,2026/1F,45881,,,'')":-0.534253,"CRWV^FE_ESTIMATE(EAG,MEAN,ANNUAL_ROLL,2025,45881,,,'')":-2.0898669,"CRWV^FE_ESTIMATE(EAG,MEAN,QUARTERLY_ROLL,2025/4F,45881,,,'')":-0.42490974,"CRWV^FE_ESTIMATE(EAG,MEAN,QUARTERLY_ROLL,2025/3F,45881,,,'')":-0.30441776,"CRWV^FE_ESTIMATE(EAG,MEAN,QUARTERLY_ROLL,2025/2F,45881,,,'')":-0.5204951,"CRWV^FE_ESTIMATE(EAG,MEAN,QUARTERLY_ROLL,2025/1F,45881,,,'')":-1.49,"CRWV^FE_ESTIMATE(EAG,MEAN,ANNUAL_ROLL,2024,45881,,,'')":-2.8925,"CRWV^FE_ESTIMATE(EAG,MEAN,QUARTERLY_ROLL,2024/4F,45881,,,'')":-0.21,"CRWV^FE_ESTIMATE(EAG,MEAN,QUARTERLY_ROLL,2024/3F,45881,,,'')":null,"CRWV^FE_ESTIMATE(EAG,MEAN,QUARTERLY_ROLL,2024/2F,45881,,,'')":null,"CRWV^FE_ESTIMATE(EAG,MEAN,QUARTERLY_ROLL,2024/1F,45881,,,'')":null,"CRWV^FE_ESTIMATE(EAG,MEAN,ANNUAL_ROLL,2023,45881,,,'')":null,"CRWV^FE_ESTIMATE(EAG,MEAN,QUARTERLY_ROLL,2023/4F,45881,,,'')":null,"CRWV^FE_ESTIMATE(EAG,MEAN,QUARTERLY_ROLL,2023/3F,45881,,,'')":null,"CRWV^FE_ESTIMATE(EAG,MEAN,QUARTERLY_ROLL,2023/2F,45881,,,'')":null,"CRWV^FE_ESTIMATE(EAG,MEAN,QUARTERLY_ROLL,2023/1F,45881,,,'')":null,"CRWV^FE_ESTIMATE(EAG,MEAN,ANNUAL_ROLL,2022,45881,,,'')":null,"CRWV^FE_ESTIMATE(EAG,MEAN,QUARTERLY_ROLL,2022/4F,45881,,,'')":null,"CRWV^FE_ESTIMATE(EAG,MEAN,QUARTERLY_ROLL,2022/3F,45881,,,'')":null,"CRWV^FE_ESTIMATE(EAG,MEAN,QUARTERLY_ROLL,2022/2F,45881,,,'')":null,"CRWV^FE_ESTIMATE(EAG,MEAN,QUARTERLY_ROLL,2022/1F,45881,,,'')":null,"CRWV^FE_ESTIMATE(EBIT,MEAN,ANNUAL_ROLL,2029,45881,,,'')":7322.05,"CRWV^FE_ESTIMATE(EBIT,MEAN,QUARTERLY_ROLL,2029/4F,45881,,,'')":null,"CRWV^FE_ESTIMATE(EBIT,MEAN,QUARTERLY_ROLL,2029/3F,45881,,,'')":null,"CRWV^FE_ESTIMATE(EBIT,MEAN,QUARTERLY_ROLL,2029/2F,45881,,,'')":null,"CRWV^FE_ESTIMATE(EBIT,MEAN,QUARTERLY_ROLL,2029/1F,45881,,,'')":null,"CRWV^FE_ESTIMATE(EBIT,MEAN,ANNUAL_ROLL,2028,45881,,,'')":5723.3,"CRWV^FE_ESTIMATE(EBIT,MEAN,QUARTERLY_ROLL,2028/4F,45881,,,'')":null,"CRWV^FE_ESTIMATE(EBIT,MEAN,QUARTERLY_ROLL,2028/3F,45881,,,'')":null,"CRWV^FE_ESTIMATE(EBIT,MEAN,QUARTERLY_ROLL,2028/2F,45881,,,'')":null,"CRWV^FE_ESTIMATE(EBIT,MEAN,QUARTERLY_ROLL,2028/1F,45881,,,'')":null,"CRWV^FE_ESTIMATE(EBIT,MEAN,ANNUAL_ROLL,2027,45881,,,'')":4355.979,"CRWV^FE_ESTIMATE(EBIT,MEAN,QUARTERLY_ROLL,2027/4F,45881,,,'')":1246.9547,"CRWV^FE_ESTIMATE(EBIT,MEAN,QUARTERLY_ROLL,2027/3F,45881,,,'')":1159.2375,"CRWV^FE_ESTIMATE(EBIT,MEAN,QUARTERLY_ROLL,2027/2F,45881,,,'')":1041.3024,"CRWV^FE_ESTIMATE(EBIT,MEAN,QUARTERLY_ROLL,2027/1F,45881,,,'')":988.7472,"CRWV^FE_ESTIMATE(EBIT,MEAN,ANNUAL_ROLL,2026,45881,,,'')":2642.8591,"CRWV^FE_ESTIMATE(EBIT,MEAN,QUARTERLY_ROLL,2026/4F,45881,,,'')":817.40137,"CRWV^FE_ESTIMATE(EBIT,MEAN,QUARTERLY_ROLL,2026/3F,45881,,,'')":717.45807,"CRWV^FE_ESTIMATE(EBIT,MEAN,QUARTERLY_ROLL,2026/2F,45881,,,'')":622.9186,"CRWV^FE_ESTIMATE(EBIT,MEAN,QUARTERLY_ROLL,2026/1F,45881,,,'')":494.74268,"CRWV^FE_ESTIMATE(EBIT,MEAN,ANNUAL_ROLL,2025,45881,,,'')":818.989,"CRWV^FE_ESTIMATE(EBIT,MEAN,QUARTERLY_ROLL,2025/4F,45881,,,'')":297.199,"CRWV^FE_ESTIMATE(EBIT,MEAN,QUARTERLY_ROLL,2025/3F,45881,,,'')":199.38242,"CRWV^FE_ESTIMATE(EBIT,MEAN,QUARTERLY_ROLL,2025/2F,45881,,,'')":159.43073,"CRWV^FE_ESTIMATE(EBIT,MEAN,QUARTERLY_ROLL,2025/1F,45881,,,'')":163.0,"CRWV^FE_ESTIMATE(EBIT,MEAN,ANNUAL_ROLL,2024,45881,,,'')":355.90543,"CRWV^FE_ESTIMATE(EBIT,MEAN,QUARTERLY_ROLL,2024/4F,45881,,,'')":119.87622,"CRWV^FE_ESTIMATE(EBIT,MEAN,QUARTERLY_ROLL,2024/3F,45881,,,'')":null,"CRWV^FE_ESTIMATE(EBIT,MEAN,QUARTERLY_ROLL,2024/2F,45881,,,'')":null,"CRWV^FE_ESTIMATE(EBIT,MEAN,QUARTERLY_ROLL,2024/1F,45881,,,'')":null,"CRWV^FE_ESTIMATE(EBIT,MEAN,ANNUAL_ROLL,2023,45881,,,'')":null,"CRWV^FE_ESTIMATE(EBIT,MEAN,QUARTERLY_ROLL,2023/4F,45881,,,'')":null,"CRWV^FE_ESTIMATE(EBIT,MEAN,QUARTERLY_ROLL,2023/3F,45881,,,'')":null,"CRWV^FE_ESTIMATE(EBIT,MEAN,QUARTERLY_ROLL,2023/2F,45881,,,'')":null,"CRWV^FE_ESTIMATE(EBIT,MEAN,QUARTERLY_ROLL,2023/1F,45881,,,'')":null,"CRWV^FE_ESTIMATE(EBIT,MEAN,ANNUAL_ROLL,2022,45881,,,'')":null,"CRWV^FE_ESTIMATE(EBIT,MEAN,QUARTERLY_ROLL,2022/4F,45881,,,'')":null,"CRWV^FE_ESTIMATE(EBIT,MEAN,QUARTERLY_ROLL,2022/3F,45881,,,'')":null,"CRWV^FE_ESTIMATE(EBIT,MEAN,QUARTERLY_ROLL,2022/2F,45881,,,'')":null,"CRWV^FE_ESTIMATE(EBIT,MEAN,QUARTERLY_ROLL,2022/1F,45881,,,'')":null,"CRWV^FE_ESTIMATE(GROSSINCOME,MEAN,ANNUAL_ROLL,2029,45881,,,'')":null,"CRWV^FE_ESTIMATE(GROSSINCOME,MEAN,QUARTERLY_ROLL,2029/4F,45881,,,'')":null,"CRWV^FE_ESTIMATE(GROSSINCOME,MEAN,QUARTERLY_ROLL,2029/3F,45881,,,'')":null,"CRWV^FE_ESTIMATE(GROSSINCOME,MEAN,QUARTERLY_ROLL,2029/2F,45881,,,'')":null,"CRWV^FE_ESTIMATE(GROSSINCOME,MEAN,QUARTERLY_ROLL,2029/1F,45881,,,'')":null,"CRWV^FE_ESTIMATE(GROSSINCOME,MEAN,ANNUAL_ROLL,2028,45881,,,'')":null,"CRWV^FE_ESTIMATE(GROSSINCOME,MEAN,QUARTERLY_ROLL,2028/4F,45881,,,'')":null,"CRWV^FE_ESTIMATE(GROSSINCOME,MEAN,QUARTERLY_ROLL,2028/3F,45881,,,'')":null,"CRWV^FE_ESTIMATE(GROSSINCOME,MEAN,QUARTERLY_ROLL,2028/2F,45881,,,'')":null,"CRWV^FE_ESTIMATE(GROSSINCOME,MEAN,QUARTERLY_ROLL,2028/1F,45881,,,'')":null,"CRWV^FE_ESTIMATE(GROSSINCOME,MEAN,ANNUAL_ROLL,2027,45881,,,'')":12462.338,"CRWV^FE_ESTIMATE(GROSSINCOME,MEAN,QUARTERLY_ROLL,2027/4F,45881,,,'')":3320.697,"CRWV^FE_ESTIMATE(GROSSINCOME,MEAN,QUARTERLY_ROLL,2027/3F,45881,,,'')":3120.215,"CRWV^FE_ESTIMATE(GROSSINCOME,MEAN,QUARTERLY_ROLL,2027/2F,45881,,,'')":2875.4885,"CRWV^FE_ESTIMATE(GROSSINCOME,MEAN,QUARTERLY_ROLL,2027/1F,45881,,,'')":2623.3516,"CRWV^FE_ESTIMATE(GROSSINCOME,MEAN,ANNUAL_ROLL,2026,45881,,,'')":8533.873,"CRWV^FE_ESTIMATE(GROSSINCOME,MEAN,QUARTERLY_ROLL,2026/4F,45881,,,'')":2474.5364,"CRWV^FE_ESTIMATE(GROSSINCOME,MEAN,QUARTERLY_ROLL,2026/3F,45881,,,'')":2227.496,"CRWV^FE_ESTIMATE(GROSSINCOME,MEAN,QUARTERLY_ROLL,2026/2F,45881,,,'')":2003.0178,"CRWV^FE_ESTIMATE(GROSSINCOME,MEAN,QUARTERLY_ROLL,2026/1F,45881,,,'')":1728.0353,"CRWV^FE_ESTIMATE(GROSSINCOME,MEAN,ANNUAL_ROLL,2025,45881,,,'')":3723.9995,"CRWV^FE_ESTIMATE(GROSSINCOME,MEAN,QUARTERLY_ROLL,2025/4F,45881,,,'')":1281.1129,"CRWV^FE_ESTIMATE(GROSSINCOME,MEAN,QUARTERLY_ROLL,2025/3F,45881,,,'')":925.2344,"CRWV^FE_ESTIMATE(GROSSINCOME,MEAN,QUARTERLY_ROLL,2025/2F,45881,,,'')":797.94666,"CRWV^FE_ESTIMATE(GROSSINCOME,MEAN,QUARTERLY_ROLL,2025/1F,45881,,,'')":726.7069,"CRWV^FE_ESTIMATE(GROSSINCOME,MEAN,ANNUAL_ROLL,2024,45881,,,'')":1422.8593,"CRWV^FE_ESTIMATE(GROSSINCOME,MEAN,QUARTERLY_ROLL,2024/4F,45881,,,'')":565.6203,"CRWV^FE_ESTIMATE(GROSSINCOME,MEAN,QUARTERLY_ROLL,2024/3F,45881,,,'')":null,"CRWV^FE_ESTIMATE(GROSSINCOME,MEAN,QUARTERLY_ROLL,2024/2F,45881,,,'')":null,"CRWV^FE_ESTIMATE(GROSSINCOME,MEAN,QUARTERLY_ROLL,2024/1F,45881,,,'')":null,"CRWV^FE_ESTIMATE(GROSSINCOME,MEAN,ANNUAL_ROLL,2023,45881,,,'')":null,"CRWV^FE_ESTIMATE(GROSSINCOME,MEAN,QUARTERLY_ROLL,2023/4F,45881,,,'')":null,"CRWV^FE_ESTIMATE(GROSSINCOME,MEAN,QUARTERLY_ROLL,2023/3F,45881,,,'')":null,"CRWV^FE_ESTIMATE(GROSSINCOME,MEAN,QUARTERLY_ROLL,2023/2F,45881,,,'')":null,"CRWV^FE_ESTIMATE(GROSSINCOME,MEAN,QUARTERLY_ROLL,2023/1F,45881,,,'')":null,"CRWV^FE_ESTIMATE(GROSSINCOME,MEAN,ANNUAL_ROLL,2022,45881,,,'')":null,"CRWV^FE_ESTIMATE(GROSSINCOME,MEAN,QUARTERLY_ROLL,2022/4F,45881,,,'')":null,"CRWV^FE_ESTIMATE(GROSSINCOME,MEAN,QUARTERLY_ROLL,2022/3F,45881,,,'')":null,"CRWV^FE_ESTIMATE(GROSSINCOME,MEAN,QUARTERLY_ROLL,2022/2F,45881,,,'')":null,"CRWV^FE_ESTIMATE(GROSSINCOME,MEAN,QUARTERLY_ROLL,2022/1F,45881,,,'')":null,"CRWV^FE_ESTIMATE(SALES,MEAN,ANNUAL_ROLL,2029,45881,,,'')":26460.35,"CRWV^FE_ESTIMATE(SALES,MEAN,QUARTERLY_ROLL,2029/4F,45881,,,'')":null,"CRWV^FE_ESTIMATE(SALES,MEAN,QUARTERLY_ROLL,2029/3F,45881,,,'')":null,"CRWV^FE_ESTIMATE(SALES,MEAN,QUARTERLY_ROLL,2029/2F,45881,,,'')":null,"CRWV^FE_ESTIMATE(SALES,MEAN,QUARTERLY_ROLL,2029/1F,45881,,,'')":null,"CRWV^FE_ESTIMATE(SALES,MEAN,ANNUAL_ROLL,2028,45881,,,'')":21319.033,"CRWV^FE_ESTIMATE(SALES,MEAN,QUARTERLY_ROLL,2028/4F,45881,,,'')":null,"CRWV^FE_ESTIMATE(SALES,MEAN,QUARTERLY_ROLL,2028/3F,45881,,,'')":null,"CRWV^FE_ESTIMATE(SALES,MEAN,QUARTERLY_ROLL,2028/2F,45881,,,'')":null,"CRWV^FE_ESTIMATE(SALES,MEAN,QUARTERLY_ROLL,2028/1F,45881,,,'')":null,"CRWV^FE_ESTIMATE(SALES,MEAN,ANNUAL_ROLL,2027,45881,,,'')":16592.887,"CRWV^FE_ESTIMATE(SALES,MEAN,QUARTERLY_ROLL,2027/4F,45881,,,'')":4452.827,"CRWV^FE_ESTIMATE(SALES,MEAN,QUARTERLY_ROLL,2027/3F,45881,,,'')":4151.545,"CRWV^FE_ESTIMATE(SALES,MEAN,QUARTERLY_ROLL,2027/2F,45881,,,'')":3824.2808,"CRWV^FE_ESTIMATE(SALES,MEAN,QUARTERLY_ROLL,2027/1F,45881,,,'')":3553.7107,"CRWV^FE_ESTIMATE(SALES,MEAN,ANNUAL_ROLL,2026,45881,,,'')":11578.45,"CRWV^FE_ESTIMATE(SALES,MEAN,QUARTERLY_ROLL,2026/4F,45881,,,'')":3284.0342,"CRWV^FE_ESTIMATE(SALES,MEAN,QUARTERLY_ROLL,2026/3F,45881,,,'')":2995.2332,"CRWV^FE_ESTIMATE(SALES,MEAN,QUARTERLY_ROLL,2026/2F,45881,,,'')":2701.6953,"CRWV^FE_ESTIMATE(SALES,MEAN,QUARTERLY_ROLL,2026/1F,45881,,,'')":2438.32,"CRWV^FE_ESTIMATE(SALES,MEAN,ANNUAL_ROLL,2025,45881,,,'')":5046.7056,"CRWV^FE_ESTIMATE(SALES,MEAN,QUARTERLY_ROLL,2025/4F,45881,,,'')":1725.6135,"CRWV^FE_ESTIMATE(SALES,MEAN,QUARTERLY_ROLL,2025/3F,45881,,,'')":1251.8073,"CRWV^FE_ESTIMATE(SALES,MEAN,QUARTERLY_ROLL,2025/2F,45881,,,'')":1081.8046,"CRWV^FE_ESTIMATE(SALES,MEAN,QUARTERLY_ROLL,2025/1F,45881,,,'')":981.632,"CRWV^FE_ESTIMATE(SALES,MEAN,ANNUAL_ROLL,2024,45881,,,'')":1915.2697,"CRWV^FE_ESTIMATE(SALES,MEAN,QUARTERLY_ROLL,2024/4F,45881,,,'')":747.2792,"CRWV^FE_ESTIMATE(SALES,MEAN,QUARTERLY_ROLL,2024/3F,45881,,,'')":null,"CRWV^FE_ESTIMATE(SALES,MEAN,QUARTERLY_ROLL,2024/2F,45881,,,'')":null,"CRWV^FE_ESTIMATE(SALES,MEAN,QUARTERLY_ROLL,2024/1F,45881,,,'')":null,"CRWV^FE_ESTIMATE(SALES,MEAN,ANNUAL_ROLL,2023,45881,,,'')":null,"CRWV^FE_ESTIMATE(SALES,MEAN,QUARTERLY_ROLL,2023/4F,45881,,,'')":null,"CRWV^FE_ESTIMATE(SALES,MEAN,QUARTERLY_ROLL,2023/3F,45881,,,'')":null,"CRWV^FE_ESTIMATE(SALES,MEAN,QUARTERLY_ROLL,2023/2F,45881,,,'')":null,"CRWV^FE_ESTIMATE(SALES,MEAN,QUARTERLY_ROLL,2023/1F,45881,,,'')":null,"CRWV^FE_ESTIMATE(SALES,MEAN,ANNUAL_ROLL,2022,45881,,,'')":null,"CRWV^FE_ESTIMATE(SALES,MEAN,QUARTERLY_ROLL,2022/4F,45881,,,'')":null,"CRWV^FE_ESTIMATE(SALES,MEAN,QUARTERLY_ROLL,2022/3F,45881,,,'')":null,"CRWV^FE_ESTIMATE(SALES,MEAN,QUARTERLY_ROLL,2022/2F,45881,,,'')":null,"CRWV^FE_ESTIMATE(SALES,MEAN,QUARTERLY_ROLL,2022/1F,45881,,,'')":null,"CRWV^FE_ESTIMATE(TOTAL_RPO,MEAN,ANNUAL_ROLL,2029,45970,,,'')":null,"CRWV^FE_ESTIMATE(TOTAL_RPO,MEAN,QUARTERLY_ROLL,2029/4F,45970,,,'')":null,"CRWV^FE_ESTIMATE(TOTAL_RPO,MEAN,QUARTERLY_ROLL,2029/3F,45970,,,'')":null,"CRWV^FE_ESTIMATE(TOTAL_RPO,MEAN,QUARTERLY_ROLL,2029/2F,45970,,,'')":null,"CRWV^FE_ESTIMATE(TOTAL_RPO,MEAN,QUARTERLY_ROLL,2029/1F,45970,,,'')":null,"CRWV^FE_ESTIMATE(TOTAL_RPO,MEAN,ANNUAL_ROLL,2028,45970,,,'')":null,"CRWV^FE_ESTIMATE(TOTAL_RPO,MEAN,QUARTERLY_ROLL,2028/4F,45970,,,'')":null,"CRWV^FE_ESTIMATE(TOTAL_RPO,MEAN,QUARTERLY_ROLL,2028/3F,45970,,,'')":null,"CRWV^FE_ESTIMATE(TOTAL_RPO,MEAN,QUARTERLY_ROLL,2028/2F,45970,,,'')":null,"CRWV^FE_ESTIMATE(TOTAL_RPO,MEAN,QUARTERLY_ROLL,2028/1F,45970,,,'')":null,"CRWV^FE_ESTIMATE(TOTAL_RPO,MEAN,ANNUAL_ROLL,2027,45970,,,'')":null,"CRWV^FE_ESTIMATE(TOTAL_RPO,MEAN,QUARTERLY_ROLL,2027/4F,45970,,,'')":null,"CRWV^FE_ESTIMATE(TOTAL_RPO,MEAN,QUARTERLY_ROLL,2027/3F,45970,,,'')":null,"CRWV^FE_ESTIMATE(TOTAL_RPO,MEAN,QUARTERLY_ROLL,2027/2F,45970,,,'')":null,"CRWV^FE_ESTIMATE(TOTAL_RPO,MEAN,QUARTERLY_ROLL,2027/1F,45970,,,'')":null,"CRWV^FE_ESTIMATE(TOTAL_RPO,MEAN,ANNUAL_ROLL,2026,45970,,,'')":null,"CRWV^FE_ESTIMATE(TOTAL_RPO,MEAN,QUARTERLY_ROLL,2026/4F,45970,,,'')":null,"CRWV^FE_ESTIMATE(TOTAL_RPO,MEAN,QUARTERLY_ROLL,2026/3F,45970,,,'')":null,"CRWV^FE_ESTIMATE(TOTAL_RPO,MEAN,QUARTERLY_ROLL,2026/2F,45970,,,'')":null,"CRWV^FE_ESTIMATE(TOTAL_RPO,MEAN,QUARTERLY_ROLL,2026/1F,45970,,,'')":null,"CRWV^FE_ESTIMATE(TOTAL_RPO,MEAN,ANNUAL_ROLL,2025,45970,,,'')":null,"CRWV^FE_ESTIMATE(TOTAL_RPO,MEAN,QUARTERLY_ROLL,2025/4F,45970,,,'')":null,"CRWV^FE_ESTIMATE(TOTAL_RPO,MEAN,QUARTERLY_ROLL,2025/3F,45970,,,'')":null,"CRWV^FE_ESTIMATE(TOTAL_RPO,MEAN,QUARTERLY_ROLL,2025/2F,45970,,,'')":null,"CRWV^FE_ESTIMATE(TOTAL_RPO,MEAN,QUARTERLY_ROLL,2025/1F,45970,,,'')":null,"CRWV^FE_ESTIMATE(TOTAL_RPO,MEAN,ANNUAL_ROLL,2024,45970,,,'')":15100.0,"CRWV^FE_ESTIMATE(TOTAL_RPO,MEAN,QUARTERLY_ROLL,2024/4F,45970,,,'')":15100.0,"CRWV^FE_ESTIMATE(TOTAL_RPO,MEAN,QUARTERLY_ROLL,2024/3F,45970,,,'')":null,"CRWV^FE_ESTIMATE(TOTAL_RPO,MEAN,QUARTERLY_ROLL,2024/2F,45970,,,'')":null,"CRWV^FE_ESTIMATE(TOTAL_RPO,MEAN,QUARTERLY_ROLL,2024/1F,45970,,,'')":null,"CRWV^FE_ESTIMATE(TOTAL_RPO,MEAN,ANNUAL_ROLL,2023,45970,,,'')":null,"CRWV^FE_ESTIMATE(TOTAL_RPO,MEAN,QUARTERLY_ROLL,2023/4F,45970,,,'')":null,"CRWV^FE_ESTIMATE(TOTAL_RPO,MEAN,QUARTERLY_ROLL,2023/3F,45970,,,'')":null,"CRWV^FE_ESTIMATE(TOTAL_RPO,MEAN,QUARTERLY_ROLL,2023/2F,45970,,,'')":null,"CRWV^FE_ESTIMATE(TOTAL_RPO,MEAN,QUARTERLY_ROLL,2023/1F,45970,,,'')":null,"CRWV^FE_ESTIMATE(TOTAL_RPO,MEAN,ANNUAL_ROLL,2022,45970,,,'')":null,"CRWV^FE_ESTIMATE(TOTAL_RPO,MEAN,QUARTERLY_ROLL,2022/4F,45970,,,'')":null,"CRWV^FE_ESTIMATE(TOTAL_RPO,MEAN,QUARTERLY_ROLL,2022/3F,45970,,,'')":null,"CRWV^FE_ESTIMATE(TOTAL_RPO,MEAN,QUARTERLY_ROLL,2022/2F,45970,,,'')":null,"CRWV^FE_ESTIMATE(TOTAL_RPO,MEAN,QUARTERLY_ROLL,2022/1F,45970,,,'')":null,"CRWV^FE_ESTIMATE(ARR,MEAN,ANNUAL_ROLL,2029,45970,,,'')":null,"CRWV^FE_ESTIMATE(ARR,MEAN,QUARTERLY_ROLL,2029/4F,45970,,,'')":null,"CRWV^FE_ESTIMATE(ARR,MEAN,QUARTERLY_ROLL,2029/3F,45970,,,'')":null,"CRWV^FE_ESTIMATE(ARR,MEAN,QUARTERLY_ROLL,2029/2F,45970,,,'')":null,"CRWV^FE_ESTIMATE(ARR,MEAN,QUARTERLY_ROLL,2029/1F,45970,,,'')":null,"CRWV^FE_ESTIMATE(ARR,MEAN,ANNUAL_ROLL,2028,45970,,,'')":26577.0,"CRWV^FE_ESTIMATE(ARR,MEAN,QUARTERLY_ROLL,2028/4F,45970,,,'')":null,"CRWV^FE_ESTIMATE(ARR,MEAN,QUARTERLY_ROLL,2028/3F,45970,,,'')":null,"CRWV^FE_ESTIMATE(ARR,MEAN,QUARTERLY_ROLL,2028/2F,45970,,,'')":null,"CRWV^FE_ESTIMATE(ARR,MEAN,QUARTERLY_ROLL,2028/1F,45970,,,'')":null,"CRWV^FE_ESTIMATE(ARR,MEAN,ANNUAL_ROLL,2027,45970,,,'')":20677.0,"CRWV^FE_ESTIMATE(ARR,MEAN,QUARTERLY_ROLL,2027/4F,45970,,,'')":null,"CRWV^FE_ESTIMATE(ARR,MEAN,QUARTERLY_ROLL,2027/3F,45970,,,'')":null,"CRWV^FE_ESTIMATE(ARR,MEAN,QUARTERLY_ROLL,2027/2F,45970,,,'')":null,"CRWV^FE_ESTIMATE(ARR,MEAN,QUARTERLY_ROLL,2027/1F,45970,,,'')":null,"CRWV^FE_ESTIMATE(ARR,MEAN,ANNUAL_ROLL,2026,45970,,,'')":14401.0,"CRWV^FE_ESTIMATE(ARR,MEAN,QUARTERLY_ROLL,2026/4F,45970,,,'')":14401.0,"CRWV^FE_ESTIMATE(ARR,MEAN,QUARTERLY_ROLL,2026/3F,45970,,,'')":13196.0,"CRWV^FE_ESTIMATE(ARR,MEAN,QUARTERLY_ROLL,2026/2F,45970,,,'')":11639.0,"CRWV^FE_ESTIMATE(ARR,MEAN,QUARTERLY_ROLL,2026/1F,45970,,,'')":9853.0,"CRWV^FE_ESTIMATE(ARR,MEAN,ANNUAL_ROLL,2025,45970,,,'')":7101.0,"CRWV^FE_ESTIMATE(ARR,MEAN,QUARTERLY_ROLL,2025/4F,45970,,,'')":7101.0,"CRWV^FE_ESTIMATE(ARR,MEAN,QUARTERLY_ROLL,2025/3F,45970,,,'')":5121.0,"CRWV^FE_ESTIMATE(ARR,MEAN,QUARTERLY_ROLL,2025/2F,45970,,,'')":4851.0,"CRWV^FE_ESTIMATE(ARR,MEAN,QUARTERLY_ROLL,2025/1F,45970,,,'')":null,"CRWV^FE_ESTIMATE(ARR,MEAN,ANNUAL_ROLL,2024,45970,,,'')":3000.0,"CRWV^FE_ESTIMATE(ARR,MEAN,QUARTERLY_ROLL,2024/4F,45970,,,'')":null,"CRWV^FE_ESTIMATE(ARR,MEAN,QUARTERLY_ROLL,2024/3F,45970,,,'')":null,"CRWV^FE_ESTIMATE(ARR,MEAN,QUARTERLY_ROLL,2024/2F,45970,,,'')":null,"CRWV^FE_ESTIMATE(ARR,MEAN,QUARTERLY_ROLL,2024/1F,45970,,,'')":null,"CRWV^FE_ESTIMATE(ARR,MEAN,ANNUAL_ROLL,2023,45970,,,'')":null,"CRWV^FE_ESTIMATE(ARR,MEAN,QUARTERLY_ROLL,2023/4F,45970,,,'')":null,"CRWV^FE_ESTIMATE(ARR,MEAN,QUARTERLY_ROLL,2023/3F,45970,,,'')":null,"CRWV^FE_ESTIMATE(ARR,MEAN,QUARTERLY_ROLL,2023/2F,45970,,,'')":null,"CRWV^FE_ESTIMATE(ARR,MEAN,QUARTERLY_ROLL,2023/1F,45970,,,'')":null,"CRWV^FE_ESTIMATE(ARR,MEAN,ANNUAL_ROLL,2022,45970,,,'')":null,"CRWV^FE_ESTIMATE(ARR,MEAN,QUARTERLY_ROLL,2022/4F,45970,,,'')":null,"CRWV^FE_ESTIMATE(ARR,MEAN,QUARTERLY_ROLL,2022/3F,45970,,,'')":null,"CRWV^FE_ESTIMATE(ARR,MEAN,QUARTERLY_ROLL,2022/2F,45970,,,'')":null,"CRWV^FE_ESTIMATE(ARR,MEAN,QUARTERLY_ROLL,2022/1F,45970,,,'')":null,"CRWV^FE_ESTIMATE(NEW_ORDERS_VALUE,MEAN,ANNUAL_ROLL,2029,45970,,,'')":null,"CRWV^FE_ESTIMATE(NEW_ORDERS_VALUE,MEAN,QUARTERLY_ROLL,2029/4F,45970,,,'')":null,"CRWV^FE_ESTIMATE(NEW_ORDERS_VALUE,MEAN,QUARTERLY_ROLL,2029/3F,45970,,,'')":null,"CRWV^FE_ESTIMATE(NEW_ORDERS_VALUE,MEAN,QUARTERLY_ROLL,2029/2F,45970,,,'')":null,"CRWV^FE_ESTIMATE(NEW_ORDERS_VALUE,MEAN,QUARTERLY_ROLL,2029/1F,45970,,,'')":null,"CRWV^FE_ESTIMATE(NEW_ORDERS_VALUE,MEAN,ANNUAL_ROLL,2028,45970,,,'')":null,"CRWV^FE_ESTIMATE(NEW_ORDERS_VALUE,MEAN,QUARTERLY_ROLL,2028/4F,45970,,,'')":null,"CRWV^FE_ESTIMATE(NEW_ORDERS_VALUE,MEAN,QUARTERLY_ROLL,2028/3F,45970,,,'')":null,"CRWV^FE_ESTIMATE(NEW_ORDERS_VALUE,MEAN,QUARTERLY_ROLL,2028/2F,45970,,,'')":null,"CRWV^FE_ESTIMATE(NEW_ORDERS_VALUE,MEAN,QUARTERLY_ROLL,2028/1F,45970,,,'')":null,"CRWV^FE_ESTIMATE(NEW_ORDERS_VALUE,MEAN,ANNUAL_ROLL,2027,45970,,,'')":null,"CRWV^FE_ESTIMATE(NEW_ORDERS_VALUE,MEAN,QUARTERLY_ROLL,2027/4F,45970,,,'')":null,"CRWV^FE_ESTIMATE(NEW_ORDERS_VALUE,MEAN,QUARTERLY_ROLL,2027/3F,45970,,,'')":null,"CRWV^FE_ESTIMATE(NEW_ORDERS_VALUE,MEAN,QUARTERLY_ROLL,2027/2F,45970,,,'')":null,"CRWV^FE_ESTIMATE(NEW_ORDERS_VALUE,MEAN,QUARTERLY_ROLL,2027/1F,45970,,,'')":null,"CRWV^FE_ESTIMATE(NEW_ORDERS_VALUE,MEAN,ANNUAL_ROLL,2026,45970,,,'')":null,"CRWV^FE_ESTIMATE(NEW_ORDERS_VALUE,MEAN,QUARTERLY_ROLL,2026/4F,45970,,,'')":null,"CRWV^FE_ESTIMATE(NEW_ORDERS_VALUE,MEAN,QUARTERLY_ROLL,2026/3F,45970,,,'')":null,"CRWV^FE_ESTIMATE(NEW_ORDERS_VALUE,MEAN,QUARTERLY_ROLL,2026/2F,45970,,,'')":null,"CRWV^FE_ESTIMATE(NEW_ORDERS_VALUE,MEAN,QUARTERLY_ROLL,2026/1F,45970,,,'')":null,"CRWV^FE_ESTIMATE(NEW_ORDERS_VALUE,MEAN,ANNUAL_ROLL,2025,45970,,,'')":null,"CRWV^FE_ESTIMATE(NEW_ORDERS_VALUE,MEAN,QUARTERLY_ROLL,2025/4F,45970,,,'')":null,"CRWV^FE_ESTIMATE(NEW_ORDERS_VALUE,MEAN,QUARTERLY_ROLL,2025/3F,45970,,,'')":null,"CRWV^FE_ESTIMATE(NEW_ORDERS_VALUE,MEAN,QUARTERLY_ROLL,2025/2F,45970,,,'')":null,"CRWV^FE_ESTIMATE(NEW_ORDERS_VALUE,MEAN,QUARTERLY_ROLL,2025/1F,45970,,,'')":null,"CRWV^FE_ESTIMATE(NEW_ORDERS_VALUE,MEAN,ANNUAL_ROLL,2024,45970,,,'')":null,"CRWV^FE_ESTIMATE(NEW_ORDERS_VALUE,MEAN,QUARTERLY_ROLL,2024/4F,45970,,,'')":382.0,"CRWV^FE_ESTIMATE(NEW_ORDERS_VALUE,MEAN,QUARTERLY_ROLL,2024/3F,45970,,,'')":null,"CRWV^FE_ESTIMATE(NEW_ORDERS_VALUE,MEAN,QUARTERLY_ROLL,2024/2F,45970,,,'')":null,"CRWV^FE_ESTIMATE(NEW_ORDERS_VALUE,MEAN,QUARTERLY_ROLL,2024/1F,45970,,,'')":null,"CRWV^FE_ESTIMATE(NEW_ORDERS_VALUE,MEAN,ANNUAL_ROLL,2023,45970,,,'')":null,"CRWV^FE_ESTIMATE(NEW_ORDERS_VALUE,MEAN,QUARTERLY_ROLL,2023/4F,45970,,,'')":null,"CRWV^FE_ESTIMATE(NEW_ORDERS_VALUE,MEAN,QUARTERLY_ROLL,2023/3F,45970,,,'')":null,"CRWV^FE_ESTIMATE(NEW_ORDERS_VALUE,MEAN,QUARTERLY_ROLL,2023/2F,45970,,,'')":null,"CRWV^FE_ESTIMATE(NEW_ORDERS_VALUE,MEAN,QUARTERLY_ROLL,2023/1F,45970,,,'')":null,"CRWV^FE_ESTIMATE(NEW_ORDERS_VALUE,MEAN,ANNUAL_ROLL,2022,45970,,,'')":null,"CRWV^FE_ESTIMATE(NEW_ORDERS_VALUE,MEAN,QUARTERLY_ROLL,2022/4F,45970,,,'')":null,"CRWV^FE_ESTIMATE(NEW_ORDERS_VALUE,MEAN,QUARTERLY_ROLL,2022/3F,45970,,,'')":null,"CRWV^FE_ESTIMATE(NEW_ORDERS_VALUE,MEAN,QUARTERLY_ROLL,2022/2F,45970,,,'')":null,"CRWV^FE_ESTIMATE(NEW_ORDERS_VALUE,MEAN,QUARTERLY_ROLL,2022/1F,45970,,,'')":null,"CRWV^FE_ESTIMATE(TOTALDEBT,MEAN,ANNUAL_ROLL,2029,45970,,,'')":42499.4,"CRWV^FE_ESTIMATE(TOTALDEBT,MEAN,QUARTERLY_ROLL,2029/4F,45970,,,'')":null,"CRWV^FE_ESTIMATE(TOTALDEBT,MEAN,QUARTERLY_ROLL,2029/3F,45970,,,'')":null,"CRWV^FE_ESTIMATE(TOTALDEBT,MEAN,QUARTERLY_ROLL,2029/2F,45970,,,'')":null,"CRWV^FE_ESTIMATE(TOTALDEBT,MEAN,QUARTERLY_ROLL,2029/1F,45970,,,'')":null,"CRWV^FE_ESTIMATE(TOTALDEBT,MEAN,ANNUAL_ROLL,2028,45970,,,'')":42425.3,"CRWV^FE_ESTIMATE(TOTALDEBT,MEAN,QUARTERLY_ROLL,2028/4F,45970,,,'')":null,"CRWV^FE_ESTIMATE(TOTALDEBT,MEAN,QUARTERLY_ROLL,2028/3F,45970,,,'')":null,"CRWV^FE_ESTIMATE(TOTALDEBT,MEAN,QUARTERLY_ROLL,2028/2F,45970,,,'')":null,"CRWV^FE_ESTIMATE(TOTALDEBT,MEAN,QUARTERLY_ROLL,2028/1F,45970,,,'')":null,"CRWV^FE_ESTIMATE(TOTALDEBT,MEAN,ANNUAL_ROLL,2027,45970,,,'')":38028.918,"CRWV^FE_ESTIMATE(TOTALDEBT,MEAN,QUARTERLY_ROLL,2027/4F,45970,,,'')":null,"CRWV^FE_ESTIMATE(TOTALDEBT,MEAN,QUARTERLY_ROLL,2027/3F,45970,,,'')":null,"CRWV^FE_ESTIMATE(TOTALDEBT,MEAN,QUARTERLY_ROLL,2027/2F,45970,,,'')":null,"CRWV^FE_ESTIMATE(TOTALDEBT,MEAN,QUARTERLY_ROLL,2027/1F,45970,,,'')":null,"CRWV^FE_ESTIMATE(TOTALDEBT,MEAN,ANNUAL_ROLL,2026,45970,,,'')":36424.887,"CRWV^FE_ESTIMATE(TOTALDEBT,MEAN,QUARTERLY_ROLL,2026/4F,45970,,,'')":34728.0,"CRWV^FE_ESTIMATE(TOTALDEBT,MEAN,QUARTERLY_ROLL,2026/3F,45970,,,'')":33749.0,"CRWV^FE_ESTIMATE(TOTALDEBT,MEAN,QUARTERLY_ROLL,2026/2F,45970,,,'')":31664.0,"CRWV^FE_ESTIMATE(TOTALDEBT,MEAN,QUARTERLY_ROLL,2026/1F,45970,,,'')":29668.0,"CRWV^FE_ESTIMATE(TOTALDEBT,MEAN,ANNUAL_ROLL,2025,45970,,,'')":25172.957,"CRWV^FE_ESTIMATE(TOTALDEBT,MEAN,QUARTERLY_ROLL,2025/4F,45970,,,'')":25920.45,"CRWV^FE_ESTIMATE(TOTALDEBT,MEAN,QUARTERLY_ROLL,2025/3F,45970,,,'')":15457.35,"CRWV^FE_ESTIMATE(TOTALDEBT,MEAN,QUARTERLY_ROLL,2025/2F,45970,,,'')":11083.5,"CRWV^FE_ESTIMATE(TOTALDEBT,MEAN,QUARTERLY_ROLL,2025/1F,45970,,,'')":8711.85,"CRWV^FE_ESTIMATE(TOTALDEBT,MEAN,ANNUAL_ROLL,2024,45970,,,'')":7944.588,"CRWV^FE_ESTIMATE(TOTALDEBT,MEAN,QUARTERLY_ROLL,2024/4F,45970,,,'')":7949.15,"CRWV^FE_ESTIMATE(TOTALDEBT,MEAN,QUARTERLY_ROLL,2024/3F,45970,,,'')":null,"CRWV^FE_ESTIMATE(TOTALDEBT,MEAN,QUARTERLY_ROLL,2024/2F,45970,,,'')":null,"CRWV^FE_ESTIMATE(TOTALDEBT,MEAN,QUARTERLY_ROLL,2024/1F,45970,,,'')":null,"CRWV^FE_ESTIMATE(TOTALDEBT,MEAN,ANNUAL_ROLL,2023,45970,,,'')":null,"CRWV^FE_ESTIMATE(TOTALDEBT,MEAN,QUARTERLY_ROLL,2023/4F,45970,,,'')":null,"CRWV^FE_ESTIMATE(TOTALDEBT,MEAN,QUARTERLY_ROLL,2023/3F,45970,,,'')":null,"CRWV^FE_ESTIMATE(TOTALDEBT,MEAN,QUARTERLY_ROLL,2023/2F,45970,,,'')":null,"CRWV^FE_ESTIMATE(TOTALDEBT,MEAN,QUARTERLY_ROLL,2023/1F,45970,,,'')":null,"CRWV^FE_ESTIMATE(TOTALDEBT,MEAN,ANNUAL_ROLL,2022,45970,,,'')":null,"CRWV^FE_ESTIMATE(TOTALDEBT,MEAN,QUARTERLY_ROLL,2022/4F,45970,,,'')":null,"CRWV^FE_ESTIMATE(TOTALDEBT,MEAN,QUARTERLY_ROLL,2022/3F,45970,,,'')":null,"CRWV^FE_ESTIMATE(TOTALDEBT,MEAN,QUARTERLY_ROLL,2022/2F,45970,,,'')":null,"CRWV^FE_ESTIMATE(TOTALDEBT,MEAN,QUARTERLY_ROLL,2022/1F,45970,,,'')":null,"CRWV^FE_ESTIMATE(DEFREVENUE,MEAN,ANNUAL_ROLL,2029,45970,,,'')":21537.4,"CRWV^FE_ESTIMATE(DEFREVENUE,MEAN,QUARTERLY_ROLL,2029/4F,45970,,,'')":null,"CRWV^FE_ESTIMATE(DEFREVENUE,MEAN,QUARTERLY_ROLL,2029/3F,45970,,,'')":null,"CRWV^FE_ESTIMATE(DEFREVENUE,MEAN,QUARTERLY_ROLL,2029/2F,45970,,,'')":null,"CRWV^FE_ESTIMATE(DEFREVENUE,MEAN,QUARTERLY_ROLL,2029/1F,45970,,,'')":null,"CRWV^FE_ESTIMATE(DEFREVENUE,MEAN,ANNUAL_ROLL,2028,45970,,,'')":18524.1,"CRWV^FE_ESTIMATE(DEFREVENUE,MEAN,QUARTERLY_ROLL,2028/4F,45970,,,'')":null,"CRWV^FE_ESTIMATE(DEFREVENUE,MEAN,QUARTERLY_ROLL,2028/3F,45970,,,'')":null,"CRWV^FE_ESTIMATE(DEFREVENUE,MEAN,QUARTERLY_ROLL,2028/2F,45970,,,'')":null,"CRWV^FE_ESTIMATE(DEFREVENUE,MEAN,QUARTERLY_ROLL,2028/1F,45970,,,'')":null,"CRWV^FE_ESTIMATE(DEFREVENUE,MEAN,ANNUAL_ROLL,2027,45970,,,'')":13612.0,"CRWV^FE_ESTIMATE(DEFREVENUE,MEAN,QUARTERLY_ROLL,2027/4F,45970,,,'')":8811.1,"CRWV^FE_ESTIMATE(DEFREVENUE,MEAN,QUARTERLY_ROLL,2027/3F,45970,,,'')":8329.1,"CRWV^FE_ESTIMATE(DEFREVENUE,MEAN,QUARTERLY_ROLL,2027/2F,45970,,,'')":7847.1,"CRWV^FE_ESTIMATE(DEFREVENUE,MEAN,QUARTERLY_ROLL,2027/1F,45970,,,'')":7365.2,"CRWV^FE_ESTIMATE(DEFREVENUE,MEAN,ANNUAL_ROLL,2026,45970,,,'')":11063.989,"CRWV^FE_ESTIMATE(DEFREVENUE,MEAN,QUARTERLY_ROLL,2026/4F,45970,,,'')":10808.621,"CRWV^FE_ESTIMATE(DEFREVENUE,MEAN,QUARTERLY_ROLL,2026/3F,45970,,,'')":9815.022,"CRWV^FE_ESTIMATE(DEFREVENUE,MEAN,QUARTERLY_ROLL,2026/2F,45970,,,'')":8721.537,"CRWV^FE_ESTIMATE(DEFREVENUE,MEAN,QUARTERLY_ROLL,2026/1F,45970,,,'')":7667.1543,"CRWV^FE_ESTIMATE(DEFREVENUE,MEAN,ANNUAL_ROLL,2025,45970,,,'')":6822.199,"CRWV^FE_ESTIMATE(DEFREVENUE,MEAN,QUARTERLY_ROLL,2025/4F,45970,,,'')":6822.199,"CRWV^FE_ESTIMATE(DEFREVENUE,MEAN,QUARTERLY_ROLL,2025/3F,45970,,,'')":5819.648,"CRWV^FE_ESTIMATE(DEFREVENUE,MEAN,QUARTERLY_ROLL,2025/2F,45970,,,'')":4847.431,"CRWV^FE_ESTIMATE(DEFREVENUE,MEAN,QUARTERLY_ROLL,2025/1F,45970,,,'')":4047.9998,"CRWV^FE_ESTIMATE(DEFREVENUE,MEAN,ANNUAL_ROLL,2024,45970,,,'')":4063.9565,"CRWV^FE_ESTIMATE(DEFREVENUE,MEAN,QUARTERLY_ROLL,2024/4F,45970,,,'')":4063.9565,"CRWV^FE_ESTIMATE(DEFREVENUE,MEAN,QUARTERLY_ROLL,2024/3F,45970,,,'')":null,"CRWV^FE_ESTIMATE(DEFREVENUE,MEAN,QUARTERLY_ROLL,2024/2F,45970,,,'')":null,"CRWV^FE_ESTIMATE(DEFREVENUE,MEAN,QUARTERLY_ROLL,2024/1F,45970,,,'')":null,"CRWV^FE_ESTIMATE(DEFREVENUE,MEAN,ANNUAL_ROLL,2023,45970,,,'')":null,"CRWV^FE_ESTIMATE(DEFREVENUE,MEAN,QUARTERLY_ROLL,2023/4F,45970,,,'')":null,"CRWV^FE_ESTIMATE(DEFREVENUE,MEAN,QUARTERLY_ROLL,2023/3F,45970,,,'')":null,"CRWV^FE_ESTIMATE(DEFREVENUE,MEAN,QUARTERLY_ROLL,2023/2F,45970,,,'')":null,"CRWV^FE_ESTIMATE(DEFREVENUE,MEAN,QUARTERLY_ROLL,2023/1F,45970,,,'')":null,"CRWV^FE_ESTIMATE(DEFREVENUE,MEAN,ANNUAL_ROLL,2022,45970,,,'')":null,"CRWV^FE_ESTIMATE(DEFREVENUE,MEAN,QUARTERLY_ROLL,2022/4F,45970,,,'')":null,"CRWV^FE_ESTIMATE(DEFREVENUE,MEAN,QUARTERLY_ROLL,2022/3F,45970,,,'')":null,"CRWV^FE_ESTIMATE(DEFREVENUE,MEAN,QUARTERLY_ROLL,2022/2F,45970,,,'')":null,"CRWV^FE_ESTIMATE(DEFREVENUE,MEAN,QUARTERLY_ROLL,2022/1F,45970,,,'')":null,"CRWV^FE_ESTIMATE(DEFREVENUE_LT,MEAN,ANNUAL_ROLL,2029,45970,,,'')":null,"CRWV^FE_ESTIMATE(DEFREVENUE_LT,MEAN,QUARTERLY_ROLL,2029/4F,45970,,,'')":null,"CRWV^FE_ESTIMATE(DEFREVENUE_LT,MEAN,QUARTERLY_ROLL,2029/3F,45970,,,'')":null,"CRWV^FE_ESTIMATE(DEFREVENUE_LT,MEAN,QUARTERLY_ROLL,2029/2F,45970,,,'')":null,"CRWV^FE_ESTIMATE(DEFREVENUE_LT,MEAN,QUARTERLY_ROLL,2029/1F,45970,,,'')":null,"CRWV^FE_ESTIMATE(DEFREVENUE_LT,MEAN,ANNUAL_ROLL,2028,45970,,,'')":null,"CRWV^FE_ESTIMATE(DEFREVENUE_LT,MEAN,QUARTERLY_ROLL,2028/4F,45970,,,'')":null,"CRWV^FE_ESTIMATE(DEFREVENUE_LT,MEAN,QUARTERLY_ROLL,2028/3F,45970,,,'')":null,"CRWV^FE_ESTIMATE(DEFREVENUE_LT,MEAN,QUARTERLY_ROLL,2028/2F,45970,,,'')":null,"CRWV^FE_ESTIMATE(DEFREVENUE_LT,MEAN,QUARTERLY_ROLL,2028/1F,45970,,,'')":null,"CRWV^FE_ESTIMATE(DEFREVENUE_LT,MEAN,ANNUAL_ROLL,2027,45970,,,'')":10469.467,"CRWV^FE_ESTIMATE(DEFREVENUE_LT,MEAN,QUARTERLY_ROLL,2027/4F,45970,,,'')":6960.8,"CRWV^FE_ESTIMATE(DEFREVENUE_LT,MEAN,QUARTERLY_ROLL,2027/3F,45970,,,'')":6580.0,"CRWV^FE_ESTIMATE(DEFREVENUE_LT,MEAN,QUARTERLY_ROLL,2027/2F,45970,,,'')":6199.2,"CRWV^FE_ESTIMATE(DEFREVENUE_LT,MEAN,QUARTERLY_ROLL,2027/1F,45970,,,'')":5818.5,"CRWV^FE_ESTIMATE(DEFREVENUE_LT,MEAN,ANNUAL_ROLL,2026,45970,,,'')":8239.944,"CRWV^FE_ESTIMATE(DEFREVENUE_LT,MEAN,QUARTERLY_ROLL,2026/4F,45970,,,'')":8239.944,"CRWV^FE_ESTIMATE(DEFREVENUE_LT,MEAN,QUARTERLY_ROLL,2026/3F,45970,,,'')":7447.9663,"CRWV^FE_ESTIMATE(DEFREVENUE_LT,MEAN,QUARTERLY_ROLL,2026/2F,45970,,,'')":6585.881,"CRWV^FE_ESTIMATE(DEFREVENUE_LT,MEAN,QUARTERLY_ROLL,2026/1F,45970,,,'')":5728.915,"CRWV^FE_ESTIMATE(DEFREVENUE_LT,MEAN,ANNUAL_ROLL,2025,45970,,,'')":5065.6777,"CRWV^FE_ESTIMATE(DEFREVENUE_LT,MEAN,QUARTERLY_ROLL,2025/4F,45970,,,'')":5065.6777,"CRWV^FE_ESTIMATE(DEFREVENUE_LT,MEAN,QUARTERLY_ROLL,2025/3F,45970,,,'')":4334.885,"CRWV^FE_ESTIMATE(DEFREVENUE_LT,MEAN,QUARTERLY_ROLL,2025/2F,45970,,,'')":3896.1145,"CRWV^FE_ESTIMATE(DEFREVENUE_LT,MEAN,QUARTERLY_ROLL,2025/1F,45970,,,'')":3611.2346,"CRWV^FE_ESTIMATE(DEFREVENUE_LT,MEAN,ANNUAL_ROLL,2024,45970,,,'')":3294.9941,"CRWV^FE_ESTIMATE(DEFREVENUE_LT,MEAN,QUARTERLY_ROLL,2024/4F,45970,,,'')":3294.9941,"CRWV^FE_ESTIMATE(DEFREVENUE_LT,MEAN,QUARTERLY_ROLL,2024/3F,45970,,,'')":null,"CRWV^FE_ESTIMATE(DEFREVENUE_LT,MEAN,QUARTERLY_ROLL,2024/2F,45970,,,'')":null,"CRWV^FE_ESTIMATE(DEFREVENUE_LT,MEAN,QUARTERLY_ROLL,2024/1F,45970,,,'')":null,"CRWV^FE_ESTIMATE(DEFREVENUE_LT,MEAN,ANNUAL_ROLL,2023,45970,,,'')":null,"CRWV^FE_ESTIMATE(DEFREVENUE_LT,MEAN,QUARTERLY_ROLL,2023/4F,45970,,,'')":null,"CRWV^FE_ESTIMATE(DEFREVENUE_LT,MEAN,QUARTERLY_ROLL,2023/3F,45970,,,'')":null,"CRWV^FE_ESTIMATE(DEFREVENUE_LT,MEAN,QUARTERLY_ROLL,2023/2F,45970,,,'')":null,"CRWV^FE_ESTIMATE(DEFREVENUE_LT,MEAN,QUARTERLY_ROLL,2023/1F,45970,,,'')":null,"CRWV^FE_ESTIMATE(DEFREVENUE_LT,MEAN,ANNUAL_ROLL,2022,45970,,,'')":null,"CRWV^FE_ESTIMATE(DEFREVENUE_LT,MEAN,QUARTERLY_ROLL,2022/4F,45970,,,'')":null,"CRWV^FE_ESTIMATE(DEFREVENUE_LT,MEAN,QUARTERLY_ROLL,2022/3F,45970,,,'')":null,"CRWV^FE_ESTIMATE(DEFREVENUE_LT,MEAN,QUARTERLY_ROLL,2022/2F,45970,,,'')":null,"CRWV^FE_ESTIMATE(DEFREVENUE_LT,MEAN,QUARTERLY_ROLL,2022/1F,45970,,,'')":null,"CRWV^FE_ESTIMATE(DEFREVENUE_ST,MEAN,ANNUAL_ROLL,2029,45970,,,'')":null,"CRWV^FE_ESTIMATE(DEFREVENUE_ST,MEAN,QUARTERLY_ROLL,2029/4F,45970,,,'')":null,"CRWV^FE_ESTIMATE(DEFREVENUE_ST,MEAN,QUARTERLY_ROLL,2029/3F,45970,,,'')":null,"CRWV^FE_ESTIMATE(DEFREVENUE_ST,MEAN,QUARTERLY_ROLL,2029/2F,45970,,,'')":null,"CRWV^FE_ESTIMATE(DEFREVENUE_ST,MEAN,QUARTERLY_ROLL,2029/1F,45970,,,'')":null,"CRWV^FE_ESTIMATE(DEFREVENUE_ST,MEAN,ANNUAL_ROLL,2028,45970,,,'')":null,"CRWV^FE_ESTIMATE(DEFREVENUE_ST,MEAN,QUARTERLY_ROLL,2028/4F,45970,,,'')":null,"CRWV^FE_ESTIMATE(DEFREVENUE_ST,MEAN,QUARTERLY_ROLL,2028/3F,45970,,,'')":null,"CRWV^FE_ESTIMATE(DEFREVENUE_ST,MEAN,QUARTERLY_ROLL,2028/2F,45970,,,'')":null,"CRWV^FE_ESTIMATE(DEFREVENUE_ST,MEAN,QUARTERLY_ROLL,2028/1F,45970,,,'')":null,"CRWV^FE_ESTIMATE(DEFREVENUE_ST,MEAN,ANNUAL_ROLL,2027,45970,,,'')":2370.9,"CRWV^FE_ESTIMATE(DEFREVENUE_ST,MEAN,QUARTERLY_ROLL,2027/4F,45970,,,'')":1850.3,"CRWV^FE_ESTIMATE(DEFREVENUE_ST,MEAN,QUARTERLY_ROLL,2027/3F,45970,,,'')":1749.1,"CRWV^FE_ESTIMATE(DEFREVENUE_ST,MEAN,QUARTERLY_ROLL,2027/2F,45970,,,'')":1647.9,"CRWV^FE_ESTIMATE(DEFREVENUE_ST,MEAN,QUARTERLY_ROLL,2027/1F,45970,,,'')":1546.7,"CRWV^FE_ESTIMATE(DEFREVENUE_ST,MEAN,ANNUAL_ROLL,2026,45970,,,'')":2224.2014,"CRWV^FE_ESTIMATE(DEFREVENUE_ST,MEAN,QUARTERLY_ROLL,2026/4F,45970,,,'')":2224.2014,"CRWV^FE_ESTIMATE(DEFREVENUE_ST,MEAN,QUARTERLY_ROLL,2026/3F,45970,,,'')":2012.8602,"CRWV^FE_ESTIMATE(DEFREVENUE_ST,MEAN,QUARTERLY_ROLL,2026/2F,45970,,,'')":1776.3634,"CRWV^FE_ESTIMATE(DEFREVENUE_ST,MEAN,QUARTERLY_ROLL,2026/1F,45970,,,'')":1532.4705,"CRWV^FE_ESTIMATE(DEFREVENUE_ST,MEAN,ANNUAL_ROLL,2025,45970,,,'')":1110.041,"CRWV^FE_ESTIMATE(DEFREVENUE_ST,MEAN,QUARTERLY_ROLL,2025/4F,45970,,,'')":1110.041,"CRWV^FE_ESTIMATE(DEFREVENUE_ST,MEAN,QUARTERLY_ROLL,2025/3F,45970,,,'')":925.4826,"CRWV^FE_ESTIMATE(DEFREVENUE_ST,MEAN,QUARTERLY_ROLL,2025/2F,45970,,,'')":951.1892,"CRWV^FE_ESTIMATE(DEFREVENUE_ST,MEAN,QUARTERLY_ROLL,2025/1F,45970,,,'')":436.765,"CRWV^FE_ESTIMATE(DEFREVENUE_ST,MEAN,ANNUAL_ROLL,2024,45970,,,'')":768.9443,"CRWV^FE_ESTIMATE(DEFREVENUE_ST,MEAN,QUARTERLY_ROLL,2024/4F,45970,,,'')":768.9443,"CRWV^FE_ESTIMATE(DEFREVENUE_ST,MEAN,QUARTERLY_ROLL,2024/3F,45970,,,'')":null,"CRWV^FE_ESTIMATE(DEFREVENUE_ST,MEAN,QUARTERLY_ROLL,2024/2F,45970,,,'')":null,"CRWV^FE_ESTIMATE(DEFREVENUE_ST,MEAN,QUARTERLY_ROLL,2024/1F,45970,,,'')":null,"CRWV^FE_ESTIMATE(DEFREVENUE_ST,MEAN,ANNUAL_ROLL,2023,45970,,,'')":null,"CRWV^FE_ESTIMATE(DEFREVENUE_ST,MEAN,QUARTERLY_ROLL,2023/4F,45970,,,'')":null,"CRWV^FE_ESTIMATE(DEFREVENUE_ST,MEAN,QUARTERLY_ROLL,2023/3F,45970,,,'')":null,"CRWV^FE_ESTIMATE(DEFREVENUE_ST,MEAN,QUARTERLY_ROLL,2023/2F,45970,,,'')":null,"CRWV^FE_ESTIMATE(DEFREVENUE_ST,MEAN,QUARTERLY_ROLL,2023/1F,45970,,,'')":null,"CRWV^FE_ESTIMATE(DEFREVENUE_ST,MEAN,ANNUAL_ROLL,2022,45970,,,'')":null,"CRWV^FE_ESTIMATE(DEFREVENUE_ST,MEAN,QUARTERLY_ROLL,2022/4F,45970,,,'')":null,"CRWV^FE_ESTIMATE(DEFREVENUE_ST,MEAN,QUARTERLY_ROLL,2022/3F,45970,,,'')":null,"CRWV^FE_ESTIMATE(DEFREVENUE_ST,MEAN,QUARTERLY_ROLL,2022/2F,45970,,,'')":null,"CRWV^FE_ESTIMATE(DEFREVENUE_ST,MEAN,QUARTERLY_ROLL,2022/1F,45970,,,'')":null,"CRWV^FE_ESTIMATE(FCF,MEAN,ANNUAL_ROLL,2029,45970,,,'')":4661.55,"CRWV^FE_ESTIMATE(FCF,MEAN,QUARTERLY_ROLL,2029/4F,45970,,,'')":null,"CRWV^FE_ESTIMATE(FCF,MEAN,QUARTERLY_ROLL,2029/3F,45970,,,'')":null,"CRWV^FE_ESTIMATE(FCF,MEAN,QUARTERLY_ROLL,2029/2F,45970,,,'')":null,"CRWV^FE_ESTIMATE(FCF,MEAN,QUARTERLY_ROLL,2029/1F,45970,,,'')":null,"CRWV^FE_ESTIMATE(FCF,MEAN,ANNUAL_ROLL,2028,45970,,,'')":-1840.0042,"CRWV^FE_ESTIMATE(FCF,MEAN,QUARTERLY_ROLL,2028/4F,45970,,,'')":null,"CRWV^FE_ESTIMATE(FCF,MEAN,QUARTERLY_ROLL,2028/3F,45970,,,'')":null,"CRWV^FE_ESTIMATE(FCF,MEAN,QUARTERLY_ROLL,2028/2F,45970,,,'')":null,"CRWV^FE_ESTIMATE(FCF,MEAN,QUARTERLY_ROLL,2028/1F,45970,,,'')":null,"CRWV^FE_ESTIMATE(FCF,MEAN,ANNUAL_ROLL,2027,45970,,,'')":-4798.221,"CRWV^FE_ESTIMATE(FCF,MEAN,QUARTERLY_ROLL,2027/4F,45970,,,'')":null,"CRWV^FE_ESTIMATE(FCF,MEAN,QUARTERLY_ROLL,2027/3F,45970,,,'')":null,"CRWV^FE_ESTIMATE(FCF,MEAN,QUARTERLY_ROLL,2027/2F,45970,,,'')":null,"CRWV^FE_ESTIMATE(FCF,MEAN,QUARTERLY_ROLL,2027/1F,45970,,,'')":null,"CRWV^FE_ESTIMATE(FCF,MEAN,ANNUAL_ROLL,2026,45970,,,'')":-10561.946,"CRWV^FE_ESTIMATE(FCF,MEAN,QUARTERLY_ROLL,2026/4F,45970,,,'')":-1296.0,"CRWV^FE_ESTIMATE(FCF,MEAN,QUARTERLY_ROLL,2026/3F,45970,,,'')":-1733.3334,"CRWV^FE_ESTIMATE(FCF,MEAN,QUARTERLY_ROLL,2026/2F,45970,,,'')":-2359.0,"CRWV^FE_ESTIMATE(FCF,MEAN,QUARTERLY_ROLL,2026/1F,45970,,,'')":-2747.0,"CRWV^FE_ESTIMATE(FCF,MEAN,ANNUAL_ROLL,2025,45970,,,'')":-16617.94,"CRWV^FE_ESTIMATE(FCF,MEAN,QUARTERLY_ROLL,2025/4F,45970,,,'')":-9329.0,"CRWV^FE_ESTIMATE(FCF,MEAN,QUARTERLY_ROLL,2025/3F,45970,,,'')":-2438.6287,"CRWV^FE_ESTIMATE(FCF,MEAN,QUARTERLY_ROLL,2025/2F,45970,,,'')":-2783.9143,"CRWV^FE_ESTIMATE(FCF,MEAN,QUARTERLY_ROLL,2025/1F,45970,,,'')":-1346.0,"CRWV^FE_ESTIMATE(FCF,MEAN,ANNUAL_ROLL,2024,45970,,,'')":-5952.9443,"CRWV^FE_ESTIMATE(FCF,MEAN,QUARTERLY_ROLL,2024/4F,45970,,,'')":-3476.0,"CRWV^FE_ESTIMATE(FCF,MEAN,QUARTERLY_ROLL,2024/3F,45970,,,'')":null,"CRWV^FE_ESTIMATE(FCF,MEAN,QUARTERLY_ROLL,2024/2F,45970,,,'')":null,"CRWV^FE_ESTIMATE(FCF,MEAN,QUARTERLY_ROLL,2024/1F,45970,,,'')":null,"CRWV^FE_ESTIMATE(FCF,MEAN,ANNUAL_ROLL,2023,45970,,,'')":null,"CRWV^FE_ESTIMATE(FCF,MEAN,QUARTERLY_ROLL,2023/4F,45970,,,'')":null,"CRWV^FE_ESTIMATE(FCF,MEAN,QUARTERLY_ROLL,2023/3F,45970,,,'')":null,"CRWV^FE_ESTIMATE(FCF,MEAN,QUARTERLY_ROLL,2023/2F,45970,,,'')":null,"CRWV^FE_ESTIMATE(FCF,MEAN,QUARTERLY_ROLL,2023/1F,45970,,,'')":null,"CRWV^FE_ESTIMATE(FCF,MEAN,ANNUAL_ROLL,2022,45970,,,'')":null,"CRWV^FE_ESTIMATE(FCF,MEAN,QUARTERLY_ROLL,2022/4F,45970,,,'')":null,"CRWV^FE_ESTIMATE(FCF,MEAN,QUARTERLY_ROLL,2022/3F,45970,,,'')":null,"CRWV^FE_ESTIMATE(FCF,MEAN,QUARTERLY_ROLL,2022/2F,45970,,,'')":null,"CRWV^FE_ESTIMATE(FCF,MEAN,QUARTERLY_ROLL,2022/1F,45970,,,'')":null,"CRWV^FE_ESTIMATE(CAPEX,MEAN,ANNUAL_ROLL,2029,45970,,,'')":15975.85,"CRWV^FE_ESTIMATE(CAPEX,MEAN,QUARTERLY_ROLL,2029/4F,45970,,,'')":null,"CRWV^FE_ESTIMATE(CAPEX,MEAN,QUARTERLY_ROLL,2029/3F,45970,,,'')":null,"CRWV^FE_ESTIMATE(CAPEX,MEAN,QUARTERLY_ROLL,2029/2F,45970,,,'')":null,"CRWV^FE_ESTIMATE(CAPEX,MEAN,QUARTERLY_ROLL,2029/1F,45970,,,'')":null,"CRWV^FE_ESTIMATE(CAPEX,MEAN,ANNUAL_ROLL,2028,45970,,,'')":18605.6,"CRWV^FE_ESTIMATE(CAPEX,MEAN,QUARTERLY_ROLL,2028/4F,45970,,,'')":null,"CRWV^FE_ESTIMATE(CAPEX,MEAN,QUARTERLY_ROLL,2028/3F,45970,,,'')":null,"CRWV^FE_ESTIMATE(CAPEX,MEAN,QUARTERLY_ROLL,2028/2F,45970,,,'')":null,"CRWV^FE_ESTIMATE(CAPEX,MEAN,QUARTERLY_ROLL,2028/1F,45970,,,'')":null,"CRWV^FE_ESTIMATE(CAPEX,MEAN,ANNUAL_ROLL,2027,45970,,,'')":16330.655,"CRWV^FE_ESTIMATE(CAPEX,MEAN,QUARTERLY_ROLL,2027/4F,45970,,,'')":5300.1,"CRWV^FE_ESTIMATE(CAPEX,MEAN,QUARTERLY_ROLL,2027/3F,45970,,,'')":5300.1,"CRWV^FE_ESTIMATE(CAPEX,MEAN,QUARTERLY_ROLL,2027/2F,45970,,,'')":5300.1,"CRWV^FE_ESTIMATE(CAPEX,MEAN,QUARTERLY_ROLL,2027/1F,45970,,,'')":5300.1,"CRWV^FE_ESTIMATE(CAPEX,MEAN,ANNUAL_ROLL,2026,45970,,,'')":17992.283,"CRWV^FE_ESTIMATE(CAPEX,MEAN,QUARTERLY_ROLL,2026/4F,45970,,,'')":3844.84,"CRWV^FE_ESTIMATE(CAPEX,MEAN,QUARTERLY_ROLL,2026/3F,45970,,,'')":3855.04,"CRWV^FE_ESTIMATE(CAPEX,MEAN,QUARTERLY_ROLL,2026/2F,45970,,,'')":4008.86,"CRWV^FE_ESTIMATE(CAPEX,MEAN,QUARTERLY_ROLL,2026/1F,45970,,,'')":4275.1,"CRWV^FE_ESTIMATE(CAPEX,MEAN,ANNUAL_ROLL,2025,45970,,,'')":20849.693,"CRWV^FE_ESTIMATE(CAPEX,MEAN,QUARTERLY_ROLL,2025/4F,45970,,,'')":13295.45,"CRWV^FE_ESTIMATE(CAPEX,MEAN,QUARTERLY_ROLL,2025/3F,45970,,,'')":3709.189,"CRWV^FE_ESTIMATE(CAPEX,MEAN,QUARTERLY_ROLL,2025/2F,45970,,,'')":2452.992,"CRWV^FE_ESTIMATE(CAPEX,MEAN,QUARTERLY_ROLL,2025/1F,45970,,,'')":1407.359,"CRWV^FE_ESTIMATE(CAPEX,MEAN,ANNUAL_ROLL,2024,45970,,,'')":8770.176,"CRWV^FE_ESTIMATE(CAPEX,MEAN,QUARTERLY_ROLL,2024/4F,45970,,,'')":3151.0667,"CRWV^FE_ESTIMATE(CAPEX,MEAN,QUARTERLY_ROLL,2024/3F,45970,,,'')":null,"CRWV^FE_ESTIMATE(CAPEX,MEAN,QUARTERLY_ROLL,2024/2F,45970,,,'')":null,"CRWV^FE_ESTIMATE(CAPEX,MEAN,QUARTERLY_ROLL,2024/1F,45970,,,'')":null,"CRWV^FE_ESTIMATE(CAPEX,MEAN,ANNUAL_ROLL,2023,45970,,,'')":null,"CRWV^FE_ESTIMATE(CAPEX,MEAN,QUARTERLY_ROLL,2023/4F,45970,,,'')":null,"CRWV^FE_ESTIMATE(CAPEX,MEAN,QUARTERLY_ROLL,2023/3F,45970,,,'')":null,"CRWV^FE_ESTIMATE(CAPEX,MEAN,QUARTERLY_ROLL,2023/2F,45970,,,'')":null,"CRWV^FE_ESTIMATE(CAPEX,MEAN,QUARTERLY_ROLL,2023/1F,45970,,,'')":null,"CRWV^FE_ESTIMATE(CAPEX,MEAN,ANNUAL_ROLL,2022,45970,,,'')":null,"CRWV^FE_ESTIMATE(CAPEX,MEAN,QUARTERLY_ROLL,2022/4F,45970,,,'')":null,"CRWV^FE_ESTIMATE(CAPEX,MEAN,QUARTERLY_ROLL,2022/3F,45970,,,'')":null,"CRWV^FE_ESTIMATE(CAPEX,MEAN,QUARTERLY_ROLL,2022/2F,45970,,,'')":null,"CRWV^FE_ESTIMATE(CAPEX,MEAN,QUARTERLY_ROLL,2022/1F,45970,,,'')":null,"CRWV^FE_ESTIMATE(CFO,MEAN,ANNUAL_ROLL,2029,45970,,,'')":null,"CRWV^FE_ESTIMATE(CFO,MEAN,QUARTERLY_ROLL,2029/4F,45970,,,'')":null,"CRWV^FE_ESTIMATE(CFO,MEAN,QUARTERLY_ROLL,2029/3F,45970,,,'')":null,"CRWV^FE_ESTIMATE(CFO,MEAN,QUARTERLY_ROLL,2029/2F,45970,,,'')":null,"CRWV^FE_ESTIMATE(CFO,MEAN,QUARTERLY_ROLL,2029/1F,45970,,,'')":null,"CRWV^FE_ESTIMATE(CFO,MEAN,ANNUAL_ROLL,2028,45970,,,'')":null,"CRWV^FE_ESTIMATE(CFO,MEAN,QUARTERLY_ROLL,2028/4F,45970,,,'')":null,"CRWV^FE_ESTIMATE(CFO,MEAN,QUARTERLY_ROLL,2028/3F,45970,,,'')":null,"CRWV^FE_ESTIMATE(CFO,MEAN,QUARTERLY_ROLL,2028/2F,45970,,,'')":null,"CRWV^FE_ESTIMATE(CFO,MEAN,QUARTERLY_ROLL,2028/1F,45970,,,'')":null,"CRWV^FE_ESTIMATE(CFO,MEAN,ANNUAL_ROLL,2027,45970,,,'')":11356.98,"CRWV^FE_ESTIMATE(CFO,MEAN,QUARTERLY_ROLL,2027/4F,45970,,,'')":3531.1,"CRWV^FE_ESTIMATE(CFO,MEAN,QUARTERLY_ROLL,2027/3F,45970,,,'')":2803.7,"CRWV^FE_ESTIMATE(CFO,MEAN,QUARTERLY_ROLL,2027/2F,45970,,,'')":2630.8,"CRWV^FE_ESTIMATE(CFO,MEAN,QUARTERLY_ROLL,2027/1F,45970,,,'')":1918.9,"CRWV^FE_ESTIMATE(CFO,MEAN,ANNUAL_ROLL,2026,45970,,,'')":8721.087,"CRWV^FE_ESTIMATE(CFO,MEAN,QUARTERLY_ROLL,2026/4F,45970,,,'')":2162.58,"CRWV^FE_ESTIMATE(CFO,MEAN,QUARTERLY_ROLL,2026/3F,45970,,,'')":2187.6,"CRWV^FE_ESTIMATE(CFO,MEAN,QUARTERLY_ROLL,2026/2F,45970,,,'')":1941.54,"CRWV^FE_ESTIMATE(CFO,MEAN,QUARTERLY_ROLL,2026/1F,45970,,,'')":1832.44,"CRWV^FE_ESTIMATE(CFO,MEAN,ANNUAL_ROLL,2025,45970,,,'')":3081.7092,"CRWV^FE_ESTIMATE(CFO,MEAN,QUARTERLY_ROLL,2025/4F,45970,,,'')":2542.5,"CRWV^FE_ESTIMATE(CFO,MEAN,QUARTERLY_ROLL,2025/3F,45970,,,'')":917.24286,"CRWV^FE_ESTIMATE(CFO,MEAN,QUARTERLY_ROLL,2025/2F,45970,,,'')":-251.8,"CRWV^FE_ESTIMATE(CFO,MEAN,QUARTERLY_ROLL,2025/1F,45970,,,'')":61.04,"CRWV^FE_ESTIMATE(CFO,MEAN,ANNUAL_ROLL,2024,45970,,,'')":2749.104,"CRWV^FE_ESTIMATE(CFO,MEAN,QUARTERLY_ROLL,2024/4F,45970,,,'')":-323.43332,"CRWV^FE_ESTIMATE(CFO,MEAN,QUARTERLY_ROLL,2024/3F,45970,,,'')":null,"CRWV^FE_ESTIMATE(CFO,MEAN,QUARTERLY_ROLL,2024/2F,45970,,,'')":null,"CRWV^FE_ESTIMATE(CFO,MEAN,QUARTERLY_ROLL,2024/1F,45970,,,'')":null,"CRWV^FE_ESTIMATE(CFO,MEAN,ANNUAL_ROLL,2023,45970,,,'')":null,"CRWV^FE_ESTIMATE(CFO,MEAN,QUARTERLY_ROLL,2023/4F,45970,,,'')":null,"CRWV^FE_ESTIMATE(CFO,MEAN,QUARTERLY_ROLL,2023/3F,45970,,,'')":null,"CRWV^FE_ESTIMATE(CFO,MEAN,QUARTERLY_ROLL,2023/2F,45970,,,'')":null,"CRWV^FE_ESTIMATE(CFO,MEAN,QUARTERLY_ROLL,2023/1F,45970,,,'')":null,"CRWV^FE_ESTIMATE(CFO,MEAN,ANNUAL_ROLL,2022,45970,,,'')":null,"CRWV^FE_ESTIMATE(CFO,MEAN,QUARTERLY_ROLL,2022/4F,45970,,,'')":null,"CRWV^FE_ESTIMATE(CFO,MEAN,QUARTERLY_ROLL,2022/3F,45970,,,'')":null,"CRWV^FE_ESTIMATE(CFO,MEAN,QUARTERLY_ROLL,2022/2F,45970,,,'')":null,"CRWV^FE_ESTIMATE(CFO,MEAN,QUARTERLY_ROLL,2022/1F,45970,,,'')":null,"CRWV^FE_ESTIMATE(EPS,MEAN,ANNUAL_ROLL,2029,45970,,,'')":4.84,"CRWV^FE_ESTIMATE(EPS,MEAN,QUARTERLY_ROLL,2029/4F,45970,,,'')":null,"CRWV^FE_ESTIMATE(EPS,MEAN,QUARTERLY_ROLL,2029/3F,45970,,,'')":null,"CRWV^FE_ESTIMATE(EPS,MEAN,QUARTERLY_ROLL,2029/2F,45970,,,'')":null,"CRWV^FE_ESTIMATE(EPS,MEAN,QUARTERLY_ROLL,2029/1F,45970,,,'')":null,"CRWV^FE_ESTIMATE(EPS,MEAN,ANNUAL_ROLL,2028,45970,,,'')":3.57668,"CRWV^FE_ESTIMATE(EPS,MEAN,QUARTERLY_ROLL,2028/4F,45970,,,'')":1.4727,"CRWV^FE_ESTIMATE(EPS,MEAN,QUARTERLY_ROLL,2028/3F,45970,,,'')":1.2884,"CRWV^FE_ESTIMATE(EPS,MEAN,QUARTERLY_ROLL,2028/2F,45970,,,'')":1.1317,"CRWV^FE_ESTIMATE(EPS,MEAN,QUARTERLY_ROLL,2028/1F,45970,,,'')":0.9555,"CRWV^FE_ESTIMATE(EPS,MEAN,ANNUAL_ROLL,2027,45970,,,'')":2.2121487,"CRWV^FE_ESTIMATE(EPS,MEAN,QUARTERLY_ROLL,2027/4F,45970,,,'')":0.75191885,"CRWV^FE_ESTIMATE(EPS,MEAN,QUARTERLY_ROLL,2027/3F,45970,,,'')":0.5806941,"CRWV^FE_ESTIMATE(EPS,MEAN,QUARTERLY_ROLL,2027/2F,45970,,,'')":0.43361503,"CRWV^FE_ESTIMATE(EPS,MEAN,QUARTERLY_ROLL,2027/1F,45970,,,'')":0.29571232,"CRWV^FE_ESTIMATE(EPS,MEAN,ANNUAL_ROLL,2026,45970,,,'')":-0.42042065,"CRWV^FE_ESTIMATE(EPS,MEAN,QUARTERLY_ROLL,2026/4F,45970,,,'')":0.0778683,"CRWV^FE_ESTIMATE(EPS,MEAN,QUARTERLY_ROLL,2026/3F,45970,,,'')":-0.086208194,"CRWV^FE_ESTIMATE(EPS,MEAN,QUARTERLY_ROLL,2026/2F,45970,,,'')":-0.10337503,"CRWV^FE_ESTIMATE(EPS,MEAN,QUARTERLY_ROLL,2026/1F,45970,,,'')":-0.33845505,"CRWV^FE_ESTIMATE(EPS,MEAN,ANNUAL_ROLL,2025,45970,,,'')":-1.7698483,"CRWV^FE_ESTIMATE(EPS,MEAN,QUARTERLY_ROLL,2025/4F,45970,,,'')":-0.39520195,"CRWV^FE_ESTIMATE(EPS,MEAN,QUARTERLY_ROLL,2025/3F,45970,,,'')":-0.39620164,"CRWV^FE_ESTIMATE(EPS,MEAN,QUARTERLY_ROLL,2025/2F,45970,,,'')":-0.271792,"CRWV^FE_ESTIMATE(EPS,MEAN,QUARTERLY_ROLL,2025/1F,45970,,,'')":-0.827782,"CRWV^FE_ESTIMATE(EPS,MEAN,ANNUAL_ROLL,2024,45970,,,'')":-0.281601,"CRWV^FE_ESTIMATE(EPS,MEAN,QUARTERLY_ROLL,2024/4F,45970,,,'')":-0.101733334,"CRWV^FE_ESTIMATE(EPS,MEAN,QUARTERLY_ROLL,2024/3F,45970,,,'')":null,"CRWV^FE_ESTIMATE(EPS,MEAN,QUARTERLY_ROLL,2024/2F,45970,,,'')":null,"CRWV^FE_ESTIMATE(EPS,MEAN,QUARTERLY_ROLL,2024/1F,45970,,,'')":null,"CRWV^FE_ESTIMATE(EPS,MEAN,ANNUAL_ROLL,2023,45970,,,'')":null,"CRWV^FE_ESTIMATE(EPS,MEAN,QUARTERLY_ROLL,2023/4F,45970,,,'')":null,"CRWV^FE_ESTIMATE(EPS,MEAN,QUARTERLY_ROLL,2023/3F,45970,,,'')":null,"CRWV^FE_ESTIMATE(EPS,MEAN,QUARTERLY_ROLL,2023/2F,45970,,,'')":null,"CRWV^FE_ESTIMATE(EPS,MEAN,QUARTERLY_ROLL,2023/1F,45970,,,'')":null,"CRWV^FE_ESTIMATE(EPS,MEAN,ANNUAL_ROLL,2022,45970,,,'')":null,"CRWV^FE_ESTIMATE(EPS,MEAN,QUARTERLY_ROLL,2022/4F,45970,,,'')":null,"CRWV^FE_ESTIMATE(EPS,MEAN,QUARTERLY_ROLL,2022/3F,45970,,,'')":null,"CRWV^FE_ESTIMATE(EPS,MEAN,QUARTERLY_ROLL,2022/2F,45970,,,'')":null,"CRWV^FE_ESTIMATE(EPS,MEAN,QUARTERLY_ROLL,2022/1F,45970,,,'')":null,"CRWV^FE_ESTIMATE(EAG,MEAN,ANNUAL_ROLL,2029,45970,,,'')":2.92,"CRWV^FE_ESTIMATE(EAG,MEAN,QUARTERLY_ROLL,2029/4F,45970,,,'')":null,"CRWV^FE_ESTIMATE(EAG,MEAN,QUARTERLY_ROLL,2029/3F,45970,,,'')":null,"CRWV^FE_ESTIMATE(EAG,MEAN,QUARTERLY_ROLL,2029/2F,45970,,,'')":null,"CRWV^FE_ESTIMATE(EAG,MEAN,QUARTERLY_ROLL,2029/1F,45970,,,'')":null,"CRWV^FE_ESTIMATE(EAG,MEAN,ANNUAL_ROLL,2028,45970,,,'')":2.50145,"CRWV^FE_ESTIMATE(EAG,MEAN,QUARTERLY_ROLL,2028/4F,45970,,,'')":1.0882,"CRWV^FE_ESTIMATE(EAG,MEAN,QUARTERLY_ROLL,2028/3F,45970,,,'')":0.9261,"CRWV^FE_ESTIMATE(EAG,MEAN,QUARTERLY_ROLL,2028/2F,45970,,,'')":0.6555,"CRWV^FE_ESTIMATE(EAG,MEAN,QUARTERLY_ROLL,2028/1F,45970,,,'')":0.4031,"CRWV^FE_ESTIMATE(EAG,MEAN,ANNUAL_ROLL,2027,45970,,,'')":1.336672,"CRWV^FE_ESTIMATE(EAG,MEAN,QUARTERLY_ROLL,2027/4F,45970,,,'')":0.650479,"CRWV^FE_ESTIMATE(EAG,MEAN,QUARTERLY_ROLL,2027/3F,45970,,,'')":0.44811332,"CRWV^FE_ESTIMATE(EAG,MEAN,QUARTERLY_ROLL,2027/2F,45970,,,'')":0.28012568,"CRWV^FE_ESTIMATE(EAG,MEAN,QUARTERLY_ROLL,2027/1F,45970,,,'')":0.047834,"CRWV^FE_ESTIMATE(EAG,MEAN,ANNUAL_ROLL,2026,45970,,,'')":-0.96072,"CRWV^FE_ESTIMATE(EAG,MEAN,QUARTERLY_ROLL,2026/4F,45970,,,'')":0.038856335,"CRWV^FE_ESTIMATE(EAG,MEAN,QUARTERLY_ROLL,2026/3F,45970,,,'')":-0.14614917,"CRWV^FE_ESTIMATE(EAG,MEAN,QUARTERLY_ROLL,2026/2F,45970,,,'')":-0.22438315,"CRWV^FE_ESTIMATE(EAG,MEAN,QUARTERLY_ROLL,2026/1F,45970,,,'')":-0.5718596,"CRWV^FE_ESTIMATE(EAG,MEAN,ANNUAL_ROLL,2025,45970,,,'')":-2.7166703,"CRWV^FE_ESTIMATE(EAG,MEAN,QUARTERLY_ROLL,2025/4F,45970,,,'')":-0.5015791,"CRWV^FE_ESTIMATE(EAG,MEAN,QUARTERLY_ROLL,2025/3F,45970,,,'')":-0.5364669,"CRWV^FE_ESTIMATE(EAG,MEAN,QUARTERLY_ROLL,2025/2F,45970,,,'')":-0.6,"CRWV^FE_ESTIMATE(EAG,MEAN,QUARTERLY_ROLL,2025/1F,45970,,,'')":-1.49,"CRWV^FE_ESTIMATE(EAG,MEAN,ANNUAL_ROLL,2024,45970,,,'')":-2.8925,"CRWV^FE_ESTIMATE(EAG,MEAN,QUARTERLY_ROLL,2024/4F,45970,,,'')":-0.21,"CRWV^FE_ESTIMATE(EAG,MEAN,QUARTERLY_ROLL,2024/3F,45970,,,'')":null,"CRWV^FE_ESTIMATE(EAG,MEAN,QUARTERLY_ROLL,2024/2F,45970,,,'')":null,"CRWV^FE_ESTIMATE(EAG,MEAN,QUARTERLY_ROLL,2024/1F,45970,,,'')":null,"CRWV^FE_ESTIMATE(EAG,MEAN,ANNUAL_ROLL,2023,45970,,,'')":null,"CRWV^FE_ESTIMATE(EAG,MEAN,QUARTERLY_ROLL,2023/4F,45970,,,'')":null,"CRWV^FE_ESTIMATE(EAG,MEAN,QUARTERLY_ROLL,2023/3F,45970,,,'')":null,"CRWV^FE_ESTIMATE(EAG,MEAN,QUARTERLY_ROLL,2023/2F,45970,,,'')":null,"CRWV^FE_ESTIMATE(EAG,MEAN,QUARTERLY_ROLL,2023/1F,45970,,,'')":null,"CRWV^FE_ESTIMATE(EAG,MEAN,ANNUAL_ROLL,2022,45970,,,'')":null,"CRWV^FE_ESTIMATE(EAG,MEAN,QUARTERLY_ROLL,2022/4F,45970,,,'')":null,"CRWV^FE_ESTIMATE(EAG,MEAN,QUARTERLY_ROLL,2022/3F,45970,,,'')":null,"CRWV^FE_ESTIMATE(EAG,MEAN,QUARTERLY_ROLL,2022/2F,45970,,,'')":null,"CRWV^FE_ESTIMATE(EAG,MEAN,QUARTERLY_ROLL,2022/1F,45970,,,'')":null,"CRWV^FE_ESTIMATE(EBIT,MEAN,ANNUAL_ROLL,2029,45970,,,'')":8592.767,"CRWV^FE_ESTIMATE(EBIT,MEAN,QUARTERLY_ROLL,2029/4F,45970,,,'')":null,"CRWV^FE_ESTIMATE(EBIT,MEAN,QUARTERLY_ROLL,2029/3F,45970,,,'')":null,"CRWV^FE_ESTIMATE(EBIT,MEAN,QUARTERLY_ROLL,2029/2F,45970,,,'')":null,"CRWV^FE_ESTIMATE(EBIT,MEAN,QUARTERLY_ROLL,2029/1F,45970,,,'')":null,"CRWV^FE_ESTIMATE(EBIT,MEAN,ANNUAL_ROLL,2028,45970,,,'')":6812.187,"CRWV^FE_ESTIMATE(EBIT,MEAN,QUARTERLY_ROLL,2028/4F,45970,,,'')":null,"CRWV^FE_ESTIMATE(EBIT,MEAN,QUARTERLY_ROLL,2028/3F,45970,,,'')":null,"CRWV^FE_ESTIMATE(EBIT,MEAN,QUARTERLY_ROLL,2028/2F,45970,,,'')":null,"CRWV^FE_ESTIMATE(EBIT,MEAN,QUARTERLY_ROLL,2028/1F,45970,,,'')":null,"CRWV^FE_ESTIMATE(EBIT,MEAN,ANNUAL_ROLL,2027,45970,,,'')":4634.881,"CRWV^FE_ESTIMATE(EBIT,MEAN,QUARTERLY_ROLL,2027/4F,45970,,,'')":1254.4479,"CRWV^FE_ESTIMATE(EBIT,MEAN,QUARTERLY_ROLL,2027/3F,45970,,,'')":1147.2551,"CRWV^FE_ESTIMATE(EBIT,MEAN,QUARTERLY_ROLL,2027/2F,45970,,,'')":1068.1716,"CRWV^FE_ESTIMATE(EBIT,MEAN,QUARTERLY_ROLL,2027/1F,45970,,,'')":970.4211,"CRWV^FE_ESTIMATE(EBIT,MEAN,ANNUAL_ROLL,2026,45970,,,'')":2669.06,"CRWV^FE_ESTIMATE(EBIT,MEAN,QUARTERLY_ROLL,2026/4F,45970,,,'')":836.5447,"CRWV^FE_ESTIMATE(EBIT,MEAN,QUARTERLY_ROLL,2026/3F,45970,,,'')":701.5654,"CRWV^FE_ESTIMATE(EBIT,MEAN,QUARTERLY_ROLL,2026/2F,45970,,,'')":633.5307,"CRWV^FE_ESTIMATE(EBIT,MEAN,QUARTERLY_ROLL,2026/1F,45970,,,'')":475.87506,"CRWV^FE_ESTIMATE(EBIT,MEAN,ANNUAL_ROLL,2025,45970,,,'')":802.7664,"CRWV^FE_ESTIMATE(EBIT,MEAN,QUARTERLY_ROLL,2025/4F,45970,,,'')":277.91998,"CRWV^FE_ESTIMATE(EBIT,MEAN,QUARTERLY_ROLL,2025/3F,45970,,,'')":181.01628,"CRWV^FE_ESTIMATE(EBIT,MEAN,QUARTERLY_ROLL,2025/2F,45970,,,'')":199.788,"CRWV^FE_ESTIMATE(EBIT,MEAN,QUARTERLY_ROLL,2025/1F,45970,,,'')":163.0,"CRWV^FE_ESTIMATE(EBIT,MEAN,ANNUAL_ROLL,2024,45970,,,'')":355.90543,"CRWV^FE_ESTIMATE(EBIT,MEAN,QUARTERLY_ROLL,2024/4F,45970,,,'')":119.87622,"CRWV^FE_ESTIMATE(EBIT,MEAN,QUARTERLY_ROLL,2024/3F,45970,,,'')":null,"CRWV^FE_ESTIMATE(EBIT,MEAN,QUARTERLY_ROLL,2024/2F,45970,,,'')":null,"CRWV^FE_ESTIMATE(EBIT,MEAN,QUARTERLY_ROLL,2024/1F,45970,,,'')":null,"CRWV^FE_ESTIMATE(EBIT,MEAN,ANNUAL_ROLL,2023,45970,,,'')":null,"CRWV^FE_ESTIMATE(EBIT,MEAN,QUARTERLY_ROLL,2023/4F,45970,,,'')":null,"CRWV^FE_ESTIMATE(EBIT,MEAN,QUARTERLY_ROLL,2023/3F,45970,,,'')":null,"CRWV^FE_ESTIMATE(EBIT,MEAN,QUARTERLY_ROLL,2023/2F,45970,,,'')":null,"CRWV^FE_ESTIMATE(EBIT,MEAN,QUARTERLY_ROLL,2023/1F,45970,,,'')":null,"CRWV^FE_ESTIMATE(EBIT,MEAN,ANNUAL_ROLL,2022,45970,,,'')":null,"CRWV^FE_ESTIMATE(EBIT,MEAN,QUARTERLY_ROLL,2022/4F,45970,,,'')":null,"CRWV^FE_ESTIMATE(EBIT,MEAN,QUARTERLY_ROLL,2022/3F,45970,,,'')":null,"CRWV^FE_ESTIMATE(EBIT,MEAN,QUARTERLY_ROLL,2022/2F,45970,,,'')":null,"CRWV^FE_ESTIMATE(EBIT,MEAN,QUARTERLY_ROLL,2022/1F,45970,,,'')":null,"CRWV^FE_ESTIMATE(GROSSINCOME,MEAN,ANNUAL_ROLL,2029,45970,,,'')":null,"CRWV^FE_ESTIMATE(GROSSINCOME,MEAN,QUARTERLY_ROLL,2029/4F,45970,,,'')":null,"CRWV^FE_ESTIMATE(GROSSINCOME,MEAN,QUARTERLY_ROLL,2029/3F,45970,,,'')":null,"CRWV^FE_ESTIMATE(GROSSINCOME,MEAN,QUARTERLY_ROLL,2029/2F,45970,,,'')":null,"CRWV^FE_ESTIMATE(GROSSINCOME,MEAN,QUARTERLY_ROLL,2029/1F,45970,,,'')":null,"CRWV^FE_ESTIMATE(GROSSINCOME,MEAN,ANNUAL_ROLL,2028,45970,,,'')":18971.0,"CRWV^FE_ESTIMATE(GROSSINCOME,MEAN,QUARTERLY_ROLL,2028/4F,45970,,,'')":null,"CRWV^FE_ESTIMATE(GROSSINCOME,MEAN,QUARTERLY_ROLL,2028/3F,45970,,,'')":null,"CRWV^FE_ESTIMATE(GROSSINCOME,MEAN,QUARTERLY_ROLL,2028/2F,45970,,,'')":null,"CRWV^FE_ESTIMATE(GROSSINCOME,MEAN,QUARTERLY_ROLL,2028/1F,45970,,,'')":null,"CRWV^FE_ESTIMATE(GROSSINCOME,MEAN,ANNUAL_ROLL,2027,45970,,,'')":14391.44,"CRWV^FE_ESTIMATE(GROSSINCOME,MEAN,QUARTERLY_ROLL,2027/4F,45970,,,'')":3550.03,"CRWV^FE_ESTIMATE(GROSSINCOME,MEAN,QUARTERLY_ROLL,2027/3F,45970,,,'')":3349.208,"CRWV^FE_ESTIMATE(GROSSINCOME,MEAN,QUARTERLY_ROLL,2027/2F,45970,,,'')":3106.588,"CRWV^FE_ESTIMATE(GROSSINCOME,MEAN,QUARTERLY_ROLL,2027/1F,45970,,,'')":2911.9536,"CRWV^FE_ESTIMATE(GROSSINCOME,MEAN,ANNUAL_ROLL,2026,45970,,,'')":8983.872,"CRWV^FE_ESTIMATE(GROSSINCOME,MEAN,QUARTERLY_ROLL,2026/4F,45970,,,'')":2651.812,"CRWV^FE_ESTIMATE(GROSSINCOME,MEAN,QUARTERLY_ROLL,2026/3F,45970,,,'')":2357.6965,"CRWV^FE_ESTIMATE(GROSSINCOME,MEAN,QUARTERLY_ROLL,2026/2F,45970,,,'')":2130.8918,"CRWV^FE_ESTIMATE(GROSSINCOME,MEAN,QUARTERLY_ROLL,2026/1F,45970,,,'')":1799.1306,"CRWV^FE_ESTIMATE(GROSSINCOME,MEAN,ANNUAL_ROLL,2025,45970,,,'')":3892.1057,"CRWV^FE_ESTIMATE(GROSSINCOME,MEAN,QUARTERLY_ROLL,2025/4F,45970,,,'')":1322.4026,"CRWV^FE_ESTIMATE(GROSSINCOME,MEAN,QUARTERLY_ROLL,2025/3F,45970,,,'')":949.0868,"CRWV^FE_ESTIMATE(GROSSINCOME,MEAN,QUARTERLY_ROLL,2025/2F,45970,,,'')":903.6571,"CRWV^FE_ESTIMATE(GROSSINCOME,MEAN,QUARTERLY_ROLL,2025/1F,45970,,,'')":726.7069,"CRWV^FE_ESTIMATE(GROSSINCOME,MEAN,ANNUAL_ROLL,2024,45970,,,'')":1422.8593,"CRWV^FE_ESTIMATE(GROSSINCOME,MEAN,QUARTERLY_ROLL,2024/4F,45970,,,'')":565.6203,"CRWV^FE_ESTIMATE(GROSSINCOME,MEAN,QUARTERLY_ROLL,2024/3F,45970,,,'')":null,"CRWV^FE_ESTIMATE(GROSSINCOME,MEAN,QUARTERLY_ROLL,2024/2F,45970,,,'')":null,"CRWV^FE_ESTIMATE(GROSSINCOME,MEAN,QUARTERLY_ROLL,2024/1F,45970,,,'')":null,"CRWV^FE_ESTIMATE(GROSSINCOME,MEAN,ANNUAL_ROLL,2023,45970,,,'')":null,"CRWV^FE_ESTIMATE(GROSSINCOME,MEAN,QUARTERLY_ROLL,2023/4F,45970,,,'')":null,"CRWV^FE_ESTIMATE(GROSSINCOME,MEAN,QUARTERLY_ROLL,2023/3F,45970,,,'')":null,"CRWV^FE_ESTIMATE(GROSSINCOME,MEAN,QUARTERLY_ROLL,2023/2F,45970,,,'')":null,"CRWV^FE_ESTIMATE(GROSSINCOME,MEAN,QUARTERLY_ROLL,2023/1F,45970,,,'')":null,"CRWV^FE_ESTIMATE(GROSSINCOME,MEAN,ANNUAL_ROLL,2022,45970,,,'')":null,"CRWV^FE_ESTIMATE(GROSSINCOME,MEAN,QUARTERLY_ROLL,2022/4F,45970,,,'')":null,"CRWV^FE_ESTIMATE(GROSSINCOME,MEAN,QUARTERLY_ROLL,2022/3F,45970,,,'')":null,"CRWV^FE_ESTIMATE(GROSSINCOME,MEAN,QUARTERLY_ROLL,2022/2F,45970,,,'')":null,"CRWV^FE_ESTIMATE(GROSSINCOME,MEAN,QUARTERLY_ROLL,2022/1F,45970,,,'')":null,"CRWV^FE_ESTIMATE(SALES,MEAN,ANNUAL_ROLL,2029,45970,,,'')":31999.65,"CRWV^FE_ESTIMATE(SALES,MEAN,QUARTERLY_ROLL,2029/4F,45970,,,'')":null,"CRWV^FE_ESTIMATE(SALES,MEAN,QUARTERLY_ROLL,2029/3F,45970,,,'')":null,"CRWV^FE_ESTIMATE(SALES,MEAN,QUARTERLY_ROLL,2029/2F,45970,,,'')":null,"CRWV^FE_ESTIMATE(SALES,MEAN,QUARTERLY_ROLL,2029/1F,45970,,,'')":null,"CRWV^FE_ESTIMATE(SALES,MEAN,ANNUAL_ROLL,2028,45970,,,'')":25835.004,"CRWV^FE_ESTIMATE(SALES,MEAN,QUARTERLY_ROLL,2028/4F,45970,,,'')":null,"CRWV^FE_ESTIMATE(SALES,MEAN,QUARTERLY_ROLL,2028/3F,45970,,,'')":null,"CRWV^FE_ESTIMATE(SALES,MEAN,QUARTERLY_ROLL,2028/2F,45970,,,'')":null,"CRWV^FE_ESTIMATE(SALES,MEAN,QUARTERLY_ROLL,2028/1F,45970,,,'')":null,"CRWV^FE_ESTIMATE(SALES,MEAN,ANNUAL_ROLL,2027,45970,,,'')":18531.459,"CRWV^FE_ESTIMATE(SALES,MEAN,QUARTERLY_ROLL,2027/4F,45970,,,'')":4723.3213,"CRWV^FE_ESTIMATE(SALES,MEAN,QUARTERLY_ROLL,2027/3F,45970,,,'')":4427.1055,"CRWV^FE_ESTIMATE(SALES,MEAN,QUARTERLY_ROLL,2027/2F,45970,,,'')":4107.5327,"CRWV^FE_ESTIMATE(SALES,MEAN,QUARTERLY_ROLL,2027/1F,45970,,,'')":3812.0593,"CRWV^FE_ESTIMATE(SALES,MEAN,ANNUAL_ROLL,2026,45970,,,'')":12290.918,"CRWV^FE_ESTIMATE(SALES,MEAN,QUARTERLY_ROLL,2026/4F,45970,,,'')":3514.707,"CRWV^FE_ESTIMATE(SALES,MEAN,QUARTERLY_ROLL,2026/3F,45970,,,'')":3130.2395,"CRWV^FE_ESTIMATE(SALES,MEAN,QUARTERLY_ROLL,2026/2F,45970,,,'')":2904.5068,"CRWV^FE_ESTIMATE(SALES,MEAN,QUARTERLY_ROLL,2026/1F,45970,,,'')":2504.8894,"CRWV^FE_ESTIMATE(SALES,MEAN,ANNUAL_ROLL,2025,45970,,,'')":5287.2075,"CRWV^FE_ESTIMATE(SALES,MEAN,QUARTERLY_ROLL,2025/4F,45970,,,'')":1795.1318,"CRWV^FE_ESTIMATE(SALES,MEAN,QUARTERLY_ROLL,2025/3F,45970,,,'')":1286.7863,"CRWV^FE_ESTIMATE(SALES,MEAN,QUARTERLY_ROLL,2025/2F,45970,,,'')":1212.788,"CRWV^FE_ESTIMATE(SALES,MEAN,QUARTERLY_ROLL,2025/1F,45970,,,'')":981.632,"CRWV^FE_ESTIMATE(SALES,MEAN,ANNUAL_ROLL,2024,45970,,,'')":1915.2697,"CRWV^FE_ESTIMATE(SALES,MEAN,QUARTERLY_ROLL,2024/4F,45970,,,'')":747.2792,"CRWV^FE_ESTIMATE(SALES,MEAN,QUARTERLY_ROLL,2024/3F,45970,,,'')":null,"CRWV^FE_ESTIMATE(SALES,MEAN,QUARTERLY_ROLL,2024/2F,45970,,,'')":null,"CRWV^FE_ESTIMATE(SALES,MEAN,QUARTERLY_ROLL,2024/1F,45970,,,'')":null,"CRWV^FE_ESTIMATE(SALES,MEAN,ANNUAL_ROLL,2023,45970,,,'')":null,"CRWV^FE_ESTIMATE(SALES,MEAN,QUARTERLY_ROLL,2023/4F,45970,,,'')":null,"CRWV^FE_ESTIMATE(SALES,MEAN,QUARTERLY_ROLL,2023/3F,45970,,,'')":null,"CRWV^FE_ESTIMATE(SALES,MEAN,QUARTERLY_ROLL,2023/2F,45970,,,'')":null,"CRWV^FE_ESTIMATE(SALES,MEAN,QUARTERLY_ROLL,2023/1F,45970,,,'')":null,"CRWV^FE_ESTIMATE(SALES,MEAN,ANNUAL_ROLL,2022,45970,,,'')":null,"CRWV^FE_ESTIMATE(SALES,MEAN,QUARTERLY_ROLL,2022/4F,45970,,,'')":null,"CRWV^FE_ESTIMATE(SALES,MEAN,QUARTERLY_ROLL,2022/3F,45970,,,'')":null,"CRWV^FE_ESTIMATE(SALES,MEAN,QUARTERLY_ROLL,2022/2F,45970,,,'')":null,"CRWV^FE_ESTIMATE(SALES,MEAN,QUARTERLY_ROLL,2022/1F,45970,,,'')":null,"CRWV^FE_ESTIMATE(TOTAL_RPO,MEAN,ANNUAL_ROLL,2029,45974,,,'')":null,"CRWV^FE_ESTIMATE(TOTAL_RPO,MEAN,QUARTERLY_ROLL,2029/4F,45974,,,'')":null,"CRWV^FE_ESTIMATE(TOTAL_RPO,MEAN,QUARTERLY_ROLL,2029/3F,45974,,,'')":null,"CRWV^FE_ESTIMATE(TOTAL_RPO,MEAN,QUARTERLY_ROLL,2029/2F,45974,,,'')":null,"CRWV^FE_ESTIMATE(TOTAL_RPO,MEAN,QUARTERLY_ROLL,2029/1F,45974,,,'')":null,"CRWV^FE_ESTIMATE(TOTAL_RPO,MEAN,ANNUAL_ROLL,2028,45974,,,'')":null,"CRWV^FE_ESTIMATE(TOTAL_RPO,MEAN,QUARTERLY_ROLL,2028/4F,45974,,,'')":null,"CRWV^FE_ESTIMATE(TOTAL_RPO,MEAN,QUARTERLY_ROLL,2028/3F,45974,,,'')":null,"CRWV^FE_ESTIMATE(TOTAL_RPO,MEAN,QUARTERLY_ROLL,2028/2F,45974,,,'')":null,"CRWV^FE_ESTIMATE(TOTAL_RPO,MEAN,QUARTERLY_ROLL,2028/1F,45974,,,'')":null,"CRWV^FE_ESTIMATE(TOTAL_RPO,MEAN,ANNUAL_ROLL,2027,45974,,,'')":null,"CRWV^FE_ESTIMATE(TOTAL_RPO,MEAN,QUARTERLY_ROLL,2027/4F,45974,,,'')":null,"CRWV^FE_ESTIMATE(TOTAL_RPO,MEAN,QUARTERLY_ROLL,2027/3F,45974,,,'')":null,"CRWV^FE_ESTIMATE(TOTAL_RPO,MEAN,QUARTERLY_ROLL,2027/2F,45974,,,'')":null,"CRWV^FE_ESTIMATE(TOTAL_RPO,MEAN,QUARTERLY_ROLL,2027/1F,45974,,,'')":null,"CRWV^FE_ESTIMATE(TOTAL_RPO,MEAN,ANNUAL_ROLL,2026,45974,,,'')":null,"CRWV^FE_ESTIMATE(TOTAL_RPO,MEAN,QUARTERLY_ROLL,2026/4F,45974,,,'')":null,"CRWV^FE_ESTIMATE(TOTAL_RPO,MEAN,QUARTERLY_ROLL,2026/3F,45974,,,'')":null,"CRWV^FE_ESTIMATE(TOTAL_RPO,MEAN,QUARTERLY_ROLL,2026/2F,45974,,,'')":null,"CRWV^FE_ESTIMATE(TOTAL_RPO,MEAN,QUARTERLY_ROLL,2026/1F,45974,,,'')":null,"CRWV^FE_ESTIMATE(TOTAL_RPO,MEAN,ANNUAL_ROLL,2025,45974,,,'')":null,"CRWV^FE_ESTIMATE(TOTAL_RPO,MEAN,QUARTERLY_ROLL,2025/4F,45974,,,'')":null,"CRWV^FE_ESTIMATE(TOTAL_RPO,MEAN,QUARTERLY_ROLL,2025/3F,45974,,,'')":null,"CRWV^FE_ESTIMATE(TOTAL_RPO,MEAN,QUARTERLY_ROLL,2025/2F,45974,,,'')":null,"CRWV^FE_ESTIMATE(TOTAL_RPO,MEAN,QUARTERLY_ROLL,2025/1F,45974,,,'')":null,"CRWV^FE_ESTIMATE(TOTAL_RPO,MEAN,ANNUAL_ROLL,2024,45974,,,'')":15100.0,"CRWV^FE_ESTIMATE(TOTAL_RPO,MEAN,QUARTERLY_ROLL,2024/4F,45974,,,'')":15100.0,"CRWV^FE_ESTIMATE(TOTAL_RPO,MEAN,QUARTERLY_ROLL,2024/3F,45974,,,'')":null,"CRWV^FE_ESTIMATE(TOTAL_RPO,MEAN,QUARTERLY_ROLL,2024/2F,45974,,,'')":null,"CRWV^FE_ESTIMATE(TOTAL_RPO,MEAN,QUARTERLY_ROLL,2024/1F,45974,,,'')":null,"CRWV^FE_ESTIMATE(TOTAL_RPO,MEAN,ANNUAL_ROLL,2023,45974,,,'')":null,"CRWV^FE_ESTIMATE(TOTAL_RPO,MEAN,QUARTERLY_ROLL,2023/4F,45974,,,'')":null,"CRWV^FE_ESTIMATE(TOTAL_RPO,MEAN,QUARTERLY_ROLL,2023/3F,45974,,,'')":null,"CRWV^FE_ESTIMATE(TOTAL_RPO,MEAN,QUARTERLY_ROLL,2023/2F,45974,,,'')":null,"CRWV^FE_ESTIMATE(TOTAL_RPO,MEAN,QUARTERLY_ROLL,2023/1F,45974,,,'')":null,"CRWV^FE_ESTIMATE(TOTAL_RPO,MEAN,ANNUAL_ROLL,2022,45974,,,'')":null,"CRWV^FE_ESTIMATE(TOTAL_RPO,MEAN,QUARTERLY_ROLL,2022/4F,45974,,,'')":null,"CRWV^FE_ESTIMATE(TOTAL_RPO,MEAN,QUARTERLY_ROLL,2022/3F,45974,,,'')":null,"CRWV^FE_ESTIMATE(TOTAL_RPO,MEAN,QUARTERLY_ROLL,2022/2F,45974,,,'')":null,"CRWV^FE_ESTIMATE(TOTAL_RPO,MEAN,QUARTERLY_ROLL,2022/1F,45974,,,'')":null,"CRWV^FE_ESTIMATE(ARR,MEAN,ANNUAL_ROLL,2029,45974,,,'')":null,"CRWV^FE_ESTIMATE(ARR,MEAN,QUARTERLY_ROLL,2029/4F,45974,,,'')":null,"CRWV^FE_ESTIMATE(ARR,MEAN,QUARTERLY_ROLL,2029/3F,45974,,,'')":null,"CRWV^FE_ESTIMATE(ARR,MEAN,QUARTERLY_ROLL,2029/2F,45974,,,'')":null,"CRWV^FE_ESTIMATE(ARR,MEAN,QUARTERLY_ROLL,2029/1F,45974,,,'')":null,"CRWV^FE_ESTIMATE(ARR,MEAN,ANNUAL_ROLL,2028,45974,,,'')":32918.0,"CRWV^FE_ESTIMATE(ARR,MEAN,QUARTERLY_ROLL,2028/4F,45974,,,'')":null,"CRWV^FE_ESTIMATE(ARR,MEAN,QUARTERLY_ROLL,2028/3F,45974,,,'')":null,"CRWV^FE_ESTIMATE(ARR,MEAN,QUARTERLY_ROLL,2028/2F,45974,,,'')":null,"CRWV^FE_ESTIMATE(ARR,MEAN,QUARTERLY_ROLL,2028/1F,45974,,,'')":null,"CRWV^FE_ESTIMATE(ARR,MEAN,ANNUAL_ROLL,2027,45974,,,'')":27808.0,"CRWV^FE_ESTIMATE(ARR,MEAN,QUARTERLY_ROLL,2027/4F,45974,,,'')":null,"CRWV^FE_ESTIMATE(ARR,MEAN,QUARTERLY_ROLL,2027/3F,45974,,,'')":null,"CRWV^FE_ESTIMATE(ARR,MEAN,QUARTERLY_ROLL,2027/2F,45974,,,'')":null,"CRWV^FE_ESTIMATE(ARR,MEAN,QUARTERLY_ROLL,2027/1F,45974,,,'')":null,"CRWV^FE_ESTIMATE(ARR,MEAN,ANNUAL_ROLL,2026,45974,,,'')":17859.0,"CRWV^FE_ESTIMATE(ARR,MEAN,QUARTERLY_ROLL,2026/4F,45974,,,'')":17859.0,"CRWV^FE_ESTIMATE(ARR,MEAN,QUARTERLY_ROLL,2026/3F,45974,,,'')":14713.0,"CRWV^FE_ESTIMATE(ARR,MEAN,QUARTERLY_ROLL,2026/2F,45974,,,'')":11250.0,"CRWV^FE_ESTIMATE(ARR,MEAN,QUARTERLY_ROLL,2026/1F,45974,,,'')":8906.0,"CRWV^FE_ESTIMATE(ARR,MEAN,ANNUAL_ROLL,2025,45974,,,'')":6160.0,"CRWV^FE_ESTIMATE(ARR,MEAN,QUARTERLY_ROLL,2025/4F,45974,,,'')":6160.0,"CRWV^FE_ESTIMATE(ARR,MEAN,QUARTERLY_ROLL,2025/3F,45974,,,'')":5459.0,"CRWV^FE_ESTIMATE(ARR,MEAN,QUARTERLY_ROLL,2025/2F,45974,,,'')":4851.0,"CRWV^FE_ESTIMATE(ARR,MEAN,QUARTERLY_ROLL,2025/1F,45974,,,'')":null,"CRWV^FE_ESTIMATE(ARR,MEAN,ANNUAL_ROLL,2024,45974,,,'')":3000.0,"CRWV^FE_ESTIMATE(ARR,MEAN,QUARTERLY_ROLL,2024/4F,45974,,,'')":null,"CRWV^FE_ESTIMATE(ARR,MEAN,QUARTERLY_ROLL,2024/3F,45974,,,'')":null,"CRWV^FE_ESTIMATE(ARR,MEAN,QUARTERLY_ROLL,2024/2F,45974,,,'')":null,"CRWV^FE_ESTIMATE(ARR,MEAN,QUARTERLY_ROLL,2024/1F,45974,,,'')":null,"CRWV^FE_ESTIMATE(ARR,MEAN,ANNUAL_ROLL,2023,45974,,,'')":null,"CRWV^FE_ESTIMATE(ARR,MEAN,QUARTERLY_ROLL,2023/4F,45974,,,'')":null,"CRWV^FE_ESTIMATE(ARR,MEAN,QUARTERLY_ROLL,2023/3F,45974,,,'')":null,"CRWV^FE_ESTIMATE(ARR,MEAN,QUARTERLY_ROLL,2023/2F,45974,,,'')":null,"CRWV^FE_ESTIMATE(ARR,MEAN,QUARTERLY_ROLL,2023/1F,45974,,,'')":null,"CRWV^FE_ESTIMATE(ARR,MEAN,ANNUAL_ROLL,2022,45974,,,'')":null,"CRWV^FE_ESTIMATE(ARR,MEAN,QUARTERLY_ROLL,2022/4F,45974,,,'')":null,"CRWV^FE_ESTIMATE(ARR,MEAN,QUARTERLY_ROLL,2022/3F,45974,,,'')":null,"CRWV^FE_ESTIMATE(ARR,MEAN,QUARTERLY_ROLL,2022/2F,45974,,,'')":null,"CRWV^FE_ESTIMATE(ARR,MEAN,QUARTERLY_ROLL,2022/1F,45974,,,'')":null,"CRWV^FE_ESTIMATE(NEW_ORDERS_VALUE,MEAN,ANNUAL_ROLL,2029,45974,,,'')":null,"CRWV^FE_ESTIMATE(NEW_ORDERS_VALUE,MEAN,QUARTERLY_ROLL,2029/4F,45974,,,'')":null,"CRWV^FE_ESTIMATE(NEW_ORDERS_VALUE,MEAN,QUARTERLY_ROLL,2029/3F,45974,,,'')":null,"CRWV^FE_ESTIMATE(NEW_ORDERS_VALUE,MEAN,QUARTERLY_ROLL,2029/2F,45974,,,'')":null,"CRWV^FE_ESTIMATE(NEW_ORDERS_VALUE,MEAN,QUARTERLY_ROLL,2029/1F,45974,,,'')":null,"CRWV^FE_ESTIMATE(NEW_ORDERS_VALUE,MEAN,ANNUAL_ROLL,2028,45974,,,'')":null,"CRWV^FE_ESTIMATE(NEW_ORDERS_VALUE,MEAN,QUARTERLY_ROLL,2028/4F,45974,,,'')":null,"CRWV^FE_ESTIMATE(NEW_ORDERS_VALUE,MEAN,QUARTERLY_ROLL,2028/3F,45974,,,'')":null,"CRWV^FE_ESTIMATE(NEW_ORDERS_VALUE,MEAN,QUARTERLY_ROLL,2028/2F,45974,,,'')":null,"CRWV^FE_ESTIMATE(NEW_ORDERS_VALUE,MEAN,QUARTERLY_ROLL,2028/1F,45974,,,'')":null,"CRWV^FE_ESTIMATE(NEW_ORDERS_VALUE,MEAN,ANNUAL_ROLL,2027,45974,,,'')":null,"CRWV^FE_ESTIMATE(NEW_ORDERS_VALUE,MEAN,QUARTERLY_ROLL,2027/4F,45974,,,'')":null,"CRWV^FE_ESTIMATE(NEW_ORDERS_VALUE,MEAN,QUARTERLY_ROLL,2027/3F,45974,,,'')":null,"CRWV^FE_ESTIMATE(NEW_ORDERS_VALUE,MEAN,QUARTERLY_ROLL,2027/2F,45974,,,'')":null,"CRWV^FE_ESTIMATE(NEW_ORDERS_VALUE,MEAN,QUARTERLY_ROLL,2027/1F,45974,,,'')":null,"CRWV^FE_ESTIMATE(NEW_ORDERS_VALUE,MEAN,ANNUAL_ROLL,2026,45974,,,'')":null,"CRWV^FE_ESTIMATE(NEW_ORDERS_VALUE,MEAN,QUARTERLY_ROLL,2026/4F,45974,,,'')":null,"CRWV^FE_ESTIMATE(NEW_ORDERS_VALUE,MEAN,QUARTERLY_ROLL,2026/3F,45974,,,'')":null,"CRWV^FE_ESTIMATE(NEW_ORDERS_VALUE,MEAN,QUARTERLY_ROLL,2026/2F,45974,,,'')":null,"CRWV^FE_ESTIMATE(NEW_ORDERS_VALUE,MEAN,QUARTERLY_ROLL,2026/1F,45974,,,'')":null,"CRWV^FE_ESTIMATE(NEW_ORDERS_VALUE,MEAN,ANNUAL_ROLL,2025,45974,,,'')":null,"CRWV^FE_ESTIMATE(NEW_ORDERS_VALUE,MEAN,QUARTERLY_ROLL,2025/4F,45974,,,'')":null,"CRWV^FE_ESTIMATE(NEW_ORDERS_VALUE,MEAN,QUARTERLY_ROLL,2025/3F,45974,,,'')":null,"CRWV^FE_ESTIMATE(NEW_ORDERS_VALUE,MEAN,QUARTERLY_ROLL,2025/2F,45974,,,'')":null,"CRWV^FE_ESTIMATE(NEW_ORDERS_VALUE,MEAN,QUARTERLY_ROLL,2025/1F,45974,,,'')":null,"CRWV^FE_ESTIMATE(NEW_ORDERS_VALUE,MEAN,ANNUAL_ROLL,2024,45974,,,'')":null,"CRWV^FE_ESTIMATE(NEW_ORDERS_VALUE,MEAN,QUARTERLY_ROLL,2024/4F,45974,,,'')":382.0,"CRWV^FE_ESTIMATE(NEW_ORDERS_VALUE,MEAN,QUARTERLY_ROLL,2024/3F,45974,,,'')":null,"CRWV^FE_ESTIMATE(NEW_ORDERS_VALUE,MEAN,QUARTERLY_ROLL,2024/2F,45974,,,'')":null,"CRWV^FE_ESTIMATE(NEW_ORDERS_VALUE,MEAN,QUARTERLY_ROLL,2024/1F,45974,,,'')":null,"CRWV^FE_ESTIMATE(NEW_ORDERS_VALUE,MEAN,ANNUAL_ROLL,2023,45974,,,'')":null,"CRWV^FE_ESTIMATE(NEW_ORDERS_VALUE,MEAN,QUARTERLY_ROLL,2023/4F,45974,,,'')":null,"CRWV^FE_ESTIMATE(NEW_ORDERS_VALUE,MEAN,QUARTERLY_ROLL,2023/3F,45974,,,'')":null,"CRWV^FE_ESTIMATE(NEW_ORDERS_VALUE,MEAN,QUARTERLY_ROLL,2023/2F,45974,,,'')":null,"CRWV^FE_ESTIMATE(NEW_ORDERS_VALUE,MEAN,QUARTERLY_ROLL,2023/1F,45974,,,'')":null,"CRWV^FE_ESTIMATE(NEW_ORDERS_VALUE,MEAN,ANNUAL_ROLL,2022,45974,,,'')":null,"CRWV^FE_ESTIMATE(NEW_ORDERS_VALUE,MEAN,QUARTERLY_ROLL,2022/4F,45974,,,'')":null,"CRWV^FE_ESTIMATE(NEW_ORDERS_VALUE,MEAN,QUARTERLY_ROLL,2022/3F,45974,,,'')":null,"CRWV^FE_ESTIMATE(NEW_ORDERS_VALUE,MEAN,QUARTERLY_ROLL,2022/2F,45974,,,'')":null,"CRWV^FE_ESTIMATE(NEW_ORDERS_VALUE,MEAN,QUARTERLY_ROLL,2022/1F,45974,,,'')":null,"CRWV^FE_ESTIMATE(TOTALDEBT,MEAN,ANNUAL_ROLL,2029,45974,,,'')":42499.4,"CRWV^FE_ESTIMATE(TOTALDEBT,MEAN,QUARTERLY_ROLL,2029/4F,45974,,,'')":null,"CRWV^FE_ESTIMATE(TOTALDEBT,MEAN,QUARTERLY_ROLL,2029/3F,45974,,,'')":null,"CRWV^FE_ESTIMATE(TOTALDEBT,MEAN,QUARTERLY_ROLL,2029/2F,45974,,,'')":null,"CRWV^FE_ESTIMATE(TOTALDEBT,MEAN,QUARTERLY_ROLL,2029/1F,45974,,,'')":null,"CRWV^FE_ESTIMATE(TOTALDEBT,MEAN,ANNUAL_ROLL,2028,45974,,,'')":42425.3,"CRWV^FE_ESTIMATE(TOTALDEBT,MEAN,QUARTERLY_ROLL,2028/4F,45974,,,'')":null,"CRWV^FE_ESTIMATE(TOTALDEBT,MEAN,QUARTERLY_ROLL,2028/3F,45974,,,'')":null,"CRWV^FE_ESTIMATE(TOTALDEBT,MEAN,QUARTERLY_ROLL,2028/2F,45974,,,'')":null,"CRWV^FE_ESTIMATE(TOTALDEBT,MEAN,QUARTERLY_ROLL,2028/1F,45974,,,'')":null,"CRWV^FE_ESTIMATE(TOTALDEBT,MEAN,ANNUAL_ROLL,2027,45974,,,'')":43324.9,"CRWV^FE_ESTIMATE(TOTALDEBT,MEAN,QUARTERLY_ROLL,2027/4F,45974,,,'')":null,"CRWV^FE_ESTIMATE(TOTALDEBT,MEAN,QUARTERLY_ROLL,2027/3F,45974,,,'')":null,"CRWV^FE_ESTIMATE(TOTALDEBT,MEAN,QUARTERLY_ROLL,2027/2F,45974,,,'')":null,"CRWV^FE_ESTIMATE(TOTALDEBT,MEAN,QUARTERLY_ROLL,2027/1F,45974,,,'')":null,"CRWV^FE_ESTIMATE(TOTALDEBT,MEAN,ANNUAL_ROLL,2026,45974,,,'')":39724.887,"CRWV^FE_ESTIMATE(TOTALDEBT,MEAN,QUARTERLY_ROLL,2026/4F,45974,,,'')":34728.0,"CRWV^FE_ESTIMATE(TOTALDEBT,MEAN,QUARTERLY_ROLL,2026/3F,45974,,,'')":33749.0,"CRWV^FE_ESTIMATE(TOTALDEBT,MEAN,QUARTERLY_ROLL,2026/2F,45974,,,'')":31664.0,"CRWV^FE_ESTIMATE(TOTALDEBT,MEAN,QUARTERLY_ROLL,2026/1F,45974,,,'')":29668.0,"CRWV^FE_ESTIMATE(TOTALDEBT,MEAN,ANNUAL_ROLL,2025,45974,,,'')":24739.623,"CRWV^FE_ESTIMATE(TOTALDEBT,MEAN,QUARTERLY_ROLL,2025/4F,45974,,,'')":25920.45,"CRWV^FE_ESTIMATE(TOTALDEBT,MEAN,QUARTERLY_ROLL,2025/3F,45974,,,'')":17121.7,"CRWV^FE_ESTIMATE(TOTALDEBT,MEAN,QUARTERLY_ROLL,2025/2F,45974,,,'')":11083.5,"CRWV^FE_ESTIMATE(TOTALDEBT,MEAN,QUARTERLY_ROLL,2025/1F,45974,,,'')":8711.85,"CRWV^FE_ESTIMATE(TOTALDEBT,MEAN,ANNUAL_ROLL,2024,45974,,,'')":7944.588,"CRWV^FE_ESTIMATE(TOTALDEBT,MEAN,QUARTERLY_ROLL,2024/4F,45974,,,'')":7949.15,"CRWV^FE_ESTIMATE(TOTALDEBT,MEAN,QUARTERLY_ROLL,2024/3F,45974,,,'')":null,"CRWV^FE_ESTIMATE(TOTALDEBT,MEAN,QUARTERLY_ROLL,2024/2F,45974,,,'')":null,"CRWV^FE_ESTIMATE(TOTALDEBT,MEAN,QUARTERLY_ROLL,2024/1F,45974,,,'')":null,"CRWV^FE_ESTIMATE(TOTALDEBT,MEAN,ANNUAL_ROLL,2023,45974,,,'')":null,"CRWV^FE_ESTIMATE(TOTALDEBT,MEAN,QUARTERLY_ROLL,2023/4F,45974,,,'')":null,"CRWV^FE_ESTIMATE(TOTALDEBT,MEAN,QUARTERLY_ROLL,2023/3F,45974,,,'')":null,"CRWV^FE_ESTIMATE(TOTALDEBT,MEAN,QUARTERLY_ROLL,2023/2F,45974,,,'')":null,"CRWV^FE_ESTIMATE(TOTALDEBT,MEAN,QUARTERLY_ROLL,2023/1F,45974,,,'')":null,"CRWV^FE_ESTIMATE(TOTALDEBT,MEAN,ANNUAL_ROLL,2022,45974,,,'')":null,"CRWV^FE_ESTIMATE(TOTALDEBT,MEAN,QUARTERLY_ROLL,2022/4F,45974,,,'')":null,"CRWV^FE_ESTIMATE(TOTALDEBT,MEAN,QUARTERLY_ROLL,2022/3F,45974,,,'')":null,"CRWV^FE_ESTIMATE(TOTALDEBT,MEAN,QUARTERLY_ROLL,2022/2F,45974,,,'')":null,"CRWV^FE_ESTIMATE(TOTALDEBT,MEAN,QUARTERLY_ROLL,2022/1F,45974,,,'')":null,"CRWV^FE_ESTIMATE(DEFREVENUE,MEAN,ANNUAL_ROLL,2029,45974,,,'')":21537.4,"CRWV^FE_ESTIMATE(DEFREVENUE,MEAN,QUARTERLY_ROLL,2029/4F,45974,,,'')":null,"CRWV^FE_ESTIMATE(DEFREVENUE,MEAN,QUARTERLY_ROLL,2029/3F,45974,,,'')":null,"CRWV^FE_ESTIMATE(DEFREVENUE,MEAN,QUARTERLY_ROLL,2029/2F,45974,,,'')":null,"CRWV^FE_ESTIMATE(DEFREVENUE,MEAN,QUARTERLY_ROLL,2029/1F,45974,,,'')":null,"CRWV^FE_ESTIMATE(DEFREVENUE,MEAN,ANNUAL_ROLL,2028,45974,,,'')":18524.1,"CRWV^FE_ESTIMATE(DEFREVENUE,MEAN,QUARTERLY_ROLL,2028/4F,45974,,,'')":null,"CRWV^FE_ESTIMATE(DEFREVENUE,MEAN,QUARTERLY_ROLL,2028/3F,45974,,,'')":null,"CRWV^FE_ESTIMATE(DEFREVENUE,MEAN,QUARTERLY_ROLL,2028/2F,45974,,,'')":null,"CRWV^FE_ESTIMATE(DEFREVENUE,MEAN,QUARTERLY_ROLL,2028/1F,45974,,,'')":null,"CRWV^FE_ESTIMATE(DEFREVENUE,MEAN,ANNUAL_ROLL,2027,45974,,,'')":13615.5,"CRWV^FE_ESTIMATE(DEFREVENUE,MEAN,QUARTERLY_ROLL,2027/4F,45974,,,'')":8811.1,"CRWV^FE_ESTIMATE(DEFREVENUE,MEAN,QUARTERLY_ROLL,2027/3F,45974,,,'')":8329.1,"CRWV^FE_ESTIMATE(DEFREVENUE,MEAN,QUARTERLY_ROLL,2027/2F,45974,,,'')":7847.1,"CRWV^FE_ESTIMATE(DEFREVENUE,MEAN,QUARTERLY_ROLL,2027/1F,45974,,,'')":7365.2,"CRWV^FE_ESTIMATE(DEFREVENUE,MEAN,ANNUAL_ROLL,2026,45974,,,'')":10330.339,"CRWV^FE_ESTIMATE(DEFREVENUE,MEAN,QUARTERLY_ROLL,2026/4F,45974,,,'')":9952.695,"CRWV^FE_ESTIMATE(DEFREVENUE,MEAN,QUARTERLY_ROLL,2026/3F,45974,,,'')":9973.559,"CRWV^FE_ESTIMATE(DEFREVENUE,MEAN,QUARTERLY_ROLL,2026/2F,45974,,,'')":8772.217,"CRWV^FE_ESTIMATE(DEFREVENUE,MEAN,QUARTERLY_ROLL,2026/1F,45974,,,'')":7475.3306,"CRWV^FE_ESTIMATE(DEFREVENUE,MEAN,ANNUAL_ROLL,2025,45974,,,'')":6145.8994,"CRWV^FE_ESTIMATE(DEFREVENUE,MEAN,QUARTERLY_ROLL,2025/4F,45974,,,'')":6145.8994,"CRWV^FE_ESTIMATE(DEFREVENUE,MEAN,QUARTERLY_ROLL,2025/3F,45974,,,'')":5335.901,"CRWV^FE_ESTIMATE(DEFREVENUE,MEAN,QUARTERLY_ROLL,2025/2F,45974,,,'')":4847.431,"CRWV^FE_ESTIMATE(DEFREVENUE,MEAN,QUARTERLY_ROLL,2025/1F,45974,,,'')":4047.9998,"CRWV^FE_ESTIMATE(DEFREVENUE,MEAN,ANNUAL_ROLL,2024,45974,,,'')":4063.9565,"CRWV^FE_ESTIMATE(DEFREVENUE,MEAN,QUARTERLY_ROLL,2024/4F,45974,,,'')":4063.9565,"CRWV^FE_ESTIMATE(DEFREVENUE,MEAN,QUARTERLY_ROLL,2024/3F,45974,,,'')":null,"CRWV^FE_ESTIMATE(DEFREVENUE,MEAN,QUARTERLY_ROLL,2024/2F,45974,,,'')":null,"CRWV^FE_ESTIMATE(DEFREVENUE,MEAN,QUARTERLY_ROLL,2024/1F,45974,,,'')":null,"CRWV^FE_ESTIMATE(DEFREVENUE,MEAN,ANNUAL_ROLL,2023,45974,,,'')":null,"CRWV^FE_ESTIMATE(DEFREVENUE,MEAN,QUARTERLY_ROLL,2023/4F,45974,,,'')":null,"CRWV^FE_ESTIMATE(DEFREVENUE,MEAN,QUARTERLY_ROLL,2023/3F,45974,,,'')":null,"CRWV^FE_ESTIMATE(DEFREVENUE,MEAN,QUARTERLY_ROLL,2023/2F,45974,,,'')":null,"CRWV^FE_ESTIMATE(DEFREVENUE,MEAN,QUARTERLY_ROLL,2023/1F,45974,,,'')":null,"CRWV^FE_ESTIMATE(DEFREVENUE,MEAN,ANNUAL_ROLL,2022,45974,,,'')":null,"CRWV^FE_ESTIMATE(DEFREVENUE,MEAN,QUARTERLY_ROLL,2022/4F,45974,,,'')":null,"CRWV^FE_ESTIMATE(DEFREVENUE,MEAN,QUARTERLY_ROLL,2022/3F,45974,,,'')":null,"CRWV^FE_ESTIMATE(DEFREVENUE,MEAN,QUARTERLY_ROLL,2022/2F,45974,,,'')":null,"CRWV^FE_ESTIMATE(DEFREVENUE,MEAN,QUARTERLY_ROLL,2022/1F,45974,,,'')":null,"CRWV^FE_ESTIMATE(DEFREVENUE_LT,MEAN,ANNUAL_ROLL,2029,45974,,,'')":null,"CRWV^FE_ESTIMATE(DEFREVENUE_LT,MEAN,QUARTERLY_ROLL,2029/4F,45974,,,'')":null,"CRWV^FE_ESTIMATE(DEFREVENUE_LT,MEAN,QUARTERLY_ROLL,2029/3F,45974,,,'')":null,"CRWV^FE_ESTIMATE(DEFREVENUE_LT,MEAN,QUARTERLY_ROLL,2029/2F,45974,,,'')":null,"CRWV^FE_ESTIMATE(DEFREVENUE_LT,MEAN,QUARTERLY_ROLL,2029/1F,45974,,,'')":null,"CRWV^FE_ESTIMATE(DEFREVENUE_LT,MEAN,ANNUAL_ROLL,2028,45974,,,'')":null,"CRWV^FE_ESTIMATE(DEFREVENUE_LT,MEAN,QUARTERLY_ROLL,2028/4F,45974,,,'')":null,"CRWV^FE_ESTIMATE(DEFREVENUE_LT,MEAN,QUARTERLY_ROLL,2028/3F,45974,,,'')":null,"CRWV^FE_ESTIMATE(DEFREVENUE_LT,MEAN,QUARTERLY_ROLL,2028/2F,45974,,,'')":null,"CRWV^FE_ESTIMATE(DEFREVENUE_LT,MEAN,QUARTERLY_ROLL,2028/1F,45974,,,'')":null,"CRWV^FE_ESTIMATE(DEFREVENUE_LT,MEAN,ANNUAL_ROLL,2027,45974,,,'')":10473.467,"CRWV^FE_ESTIMATE(DEFREVENUE_LT,MEAN,QUARTERLY_ROLL,2027/4F,45974,,,'')":6960.8,"CRWV^FE_ESTIMATE(DEFREVENUE_LT,MEAN,QUARTERLY_ROLL,2027/3F,45974,,,'')":6580.0,"CRWV^FE_ESTIMATE(DEFREVENUE_LT,MEAN,QUARTERLY_ROLL,2027/2F,45974,,,'')":6199.2,"CRWV^FE_ESTIMATE(DEFREVENUE_LT,MEAN,QUARTERLY_ROLL,2027/1F,45974,,,'')":5818.5,"CRWV^FE_ESTIMATE(DEFREVENUE_LT,MEAN,ANNUAL_ROLL,2026,45974,,,'')":8434.567,"CRWV^FE_ESTIMATE(DEFREVENUE_LT,MEAN,QUARTERLY_ROLL,2026/4F,45974,,,'')":8434.567,"CRWV^FE_ESTIMATE(DEFREVENUE_LT,MEAN,QUARTERLY_ROLL,2026/3F,45974,,,'')":7612.4453,"CRWV^FE_ESTIMATE(DEFREVENUE_LT,MEAN,QUARTERLY_ROLL,2026/2F,45974,,,'')":6638.2534,"CRWV^FE_ESTIMATE(DEFREVENUE_LT,MEAN,QUARTERLY_ROLL,2026/1F,45974,,,'')":5529.304,"CRWV^FE_ESTIMATE(DEFREVENUE_LT,MEAN,ANNUAL_ROLL,2025,45974,,,'')":4926.392,"CRWV^FE_ESTIMATE(DEFREVENUE_LT,MEAN,QUARTERLY_ROLL,2025/4F,45974,,,'')":4926.392,"CRWV^FE_ESTIMATE(DEFREVENUE_LT,MEAN,QUARTERLY_ROLL,2025/3F,45974,,,'')":4228.111,"CRWV^FE_ESTIMATE(DEFREVENUE_LT,MEAN,QUARTERLY_ROLL,2025/2F,45974,,,'')":3896.1145,"CRWV^FE_ESTIMATE(DEFREVENUE_LT,MEAN,QUARTERLY_ROLL,2025/1F,45974,,,'')":3611.2346,"CRWV^FE_ESTIMATE(DEFREVENUE_LT,MEAN,ANNUAL_ROLL,2024,45974,,,'')":3294.9941,"CRWV^FE_ESTIMATE(DEFREVENUE_LT,MEAN,QUARTERLY_ROLL,2024/4F,45974,,,'')":3294.9941,"CRWV^FE_ESTIMATE(DEFREVENUE_LT,MEAN,QUARTERLY_ROLL,2024/3F,45974,,,'')":null,"CRWV^FE_ESTIMATE(DEFREVENUE_LT,MEAN,QUARTERLY_ROLL,2024/2F,45974,,,'')":null,"CRWV^FE_ESTIMATE(DEFREVENUE_LT,MEAN,QUARTERLY_ROLL,2024/1F,45974,,,'')":null,"CRWV^FE_ESTIMATE(DEFREVENUE_LT,MEAN,ANNUAL_ROLL,2023,45974,,,'')":null,"CRWV^FE_ESTIMATE(DEFREVENUE_LT,MEAN,QUARTERLY_ROLL,2023/4F,45974,,,'')":null,"CRWV^FE_ESTIMATE(DEFREVENUE_LT,MEAN,QUARTERLY_ROLL,2023/3F,45974,,,'')":null,"CRWV^FE_ESTIMATE(DEFREVENUE_LT,MEAN,QUARTERLY_ROLL,2023/2F,45974,,,'')":null,"CRWV^FE_ESTIMATE(DEFREVENUE_LT,MEAN,QUARTERLY_ROLL,2023/1F,45974,,,'')":null,"CRWV^FE_ESTIMATE(DEFREVENUE_LT,MEAN,ANNUAL_ROLL,2022,45974,,,'')":null,"CRWV^FE_ESTIMATE(DEFREVENUE_LT,MEAN,QUARTERLY_ROLL,2022/4F,45974,,,'')":null,"CRWV^FE_ESTIMATE(DEFREVENUE_LT,MEAN,QUARTERLY_ROLL,2022/3F,45974,,,'')":null,"CRWV^FE_ESTIMATE(DEFREVENUE_LT,MEAN,QUARTERLY_ROLL,2022/2F,45974,,,'')":null,"CRWV^FE_ESTIMATE(DEFREVENUE_LT,MEAN,QUARTERLY_ROLL,2022/1F,45974,,,'')":null,"CRWV^FE_ESTIMATE(DEFREVENUE_ST,MEAN,ANNUAL_ROLL,2029,45974,,,'')":null,"CRWV^FE_ESTIMATE(DEFREVENUE_ST,MEAN,QUARTERLY_ROLL,2029/4F,45974,,,'')":null,"CRWV^FE_ESTIMATE(DEFREVENUE_ST,MEAN,QUARTERLY_ROLL,2029/3F,45974,,,'')":null,"CRWV^FE_ESTIMATE(DEFREVENUE_ST,MEAN,QUARTERLY_ROLL,2029/2F,45974,,,'')":null,"CRWV^FE_ESTIMATE(DEFREVENUE_ST,MEAN,QUARTERLY_ROLL,2029/1F,45974,,,'')":null,"CRWV^FE_ESTIMATE(DEFREVENUE_ST,MEAN,ANNUAL_ROLL,2028,45974,,,'')":null,"CRWV^FE_ESTIMATE(DEFREVENUE_ST,MEAN,QUARTERLY_ROLL,2028/4F,45974,,,'')":null,"CRWV^FE_ESTIMATE(DEFREVENUE_ST,MEAN,QUARTERLY_ROLL,2028/3F,45974,,,'')":null,"CRWV^FE_ESTIMATE(DEFREVENUE_ST,MEAN,QUARTERLY_ROLL,2028/2F,45974,,,'')":null,"CRWV^FE_ESTIMATE(DEFREVENUE_ST,MEAN,QUARTERLY_ROLL,2028/1F,45974,,,'')":null,"CRWV^FE_ESTIMATE(DEFREVENUE_ST,MEAN,ANNUAL_ROLL,2027,45974,,,'')":2371.5667,"CRWV^FE_ESTIMATE(DEFREVENUE_ST,MEAN,QUARTERLY_ROLL,2027/4F,45974,,,'')":1850.3,"CRWV^FE_ESTIMATE(DEFREVENUE_ST,MEAN,QUARTERLY_ROLL,2027/3F,45974,,,'')":1749.1,"CRWV^FE_ESTIMATE(DEFREVENUE_ST,MEAN,QUARTERLY_ROLL,2027/2F,45974,,,'')":1647.9,"CRWV^FE_ESTIMATE(DEFREVENUE_ST,MEAN,QUARTERLY_ROLL,2027/1F,45974,,,'')":1546.7,"CRWV^FE_ESTIMATE(DEFREVENUE_ST,MEAN,ANNUAL_ROLL,2026,45974,,,'')":2254.933,"CRWV^FE_ESTIMATE(DEFREVENUE_ST,MEAN,QUARTERLY_ROLL,2026/4F,45974,,,'')":2254.933,"CRWV^FE_ESTIMATE(DEFREVENUE_ST,MEAN,QUARTERLY_ROLL,2026/3F,45974,,,'')":2038.6248,"CRWV^FE_ESTIMATE(DEFREVENUE_ST,MEAN,QUARTERLY_ROLL,2026/2F,45974,,,'')":1784.807,"CRWV^FE_ESTIMATE(DEFREVENUE_ST,MEAN,QUARTERLY_ROLL,2026/1F,45974,,,'')":1501.8926,"CRWV^FE_ESTIMATE(DEFREVENUE_ST,MEAN,ANNUAL_ROLL,2025,45974,,,'')":1089.2346,"CRWV^FE_ESTIMATE(DEFREVENUE_ST,MEAN,QUARTERLY_ROLL,2025/4F,45974,,,'')":1089.2346,"CRWV^FE_ESTIMATE(DEFREVENUE_ST,MEAN,QUARTERLY_ROLL,2025/3F,45974,,,'')":1107.79,"CRWV^FE_ESTIMATE(DEFREVENUE_ST,MEAN,QUARTERLY_ROLL,2025/2F,45974,,,'')":951.1892,"CRWV^FE_ESTIMATE(DEFREVENUE_ST,MEAN,QUARTERLY_ROLL,2025/1F,45974,,,'')":436.765,"CRWV^FE_ESTIMATE(DEFREVENUE_ST,MEAN,ANNUAL_ROLL,2024,45974,,,'')":768.9443,"CRWV^FE_ESTIMATE(DEFREVENUE_ST,MEAN,QUARTERLY_ROLL,2024/4F,45974,,,'')":768.9443,"CRWV^FE_ESTIMATE(DEFREVENUE_ST,MEAN,QUARTERLY_ROLL,2024/3F,45974,,,'')":null,"CRWV^FE_ESTIMATE(DEFREVENUE_ST,MEAN,QUARTERLY_ROLL,2024/2F,45974,,,'')":null,"CRWV^FE_ESTIMATE(DEFREVENUE_ST,MEAN,QUARTERLY_ROLL,2024/1F,45974,,,'')":null,"CRWV^FE_ESTIMATE(DEFREVENUE_ST,MEAN,ANNUAL_ROLL,2023,45974,,,'')":null,"CRWV^FE_ESTIMATE(DEFREVENUE_ST,MEAN,QUARTERLY_ROLL,2023/4F,45974,,,'')":null,"CRWV^FE_ESTIMATE(DEFREVENUE_ST,MEAN,QUARTERLY_ROLL,2023/3F,45974,,,'')":null,"CRWV^FE_ESTIMATE(DEFREVENUE_ST,MEAN,QUARTERLY_ROLL,2023/2F,45974,,,'')":null,"CRWV^FE_ESTIMATE(DEFREVENUE_ST,MEAN,QUARTERLY_ROLL,2023/1F,45974,,,'')":null,"CRWV^FE_ESTIMATE(DEFREVENUE_ST,MEAN,ANNUAL_ROLL,2022,45974,,,'')":null,"CRWV^FE_ESTIMATE(DEFREVENUE_ST,MEAN,QUARTERLY_ROLL,2022/4F,45974,,,'')":null,"CRWV^FE_ESTIMATE(DEFREVENUE_ST,MEAN,QUARTERLY_ROLL,2022/3F,45974,,,'')":null,"CRWV^FE_ESTIMATE(DEFREVENUE_ST,MEAN,QUARTERLY_ROLL,2022/2F,45974,,,'')":null,"CRWV^FE_ESTIMATE(DEFREVENUE_ST,MEAN,QUARTERLY_ROLL,2022/1F,45974,,,'')":null,"CRWV^FE_ESTIMATE(FCF,MEAN,ANNUAL_ROLL,2029,45974,,,'')":4661.55,"CRWV^FE_ESTIMATE(FCF,MEAN,QUARTERLY_ROLL,2029/4F,45974,,,'')":null,"CRWV^FE_ESTIMATE(FCF,MEAN,QUARTERLY_ROLL,2029/3F,45974,,,'')":null,"CRWV^FE_ESTIMATE(FCF,MEAN,QUARTERLY_ROLL,2029/2F,45974,,,'')":null,"CRWV^FE_ESTIMATE(FCF,MEAN,QUARTERLY_ROLL,2029/1F,45974,,,'')":null,"CRWV^FE_ESTIMATE(FCF,MEAN,ANNUAL_ROLL,2028,45974,,,'')":-814.9515,"CRWV^FE_ESTIMATE(FCF,MEAN,QUARTERLY_ROLL,2028/4F,45974,,,'')":null,"CRWV^FE_ESTIMATE(FCF,MEAN,QUARTERLY_ROLL,2028/3F,45974,,,'')":null,"CRWV^FE_ESTIMATE(FCF,MEAN,QUARTERLY_ROLL,2028/2F,45974,,,'')":null,"CRWV^FE_ESTIMATE(FCF,MEAN,QUARTERLY_ROLL,2028/1F,45974,,,'')":null,"CRWV^FE_ESTIMATE(FCF,MEAN,ANNUAL_ROLL,2027,45974,,,'')":-7712.9683,"CRWV^FE_ESTIMATE(FCF,MEAN,QUARTERLY_ROLL,2027/4F,45974,,,'')":null,"CRWV^FE_ESTIMATE(FCF,MEAN,QUARTERLY_ROLL,2027/3F,45974,,,'')":null,"CRWV^FE_ESTIMATE(FCF,MEAN,QUARTERLY_ROLL,2027/2F,45974,,,'')":null,"CRWV^FE_ESTIMATE(FCF,MEAN,QUARTERLY_ROLL,2027/1F,45974,,,'')":null,"CRWV^FE_ESTIMATE(FCF,MEAN,ANNUAL_ROLL,2026,45974,,,'')":-15094.746,"CRWV^FE_ESTIMATE(FCF,MEAN,QUARTERLY_ROLL,2026/4F,45974,,,'')":-3424.3333,"CRWV^FE_ESTIMATE(FCF,MEAN,QUARTERLY_ROLL,2026/3F,45974,,,'')":-3259.6667,"CRWV^FE_ESTIMATE(FCF,MEAN,QUARTERLY_ROLL,2026/2F,45974,,,'')":-1926.0,"CRWV^FE_ESTIMATE(FCF,MEAN,QUARTERLY_ROLL,2026/1F,45974,,,'')":-3975.0,"CRWV^FE_ESTIMATE(FCF,MEAN,ANNUAL_ROLL,2025,45974,,,'')":-15820.38,"CRWV^FE_ESTIMATE(FCF,MEAN,QUARTERLY_ROLL,2025/4F,45974,,,'')":-9068.543,"CRWV^FE_ESTIMATE(FCF,MEAN,QUARTERLY_ROLL,2025/3F,45974,,,'')":-2632.175,"CRWV^FE_ESTIMATE(FCF,MEAN,QUARTERLY_ROLL,2025/2F,45974,,,'')":-2783.9143,"CRWV^FE_ESTIMATE(FCF,MEAN,QUARTERLY_ROLL,2025/1F,45974,,,'')":-1346.0,"CRWV^FE_ESTIMATE(FCF,MEAN,ANNUAL_ROLL,2024,45974,,,'')":-5952.9443,"CRWV^FE_ESTIMATE(FCF,MEAN,QUARTERLY_ROLL,2024/4F,45974,,,'')":-3476.0,"CRWV^FE_ESTIMATE(FCF,MEAN,QUARTERLY_ROLL,2024/3F,45974,,,'')":null,"CRWV^FE_ESTIMATE(FCF,MEAN,QUARTERLY_ROLL,2024/2F,45974,,,'')":null,"CRWV^FE_ESTIMATE(FCF,MEAN,QUARTERLY_ROLL,2024/1F,45974,,,'')":null,"CRWV^FE_ESTIMATE(FCF,MEAN,ANNUAL_ROLL,2023,45974,,,'')":null,"CRWV^FE_ESTIMATE(FCF,MEAN,QUARTERLY_ROLL,2023/4F,45974,,,'')":null,"CRWV^FE_ESTIMATE(FCF,MEAN,QUARTERLY_ROLL,2023/3F,45974,,,'')":null,"CRWV^FE_ESTIMATE(FCF,MEAN,QUARTERLY_ROLL,2023/2F,45974,,,'')":null,"CRWV^FE_ESTIMATE(FCF,MEAN,QUARTERLY_ROLL,2023/1F,45974,,,'')":null,"CRWV^FE_ESTIMATE(FCF,MEAN,ANNUAL_ROLL,2022,45974,,,'')":null,"CRWV^FE_ESTIMATE(FCF,MEAN,QUARTERLY_ROLL,2022/4F,45974,,,'')":null,"CRWV^FE_ESTIMATE(FCF,MEAN,QUARTERLY_ROLL,2022/3F,45974,,,'')":null,"CRWV^FE_ESTIMATE(FCF,MEAN,QUARTERLY_ROLL,2022/2F,45974,,,'')":null,"CRWV^FE_ESTIMATE(FCF,MEAN,QUARTERLY_ROLL,2022/1F,45974,,,'')":null,"CRWV^FE_ESTIMATE(CAPEX,MEAN,ANNUAL_ROLL,2029,45974,,,'')":15975.85,"CRWV^FE_ESTIMATE(CAPEX,MEAN,QUARTERLY_ROLL,2029/4F,45974,,,'')":null,"CRWV^FE_ESTIMATE(CAPEX,MEAN,QUARTERLY_ROLL,2029/3F,45974,,,'')":null,"CRWV^FE_ESTIMATE(CAPEX,MEAN,QUARTERLY_ROLL,2029/2F,45974,,,'')":null,"CRWV^FE_ESTIMATE(CAPEX,MEAN,QUARTERLY_ROLL,2029/1F,45974,,,'')":null,"CRWV^FE_ESTIMATE(CAPEX,MEAN,ANNUAL_ROLL,2028,45974,,,'')":15188.934,"CRWV^FE_ESTIMATE(CAPEX,MEAN,QUARTERLY_ROLL,2028/4F,45974,,,'')":null,"CRWV^FE_ESTIMATE(CAPEX,MEAN,QUARTERLY_ROLL,2028/3F,45974,,,'')":null,"CRWV^FE_ESTIMATE(CAPEX,MEAN,QUARTERLY_ROLL,2028/2F,45974,,,'')":null,"CRWV^FE_ESTIMATE(CAPEX,MEAN,QUARTERLY_ROLL,2028/1F,45974,,,'')":null,"CRWV^FE_ESTIMATE(CAPEX,MEAN,ANNUAL_ROLL,2027,45974,,,'')":20443.855,"CRWV^FE_ESTIMATE(CAPEX,MEAN,QUARTERLY_ROLL,2027/4F,45974,,,'')":5300.1,"CRWV^FE_ESTIMATE(CAPEX,MEAN,QUARTERLY_ROLL,2027/3F,45974,,,'')":5300.1,"CRWV^FE_ESTIMATE(CAPEX,MEAN,QUARTERLY_ROLL,2027/2F,45974,,,'')":5300.1,"CRWV^FE_ESTIMATE(CAPEX,MEAN,QUARTERLY_ROLL,2027/1F,45974,,,'')":5300.1,"CRWV^FE_ESTIMATE(CAPEX,MEAN,ANNUAL_ROLL,2026,45974,,,'')":25196.836,"CRWV^FE_ESTIMATE(CAPEX,MEAN,QUARTERLY_ROLL,2026/4F,45974,,,'')":5777.7,"CRWV^FE_ESTIMATE(CAPEX,MEAN,QUARTERLY_ROLL,2026/3F,45974,,,'')":5338.533,"CRWV^FE_ESTIMATE(CAPEX,MEAN,QUARTERLY_ROLL,2026/2F,45974,,,'')":4925.717,"CRWV^FE_ESTIMATE(CAPEX,MEAN,QUARTERLY_ROLL,2026/1F,45974,,,'')":5896.0835,"CRWV^FE_ESTIMATE(CAPEX,MEAN,ANNUAL_ROLL,2025,45974,,,'')":16086.301,"CRWV^FE_ESTIMATE(CAPEX,MEAN,QUARTERLY_ROLL,2025/4F,45974,,,'')":7374.0127,"CRWV^FE_ESTIMATE(CAPEX,MEAN,QUARTERLY_ROLL,2025/3F,45974,,,'')":3278.786,"CRWV^FE_ESTIMATE(CAPEX,MEAN,QUARTERLY_ROLL,2025/2F,45974,,,'')":2452.992,"CRWV^FE_ESTIMATE(CAPEX,MEAN,QUARTERLY_ROLL,2025/1F,45974,,,'')":1407.359,"CRWV^FE_ESTIMATE(CAPEX,MEAN,ANNUAL_ROLL,2024,45974,,,'')":8770.176,"CRWV^FE_ESTIMATE(CAPEX,MEAN,QUARTERLY_ROLL,2024/4F,45974,,,'')":3151.0667,"CRWV^FE_ESTIMATE(CAPEX,MEAN,QUARTERLY_ROLL,2024/3F,45974,,,'')":null,"CRWV^FE_ESTIMATE(CAPEX,MEAN,QUARTERLY_ROLL,2024/2F,45974,,,'')":null,"CRWV^FE_ESTIMATE(CAPEX,MEAN,QUARTERLY_ROLL,2024/1F,45974,,,'')":null,"CRWV^FE_ESTIMATE(CAPEX,MEAN,ANNUAL_ROLL,2023,45974,,,'')":null,"CRWV^FE_ESTIMATE(CAPEX,MEAN,QUARTERLY_ROLL,2023/4F,45974,,,'')":null,"CRWV^FE_ESTIMATE(CAPEX,MEAN,QUARTERLY_ROLL,2023/3F,45974,,,'')":null,"CRWV^FE_ESTIMATE(CAPEX,MEAN,QUARTERLY_ROLL,2023/2F,45974,,,'')":null,"CRWV^FE_ESTIMATE(CAPEX,MEAN,QUARTERLY_ROLL,2023/1F,45974,,,'')":null,"CRWV^FE_ESTIMATE(CAPEX,MEAN,ANNUAL_ROLL,2022,45974,,,'')":null,"CRWV^FE_ESTIMATE(CAPEX,MEAN,QUARTERLY_ROLL,2022/4F,45974,,,'')":null,"CRWV^FE_ESTIMATE(CAPEX,MEAN,QUARTERLY_ROLL,2022/3F,45974,,,'')":null,"CRWV^FE_ESTIMATE(CAPEX,MEAN,QUARTERLY_ROLL,2022/2F,45974,,,'')":null,"CRWV^FE_ESTIMATE(CAPEX,MEAN,QUARTERLY_ROLL,2022/1F,45974,,,'')":null,"CRWV^FE_ESTIMATE(CFO,MEAN,ANNUAL_ROLL,2029,45974,,,'')":null,"CRWV^FE_ESTIMATE(CFO,MEAN,QUARTERLY_ROLL,2029/4F,45974,,,'')":null,"CRWV^FE_ESTIMATE(CFO,MEAN,QUARTERLY_ROLL,2029/3F,45974,,,'')":null,"CRWV^FE_ESTIMATE(CFO,MEAN,QUARTERLY_ROLL,2029/2F,45974,,,'')":null,"CRWV^FE_ESTIMATE(CFO,MEAN,QUARTERLY_ROLL,2029/1F,45974,,,'')":null,"CRWV^FE_ESTIMATE(CFO,MEAN,ANNUAL_ROLL,2028,45974,,,'')":null,"CRWV^FE_ESTIMATE(CFO,MEAN,QUARTERLY_ROLL,2028/4F,45974,,,'')":null,"CRWV^FE_ESTIMATE(CFO,MEAN,QUARTERLY_ROLL,2028/3F,45974,,,'')":null,"CRWV^FE_ESTIMATE(CFO,MEAN,QUARTERLY_ROLL,2028/2F,45974,,,'')":null,"CRWV^FE_ESTIMATE(CFO,MEAN,QUARTERLY_ROLL,2028/1F,45974,,,'')":null,"CRWV^FE_ESTIMATE(CFO,MEAN,ANNUAL_ROLL,2027,45974,,,'')":10832.98,"CRWV^FE_ESTIMATE(CFO,MEAN,QUARTERLY_ROLL,2027/4F,45974,,,'')":3531.1,"CRWV^FE_ESTIMATE(CFO,MEAN,QUARTERLY_ROLL,2027/3F,45974,,,'')":2803.7,"CRWV^FE_ESTIMATE(CFO,MEAN,QUARTERLY_ROLL,2027/2F,45974,,,'')":2630.8,"CRWV^FE_ESTIMATE(CFO,MEAN,QUARTERLY_ROLL,2027/1F,45974,,,'')":1918.9,"CRWV^FE_ESTIMATE(CFO,MEAN,ANNUAL_ROLL,2026,45974,,,'')":8609.008,"CRWV^FE_ESTIMATE(CFO,MEAN,QUARTERLY_ROLL,2026/4F,45974,,,'')":2175.15,"CRWV^FE_ESTIMATE(CFO,MEAN,QUARTERLY_ROLL,2026/3F,45974,,,'')":2268.8333,"CRWV^FE_ESTIMATE(CFO,MEAN,QUARTERLY_ROLL,2026/2F,45974,,,'')":2034.6167,"CRWV^FE_ESTIMATE(CFO,MEAN,QUARTERLY_ROLL,2026/1F,45974,,,'')":1608.0333,"CRWV^FE_ESTIMATE(CFO,MEAN,ANNUAL_ROLL,2025,45974,,,'')":2868.191,"CRWV^FE_ESTIMATE(CFO,MEAN,QUARTERLY_ROLL,2025/4F,45974,,,'')":2185.5,"CRWV^FE_ESTIMATE(CFO,MEAN,QUARTERLY_ROLL,2025/3F,45974,,,'')":1689.0,"CRWV^FE_ESTIMATE(CFO,MEAN,QUARTERLY_ROLL,2025/2F,45974,,,'')":-251.8,"CRWV^FE_ESTIMATE(CFO,MEAN,QUARTERLY_ROLL,2025/1F,45974,,,'')":61.04,"CRWV^FE_ESTIMATE(CFO,MEAN,ANNUAL_ROLL,2024,45974,,,'')":2749.104,"CRWV^FE_ESTIMATE(CFO,MEAN,QUARTERLY_ROLL,2024/4F,45974,,,'')":-323.43332,"CRWV^FE_ESTIMATE(CFO,MEAN,QUARTERLY_ROLL,2024/3F,45974,,,'')":null,"CRWV^FE_ESTIMATE(CFO,MEAN,QUARTERLY_ROLL,2024/2F,45974,,,'')":null,"CRWV^FE_ESTIMATE(CFO,MEAN,QUARTERLY_ROLL,2024/1F,45974,,,'')":null,"CRWV^FE_ESTIMATE(CFO,MEAN,ANNUAL_ROLL,2023,45974,,,'')":null,"CRWV^FE_ESTIMATE(CFO,MEAN,QUARTERLY_ROLL,2023/4F,45974,,,'')":null,"CRWV^FE_ESTIMATE(CFO,MEAN,QUARTERLY_ROLL,2023/3F,45974,,,'')":null,"CRWV^FE_ESTIMATE(CFO,MEAN,QUARTERLY_ROLL,2023/2F,45974,,,'')":null,"CRWV^FE_ESTIMATE(CFO,MEAN,QUARTERLY_ROLL,2023/1F,45974,,,'')":null,"CRWV^FE_ESTIMATE(CFO,MEAN,ANNUAL_ROLL,2022,45974,,,'')":null,"CRWV^FE_ESTIMATE(CFO,MEAN,QUARTERLY_ROLL,2022/4F,45974,,,'')":null,"CRWV^FE_ESTIMATE(CFO,MEAN,QUARTERLY_ROLL,2022/3F,45974,,,'')":null,"CRWV^FE_ESTIMATE(CFO,MEAN,QUARTERLY_ROLL,2022/2F,45974,,,'')":null,"CRWV^FE_ESTIMATE(CFO,MEAN,QUARTERLY_ROLL,2022/1F,45974,,,'')":null,"CRWV^FE_ESTIMATE(EPS,MEAN,ANNUAL_ROLL,2029,45974,,,'')":4.84,"CRWV^FE_ESTIMATE(EPS,MEAN,QUARTERLY_ROLL,2029/4F,45974,,,'')":null,"CRWV^FE_ESTIMATE(EPS,MEAN,QUARTERLY_ROLL,2029/3F,45974,,,'')":null,"CRWV^FE_ESTIMATE(EPS,MEAN,QUARTERLY_ROLL,2029/2F,45974,,,'')":null,"CRWV^FE_ESTIMATE(EPS,MEAN,QUARTERLY_ROLL,2029/1F,45974,,,'')":null,"CRWV^FE_ESTIMATE(EPS,MEAN,ANNUAL_ROLL,2028,45974,,,'')":3.76485,"CRWV^FE_ESTIMATE(EPS,MEAN,QUARTERLY_ROLL,2028/4F,45974,,,'')":1.6357,"CRWV^FE_ESTIMATE(EPS,MEAN,QUARTERLY_ROLL,2028/3F,45974,,,'')":1.467,"CRWV^FE_ESTIMATE(EPS,MEAN,QUARTERLY_ROLL,2028/2F,45974,,,'')":1.3311,"CRWV^FE_ESTIMATE(EPS,MEAN,QUARTERLY_ROLL,2028/1F,45974,,,'')":1.1407,"CRWV^FE_ESTIMATE(EPS,MEAN,ANNUAL_ROLL,2027,45974,,,'')":2.0111694,"CRWV^FE_ESTIMATE(EPS,MEAN,QUARTERLY_ROLL,2027/4F,45974,,,'')":0.5942031,"CRWV^FE_ESTIMATE(EPS,MEAN,QUARTERLY_ROLL,2027/3F,45974,,,'')":0.44581163,"CRWV^FE_ESTIMATE(EPS,MEAN,QUARTERLY_ROLL,2027/2F,45974,,,'')":0.3017132,"CRWV^FE_ESTIMATE(EPS,MEAN,QUARTERLY_ROLL,2027/1F,45974,,,'')":0.20448619,"CRWV^FE_ESTIMATE(EPS,MEAN,ANNUAL_ROLL,2026,45974,,,'')":-0.32299754,"CRWV^FE_ESTIMATE(EPS,MEAN,QUARTERLY_ROLL,2026/4F,45974,,,'')":0.06291211,"CRWV^FE_ESTIMATE(EPS,MEAN,QUARTERLY_ROLL,2026/3F,45974,,,'')":-0.05313081,"CRWV^FE_ESTIMATE(EPS,MEAN,QUARTERLY_ROLL,2026/2F,45974,,,'')":0.014601584,"CRWV^FE_ESTIMATE(EPS,MEAN,QUARTERLY_ROLL,2026/1F,45974,,,'')":-0.30628523,"CRWV^FE_ESTIMATE(EPS,MEAN,ANNUAL_ROLL,2025,45974,,,'')":-1.5523016,"CRWV^FE_ESTIMATE(EPS,MEAN,QUARTERLY_ROLL,2025/4F,45974,,,'')":-0.50056237,"CRWV^FE_ESTIMATE(EPS,MEAN,QUARTERLY_ROLL,2025/3F,45974,,,'')":-0.081105,"CRWV^FE_ESTIMATE(EPS,MEAN,QUARTERLY_ROLL,2025/2F,45974,,,'')":-0.271792,"CRWV^FE_ESTIMATE(EPS,MEAN,QUARTERLY_ROLL,2025/1F,45974,,,'')":-0.827782,"CRWV^FE_ESTIMATE(EPS,MEAN,ANNUAL_ROLL,2024,45974,,,'')":-0.281601,"CRWV^FE_ESTIMATE(EPS,MEAN,QUARTERLY_ROLL,2024/4F,45974,,,'')":-0.101733334,"CRWV^FE_ESTIMATE(EPS,MEAN,QUARTERLY_ROLL,2024/3F,45974,,,'')":null,"CRWV^FE_ESTIMATE(EPS,MEAN,QUARTERLY_ROLL,2024/2F,45974,,,'')":null,"CRWV^FE_ESTIMATE(EPS,MEAN,QUARTERLY_ROLL,2024/1F,45974,,,'')":null,"CRWV^FE_ESTIMATE(EPS,MEAN,ANNUAL_ROLL,2023,45974,,,'')":null,"CRWV^FE_ESTIMATE(EPS,MEAN,QUARTERLY_ROLL,2023/4F,45974,,,'')":null,"CRWV^FE_ESTIMATE(EPS,MEAN,QUARTERLY_ROLL,2023/3F,45974,,,'')":null,"CRWV^FE_ESTIMATE(EPS,MEAN,QUARTERLY_ROLL,2023/2F,45974,,,'')":null,"CRWV^FE_ESTIMATE(EPS,MEAN,QUARTERLY_ROLL,2023/1F,45974,,,'')":null,"CRWV^FE_ESTIMATE(EPS,MEAN,ANNUAL_ROLL,2022,45974,,,'')":null,"CRWV^FE_ESTIMATE(EPS,MEAN,QUARTERLY_ROLL,2022/4F,45974,,,'')":null,"CRWV^FE_ESTIMATE(EPS,MEAN,QUARTERLY_ROLL,2022/3F,45974,,,'')":null,"CRWV^FE_ESTIMATE(EPS,MEAN,QUARTERLY_ROLL,2022/2F,45974,,,'')":null,"CRWV^FE_ESTIMATE(EPS,MEAN,QUARTERLY_ROLL,2022/1F,45974,,,'')":null,"CRWV^FE_ESTIMATE(EAG,MEAN,ANNUAL_ROLL,2029,45974,,,'')":2.92,"CRWV^FE_ESTIMATE(EAG,MEAN,QUARTERLY_ROLL,2029/4F,45974,,,'')":null,"CRWV^FE_ESTIMATE(EAG,MEAN,QUARTERLY_ROLL,2029/3F,45974,,,'')":null,"CRWV^FE_ESTIMATE(EAG,MEAN,QUARTERLY_ROLL,2029/2F,45974,,,'')":null,"CRWV^FE_ESTIMATE(EAG,MEAN,QUARTERLY_ROLL,2029/1F,45974,,,'')":null,"CRWV^FE_ESTIMATE(EAG,MEAN,ANNUAL_ROLL,2028,45974,,,'')":2.12,"CRWV^FE_ESTIMATE(EAG,MEAN,QUARTERLY_ROLL,2028/4F,45974,,,'')":0.0591,"CRWV^FE_ESTIMATE(EAG,MEAN,QUARTERLY_ROLL,2028/3F,45974,,,'')":0.0946,"CRWV^FE_ESTIMATE(EAG,MEAN,QUARTERLY_ROLL,2028/2F,45974,,,'')":0.4575,"CRWV^FE_ESTIMATE(EAG,MEAN,QUARTERLY_ROLL,2028/1F,45974,,,'')":0.4884,"CRWV^FE_ESTIMATE(EAG,MEAN,ANNUAL_ROLL,2027,45974,,,'')":0.8133379,"CRWV^FE_ESTIMATE(EAG,MEAN,QUARTERLY_ROLL,2027/4F,45974,,,'')":0.2775235,"CRWV^FE_ESTIMATE(EAG,MEAN,QUARTERLY_ROLL,2027/3F,45974,,,'')":0.140035,"CRWV^FE_ESTIMATE(EAG,MEAN,QUARTERLY_ROLL,2027/2F,45974,,,'')":0.01673525,"CRWV^FE_ESTIMATE(EAG,MEAN,QUARTERLY_ROLL,2027/1F,45974,,,'')":-0.05835075,"CRWV^FE_ESTIMATE(EAG,MEAN,ANNUAL_ROLL,2026,45974,,,'')":-1.1464279,"CRWV^FE_ESTIMATE(EAG,MEAN,QUARTERLY_ROLL,2026/4F,45974,,,'')":-0.08300725,"CRWV^FE_ESTIMATE(EAG,MEAN,QUARTERLY_ROLL,2026/3F,45974,,,'')":-0.22110787,"CRWV^FE_ESTIMATE(EAG,MEAN,QUARTERLY_ROLL,2026/2F,45974,,,'')":-0.33322954,"CRWV^FE_ESTIMATE(EAG,MEAN,QUARTERLY_ROLL,2026/1F,45974,,,'')":-0.51541567,"CRWV^FE_ESTIMATE(EAG,MEAN,ANNUAL_ROLL,2025,45974,,,'')":-2.5756621,"CRWV^FE_ESTIMATE(EAG,MEAN,QUARTERLY_ROLL,2025/4F,45974,,,'')":-0.6619104,"CRWV^FE_ESTIMATE(EAG,MEAN,QUARTERLY_ROLL,2025/3F,45974,,,'')":-0.22,"CRWV^FE_ESTIMATE(EAG,MEAN,QUARTERLY_ROLL,2025/2F,45974,,,'')":-0.6,"CRWV^FE_ESTIMATE(EAG,MEAN,QUARTERLY_ROLL,2025/1F,45974,,,'')":-1.49,"CRWV^FE_ESTIMATE(EAG,MEAN,ANNUAL_ROLL,2024,45974,,,'')":-2.8925,"CRWV^FE_ESTIMATE(EAG,MEAN,QUARTERLY_ROLL,2024/4F,45974,,,'')":-0.21,"CRWV^FE_ESTIMATE(EAG,MEAN,QUARTERLY_ROLL,2024/3F,45974,,,'')":null,"CRWV^FE_ESTIMATE(EAG,MEAN,QUARTERLY_ROLL,2024/2F,45974,,,'')":null,"CRWV^FE_ESTIMATE(EAG,MEAN,QUARTERLY_ROLL,2024/1F,45974,,,'')":null,"CRWV^FE_ESTIMATE(EAG,MEAN,ANNUAL_ROLL,2023,45974,,,'')":null,"CRWV^FE_ESTIMATE(EAG,MEAN,QUARTERLY_ROLL,2023/4F,45974,,,'')":null,"CRWV^FE_ESTIMATE(EAG,MEAN,QUARTERLY_ROLL,2023/3F,45974,,,'')":null,"CRWV^FE_ESTIMATE(EAG,MEAN,QUARTERLY_ROLL,2023/2F,45974,,,'')":null,"CRWV^FE_ESTIMATE(EAG,MEAN,QUARTERLY_ROLL,2023/1F,45974,,,'')":null,"CRWV^FE_ESTIMATE(EAG,MEAN,ANNUAL_ROLL,2022,45974,,,'')":null,"CRWV^FE_ESTIMATE(EAG,MEAN,QUARTERLY_ROLL,2022/4F,45974,,,'')":null,"CRWV^FE_ESTIMATE(EAG,MEAN,QUARTERLY_ROLL,2022/3F,45974,,,'')":null,"CRWV^FE_ESTIMATE(EAG,MEAN,QUARTERLY_ROLL,2022/2F,45974,,,'')":null,"CRWV^FE_ESTIMATE(EAG,MEAN,QUARTERLY_ROLL,2022/1F,45974,,,'')":null,"CRWV^FE_ESTIMATE(EBIT,MEAN,ANNUAL_ROLL,2029,45974,,,'')":8592.767,"CRWV^FE_ESTIMATE(EBIT,MEAN,QUARTERLY_ROLL,2029/4F,45974,,,'')":null,"CRWV^FE_ESTIMATE(EBIT,MEAN,QUARTERLY_ROLL,2029/3F,45974,,,'')":null,"CRWV^FE_ESTIMATE(EBIT,MEAN,QUARTERLY_ROLL,2029/2F,45974,,,'')":null,"CRWV^FE_ESTIMATE(EBIT,MEAN,QUARTERLY_ROLL,2029/1F,45974,,,'')":null,"CRWV^FE_ESTIMATE(EBIT,MEAN,ANNUAL_ROLL,2028,45974,,,'')":7008.8545,"CRWV^FE_ESTIMATE(EBIT,MEAN,QUARTERLY_ROLL,2028/4F,45974,,,'')":null,"CRWV^FE_ESTIMATE(EBIT,MEAN,QUARTERLY_ROLL,2028/3F,45974,,,'')":null,"CRWV^FE_ESTIMATE(EBIT,MEAN,QUARTERLY_ROLL,2028/2F,45974,,,'')":null,"CRWV^FE_ESTIMATE(EBIT,MEAN,QUARTERLY_ROLL,2028/1F,45974,,,'')":null,"CRWV^FE_ESTIMATE(EBIT,MEAN,ANNUAL_ROLL,2027,45974,,,'')":4680.1553,"CRWV^FE_ESTIMATE(EBIT,MEAN,QUARTERLY_ROLL,2027/4F,45974,,,'')":1229.6223,"CRWV^FE_ESTIMATE(EBIT,MEAN,QUARTERLY_ROLL,2027/3F,45974,,,'')":1134.3446,"CRWV^FE_ESTIMATE(EBIT,MEAN,QUARTERLY_ROLL,2027/2F,45974,,,'')":1004.0277,"CRWV^FE_ESTIMATE(EBIT,MEAN,QUARTERLY_ROLL,2027/1F,45974,,,'')":912.4963,"CRWV^FE_ESTIMATE(EBIT,MEAN,ANNUAL_ROLL,2026,45974,,,'')":2542.5093,"CRWV^FE_ESTIMATE(EBIT,MEAN,QUARTERLY_ROLL,2026/4F,45974,,,'')":805.882,"CRWV^FE_ESTIMATE(EBIT,MEAN,QUARTERLY_ROLL,2026/3F,45974,,,'')":682.20245,"CRWV^FE_ESTIMATE(EBIT,MEAN,QUARTERLY_ROLL,2026/2F,45974,,,'')":584.20605,"CRWV^FE_ESTIMATE(EBIT,MEAN,QUARTERLY_ROLL,2026/1F,45974,,,'')":428.9511,"CRWV^FE_ESTIMATE(EBIT,MEAN,ANNUAL_ROLL,2025,45974,,,'')":734.5599,"CRWV^FE_ESTIMATE(EBIT,MEAN,QUARTERLY_ROLL,2025/4F,45974,,,'')":170.70494,"CRWV^FE_ESTIMATE(EBIT,MEAN,QUARTERLY_ROLL,2025/3F,45974,,,'')":217.154,"CRWV^FE_ESTIMATE(EBIT,MEAN,QUARTERLY_ROLL,2025/2F,45974,,,'')":199.788,"CRWV^FE_ESTIMATE(EBIT,MEAN,QUARTERLY_ROLL,2025/1F,45974,,,'')":163.0,"CRWV^FE_ESTIMATE(EBIT,MEAN,ANNUAL_ROLL,2024,45974,,,'')":355.90543,"CRWV^FE_ESTIMATE(EBIT,MEAN,QUARTERLY_ROLL,2024/4F,45974,,,'')":119.87622,"CRWV^FE_ESTIMATE(EBIT,MEAN,QUARTERLY_ROLL,2024/3F,45974,,,'')":null,"CRWV^FE_ESTIMATE(EBIT,MEAN,QUARTERLY_ROLL,2024/2F,45974,,,'')":null,"CRWV^FE_ESTIMATE(EBIT,MEAN,QUARTERLY_ROLL,2024/1F,45974,,,'')":null,"CRWV^FE_ESTIMATE(EBIT,MEAN,ANNUAL_ROLL,2023,45974,,,'')":null,"CRWV^FE_ESTIMATE(EBIT,MEAN,QUARTERLY_ROLL,2023/4F,45974,,,'')":null,"CRWV^FE_ESTIMATE(EBIT,MEAN,QUARTERLY_ROLL,2023/3F,45974,,,'')":null,"CRWV^FE_ESTIMATE(EBIT,MEAN,QUARTERLY_ROLL,2023/2F,45974,,,'')":null,"CRWV^FE_ESTIMATE(EBIT,MEAN,QUARTERLY_ROLL,2023/1F,45974,,,'')":null,"CRWV^FE_ESTIMATE(EBIT,MEAN,ANNUAL_ROLL,2022,45974,,,'')":null,"CRWV^FE_ESTIMATE(EBIT,MEAN,QUARTERLY_ROLL,2022/4F,45974,,,'')":null,"CRWV^FE_ESTIMATE(EBIT,MEAN,QUARTERLY_ROLL,2022/3F,45974,,,'')":null,"CRWV^FE_ESTIMATE(EBIT,MEAN,QUARTERLY_ROLL,2022/2F,45974,,,'')":null,"CRWV^FE_ESTIMATE(EBIT,MEAN,QUARTERLY_ROLL,2022/1F,45974,,,'')":null,"CRWV^FE_ESTIMATE(GROSSINCOME,MEAN,ANNUAL_ROLL,2029,45974,,,'')":null,"CRWV^FE_ESTIMATE(GROSSINCOME,MEAN,QUARTERLY_ROLL,2029/4F,45974,,,'')":null,"CRWV^FE_ESTIMATE(GROSSINCOME,MEAN,QUARTERLY_ROLL,2029/3F,45974,,,'')":null,"CRWV^FE_ESTIMATE(GROSSINCOME,MEAN,QUARTERLY_ROLL,2029/2F,45974,,,'')":null,"CRWV^FE_ESTIMATE(GROSSINCOME,MEAN,QUARTERLY_ROLL,2029/1F,45974,,,'')":null,"CRWV^FE_ESTIMATE(GROSSINCOME,MEAN,ANNUAL_ROLL,2028,45974,,,'')":21494.0,"CRWV^FE_ESTIMATE(GROSSINCOME,MEAN,QUARTERLY_ROLL,2028/4F,45974,,,'')":null,"CRWV^FE_ESTIMATE(GROSSINCOME,MEAN,QUARTERLY_ROLL,2028/3F,45974,,,'')":null,"CRWV^FE_ESTIMATE(GROSSINCOME,MEAN,QUARTERLY_ROLL,2028/2F,45974,,,'')":null,"CRWV^FE_ESTIMATE(GROSSINCOME,MEAN,QUARTERLY_ROLL,2028/1F,45974,,,'')":null,"CRWV^FE_ESTIMATE(GROSSINCOME,MEAN,ANNUAL_ROLL,2027,45974,,,'')":14656.194,"CRWV^FE_ESTIMATE(GROSSINCOME,MEAN,QUARTERLY_ROLL,2027/4F,45974,,,'')":3733.4353,"CRWV^FE_ESTIMATE(GROSSINCOME,MEAN,QUARTERLY_ROLL,2027/3F,45974,,,'')":3494.227,"CRWV^FE_ESTIMATE(GROSSINCOME,MEAN,QUARTERLY_ROLL,2027/2F,45974,,,'')":3226.4355,"CRWV^FE_ESTIMATE(GROSSINCOME,MEAN,QUARTERLY_ROLL,2027/1F,45974,,,'')":2970.1516,"CRWV^FE_ESTIMATE(GROSSINCOME,MEAN,ANNUAL_ROLL,2026,45974,,,'')":8833.234,"CRWV^FE_ESTIMATE(GROSSINCOME,MEAN,QUARTERLY_ROLL,2026/4F,45974,,,'')":2754.4417,"CRWV^FE_ESTIMATE(GROSSINCOME,MEAN,QUARTERLY_ROLL,2026/3F,45974,,,'')":2434.3398,"CRWV^FE_ESTIMATE(GROSSINCOME,MEAN,QUARTERLY_ROLL,2026/2F,45974,,,'')":2096.1648,"CRWV^FE_ESTIMATE(GROSSINCOME,MEAN,QUARTERLY_ROLL,2026/1F,45974,,,'')":1713.752,"CRWV^FE_ESTIMATE(GROSSINCOME,MEAN,ANNUAL_ROLL,2025,45974,,,'')":3752.1953,"CRWV^FE_ESTIMATE(GROSSINCOME,MEAN,QUARTERLY_ROLL,2025/4F,45974,,,'')":1137.0884,"CRWV^FE_ESTIMATE(GROSSINCOME,MEAN,QUARTERLY_ROLL,2025/3F,45974,,,'')":998.3541,"CRWV^FE_ESTIMATE(GROSSINCOME,MEAN,QUARTERLY_ROLL,2025/2F,45974,,,'')":903.4044,"CRWV^FE_ESTIMATE(GROSSINCOME,MEAN,QUARTERLY_ROLL,2025/1F,45974,,,'')":726.7069,"CRWV^FE_ESTIMATE(GROSSINCOME,MEAN,ANNUAL_ROLL,2024,45974,,,'')":1422.8593,"CRWV^FE_ESTIMATE(GROSSINCOME,MEAN,QUARTERLY_ROLL,2024/4F,45974,,,'')":565.6203,"CRWV^FE_ESTIMATE(GROSSINCOME,MEAN,QUARTERLY_ROLL,2024/3F,45974,,,'')":null,"CRWV^FE_ESTIMATE(GROSSINCOME,MEAN,QUARTERLY_ROLL,2024/2F,45974,,,'')":null,"CRWV^FE_ESTIMATE(GROSSINCOME,MEAN,QUARTERLY_ROLL,2024/1F,45974,,,'')":null,"CRWV^FE_ESTIMATE(GROSSINCOME,MEAN,ANNUAL_ROLL,2023,45974,,,'')":null,"CRWV^FE_ESTIMATE(GROSSINCOME,MEAN,QUARTERLY_ROLL,2023/4F,45974,,,'')":null,"CRWV^FE_ESTIMATE(GROSSINCOME,MEAN,QUARTERLY_ROLL,2023/3F,45974,,,'')":null,"CRWV^FE_ESTIMATE(GROSSINCOME,MEAN,QUARTERLY_ROLL,2023/2F,45974,,,'')":null,"CRWV^FE_ESTIMATE(GROSSINCOME,MEAN,QUARTERLY_ROLL,2023/1F,45974,,,'')":null,"CRWV^FE_ESTIMATE(GROSSINCOME,MEAN,ANNUAL_ROLL,2022,45974,,,'')":null,"CRWV^FE_ESTIMATE(GROSSINCOME,MEAN,QUARTERLY_ROLL,2022/4F,45974,,,'')":null,"CRWV^FE_ESTIMATE(GROSSINCOME,MEAN,QUARTERLY_ROLL,2022/3F,45974,,,'')":null,"CRWV^FE_ESTIMATE(GROSSINCOME,MEAN,QUARTERLY_ROLL,2022/2F,45974,,,'')":null,"CRWV^FE_ESTIMATE(GROSSINCOME,MEAN,QUARTERLY_ROLL,2022/1F,45974,,,'')":null,"CRWV^FE_ESTIMATE(SALES,MEAN,ANNUAL_ROLL,2029,45974,,,'')":31999.65,"CRWV^FE_ESTIMATE(SALES,MEAN,QUARTERLY_ROLL,2029/4F,45974,,,'')":null,"CRWV^FE_ESTIMATE(SALES,MEAN,QUARTERLY_ROLL,2029/3F,45974,,,'')":null,"CRWV^FE_ESTIMATE(SALES,MEAN,QUARTERLY_ROLL,2029/2F,45974,,,'')":null,"CRWV^FE_ESTIMATE(SALES,MEAN,QUARTERLY_ROLL,2029/1F,45974,,,'')":null,"CRWV^FE_ESTIMATE(SALES,MEAN,ANNUAL_ROLL,2028,45974,,,'')":27469.156,"CRWV^FE_ESTIMATE(SALES,MEAN,QUARTERLY_ROLL,2028/4F,45974,,,'')":null,"CRWV^FE_ESTIMATE(SALES,MEAN,QUARTERLY_ROLL,2028/3F,45974,,,'')":null,"CRWV^FE_ESTIMATE(SALES,MEAN,QUARTERLY_ROLL,2028/2F,45974,,,'')":null,"CRWV^FE_ESTIMATE(SALES,MEAN,QUARTERLY_ROLL,2028/1F,45974,,,'')":null,"CRWV^FE_ESTIMATE(SALES,MEAN,ANNUAL_ROLL,2027,45974,,,'')":19136.314,"CRWV^FE_ESTIMATE(SALES,MEAN,QUARTERLY_ROLL,2027/4F,45974,,,'')":5087.9814,"CRWV^FE_ESTIMATE(SALES,MEAN,QUARTERLY_ROLL,2027/3F,45974,,,'')":4705.0327,"CRWV^FE_ESTIMATE(SALES,MEAN,QUARTERLY_ROLL,2027/2F,45974,,,'')":4327.559,"CRWV^FE_ESTIMATE(SALES,MEAN,QUARTERLY_ROLL,2027/1F,45974,,,'')":3947.7036,"CRWV^FE_ESTIMATE(SALES,MEAN,ANNUAL_ROLL,2026,45974,,,'')":12172.924,"CRWV^FE_ESTIMATE(SALES,MEAN,QUARTERLY_ROLL,2026/4F,45974,,,'')":3593.894,"CRWV^FE_ESTIMATE(SALES,MEAN,QUARTERLY_ROLL,2026/3F,45974,,,'')":3157.6028,"CRWV^FE_ESTIMATE(SALES,MEAN,QUARTERLY_ROLL,2026/2F,45974,,,'')":2844.256,"CRWV^FE_ESTIMATE(SALES,MEAN,QUARTERLY_ROLL,2026/1F,45974,,,'')":2356.6157,"CRWV^FE_ESTIMATE(SALES,MEAN,ANNUAL_ROLL,2025,45974,,,'')":5163.1465,"CRWV^FE_ESTIMATE(SALES,MEAN,QUARTERLY_ROLL,2025/4F,45974,,,'')":1593.4296,"CRWV^FE_ESTIMATE(SALES,MEAN,QUARTERLY_ROLL,2025/3F,45974,,,'')":1364.676,"CRWV^FE_ESTIMATE(SALES,MEAN,QUARTERLY_ROLL,2025/2F,45974,,,'')":1212.788,"CRWV^FE_ESTIMATE(SALES,MEAN,QUARTERLY_ROLL,2025/1F,45974,,,'')":981.632,"CRWV^FE_ESTIMATE(SALES,MEAN,ANNUAL_ROLL,2024,45974,,,'')":1915.2697,"CRWV^FE_ESTIMATE(SALES,MEAN,QUARTERLY_ROLL,2024/4F,45974,,,'')":747.2792,"CRWV^FE_ESTIMATE(SALES,MEAN,QUARTERLY_ROLL,2024/3F,45974,,,'')":null,"CRWV^FE_ESTIMATE(SALES,MEAN,QUARTERLY_ROLL,2024/2F,45974,,,'')":null,"CRWV^FE_ESTIMATE(SALES,MEAN,QUARTERLY_ROLL,2024/1F,45974,,,'')":null,"CRWV^FE_ESTIMATE(SALES,MEAN,ANNUAL_ROLL,2023,45974,,,'')":null,"CRWV^FE_ESTIMATE(SALES,MEAN,QUARTERLY_ROLL,2023/4F,45974,,,'')":null,"CRWV^FE_ESTIMATE(SALES,MEAN,QUARTERLY_ROLL,2023/3F,45974,,,'')":null,"CRWV^FE_ESTIMATE(SALES,MEAN,QUARTERLY_ROLL,2023/2F,45974,,,'')":null,"CRWV^FE_ESTIMATE(SALES,MEAN,QUARTERLY_ROLL,2023/1F,45974,,,'')":null,"CRWV^FE_ESTIMATE(SALES,MEAN,ANNUAL_ROLL,2022,45974,,,'')":null,"CRWV^FE_ESTIMATE(SALES,MEAN,QUARTERLY_ROLL,2022/4F,45974,,,'')":null,"CRWV^FE_ESTIMATE(SALES,MEAN,QUARTERLY_ROLL,2022/3F,45974,,,'')":null,"CRWV^FE_ESTIMATE(SALES,MEAN,QUARTERLY_ROLL,2022/2F,45974,,,'')":null,"CRWV^FE_ESTIMATE(SALES,MEAN,QUARTERLY_ROLL,2022/1F,45974,,,'')":null,"AVT^FE_ESTIMATE(UFCF,MEAN,CALA_ROLL,2027,45975,,,'')":null,"AVT^FE_ESTIMATE(UFCF,MEAN,CALA_ROLL,2026,45975,,,'')":null,"AVT^FE_ESTIMATE(UFCF,MEAN,CALA_ROLL,2025,45975,,,'')":null,"AVT^FE_ESTIMATE(UFCF,MEAN,CALA_ROLL,2024,45975,,,'')":null,"AVT^FE_ESTIMATE(UFCF,MEAN,CALA_ROLL,2023,45975,,,'')":null,"AVT^FE_ESTIMATE(UFCF,MEAN,NTM4,,45975,,,'')":null,"AVT^FE_ESTIMATE(UFCF,MEAN,LTM4,,45975,,,'')":null,"ARW^FE_ESTIMATE(UFCF,MEAN,CALA_ROLL,2027,45975,,,'')":null,"ARW^FE_ESTIMATE(UFCF,MEAN,CALA_ROLL,2026,45975,,,'')":null,"ARW^FE_ESTIMATE(UFCF,MEAN,CALA_ROLL,2025,45975,,,'')":null,"ARW^FE_ESTIMATE(UFCF,MEAN,CALA_ROLL,2024,45975,,,'')":null,"ARW^FE_ESTIMATE(UFCF,MEAN,CALA_ROLL,2023,45975,,,'')":null,"ARW^FE_ESTIMATE(UFCF,MEAN,NTM4,,45975,,,'')":null,"ARW^FE_ESTIMATE(UFCF,MEAN,LTM4,,45975,,,'')":null,"SNX^FE_ESTIMATE(UFCF,MEAN,CALA_ROLL,2027,45975,,,'')":null,"SNX^FE_ESTIMATE(UFCF,MEAN,CALA_ROLL,2026,45975,,,'')":null,"SNX^FE_ESTIMATE(UFCF,MEAN,CALA_ROLL,2025,45975,,,'')":null,"SNX^FE_ESTIMATE(UFCF,MEAN,CALA_ROLL,2024,45975,,,'')":null,"SNX^FE_ESTIMATE(UFCF,MEAN,CALA_ROLL,2023,45975,,,'')":null,"SNX^FE_ESTIMATE(UFCF,MEAN,NTM4,,45975,,,'')":null,"SNX^FE_ESTIMATE(UFCF,MEAN,LTM4,,45975,,,'')":null,"CDW^FE_ESTIMATE(UFCF,MEAN,CALA_ROLL,2027,45975,,,'')":null,"CDW^FE_ESTIMATE(UFCF,MEAN,CALA_ROLL,2026,45975,,,'')":null,"CDW^FE_ESTIMATE(UFCF,MEAN,CALA_ROLL,2025,45975,,,'')":null,"CDW^FE_ESTIMATE(UFCF,MEAN,CALA_ROLL,2024,45975,,,'')":null,"CDW^FE_ESTIMATE(UFCF,MEAN,CALA_ROLL,2023,45975,,,'')":null,"CDW^FE_ESTIMATE(UFCF,MEAN,NTM4,,45975,,,'')":null,"CDW^FE_ESTIMATE(UFCF,MEAN,LTM4,,45975,,,'')":null,"INGM^FE_ESTIMATE(UFCF,MEAN,CALA_ROLL,2027,45975,,,'')":null,"INGM^FE_ESTIMATE(UFCF,MEAN,CALA_ROLL,2026,45975,,,'')":null,"INGM^FE_ESTIMATE(UFCF,MEAN,CALA_ROLL,2025,45975,,,'')":null,"INGM^FE_ESTIMATE(UFCF,MEAN,CALA_ROLL,2024,45975,,,'')":null,"INGM^FE_ESTIMATE(UFCF,MEAN,CALA_ROLL,2023,45975,,,'')":null,"INGM^FE_ESTIMATE(UFCF,MEAN,NTM4,,45975,,,'')":null,"INGM^FE_ESTIMATE(UFCF,MEAN,LTM4,,45975,,,'')":null,"NBIS^FE_ESTIMATE(UFCF,MEAN,CALA_ROLL,2027,45975,,,'')":null,"NBIS^FE_ESTIMATE(UFCF,MEAN,CALA_ROLL,2026,45975,,,'')":null,"NBIS^FE_ESTIMATE(UFCF,MEAN,CALA_ROLL,2025,45975,,,'')":null,"NBIS^FE_ESTIMATE(UFCF,MEAN,CALA_ROLL,2024,45975,,,'')":null,"NBIS^FE_ESTIMATE(UFCF,MEAN,CALA_ROLL,2023,45975,,,'')":null,"NBIS^FE_ESTIMATE(UFCF,MEAN,NTM4,,45975,,,'')":null,"NBIS^FE_ESTIMATE(UFCF,MEAN,LTM4,,45975,,,'')":null,"DOCN^FE_ESTIMATE(UFCF,MEAN,CALA_ROLL,2027,45975,,,'')":null,"DOCN^FE_ESTIMATE(UFCF,MEAN,CALA_ROLL,2026,45975,,,'')":null,"DOCN^FE_ESTIMATE(UFCF,MEAN,CALA_ROLL,2025,45975,,,'')":null,"DOCN^FE_ESTIMATE(UFCF,MEAN,CALA_ROLL,2024,45975,,,'')":null,"DOCN^FE_ESTIMATE(UFCF,MEAN,CALA_ROLL,2023,45975,,,'')":null,"DOCN^FE_ESTIMATE(UFCF,MEAN,NTM4,,45975,,,'')":null,"DOCN^FE_ESTIMATE(UFCF,MEAN,LTM4,,45975,,,'')":null,"GOOG^FE_ESTIMATE(UFCF,MEAN,CALA_ROLL,2027,45975,,,'')":null,"GOOG^FE_ESTIMATE(UFCF,MEAN,CALA_ROLL,2026,45975,,,'')":null,"GOOG^FE_ESTIMATE(UFCF,MEAN,CALA_ROLL,2025,45975,,,'')":null,"GOOG^FE_ESTIMATE(UFCF,MEAN,CALA_ROLL,2024,45975,,,'')":null,"GOOG^FE_ESTIMATE(UFCF,MEAN,CALA_ROLL,2023,45975,,,'')":null,"GOOG^FE_ESTIMATE(UFCF,MEAN,NTM4,,45975,,,'')":null,"GOOG^FE_ESTIMATE(UFCF,MEAN,LTM4,,45975,,,'')":null,"AMZN^FE_ESTIMATE(UFCF,MEAN,CALA_ROLL,2027,45975,,,'')":null,"AMZN^FE_ESTIMATE(UFCF,MEAN,CALA_ROLL,2026,45975,,,'')":null,"AMZN^FE_ESTIMATE(UFCF,MEAN,CALA_ROLL,2025,45975,,,'')":null,"AMZN^FE_ESTIMATE(UFCF,MEAN,CALA_ROLL,2024,45975,,,'')":null,"AMZN^FE_ESTIMATE(UFCF,MEAN,CALA_ROLL,2023,45975,,,'')":null,"AMZN^FE_ESTIMATE(UFCF,MEAN,NTM4,,45975,,,'')":null,"AMZN^FE_ESTIMATE(UFCF,MEAN,LTM4,,45975,,,'')":null,"ORCL^FE_ESTIMATE(UFCF,MEAN,CALA_ROLL,2027,45975,,,'')":null,"ORCL^FE_ESTIMATE(UFCF,MEAN,CALA_ROLL,2026,45975,,,'')":null,"ORCL^FE_ESTIMATE(UFCF,MEAN,CALA_ROLL,2025,45975,,,'')":null,"ORCL^FE_ESTIMATE(UFCF,MEAN,CALA_ROLL,2024,45975,,,'')":null,"ORCL^FE_ESTIMATE(UFCF,MEAN,CALA_ROLL,2023,45975,,,'')":13482.341,"ORCL^FE_ESTIMATE(UFCF,MEAN,NTM4,,45975,,,'')":null,"ORCL^FE_ESTIMATE(UFCF,MEAN,LTM4,,45975,,,'')":null,"IBM^FE_ESTIMATE(UFCF,MEAN,CALA_ROLL,2027,45975,,,'')":null,"IBM^FE_ESTIMATE(UFCF,MEAN,CALA_ROLL,2026,45975,,,'')":null,"IBM^FE_ESTIMATE(UFCF,MEAN,CALA_ROLL,2025,45975,,,'')":null,"IBM^FE_ESTIMATE(UFCF,MEAN,CALA_ROLL,2024,45975,,,'')":null,"IBM^FE_ESTIMATE(UFCF,MEAN,CALA_ROLL,2023,45975,,,'')":null,"IBM^FE_ESTIMATE(UFCF,MEAN,NTM4,,45975,,,'')":null,"IBM^FE_ESTIMATE(UFCF,MEAN,LTM4,,45975,,,'')":null,"EQIX^FE_ESTIMATE(UFCF,MEAN,CALA_ROLL,2027,45975,,,'')":713.4,"EQIX^FE_ESTIMATE(UFCF,MEAN,CALA_ROLL,2026,45975,,,'')":310.7,"EQIX^FE_ESTIMATE(UFCF,MEAN,CALA_ROLL,2025,45975,,,'')":937.2,"EQIX^FE_ESTIMATE(UFCF,MEAN,CALA_ROLL,2024,45975,,,'')":null,"EQIX^FE_ESTIMATE(UFCF,MEAN,CALA_ROLL,2023,45975,,,'')":null,"EQIX^FE_ESTIMATE(UFCF,MEAN,NTM4,,45975,,,'')":null,"EQIX^FE_ESTIMATE(UFCF,MEAN,LTM4,,45975,,,'')":null,"DLR^FE_ESTIMATE(UFCF,MEAN,CALA_ROLL,2027,45975,,,'')":-33.0,"DLR^FE_ESTIMATE(UFCF,MEAN,CALA_ROLL,2026,45975,,,'')":-306.6,"DLR^FE_ESTIMATE(UFCF,MEAN,CALA_ROLL,2025,45975,,,'')":-948.0,"DLR^FE_ESTIMATE(UFCF,MEAN,CALA_ROLL,2024,45975,,,'')":null,"DLR^FE_ESTIMATE(UFCF,MEAN,CALA_ROLL,2023,45975,,,'')":-1479.6,"DLR^FE_ESTIMATE(UFCF,MEAN,NTM4,,45975,,,'')":null,"DLR^FE_ESTIMATE(UFCF,MEAN,LTM4,,45975,,,'')":null,"NVDA^FE_ESTIMATE(UFCF,MEAN,CALA_ROLL,2027,45975,,,'')":null,"NVDA^FE_ESTIMATE(UFCF,MEAN,CALA_ROLL,2026,45975,,,'')":null,"NVDA^FE_ESTIMATE(UFCF,MEAN,CALA_ROLL,2025,45975,,,'')":null,"NVDA^FE_ESTIMATE(UFCF,MEAN,CALA_ROLL,2024,45975,,,'')":null,"NVDA^FE_ESTIMATE(UFCF,MEAN,CALA_ROLL,2023,45975,,,'')":null,"NVDA^FE_ESTIMATE(UFCF,MEAN,NTM4,,45975,,,'')":null,"NVDA^FE_ESTIMATE(UFCF,MEAN,LTM4,,45975,,,'')":null,"MSFT^FE_ESTIMATE(UFCF,MEAN,CALA_ROLL,2027,45975,,,'')":null,"MSFT^FE_ESTIMATE(UFCF,MEAN,CALA_ROLL,2026,45975,,,'')":null,"MSFT^FE_ESTIMATE(UFCF,MEAN,CALA_ROLL,2025,45975,,,'')":null,"MSFT^FE_ESTIMATE(UFCF,MEAN,CALA_ROLL,2024,45975,,,'')":null,"MSFT^FE_ESTIMATE(UFCF,MEAN,CALA_ROLL,2023,45975,,,'')":null,"MSFT^FE_ESTIMATE(UFCF,MEAN,NTM4,,45975,,,'')":null,"MSFT^FE_ESTIMATE(UFCF,MEAN,LTM4,,45975,,,'')":null,"NBIS^FE_ESTIMATE(FCF,MEAN,CAL4,2027,45975,,,'')":-6971.4,"NBIS^FE_ESTIMATE(FCF,MEAN,CAL4,2026,45975,,,'')":-7621.45,"NBIS^FE_ESTIMATE(FCF,MEAN,CAL4,2025,45975,,,'')":-5051.65,"NBIS^FE_ESTIMATE(FCF,MEAN,CAL4,2024,45975,,,'')":null,"NBIS^FE_ESTIMATE(FCF,MEAN,CAL4,2023,45975,,,'')":null,"NBIS^FE_ESTIMATE(FCF,MEAN,NTM4,,45975,,,'')":-8462.2,"NBIS^FE_ESTIMATE(FCF,MEAN,LTM4,,45975,,,'')":-2953.6,"DOCN^FE_ESTIMATE(FCF,MEAN,CALA_ROLL,2027,45975,,,'')":270.0478,"DOCN^FE_ESTIMATE(FCF,MEAN,CAL4,2026,45975,,,'')":208.87903,"DOCN^FE_ESTIMATE(FCF,MEAN,CAL4,2025,45975,,,'')":178.31958,"DOCN^FE_ESTIMATE(FCF,MEAN,CAL4,2024,45975,,,'')":134.283,"DOCN^FE_ESTIMATE(FCF,MEAN,CAL4,2023,45975,,,'')":155.752,"DOCN^FE_ESTIMATE(FCF,MEAN,NTM4,,45975,,,'')":175.88768,"DOCN^FE_ESTIMATE(FCF,MEAN,LTM4,,45975,,,'')":179.419,"GOOG^FE_ESTIMATE(FCF,MEAN,CALA_ROLL,2027,45975,,,'')":92139.49,"GOOG^FE_ESTIMATE(FCF,MEAN,CAL4,2026,45975,,,'')":64382.0,"GOOG^FE_ESTIMATE(FCF,MEAN,CAL4,2025,45975,,,'')":63259.71,"GOOG^FE_ESTIMATE(FCF,MEAN,CAL4,2024,45975,,,'')":73062.0,"GOOG^FE_ESTIMATE(FCF,MEAN,CAL4,2023,45975,,,'')":69970.21,"GOOG^FE_ESTIMATE(FCF,MEAN,NTM4,,45975,,,'')":63030.023,"GOOG^FE_ESTIMATE(FCF,MEAN,LTM4,,45975,,,'')":73538.555,"AMZN^FE_ESTIMATE(FCF,MEAN,CALA_ROLL,2027,45975,,,'')":65075.996,"AMZN^FE_ESTIMATE(FCF,MEAN,CAL4,2026,45975,,,'')":28456.318,"AMZN^FE_ESTIMATE(FCF,MEAN,CAL4,2025,45975,,,'')":14776.228,"AMZN^FE_ESTIMATE(FCF,MEAN,CAL4,2024,45975,,,'')":37569.48,"AMZN^FE_ESTIMATE(FCF,MEAN,CAL4,2023,45975,,,'')":38765.21,"AMZN^FE_ESTIMATE(FCF,MEAN,NTM4,,45975,,,'')":27603.2,"AMZN^FE_ESTIMATE(FCF,MEAN,LTM4,,45975,,,'')":14028.428,"ORCL^FE_ESTIMATE(FCF,MEAN,CALA_ROLL,2027,45975,,,'')":-10469.67,"ORCL^FE_ESTIMATE(FCF,MEAN,CAL4,2026,45975,,,'')":-9348.369,"ORCL^FE_ESTIMATE(FCF,MEAN,CAL4,2025,45975,,,'')":-8322.849,"ORCL^FE_ESTIMATE(FCF,MEAN,CAL4,2024,45975,,,'')":9550.706,"ORCL^FE_ESTIMATE(FCF,MEAN,CAL4,2023,45975,,,'')":10035.492,"ORCL^FE_ESTIMATE(FCF,MEAN,NTM4,,45975,,,'')":-9284.217,"ORCL^FE_ESTIMATE(FCF,MEAN,LTM4,,45975,,,'')":-5880.0,"IBM^FE_ESTIMATE(FCF,MEAN,CALA_ROLL,2027,45975,,,'')":15518.25,"IBM^FE_ESTIMATE(FCF,MEAN,CAL4,2026,45975,,,'')":17798.908,"IBM^FE_ESTIMATE(FCF,MEAN,CAL4,2025,45975,,,'')":14017.2,"IBM^FE_ESTIMATE(FCF,MEAN,CAL4,2024,45975,,,'')":12749.0,"IBM^FE_ESTIMATE(FCF,MEAN,CAL4,2023,45975,,,'')":11210.0,"IBM^FE_ESTIMATE(FCF,MEAN,NTM4,,45975,,,'')":17574.607,"IBM^FE_ESTIMATE(FCF,MEAN,LTM4,,45975,,,'')":13343.0,"EQIX^FE_ESTIMATE(FCF,MEAN,CALA_ROLL,2027,45975,,,'')":-74.05,"EQIX^FE_ESTIMATE(FCF,MEAN,CAL4,2026,45975,,,'')":null,"EQIX^FE_ESTIMATE(FCF,MEAN,CAL4,2025,45975,,,'')":-272.75,"EQIX^FE_ESTIMATE(FCF,MEAN,CAL4,2024,45975,,,'')":151.449,"EQIX^FE_ESTIMATE(FCF,MEAN,CAL4,2023,45975,,,'')":1506.067,"EQIX^FE_ESTIMATE(FCF,MEAN,NTM4,,45975,,,'')":null,"EQIX^FE_ESTIMATE(FCF,MEAN,LTM4,,45975,,,'')":-409.1,"DLR^FE_ESTIMATE(FCF,MEAN,CALA_ROLL,2027,45975,,,'')":-443.21832,"DLR^FE_ESTIMATE(FCF,MEAN,CALA_ROLL,2026,45975,,,'')":-83.123856,"DLR^FE_ESTIMATE(FCF,MEAN,CAL4,2025,45975,,,'')":-346.10324,"DLR^FE_ESTIMATE(FCF,MEAN,CALA_ROLL,2024,45975,,,'')":772.316,"DLR^FE_ESTIMATE(FCF,MEAN,CALA_ROLL,2023,45975,,,'')":-1867.194,"DLR^FE_ESTIMATE(FCF,MEAN,NTM4,,45975,,,'')":null,"DLR^FE_ESTIMATE(FCF,MEAN,LTM4,,45975,,,'')":-497.283,"NVDA^FE_ESTIMATE(FCF,MEAN,CALA_ROLL,2027,45975,,,'')":176198.33,"NVDA^FE_ESTIMATE(FCF,MEAN,CAL4,2026,45975,,,'')":147452.98,"NVDA^FE_ESTIMATE(FCF,MEAN,CAL4,2025,45975,,,'')":96844.664,"NVDA^FE_ESTIMATE(FCF,MEAN,CAL4,2024,45975,,,'')":62019.04,"NVDA^FE_ESTIMATE(FCF,MEAN,CAL4,2023,45975,,,'')":26297.904,"NVDA^FE_ESTIMATE(FCF,MEAN,NTM4,,45975,,,'')":127061.1,"NVDA^FE_ESTIMATE(FCF,MEAN,LTM4,,45975,,,'')":72274.28,"MSFT^FE_ESTIMATE(FCF,MEAN,CALA_ROLL,2027,45975,,,'')":95838.33,"MSFT^FE_ESTIMATE(FCF,MEAN,CALA_ROLL,2026,45975,,,'')":78937.85,"MSFT^FE_ESTIMATE(FCF,MEAN,CAL4,2025,45975,,,'')":78076.1,"MSFT^FE_ESTIMATE(FCF,MEAN,CAL4,2024,45975,,,'')":68042.71,"MSFT^FE_ESTIMATE(FCF,MEAN,CAL4,2023,45975,,,'')":64571.887,"MSFT^FE_ESTIMATE(FCF,MEAN,NTM4,,45975,,,'')":72758.51,"MSFT^FE_ESTIMATE(FCF,MEAN,LTM4,,45975,,,'')":77330.516,"AVT^FE_ESTIMATE(FCF,MEAN,CAL4,2027,45975,,,'')":null,"AVT^FE_ESTIMATE(FCF,MEAN,CAL4,2026,45975,,,'')":null,"AVT^FE_ESTIMATE(FCF,MEAN,CAL4,2025,45975,,,'')":null,"AVT^FE_ESTIMATE(FCF,MEAN,CAL4,2024,45975,,,'')":null,"AVT^FE_ESTIMATE(FCF,MEAN,CAL4,2023,45975,,,'')":null,"AVT^FE_ESTIMATE(FCF,MEAN,NTM4,,45975,,,'')":null,"AVT^FE_ESTIMATE(FCF,MEAN,LTM4,,45975,,,'')":null,"ARW^FE_ESTIMATE(FCF,MEAN,CAL4,2027,45975,,,'')":null,"ARW^FE_ESTIMATE(FCF,MEAN,CAL4,2026,45975,,,'')":null,"ARW^FE_ESTIMATE(FCF,MEAN,CAL4,2025,45975,,,'')":null,"ARW^FE_ESTIMATE(FCF,MEAN,CAL4,2024,45975,,,'')":null,"ARW^FE_ESTIMATE(FCF,MEAN,CAL4,2023,45975,,,'')":null,"ARW^FE_ESTIMATE(FCF,MEAN,NTM4,,45975,,,'')":null,"ARW^FE_ESTIMATE(FCF,MEAN,LTM4,,45975,,,'')":null,"SNX^FE_ESTIMATE(FCF,MEAN,CAL4,2027,45975,,,'')":1204.9,"SNX^FE_ESTIMATE(FCF,MEAN,CAL4,2026,45975,,,'')":1113.9,"SNX^FE_ESTIMATE(FCF,MEAN,CAL4,2025,45975,,,'')":854.937,"SNX^FE_ESTIMATE(FCF,MEAN,CAL4,2024,45975,,,'')":1042.612,"SNX^FE_ESTIMATE(FCF,MEAN,CAL4,2023,45975,,,'')":1257.366,"SNX^FE_ESTIMATE(FCF,MEAN,NTM4,,45975,,,'')":1337.6,"SNX^FE_ESTIMATE(FCF,MEAN,LTM4,,45975,,,'')":480.218,"CDW^FE_ESTIMATE(FCF,MEAN,CAL4,2027,45975,,,'')":null,"CDW^FE_ESTIMATE(FCF,MEAN,CAL4,2026,45975,,,'')":null,"CDW^FE_ESTIMATE(FCF,MEAN,CAL4,2025,45975,,,'')":null,"CDW^FE_ESTIMATE(FCF,MEAN,CAL4,2024,45975,,,'')":null,"CDW^FE_ESTIMATE(FCF,MEAN,CAL4,2023,45975,,,'')":null,"CDW^FE_ESTIMATE(FCF,MEAN,NTM4,,45975,,,'')":null,"CDW^FE_ESTIMATE(FCF,MEAN,LTM4,,45975,,,'')":null,"INGM^FE_ESTIMATE(FCF,MEAN,CAL4,2027,45975,,,'')":360.0,"INGM^FE_ESTIMATE(FCF,MEAN,CAL4,2026,45975,,,'')":200.0,"INGM^FE_ESTIMATE(FCF,MEAN,CAL4,2025,45975,,,'')":62.0,"INGM^FE_ESTIMATE(FCF,MEAN,CAL4,2024,45975,,,'')":null,"INGM^FE_ESTIMATE(FCF,MEAN,CAL4,2023,45975,,,'')":null,"INGM^FE_ESTIMATE(FCF,MEAN,NTM4,,45975,,,'')":441.0,"INGM^FE_ESTIMATE(FCF,MEAN,LTM4,,45975,,,'')":-188.5,"AVT^FE_ESTIMATE(EPS_GAAP,MEAN,CAL4,2027,45975,,,'')":null,"AVT^FE_ESTIMATE(EPS_GAAP,MEAN,CAL4,2026,45975,,,'')":5.213333,"AVT^FE_ESTIMATE(EPS_GAAP,MEAN,CAL4,2025,45975,,,'')":2.4733334,"AVT^FE_ESTIMATE(EPS_GAAP,MEAN,CAL4,2024,45975,,,'')":3.53,"AVT^FE_ESTIMATE(EPS_GAAP,MEAN,CAL4,2023,45975,,,'')":7.24,"AVT^FE_ESTIMATE(EPS_GAAP,MEAN,NTM4,,45975,,,'')":4.386667,"AVT^FE_ESTIMATE(EPS_GAAP,MEAN,LTM4,,45975,,,'')":2.68,"ARW^FE_ESTIMATE(EPS_GAAP,MEAN,CALA_ROLL,2027,45975,,,'')":null,"ARW^FE_ESTIMATE(EPS_GAAP,MEAN,CAL4,2026,45975,,,'')":9.87,"ARW^FE_ESTIMATE(EPS_GAAP,MEAN,CAL4,2025,45975,,,'')":10.38,"ARW^FE_ESTIMATE(EPS_GAAP,MEAN,CAL4,2024,45975,,,'')":7.28,"ARW^FE_ESTIMATE(EPS_GAAP,MEAN,CAL4,2023,45975,,,'')":15.79,"ARW^FE_ESTIMATE(EPS_GAAP,MEAN,NTM4,,45975,,,'')":9.21,"ARW^FE_ESTIMATE(EPS_GAAP,MEAN,LTM4,,45975,,,'')":9.05,"SNX^FE_ESTIMATE(EPS_GAAP,MEAN,CAL4,2027,45975,,,'')":12.106444,"SNX^FE_ESTIMATE(EPS_GAAP,MEAN,CAL4,2026,45975,,,'')":10.797615,"SNX^FE_ESTIMATE(EPS_GAAP,MEAN,CAL4,2025,45975,,,'')":9.783954,"SNX^FE_ESTIMATE(EPS_GAAP,MEAN,CAL4,2024,45975,,,'')":7.96,"SNX^FE_ESTIMATE(EPS_GAAP,MEAN,CAL4,2023,45975,,,'')":6.71,"SNX^FE_ESTIMATE(EPS_GAAP,MEAN,NTM4,,45975,,,'')":10.538556,"SNX^FE_ESTIMATE(EPS_GAAP,MEAN,LTM4,,45975,,,'')":9.22,"CDW^FE_ESTIMATE(EPS_GAAP,MEAN,CALA_ROLL,2027,45975,,,'')":9.852643,"CDW^FE_ESTIMATE(EPS_GAAP,MEAN,CAL4,2026,45975,,,'')":8.931994,"CDW^FE_ESTIMATE(EPS_GAAP,MEAN,CAL4,2025,45975,,,'')":7.993514,"CDW^FE_ESTIMATE(EPS_GAAP,MEAN,CAL4,2024,45975,,,'')":7.97,"CDW^FE_ESTIMATE(EPS_GAAP,MEAN,CAL4,2023,45975,,,'')":8.1,"CDW^FE_ESTIMATE(EPS_GAAP,MEAN,NTM4,,45975,,,'')":8.598257,"CDW^FE_ESTIMATE(EPS_GAAP,MEAN,LTM4,,45975,,,'')":7.92,"INGM^FE_ESTIMATE(EPS_GAAP,MEAN,CALA_ROLL,2027,45975,,,'')":2.72,"INGM^FE_ESTIMATE(EPS_GAAP,MEAN,CAL4,2026,45975,,,'')":2.3383334,"INGM^FE_ESTIMATE(EPS_GAAP,MEAN,CAL4,2025,45975,,,'')":1.5375,"INGM^FE_ESTIMATE(EPS_GAAP,MEAN,CAL4,2024,45975,,,'')":null,"INGM^FE_ESTIMATE(EPS_GAAP,MEAN,CAL4,2023,45975,,,'')":null,"INGM^FE_ESTIMATE(EPS_GAAP,MEAN,NTM4,,45975,,,'')":2.1125,"INGM^FE_ESTIMATE(EPS_GAAP,MEAN,LTM4,,45975,,,'')":1.23,"NBIS^FE_ESTIMATE(EPS_GAAP,MEAN,CALA_ROLL,2027,45975,,,'')":null,"NBIS^FE_ESTIMATE(EPS_GAAP,MEAN,CAL4,2026,45975,,,'')":2.925,"NBIS^FE_ESTIMATE(EPS_GAAP,MEAN,CAL4,2025,45975,,,'')":1.318209,"NBIS^FE_ESTIMATE(EPS_GAAP,MEAN,CAL4,2024,45975,,,'')":null,"NBIS^FE_ESTIMATE(EPS_GAAP,MEAN,CAL4,2023,45975,,,'')":null,"NBIS^FE_ESTIMATE(EPS_GAAP,MEAN,NTM4,,45975,,,'')":1.48,"NBIS^FE_ESTIMATE(EPS_GAAP,MEAN,LTM4,,45975,,,'')":null,"DOCN^FE_ESTIMATE(EPS_GAAP,MEAN,CALA_ROLL,2027,45975,,,'')":1.161873,"DOCN^FE_ESTIMATE(EPS_GAAP,MEAN,CAL4,2026,45975,,,'')":1.097722,"DOCN^FE_ESTIMATE(EPS_GAAP,MEAN,CAL4,2025,45975,,,'')":2.70581,"DOCN^FE_ESTIMATE(EPS_GAAP,MEAN,CAL4,2024,45975,,,'')":0.87,"DOCN^FE_ESTIMATE(EPS_GAAP,MEAN,CAL4,2023,45975,,,'')":0.013333334,"DOCN^FE_ESTIMATE(EPS_GAAP,MEAN,NTM4,,45975,,,'')":1.137187,"DOCN^FE_ESTIMATE(EPS_GAAP,MEAN,LTM4,,45975,,,'')":2.71,"GOOG^FE_ESTIMATE(EPS_GAAP,MEAN,CALA_ROLL,2027,45975,,,'')":12.765592,"GOOG^FE_ESTIMATE(EPS_GAAP,MEAN,CAL4,2026,45975,,,'')":11.041864,"GOOG^FE_ESTIMATE(EPS_GAAP,MEAN,CAL4,2025,45975,,,'')":10.608191,"GOOG^FE_ESTIMATE(EPS_GAAP,MEAN,CAL4,2024,45975,,,'')":8.05,"GOOG^FE_ESTIMATE(EPS_GAAP,MEAN,CAL4,2023,45975,,,'')":5.8,"GOOG^FE_ESTIMATE(EPS_GAAP,MEAN,NTM4,,45975,,,'')":10.6058855,"GOOG^FE_ESTIMATE(EPS_GAAP,MEAN,LTM4,,45975,,,'')":10.14,"AMZN^FE_ESTIMATE(EPS_GAAP,MEAN,CALA_ROLL,2027,45975,,,'')":9.638883,"AMZN^FE_ESTIMATE(EPS_GAAP,MEAN,CAL4,2026,45975,,,'')":7.843112,"AMZN^FE_ESTIMATE(EPS_GAAP,MEAN,CAL4,2025,45975,,,'')":7.1685433,"AMZN^FE_ESTIMATE(EPS_GAAP,MEAN,CAL4,2024,45975,,,'')":5.53,"AMZN^FE_ESTIMATE(EPS_GAAP,MEAN,CAL4,2023,45975,,,'')":2.9,"AMZN^FE_ESTIMATE(EPS_GAAP,MEAN,NTM4,,45975,,,'')":7.4664946,"AMZN^FE_ESTIMATE(EPS_GAAP,MEAN,LTM4,,45975,,,'')":7.08,"ORCL^FE_ESTIMATE(EPS_GAAP,MEAN,CALA_ROLL,2027,45975,,,'')":7.8110533,"ORCL^FE_ESTIMATE(EPS_GAAP,MEAN,CAL4,2026,45975,,,'')":5.6840773,"ORCL^FE_ESTIMATE(EPS_GAAP,MEAN,CAL4,2025,45975,,,'')":4.427157,"ORCL^FE_ESTIMATE(EPS_GAAP,MEAN,CAL4,2024,45975,,,'')":4.09,"ORCL^FE_ESTIMATE(EPS_GAAP,MEAN,CAL4,2023,45975,,,'')":3.62,"ORCL^FE_ESTIMATE(EPS_GAAP,MEAN,NTM4,,45975,,,'')":5.392425,"ORCL^FE_ESTIMATE(EPS_GAAP,MEAN,LTM4,,45975,,,'')":4.32,"IBM^FE_ESTIMATE(EPS_GAAP,MEAN,CALA_ROLL,2027,45975,,,'')":11.140967,"IBM^FE_ESTIMATE(EPS_GAAP,MEAN,CALA_ROLL,2026,45975,,,'')":10.358258,"IBM^FE_ESTIMATE(EPS_GAAP,MEAN,CAL4,2025,45975,,,'')":9.138,"IBM^FE_ESTIMATE(EPS_GAAP,MEAN,CAL4,2024,45975,,,'')":6.42,"IBM^FE_ESTIMATE(EPS_GAAP,MEAN,CAL4,2023,45975,,,'')":8.14,"IBM^FE_ESTIMATE(EPS_GAAP,MEAN,NTM4,,45975,,,'')":10.341333,"IBM^FE_ESTIMATE(EPS_GAAP,MEAN,LTM4,,45975,,,'')":8.38,"EQIX^FE_ESTIMATE(EPS_GAAP,MEAN,CALA_ROLL,2027,45975,,,'')":15.62912,"EQIX^FE_ESTIMATE(EPS_GAAP,MEAN,CAL4,2026,45975,,,'')":14.81938,"EQIX^FE_ESTIMATE(EPS_GAAP,MEAN,CAL4,2025,45975,,,'')":14.806074,"EQIX^FE_ESTIMATE(EPS_GAAP,MEAN,CAL4,2024,45975,,,'')":8.55,"EQIX^FE_ESTIMATE(EPS_GAAP,MEAN,CAL4,2023,45975,,,'')":10.31,"EQIX^FE_ESTIMATE(EPS_GAAP,MEAN,NTM4,,45975,,,'')":14.938954,"EQIX^FE_ESTIMATE(EPS_GAAP,MEAN,LTM4,,45975,,,'')":10.92,"DLR^FE_ESTIMATE(EPS_GAAP,MEAN,CALA_ROLL,2027,45975,,,'')":2.0870016,"DLR^FE_ESTIMATE(EPS_GAAP,MEAN,CAL4,2026,45975,,,'')":1.5450794,"DLR^FE_ESTIMATE(EPS_GAAP,MEAN,CAL4,2025,45975,,,'')":3.6608315,"DLR^FE_ESTIMATE(EPS_GAAP,MEAN,CAL4,2024,45975,,,'')":1.649787,"DLR^FE_ESTIMATE(EPS_GAAP,MEAN,CAL4,2023,45975,,,'')":2.97,"DLR^FE_ESTIMATE(EPS_GAAP,MEAN,NTM4,,45975,,,'')":1.4130538,"DLR^FE_ESTIMATE(EPS_GAAP,MEAN,LTM4,,45975,,,'')":3.87,"NVDA^FE_ESTIMATE(EPS_GAAP,MEAN,CALA_ROLL,2027,45975,,,'')":7.920386,"NVDA^FE_ESTIMATE(EPS_GAAP,MEAN,CAL4,2026,45975,,,'')":6.5580134,"NVDA^FE_ESTIMATE(EPS_GAAP,MEAN,CAL4,2025,45975,,,'')":4.427668,"NVDA^FE_ESTIMATE(EPS_GAAP,MEAN,CAL4,2024,45975,,,'')":2.938,"NVDA^FE_ESTIMATE(EPS_GAAP,MEAN,CAL4,2023,45975,,,'')":1.194,"NVDA^FE_ESTIMATE(EPS_GAAP,MEAN,NTM4,,45975,,,'')":5.6397715,"NVDA^FE_ESTIMATE(EPS_GAAP,MEAN,LTM4,,45975,,,'')":3.51,"MSFT^FE_ESTIMATE(EPS_GAAP,MEAN,CALA_ROLL,2027,45975,,,'')":20.21975,"MSFT^FE_ESTIMATE(EPS_GAAP,MEAN,CAL4,2026,45975,,,'')":16.870995,"MSFT^FE_ESTIMATE(EPS_GAAP,MEAN,CAL4,2025,45975,,,'')":14.655691,"MSFT^FE_ESTIMATE(EPS_GAAP,MEAN,CAL4,2024,45975,,,'')":12.42,"MSFT^FE_ESTIMATE(EPS_GAAP,MEAN,CAL4,2023,45975,,,'')":11.060136,"MSFT^FE_ESTIMATE(EPS_GAAP,MEAN,NTM4,,45975,,,'')":16.248106,"MSFT^FE_ESTIMATE(EPS_GAAP,MEAN,LTM4,,45975,,,'')":14.06,"AVT^FE_ESTIMATE(EBITDA,MEAN,CAL4,2027,45975,,,'')":959.2,"AVT^FE_ESTIMATE(EBITDA,MEAN,CAL4,2026,45975,,,'')":923.2062,"AVT^FE_ESTIMATE(EBITDA,MEAN,CAL4,2025,45975,,,'')":683.48065,"AVT^FE_ESTIMATE(EBITDA,MEAN,CAL4,2024,45975,,,'')":813.0833,"AVT^FE_ESTIMATE(EBITDA,MEAN,CAL4,2023,45975,,,'')":1230.6333,"AVT^FE_ESTIMATE(EBITDA,MEAN,NTM4,,45975,,,'')":868.9368,"AVT^FE_ESTIMATE(EBITDA,MEAN,LTM4,,45975,,,'')":673.15,"ARW^FE_ESTIMATE(EBITDA,MEAN,CALA_ROLL,2027,45975,,,'')":1330.0,"ARW^FE_ESTIMATE(EBITDA,MEAN,CAL4,2026,45975,,,'')":1166.1719,"ARW^FE_ESTIMATE(EBITDA,MEAN,CAL4,2025,45975,,,'')":1046.2104,"ARW^FE_ESTIMATE(EBITDA,MEAN,CAL4,2024,45975,,,'')":1151.0667,"ARW^FE_ESTIMATE(EBITDA,MEAN,CAL4,2023,45975,,,'')":1749.7667,"ARW^FE_ESTIMATE(EBITDA,MEAN,NTM4,,45975,,,'')":1136.1323,"ARW^FE_ESTIMATE(EBITDA,MEAN,LTM4,,45975,,,'')":1017.8,"SNX^FE_ESTIMATE(EBITDA,MEAN,CAL4,2027,45975,,,'')":2087.9937,"SNX^FE_ESTIMATE(EBITDA,MEAN,CAL4,2026,45975,,,'')":1986.2997,"SNX^FE_ESTIMATE(EBITDA,MEAN,CAL4,2025,45975,,,'')":1890.3624,"SNX^FE_ESTIMATE(EBITDA,MEAN,CAL4,2024,45975,,,'')":1739.1866,"SNX^FE_ESTIMATE(EBITDA,MEAN,CAL4,2023,45975,,,'')":1753.0847,"SNX^FE_ESTIMATE(EBITDA,MEAN,NTM4,,45975,,,'')":1970.6538,"SNX^FE_ESTIMATE(EBITDA,MEAN,LTM4,,45975,,,'')":1825.8746,"CDW^FE_ESTIMATE(EBITDA,MEAN,CALA_ROLL,2027,45975,,,'')":2309.6135,"CDW^FE_ESTIMATE(EBITDA,MEAN,CAL4,2026,45975,,,'')":2235.6357,"CDW^FE_ESTIMATE(EBITDA,MEAN,CAL4,2025,45975,,,'')":2140.7722,"CDW^FE_ESTIMATE(EBITDA,MEAN,CAL4,2024,45975,,,'')":2122.4346,"CDW^FE_ESTIMATE(EBITDA,MEAN,CAL4,2023,45975,,,'')":2175.6484,"CDW^FE_ESTIMATE(EBITDA,MEAN,NTM4,,45975,,,'')":2170.1128,"CDW^FE_ESTIMATE(EBITDA,MEAN,LTM4,,45975,,,'')":2175.7688,"INGM^FE_ESTIMATE(EBITDA,MEAN,CALA_ROLL,2027,45975,,,'')":1566.7576,"INGM^FE_ESTIMATE(EBITDA,MEAN,CAL4,2026,45975,,,'')":1428.0405,"INGM^FE_ESTIMATE(EBITDA,MEAN,CAL4,2025,45975,,,'')":1315.4194,"INGM^FE_ESTIMATE(EBITDA,MEAN,CAL4,2024,45975,,,'')":null,"INGM^FE_ESTIMATE(EBITDA,MEAN,CAL4,2023,45975,,,'')":null,"INGM^FE_ESTIMATE(EBITDA,MEAN,NTM4,,45975,,,'')":1385.3094,"INGM^FE_ESTIMATE(EBITDA,MEAN,LTM4,,45975,,,'')":1326.4706,"NBIS^FE_ESTIMATE(EBITDA,MEAN,CALA_ROLL,2027,45975,,,'')":2841.9692,"NBIS^FE_ESTIMATE(EBITDA,MEAN,CAL4,2026,45975,,,'')":1027.7,"NBIS^FE_ESTIMATE(EBITDA,MEAN,CAL4,2025,45975,,,'')":-47.67,"NBIS^FE_ESTIMATE(EBITDA,MEAN,CAL4,2024,45975,,,'')":null,"NBIS^FE_ESTIMATE(EBITDA,MEAN,CAL4,2023,45975,,,'')":null,"NBIS^FE_ESTIMATE(EBITDA,MEAN,NTM4,,45975,,,'')":608.4633,"NBIS^FE_ESTIMATE(EBITDA,MEAN,LTM4,,45975,,,'')":-186.98334,"DOCN^FE_ESTIMATE(EBITDA,MEAN,CALA_ROLL,2027,45975,,,'')":501.1908,"DOCN^FE_ESTIMATE(EBITDA,MEAN,CAL4,2026,45975,,,'')":414.54776,"DOCN^FE_ESTIMATE(EBITDA,MEAN,CAL4,2025,45975,,,'')":367.29343,"DOCN^FE_ESTIMATE(EBITDA,MEAN,CAL4,2024,45975,,,'')":328.5,"DOCN^FE_ESTIMATE(EBITDA,MEAN,CAL4,2023,45975,,,'')":277.703,"DOCN^FE_ESTIMATE(EBITDA,MEAN,NTM4,,45975,,,'')":395.38385,"DOCN^FE_ESTIMATE(EBITDA,MEAN,LTM4,,45975,,,'')":361.411,"GOOG^FE_ESTIMATE(EBITDA,MEAN,CALA_ROLL,2027,45975,,,'')":247160.94,"GOOG^FE_ESTIMATE(EBITDA,MEAN,CAL4,2026,45975,,,'')":209660.13,"GOOG^FE_ESTIMATE(EBITDA,MEAN,CAL4,2025,45975,,,'')":175470.78,"GOOG^FE_ESTIMATE(EBITDA,MEAN,CAL4,2024,45975,,,'')":150907.6,"GOOG^FE_ESTIMATE(EBITDA,MEAN,CAL4,2023,45975,,,'')":122063.59,"GOOG^FE_ESTIMATE(EBITDA,MEAN,NTM4,,45975,,,'')":201247.25,"GOOG^FE_ESTIMATE(EBITDA,MEAN,LTM4,,45975,,,'')":167375.34,"AMZN^FE_ESTIMATE(EBITDA,MEAN,CALA_ROLL,2027,45975,,,'')":242319.1,"AMZN^FE_ESTIMATE(EBITDA,MEAN,CAL4,2026,45975,,,'')":200232.88,"AMZN^FE_ESTIMATE(EBITDA,MEAN,CAL4,2025,45975,,,'')":166211.92,"AMZN^FE_ESTIMATE(EBITDA,MEAN,CAL4,2024,45975,,,'')":143476.78,"AMZN^FE_ESTIMATE(EBITDA,MEAN,CAL4,2023,45975,,,'')":109513.47,"AMZN^FE_ESTIMATE(EBITDA,MEAN,NTM4,,45975,,,'')":191528.58,"AMZN^FE_ESTIMATE(EBITDA,MEAN,LTM4,,45975,,,'')":159466.17,"ORCL^FE_ESTIMATE(EBITDA,MEAN,CALA_ROLL,2027,45975,,,'')":57754.855,"ORCL^FE_ESTIMATE(EBITDA,MEAN,CAL4,2026,45975,,,'')":40510.926,"ORCL^FE_ESTIMATE(EBITDA,MEAN,CAL4,2025,45975,,,'')":33003.207,"ORCL^FE_ESTIMATE(EBITDA,MEAN,CAL4,2024,45975,,,'')":29667.521,"ORCL^FE_ESTIMATE(EBITDA,MEAN,CAL4,2023,45975,,,'')":27439.04,"ORCL^FE_ESTIMATE(EBITDA,MEAN,NTM4,,45975,,,'')":38782.016,"ORCL^FE_ESTIMATE(EBITDA,MEAN,LTM4,,45975,,,'')":31566.72,"IBM^FE_ESTIMATE(EBITDA,MEAN,CALA_ROLL,2027,45975,,,'')":19989.924,"IBM^FE_ESTIMATE(EBITDA,MEAN,CAL4,2026,45975,,,'')":19804.719,"IBM^FE_ESTIMATE(EBITDA,MEAN,CAL4,2025,45975,,,'')":18850.48,"IBM^FE_ESTIMATE(EBITDA,MEAN,CAL4,2024,45975,,,'')":15966.0,"IBM^FE_ESTIMATE(EBITDA,MEAN,CAL4,2023,45975,,,'')":14568.502,"IBM^FE_ESTIMATE(EBITDA,MEAN,NTM4,,45975,,,'')":19543.367,"IBM^FE_ESTIMATE(EBITDA,MEAN,LTM4,,45975,,,'')":18366.0,"EQIX^FE_ESTIMATE(EBITDA,MEAN,CALA_ROLL,2027,45975,,,'')":5504.8374,"EQIX^FE_ESTIMATE(EBITDA,MEAN,CAL4,2026,45975,,,'')":5048.8145,"EQIX^FE_ESTIMATE(EBITDA,MEAN,CAL4,2025,45975,,,'')":4561.0923,"EQIX^FE_ESTIMATE(EBITDA,MEAN,CAL4,2024,45975,,,'')":4097.0,"EQIX^FE_ESTIMATE(EBITDA,MEAN,CAL4,2023,45975,,,'')":3701.841,"EQIX^FE_ESTIMATE(EBITDA,MEAN,NTM4,,45975,,,'')":4969.287,"EQIX^FE_ESTIMATE(EBITDA,MEAN,LTM4,,45975,,,'')":4365.0,"DLR^FE_ESTIMATE(EBITDA,MEAN,CALA_ROLL,2027,45975,,,'')":4105.3066,"DLR^FE_ESTIMATE(EBITDA,MEAN,CAL4,2026,45975,,,'')":3607.4622,"DLR^FE_ESTIMATE(EBITDA,MEAN,CAL4,2025,45975,,,'')":3321.7551,"DLR^FE_ESTIMATE(EBITDA,MEAN,CAL4,2024,45975,,,'')":2947.002,"DLR^FE_ESTIMATE(EBITDA,MEAN,CAL4,2023,45975,,,'')":2750.256,"DLR^FE_ESTIMATE(EBITDA,MEAN,NTM4,,45975,,,'')":3519.5886,"DLR^FE_ESTIMATE(EBITDA,MEAN,LTM4,,45975,,,'')":3233.558,"NVDA^FE_ESTIMATE(EBITDA,MEAN,CALA_ROLL,2027,45975,,,'')":237938.77,"NVDA^FE_ESTIMATE(EBITDA,MEAN,CAL4,2026,45975,,,'')":199981.42,"NVDA^FE_ESTIMATE(EBITDA,MEAN,CAL4,2025,45975,,,'')":132424.47,"NVDA^FE_ESTIMATE(EBITDA,MEAN,CAL4,2024,45975,,,'')":88417.375,"NVDA^FE_ESTIMATE(EBITDA,MEAN,CAL4,2023,45975,,,'')":37642.035,"NVDA^FE_ESTIMATE(EBITDA,MEAN,NTM4,,45975,,,'')":172286.86,"NVDA^FE_ESTIMATE(EBITDA,MEAN,LTM4,,45975,,,'')":103952.414,"MSFT^FE_ESTIMATE(EBITDA,MEAN,CALA_ROLL,2027,45975,,,'')":252261.13,"MSFT^FE_ESTIMATE(EBITDA,MEAN,CAL4,2026,45975,,,'')":215744.77,"MSFT^FE_ESTIMATE(EBITDA,MEAN,CAL4,2025,45975,,,'')":185575.6,"MSFT^FE_ESTIMATE(EBITDA,MEAN,CAL4,2024,45975,,,'')":146551.58,"MSFT^FE_ESTIMATE(EBITDA,MEAN,CAL4,2023,45975,,,'')":119708.5,"MSFT^FE_ESTIMATE(EBITDA,MEAN,NTM4,,45975,,,'')":207296.02,"MSFT^FE_ESTIMATE(EBITDA,MEAN,LTM4,,45975,,,'')":176069.73,"NBIS^FE_ESTIMATE(EBIT,MEAN,CALA_ROLL,2027,45975,,,'')":184.83575,"NBIS^FE_ESTIMATE(EBIT,MEAN,CAL4,2026,45975,,,'')":21.58,"NBIS^FE_ESTIMATE(EBIT,MEAN,CAL4,2025,45975,,,'')":-473.96933,"NBIS^FE_ESTIMATE(EBIT,MEAN,CAL4,2024,45975,,,'')":null,"NBIS^FE_ESTIMATE(EBIT,MEAN,CAL4,2023,45975,,,'')":null,"NBIS^FE_ESTIMATE(EBIT,MEAN,NTM4,,45975,,,'')":-265.471,"NBIS^FE_ESTIMATE(EBIT,MEAN,LTM4,,45975,,,'')":-481.00833,"AVT^FE_ESTIMATE(EBIT,MEAN,CAL4,2027,45975,,,'')":888.4,"AVT^FE_ESTIMATE(EBIT,MEAN,CAL4,2026,45975,,,'')":823.9138,"AVT^FE_ESTIMATE(EBIT,MEAN,CAL4,2025,45975,,,'')":609.7653,"AVT^FE_ESTIMATE(EBIT,MEAN,CAL4,2024,45975,,,'')":724.5228,"AVT^FE_ESTIMATE(EBIT,MEAN,CAL4,2023,45975,,,'')":1131.8362,"AVT^FE_ESTIMATE(EBIT,MEAN,NTM4,,45975,,,'')":765.37085,"AVT^FE_ESTIMATE(EBIT,MEAN,LTM4,,45975,,,'')":606.075,"ARW^FE_ESTIMATE(EBIT,MEAN,CALA_ROLL,2027,45975,,,'')":1201.0,"ARW^FE_ESTIMATE(EBIT,MEAN,CAL4,2026,45975,,,'')":1041.022,"ARW^FE_ESTIMATE(EBIT,MEAN,CAL4,2025,45975,,,'')":917.5909,"ARW^FE_ESTIMATE(EBIT,MEAN,CAL4,2024,45975,,,'')":1001.7478,"ARW^FE_ESTIMATE(EBIT,MEAN,CAL4,2023,45975,,,'')":1584.7036,"ARW^FE_ESTIMATE(EBIT,MEAN,NTM4,,45975,,,'')":1015.3378,"ARW^FE_ESTIMATE(EBIT,MEAN,LTM4,,45975,,,'')":885.15,"SNX^FE_ESTIMATE(EBIT,MEAN,CAL4,2027,45975,,,'')":1964.5743,"SNX^FE_ESTIMATE(EBIT,MEAN,CAL4,2026,45975,,,'')":1855.1346,"SNX^FE_ESTIMATE(EBIT,MEAN,CAL4,2025,45975,,,'')":1762.6322,"SNX^FE_ESTIMATE(EBIT,MEAN,CAL4,2024,45975,,,'')":1621.3727,"SNX^FE_ESTIMATE(EBIT,MEAN,CAL4,2023,45975,,,'')":1636.843,"SNX^FE_ESTIMATE(EBIT,MEAN,NTM4,,45975,,,'')":1835.4282,"SNX^FE_ESTIMATE(EBIT,MEAN,LTM4,,45975,,,'')":1701.5248,"CDW^FE_ESTIMATE(EBIT,MEAN,CALA_ROLL,2027,45975,,,'')":2196.1636,"CDW^FE_ESTIMATE(EBIT,MEAN,CAL4,2026,45975,,,'')":2079.78,"CDW^FE_ESTIMATE(EBIT,MEAN,CAL4,2025,45975,,,'')":1986.7759,"CDW^FE_ESTIMATE(EBIT,MEAN,CAL4,2024,45975,,,'')":1952.63,"CDW^FE_ESTIMATE(EBIT,MEAN,CAL4,2023,45975,,,'')":2025.8167,"CDW^FE_ESTIMATE(EBIT,MEAN,NTM4,,45975,,,'')":2028.3887,"CDW^FE_ESTIMATE(EBIT,MEAN,LTM4,,45975,,,'')":1993.6267,"INGM^FE_ESTIMATE(EBIT,MEAN,CALA_ROLL,2027,45975,,,'')":1320.8772,"INGM^FE_ESTIMATE(EBIT,MEAN,CAL4,2026,45975,,,'')":1169.1625,"INGM^FE_ESTIMATE(EBIT,MEAN,CAL4,2025,45975,,,'')":1017.7439,"INGM^FE_ESTIMATE(EBIT,MEAN,CAL4,2024,45975,,,'')":null,"INGM^FE_ESTIMATE(EBIT,MEAN,CAL4,2023,45975,,,'')":null,"INGM^FE_ESTIMATE(EBIT,MEAN,NTM4,,45975,,,'')":1141.7133,"INGM^FE_ESTIMATE(EBIT,MEAN,LTM4,,45975,,,'')":992.9284,"DOCN^FE_ESTIMATE(EBIT,MEAN,CALA_ROLL,2027,45975,,,'')":352.45538,"DOCN^FE_ESTIMATE(EBIT,MEAN,CAL4,2026,45975,,,'')":282.56964,"DOCN^FE_ESTIMATE(EBIT,MEAN,CAL4,2025,45975,,,'')":252.83308,"DOCN^FE_ESTIMATE(EBIT,MEAN,CAL4,2024,45975,,,'')":183.90977,"DOCN^FE_ESTIMATE(EBIT,MEAN,CAL4,2023,45975,,,'')":159.31778,"DOCN^FE_ESTIMATE(EBIT,MEAN,NTM4,,45975,,,'')":265.26028,"DOCN^FE_ESTIMATE(EBIT,MEAN,LTM4,,45975,,,'')":255.66649,"GOOG^FE_ESTIMATE(EBIT,MEAN,CALA_ROLL,2027,45975,,,'')":176453.25,"GOOG^FE_ESTIMATE(EBIT,MEAN,CAL4,2026,45975,,,'')":152608.84,"GOOG^FE_ESTIMATE(EBIT,MEAN,CAL4,2025,45975,,,'')":129644.336,"GOOG^FE_ESTIMATE(EBIT,MEAN,CAL4,2024,45975,,,'')":112401.06,"GOOG^FE_ESTIMATE(EBIT,MEAN,CAL4,2023,45975,,,'')":84280.03,"GOOG^FE_ESTIMATE(EBIT,MEAN,NTM4,,45975,,,'')":146978.28,"GOOG^FE_ESTIMATE(EBIT,MEAN,LTM4,,45975,,,'')":124087.18,"AMZN^FE_ESTIMATE(EBIT,MEAN,CALA_ROLL,2027,45975,,,'')":123280.22,"AMZN^FE_ESTIMATE(EBIT,MEAN,CAL4,2026,45975,,,'')":99650.555,"AMZN^FE_ESTIMATE(EBIT,MEAN,CAL4,2025,45975,,,'')":79588.414,"AMZN^FE_ESTIMATE(EBIT,MEAN,CAL4,2024,45975,,,'')":68593.0,"AMZN^FE_ESTIMATE(EBIT,MEAN,CAL4,2023,45975,,,'')":36852.0,"AMZN^FE_ESTIMATE(EBIT,MEAN,NTM4,,45975,,,'')":94628.484,"AMZN^FE_ESTIMATE(EBIT,MEAN,LTM4,,45975,,,'')":76201.0,"ORCL^FE_ESTIMATE(EBIT,MEAN,CALA_ROLL,2027,45975,,,'')":40877.016,"ORCL^FE_ESTIMATE(EBIT,MEAN,CAL4,2026,45975,,,'')":31047.85,"ORCL^FE_ESTIMATE(EBIT,MEAN,CAL4,2025,45975,,,'')":26269.61,"ORCL^FE_ESTIMATE(EBIT,MEAN,CAL4,2024,45975,,,'')":24264.9,"ORCL^FE_ESTIMATE(EBIT,MEAN,CAL4,2023,45975,,,'')":21846.732,"ORCL^FE_ESTIMATE(EBIT,MEAN,NTM4,,45975,,,'')":29688.91,"ORCL^FE_ESTIMATE(EBIT,MEAN,LTM4,,45975,,,'')":25561.887,"IBM^FE_ESTIMATE(EBIT,MEAN,CALA_ROLL,2027,45975,,,'')":15369.776,"IBM^FE_ESTIMATE(EBIT,MEAN,CAL4,2026,45975,,,'')":14421.96,"IBM^FE_ESTIMATE(EBIT,MEAN,CAL4,2025,45975,,,'')":13306.076,"IBM^FE_ESTIMATE(EBIT,MEAN,CAL4,2024,45975,,,'')":11312.172,"IBM^FE_ESTIMATE(EBIT,MEAN,CAL4,2023,45975,,,'')":10434.986,"IBM^FE_ESTIMATE(EBIT,MEAN,NTM4,,45975,,,'')":14188.221,"IBM^FE_ESTIMATE(EBIT,MEAN,LTM4,,45975,,,'')":12746.417,"EQIX^FE_ESTIMATE(EBIT,MEAN,CALA_ROLL,2027,45975,,,'')":2461.9785,"EQIX^FE_ESTIMATE(EBIT,MEAN,CAL4,2026,45975,,,'')":2198.6563,"EQIX^FE_ESTIMATE(EBIT,MEAN,CAL4,2025,45975,,,'')":1957.09,"EQIX^FE_ESTIMATE(EBIT,MEAN,CAL4,2024,45975,,,'')":1688.5778,"EQIX^FE_ESTIMATE(EBIT,MEAN,CAL4,2023,45975,,,'')":1442.8859,"EQIX^FE_ESTIMATE(EBIT,MEAN,NTM4,,45975,,,'')":2191.9404,"EQIX^FE_ESTIMATE(EBIT,MEAN,LTM4,,45975,,,'')":1893.9591,"DLR^FE_ESTIMATE(EBIT,MEAN,CALA_ROLL,2027,45975,,,'')":1297.8381,"DLR^FE_ESTIMATE(EBIT,MEAN,CAL4,2026,45975,,,'')":1069.765,"DLR^FE_ESTIMATE(EBIT,MEAN,CAL4,2025,45975,,,'')":751.452,"DLR^FE_ESTIMATE(EBIT,MEAN,CAL4,2024,45975,,,'')":484.77356,"DLR^FE_ESTIMATE(EBIT,MEAN,CAL4,2023,45975,,,'')":524.37494,"DLR^FE_ESTIMATE(EBIT,MEAN,NTM4,,45975,,,'')":981.64935,"DLR^FE_ESTIMATE(EBIT,MEAN,LTM4,,45975,,,'')":692.45624,"NVDA^FE_ESTIMATE(EBIT,MEAN,CALA_ROLL,2027,45975,,,'')":230154.06,"NVDA^FE_ESTIMATE(EBIT,MEAN,CAL4,2026,45975,,,'')":197456.42,"NVDA^FE_ESTIMATE(EBIT,MEAN,CAL4,2025,45975,,,'')":130694.47,"NVDA^FE_ESTIMATE(EBIT,MEAN,CAL4,2024,45975,,,'')":86538.56,"NVDA^FE_ESTIMATE(EBIT,MEAN,CAL4,2023,45975,,,'')":37133.996,"NVDA^FE_ESTIMATE(EBIT,MEAN,NTM4,,45975,,,'')":169375.44,"NVDA^FE_ESTIMATE(EBIT,MEAN,LTM4,,45975,,,'')":102001.15,"MSFT^FE_ESTIMATE(EBIT,MEAN,CALA_ROLL,2027,45975,,,'')":187985.86,"MSFT^FE_ESTIMATE(EBIT,MEAN,CAL4,2026,45975,,,'')":160060.0,"MSFT^FE_ESTIMATE(EBIT,MEAN,CAL4,2025,45975,,,'')":140796.34,"MSFT^FE_ESTIMATE(EBIT,MEAN,CAL4,2024,45975,,,'')":117698.59,"MSFT^FE_ESTIMATE(EBIT,MEAN,CAL4,2023,45975,,,'')":100451.96,"MSFT^FE_ESTIMATE(EBIT,MEAN,NTM4,,45975,,,'')":154606.94,"MSFT^FE_ESTIMATE(EBIT,MEAN,LTM4,,45975,,,'')":135955.66,"AVT^FE_ESTIMATE(SALES,MEAN,CALA_ROLL,2027,45975,,,'')":25674.42,"AVT^FE_ESTIMATE(SALES,MEAN,CAL4,2026,45975,,,'')":24445.771,"AVT^FE_ESTIMATE(SALES,MEAN,CAL4,2025,45975,,,'')":22856.738,"AVT^FE_ESTIMATE(SALES,MEAN,CAL4,2024,45975,,,'')":22484.129,"AVT^FE_ESTIMATE(SALES,MEAN,CAL4,2023,45975,,,'')":25609.723,"AVT^FE_ESTIMATE(SALES,MEAN,NTM4,,45975,,,'')":24182.92,"AVT^FE_ESTIMATE(SALES,MEAN,LTM4,,45975,,,'')":22495.19,"AVT^FG_PRICE(45975)":46.66,"AVT^FF_ENTRPR_VAL_DAILY(45975,,,,,\"DIL\")":6964.61192,"AVT^FREF_MARKET_VALUE_COMPANY(45975,,,,,0,,\"LEGACY\")":3794.8330078125,"ARW^FE_ESTIMATE(SALES,MEAN,CALA_ROLL,2027,45975,,,'')":33229.0,"ARW^FE_ESTIMATE(SALES,MEAN,CAL4,2026,45975,,,'')":31438.023,"ARW^FE_ESTIMATE(SALES,MEAN,CAL4,2025,45975,,,'')":30254.016,"ARW^FE_ESTIMATE(SALES,MEAN,CAL4,2024,45975,,,'')":27923.324,"ARW^FE_ESTIMATE(SALES,MEAN,CAL4,2023,45975,,,'')":33107.12,"ARW^FE_ESTIMATE(SALES,MEAN,NTM4,,45975,,,'')":31196.533,"ARW^FE_ESTIMATE(SALES,MEAN,LTM4,,45975,,,'')":29389.383,"ARW^FG_PRICE(45975)":110.175,"ARW^FF_ENTRPR_VAL_DAILY(45975,,,,,\"DIL\")":8735.396675,"ARW^FREF_MARKET_VALUE_COMPANY(45975,,,,,0,,\"LEGACY\")":5675.263671875,"SNX^FE_ESTIMATE(SALES,MEAN,CALA_ROLL,2027,45975,,,'')":null,"SNX^FE_ESTIMATE(SALES,MEAN,CAL4,2026,45975,,,'')":64850.83,"SNX^FE_ESTIMATE(SALES,MEAN,CAL4,2025,45975,,,'')":62059.836,"SNX^FE_ESTIMATE(SALES,MEAN,CAL4,2024,45975,,,'')":58452.438,"SNX^FE_ESTIMATE(SALES,MEAN,CAL4,2023,45975,,,'')":57555.414,"SNX^FE_ESTIMATE(SALES,MEAN,NTM4,,45975,,,'')":64394.77,"SNX^FE_ESTIMATE(SALES,MEAN,LTM4,,45975,,,'')":60973.492,"SNX^FG_PRICE(45975)":149.48,"SNX^FF_ENTRPR_VAL_DAILY(45975,,,,,\"DIL\")":15607.05348,"SNX^FREF_MARKET_VALUE_COMPANY(45975,,,,,0,,\"LEGACY\")":12173.3310546875,"CDW^FE_ESTIMATE(SALES,MEAN,CALA_ROLL,2027,45975,,,'')":23999.709,"CDW^FE_ESTIMATE(SALES,MEAN,CAL4,2026,45975,,,'')":22926.533,"CDW^FE_ESTIMATE(SALES,MEAN,CAL4,2025,45975,,,'')":22246.463,"CDW^FE_ESTIMATE(SALES,MEAN,CAL4,2024,45975,,,'')":20998.7,"CDW^FE_ESTIMATE(SALES,MEAN,CAL4,2023,45975,,,'')":21376.0,"CDW^FE_ESTIMATE(SALES,MEAN,NTM4,,45975,,,'')":22535.25,"CDW^FE_ESTIMATE(SALES,MEAN,LTM4,,45975,,,'')":22099.1,"CDW^FG_PRICE(45975)":147.355,"CDW^FF_ENTRPR_VAL_DAILY(45975,,,,,\"DIL\")":25057.089,"CDW^FREF_MARKET_VALUE_COMPANY(45975,,,,,0,,\"LEGACY\")":19184.6875,"INGM^FE_ESTIMATE(SALES,MEAN,CALA_ROLL,2027,45975,,,'')":54655.43,"INGM^FE_ESTIMATE(SALES,MEAN,CAL4,2026,45975,,,'')":52488.48,"INGM^FE_ESTIMATE(SALES,MEAN,CAL4,2025,45975,,,'')":51749.438,"INGM^FE_ESTIMATE(SALES,MEAN,CAL4,2024,45975,,,'')":null,"INGM^FE_ESTIMATE(SALES,MEAN,CAL4,2023,45975,,,'')":null,"INGM^FE_ESTIMATE(SALES,MEAN,NTM4,,45975,,,'')":52260.9,"INGM^FE_ESTIMATE(SALES,MEAN,LTM4,,45975,,,'')":51023.223,"INGM^FG_PRICE(45975)":20.405,"INGM^FF_ENTRPR_VAL_DAILY(45975,,,,,\"DIL\")":8276.31244768,"INGM^FREF_MARKET_VALUE_COMPANY(45975,,,,,0,,\"LEGACY\")":4796.65771484375,"NBIS^FE_ESTIMATE(SALES,MEAN,CALA_ROLL,2027,45975,,,'')":5830.8296,"NBIS^FE_ESTIMATE(SALES,MEAN,CAL4,2026,45975,,,'')":3115.74,"NBIS^FE_ESTIMATE(SALES,MEAN,CAL4,2025,45975,,,'')":568.3228,"NBIS^FE_ESTIMATE(SALES,MEAN,CAL4,2024,45975,,,'')":2559.1375,"NBIS^FE_ESTIMATE(SALES,MEAN,CAL4,2023,45975,,,'')":8777.168,"NBIS^FE_ESTIMATE(SALES,MEAN,NTM4,,45975,,,'')":2152.0627,"NBIS^FE_ESTIMATE(SALES,MEAN,LTM4,,45975,,,'')":344.4,"NBIS^FG_PRICE(45975)":85.82,"NBIS^FF_ENTRPR_VAL_DAILY(45975,,,,,\"DIL\")":21220.39579204,"NBIS^FREF_MARKET_VALUE_COMPANY(45975,,,,,0,,\"LEGACY\")":18489.2578125,"DOCN^FE_ESTIMATE(SALES,MEAN,CALA_ROLL,2027,45975,,,'')":1272.3501,"DOCN^FE_ESTIMATE(SALES,MEAN,CAL4,2026,45975,,,'')":1065.7341,"DOCN^FE_ESTIMATE(SALES,MEAN,CAL4,2025,45975,,,'')":897.1326,"DOCN^FE_ESTIMATE(SALES,MEAN,CAL4,2024,45975,,,'')":780.615,"DOCN^FE_ESTIMATE(SALES,MEAN,CAL4,2023,45975,,,'')":692.884,"DOCN^FE_ESTIMATE(SALES,MEAN,NTM4,,45975,,,'')":1018.1268,"DOCN^FE_ESTIMATE(SALES,MEAN,LTM4,,45975,,,'')":864.328,"DOCN^FG_PRICE(45975)":44.64,"DOCN^FF_ENTRPR_VAL_DAILY(45975,,,,,\"DIL\")":6146.6588,"DOCN^FREF_MARKET_VALUE_COMPANY(45975,,,,,0,,\"LEGACY\")":4084.20922851562,"GOOG^FE_ESTIMATE(SALES,MEAN,CALA_ROLL,2027,45975,,,'')":508173.94,"GOOG^FE_ESTIMATE(SALES,MEAN,CAL4,2026,45975,,,'')":452321.2,"GOOG^FE_ESTIMATE(SALES,MEAN,CAL4,2025,45975,,,'')":399857.53,"GOOG^FE_ESTIMATE(SALES,MEAN,CAL4,2024,45975,,,'')":350018.0,"GOOG^FE_ESTIMATE(SALES,MEAN,CAL4,2023,45975,,,'')":307394.0,"GOOG^FE_ESTIMATE(SALES,MEAN,NTM4,,45975,,,'')":438646.03,"GOOG^FE_ESTIMATE(SALES,MEAN,LTM4,,45975,,,'')":385477.0,"GOOG^FG_PRICE(45975)":274.735,"GOOG^FF_ENTRPR_VAL_DAILY(45975,,,,,\"DIL\")":3287288.6979,"GOOG^FREF_MARKET_VALUE_COMPANY(45975,,,,,0,,\"LEGACY\")":3080085.625,"AMZN^FE_ESTIMATE(SALES,MEAN,CALA_ROLL,2027,45975,,,'')":882441.6,"AMZN^FE_ESTIMATE(SALES,MEAN,CAL4,2026,45975,,,'')":792459.75,"AMZN^FE_ESTIMATE(SALES,MEAN,CAL4,2025,45975,,,'')":714574.94,"AMZN^FE_ESTIMATE(SALES,MEAN,CAL4,2024,45975,,,'')":637959.0,"AMZN^FE_ESTIMATE(SALES,MEAN,CAL4,2023,45975,,,'')":574785.0,"AMZN^FE_ESTIMATE(SALES,MEAN,NTM4,,45975,,,'')":770946.4,"AMZN^FE_ESTIMATE(SALES,MEAN,LTM4,,45975,,,'')":691330.0,"AMZN^FG_PRICE(45975)":234.6186,"AMZN^FF_ENTRPR_VAL_DAILY(45975,,,,,\"DIL\")":2599436.717,"AMZN^FREF_MARKET_VALUE_COMPANY(45975,,,,,0,,\"LEGACY\")":2508123.5,"ORCL^FE_ESTIMATE(SALES,MEAN,CALA_ROLL,2027,45975,,,'')":108038.09,"ORCL^FE_ESTIMATE(SALES,MEAN,CAL4,2026,45975,,,'')":74588.32,"ORCL^FE_ESTIMATE(SALES,MEAN,CAL4,2025,45975,,,'')":61154.91,"ORCL^FE_ESTIMATE(SALES,MEAN,CAL4,2024,45975,,,'')":54933.0,"ORCL^FE_ESTIMATE(SALES,MEAN,CAL4,2023,45975,,,'')":51629.0,"ORCL^FE_ESTIMATE(SALES,MEAN,NTM4,,45975,,,'')":70634.78,"ORCL^FE_ESTIMATE(SALES,MEAN,LTM4,,45975,,,'')":59018.0,"ORCL^FG_PRICE(45975)":213.5811,"ORCL^FF_ENTRPR_VAL_DAILY(45975,,,,,\"DIL\")":734040.13,"ORCL^FREF_MARKET_VALUE_COMPANY(45975,,,,,0,,\"LEGACY\")":608875.4375,"IBM^FE_ESTIMATE(SALES,MEAN,CALA_ROLL,2027,45975,,,'')":73014.195,"IBM^FE_ESTIMATE(SALES,MEAN,CAL4,2026,45975,,,'')":70038.36,"IBM^FE_ESTIMATE(SALES,MEAN,CAL4,2025,45975,,,'')":67078.875,"IBM^FE_ESTIMATE(SALES,MEAN,CAL4,2024,45975,,,'')":62753.0,"IBM^FE_ESTIMATE(SALES,MEAN,CAL4,2023,45975,,,'')":61860.0,"IBM^FE_ESTIMATE(SALES,MEAN,NTM4,,45975,,,'')":69336.664,"IBM^FE_ESTIMATE(SALES,MEAN,LTM4,,45975,,,'')":65402.0,"IBM^FG_PRICE(45975)":301.2,"IBM^FF_ENTRPR_VAL_DAILY(45975,,,,,\"DIL\")":341060.11258636,"IBM^FREF_MARKET_VALUE_COMPANY(45975,,,,,0,,\"LEGACY\")":281542.25,"EQIX^FE_ESTIMATE(SALES,MEAN,CALA_ROLL,2027,45975,,,'')":10904.139,"EQIX^FE_ESTIMATE(SALES,MEAN,CAL4,2026,45975,,,'')":10102.466,"EQIX^FE_ESTIMATE(SALES,MEAN,CAL4,2025,45975,,,'')":9255.587,"EQIX^FE_ESTIMATE(SALES,MEAN,CAL4,2024,45975,,,'')":8748.0,"EQIX^FE_ESTIMATE(SALES,MEAN,CAL4,2023,45975,,,'')":8188.136,"EQIX^FE_ESTIMATE(SALES,MEAN,NTM4,,45975,,,'')":9960.504,"EQIX^FE_ESTIMATE(SALES,MEAN,LTM4,,45975,,,'')":9058.0,"EQIX^FG_PRICE(45975)":782.305,"EQIX^FF_ENTRPR_VAL_DAILY(45975,,,,,\"DIL\")":94585.01107,"EQIX^FREF_MARKET_VALUE_COMPANY(45975,,,,,0,,\"LEGACY\")":76811.4609375,"DLR^FE_ESTIMATE(SALES,MEAN,CALA_ROLL,2027,45975,,,'')":7476.2036,"DLR^FE_ESTIMATE(SALES,MEAN,CAL4,2026,45975,,,'')":6674.371,"DLR^FE_ESTIMATE(SALES,MEAN,CAL4,2025,45975,,,'')":6049.454,"DLR^FE_ESTIMATE(SALES,MEAN,CAL4,2024,45975,,,'')":5554.968,"DLR^FE_ESTIMATE(SALES,MEAN,CAL4,2023,45975,,,'')":5477.061,"DLR^FE_ESTIMATE(SALES,MEAN,NTM4,,45975,,,'')":6505.2827,"DLR^FE_ESTIMATE(SALES,MEAN,LTM4,,45975,,,'')":5913.883,"DLR^FG_PRICE(45975)":156.71,"DLR^FF_ENTRPR_VAL_DAILY(45975,,,,,\"DIL\")":73635.14014,"DLR^FREF_MARKET_VALUE_COMPANY(45975,,,,,0,,\"LEGACY\")":53830.1328125,"NVDA^FE_ESTIMATE(SALES,MEAN,CALA_ROLL,2027,45975,,,'')":352978.75,"NVDA^FE_ESTIMATE(SALES,MEAN,CAL4,2026,45975,,,'')":294697.38,"NVDA^FE_ESTIMATE(SALES,MEAN,CAL4,2025,45975,,,'')":207414.78,"NVDA^FE_ESTIMATE(SALES,MEAN,CAL4,2024,45975,,,'')":130497.0,"NVDA^FE_ESTIMATE(SALES,MEAN,CAL4,2023,45975,,,'')":60922.0,"NVDA^FE_ESTIMATE(SALES,MEAN,NTM4,,45975,,,'')":253296.17,"NVDA^FE_ESTIMATE(SALES,MEAN,LTM4,,45975,,,'')":165218.0,"NVDA^FG_PRICE(45975)":185.79,"NVDA^FF_ENTRPR_VAL_DAILY(45975,,,,,\"DIL\")":4511607.28,"NVDA^FREF_MARKET_VALUE_COMPANY(45975,,,,,0,,\"LEGACY\")":4514697.0,"MSFT^FE_ESTIMATE(SALES,MEAN,CALA_ROLL,2027,45975,,,'')":405368.63,"MSFT^FE_ESTIMATE(SALES,MEAN,CAL4,2026,45975,,,'')":349766.78,"MSFT^FE_ESTIMATE(SALES,MEAN,CAL4,2025,45975,,,'')":304412.63,"MSFT^FE_ESTIMATE(SALES,MEAN,CAL4,2024,45975,,,'')":261802.0,"MSFT^FE_ESTIMATE(SALES,MEAN,CAL4,2023,45975,,,'')":227583.0,"MSFT^FE_ESTIMATE(SALES,MEAN,NTM4,,45975,,,'')":337766.78,"MSFT^FE_ESTIMATE(SALES,MEAN,LTM4,,45975,,,'')":293812.0,"MSFT^FG_PRICE(45975)":501.91,"MSFT^FF_ENTRPR_VAL_DAILY(45975,,,,,\"DIL\")":3775926.14,"MSFT^FREF_MARKET_VALUE_COMPANY(45975,,,,,0,,\"LEGACY\")":3730384.5,"CRWV^FG_PRICE(45975)":76.635}]]></FdsFormulaCache>
</file>

<file path=customXml/itemProps1.xml><?xml version="1.0" encoding="utf-8"?>
<ds:datastoreItem xmlns:ds="http://schemas.openxmlformats.org/officeDocument/2006/customXml" ds:itemID="{842CB7A7-051A-45D3-989C-C93E1080FD0F}">
  <ds:schemaRefs>
    <ds:schemaRef ds:uri="urn:fdsformulacache"/>
  </ds:schemaRefs>
</ds:datastoreItem>
</file>

<file path=docMetadata/LabelInfo.xml><?xml version="1.0" encoding="utf-8"?>
<clbl:labelList xmlns:clbl="http://schemas.microsoft.com/office/2020/mipLabelMetadata">
  <clbl:label id="{a64882d5-5c68-43ae-b974-91da18426e9b}" enabled="1" method="Standard" siteId="{38651f6f-836b-4bdf-9615-4e255c290fe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Cover</vt:lpstr>
      <vt:lpstr>Revenue and CapEx Build</vt:lpstr>
      <vt:lpstr>KPI Summary</vt:lpstr>
      <vt:lpstr>Depreciation Build</vt:lpstr>
      <vt:lpstr>IS (GAAP)</vt:lpstr>
      <vt:lpstr>IS (Non-GAAP)</vt:lpstr>
      <vt:lpstr>BS</vt:lpstr>
      <vt:lpstr>CF</vt:lpstr>
      <vt:lpstr>Debt Model</vt:lpstr>
      <vt:lpstr>Def. Revenue &amp; Billings</vt:lpstr>
      <vt:lpstr>Dates</vt:lpstr>
      <vt:lpstr>Consensus</vt:lpstr>
      <vt:lpstr>Valuation Exhibits_Memo</vt:lpstr>
      <vt:lpstr>Valuation (old)</vt:lpstr>
    </vt:vector>
  </TitlesOfParts>
  <Company>Goldman Sachs &amp; Co.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Staffel, Jacob P [GIR]</dc:creator>
  <cp:lastModifiedBy>Zhang, Selina [GIR]</cp:lastModifiedBy>
  <cp:lastPrinted>2025-11-14T18:16:45Z</cp:lastPrinted>
  <dcterms:created xsi:type="dcterms:W3CDTF">2023-10-24T14:31:27Z</dcterms:created>
  <dcterms:modified xsi:type="dcterms:W3CDTF">2025-11-14T20:11:07Z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2ffa0a15-141f-4f45-b08d-6a21dba8475c</vt:lpwstr>
  </property>
  <property fmtid="{D5CDD505-2E9C-101B-9397-08002B2CF9AE}" pid="3" name="Classification">
    <vt:lpwstr>I</vt:lpwstr>
  </property>
  <property fmtid="{D5CDD505-2E9C-101B-9397-08002B2CF9AE}" pid="4" name="=fdsSearchOrder">
    <vt:i4>0</vt:i4>
  </property>
  <property fmtid="{D5CDD505-2E9C-101B-9397-08002B2CF9AE}" pid="5" name="DocNoClass">
    <vt:lpwstr>Not In Use</vt:lpwstr>
  </property>
</Properties>
</file>